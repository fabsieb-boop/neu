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2220" tabRatio="600" firstSheet="0" activeTab="0" autoFilterDateGrouping="1"/>
  </bookViews>
  <sheets>
    <sheet name="Cockpit" sheetId="1" state="visible" r:id="rId1"/>
    <sheet name="Steuerung" sheetId="2" state="visible" r:id="rId2"/>
    <sheet name="GuV" sheetId="3" state="visible" r:id="rId3"/>
    <sheet name="Forecast" sheetId="4" state="visible" r:id="rId4"/>
    <sheet name="Monatsroll" sheetId="5" state="visible" r:id="rId5"/>
    <sheet name="FC Eingabe" sheetId="6" state="visible" r:id="rId6"/>
    <sheet name="Import Monatsdaten" sheetId="7" state="visible" r:id="rId7"/>
    <sheet name="D Finanzen" sheetId="8" state="visible" r:id="rId8"/>
    <sheet name="D KLR" sheetId="9" state="visible" r:id="rId9"/>
    <sheet name="D Liquidität" sheetId="10" state="visible" r:id="rId10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#,##0.00;[Red]\(#,##0.00\);&quot;–&quot;"/>
    <numFmt numFmtId="165" formatCode="dd\.mm\.yyyy"/>
    <numFmt numFmtId="166" formatCode="#,##0;[Red]\(#,##0\);&quot;–&quot;"/>
    <numFmt numFmtId="167" formatCode="0.0%;[Red]\(0.0%\);&quot;–&quot;"/>
    <numFmt numFmtId="168" formatCode="#,##0.00;[Red]\(#,##0.00\);0.00"/>
    <numFmt numFmtId="169" formatCode="#,##0,&quot; T€&quot;;[Red]\(#,##0,&quot; T€&quot;\);&quot;–&quot;"/>
  </numFmts>
  <fonts count="16">
    <font>
      <name val="Carlito"/>
      <sz val="11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  <font>
      <name val="Arial"/>
      <family val="2"/>
      <color rgb="FF2563EB"/>
      <sz val="10"/>
    </font>
    <font>
      <name val="Arial"/>
      <family val="2"/>
      <b val="1"/>
      <color rgb="FF2563EB"/>
      <sz val="10"/>
    </font>
    <font>
      <name val="Carlito"/>
      <color rgb="FF2563EB"/>
      <sz val="11"/>
    </font>
    <font>
      <name val="Arial"/>
      <family val="2"/>
      <b val="1"/>
      <color rgb="FF1E293B"/>
      <sz val="20"/>
    </font>
    <font>
      <name val="Arial"/>
      <family val="2"/>
      <color rgb="FF2563EB"/>
      <sz val="10"/>
      <u val="single"/>
    </font>
    <font>
      <name val="Arial"/>
      <family val="2"/>
      <color rgb="FF00804A"/>
      <sz val="10"/>
    </font>
    <font>
      <name val="Arial"/>
      <family val="2"/>
      <b val="1"/>
      <color rgb="FF00804A"/>
      <sz val="10"/>
    </font>
    <font>
      <name val="Carlito"/>
      <sz val="11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8B5C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2">
    <xf numFmtId="0" fontId="14" fillId="0" borderId="0"/>
    <xf numFmtId="0" fontId="14" fillId="0" borderId="0"/>
  </cellStyleXfs>
  <cellXfs count="6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vertical="center"/>
    </xf>
    <xf numFmtId="0" fontId="5" fillId="3" borderId="0" applyAlignment="1" pivotButton="0" quotePrefix="0" xfId="1">
      <alignment horizontal="center" vertical="center" wrapText="1"/>
    </xf>
    <xf numFmtId="1" fontId="1" fillId="0" borderId="0" applyAlignment="1" pivotButton="0" quotePrefix="0" xfId="1">
      <alignment horizontal="right" vertical="center"/>
    </xf>
    <xf numFmtId="164" fontId="1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vertical="center"/>
    </xf>
    <xf numFmtId="1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0" fontId="6" fillId="2" borderId="0" pivotButton="0" quotePrefix="0" xfId="1"/>
    <xf numFmtId="0" fontId="1" fillId="0" borderId="0" pivotButton="0" quotePrefix="0" xfId="1"/>
    <xf numFmtId="0" fontId="1" fillId="0" borderId="0" applyAlignment="1" pivotButton="0" quotePrefix="0" xfId="1">
      <alignment vertical="center" wrapText="1"/>
    </xf>
    <xf numFmtId="0" fontId="7" fillId="4" borderId="0" applyAlignment="1" pivotButton="0" quotePrefix="0" xfId="1">
      <alignment vertical="center"/>
    </xf>
    <xf numFmtId="165" fontId="7" fillId="4" borderId="0" applyAlignment="1" pivotButton="0" quotePrefix="0" xfId="1">
      <alignment horizontal="right" vertical="center"/>
    </xf>
    <xf numFmtId="0" fontId="7" fillId="4" borderId="0" pivotButton="0" quotePrefix="0" xfId="1"/>
    <xf numFmtId="164" fontId="7" fillId="4" borderId="0" applyAlignment="1" pivotButton="0" quotePrefix="0" xfId="1">
      <alignment horizontal="right" vertical="center"/>
    </xf>
    <xf numFmtId="164" fontId="7" fillId="4" borderId="0" applyAlignment="1" pivotButton="0" quotePrefix="0" xfId="1">
      <alignment horizontal="right"/>
    </xf>
    <xf numFmtId="166" fontId="1" fillId="0" borderId="0" applyAlignment="1" pivotButton="0" quotePrefix="0" xfId="1">
      <alignment horizontal="right" vertical="center"/>
    </xf>
    <xf numFmtId="167" fontId="1" fillId="0" borderId="0" applyAlignment="1" pivotButton="0" quotePrefix="0" xfId="1">
      <alignment horizontal="right" vertical="center"/>
    </xf>
    <xf numFmtId="0" fontId="4" fillId="5" borderId="0" applyAlignment="1" pivotButton="0" quotePrefix="0" xfId="1">
      <alignment vertical="center"/>
    </xf>
    <xf numFmtId="0" fontId="4" fillId="5" borderId="2" applyAlignment="1" pivotButton="0" quotePrefix="0" xfId="1">
      <alignment vertical="center"/>
    </xf>
    <xf numFmtId="166" fontId="4" fillId="5" borderId="2" applyAlignment="1" pivotButton="0" quotePrefix="0" xfId="1">
      <alignment horizontal="right" vertical="center"/>
    </xf>
    <xf numFmtId="167" fontId="4" fillId="5" borderId="2" applyAlignment="1" pivotButton="0" quotePrefix="0" xfId="1">
      <alignment horizontal="right" vertical="center"/>
    </xf>
    <xf numFmtId="166" fontId="1" fillId="0" borderId="0" applyAlignment="1" pivotButton="0" quotePrefix="0" xfId="1">
      <alignment horizontal="right"/>
    </xf>
    <xf numFmtId="167" fontId="1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 vertical="center"/>
    </xf>
    <xf numFmtId="164" fontId="4" fillId="5" borderId="2" applyAlignment="1" pivotButton="0" quotePrefix="0" xfId="1">
      <alignment horizontal="right" vertical="center"/>
    </xf>
    <xf numFmtId="167" fontId="7" fillId="4" borderId="0" applyAlignment="1" pivotButton="0" quotePrefix="0" xfId="1">
      <alignment horizontal="right" vertical="center"/>
    </xf>
    <xf numFmtId="165" fontId="1" fillId="0" borderId="0" applyAlignment="1" pivotButton="0" quotePrefix="0" xfId="1">
      <alignment horizontal="right" vertical="center"/>
    </xf>
    <xf numFmtId="165" fontId="1" fillId="0" borderId="0" applyAlignment="1" pivotButton="0" quotePrefix="0" xfId="1">
      <alignment horizontal="right"/>
    </xf>
    <xf numFmtId="167" fontId="7" fillId="4" borderId="0" applyAlignment="1" pivotButton="0" quotePrefix="0" xfId="1">
      <alignment horizontal="right"/>
    </xf>
    <xf numFmtId="165" fontId="7" fillId="4" borderId="0" applyAlignment="1" pivotButton="0" quotePrefix="0" xfId="1">
      <alignment horizontal="right"/>
    </xf>
    <xf numFmtId="0" fontId="1" fillId="0" borderId="0" applyAlignment="1" pivotButton="0" quotePrefix="0" xfId="1">
      <alignment wrapText="1"/>
    </xf>
    <xf numFmtId="166" fontId="0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0" fontId="9" fillId="4" borderId="0" pivotButton="0" quotePrefix="0" xfId="1"/>
    <xf numFmtId="168" fontId="1" fillId="0" borderId="0" applyAlignment="1" pivotButton="0" quotePrefix="0" xfId="1">
      <alignment horizontal="right" vertical="center"/>
    </xf>
    <xf numFmtId="0" fontId="11" fillId="0" borderId="0" applyAlignment="1" pivotButton="0" quotePrefix="0" xfId="1">
      <alignment vertical="center"/>
    </xf>
    <xf numFmtId="164" fontId="5" fillId="3" borderId="0" applyAlignment="1" pivotButton="0" quotePrefix="0" xfId="1">
      <alignment horizontal="center" vertical="center" wrapText="1"/>
    </xf>
    <xf numFmtId="167" fontId="8" fillId="4" borderId="0" applyAlignment="1" pivotButton="0" quotePrefix="0" xfId="1">
      <alignment horizontal="right" vertical="center" wrapText="1"/>
    </xf>
    <xf numFmtId="164" fontId="12" fillId="0" borderId="0" applyAlignment="1" pivotButton="0" quotePrefix="0" xfId="1">
      <alignment horizontal="right" vertical="center"/>
    </xf>
    <xf numFmtId="167" fontId="12" fillId="0" borderId="0" applyAlignment="1" pivotButton="0" quotePrefix="0" xfId="1">
      <alignment horizontal="right" vertical="center"/>
    </xf>
    <xf numFmtId="0" fontId="12" fillId="0" borderId="0" applyAlignment="1" pivotButton="0" quotePrefix="0" xfId="1">
      <alignment vertical="center"/>
    </xf>
    <xf numFmtId="166" fontId="12" fillId="0" borderId="0" applyAlignment="1" pivotButton="0" quotePrefix="0" xfId="1">
      <alignment horizontal="right" vertical="center"/>
    </xf>
    <xf numFmtId="166" fontId="13" fillId="5" borderId="2" applyAlignment="1" pivotButton="0" quotePrefix="0" xfId="1">
      <alignment horizontal="right" vertical="center"/>
    </xf>
    <xf numFmtId="166" fontId="12" fillId="0" borderId="0" applyAlignment="1" pivotButton="0" quotePrefix="0" xfId="1">
      <alignment horizontal="right"/>
    </xf>
    <xf numFmtId="0" fontId="12" fillId="0" borderId="0" pivotButton="0" quotePrefix="0" xfId="1"/>
    <xf numFmtId="0" fontId="1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1">
      <alignment wrapText="1"/>
    </xf>
    <xf numFmtId="0" fontId="3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0" fontId="4" fillId="2" borderId="0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5" fillId="6" borderId="0" applyAlignment="1" pivotButton="0" quotePrefix="0" xfId="1">
      <alignment vertical="center"/>
    </xf>
    <xf numFmtId="169" fontId="10" fillId="5" borderId="0" applyAlignment="1" pivotButton="0" quotePrefix="0" xfId="1">
      <alignment horizontal="right" vertical="center"/>
    </xf>
    <xf numFmtId="0" fontId="5" fillId="7" borderId="0" applyAlignment="1" pivotButton="0" quotePrefix="0" xfId="1">
      <alignment vertical="center"/>
    </xf>
    <xf numFmtId="0" fontId="6" fillId="2" borderId="0" pivotButton="0" quotePrefix="0" xfId="1"/>
    <xf numFmtId="0" fontId="7" fillId="4" borderId="0" applyAlignment="1" pivotButton="0" quotePrefix="0" xfId="1">
      <alignment vertical="center"/>
    </xf>
    <xf numFmtId="0" fontId="0" fillId="0" borderId="1" pivotButton="0" quotePrefix="0" xfId="0"/>
    <xf numFmtId="0" fontId="15" fillId="0" borderId="0" pivotButton="0" quotePrefix="0" xfId="0"/>
  </cellXfs>
  <cellStyles count="2">
    <cellStyle name="Standard" xfId="0" builtinId="0"/>
    <cellStyle name="Normal" xfId="1"/>
  </cellStyles>
  <dxfs count="9">
    <dxf>
      <font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Gesamtleistung Ist/Forecast und Plan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Gesamtleistung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Cockpit!$D$32:$D$43</f>
              <numCache>
                <formatCode>#,##0;[Red]\(#,##0\);"–"</formatCode>
                <ptCount val="12"/>
                <pt idx="0">
                  <v>1920412.71</v>
                </pt>
                <pt idx="1">
                  <v>2577067.73</v>
                </pt>
                <pt idx="2">
                  <v>2412212.87</v>
                </pt>
                <pt idx="3">
                  <v>1939563.48</v>
                </pt>
                <pt idx="4">
                  <v>1083981.39</v>
                </pt>
                <pt idx="5">
                  <v>2784687.33</v>
                </pt>
                <pt idx="6">
                  <v>1618644.66</v>
                </pt>
                <pt idx="7">
                  <v>1876864.98</v>
                </pt>
                <pt idx="8">
                  <v>2604944</v>
                </pt>
                <pt idx="9">
                  <v>1333000</v>
                </pt>
                <pt idx="10">
                  <v>1775000</v>
                </pt>
                <pt idx="11">
                  <v>1073000</v>
                </pt>
              </numCache>
            </numRef>
          </val>
          <smooth val="0"/>
        </ser>
        <ser>
          <idx val="1"/>
          <order val="1"/>
          <tx>
            <v>GL Plan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Cockpit!$E$32:$E$43</f>
              <numCache>
                <formatCode>#,##0;[Red]\(#,##0\);"–"</formatCode>
                <ptCount val="12"/>
                <pt idx="0">
                  <v>1416000</v>
                </pt>
                <pt idx="1">
                  <v>1348000</v>
                </pt>
                <pt idx="2">
                  <v>1483000</v>
                </pt>
                <pt idx="3">
                  <v>1348000</v>
                </pt>
                <pt idx="4">
                  <v>1213000</v>
                </pt>
                <pt idx="5">
                  <v>1483000</v>
                </pt>
                <pt idx="6">
                  <v>1551000</v>
                </pt>
                <pt idx="7">
                  <v>1416000</v>
                </pt>
                <pt idx="8">
                  <v>1483000</v>
                </pt>
                <pt idx="9">
                  <v>1483000</v>
                </pt>
                <pt idx="10">
                  <v>1416000</v>
                </pt>
                <pt idx="11">
                  <v>1483000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EBITDA Ist/Forecast und Plan (EUR)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Ist/FC</v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Cockpit!$F$32:$F$43</f>
              <numCache>
                <formatCode>#,##0;[Red]\(#,##0\);"–"</formatCode>
                <ptCount val="12"/>
                <pt idx="0">
                  <v>294942.37</v>
                </pt>
                <pt idx="1">
                  <v>318570.76</v>
                </pt>
                <pt idx="2">
                  <v>23595.18</v>
                </pt>
                <pt idx="3">
                  <v>-179274.07</v>
                </pt>
                <pt idx="4">
                  <v>-141241.9</v>
                </pt>
                <pt idx="5">
                  <v>58553.86</v>
                </pt>
                <pt idx="6">
                  <v>-495291.54</v>
                </pt>
                <pt idx="7">
                  <v>-138242.37</v>
                </pt>
                <pt idx="8">
                  <v>309886</v>
                </pt>
                <pt idx="9">
                  <v>118692</v>
                </pt>
                <pt idx="10">
                  <v>380092</v>
                </pt>
                <pt idx="11">
                  <v>-110405</v>
                </pt>
              </numCache>
            </numRef>
          </val>
        </ser>
        <ser>
          <idx val="1"/>
          <order val="1"/>
          <tx>
            <v>EBITDA Plan</v>
          </tx>
          <spPr>
            <a:solidFill>
              <a:srgbClr val="8B5CF6"/>
            </a:solidFill>
            <a:ln>
              <a:prstDash val="solid"/>
            </a:ln>
          </spPr>
          <invertIfNegative val="1"/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Cockpit!$G$32:$G$43</f>
              <numCache>
                <formatCode>#,##0;[Red]\(#,##0\);"–"</formatCode>
                <ptCount val="12"/>
                <pt idx="0">
                  <v>76000</v>
                </pt>
                <pt idx="1">
                  <v>25000</v>
                </pt>
                <pt idx="2">
                  <v>127000</v>
                </pt>
                <pt idx="3">
                  <v>24000</v>
                </pt>
                <pt idx="4">
                  <v>-79000</v>
                </pt>
                <pt idx="5">
                  <v>126000</v>
                </pt>
                <pt idx="6">
                  <v>178000</v>
                </pt>
                <pt idx="7">
                  <v>76000</v>
                </pt>
                <pt idx="8">
                  <v>125000</v>
                </pt>
                <pt idx="9">
                  <v>125000</v>
                </pt>
                <pt idx="10">
                  <v>73000</v>
                </pt>
                <pt idx="11">
                  <v>124000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EBITDA Ist/Forecast und Plan (EUR)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aktiv</v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Forecast!$L$7:$L$18</f>
              <numCache>
                <formatCode>#,##0;[Red]\(#,##0\);"–"</formatCode>
                <ptCount val="12"/>
                <pt idx="0">
                  <v>294942.37</v>
                </pt>
                <pt idx="1">
                  <v>318570.76</v>
                </pt>
                <pt idx="2">
                  <v>23595.18</v>
                </pt>
                <pt idx="3">
                  <v>-179274.07</v>
                </pt>
                <pt idx="4">
                  <v>-141241.9</v>
                </pt>
                <pt idx="5">
                  <v>58553.86</v>
                </pt>
                <pt idx="6">
                  <v>-495291.54</v>
                </pt>
                <pt idx="7">
                  <v>-138242.37</v>
                </pt>
                <pt idx="8">
                  <v>309886</v>
                </pt>
                <pt idx="9">
                  <v>118692</v>
                </pt>
                <pt idx="10">
                  <v>380092</v>
                </pt>
                <pt idx="11">
                  <v>-110405</v>
                </pt>
              </numCache>
            </numRef>
          </val>
        </ser>
        <ser>
          <idx val="1"/>
          <order val="1"/>
          <tx>
            <v>EBITDA Plan</v>
          </tx>
          <spPr>
            <a:solidFill>
              <a:srgbClr val="8B5CF6"/>
            </a:solidFill>
            <a:ln>
              <a:prstDash val="solid"/>
            </a:ln>
          </spPr>
          <invertIfNegative val="1"/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Forecast!$N$7:$N$18</f>
              <numCache>
                <formatCode>#,##0;[Red]\(#,##0\);"–"</formatCode>
                <ptCount val="12"/>
                <pt idx="0">
                  <v>76000</v>
                </pt>
                <pt idx="1">
                  <v>25000</v>
                </pt>
                <pt idx="2">
                  <v>127000</v>
                </pt>
                <pt idx="3">
                  <v>24000</v>
                </pt>
                <pt idx="4">
                  <v>-79000</v>
                </pt>
                <pt idx="5">
                  <v>126000</v>
                </pt>
                <pt idx="6">
                  <v>178000</v>
                </pt>
                <pt idx="7">
                  <v>76000</v>
                </pt>
                <pt idx="8">
                  <v>125000</v>
                </pt>
                <pt idx="9">
                  <v>125000</v>
                </pt>
                <pt idx="10">
                  <v>73000</v>
                </pt>
                <pt idx="11">
                  <v>124000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Gesamtleistung Ist/Forecast und Plan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Gesamtleistung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Forecast!$I$7:$I$18</f>
              <numCache>
                <formatCode>#,##0;[Red]\(#,##0\);"–"</formatCode>
                <ptCount val="12"/>
                <pt idx="0">
                  <v>1920412.71</v>
                </pt>
                <pt idx="1">
                  <v>2577067.73</v>
                </pt>
                <pt idx="2">
                  <v>2412212.87</v>
                </pt>
                <pt idx="3">
                  <v>1939563.48</v>
                </pt>
                <pt idx="4">
                  <v>1083981.39</v>
                </pt>
                <pt idx="5">
                  <v>2784687.33</v>
                </pt>
                <pt idx="6">
                  <v>1618644.66</v>
                </pt>
                <pt idx="7">
                  <v>1876864.98</v>
                </pt>
                <pt idx="8">
                  <v>2604944</v>
                </pt>
                <pt idx="9">
                  <v>1333000</v>
                </pt>
                <pt idx="10">
                  <v>1775000</v>
                </pt>
                <pt idx="11">
                  <v>1073000</v>
                </pt>
              </numCache>
            </numRef>
          </val>
          <smooth val="0"/>
        </ser>
        <ser>
          <idx val="1"/>
          <order val="1"/>
          <tx>
            <v>GL Plan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Forecast!$M$7:$M$18</f>
              <numCache>
                <formatCode>#,##0;[Red]\(#,##0\);"–"</formatCode>
                <ptCount val="12"/>
                <pt idx="0">
                  <v>1416000</v>
                </pt>
                <pt idx="1">
                  <v>1348000</v>
                </pt>
                <pt idx="2">
                  <v>1483000</v>
                </pt>
                <pt idx="3">
                  <v>1348000</v>
                </pt>
                <pt idx="4">
                  <v>1213000</v>
                </pt>
                <pt idx="5">
                  <v>1483000</v>
                </pt>
                <pt idx="6">
                  <v>1551000</v>
                </pt>
                <pt idx="7">
                  <v>1416000</v>
                </pt>
                <pt idx="8">
                  <v>1483000</v>
                </pt>
                <pt idx="9">
                  <v>1483000</v>
                </pt>
                <pt idx="10">
                  <v>1416000</v>
                </pt>
                <pt idx="11">
                  <v>1483000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Cash-Pool Ist und Modell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Cash-Ende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Monatsroll!$C$7:$C$18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Monatsroll!$Q$7:$Q$18</f>
              <numCache>
                <formatCode>#,##0;[Red]\(#,##0\);"–"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1491961.89</v>
                </pt>
                <pt idx="9">
                  <v>2040660.25</v>
                </pt>
                <pt idx="10">
                  <v>2507994.71</v>
                </pt>
                <pt idx="11">
                  <v>2319140.81</v>
                </pt>
              </numCache>
            </numRef>
          </val>
          <smooth val="0"/>
        </ser>
        <ser>
          <idx val="1"/>
          <order val="1"/>
          <tx>
            <v>Ist-Cash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Monatsroll!$C$7:$C$18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Monatsroll!$R$7:$R$18</f>
              <numCache>
                <formatCode>#,##0;[Red]\(#,##0\);"–"</formatCode>
                <ptCount val="12"/>
                <pt idx="0">
                  <v>-967394.51</v>
                </pt>
                <pt idx="1">
                  <v>-1687613.22</v>
                </pt>
                <pt idx="2">
                  <v>-1081708.41</v>
                </pt>
                <pt idx="3">
                  <v>-1858253.62</v>
                </pt>
                <pt idx="4">
                  <v>-2445311.2</v>
                </pt>
                <pt idx="5">
                  <v>-1778289.46</v>
                </pt>
                <pt idx="6">
                  <v>-919229.04</v>
                </pt>
                <pt idx="7">
                  <v>1944327.5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10</row>
      <rowOff>0</rowOff>
    </from>
    <to>
      <col>10</col>
      <colOff>0</colOff>
      <row>27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10</row>
      <rowOff>0</rowOff>
    </from>
    <to>
      <col>18</col>
      <colOff>0</colOff>
      <row>27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25</row>
      <rowOff>0</rowOff>
    </from>
    <to>
      <col>10</col>
      <colOff>0</colOff>
      <row>42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25</row>
      <rowOff>0</rowOff>
    </from>
    <to>
      <col>18</col>
      <colOff>0</colOff>
      <row>42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25</row>
      <rowOff>0</rowOff>
    </from>
    <to>
      <col>14</col>
      <colOff>0</colOff>
      <row>43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VF_104" displayName="TVF_104" ref="C48:O222" headerRowCount="1" totalsRowShown="0">
  <tableColumns count="13">
    <tableColumn id="1" name="Auftrag"/>
    <tableColumn id="2" name="Bezeichnung"/>
    <tableColumn id="3" name="Region"/>
    <tableColumn id="4" name="Umsatz Ist"/>
    <tableColumn id="5" name="Kosten Ist (neg.)"/>
    <tableColumn id="6" name="Bestand Ist"/>
    <tableColumn id="7" name="Umsatz Rest"/>
    <tableColumn id="8" name="Kosten Rest (neg.)"/>
    <tableColumn id="9" name="Bestand Rest"/>
    <tableColumn id="10" name="Umsatz erwartet"/>
    <tableColumn id="11" name="Kosten erwartet"/>
    <tableColumn id="12" name="Bestand erwartet"/>
    <tableColumn id="13" name="Ergebnis erwart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80" displayName="TVF_80" ref="C6:L506" headerRowCount="1" totalsRowShown="0">
  <tableColumns count="10">
    <tableColumn id="1" name="Jahr"/>
    <tableColumn id="2" name="Monat"/>
    <tableColumn id="3" name="Region"/>
    <tableColumn id="4" name="Auftrag / Projekt"/>
    <tableColumn id="5" name="Δ Umsatz EUR"/>
    <tableColumn id="6" name="Δ Bestand EUR"/>
    <tableColumn id="7" name="Δ Kosten EUR"/>
    <tableColumn id="8" name="Kommentar"/>
    <tableColumn id="9" name="Status"/>
    <tableColumn id="10" name="Δ EBITDA E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ImportMonate" displayName="TVFImportMonate" ref="C6:M8" headerRowCount="1" totalsRowShown="0">
  <tableColumns count="11">
    <tableColumn id="1" name="Jahr"/>
    <tableColumn id="2" name="Monat"/>
    <tableColumn id="3" name="Umsatz"/>
    <tableColumn id="4" name="Bestand"/>
    <tableColumn id="5" name="Sonstige_Ertraege"/>
    <tableColumn id="6" name="Materialaufwand"/>
    <tableColumn id="7" name="Personalaufwand"/>
    <tableColumn id="8" name="Sonstiger_Aufwand"/>
    <tableColumn id="9" name="Abschreibungen"/>
    <tableColumn id="10" name="Finanzergebnis"/>
    <tableColumn id="11" name="Neutrales_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1E293B"/>
    <outlinePr summaryBelow="1" summaryRight="1"/>
    <pageSetUpPr/>
  </sheetPr>
  <dimension ref="A1:R66"/>
  <sheetViews>
    <sheetView showGridLines="0" tabSelected="1" workbookViewId="0">
      <selection activeCell="C3" sqref="C3:R3"/>
    </sheetView>
  </sheetViews>
  <sheetFormatPr baseColWidth="10" defaultColWidth="8.83203125" defaultRowHeight="14"/>
  <cols>
    <col width="2.5" customWidth="1" min="1" max="2"/>
    <col width="12" customWidth="1" min="3" max="18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</row>
    <row r="2" ht="30" customHeight="1">
      <c r="A2" s="48" t="n"/>
      <c r="B2" s="48" t="n"/>
      <c r="C2" s="53" t="inlineStr">
        <is>
          <t>TVF ALTWERT – Controlling Cockpit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</row>
    <row r="3" ht="32" customHeight="1">
      <c r="A3" s="48" t="n"/>
      <c r="B3" s="48" t="n"/>
      <c r="C3" s="54" t="inlineStr">
        <is>
          <t>Excel-Ausgabe des gelieferten Cockpits. Datenstände, Filter und bearbeitbare Parameter auf Steuerung.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</row>
    <row r="5" ht="26" customHeight="1">
      <c r="A5" s="48" t="n"/>
      <c r="B5" s="48" t="n"/>
      <c r="C5" s="55" t="inlineStr">
        <is>
          <t>Gesamtleistung YTD</t>
        </is>
      </c>
      <c r="G5" s="55" t="inlineStr">
        <is>
          <t>EBITDA YTD</t>
        </is>
      </c>
      <c r="K5" s="57" t="inlineStr">
        <is>
          <t>EBITDA Jahresforecast</t>
        </is>
      </c>
      <c r="O5" s="55" t="inlineStr">
        <is>
          <t>Cash-Pool Ende Plan</t>
        </is>
      </c>
    </row>
    <row r="6">
      <c r="A6" s="48" t="n"/>
      <c r="B6" s="48" t="n"/>
      <c r="C6" s="56" t="n">
        <v>17098817.86</v>
      </c>
      <c r="G6" s="56" t="n">
        <v>-1711536.9</v>
      </c>
      <c r="K6" s="56" t="n">
        <v>439877.29</v>
      </c>
      <c r="O6" s="56" t="n">
        <v>2319140.81</v>
      </c>
    </row>
    <row r="7">
      <c r="A7" s="48" t="n"/>
      <c r="B7" s="48" t="n"/>
    </row>
    <row r="8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</row>
    <row r="9">
      <c r="A9" s="48" t="n"/>
      <c r="B9" s="48" t="n"/>
      <c r="C9" s="50" t="inlineStr">
        <is>
          <t>Berichtszeitraum: 01–09 / 2026</t>
        </is>
      </c>
      <c r="I9" s="50" t="inlineStr">
        <is>
          <t>Forecast: Ist bis August, September–Dezember Planung</t>
        </is>
      </c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</row>
    <row r="28">
      <c r="A28" s="48" t="n"/>
      <c r="B28" s="48" t="n"/>
      <c r="C28" s="51" t="inlineStr">
        <is>
          <t>September ist in der Buchungsquelle vorhanden, aber laut Original noch nicht freigegeben. Projekt-CO und Finanzbuchhaltung können unterschiedliche Vollständigkeit haben.</t>
        </is>
      </c>
    </row>
    <row r="29">
      <c r="A29" s="48" t="n"/>
      <c r="B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</row>
    <row r="31" ht="34" customHeight="1">
      <c r="A31" s="48" t="n"/>
      <c r="B31" s="48" t="n"/>
      <c r="C31" s="3" t="inlineStr">
        <is>
          <t>Monat</t>
        </is>
      </c>
      <c r="D31" s="3" t="inlineStr">
        <is>
          <t>Gesamtleistung</t>
        </is>
      </c>
      <c r="E31" s="3" t="inlineStr">
        <is>
          <t>GL Plan</t>
        </is>
      </c>
      <c r="F31" s="3" t="inlineStr">
        <is>
          <t>EBITDA Ist/FC</t>
        </is>
      </c>
      <c r="G31" s="3" t="inlineStr">
        <is>
          <t>EBITDA Plan</t>
        </is>
      </c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</row>
    <row r="32">
      <c r="A32" s="48" t="n"/>
      <c r="B32" s="48" t="n"/>
      <c r="C32" s="48" t="inlineStr">
        <is>
          <t>Jan</t>
        </is>
      </c>
      <c r="D32" s="17" t="n">
        <v>1920412.71</v>
      </c>
      <c r="E32" s="17" t="n">
        <v>1416000</v>
      </c>
      <c r="F32" s="17" t="n">
        <v>294942.37</v>
      </c>
      <c r="G32" s="17" t="n">
        <v>76000</v>
      </c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</row>
    <row r="33">
      <c r="A33" s="48" t="n"/>
      <c r="B33" s="48" t="n"/>
      <c r="C33" s="48" t="inlineStr">
        <is>
          <t>Feb</t>
        </is>
      </c>
      <c r="D33" s="17" t="n">
        <v>2577067.73</v>
      </c>
      <c r="E33" s="17" t="n">
        <v>1348000</v>
      </c>
      <c r="F33" s="17" t="n">
        <v>318570.76</v>
      </c>
      <c r="G33" s="17" t="n">
        <v>25000</v>
      </c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</row>
    <row r="34">
      <c r="A34" s="48" t="n"/>
      <c r="B34" s="48" t="n"/>
      <c r="C34" s="48" t="inlineStr">
        <is>
          <t>Mär</t>
        </is>
      </c>
      <c r="D34" s="17" t="n">
        <v>2412212.87</v>
      </c>
      <c r="E34" s="17" t="n">
        <v>1483000</v>
      </c>
      <c r="F34" s="17" t="n">
        <v>23595.18</v>
      </c>
      <c r="G34" s="17" t="n">
        <v>127000</v>
      </c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</row>
    <row r="35">
      <c r="A35" s="48" t="n"/>
      <c r="B35" s="48" t="n"/>
      <c r="C35" s="48" t="inlineStr">
        <is>
          <t>Apr</t>
        </is>
      </c>
      <c r="D35" s="17" t="n">
        <v>1939563.48</v>
      </c>
      <c r="E35" s="17" t="n">
        <v>1348000</v>
      </c>
      <c r="F35" s="17" t="n">
        <v>-179274.07</v>
      </c>
      <c r="G35" s="17" t="n">
        <v>24000</v>
      </c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</row>
    <row r="36">
      <c r="A36" s="48" t="n"/>
      <c r="B36" s="48" t="n"/>
      <c r="C36" s="48" t="inlineStr">
        <is>
          <t>Mai</t>
        </is>
      </c>
      <c r="D36" s="17" t="n">
        <v>1083981.39</v>
      </c>
      <c r="E36" s="17" t="n">
        <v>1213000</v>
      </c>
      <c r="F36" s="17" t="n">
        <v>-141241.9</v>
      </c>
      <c r="G36" s="17" t="n">
        <v>-79000</v>
      </c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</row>
    <row r="37">
      <c r="A37" s="48" t="n"/>
      <c r="B37" s="48" t="n"/>
      <c r="C37" s="48" t="inlineStr">
        <is>
          <t>Jun</t>
        </is>
      </c>
      <c r="D37" s="17" t="n">
        <v>2784687.33</v>
      </c>
      <c r="E37" s="17" t="n">
        <v>1483000</v>
      </c>
      <c r="F37" s="17" t="n">
        <v>58553.86</v>
      </c>
      <c r="G37" s="17" t="n">
        <v>126000</v>
      </c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>
      <c r="A38" s="48" t="n"/>
      <c r="B38" s="48" t="n"/>
      <c r="C38" s="48" t="inlineStr">
        <is>
          <t>Jul</t>
        </is>
      </c>
      <c r="D38" s="17" t="n">
        <v>1618644.66</v>
      </c>
      <c r="E38" s="17" t="n">
        <v>1551000</v>
      </c>
      <c r="F38" s="17" t="n">
        <v>-495291.54</v>
      </c>
      <c r="G38" s="17" t="n">
        <v>178000</v>
      </c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</row>
    <row r="39">
      <c r="A39" s="48" t="n"/>
      <c r="B39" s="48" t="n"/>
      <c r="C39" s="48" t="inlineStr">
        <is>
          <t>Aug</t>
        </is>
      </c>
      <c r="D39" s="17" t="n">
        <v>1876864.98</v>
      </c>
      <c r="E39" s="17" t="n">
        <v>1416000</v>
      </c>
      <c r="F39" s="17" t="n">
        <v>-138242.37</v>
      </c>
      <c r="G39" s="17" t="n">
        <v>76000</v>
      </c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>
      <c r="A40" s="48" t="n"/>
      <c r="B40" s="48" t="n"/>
      <c r="C40" s="48" t="inlineStr">
        <is>
          <t>Sep</t>
        </is>
      </c>
      <c r="D40" s="17" t="n">
        <v>885382.71</v>
      </c>
      <c r="E40" s="17" t="n">
        <v>1483000</v>
      </c>
      <c r="F40" s="17" t="n">
        <v>-1453149.19</v>
      </c>
      <c r="G40" s="17" t="n">
        <v>125000</v>
      </c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</row>
    <row r="41">
      <c r="A41" s="48" t="n"/>
      <c r="B41" s="48" t="n"/>
      <c r="C41" s="48" t="inlineStr">
        <is>
          <t>Okt</t>
        </is>
      </c>
      <c r="D41" s="17" t="n"/>
      <c r="E41" s="17" t="n">
        <v>1483000</v>
      </c>
      <c r="F41" s="17" t="n"/>
      <c r="G41" s="17" t="n">
        <v>125000</v>
      </c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</row>
    <row r="42">
      <c r="A42" s="48" t="n"/>
      <c r="B42" s="48" t="n"/>
      <c r="C42" s="48" t="inlineStr">
        <is>
          <t>Nov</t>
        </is>
      </c>
      <c r="D42" s="17" t="n"/>
      <c r="E42" s="17" t="n">
        <v>1416000</v>
      </c>
      <c r="F42" s="17" t="n"/>
      <c r="G42" s="17" t="n">
        <v>73000</v>
      </c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</row>
    <row r="43">
      <c r="A43" s="48" t="n"/>
      <c r="B43" s="48" t="n"/>
      <c r="C43" s="48" t="inlineStr">
        <is>
          <t>Dez</t>
        </is>
      </c>
      <c r="D43" s="17" t="n"/>
      <c r="E43" s="17" t="n">
        <v>1483000</v>
      </c>
      <c r="F43" s="17" t="n"/>
      <c r="G43" s="17" t="n">
        <v>124000</v>
      </c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</row>
    <row r="46" ht="26" customHeight="1">
      <c r="A46" s="48" t="n"/>
      <c r="B46" s="48" t="n"/>
      <c r="C46" s="52" t="inlineStr">
        <is>
          <t>Direktzugriff</t>
        </is>
      </c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>
      <c r="A48" s="48" t="n"/>
      <c r="B48" s="48" t="n"/>
      <c r="C48" s="47">
        <f>IFERROR(HYPERLINK("#'Steuerung'!C2","Steuerung"),"Steuerung")</f>
        <v/>
      </c>
      <c r="G48" s="47">
        <f>IFERROR(HYPERLINK("#'GuV'!C2","GuV"),"GuV")</f>
        <v/>
      </c>
      <c r="K48" s="47">
        <f>IFERROR(HYPERLINK("#'Forecast'!C2","Forecast"),"Forecast")</f>
        <v/>
      </c>
      <c r="O48" s="47">
        <f>IFERROR(HYPERLINK("[Regionen.xlsx]Regionen!C2","Regionen"),"Regionen")</f>
        <v/>
      </c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</row>
    <row r="50">
      <c r="A50" s="48" t="n"/>
      <c r="B50" s="48" t="n"/>
      <c r="C50" s="47">
        <f>IFERROR(HYPERLINK("[Projekte.xlsx]Projekte!C2","Projekte"),"Projekte")</f>
        <v/>
      </c>
      <c r="G50" s="47">
        <f>IFERROR(HYPERLINK("[Projektakte.xlsx]Auswahl!C5","Projektakte / Suche"),"Projektakte / Suche")</f>
        <v/>
      </c>
      <c r="K50" s="47">
        <f>IFERROR(HYPERLINK("[Kostenverfolgung.xlsx]Kostenverfolgung!C2","Kostenverfolgung"),"Kostenverfolgung")</f>
        <v/>
      </c>
      <c r="O50" s="47">
        <f>IFERROR(HYPERLINK("[Bestände.xlsx]Bestände!C2","Bestände"),"Bestände")</f>
        <v/>
      </c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</row>
    <row r="52">
      <c r="A52" s="48" t="n"/>
      <c r="B52" s="48" t="n"/>
      <c r="C52" s="47">
        <f>IFERROR(HYPERLINK("[KLR.xlsx]KLR!C2","KLR"),"KLR")</f>
        <v/>
      </c>
      <c r="G52" s="47">
        <f>IFERROR(HYPERLINK("[Stunden.xlsx]Stunden!C2","Stunden"),"Stunden")</f>
        <v/>
      </c>
      <c r="K52" s="47">
        <f>IFERROR(HYPERLINK("[Stundensätze.xlsx]Stundensätze!C2","Stundensätze"),"Stundensätze")</f>
        <v/>
      </c>
      <c r="O52" s="47">
        <f>IFERROR(HYPERLINK("[Kalkulation.xlsx]Kalkulation!C2","Kalkulation"),"Kalkulation")</f>
        <v/>
      </c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</row>
    <row r="54">
      <c r="A54" s="48" t="n"/>
      <c r="B54" s="48" t="n"/>
      <c r="C54" s="47">
        <f>IFERROR(HYPERLINK("[Liquidität.xlsx]Liquidität!C2","Liquidität"),"Liquidität")</f>
        <v/>
      </c>
      <c r="G54" s="47">
        <f>IFERROR(HYPERLINK("[Bilanz.xlsx]Bilanz!C2","Bilanz"),"Bilanz")</f>
        <v/>
      </c>
      <c r="K54" s="47">
        <f>IFERROR(HYPERLINK("[Mehrjahresplan.xlsx]Mehrjahresplan!C2","Mehrjahresplan"),"Mehrjahresplan")</f>
        <v/>
      </c>
      <c r="O54" s="47">
        <f>IFERROR(HYPERLINK("[Risiken.xlsx]Risiken!C2","Risiken"),"Risiken")</f>
        <v/>
      </c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>
      <c r="A56" s="48" t="n"/>
      <c r="B56" s="48" t="n"/>
      <c r="C56" s="47">
        <f>IFERROR(HYPERLINK("[Monatsabschluss.xlsx]Monatsabschluss!C2","Monatsabschluss"),"Monatsabschluss")</f>
        <v/>
      </c>
      <c r="G56" s="47">
        <f>IFERROR(HYPERLINK("[Berichte.xlsx]Berichte!C2","Berichte"),"Berichte")</f>
        <v/>
      </c>
      <c r="K56" s="47">
        <f>IFERROR(HYPERLINK("[Jahresabschluss.xlsx]Jahresabschluss!C2","Jahresabschluss"),"Jahresabschluss")</f>
        <v/>
      </c>
      <c r="O56" s="47">
        <f>IFERROR(HYPERLINK("[Prüfungen.xlsx]Prüfungen!C2","Prüfungen"),"Prüfungen")</f>
        <v/>
      </c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>
      <c r="A58" s="48" t="n"/>
      <c r="B58" s="48" t="n"/>
      <c r="C58" s="47">
        <f>IFERROR(HYPERLINK("[Daten.xlsx]Daten!C2","Daten"),"Daten")</f>
        <v/>
      </c>
      <c r="G58" s="47">
        <f>IFERROR(HYPERLINK("[Anleitung.xlsx]Anleitung!C2","Anleitung"),"Anleitung")</f>
        <v/>
      </c>
      <c r="K58" s="48">
        <f>IFERROR(HYPERLINK("[Forecast je Auftrag.xlsx]'Forecast je Auftrag'!C2","Forecast je Auftrag"),"Forecast je Auftrag")</f>
        <v/>
      </c>
      <c r="L58" s="48" t="n"/>
      <c r="M58" s="48" t="n"/>
      <c r="N58" s="48" t="n"/>
      <c r="O58" s="48">
        <f>IFERROR(HYPERLINK("[Forecast Rechnung Abgleich.xlsx]'Abgleich je Auftrag'!C2","Forecast ↔ Rechnung"),"Forecast ↔ Rechnung")</f>
        <v/>
      </c>
      <c r="P58" s="48" t="n"/>
      <c r="Q58" s="48" t="n"/>
      <c r="R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</row>
    <row r="60">
      <c r="A60" s="48" t="n"/>
      <c r="B60" s="48" t="n"/>
      <c r="C60" s="47">
        <f>IFERROR(HYPERLINK("[Import.xlsx]Import!C2","Daten importieren"),"Daten importieren")</f>
        <v/>
      </c>
      <c r="D60" s="48" t="n"/>
      <c r="E60" s="48" t="n"/>
      <c r="F60" s="48" t="n"/>
      <c r="G60" s="48" t="n"/>
      <c r="H60" s="48" t="n"/>
      <c r="I60" s="48" t="n"/>
      <c r="J60" s="48" t="n"/>
      <c r="K60" s="48">
        <f>IFERROR(HYPERLINK("[Projektakten_Suche.xlsx]Alle_Projekte!A4","Projektakten Suche"),"Projektakten Suche")</f>
        <v/>
      </c>
      <c r="L60" s="48" t="n"/>
      <c r="M60" s="48" t="n"/>
      <c r="N60" s="48" t="n"/>
      <c r="O60" s="48" t="n"/>
      <c r="P60" s="48" t="n"/>
      <c r="Q60" s="48" t="n"/>
      <c r="R60" s="48" t="n"/>
    </row>
    <row r="62">
      <c r="C62" s="49" t="inlineStr">
        <is>
          <t>Monats-GuV-Import aktualisiert die Gesellschaftswerte. Regionen, Projekte, KLR, Bilanz und offene Posten behalten ihre gesonderten Datenstände.</t>
        </is>
      </c>
    </row>
    <row r="63"/>
    <row r="65">
      <c r="C65" s="61" t="inlineStr">
        <is>
          <t>Werte direkt aus D Finanzen / D KLR / D Liquidität übertragen (keine Excel-Online-Querverweise).</t>
        </is>
      </c>
    </row>
    <row r="66">
      <c r="C66" s="61" t="inlineStr">
        <is>
          <t>Neu: scripts/transfer_d_to_sheets.py ausführen und Dateien erneut nach SharePoint hochladen.</t>
        </is>
      </c>
    </row>
  </sheetData>
  <mergeCells count="37">
    <mergeCell ref="C52:F52"/>
    <mergeCell ref="C2:R2"/>
    <mergeCell ref="O56:R56"/>
    <mergeCell ref="C48:F48"/>
    <mergeCell ref="K48:N48"/>
    <mergeCell ref="O52:R52"/>
    <mergeCell ref="C9:H9"/>
    <mergeCell ref="O48:R48"/>
    <mergeCell ref="G54:J54"/>
    <mergeCell ref="G50:J50"/>
    <mergeCell ref="G56:J56"/>
    <mergeCell ref="C3:R3"/>
    <mergeCell ref="I9:R9"/>
    <mergeCell ref="G52:J52"/>
    <mergeCell ref="G6:J7"/>
    <mergeCell ref="O6:R7"/>
    <mergeCell ref="C5:F5"/>
    <mergeCell ref="C58:F58"/>
    <mergeCell ref="K5:N5"/>
    <mergeCell ref="K54:N54"/>
    <mergeCell ref="G48:J48"/>
    <mergeCell ref="C54:F54"/>
    <mergeCell ref="O5:R5"/>
    <mergeCell ref="O54:R54"/>
    <mergeCell ref="C50:F50"/>
    <mergeCell ref="K50:N50"/>
    <mergeCell ref="C56:F56"/>
    <mergeCell ref="K56:N56"/>
    <mergeCell ref="C62:R63"/>
    <mergeCell ref="C6:F7"/>
    <mergeCell ref="K52:N52"/>
    <mergeCell ref="O50:R50"/>
    <mergeCell ref="K6:N7"/>
    <mergeCell ref="C46:R46"/>
    <mergeCell ref="C28:R29"/>
    <mergeCell ref="G5:J5"/>
    <mergeCell ref="G58:J5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60A5FA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14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t="30" customHeight="1">
      <c r="A2" s="48" t="n"/>
      <c r="B2" s="48" t="n"/>
      <c r="C2" s="53" t="inlineStr">
        <is>
          <t>Controlling-Cockpit – Steuerung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32" customHeight="1">
      <c r="A3" s="48" t="n"/>
      <c r="B3" s="48" t="n"/>
      <c r="C3" s="54" t="inlineStr">
        <is>
          <t>Gelbe Zellen sind Eingaben. Auswertungen aktualisieren sich über Excel-Formeln. Beträge in EUR, sofern anders angegeben.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</row>
    <row r="5" ht="34" customHeight="1">
      <c r="A5" s="48" t="n"/>
      <c r="B5" s="48" t="n"/>
      <c r="C5" s="3" t="inlineStr">
        <is>
          <t>Einstellung</t>
        </is>
      </c>
      <c r="D5" s="3" t="n"/>
      <c r="E5" s="3" t="n"/>
      <c r="F5" s="3" t="inlineStr">
        <is>
          <t>Wert</t>
        </is>
      </c>
      <c r="G5" s="3" t="inlineStr">
        <is>
          <t>Bedeutung</t>
        </is>
      </c>
      <c r="H5" s="48" t="n"/>
      <c r="I5" s="48" t="n"/>
      <c r="J5" s="48" t="n"/>
      <c r="K5" s="48" t="n"/>
      <c r="L5" s="48" t="n"/>
      <c r="M5" s="48" t="n"/>
      <c r="N5" s="48" t="n"/>
    </row>
    <row r="6" ht="28" customHeight="1">
      <c r="A6" s="48" t="n"/>
      <c r="B6" s="48" t="n"/>
      <c r="C6" s="48" t="inlineStr">
        <is>
          <t>Berichtsjahr</t>
        </is>
      </c>
      <c r="D6" s="48" t="n"/>
      <c r="E6" s="48" t="n"/>
      <c r="F6" s="59" t="n">
        <v>2026</v>
      </c>
      <c r="G6" s="51" t="inlineStr">
        <is>
          <t>Ist- und Jahresforecast 2026</t>
        </is>
      </c>
    </row>
    <row r="7" ht="28" customHeight="1">
      <c r="A7" s="48" t="n"/>
      <c r="B7" s="48" t="n"/>
      <c r="C7" s="48" t="inlineStr">
        <is>
          <t>Berichtsmonat</t>
        </is>
      </c>
      <c r="D7" s="48" t="n"/>
      <c r="E7" s="48" t="n"/>
      <c r="F7" s="59" t="n">
        <v>9</v>
      </c>
      <c r="G7" s="51" t="inlineStr">
        <is>
          <t>GuV und Monatsvergleich. September ist ein zusätzlicher Datenstand.</t>
        </is>
      </c>
    </row>
    <row r="8" ht="28" customHeight="1">
      <c r="A8" s="48" t="n"/>
      <c r="B8" s="48" t="n"/>
      <c r="C8" s="48" t="inlineStr">
        <is>
          <t>Ist-Grenze Forecast</t>
        </is>
      </c>
      <c r="D8" s="48" t="n"/>
      <c r="E8" s="48" t="n"/>
      <c r="F8" s="48" t="n">
        <v>8</v>
      </c>
      <c r="G8" s="51" t="inlineStr">
        <is>
          <t>Originalforecast: Januar–August Ist, September–Dezember Forecast.</t>
        </is>
      </c>
    </row>
    <row r="9" ht="28" customHeight="1">
      <c r="A9" s="48" t="n"/>
      <c r="B9" s="48" t="n"/>
      <c r="C9" s="48" t="inlineStr">
        <is>
          <t>Region</t>
        </is>
      </c>
      <c r="D9" s="48" t="n"/>
      <c r="E9" s="48" t="n"/>
      <c r="F9" s="59" t="inlineStr">
        <is>
          <t>West</t>
        </is>
      </c>
      <c r="G9" s="51" t="inlineStr">
        <is>
          <t>Regionensicht und Projektkontext</t>
        </is>
      </c>
    </row>
    <row r="10" ht="28" customHeight="1">
      <c r="A10" s="48" t="n"/>
      <c r="B10" s="48" t="n"/>
      <c r="C10" s="48" t="inlineStr">
        <is>
          <t>Projekt</t>
        </is>
      </c>
      <c r="D10" s="48" t="n"/>
      <c r="E10" s="48" t="n"/>
      <c r="F10" s="59" t="inlineStr">
        <is>
          <t>P4102608263</t>
        </is>
      </c>
      <c r="G10" s="51" t="inlineStr">
        <is>
          <t>Projektakte und Statusbericht</t>
        </is>
      </c>
    </row>
    <row r="11" ht="28" customHeight="1">
      <c r="A11" s="48" t="n"/>
      <c r="B11" s="48" t="n"/>
      <c r="C11" s="48" t="inlineStr">
        <is>
          <t>Planjahr</t>
        </is>
      </c>
      <c r="D11" s="48" t="n"/>
      <c r="E11" s="48" t="n"/>
      <c r="F11" s="59" t="n">
        <v>2027</v>
      </c>
      <c r="G11" s="51" t="inlineStr">
        <is>
          <t>Mehrjahresplanung und Stundensatzanalyse</t>
        </is>
      </c>
    </row>
    <row r="12" ht="28" customHeight="1">
      <c r="A12" s="48" t="n"/>
      <c r="B12" s="48" t="n"/>
      <c r="C12" s="48" t="inlineStr">
        <is>
          <t>Stichtag</t>
        </is>
      </c>
      <c r="D12" s="48" t="n"/>
      <c r="E12" s="48" t="n"/>
      <c r="F12" s="13" t="n">
        <v>46265</v>
      </c>
      <c r="G12" s="51" t="inlineStr">
        <is>
          <t>Fälligkeits- und Maßnahmenprüfung</t>
        </is>
      </c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</row>
    <row r="15" ht="26" customHeight="1">
      <c r="A15" s="48" t="n"/>
      <c r="B15" s="48" t="n"/>
      <c r="C15" s="52" t="inlineStr">
        <is>
          <t>Datenstände und Bedienung</t>
        </is>
      </c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</row>
    <row r="17">
      <c r="A17" s="48" t="n"/>
      <c r="B17" s="48" t="n"/>
      <c r="C17" s="48" t="inlineStr">
        <is>
          <t>Ist / GuV</t>
        </is>
      </c>
      <c r="D17" s="48" t="n"/>
      <c r="E17" s="48" t="n"/>
      <c r="F17" s="51" t="inlineStr">
        <is>
          <t>Januar bis September 2026. Der Forecast verwendet weiterhin Ist bis August.</t>
        </is>
      </c>
    </row>
    <row r="18">
      <c r="A18" s="48" t="n"/>
      <c r="B18" s="48" t="n"/>
      <c r="C18" s="48" t="n"/>
      <c r="D18" s="48" t="n"/>
      <c r="E18" s="48" t="n"/>
    </row>
    <row r="19">
      <c r="A19" s="48" t="n"/>
      <c r="B19" s="48" t="n"/>
      <c r="C19" s="48" t="inlineStr">
        <is>
          <t>Stunden</t>
        </is>
      </c>
      <c r="D19" s="48" t="n"/>
      <c r="E19" s="48" t="n"/>
      <c r="F19" s="51" t="inlineStr">
        <is>
          <t>Monatsdetails Januar–Mai 2026. Die Jahresübersicht der Stunden reicht bis September.</t>
        </is>
      </c>
    </row>
    <row r="20">
      <c r="A20" s="48" t="n"/>
      <c r="B20" s="48" t="n"/>
      <c r="C20" s="48" t="n"/>
      <c r="D20" s="48" t="n"/>
      <c r="E20" s="48" t="n"/>
    </row>
    <row r="21">
      <c r="A21" s="48" t="n"/>
      <c r="B21" s="48" t="n"/>
      <c r="C21" s="48" t="inlineStr">
        <is>
          <t>Bilanz</t>
        </is>
      </c>
      <c r="D21" s="48" t="n"/>
      <c r="E21" s="48" t="n"/>
      <c r="F21" s="51" t="inlineStr">
        <is>
          <t>SAP-HGB-Bilanz zum 31.07.2026 plus laufende Kontenbestände im Detail.</t>
        </is>
      </c>
    </row>
    <row r="22">
      <c r="A22" s="48" t="n"/>
      <c r="B22" s="48" t="n"/>
      <c r="C22" s="48" t="n"/>
      <c r="D22" s="48" t="n"/>
      <c r="E22" s="48" t="n"/>
    </row>
    <row r="23">
      <c r="A23" s="48" t="n"/>
      <c r="B23" s="48" t="n"/>
      <c r="C23" s="48" t="inlineStr">
        <is>
          <t>Forecast ändern</t>
        </is>
      </c>
      <c r="D23" s="48" t="n"/>
      <c r="E23" s="48" t="n"/>
      <c r="F23" s="51" t="inlineStr">
        <is>
          <t>FC Eingabe: Monatsänderungen zu Umsatz, Bestand und Kosten erfassen. Kostensteigerung positiv.</t>
        </is>
      </c>
    </row>
    <row r="24">
      <c r="A24" s="48" t="n"/>
      <c r="B24" s="48" t="n"/>
      <c r="C24" s="48" t="n"/>
      <c r="D24" s="48" t="n"/>
      <c r="E24" s="48" t="n"/>
    </row>
    <row r="25">
      <c r="A25" s="48" t="n"/>
      <c r="B25" s="48" t="n"/>
      <c r="C25" s="48" t="inlineStr">
        <is>
          <t>Daten ergänzen</t>
        </is>
      </c>
      <c r="D25" s="48" t="n"/>
      <c r="E25" s="48" t="n"/>
      <c r="F25" s="51" t="inlineStr">
        <is>
          <t>Quelldaten sind als Excel-Tabellen vorhanden. Für neue Zeilen Formelbezüge prüfen und ggf. erweitern.</t>
        </is>
      </c>
    </row>
    <row r="26">
      <c r="A26" s="48" t="n"/>
      <c r="B26" s="48" t="n"/>
      <c r="C26" s="48" t="n"/>
      <c r="D26" s="48" t="n"/>
      <c r="E26" s="48" t="n"/>
    </row>
    <row r="27">
      <c r="A27" s="48" t="n"/>
      <c r="B27" s="48" t="n"/>
      <c r="C27" s="48" t="inlineStr">
        <is>
          <t>Farben</t>
        </is>
      </c>
      <c r="D27" s="48" t="n"/>
      <c r="E27" s="48" t="n"/>
      <c r="F27" s="51" t="inlineStr">
        <is>
          <t>Gelb / Blau: Eingabe. Grün: Verknüpfung im Rechenblatt. Dunkel: Ergebnis. Rot: negative Beträge / Abweichung.</t>
        </is>
      </c>
    </row>
    <row r="28">
      <c r="A28" s="48" t="n"/>
      <c r="B28" s="48" t="n"/>
      <c r="C28" s="48" t="n"/>
      <c r="D28" s="48" t="n"/>
      <c r="E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 ht="26" customHeight="1">
      <c r="A34" s="48" t="n"/>
      <c r="B34" s="48" t="n"/>
      <c r="C34" s="52" t="inlineStr">
        <is>
          <t>Liquiditätsparameter aus dem Original</t>
        </is>
      </c>
    </row>
    <row r="35" ht="34" customHeight="1">
      <c r="A35" s="48" t="n"/>
      <c r="B35" s="48" t="n"/>
      <c r="C35" s="3" t="inlineStr">
        <is>
          <t>Parameter</t>
        </is>
      </c>
      <c r="D35" s="3" t="n"/>
      <c r="E35" s="3" t="n"/>
      <c r="F35" s="3" t="inlineStr">
        <is>
          <t>Wert</t>
        </is>
      </c>
      <c r="G35" s="3" t="inlineStr">
        <is>
          <t>Einheit</t>
        </is>
      </c>
      <c r="H35" s="48" t="n"/>
      <c r="I35" s="48" t="n"/>
      <c r="J35" s="48" t="n"/>
      <c r="K35" s="48" t="n"/>
      <c r="L35" s="48" t="n"/>
      <c r="M35" s="48" t="n"/>
      <c r="N35" s="48" t="n"/>
    </row>
    <row r="36" ht="36" customHeight="1">
      <c r="A36" s="48" t="n"/>
      <c r="B36" s="48" t="n"/>
      <c r="C36" s="48" t="inlineStr">
        <is>
          <t>dso_tage</t>
        </is>
      </c>
      <c r="D36" s="48" t="n"/>
      <c r="E36" s="48" t="n"/>
      <c r="F36" s="15" t="n">
        <v>119</v>
      </c>
      <c r="G36" s="48" t="inlineStr">
        <is>
          <t>Tage</t>
        </is>
      </c>
      <c r="H36" s="51" t="inlineStr">
        <is>
          <t>Debitorenlaufzeit: von der Umsatzbuchung bis zum Zahlungseingang. Kalibriert an den Ist-Bewegungen.</t>
        </is>
      </c>
    </row>
    <row r="37" ht="36" customHeight="1">
      <c r="A37" s="48" t="n"/>
      <c r="B37" s="48" t="n"/>
      <c r="C37" s="48" t="inlineStr">
        <is>
          <t>dpo_tage</t>
        </is>
      </c>
      <c r="D37" s="48" t="n"/>
      <c r="E37" s="48" t="n"/>
      <c r="F37" s="15" t="n">
        <v>45</v>
      </c>
      <c r="G37" s="48" t="inlineStr">
        <is>
          <t>Tage</t>
        </is>
      </c>
      <c r="H37" s="51" t="inlineStr">
        <is>
          <t>Kreditorenlaufzeit: von der Kostenentstehung bis zur Auszahlung der Sachkosten. Kalibriert.</t>
        </is>
      </c>
    </row>
    <row r="38" ht="36" customHeight="1">
      <c r="A38" s="48" t="n"/>
      <c r="B38" s="48" t="n"/>
      <c r="C38" s="48" t="inlineStr">
        <is>
          <t>systematischer_zufluss</t>
        </is>
      </c>
      <c r="D38" s="48" t="n"/>
      <c r="E38" s="48" t="n"/>
      <c r="F38" s="15" t="n">
        <v>209759.08</v>
      </c>
      <c r="G38" s="48" t="inlineStr">
        <is>
          <t>EUR/Monat</t>
        </is>
      </c>
      <c r="H38" s="51" t="inlineStr">
        <is>
          <t>Regelmaessiger Zufluss, den das Modell weder Umsatz noch Anzahlung zuordnen kann. Vermutlich Factoring.</t>
        </is>
      </c>
    </row>
    <row r="39" ht="36" customHeight="1">
      <c r="A39" s="48" t="n"/>
      <c r="B39" s="48" t="n"/>
      <c r="C39" s="48" t="inlineStr">
        <is>
          <t>realisierungsquote_az</t>
        </is>
      </c>
      <c r="D39" s="48" t="n"/>
      <c r="E39" s="48" t="n"/>
      <c r="F39" s="15" t="n">
        <v>1</v>
      </c>
      <c r="G39" s="48" t="inlineStr">
        <is>
          <t>Anteil</t>
        </is>
      </c>
      <c r="H39" s="51" t="inlineStr">
        <is>
          <t>Anteil der geplanten Anzahlungseingaenge, der tatsaechlich zufliesst.</t>
        </is>
      </c>
    </row>
    <row r="40" ht="36" customHeight="1">
      <c r="A40" s="48" t="n"/>
      <c r="B40" s="48" t="n"/>
      <c r="C40" s="48" t="inlineStr">
        <is>
          <t>tage_je_monat</t>
        </is>
      </c>
      <c r="D40" s="48" t="n"/>
      <c r="E40" s="48" t="n"/>
      <c r="F40" s="15" t="n">
        <v>30.4375</v>
      </c>
      <c r="G40" s="48" t="inlineStr">
        <is>
          <t>Tage</t>
        </is>
      </c>
      <c r="H40" s="51" t="inlineStr">
        <is>
          <t>365,25 / 12. Umrechnung der Zahlungsziele in Monatsversaetze.</t>
        </is>
      </c>
    </row>
    <row r="41" ht="36" customHeight="1">
      <c r="A41" s="48" t="n"/>
      <c r="B41" s="48" t="n"/>
      <c r="C41" s="48" t="inlineStr">
        <is>
          <t>personal_monat</t>
        </is>
      </c>
      <c r="D41" s="48" t="n"/>
      <c r="E41" s="48" t="n"/>
      <c r="F41" s="15" t="n">
        <v>333887.39</v>
      </c>
      <c r="G41" s="48" t="inlineStr">
        <is>
          <t>EUR/Monat</t>
        </is>
      </c>
      <c r="H41" s="51" t="inlineStr">
        <is>
          <t>Personalaufwand Jahresforecast / 12. Wird im Entstehungsmonat gezahlt, daher ohne Zahlungsziel.</t>
        </is>
      </c>
    </row>
    <row r="42" ht="36" customHeight="1">
      <c r="A42" s="48" t="n"/>
      <c r="B42" s="48" t="n"/>
      <c r="C42" s="48" t="inlineStr">
        <is>
          <t>abschreibung_monat</t>
        </is>
      </c>
      <c r="D42" s="48" t="n"/>
      <c r="E42" s="48" t="n"/>
      <c r="F42" s="15" t="n">
        <v>9455.99</v>
      </c>
      <c r="G42" s="48" t="inlineStr">
        <is>
          <t>EUR/Monat</t>
        </is>
      </c>
      <c r="H42" s="51" t="inlineStr">
        <is>
          <t>Nicht zahlungswirksam, wird aus den Sachkosten herausgerechnet.</t>
        </is>
      </c>
    </row>
    <row r="43" ht="36" customHeight="1">
      <c r="A43" s="48" t="n"/>
      <c r="B43" s="48" t="n"/>
      <c r="C43" s="48" t="inlineStr">
        <is>
          <t>zins_steuer_monat</t>
        </is>
      </c>
      <c r="D43" s="48" t="n"/>
      <c r="E43" s="48" t="n"/>
      <c r="F43" s="15" t="n">
        <v>4058.81</v>
      </c>
      <c r="G43" s="48" t="inlineStr">
        <is>
          <t>EUR/Monat</t>
        </is>
      </c>
      <c r="H43" s="51" t="inlineStr">
        <is>
          <t>Zinsaufwand abzueglich Zinsertrag zuzueglich sonstige Steuern.</t>
        </is>
      </c>
    </row>
    <row r="44" ht="36" customHeight="1">
      <c r="A44" s="48" t="n"/>
      <c r="B44" s="48" t="n"/>
      <c r="C44" s="48" t="inlineStr">
        <is>
          <t>bestand_angeforderte_az_start</t>
        </is>
      </c>
      <c r="D44" s="48" t="n"/>
      <c r="E44" s="48" t="n"/>
      <c r="F44" s="15" t="n">
        <v>1476386.65</v>
      </c>
      <c r="G44" s="48" t="inlineStr">
        <is>
          <t>EUR</t>
        </is>
      </c>
      <c r="H44" s="51" t="inlineStr">
        <is>
          <t>Bestand zum 31.07.2026. Laeuft im Modell bis Dezember gleichmaessig aus.</t>
        </is>
      </c>
    </row>
    <row r="45" ht="36" customHeight="1">
      <c r="A45" s="48" t="n"/>
      <c r="B45" s="48" t="n"/>
      <c r="C45" s="48" t="inlineStr">
        <is>
          <t>tilgung_monat</t>
        </is>
      </c>
      <c r="D45" s="48" t="n"/>
      <c r="E45" s="48" t="n"/>
      <c r="F45" s="15" t="n">
        <v>0</v>
      </c>
      <c r="G45" s="48" t="inlineStr">
        <is>
          <t>EUR/Monat</t>
        </is>
      </c>
      <c r="H45" s="51" t="inlineStr">
        <is>
          <t>Tilgungsplan des Konzerndarlehens liegt noch nicht vor.</t>
        </is>
      </c>
    </row>
    <row r="46" ht="36" customHeight="1">
      <c r="A46" s="48" t="n"/>
      <c r="B46" s="48" t="n"/>
      <c r="C46" s="48" t="inlineStr">
        <is>
          <t>investition_monat</t>
        </is>
      </c>
      <c r="D46" s="48" t="n"/>
      <c r="E46" s="48" t="n"/>
      <c r="F46" s="15" t="n">
        <v>0</v>
      </c>
      <c r="G46" s="48" t="inlineStr">
        <is>
          <t>EUR/Monat</t>
        </is>
      </c>
      <c r="H46" s="51" t="inlineStr">
        <is>
          <t>Annahme: kein signifikantes Investment.</t>
        </is>
      </c>
    </row>
    <row r="47" ht="36" customHeight="1">
      <c r="A47" s="48" t="n"/>
      <c r="B47" s="48" t="n"/>
      <c r="C47" s="48" t="inlineStr">
        <is>
          <t>umsatzsteuer_aktiv</t>
        </is>
      </c>
      <c r="D47" s="48" t="n"/>
      <c r="E47" s="48" t="n"/>
      <c r="F47" s="15" t="n">
        <v>0</v>
      </c>
      <c r="G47" s="48" t="inlineStr">
        <is>
          <t>Schalter</t>
        </is>
      </c>
      <c r="H47" s="51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48" ht="36" customHeight="1">
      <c r="A48" s="48" t="n"/>
      <c r="B48" s="48" t="n"/>
      <c r="C48" s="48" t="inlineStr">
        <is>
          <t>ust_satz</t>
        </is>
      </c>
      <c r="D48" s="48" t="n"/>
      <c r="E48" s="48" t="n"/>
      <c r="F48" s="15" t="n">
        <v>0.19</v>
      </c>
      <c r="G48" s="48" t="inlineStr">
        <is>
          <t>Anteil</t>
        </is>
      </c>
      <c r="H48" s="51" t="inlineStr">
        <is>
          <t>Regelsteuersatz.</t>
        </is>
      </c>
    </row>
    <row r="49" ht="36" customHeight="1">
      <c r="A49" s="48" t="n"/>
      <c r="B49" s="48" t="n"/>
      <c r="C49" s="48" t="inlineStr">
        <is>
          <t>ust_verzug_monate</t>
        </is>
      </c>
      <c r="D49" s="48" t="n"/>
      <c r="E49" s="48" t="n"/>
      <c r="F49" s="15" t="n">
        <v>2</v>
      </c>
      <c r="G49" s="48" t="inlineStr">
        <is>
          <t>Monate</t>
        </is>
      </c>
      <c r="H49" s="51" t="inlineStr">
        <is>
          <t>Voranmeldung zuzueglich Dauerfristverlaengerung.</t>
        </is>
      </c>
    </row>
    <row r="50" ht="36" customHeight="1">
      <c r="A50" s="48" t="n"/>
      <c r="B50" s="48" t="n"/>
      <c r="C50" s="48" t="inlineStr">
        <is>
          <t>startmonat_plan</t>
        </is>
      </c>
      <c r="D50" s="48" t="n"/>
      <c r="E50" s="48" t="n"/>
      <c r="F50" s="15" t="n">
        <v>9</v>
      </c>
      <c r="G50" s="48" t="inlineStr">
        <is>
          <t>Monat</t>
        </is>
      </c>
      <c r="H50" s="51" t="inlineStr">
        <is>
          <t>Erster Planmonat. Davor gelten Ist-Werte.</t>
        </is>
      </c>
    </row>
    <row r="51" ht="36" customHeight="1">
      <c r="A51" s="48" t="n"/>
      <c r="B51" s="48" t="n"/>
      <c r="C51" s="48" t="inlineStr">
        <is>
          <t>startbestand</t>
        </is>
      </c>
      <c r="D51" s="48" t="n"/>
      <c r="E51" s="48" t="n"/>
      <c r="F51" s="15" t="n">
        <v>1944327.5</v>
      </c>
      <c r="G51" s="48" t="inlineStr">
        <is>
          <t>EUR</t>
        </is>
      </c>
      <c r="H51" s="51" t="inlineStr">
        <is>
          <t>Cash-Pool-Saldo zum 31.07.2026. Negativ = Verbindlichkeit gegenueber dem Mutterkonzern.</t>
        </is>
      </c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</row>
  </sheetData>
  <mergeCells count="33">
    <mergeCell ref="H37:N37"/>
    <mergeCell ref="G12:N12"/>
    <mergeCell ref="H47:N47"/>
    <mergeCell ref="G11:N11"/>
    <mergeCell ref="F19:N20"/>
    <mergeCell ref="H48:N48"/>
    <mergeCell ref="H42:N42"/>
    <mergeCell ref="G8:N8"/>
    <mergeCell ref="C2:N2"/>
    <mergeCell ref="G7:N7"/>
    <mergeCell ref="G10:N10"/>
    <mergeCell ref="H43:N43"/>
    <mergeCell ref="H38:N38"/>
    <mergeCell ref="G6:N6"/>
    <mergeCell ref="F25:N26"/>
    <mergeCell ref="H50:N50"/>
    <mergeCell ref="H41:N41"/>
    <mergeCell ref="H44:N44"/>
    <mergeCell ref="H40:N40"/>
    <mergeCell ref="H39:N39"/>
    <mergeCell ref="F21:N22"/>
    <mergeCell ref="C3:N3"/>
    <mergeCell ref="F17:N18"/>
    <mergeCell ref="H46:N46"/>
    <mergeCell ref="C34:N34"/>
    <mergeCell ref="H49:N49"/>
    <mergeCell ref="H51:N51"/>
    <mergeCell ref="H36:N36"/>
    <mergeCell ref="C15:N15"/>
    <mergeCell ref="F23:N24"/>
    <mergeCell ref="H45:N45"/>
    <mergeCell ref="F27:N28"/>
    <mergeCell ref="G9:N9"/>
  </mergeCells>
  <dataValidations count="4">
    <dataValidation sqref="F6" showDropDown="0" showInputMessage="0" showErrorMessage="0" allowBlank="0" type="list">
      <formula1>"2026"</formula1>
    </dataValidation>
    <dataValidation sqref="F7" showDropDown="0" showInputMessage="0" showErrorMessage="0" allowBlank="0" type="list">
      <formula1>"1,2,3,4,5,6,7,8,9,10,11,12"</formula1>
    </dataValidation>
    <dataValidation sqref="F9" showDropDown="0" showInputMessage="0" showErrorMessage="0" allowBlank="0" type="list">
      <formula1>"West,Süd-West,Ost,Berlin,Verwaltung"</formula1>
    </dataValidation>
    <dataValidation sqref="F11" showDropDown="0" showInputMessage="0" showErrorMessage="0" allowBlank="0" type="list">
      <formula1>"2027,2028,2029,2030,2031"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E293B"/>
    <outlinePr summaryBelow="1" summaryRight="1"/>
    <pageSetUpPr/>
  </sheetPr>
  <dimension ref="A1:R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18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</row>
    <row r="2" ht="30" customHeight="1">
      <c r="A2" s="48" t="n"/>
      <c r="B2" s="48" t="n"/>
      <c r="C2" s="53" t="inlineStr">
        <is>
          <t>GuV und EBITDA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</row>
    <row r="3" ht="32" customHeight="1">
      <c r="A3" s="48" t="n"/>
      <c r="B3" s="48" t="n"/>
      <c r="C3" s="54" t="inlineStr">
        <is>
          <t>Importierte Monatsdaten haben Vorrang vor dem Originalexport. Quelle je Monat in Zeile 23. Aufwendungen negativ, Beträge in EUR.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</row>
    <row r="5">
      <c r="A5" s="48" t="n"/>
      <c r="B5" s="48" t="n"/>
      <c r="C5" s="48" t="inlineStr">
        <is>
          <t>Position</t>
        </is>
      </c>
      <c r="D5" s="48" t="n"/>
      <c r="E5" s="48" t="n"/>
      <c r="F5" s="48" t="n">
        <v>1</v>
      </c>
      <c r="G5" s="48" t="n">
        <v>2</v>
      </c>
      <c r="H5" s="48" t="n">
        <v>3</v>
      </c>
      <c r="I5" s="48" t="n">
        <v>4</v>
      </c>
      <c r="J5" s="48" t="n">
        <v>5</v>
      </c>
      <c r="K5" s="48" t="n">
        <v>6</v>
      </c>
      <c r="L5" s="48" t="n">
        <v>7</v>
      </c>
      <c r="M5" s="48" t="n">
        <v>8</v>
      </c>
      <c r="N5" s="48" t="n">
        <v>9</v>
      </c>
      <c r="O5" s="48" t="n">
        <v>10</v>
      </c>
      <c r="P5" s="48" t="n">
        <v>11</v>
      </c>
      <c r="Q5" s="48" t="n">
        <v>12</v>
      </c>
      <c r="R5" s="48" t="n"/>
    </row>
    <row r="6" ht="34" customHeight="1">
      <c r="A6" s="48" t="n"/>
      <c r="B6" s="48" t="n"/>
      <c r="C6" s="3" t="inlineStr">
        <is>
          <t>Position</t>
        </is>
      </c>
      <c r="D6" s="3" t="inlineStr">
        <is>
          <t>YTD</t>
        </is>
      </c>
      <c r="E6" s="3" t="inlineStr">
        <is>
          <t>Anteil</t>
        </is>
      </c>
      <c r="F6" s="3" t="inlineStr">
        <is>
          <t>Jan</t>
        </is>
      </c>
      <c r="G6" s="3" t="inlineStr">
        <is>
          <t>Feb</t>
        </is>
      </c>
      <c r="H6" s="3" t="inlineStr">
        <is>
          <t>Mär</t>
        </is>
      </c>
      <c r="I6" s="3" t="inlineStr">
        <is>
          <t>Apr</t>
        </is>
      </c>
      <c r="J6" s="3" t="inlineStr">
        <is>
          <t>Mai</t>
        </is>
      </c>
      <c r="K6" s="3" t="inlineStr">
        <is>
          <t>Jun</t>
        </is>
      </c>
      <c r="L6" s="3" t="inlineStr">
        <is>
          <t>Jul</t>
        </is>
      </c>
      <c r="M6" s="3" t="inlineStr">
        <is>
          <t>Aug</t>
        </is>
      </c>
      <c r="N6" s="3" t="inlineStr">
        <is>
          <t>Sep</t>
        </is>
      </c>
      <c r="O6" s="3" t="inlineStr">
        <is>
          <t>Okt</t>
        </is>
      </c>
      <c r="P6" s="3" t="inlineStr">
        <is>
          <t>Nov</t>
        </is>
      </c>
      <c r="Q6" s="3" t="inlineStr">
        <is>
          <t>Dez</t>
        </is>
      </c>
      <c r="R6" s="48" t="n"/>
    </row>
    <row r="7">
      <c r="A7" s="48" t="n"/>
      <c r="B7" s="48" t="n"/>
      <c r="C7" s="48" t="inlineStr">
        <is>
          <t>Umsatzerlöse</t>
        </is>
      </c>
      <c r="D7" s="17" t="n">
        <v>12189973.4</v>
      </c>
      <c r="E7" s="18" t="n">
        <v>0.712913</v>
      </c>
      <c r="F7" s="17" t="n">
        <v>639565.45</v>
      </c>
      <c r="G7" s="17" t="n">
        <v>2777244.65</v>
      </c>
      <c r="H7" s="17" t="n">
        <v>1213541.38</v>
      </c>
      <c r="I7" s="17" t="n">
        <v>678343.59</v>
      </c>
      <c r="J7" s="17" t="n">
        <v>1347585.48</v>
      </c>
      <c r="K7" s="17" t="n">
        <v>2470042.1</v>
      </c>
      <c r="L7" s="17" t="n">
        <v>1323928.2</v>
      </c>
      <c r="M7" s="17" t="n">
        <v>854339.84</v>
      </c>
      <c r="N7" s="17" t="n">
        <v>885382.71</v>
      </c>
      <c r="O7" s="17" t="n"/>
      <c r="P7" s="17" t="n"/>
      <c r="Q7" s="17" t="n"/>
      <c r="R7" s="48" t="n"/>
    </row>
    <row r="8">
      <c r="A8" s="48" t="n"/>
      <c r="B8" s="48" t="n"/>
      <c r="C8" s="48" t="inlineStr">
        <is>
          <t>Bestandsveränderungen</t>
        </is>
      </c>
      <c r="D8" s="17" t="n">
        <v>4908844.46</v>
      </c>
      <c r="E8" s="18" t="n">
        <v>0.287087</v>
      </c>
      <c r="F8" s="17" t="n">
        <v>1280847.26</v>
      </c>
      <c r="G8" s="17" t="n">
        <v>-200176.92</v>
      </c>
      <c r="H8" s="17" t="n">
        <v>1198671.49</v>
      </c>
      <c r="I8" s="17" t="n">
        <v>1261219.89</v>
      </c>
      <c r="J8" s="17" t="n">
        <v>-263604.09</v>
      </c>
      <c r="K8" s="17" t="n">
        <v>314645.23</v>
      </c>
      <c r="L8" s="17" t="n">
        <v>294716.46</v>
      </c>
      <c r="M8" s="17" t="n">
        <v>1022525.14</v>
      </c>
      <c r="N8" s="17" t="n"/>
      <c r="O8" s="17" t="n"/>
      <c r="P8" s="17" t="n"/>
      <c r="Q8" s="17" t="n"/>
      <c r="R8" s="48" t="n"/>
    </row>
    <row r="9" ht="25" customHeight="1">
      <c r="A9" s="48" t="n"/>
      <c r="B9" s="48" t="n"/>
      <c r="C9" s="20" t="inlineStr">
        <is>
          <t>Gesamtleistung</t>
        </is>
      </c>
      <c r="D9" s="21" t="n">
        <v>17098817.86</v>
      </c>
      <c r="E9" s="22" t="n">
        <v>1</v>
      </c>
      <c r="F9" s="21" t="n">
        <v>1920412.71</v>
      </c>
      <c r="G9" s="21" t="n">
        <v>2577067.73</v>
      </c>
      <c r="H9" s="21" t="n">
        <v>2412212.87</v>
      </c>
      <c r="I9" s="21" t="n">
        <v>1939563.48</v>
      </c>
      <c r="J9" s="21" t="n">
        <v>1083981.39</v>
      </c>
      <c r="K9" s="21" t="n">
        <v>2784687.33</v>
      </c>
      <c r="L9" s="21" t="n">
        <v>1618644.66</v>
      </c>
      <c r="M9" s="21" t="n">
        <v>1876864.98</v>
      </c>
      <c r="N9" s="21" t="n">
        <v>885382.71</v>
      </c>
      <c r="O9" s="21" t="n"/>
      <c r="P9" s="21" t="n"/>
      <c r="Q9" s="21" t="n"/>
      <c r="R9" s="48" t="n"/>
    </row>
    <row r="10">
      <c r="A10" s="48" t="n"/>
      <c r="B10" s="48" t="n"/>
      <c r="C10" s="48" t="inlineStr">
        <is>
          <t>Sonstige betriebliche Erträge</t>
        </is>
      </c>
      <c r="D10" s="17" t="n">
        <v>502291.14</v>
      </c>
      <c r="E10" s="18" t="n">
        <v>0.029376</v>
      </c>
      <c r="F10" s="17" t="n">
        <v>12030.21</v>
      </c>
      <c r="G10" s="17" t="n">
        <v>22190.76</v>
      </c>
      <c r="H10" s="17" t="n">
        <v>15409.39</v>
      </c>
      <c r="I10" s="17" t="n">
        <v>56063.55</v>
      </c>
      <c r="J10" s="17" t="n">
        <v>24678.87</v>
      </c>
      <c r="K10" s="17" t="n">
        <v>17068.34</v>
      </c>
      <c r="L10" s="17" t="n">
        <v>15326.23</v>
      </c>
      <c r="M10" s="17" t="n">
        <v>14281.36</v>
      </c>
      <c r="N10" s="17" t="n">
        <v>325242.43</v>
      </c>
      <c r="O10" s="17" t="n"/>
      <c r="P10" s="17" t="n"/>
      <c r="Q10" s="17" t="n"/>
      <c r="R10" s="48" t="n"/>
    </row>
    <row r="11">
      <c r="A11" s="48" t="n"/>
      <c r="B11" s="48" t="n"/>
      <c r="C11" s="48" t="inlineStr">
        <is>
          <t>Materialaufwand</t>
        </is>
      </c>
      <c r="D11" s="17" t="n">
        <v>-13430817.92</v>
      </c>
      <c r="E11" s="18" t="n">
        <v>-0.785482</v>
      </c>
      <c r="F11" s="17" t="n">
        <v>-1080421</v>
      </c>
      <c r="G11" s="17" t="n">
        <v>-1706242.27</v>
      </c>
      <c r="H11" s="17" t="n">
        <v>-1746548.03</v>
      </c>
      <c r="I11" s="17" t="n">
        <v>-1520583.11</v>
      </c>
      <c r="J11" s="17" t="n">
        <v>-582901.1800000001</v>
      </c>
      <c r="K11" s="17" t="n">
        <v>-2109049.83</v>
      </c>
      <c r="L11" s="17" t="n">
        <v>-1512452.36</v>
      </c>
      <c r="M11" s="17" t="n">
        <v>-1436882.3</v>
      </c>
      <c r="N11" s="17" t="n">
        <v>-1735737.84</v>
      </c>
      <c r="O11" s="17" t="n"/>
      <c r="P11" s="17" t="n"/>
      <c r="Q11" s="17" t="n"/>
      <c r="R11" s="48" t="n"/>
    </row>
    <row r="12">
      <c r="A12" s="48" t="n"/>
      <c r="B12" s="48" t="n"/>
      <c r="C12" s="48" t="inlineStr">
        <is>
          <t>Personalaufwand</t>
        </is>
      </c>
      <c r="D12" s="17" t="n">
        <v>-3427005.18</v>
      </c>
      <c r="E12" s="18" t="n">
        <v>-0.200424</v>
      </c>
      <c r="F12" s="17" t="n">
        <v>-338608.8</v>
      </c>
      <c r="G12" s="17" t="n">
        <v>-363244</v>
      </c>
      <c r="H12" s="17" t="n">
        <v>-383792.43</v>
      </c>
      <c r="I12" s="17" t="n">
        <v>-383705.5</v>
      </c>
      <c r="J12" s="17" t="n">
        <v>-432453.34</v>
      </c>
      <c r="K12" s="17" t="n">
        <v>-378900.06</v>
      </c>
      <c r="L12" s="17" t="n">
        <v>-390395</v>
      </c>
      <c r="M12" s="17" t="n">
        <v>-399129.54</v>
      </c>
      <c r="N12" s="17" t="n">
        <v>-356776.51</v>
      </c>
      <c r="O12" s="17" t="n"/>
      <c r="P12" s="17" t="n"/>
      <c r="Q12" s="17" t="n"/>
      <c r="R12" s="48" t="n"/>
    </row>
    <row r="13">
      <c r="A13" s="48" t="n"/>
      <c r="B13" s="48" t="n"/>
      <c r="C13" s="48" t="inlineStr">
        <is>
          <t>Sonstige betriebliche Aufwendungen</t>
        </is>
      </c>
      <c r="D13" s="17" t="n">
        <v>-2188667.93</v>
      </c>
      <c r="E13" s="18" t="n">
        <v>-0.128001</v>
      </c>
      <c r="F13" s="17" t="n">
        <v>-223180.95</v>
      </c>
      <c r="G13" s="17" t="n">
        <v>-214918.93</v>
      </c>
      <c r="H13" s="17" t="n">
        <v>-286856.5</v>
      </c>
      <c r="I13" s="17" t="n">
        <v>-275785.95</v>
      </c>
      <c r="J13" s="17" t="n">
        <v>-237116.93</v>
      </c>
      <c r="K13" s="17" t="n">
        <v>-255251.92</v>
      </c>
      <c r="L13" s="17" t="n">
        <v>-245246.07</v>
      </c>
      <c r="M13" s="17" t="n">
        <v>-191884.67</v>
      </c>
      <c r="N13" s="17" t="n">
        <v>-258426.01</v>
      </c>
      <c r="O13" s="17" t="n"/>
      <c r="P13" s="17" t="n"/>
      <c r="Q13" s="17" t="n"/>
      <c r="R13" s="48" t="n"/>
    </row>
    <row r="14" ht="25" customHeight="1">
      <c r="A14" s="48" t="n"/>
      <c r="B14" s="48" t="n"/>
      <c r="C14" s="20" t="inlineStr">
        <is>
          <t>EBITDA aus Staffel</t>
        </is>
      </c>
      <c r="D14" s="21" t="n">
        <v>-1445382.03</v>
      </c>
      <c r="E14" s="22" t="n">
        <v>-0.084531</v>
      </c>
      <c r="F14" s="21" t="n">
        <v>290232.17</v>
      </c>
      <c r="G14" s="21" t="n">
        <v>314853.29</v>
      </c>
      <c r="H14" s="21" t="n">
        <v>10425.3</v>
      </c>
      <c r="I14" s="21" t="n">
        <v>-184447.53</v>
      </c>
      <c r="J14" s="21" t="n">
        <v>-143811.19</v>
      </c>
      <c r="K14" s="21" t="n">
        <v>58553.86</v>
      </c>
      <c r="L14" s="21" t="n">
        <v>-514122.54</v>
      </c>
      <c r="M14" s="21" t="n">
        <v>-136750.17</v>
      </c>
      <c r="N14" s="21" t="n">
        <v>-1140315.22</v>
      </c>
      <c r="O14" s="21" t="n"/>
      <c r="P14" s="21" t="n"/>
      <c r="Q14" s="21" t="n"/>
      <c r="R14" s="48" t="n"/>
    </row>
    <row r="15">
      <c r="A15" s="48" t="n"/>
      <c r="B15" s="48" t="n"/>
      <c r="C15" s="48" t="inlineStr">
        <is>
          <t>Abschreibungen</t>
        </is>
      </c>
      <c r="D15" s="17" t="n">
        <v>-84778.77</v>
      </c>
      <c r="E15" s="18" t="n">
        <v>-0.004958</v>
      </c>
      <c r="F15" s="17" t="n">
        <v>-9645.450000000001</v>
      </c>
      <c r="G15" s="17" t="n">
        <v>-9711.51</v>
      </c>
      <c r="H15" s="17" t="n">
        <v>-9824.139999999999</v>
      </c>
      <c r="I15" s="17" t="n">
        <v>-9599.860000000001</v>
      </c>
      <c r="J15" s="17" t="n">
        <v>-9655.030000000001</v>
      </c>
      <c r="K15" s="17" t="n">
        <v>-9047.959999999999</v>
      </c>
      <c r="L15" s="17" t="n">
        <v>-9082.969999999999</v>
      </c>
      <c r="M15" s="17" t="n">
        <v>-9109.85</v>
      </c>
      <c r="N15" s="17" t="n">
        <v>-9102</v>
      </c>
      <c r="O15" s="17" t="n"/>
      <c r="P15" s="17" t="n"/>
      <c r="Q15" s="17" t="n"/>
      <c r="R15" s="48" t="n"/>
    </row>
    <row r="16" ht="25" customHeight="1">
      <c r="A16" s="48" t="n"/>
      <c r="B16" s="48" t="n"/>
      <c r="C16" s="20" t="inlineStr">
        <is>
          <t>EBIT</t>
        </is>
      </c>
      <c r="D16" s="21" t="n">
        <v>-1530160.8</v>
      </c>
      <c r="E16" s="22" t="n">
        <v>-0.089489</v>
      </c>
      <c r="F16" s="21" t="n">
        <v>280586.72</v>
      </c>
      <c r="G16" s="21" t="n">
        <v>305141.78</v>
      </c>
      <c r="H16" s="21" t="n">
        <v>601.16</v>
      </c>
      <c r="I16" s="21" t="n">
        <v>-194047.39</v>
      </c>
      <c r="J16" s="21" t="n">
        <v>-153466.22</v>
      </c>
      <c r="K16" s="21" t="n">
        <v>49505.9</v>
      </c>
      <c r="L16" s="21" t="n">
        <v>-523205.51</v>
      </c>
      <c r="M16" s="21" t="n">
        <v>-145860.02</v>
      </c>
      <c r="N16" s="21" t="n">
        <v>-1149417.22</v>
      </c>
      <c r="O16" s="21" t="n"/>
      <c r="P16" s="21" t="n"/>
      <c r="Q16" s="21" t="n"/>
      <c r="R16" s="48" t="n"/>
    </row>
    <row r="17">
      <c r="A17" s="48" t="n"/>
      <c r="B17" s="48" t="n"/>
      <c r="C17" s="48" t="inlineStr">
        <is>
          <t>Finanzergebnis</t>
        </is>
      </c>
      <c r="D17" s="17" t="n">
        <v>-71521.75</v>
      </c>
      <c r="E17" s="18" t="n">
        <v>-0.004183</v>
      </c>
      <c r="F17" s="17" t="n">
        <v>-5854.47</v>
      </c>
      <c r="G17" s="17" t="n">
        <v>-6903.55</v>
      </c>
      <c r="H17" s="17" t="n">
        <v>-9432.18</v>
      </c>
      <c r="I17" s="17" t="n">
        <v>-8779.92</v>
      </c>
      <c r="J17" s="17" t="n">
        <v>-15584.75</v>
      </c>
      <c r="K17" s="17" t="n">
        <v>-12828.32</v>
      </c>
      <c r="L17" s="17" t="n">
        <v>-8079.09</v>
      </c>
      <c r="M17" s="17" t="n">
        <v>-12425.47</v>
      </c>
      <c r="N17" s="17" t="n">
        <v>8366</v>
      </c>
      <c r="O17" s="17" t="n"/>
      <c r="P17" s="17" t="n"/>
      <c r="Q17" s="17" t="n"/>
      <c r="R17" s="48" t="n"/>
    </row>
    <row r="18" ht="25" customHeight="1">
      <c r="A18" s="48" t="n"/>
      <c r="B18" s="48" t="n"/>
      <c r="C18" s="20" t="inlineStr">
        <is>
          <t>Ergebnis aus Staffel</t>
        </is>
      </c>
      <c r="D18" s="21" t="n">
        <v>-1601682.55</v>
      </c>
      <c r="E18" s="22" t="n">
        <v>-0.09367200000000001</v>
      </c>
      <c r="F18" s="21" t="n">
        <v>274732.25</v>
      </c>
      <c r="G18" s="21" t="n">
        <v>298238.23</v>
      </c>
      <c r="H18" s="21" t="n">
        <v>-8831.02</v>
      </c>
      <c r="I18" s="21" t="n">
        <v>-202827.31</v>
      </c>
      <c r="J18" s="21" t="n">
        <v>-169050.97</v>
      </c>
      <c r="K18" s="21" t="n">
        <v>36677.58</v>
      </c>
      <c r="L18" s="21" t="n">
        <v>-531284.6</v>
      </c>
      <c r="M18" s="21" t="n">
        <v>-158285.49</v>
      </c>
      <c r="N18" s="21" t="n">
        <v>-1141051.22</v>
      </c>
      <c r="O18" s="21" t="n"/>
      <c r="P18" s="21" t="n"/>
      <c r="Q18" s="21" t="n"/>
      <c r="R18" s="48" t="n"/>
    </row>
    <row r="19">
      <c r="A19" s="48" t="n"/>
      <c r="B19" s="48" t="n"/>
      <c r="C19" s="48" t="n"/>
      <c r="D19" s="17" t="n"/>
      <c r="E19" s="1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48" t="n"/>
    </row>
    <row r="20" ht="25" customHeight="1">
      <c r="A20" s="48" t="n"/>
      <c r="B20" s="48" t="n"/>
      <c r="C20" s="20" t="inlineStr">
        <is>
          <t>EBITDA Cockpit-Definition</t>
        </is>
      </c>
      <c r="D20" s="21" t="n">
        <v>-1711536.9</v>
      </c>
      <c r="E20" s="22" t="n">
        <v>-0.100097</v>
      </c>
      <c r="F20" s="21" t="n">
        <v>294942.37</v>
      </c>
      <c r="G20" s="21" t="n">
        <v>318570.76</v>
      </c>
      <c r="H20" s="21" t="n">
        <v>23595.18</v>
      </c>
      <c r="I20" s="21" t="n">
        <v>-179274.07</v>
      </c>
      <c r="J20" s="21" t="n">
        <v>-141241.9</v>
      </c>
      <c r="K20" s="21" t="n">
        <v>58553.86</v>
      </c>
      <c r="L20" s="21" t="n">
        <v>-495291.54</v>
      </c>
      <c r="M20" s="21" t="n">
        <v>-138242.37</v>
      </c>
      <c r="N20" s="21" t="n">
        <v>-1453149.19</v>
      </c>
      <c r="O20" s="21" t="n"/>
      <c r="P20" s="21" t="n"/>
      <c r="Q20" s="21" t="n"/>
      <c r="R20" s="48" t="n"/>
    </row>
    <row r="21">
      <c r="A21" s="48" t="n"/>
      <c r="B21" s="48" t="n"/>
      <c r="C21" s="48" t="inlineStr">
        <is>
          <t>Differenz EBITDA-Definition</t>
        </is>
      </c>
      <c r="D21" s="17" t="n">
        <v>266154.87</v>
      </c>
      <c r="E21" s="18" t="n">
        <v>0.0155656883522122</v>
      </c>
      <c r="F21" s="17" t="n">
        <v>-4710.2</v>
      </c>
      <c r="G21" s="17" t="n">
        <v>-3717.47</v>
      </c>
      <c r="H21" s="17" t="n">
        <v>-13169.88</v>
      </c>
      <c r="I21" s="17" t="n">
        <v>-5173.46</v>
      </c>
      <c r="J21" s="17" t="n">
        <v>-2569.29</v>
      </c>
      <c r="K21" s="17" t="n">
        <v>0</v>
      </c>
      <c r="L21" s="17" t="n">
        <v>-18831</v>
      </c>
      <c r="M21" s="17" t="n">
        <v>1492.2</v>
      </c>
      <c r="N21" s="17" t="n">
        <v>312833.97</v>
      </c>
      <c r="O21" s="17" t="n"/>
      <c r="P21" s="17" t="n"/>
      <c r="Q21" s="17" t="n"/>
      <c r="R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</row>
    <row r="23">
      <c r="A23" s="48" t="n"/>
      <c r="B23" s="48" t="n"/>
      <c r="C23" s="48" t="inlineStr">
        <is>
          <t>Quelle je Monat</t>
        </is>
      </c>
      <c r="D23" s="48" t="n"/>
      <c r="E23" s="48" t="n"/>
      <c r="F23" s="48" t="inlineStr">
        <is>
          <t>Originalexport</t>
        </is>
      </c>
      <c r="G23" s="48" t="inlineStr">
        <is>
          <t>Originalexport</t>
        </is>
      </c>
      <c r="H23" s="48" t="inlineStr">
        <is>
          <t>Originalexport</t>
        </is>
      </c>
      <c r="I23" s="48" t="inlineStr">
        <is>
          <t>Originalexport</t>
        </is>
      </c>
      <c r="J23" s="48" t="inlineStr">
        <is>
          <t>Originalexport</t>
        </is>
      </c>
      <c r="K23" s="48" t="inlineStr">
        <is>
          <t>Originalexport</t>
        </is>
      </c>
      <c r="L23" s="48" t="inlineStr">
        <is>
          <t>Originalexport</t>
        </is>
      </c>
      <c r="M23" s="48" t="inlineStr">
        <is>
          <t>Originalexport</t>
        </is>
      </c>
      <c r="N23" s="48" t="inlineStr">
        <is>
          <t>Originalexport</t>
        </is>
      </c>
      <c r="O23" s="48" t="inlineStr">
        <is>
          <t>Originalexport</t>
        </is>
      </c>
      <c r="P23" s="48" t="inlineStr">
        <is>
          <t>Originalexport</t>
        </is>
      </c>
      <c r="Q23" s="48" t="inlineStr">
        <is>
          <t>Originalexport</t>
        </is>
      </c>
      <c r="R23" s="48" t="n"/>
    </row>
    <row r="24">
      <c r="A24" s="48" t="n"/>
      <c r="B24" s="48" t="n"/>
      <c r="C24" s="48" t="inlineStr">
        <is>
          <t>Neutrales Ergebnis</t>
        </is>
      </c>
      <c r="D24" s="17" t="n">
        <v>265544.3199999999</v>
      </c>
      <c r="E24" s="17" t="n"/>
      <c r="F24" s="17" t="n">
        <v>-4710.2</v>
      </c>
      <c r="G24" s="17" t="n">
        <v>-3717.47</v>
      </c>
      <c r="H24" s="17" t="n">
        <v>-13169.88</v>
      </c>
      <c r="I24" s="17" t="n">
        <v>-5173.46</v>
      </c>
      <c r="J24" s="17" t="n">
        <v>-2569.29</v>
      </c>
      <c r="K24" s="17" t="n">
        <v>0</v>
      </c>
      <c r="L24" s="17" t="n">
        <v>-18831</v>
      </c>
      <c r="M24" s="17" t="n">
        <v>1492.2</v>
      </c>
      <c r="N24" s="17" t="n">
        <v>312223.42</v>
      </c>
      <c r="O24" s="17" t="n">
        <v>0</v>
      </c>
      <c r="P24" s="17" t="n">
        <v>0</v>
      </c>
      <c r="Q24" s="17" t="n">
        <v>0</v>
      </c>
      <c r="R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</row>
  </sheetData>
  <mergeCells count="2">
    <mergeCell ref="C2:R2"/>
    <mergeCell ref="C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E293B"/>
    <outlinePr summaryBelow="1" summaryRight="1"/>
    <pageSetUpPr/>
  </sheetPr>
  <dimension ref="A1:Q2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43" customWidth="1" min="4" max="4"/>
    <col width="15" customWidth="1" min="5" max="17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</row>
    <row r="2" ht="30" customHeight="1">
      <c r="A2" s="48" t="n"/>
      <c r="B2" s="48" t="n"/>
      <c r="C2" s="53" t="inlineStr">
        <is>
          <t>Forecast und Plan 2026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</row>
    <row r="3" ht="32" customHeight="1">
      <c r="A3" s="48" t="n"/>
      <c r="B3" s="48" t="n"/>
      <c r="C3" s="54" t="inlineStr">
        <is>
          <t>Januar–August Ist, September–Dezember Forecast. Monatsänderungen werden aus FC Eingabe übernommen.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</row>
    <row r="6" ht="34" customHeight="1">
      <c r="A6" s="48" t="n"/>
      <c r="B6" s="48" t="n"/>
      <c r="C6" s="3" t="inlineStr">
        <is>
          <t>Monat</t>
        </is>
      </c>
      <c r="D6" s="3" t="inlineStr">
        <is>
          <t>Art</t>
        </is>
      </c>
      <c r="E6" s="3" t="inlineStr">
        <is>
          <t>Umsatz Basis</t>
        </is>
      </c>
      <c r="F6" s="3" t="inlineStr">
        <is>
          <t>Bestand Basis</t>
        </is>
      </c>
      <c r="G6" s="3" t="inlineStr">
        <is>
          <t>Δ Umsatz</t>
        </is>
      </c>
      <c r="H6" s="3" t="inlineStr">
        <is>
          <t>Δ Bestand</t>
        </is>
      </c>
      <c r="I6" s="3" t="inlineStr">
        <is>
          <t>Gesamtleistung</t>
        </is>
      </c>
      <c r="J6" s="3" t="inlineStr">
        <is>
          <t>EBITDA Basis</t>
        </is>
      </c>
      <c r="K6" s="3" t="inlineStr">
        <is>
          <t>Δ Kosten</t>
        </is>
      </c>
      <c r="L6" s="3" t="inlineStr">
        <is>
          <t>EBITDA aktiv</t>
        </is>
      </c>
      <c r="M6" s="3" t="inlineStr">
        <is>
          <t>GL Plan</t>
        </is>
      </c>
      <c r="N6" s="3" t="inlineStr">
        <is>
          <t>EBITDA Plan</t>
        </is>
      </c>
      <c r="O6" s="3" t="inlineStr">
        <is>
          <t>Δ EBITDA Plan</t>
        </is>
      </c>
      <c r="P6" s="3" t="inlineStr">
        <is>
          <t>Marge</t>
        </is>
      </c>
      <c r="Q6" s="48" t="n"/>
    </row>
    <row r="7">
      <c r="A7" s="48" t="n"/>
      <c r="B7" s="48" t="n"/>
      <c r="C7" s="48" t="n">
        <v>1</v>
      </c>
      <c r="D7" s="48" t="inlineStr">
        <is>
          <t>IST</t>
        </is>
      </c>
      <c r="E7" s="17" t="n">
        <v>639565.45</v>
      </c>
      <c r="F7" s="17" t="n">
        <v>1280847.26</v>
      </c>
      <c r="G7" s="17" t="n">
        <v>0</v>
      </c>
      <c r="H7" s="17" t="n">
        <v>0</v>
      </c>
      <c r="I7" s="17" t="n">
        <v>1920412.71</v>
      </c>
      <c r="J7" s="17" t="n">
        <v>294942.37</v>
      </c>
      <c r="K7" s="17" t="n">
        <v>0</v>
      </c>
      <c r="L7" s="17" t="n">
        <v>294942.37</v>
      </c>
      <c r="M7" s="17" t="n">
        <v>1416000</v>
      </c>
      <c r="N7" s="17" t="n">
        <v>76000</v>
      </c>
      <c r="O7" s="17" t="n">
        <v>218942.37</v>
      </c>
      <c r="P7" s="18" t="n">
        <v>0.1535828046045373</v>
      </c>
      <c r="Q7" s="48" t="n"/>
    </row>
    <row r="8">
      <c r="A8" s="48" t="n"/>
      <c r="B8" s="48" t="n"/>
      <c r="C8" s="48" t="n">
        <v>2</v>
      </c>
      <c r="D8" s="48" t="inlineStr">
        <is>
          <t>IST</t>
        </is>
      </c>
      <c r="E8" s="17" t="n">
        <v>2777244.65</v>
      </c>
      <c r="F8" s="17" t="n">
        <v>-200176.92</v>
      </c>
      <c r="G8" s="17" t="n">
        <v>0</v>
      </c>
      <c r="H8" s="17" t="n">
        <v>0</v>
      </c>
      <c r="I8" s="17" t="n">
        <v>2577067.73</v>
      </c>
      <c r="J8" s="17" t="n">
        <v>318570.76</v>
      </c>
      <c r="K8" s="17" t="n">
        <v>0</v>
      </c>
      <c r="L8" s="17" t="n">
        <v>318570.76</v>
      </c>
      <c r="M8" s="17" t="n">
        <v>1348000</v>
      </c>
      <c r="N8" s="17" t="n">
        <v>25000</v>
      </c>
      <c r="O8" s="17" t="n">
        <v>293570.76</v>
      </c>
      <c r="P8" s="18" t="n">
        <v>0.1236175348794578</v>
      </c>
      <c r="Q8" s="48" t="n"/>
    </row>
    <row r="9">
      <c r="A9" s="48" t="n"/>
      <c r="B9" s="48" t="n"/>
      <c r="C9" s="48" t="n">
        <v>3</v>
      </c>
      <c r="D9" s="48" t="inlineStr">
        <is>
          <t>IST</t>
        </is>
      </c>
      <c r="E9" s="17" t="n">
        <v>1213541.38</v>
      </c>
      <c r="F9" s="17" t="n">
        <v>1198671.49</v>
      </c>
      <c r="G9" s="17" t="n">
        <v>0</v>
      </c>
      <c r="H9" s="17" t="n">
        <v>0</v>
      </c>
      <c r="I9" s="17" t="n">
        <v>2412212.87</v>
      </c>
      <c r="J9" s="17" t="n">
        <v>23595.18</v>
      </c>
      <c r="K9" s="17" t="n">
        <v>0</v>
      </c>
      <c r="L9" s="17" t="n">
        <v>23595.18</v>
      </c>
      <c r="M9" s="17" t="n">
        <v>1483000</v>
      </c>
      <c r="N9" s="17" t="n">
        <v>127000</v>
      </c>
      <c r="O9" s="17" t="n">
        <v>-103404.82</v>
      </c>
      <c r="P9" s="18" t="n">
        <v>0.00978154966895604</v>
      </c>
      <c r="Q9" s="48" t="n"/>
    </row>
    <row r="10">
      <c r="A10" s="48" t="n"/>
      <c r="B10" s="48" t="n"/>
      <c r="C10" s="48" t="n">
        <v>4</v>
      </c>
      <c r="D10" s="48" t="inlineStr">
        <is>
          <t>IST</t>
        </is>
      </c>
      <c r="E10" s="17" t="n">
        <v>678343.59</v>
      </c>
      <c r="F10" s="17" t="n">
        <v>1261219.89</v>
      </c>
      <c r="G10" s="17" t="n">
        <v>0</v>
      </c>
      <c r="H10" s="17" t="n">
        <v>0</v>
      </c>
      <c r="I10" s="17" t="n">
        <v>1939563.48</v>
      </c>
      <c r="J10" s="17" t="n">
        <v>-179274.07</v>
      </c>
      <c r="K10" s="17" t="n">
        <v>0</v>
      </c>
      <c r="L10" s="17" t="n">
        <v>-179274.07</v>
      </c>
      <c r="M10" s="17" t="n">
        <v>1348000</v>
      </c>
      <c r="N10" s="17" t="n">
        <v>24000</v>
      </c>
      <c r="O10" s="17" t="n">
        <v>-203274.07</v>
      </c>
      <c r="P10" s="18" t="n">
        <v>-0.0924301121611137</v>
      </c>
      <c r="Q10" s="48" t="n"/>
    </row>
    <row r="11">
      <c r="A11" s="48" t="n"/>
      <c r="B11" s="48" t="n"/>
      <c r="C11" s="48" t="n">
        <v>5</v>
      </c>
      <c r="D11" s="48" t="inlineStr">
        <is>
          <t>IST</t>
        </is>
      </c>
      <c r="E11" s="17" t="n">
        <v>1347585.48</v>
      </c>
      <c r="F11" s="17" t="n">
        <v>-263604.09</v>
      </c>
      <c r="G11" s="17" t="n">
        <v>0</v>
      </c>
      <c r="H11" s="17" t="n">
        <v>0</v>
      </c>
      <c r="I11" s="17" t="n">
        <v>1083981.39</v>
      </c>
      <c r="J11" s="17" t="n">
        <v>-141241.9</v>
      </c>
      <c r="K11" s="17" t="n">
        <v>0</v>
      </c>
      <c r="L11" s="17" t="n">
        <v>-141241.9</v>
      </c>
      <c r="M11" s="17" t="n">
        <v>1213000</v>
      </c>
      <c r="N11" s="17" t="n">
        <v>-79000</v>
      </c>
      <c r="O11" s="17" t="n">
        <v>-62241.9</v>
      </c>
      <c r="P11" s="18" t="n">
        <v>-0.1302991926826345</v>
      </c>
      <c r="Q11" s="48" t="n"/>
    </row>
    <row r="12">
      <c r="A12" s="48" t="n"/>
      <c r="B12" s="48" t="n"/>
      <c r="C12" s="48" t="n">
        <v>6</v>
      </c>
      <c r="D12" s="48" t="inlineStr">
        <is>
          <t>IST</t>
        </is>
      </c>
      <c r="E12" s="17" t="n">
        <v>2470042.1</v>
      </c>
      <c r="F12" s="17" t="n">
        <v>314645.23</v>
      </c>
      <c r="G12" s="17" t="n">
        <v>0</v>
      </c>
      <c r="H12" s="17" t="n">
        <v>0</v>
      </c>
      <c r="I12" s="17" t="n">
        <v>2784687.33</v>
      </c>
      <c r="J12" s="17" t="n">
        <v>58553.86</v>
      </c>
      <c r="K12" s="17" t="n">
        <v>0</v>
      </c>
      <c r="L12" s="17" t="n">
        <v>58553.86</v>
      </c>
      <c r="M12" s="17" t="n">
        <v>1483000</v>
      </c>
      <c r="N12" s="17" t="n">
        <v>126000</v>
      </c>
      <c r="O12" s="17" t="n">
        <v>-67446.14</v>
      </c>
      <c r="P12" s="18" t="n">
        <v>0.02102708601040678</v>
      </c>
      <c r="Q12" s="48" t="n"/>
    </row>
    <row r="13">
      <c r="A13" s="48" t="n"/>
      <c r="B13" s="48" t="n"/>
      <c r="C13" s="48" t="n">
        <v>7</v>
      </c>
      <c r="D13" s="48" t="inlineStr">
        <is>
          <t>IST</t>
        </is>
      </c>
      <c r="E13" s="17" t="n">
        <v>1323928.2</v>
      </c>
      <c r="F13" s="17" t="n">
        <v>294716.46</v>
      </c>
      <c r="G13" s="17" t="n">
        <v>0</v>
      </c>
      <c r="H13" s="17" t="n">
        <v>0</v>
      </c>
      <c r="I13" s="17" t="n">
        <v>1618644.66</v>
      </c>
      <c r="J13" s="17" t="n">
        <v>-495291.54</v>
      </c>
      <c r="K13" s="17" t="n">
        <v>0</v>
      </c>
      <c r="L13" s="17" t="n">
        <v>-495291.54</v>
      </c>
      <c r="M13" s="17" t="n">
        <v>1551000</v>
      </c>
      <c r="N13" s="17" t="n">
        <v>178000</v>
      </c>
      <c r="O13" s="17" t="n">
        <v>-673291.54</v>
      </c>
      <c r="P13" s="18" t="n">
        <v>-0.3059915200906418</v>
      </c>
      <c r="Q13" s="48" t="n"/>
    </row>
    <row r="14">
      <c r="A14" s="48" t="n"/>
      <c r="B14" s="48" t="n"/>
      <c r="C14" s="48" t="n">
        <v>8</v>
      </c>
      <c r="D14" s="48" t="inlineStr">
        <is>
          <t>IST</t>
        </is>
      </c>
      <c r="E14" s="17" t="n">
        <v>854339.84</v>
      </c>
      <c r="F14" s="17" t="n">
        <v>1022525.14</v>
      </c>
      <c r="G14" s="17" t="n">
        <v>0</v>
      </c>
      <c r="H14" s="17" t="n">
        <v>0</v>
      </c>
      <c r="I14" s="17" t="n">
        <v>1876864.98</v>
      </c>
      <c r="J14" s="17" t="n">
        <v>-138242.37</v>
      </c>
      <c r="K14" s="17" t="n">
        <v>0</v>
      </c>
      <c r="L14" s="17" t="n">
        <v>-138242.37</v>
      </c>
      <c r="M14" s="17" t="n">
        <v>1416000</v>
      </c>
      <c r="N14" s="17" t="n">
        <v>76000</v>
      </c>
      <c r="O14" s="17" t="n">
        <v>-214242.37</v>
      </c>
      <c r="P14" s="18" t="n">
        <v>-0.07365600161605658</v>
      </c>
      <c r="Q14" s="48" t="n"/>
    </row>
    <row r="15">
      <c r="A15" s="48" t="n"/>
      <c r="B15" s="48" t="n"/>
      <c r="C15" s="48" t="n">
        <v>9</v>
      </c>
      <c r="D15" s="48" t="inlineStr">
        <is>
          <t>FC</t>
        </is>
      </c>
      <c r="E15" s="17" t="n">
        <v>2604944</v>
      </c>
      <c r="F15" s="17" t="n">
        <v>0</v>
      </c>
      <c r="G15" s="17" t="n">
        <v>0</v>
      </c>
      <c r="H15" s="17" t="n">
        <v>0</v>
      </c>
      <c r="I15" s="17" t="n">
        <v>2604944</v>
      </c>
      <c r="J15" s="17" t="n">
        <v>309886</v>
      </c>
      <c r="K15" s="17" t="n">
        <v>0</v>
      </c>
      <c r="L15" s="17" t="n">
        <v>309886</v>
      </c>
      <c r="M15" s="17" t="n">
        <v>1483000</v>
      </c>
      <c r="N15" s="17" t="n">
        <v>125000</v>
      </c>
      <c r="O15" s="17" t="n">
        <v>184886</v>
      </c>
      <c r="P15" s="18" t="n">
        <v>0.1189607147025042</v>
      </c>
      <c r="Q15" s="48" t="n"/>
    </row>
    <row r="16">
      <c r="A16" s="48" t="n"/>
      <c r="B16" s="48" t="n"/>
      <c r="C16" s="48" t="n">
        <v>10</v>
      </c>
      <c r="D16" s="48" t="inlineStr">
        <is>
          <t>FC</t>
        </is>
      </c>
      <c r="E16" s="17" t="n">
        <v>1333000</v>
      </c>
      <c r="F16" s="17" t="n">
        <v>0</v>
      </c>
      <c r="G16" s="17" t="n">
        <v>0</v>
      </c>
      <c r="H16" s="17" t="n">
        <v>0</v>
      </c>
      <c r="I16" s="17" t="n">
        <v>1333000</v>
      </c>
      <c r="J16" s="17" t="n">
        <v>118692</v>
      </c>
      <c r="K16" s="17" t="n">
        <v>0</v>
      </c>
      <c r="L16" s="17" t="n">
        <v>118692</v>
      </c>
      <c r="M16" s="17" t="n">
        <v>1483000</v>
      </c>
      <c r="N16" s="17" t="n">
        <v>125000</v>
      </c>
      <c r="O16" s="17" t="n">
        <v>-6308</v>
      </c>
      <c r="P16" s="18" t="n">
        <v>0.08904126031507877</v>
      </c>
      <c r="Q16" s="48" t="n"/>
    </row>
    <row r="17">
      <c r="A17" s="48" t="n"/>
      <c r="B17" s="48" t="n"/>
      <c r="C17" s="48" t="n">
        <v>11</v>
      </c>
      <c r="D17" s="48" t="inlineStr">
        <is>
          <t>FC</t>
        </is>
      </c>
      <c r="E17" s="17" t="n">
        <v>1775000</v>
      </c>
      <c r="F17" s="17" t="n">
        <v>0</v>
      </c>
      <c r="G17" s="17" t="n">
        <v>0</v>
      </c>
      <c r="H17" s="17" t="n">
        <v>0</v>
      </c>
      <c r="I17" s="17" t="n">
        <v>1775000</v>
      </c>
      <c r="J17" s="17" t="n">
        <v>380092</v>
      </c>
      <c r="K17" s="17" t="n">
        <v>0</v>
      </c>
      <c r="L17" s="17" t="n">
        <v>380092</v>
      </c>
      <c r="M17" s="17" t="n">
        <v>1416000</v>
      </c>
      <c r="N17" s="17" t="n">
        <v>73000</v>
      </c>
      <c r="O17" s="17" t="n">
        <v>307092</v>
      </c>
      <c r="P17" s="18" t="n">
        <v>0.214136338028169</v>
      </c>
      <c r="Q17" s="48" t="n"/>
    </row>
    <row r="18">
      <c r="A18" s="48" t="n"/>
      <c r="B18" s="48" t="n"/>
      <c r="C18" s="48" t="n">
        <v>12</v>
      </c>
      <c r="D18" s="48" t="inlineStr">
        <is>
          <t>FC</t>
        </is>
      </c>
      <c r="E18" s="17" t="n">
        <v>1073000</v>
      </c>
      <c r="F18" s="17" t="n">
        <v>0</v>
      </c>
      <c r="G18" s="17" t="n">
        <v>0</v>
      </c>
      <c r="H18" s="17" t="n">
        <v>0</v>
      </c>
      <c r="I18" s="17" t="n">
        <v>1073000</v>
      </c>
      <c r="J18" s="17" t="n">
        <v>-110405</v>
      </c>
      <c r="K18" s="17" t="n">
        <v>0</v>
      </c>
      <c r="L18" s="17" t="n">
        <v>-110405</v>
      </c>
      <c r="M18" s="17" t="n">
        <v>1483000</v>
      </c>
      <c r="N18" s="17" t="n">
        <v>124000</v>
      </c>
      <c r="O18" s="17" t="n">
        <v>-234405</v>
      </c>
      <c r="P18" s="18" t="n">
        <v>-0.1028937558247903</v>
      </c>
      <c r="Q18" s="48" t="n"/>
    </row>
    <row r="19">
      <c r="A19" s="48" t="n"/>
      <c r="B19" s="48" t="n"/>
      <c r="C19" s="48" t="n"/>
      <c r="D19" s="48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  <c r="Q19" s="48" t="n"/>
    </row>
    <row r="20" ht="25" customHeight="1">
      <c r="A20" s="48" t="n"/>
      <c r="B20" s="48" t="n"/>
      <c r="C20" s="20" t="inlineStr">
        <is>
          <t>Gesamtjahr</t>
        </is>
      </c>
      <c r="D20" s="20" t="n"/>
      <c r="E20" s="21" t="n">
        <v>18090534.69</v>
      </c>
      <c r="F20" s="21" t="n">
        <v>4908844.46</v>
      </c>
      <c r="G20" s="21" t="n">
        <v>0</v>
      </c>
      <c r="H20" s="21" t="n">
        <v>0</v>
      </c>
      <c r="I20" s="21" t="n">
        <v>22999379.15</v>
      </c>
      <c r="J20" s="21" t="n">
        <v>439877.29</v>
      </c>
      <c r="K20" s="21" t="n">
        <v>0</v>
      </c>
      <c r="L20" s="21" t="n">
        <v>439877.29</v>
      </c>
      <c r="M20" s="21" t="n">
        <v>17123000</v>
      </c>
      <c r="N20" s="21" t="n">
        <v>1000000</v>
      </c>
      <c r="O20" s="21" t="n">
        <v>-560122.7100000001</v>
      </c>
      <c r="P20" s="22" t="n">
        <v>0.01912561583211259</v>
      </c>
      <c r="Q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>
      <c r="A22" s="48" t="n"/>
      <c r="B22" s="48" t="n"/>
      <c r="C22" s="48" t="inlineStr">
        <is>
          <t>Offene Bewertung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>
        <v>0</v>
      </c>
      <c r="M22" s="48" t="n"/>
      <c r="N22" s="48" t="n"/>
      <c r="O22" s="48" t="n"/>
      <c r="P22" s="48" t="n"/>
      <c r="Q22" s="48" t="n"/>
    </row>
    <row r="23" ht="25" customHeight="1">
      <c r="A23" s="48" t="n"/>
      <c r="B23" s="48" t="n"/>
      <c r="C23" s="20" t="inlineStr">
        <is>
          <t>EBITDA nach offener Bewertung</t>
        </is>
      </c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>
        <v>439877.29</v>
      </c>
      <c r="M23" s="20" t="n"/>
      <c r="N23" s="20" t="n"/>
      <c r="O23" s="20" t="n"/>
      <c r="P23" s="20" t="n"/>
      <c r="Q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 ht="26" customHeight="1">
      <c r="A46" s="48" t="n"/>
      <c r="B46" s="48" t="n"/>
      <c r="C46" s="52" t="inlineStr">
        <is>
          <t>Forecast je Auftrag / Projekt</t>
        </is>
      </c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 ht="36" customHeight="1">
      <c r="A48" s="48" t="n"/>
      <c r="B48" s="48" t="n"/>
      <c r="C48" s="3" t="inlineStr">
        <is>
          <t>Auftrag</t>
        </is>
      </c>
      <c r="D48" s="3" t="inlineStr">
        <is>
          <t>Bezeichnung</t>
        </is>
      </c>
      <c r="E48" s="3" t="inlineStr">
        <is>
          <t>Region</t>
        </is>
      </c>
      <c r="F48" s="3" t="inlineStr">
        <is>
          <t>Umsatz Ist</t>
        </is>
      </c>
      <c r="G48" s="3" t="inlineStr">
        <is>
          <t>Kosten Ist (neg.)</t>
        </is>
      </c>
      <c r="H48" s="3" t="inlineStr">
        <is>
          <t>Bestand Ist</t>
        </is>
      </c>
      <c r="I48" s="3" t="inlineStr">
        <is>
          <t>Umsatz Rest</t>
        </is>
      </c>
      <c r="J48" s="3" t="inlineStr">
        <is>
          <t>Kosten Rest (neg.)</t>
        </is>
      </c>
      <c r="K48" s="3" t="inlineStr">
        <is>
          <t>Bestand Rest</t>
        </is>
      </c>
      <c r="L48" s="3" t="inlineStr">
        <is>
          <t>Umsatz erwartet</t>
        </is>
      </c>
      <c r="M48" s="3" t="inlineStr">
        <is>
          <t>Kosten erwartet</t>
        </is>
      </c>
      <c r="N48" s="3" t="inlineStr">
        <is>
          <t>Bestand erwartet</t>
        </is>
      </c>
      <c r="O48" s="3" t="inlineStr">
        <is>
          <t>Ergebnis erwartet</t>
        </is>
      </c>
      <c r="P48" s="48" t="n"/>
      <c r="Q48" s="48" t="n"/>
    </row>
    <row r="49" ht="21" customHeight="1">
      <c r="A49" s="48" t="n"/>
      <c r="B49" s="48" t="n"/>
      <c r="C49" s="48" t="inlineStr">
        <is>
          <t>P4102157208</t>
        </is>
      </c>
      <c r="D49" s="48" t="inlineStr">
        <is>
          <t>Waggonverschrottung</t>
        </is>
      </c>
      <c r="E49" s="48" t="inlineStr">
        <is>
          <t>West</t>
        </is>
      </c>
      <c r="F49" s="17" t="n">
        <v>24855.15</v>
      </c>
      <c r="G49" s="17" t="n">
        <v>-13515.52</v>
      </c>
      <c r="H49" s="17" t="n">
        <v>-10000</v>
      </c>
      <c r="I49" s="17" t="n">
        <v>0</v>
      </c>
      <c r="J49" s="17" t="n">
        <v>0</v>
      </c>
      <c r="K49" s="17" t="n">
        <v>0</v>
      </c>
      <c r="L49" s="17" t="n">
        <v>24855.15</v>
      </c>
      <c r="M49" s="17" t="n">
        <v>-13515.52</v>
      </c>
      <c r="N49" s="17" t="n">
        <v>-10000</v>
      </c>
      <c r="O49" s="17" t="n">
        <v>1339.630000000001</v>
      </c>
      <c r="P49" s="48" t="n"/>
      <c r="Q49" s="48" t="n"/>
    </row>
    <row r="50" ht="21" customHeight="1">
      <c r="A50" s="48" t="n"/>
      <c r="B50" s="48" t="n"/>
      <c r="C50" s="48" t="inlineStr">
        <is>
          <t>P4102157411</t>
        </is>
      </c>
      <c r="D50" s="48" t="inlineStr">
        <is>
          <t>ARGE RB Chemiepark Krefeld</t>
        </is>
      </c>
      <c r="E50" s="48" t="inlineStr">
        <is>
          <t>West</t>
        </is>
      </c>
      <c r="F50" s="17" t="n">
        <v>45582.42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45582.42</v>
      </c>
      <c r="M50" s="17" t="n">
        <v>0</v>
      </c>
      <c r="N50" s="17" t="n">
        <v>0</v>
      </c>
      <c r="O50" s="17" t="n">
        <v>45582.42</v>
      </c>
      <c r="P50" s="48" t="n"/>
      <c r="Q50" s="48" t="n"/>
    </row>
    <row r="51" ht="21" customHeight="1">
      <c r="A51" s="48" t="n"/>
      <c r="B51" s="48" t="n"/>
      <c r="C51" s="48" t="inlineStr">
        <is>
          <t>P4102157414</t>
        </is>
      </c>
      <c r="D51" s="48" t="inlineStr">
        <is>
          <t>Krandemontage</t>
        </is>
      </c>
      <c r="E51" s="48" t="inlineStr">
        <is>
          <t>West</t>
        </is>
      </c>
      <c r="F51" s="17" t="n">
        <v>414976.03</v>
      </c>
      <c r="G51" s="17" t="n">
        <v>-100883.26</v>
      </c>
      <c r="H51" s="17" t="n">
        <v>-279004.22</v>
      </c>
      <c r="I51" s="17" t="n">
        <v>0</v>
      </c>
      <c r="J51" s="17" t="n">
        <v>0</v>
      </c>
      <c r="K51" s="17" t="n">
        <v>0</v>
      </c>
      <c r="L51" s="17" t="n">
        <v>414976.03</v>
      </c>
      <c r="M51" s="17" t="n">
        <v>-100883.26</v>
      </c>
      <c r="N51" s="17" t="n">
        <v>-279004.22</v>
      </c>
      <c r="O51" s="17" t="n">
        <v>35088.55000000005</v>
      </c>
      <c r="P51" s="48" t="n"/>
      <c r="Q51" s="48" t="n"/>
    </row>
    <row r="52" ht="21" customHeight="1">
      <c r="A52" s="48" t="n"/>
      <c r="B52" s="48" t="n"/>
      <c r="C52" s="48" t="inlineStr">
        <is>
          <t>P4102157420</t>
        </is>
      </c>
      <c r="D52" s="48" t="inlineStr">
        <is>
          <t>ARGE RB GWA+SGA 4</t>
        </is>
      </c>
      <c r="E52" s="48" t="inlineStr">
        <is>
          <t>West</t>
        </is>
      </c>
      <c r="F52" s="17" t="n">
        <v>0</v>
      </c>
      <c r="G52" s="17" t="n">
        <v>-1084.64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-1084.64</v>
      </c>
      <c r="N52" s="17" t="n">
        <v>0</v>
      </c>
      <c r="O52" s="17" t="n">
        <v>-1084.64</v>
      </c>
      <c r="P52" s="48" t="n"/>
      <c r="Q52" s="48" t="n"/>
    </row>
    <row r="53" ht="21" customHeight="1">
      <c r="A53" s="48" t="n"/>
      <c r="B53" s="48" t="n"/>
      <c r="C53" s="48" t="inlineStr">
        <is>
          <t>P4102157429</t>
        </is>
      </c>
      <c r="D53" s="48" t="inlineStr">
        <is>
          <t>Covestro - Rückbau LEV O13</t>
        </is>
      </c>
      <c r="E53" s="48" t="inlineStr">
        <is>
          <t>West</t>
        </is>
      </c>
      <c r="F53" s="17" t="n">
        <v>0</v>
      </c>
      <c r="G53" s="17" t="n">
        <v>24.2</v>
      </c>
      <c r="H53" s="17" t="n">
        <v>59.31</v>
      </c>
      <c r="I53" s="17" t="n">
        <v>442000</v>
      </c>
      <c r="J53" s="17" t="n">
        <v>-350000</v>
      </c>
      <c r="K53" s="17" t="n">
        <v>0</v>
      </c>
      <c r="L53" s="17" t="n">
        <v>442000</v>
      </c>
      <c r="M53" s="17" t="n">
        <v>-349975.8</v>
      </c>
      <c r="N53" s="17" t="n">
        <v>59.31</v>
      </c>
      <c r="O53" s="17" t="n">
        <v>92083.51000000001</v>
      </c>
      <c r="P53" s="48" t="n"/>
      <c r="Q53" s="48" t="n"/>
    </row>
    <row r="54" ht="21" customHeight="1">
      <c r="A54" s="48" t="n"/>
      <c r="B54" s="48" t="n"/>
      <c r="C54" s="48" t="inlineStr">
        <is>
          <t>P4102157431</t>
        </is>
      </c>
      <c r="D54" s="48" t="inlineStr">
        <is>
          <t>RB drei Sandfilter</t>
        </is>
      </c>
      <c r="E54" s="48" t="inlineStr">
        <is>
          <t>West</t>
        </is>
      </c>
      <c r="F54" s="17" t="n">
        <v>19000</v>
      </c>
      <c r="G54" s="17" t="n">
        <v>0</v>
      </c>
      <c r="H54" s="17" t="n">
        <v>-24683.12</v>
      </c>
      <c r="I54" s="17" t="n">
        <v>0</v>
      </c>
      <c r="J54" s="17" t="n">
        <v>0</v>
      </c>
      <c r="K54" s="17" t="n">
        <v>0</v>
      </c>
      <c r="L54" s="17" t="n">
        <v>19000</v>
      </c>
      <c r="M54" s="17" t="n">
        <v>0</v>
      </c>
      <c r="N54" s="17" t="n">
        <v>-24683.12</v>
      </c>
      <c r="O54" s="17" t="n">
        <v>-5683.119999999999</v>
      </c>
      <c r="P54" s="48" t="n"/>
      <c r="Q54" s="48" t="n"/>
    </row>
    <row r="55" ht="21" customHeight="1">
      <c r="A55" s="48" t="n"/>
      <c r="B55" s="48" t="n"/>
      <c r="C55" s="48" t="inlineStr">
        <is>
          <t>P4102157436</t>
        </is>
      </c>
      <c r="D55" s="48" t="inlineStr">
        <is>
          <t>Sanierung Kompensatoren</t>
        </is>
      </c>
      <c r="E55" s="48" t="inlineStr">
        <is>
          <t>West</t>
        </is>
      </c>
      <c r="F55" s="17" t="n">
        <v>49999</v>
      </c>
      <c r="G55" s="17" t="n">
        <v>0</v>
      </c>
      <c r="H55" s="17" t="n">
        <v>-44762.43</v>
      </c>
      <c r="I55" s="17" t="n">
        <v>0</v>
      </c>
      <c r="J55" s="17" t="n">
        <v>0</v>
      </c>
      <c r="K55" s="17" t="n">
        <v>0</v>
      </c>
      <c r="L55" s="17" t="n">
        <v>49999</v>
      </c>
      <c r="M55" s="17" t="n">
        <v>0</v>
      </c>
      <c r="N55" s="17" t="n">
        <v>-44762.43</v>
      </c>
      <c r="O55" s="17" t="n">
        <v>5236.57</v>
      </c>
      <c r="P55" s="48" t="n"/>
      <c r="Q55" s="48" t="n"/>
    </row>
    <row r="56" ht="21" customHeight="1">
      <c r="A56" s="48" t="n"/>
      <c r="B56" s="48" t="n"/>
      <c r="C56" s="48" t="inlineStr">
        <is>
          <t>P4102157439</t>
        </is>
      </c>
      <c r="D56" s="48" t="inlineStr">
        <is>
          <t>RB Sperrmüllschereefeld</t>
        </is>
      </c>
      <c r="E56" s="48" t="inlineStr">
        <is>
          <t>West</t>
        </is>
      </c>
      <c r="F56" s="17" t="n">
        <v>37284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37284</v>
      </c>
      <c r="M56" s="17" t="n">
        <v>0</v>
      </c>
      <c r="N56" s="17" t="n">
        <v>0</v>
      </c>
      <c r="O56" s="17" t="n">
        <v>37284</v>
      </c>
      <c r="P56" s="48" t="n"/>
      <c r="Q56" s="48" t="n"/>
    </row>
    <row r="57" ht="21" customHeight="1">
      <c r="A57" s="48" t="n"/>
      <c r="B57" s="48" t="n"/>
      <c r="C57" s="48" t="inlineStr">
        <is>
          <t>P4102157440</t>
        </is>
      </c>
      <c r="D57" s="48" t="inlineStr">
        <is>
          <t>tkse RB 2025</t>
        </is>
      </c>
      <c r="E57" s="48" t="inlineStr">
        <is>
          <t>West</t>
        </is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48" t="n"/>
      <c r="Q57" s="48" t="n"/>
    </row>
    <row r="58" ht="21" customHeight="1">
      <c r="A58" s="48" t="n"/>
      <c r="B58" s="48" t="n"/>
      <c r="C58" s="48" t="inlineStr">
        <is>
          <t>P4102157442</t>
        </is>
      </c>
      <c r="D58" s="48" t="inlineStr">
        <is>
          <t>RB Leitstand Flämmaschine</t>
        </is>
      </c>
      <c r="E58" s="48" t="inlineStr">
        <is>
          <t>West</t>
        </is>
      </c>
      <c r="F58" s="17" t="n">
        <v>48086.9</v>
      </c>
      <c r="G58" s="17" t="n">
        <v>-31274.13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48086.9</v>
      </c>
      <c r="M58" s="17" t="n">
        <v>-31274.13</v>
      </c>
      <c r="N58" s="17" t="n">
        <v>0</v>
      </c>
      <c r="O58" s="17" t="n">
        <v>16812.77</v>
      </c>
      <c r="P58" s="48" t="n"/>
      <c r="Q58" s="48" t="n"/>
    </row>
    <row r="59" ht="21" customHeight="1">
      <c r="A59" s="48" t="n"/>
      <c r="B59" s="48" t="n"/>
      <c r="C59" s="48" t="inlineStr">
        <is>
          <t>P4102157443</t>
        </is>
      </c>
      <c r="D59" s="48" t="inlineStr">
        <is>
          <t>Medice Arzneim. RB 2 Tanks</t>
        </is>
      </c>
      <c r="E59" s="48" t="inlineStr">
        <is>
          <t>West</t>
        </is>
      </c>
      <c r="F59" s="17" t="n">
        <v>21000</v>
      </c>
      <c r="G59" s="17" t="n">
        <v>0</v>
      </c>
      <c r="H59" s="17" t="n">
        <v>-13730.16</v>
      </c>
      <c r="I59" s="17" t="n">
        <v>0</v>
      </c>
      <c r="J59" s="17" t="n">
        <v>0</v>
      </c>
      <c r="K59" s="17" t="n">
        <v>0</v>
      </c>
      <c r="L59" s="17" t="n">
        <v>21000</v>
      </c>
      <c r="M59" s="17" t="n">
        <v>0</v>
      </c>
      <c r="N59" s="17" t="n">
        <v>-13730.16</v>
      </c>
      <c r="O59" s="17" t="n">
        <v>7269.84</v>
      </c>
      <c r="P59" s="48" t="n"/>
      <c r="Q59" s="48" t="n"/>
    </row>
    <row r="60" ht="21" customHeight="1">
      <c r="A60" s="48" t="n"/>
      <c r="B60" s="48" t="n"/>
      <c r="C60" s="48" t="inlineStr">
        <is>
          <t>P4102157445</t>
        </is>
      </c>
      <c r="D60" s="48" t="inlineStr">
        <is>
          <t>RB 2 Stahlwände Lüra Halle</t>
        </is>
      </c>
      <c r="E60" s="48" t="inlineStr">
        <is>
          <t>West</t>
        </is>
      </c>
      <c r="F60" s="17" t="n">
        <v>0</v>
      </c>
      <c r="G60" s="17" t="n">
        <v>-189.05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-189.05</v>
      </c>
      <c r="N60" s="17" t="n">
        <v>0</v>
      </c>
      <c r="O60" s="17" t="n">
        <v>-189.05</v>
      </c>
      <c r="P60" s="48" t="n"/>
      <c r="Q60" s="48" t="n"/>
    </row>
    <row r="61" ht="21" customHeight="1">
      <c r="C61" s="10" t="inlineStr">
        <is>
          <t>P4102157447</t>
        </is>
      </c>
      <c r="D61" s="10" t="inlineStr">
        <is>
          <t>Hkm Demontage DN 500</t>
        </is>
      </c>
      <c r="E61" s="10" t="inlineStr">
        <is>
          <t>West</t>
        </is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</row>
    <row r="62" ht="21" customHeight="1">
      <c r="C62" s="10" t="inlineStr">
        <is>
          <t>P4102157449</t>
        </is>
      </c>
      <c r="D62" s="10" t="inlineStr">
        <is>
          <t>RB Kessel KW Lausward</t>
        </is>
      </c>
      <c r="E62" s="10" t="inlineStr">
        <is>
          <t>West</t>
        </is>
      </c>
      <c r="F62" s="23" t="n">
        <v>827176.51</v>
      </c>
      <c r="G62" s="23" t="n">
        <v>-137348.38</v>
      </c>
      <c r="H62" s="23" t="n">
        <v>-578657.23</v>
      </c>
      <c r="I62" s="23" t="n">
        <v>0</v>
      </c>
      <c r="J62" s="23" t="n">
        <v>0</v>
      </c>
      <c r="K62" s="23" t="n">
        <v>0</v>
      </c>
      <c r="L62" s="23" t="n">
        <v>827176.51</v>
      </c>
      <c r="M62" s="23" t="n">
        <v>-137348.38</v>
      </c>
      <c r="N62" s="23" t="n">
        <v>-578657.23</v>
      </c>
      <c r="O62" s="23" t="n">
        <v>111170.9</v>
      </c>
    </row>
    <row r="63" ht="21" customHeight="1">
      <c r="C63" s="10" t="inlineStr">
        <is>
          <t>P4102157450</t>
        </is>
      </c>
      <c r="D63" s="10" t="inlineStr">
        <is>
          <t>Verschr. Brennkammer BA-301 Oxygen</t>
        </is>
      </c>
      <c r="E63" s="10" t="inlineStr">
        <is>
          <t>West</t>
        </is>
      </c>
      <c r="F63" s="23" t="n">
        <v>0</v>
      </c>
      <c r="G63" s="23" t="n">
        <v>-6.1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-6.1</v>
      </c>
      <c r="N63" s="23" t="n">
        <v>0</v>
      </c>
      <c r="O63" s="23" t="n">
        <v>-6.1</v>
      </c>
    </row>
    <row r="64" ht="21" customHeight="1">
      <c r="C64" s="10" t="inlineStr">
        <is>
          <t>P4102157451</t>
        </is>
      </c>
      <c r="D64" s="10" t="inlineStr">
        <is>
          <t>Sanierung Campus Golzheim</t>
        </is>
      </c>
      <c r="E64" s="10" t="inlineStr">
        <is>
          <t>West</t>
        </is>
      </c>
      <c r="F64" s="23" t="n">
        <v>40150.9</v>
      </c>
      <c r="G64" s="23" t="n">
        <v>-1893113.68</v>
      </c>
      <c r="H64" s="23" t="n">
        <v>2134210.44</v>
      </c>
      <c r="I64" s="23" t="n">
        <v>0</v>
      </c>
      <c r="J64" s="23" t="n">
        <v>0</v>
      </c>
      <c r="K64" s="23" t="n">
        <v>0</v>
      </c>
      <c r="L64" s="23" t="n">
        <v>40150.9</v>
      </c>
      <c r="M64" s="23" t="n">
        <v>-1893113.68</v>
      </c>
      <c r="N64" s="23" t="n">
        <v>2134210.44</v>
      </c>
      <c r="O64" s="23" t="n">
        <v>281247.6599999999</v>
      </c>
    </row>
    <row r="65" ht="21" customHeight="1">
      <c r="C65" s="10" t="inlineStr">
        <is>
          <t>P4102157452</t>
        </is>
      </c>
      <c r="D65" s="10" t="inlineStr">
        <is>
          <t>RB Cont.anlage TKSE Gelände</t>
        </is>
      </c>
      <c r="E65" s="10" t="inlineStr">
        <is>
          <t>West</t>
        </is>
      </c>
      <c r="F65" s="23" t="n">
        <v>0</v>
      </c>
      <c r="G65" s="23" t="n">
        <v>0</v>
      </c>
      <c r="H65" s="23" t="n">
        <v>-2847.73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-2847.73</v>
      </c>
      <c r="O65" s="23" t="n">
        <v>-2847.73</v>
      </c>
    </row>
    <row r="66" ht="21" customHeight="1">
      <c r="C66" s="10" t="inlineStr">
        <is>
          <t>P4102157453</t>
        </is>
      </c>
      <c r="D66" s="10" t="inlineStr">
        <is>
          <t>Wbw 4 Hallenrückbau</t>
        </is>
      </c>
      <c r="E66" s="10" t="inlineStr">
        <is>
          <t>West</t>
        </is>
      </c>
      <c r="F66" s="23" t="n">
        <v>1176663.57</v>
      </c>
      <c r="G66" s="23" t="n">
        <v>-699485.9</v>
      </c>
      <c r="H66" s="23" t="n">
        <v>-0.01</v>
      </c>
      <c r="I66" s="23" t="n">
        <v>0</v>
      </c>
      <c r="J66" s="23" t="n">
        <v>0</v>
      </c>
      <c r="K66" s="23" t="n">
        <v>0</v>
      </c>
      <c r="L66" s="23" t="n">
        <v>1176663.57</v>
      </c>
      <c r="M66" s="23" t="n">
        <v>-699485.9</v>
      </c>
      <c r="N66" s="23" t="n">
        <v>-0.01</v>
      </c>
      <c r="O66" s="23" t="n">
        <v>477177.66</v>
      </c>
    </row>
    <row r="67" ht="21" customHeight="1">
      <c r="C67" s="10" t="inlineStr">
        <is>
          <t>P4102157455</t>
        </is>
      </c>
      <c r="D67" s="10" t="inlineStr">
        <is>
          <t>Currenta San.+RB G22 Los 1+2 Anm.fehlt</t>
        </is>
      </c>
      <c r="E67" s="10" t="inlineStr">
        <is>
          <t>West</t>
        </is>
      </c>
      <c r="F67" s="23" t="n">
        <v>0</v>
      </c>
      <c r="G67" s="23" t="n">
        <v>-3255042.73</v>
      </c>
      <c r="H67" s="23" t="n">
        <v>3166169.81</v>
      </c>
      <c r="I67" s="23" t="n">
        <v>2223000</v>
      </c>
      <c r="J67" s="23" t="n">
        <v>-2114000</v>
      </c>
      <c r="K67" s="23" t="n">
        <v>0</v>
      </c>
      <c r="L67" s="23" t="n">
        <v>2223000</v>
      </c>
      <c r="M67" s="23" t="n">
        <v>-5369042.73</v>
      </c>
      <c r="N67" s="23" t="n">
        <v>3166169.81</v>
      </c>
      <c r="O67" s="23" t="n">
        <v>20127.07999999961</v>
      </c>
    </row>
    <row r="68" ht="21" customHeight="1">
      <c r="C68" s="10" t="inlineStr">
        <is>
          <t>P4102157456</t>
        </is>
      </c>
      <c r="D68" s="10" t="inlineStr">
        <is>
          <t>RB und Entsorgung Fundament Schleifbank</t>
        </is>
      </c>
      <c r="E68" s="10" t="inlineStr">
        <is>
          <t>West</t>
        </is>
      </c>
      <c r="F68" s="23" t="n">
        <v>103280</v>
      </c>
      <c r="G68" s="23" t="n">
        <v>-69993.84</v>
      </c>
      <c r="H68" s="23" t="n">
        <v>0</v>
      </c>
      <c r="I68" s="23" t="n">
        <v>0</v>
      </c>
      <c r="J68" s="23" t="n">
        <v>0</v>
      </c>
      <c r="K68" s="23" t="n">
        <v>0</v>
      </c>
      <c r="L68" s="23" t="n">
        <v>103280</v>
      </c>
      <c r="M68" s="23" t="n">
        <v>-69993.84</v>
      </c>
      <c r="N68" s="23" t="n">
        <v>0</v>
      </c>
      <c r="O68" s="23" t="n">
        <v>33286.16</v>
      </c>
    </row>
    <row r="69" ht="21" customHeight="1">
      <c r="C69" s="10" t="inlineStr">
        <is>
          <t>P4102157457</t>
        </is>
      </c>
      <c r="D69" s="10" t="inlineStr">
        <is>
          <t>tkse RB 2026</t>
        </is>
      </c>
      <c r="E69" s="10" t="inlineStr">
        <is>
          <t>West</t>
        </is>
      </c>
      <c r="F69" s="23" t="n">
        <v>322730.1</v>
      </c>
      <c r="G69" s="23" t="n">
        <v>-146134.19</v>
      </c>
      <c r="H69" s="23" t="n">
        <v>0</v>
      </c>
      <c r="I69" s="23" t="n">
        <v>85000</v>
      </c>
      <c r="J69" s="23" t="n">
        <v>-80000</v>
      </c>
      <c r="K69" s="23" t="n">
        <v>0</v>
      </c>
      <c r="L69" s="23" t="n">
        <v>407730.1</v>
      </c>
      <c r="M69" s="23" t="n">
        <v>-226134.19</v>
      </c>
      <c r="N69" s="23" t="n">
        <v>0</v>
      </c>
      <c r="O69" s="23" t="n">
        <v>181595.91</v>
      </c>
    </row>
    <row r="70" ht="21" customHeight="1">
      <c r="C70" s="10" t="inlineStr">
        <is>
          <t>P4102157458</t>
        </is>
      </c>
      <c r="D70" s="10" t="inlineStr">
        <is>
          <t>Kleinaufträge Region West 2026</t>
        </is>
      </c>
      <c r="E70" s="10" t="inlineStr">
        <is>
          <t>West</t>
        </is>
      </c>
      <c r="F70" s="23" t="n">
        <v>27473.13</v>
      </c>
      <c r="G70" s="23" t="n">
        <v>-4953.57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27473.13</v>
      </c>
      <c r="M70" s="23" t="n">
        <v>-4953.57</v>
      </c>
      <c r="N70" s="23" t="n">
        <v>0</v>
      </c>
      <c r="O70" s="23" t="n">
        <v>22519.56</v>
      </c>
    </row>
    <row r="71" ht="21" customHeight="1">
      <c r="C71" s="10" t="inlineStr">
        <is>
          <t>P4102157459</t>
        </is>
      </c>
      <c r="D71" s="10" t="inlineStr">
        <is>
          <t>RB alte Beizanlage</t>
        </is>
      </c>
      <c r="E71" s="10" t="inlineStr">
        <is>
          <t>West</t>
        </is>
      </c>
      <c r="F71" s="23" t="n">
        <v>32538</v>
      </c>
      <c r="G71" s="23" t="n">
        <v>-15918.45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32538</v>
      </c>
      <c r="M71" s="23" t="n">
        <v>-15918.45</v>
      </c>
      <c r="N71" s="23" t="n">
        <v>0</v>
      </c>
      <c r="O71" s="23" t="n">
        <v>16619.55</v>
      </c>
    </row>
    <row r="72" ht="21" customHeight="1">
      <c r="C72" s="10" t="inlineStr">
        <is>
          <t>P4102157461</t>
        </is>
      </c>
      <c r="D72" s="10" t="inlineStr">
        <is>
          <t>Brücke D 1 Seitenteile</t>
        </is>
      </c>
      <c r="E72" s="10" t="inlineStr">
        <is>
          <t>West</t>
        </is>
      </c>
      <c r="F72" s="23" t="n">
        <v>37000</v>
      </c>
      <c r="G72" s="23" t="n">
        <v>-22614.95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37000</v>
      </c>
      <c r="M72" s="23" t="n">
        <v>-22614.95</v>
      </c>
      <c r="N72" s="23" t="n">
        <v>0</v>
      </c>
      <c r="O72" s="23" t="n">
        <v>14385.05</v>
      </c>
    </row>
    <row r="73" ht="21" customHeight="1">
      <c r="C73" s="10" t="inlineStr">
        <is>
          <t>P4102157462</t>
        </is>
      </c>
      <c r="D73" s="10" t="inlineStr">
        <is>
          <t>Waggonverschrottung 2026</t>
        </is>
      </c>
      <c r="E73" s="10" t="inlineStr">
        <is>
          <t>West</t>
        </is>
      </c>
      <c r="F73" s="23" t="n">
        <v>27918.14</v>
      </c>
      <c r="G73" s="23" t="n">
        <v>-30897.53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27918.14</v>
      </c>
      <c r="M73" s="23" t="n">
        <v>-30897.53</v>
      </c>
      <c r="N73" s="23" t="n">
        <v>0</v>
      </c>
      <c r="O73" s="23" t="n">
        <v>-2979.389999999999</v>
      </c>
    </row>
    <row r="74" ht="21" customHeight="1">
      <c r="C74" s="10" t="inlineStr">
        <is>
          <t>P4102157463</t>
        </is>
      </c>
      <c r="D74" s="10" t="inlineStr">
        <is>
          <t>RB Maschinenhaus Bl. B+C</t>
        </is>
      </c>
      <c r="E74" s="10" t="inlineStr">
        <is>
          <t>West</t>
        </is>
      </c>
      <c r="F74" s="23" t="n">
        <v>546993.5699999999</v>
      </c>
      <c r="G74" s="23" t="n">
        <v>-876166.21</v>
      </c>
      <c r="H74" s="23" t="n">
        <v>327267.27</v>
      </c>
      <c r="I74" s="23" t="n">
        <v>546994</v>
      </c>
      <c r="J74" s="23" t="n">
        <v>-350000</v>
      </c>
      <c r="K74" s="23" t="n">
        <v>0</v>
      </c>
      <c r="L74" s="23" t="n">
        <v>1093987.57</v>
      </c>
      <c r="M74" s="23" t="n">
        <v>-1226166.21</v>
      </c>
      <c r="N74" s="23" t="n">
        <v>327267.27</v>
      </c>
      <c r="O74" s="23" t="n">
        <v>195088.6299999999</v>
      </c>
    </row>
    <row r="75" ht="21" customHeight="1">
      <c r="C75" s="10" t="inlineStr">
        <is>
          <t>P4102157464</t>
        </is>
      </c>
      <c r="D75" s="10" t="inlineStr">
        <is>
          <t>Asbest Schadstoffsanierung C 601</t>
        </is>
      </c>
      <c r="E75" s="10" t="inlineStr">
        <is>
          <t>West</t>
        </is>
      </c>
      <c r="F75" s="23" t="n">
        <v>23745</v>
      </c>
      <c r="G75" s="23" t="n">
        <v>-15967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23745</v>
      </c>
      <c r="M75" s="23" t="n">
        <v>-15967</v>
      </c>
      <c r="N75" s="23" t="n">
        <v>0</v>
      </c>
      <c r="O75" s="23" t="n">
        <v>7778</v>
      </c>
    </row>
    <row r="76" ht="21" customHeight="1">
      <c r="C76" s="10" t="inlineStr">
        <is>
          <t>P4102157465</t>
        </is>
      </c>
      <c r="D76" s="10" t="inlineStr">
        <is>
          <t>Reinigungsarbeiten Block B</t>
        </is>
      </c>
      <c r="E76" s="10" t="inlineStr">
        <is>
          <t>West</t>
        </is>
      </c>
      <c r="F76" s="23" t="n">
        <v>16000</v>
      </c>
      <c r="G76" s="23" t="n">
        <v>-8117.03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16000</v>
      </c>
      <c r="M76" s="23" t="n">
        <v>-8117.03</v>
      </c>
      <c r="N76" s="23" t="n">
        <v>0</v>
      </c>
      <c r="O76" s="23" t="n">
        <v>7882.97</v>
      </c>
    </row>
    <row r="77" ht="21" customHeight="1">
      <c r="C77" s="10" t="inlineStr">
        <is>
          <t>P4102157466</t>
        </is>
      </c>
      <c r="D77" s="10" t="inlineStr">
        <is>
          <t>Verschrottung Anlagenteile</t>
        </is>
      </c>
      <c r="E77" s="10" t="inlineStr">
        <is>
          <t>West</t>
        </is>
      </c>
      <c r="F77" s="23" t="n">
        <v>15250</v>
      </c>
      <c r="G77" s="23" t="n">
        <v>-8192.09</v>
      </c>
      <c r="H77" s="23" t="n">
        <v>0</v>
      </c>
      <c r="I77" s="23" t="n">
        <v>0</v>
      </c>
      <c r="J77" s="23" t="n">
        <v>0</v>
      </c>
      <c r="K77" s="23" t="n">
        <v>0</v>
      </c>
      <c r="L77" s="23" t="n">
        <v>15250</v>
      </c>
      <c r="M77" s="23" t="n">
        <v>-8192.09</v>
      </c>
      <c r="N77" s="23" t="n">
        <v>0</v>
      </c>
      <c r="O77" s="23" t="n">
        <v>7057.91</v>
      </c>
    </row>
    <row r="78" ht="21" customHeight="1">
      <c r="C78" s="10" t="inlineStr">
        <is>
          <t>P4102157467</t>
        </is>
      </c>
      <c r="D78" s="10" t="inlineStr">
        <is>
          <t>Plakoma - Dem. Roheisenfähren</t>
        </is>
      </c>
      <c r="E78" s="10" t="inlineStr">
        <is>
          <t>West</t>
        </is>
      </c>
      <c r="F78" s="23" t="n">
        <v>220000</v>
      </c>
      <c r="G78" s="23" t="n">
        <v>-40000</v>
      </c>
      <c r="H78" s="23" t="n">
        <v>0</v>
      </c>
      <c r="I78" s="23" t="n">
        <v>230000</v>
      </c>
      <c r="J78" s="23" t="n">
        <v>-184000</v>
      </c>
      <c r="K78" s="23" t="n">
        <v>0</v>
      </c>
      <c r="L78" s="23" t="n">
        <v>450000</v>
      </c>
      <c r="M78" s="23" t="n">
        <v>-224000</v>
      </c>
      <c r="N78" s="23" t="n">
        <v>0</v>
      </c>
      <c r="O78" s="23" t="n">
        <v>226000</v>
      </c>
    </row>
    <row r="79" ht="21" customHeight="1">
      <c r="C79" s="10" t="inlineStr">
        <is>
          <t>P4102157468</t>
        </is>
      </c>
      <c r="D79" s="10" t="inlineStr">
        <is>
          <t>Verschr. Kondensattank Kokerei Schwelger</t>
        </is>
      </c>
      <c r="E79" s="10" t="inlineStr">
        <is>
          <t>West</t>
        </is>
      </c>
      <c r="F79" s="23" t="n">
        <v>0</v>
      </c>
      <c r="G79" s="23" t="n">
        <v>-31262.12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-31262.12</v>
      </c>
      <c r="N79" s="23" t="n">
        <v>0</v>
      </c>
      <c r="O79" s="23" t="n">
        <v>-31262.12</v>
      </c>
    </row>
    <row r="80" ht="21" customHeight="1">
      <c r="C80" s="10" t="inlineStr">
        <is>
          <t>P4102157469</t>
        </is>
      </c>
      <c r="D80" s="10" t="inlineStr">
        <is>
          <t>Anmeldung fehlt</t>
        </is>
      </c>
      <c r="E80" s="10" t="inlineStr">
        <is>
          <t>West</t>
        </is>
      </c>
      <c r="F80" s="23" t="n">
        <v>0</v>
      </c>
      <c r="G80" s="23" t="n">
        <v>-3228.29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0</v>
      </c>
      <c r="M80" s="23" t="n">
        <v>-3228.29</v>
      </c>
      <c r="N80" s="23" t="n">
        <v>0</v>
      </c>
      <c r="O80" s="23" t="n">
        <v>-3228.29</v>
      </c>
    </row>
    <row r="81" ht="21" customHeight="1">
      <c r="C81" s="10" t="inlineStr">
        <is>
          <t>P4102307304</t>
        </is>
      </c>
      <c r="D81" s="10" t="inlineStr">
        <is>
          <t>HKW Süd</t>
        </is>
      </c>
      <c r="E81" s="10" t="inlineStr">
        <is>
          <t>Süd-West</t>
        </is>
      </c>
      <c r="F81" s="23" t="n">
        <v>0</v>
      </c>
      <c r="G81" s="23" t="n">
        <v>-1337.87</v>
      </c>
      <c r="H81" s="23" t="n">
        <v>124.87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-1337.87</v>
      </c>
      <c r="N81" s="23" t="n">
        <v>124.87</v>
      </c>
      <c r="O81" s="23" t="n">
        <v>-1213</v>
      </c>
    </row>
    <row r="82" ht="21" customHeight="1">
      <c r="C82" s="10" t="inlineStr">
        <is>
          <t>P4102307306</t>
        </is>
      </c>
      <c r="D82" s="10" t="inlineStr">
        <is>
          <t>RB Halle Karlsruhe</t>
        </is>
      </c>
      <c r="E82" s="10" t="inlineStr">
        <is>
          <t>Süd-West</t>
        </is>
      </c>
      <c r="F82" s="23" t="n">
        <v>0</v>
      </c>
      <c r="G82" s="23" t="n">
        <v>0</v>
      </c>
      <c r="H82" s="23" t="n">
        <v>-7000</v>
      </c>
      <c r="I82" s="23" t="n">
        <v>0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-7000</v>
      </c>
      <c r="O82" s="23" t="n">
        <v>-7000</v>
      </c>
    </row>
    <row r="83" ht="21" customHeight="1">
      <c r="C83" s="10" t="inlineStr">
        <is>
          <t>P4102307366</t>
        </is>
      </c>
      <c r="D83" s="10" t="inlineStr">
        <is>
          <t>EnBW UW Niederbühl</t>
        </is>
      </c>
      <c r="E83" s="10" t="inlineStr">
        <is>
          <t>Süd-West</t>
        </is>
      </c>
      <c r="F83" s="23" t="n">
        <v>0</v>
      </c>
      <c r="G83" s="23" t="n">
        <v>0</v>
      </c>
      <c r="H83" s="23" t="n">
        <v>0</v>
      </c>
      <c r="I83" s="23" t="n">
        <v>66000</v>
      </c>
      <c r="J83" s="23" t="n">
        <v>0</v>
      </c>
      <c r="K83" s="23" t="n">
        <v>0</v>
      </c>
      <c r="L83" s="23" t="n">
        <v>66000</v>
      </c>
      <c r="M83" s="23" t="n">
        <v>0</v>
      </c>
      <c r="N83" s="23" t="n">
        <v>0</v>
      </c>
      <c r="O83" s="23" t="n">
        <v>66000</v>
      </c>
    </row>
    <row r="84" ht="21" customHeight="1">
      <c r="C84" s="10" t="inlineStr">
        <is>
          <t>P4102307411</t>
        </is>
      </c>
      <c r="D84" s="10" t="inlineStr">
        <is>
          <t>BASF G 521</t>
        </is>
      </c>
      <c r="E84" s="10" t="inlineStr">
        <is>
          <t>Süd-West</t>
        </is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</row>
    <row r="85" ht="21" customHeight="1">
      <c r="C85" s="10" t="inlineStr">
        <is>
          <t>P4102307416</t>
        </is>
      </c>
      <c r="D85" s="10" t="inlineStr">
        <is>
          <t>BASF O 405 Ammoniak</t>
        </is>
      </c>
      <c r="E85" s="10" t="inlineStr">
        <is>
          <t>Süd-West</t>
        </is>
      </c>
      <c r="F85" s="23" t="n">
        <v>0</v>
      </c>
      <c r="G85" s="23" t="n">
        <v>0</v>
      </c>
      <c r="H85" s="23" t="n">
        <v>-25780.46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-25780.46</v>
      </c>
      <c r="O85" s="23" t="n">
        <v>-25780.46</v>
      </c>
    </row>
    <row r="86" ht="21" customHeight="1">
      <c r="C86" s="10" t="inlineStr">
        <is>
          <t>P4102307422</t>
        </is>
      </c>
      <c r="D86" s="10" t="inlineStr">
        <is>
          <t>BASF M 950</t>
        </is>
      </c>
      <c r="E86" s="10" t="inlineStr">
        <is>
          <t>Süd-West</t>
        </is>
      </c>
      <c r="F86" s="23" t="n">
        <v>1613.33</v>
      </c>
      <c r="G86" s="23" t="n">
        <v>-17995.46</v>
      </c>
      <c r="H86" s="23" t="n">
        <v>-10353.48</v>
      </c>
      <c r="I86" s="23" t="n">
        <v>0</v>
      </c>
      <c r="J86" s="23" t="n">
        <v>0</v>
      </c>
      <c r="K86" s="23" t="n">
        <v>0</v>
      </c>
      <c r="L86" s="23" t="n">
        <v>1613.33</v>
      </c>
      <c r="M86" s="23" t="n">
        <v>-17995.46</v>
      </c>
      <c r="N86" s="23" t="n">
        <v>-10353.48</v>
      </c>
      <c r="O86" s="23" t="n">
        <v>-26735.61</v>
      </c>
    </row>
    <row r="87" ht="21" customHeight="1">
      <c r="C87" s="10" t="inlineStr">
        <is>
          <t>P4102307423</t>
        </is>
      </c>
      <c r="D87" s="10" t="inlineStr">
        <is>
          <t>BASF F 712</t>
        </is>
      </c>
      <c r="E87" s="10" t="inlineStr">
        <is>
          <t>Süd-West</t>
        </is>
      </c>
      <c r="F87" s="23" t="n">
        <v>29755.02</v>
      </c>
      <c r="G87" s="23" t="n">
        <v>-31000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29755.02</v>
      </c>
      <c r="M87" s="23" t="n">
        <v>-31000</v>
      </c>
      <c r="N87" s="23" t="n">
        <v>0</v>
      </c>
      <c r="O87" s="23" t="n">
        <v>-1244.98</v>
      </c>
    </row>
    <row r="88" ht="21" customHeight="1">
      <c r="C88" s="10" t="inlineStr">
        <is>
          <t>P4102307424</t>
        </is>
      </c>
      <c r="D88" s="10" t="inlineStr">
        <is>
          <t>BASF P 703</t>
        </is>
      </c>
      <c r="E88" s="10" t="inlineStr">
        <is>
          <t>Süd-West</t>
        </is>
      </c>
      <c r="F88" s="23" t="n">
        <v>0</v>
      </c>
      <c r="G88" s="23" t="n">
        <v>-166.84</v>
      </c>
      <c r="H88" s="23" t="n">
        <v>0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-166.84</v>
      </c>
      <c r="N88" s="23" t="n">
        <v>0</v>
      </c>
      <c r="O88" s="23" t="n">
        <v>-166.84</v>
      </c>
    </row>
    <row r="89" ht="21" customHeight="1">
      <c r="C89" s="10" t="inlineStr">
        <is>
          <t>P4102307426</t>
        </is>
      </c>
      <c r="D89" s="10" t="inlineStr">
        <is>
          <t>BASF Z 300</t>
        </is>
      </c>
      <c r="E89" s="10" t="inlineStr">
        <is>
          <t>Süd-West</t>
        </is>
      </c>
      <c r="F89" s="23" t="n">
        <v>40236.26</v>
      </c>
      <c r="G89" s="23" t="n">
        <v>-31447.44</v>
      </c>
      <c r="H89" s="23" t="n">
        <v>0</v>
      </c>
      <c r="I89" s="23" t="n">
        <v>10000</v>
      </c>
      <c r="J89" s="23" t="n">
        <v>0</v>
      </c>
      <c r="K89" s="23" t="n">
        <v>0</v>
      </c>
      <c r="L89" s="23" t="n">
        <v>50236.26</v>
      </c>
      <c r="M89" s="23" t="n">
        <v>-31447.44</v>
      </c>
      <c r="N89" s="23" t="n">
        <v>0</v>
      </c>
      <c r="O89" s="23" t="n">
        <v>18788.82</v>
      </c>
    </row>
    <row r="90" ht="21" customHeight="1">
      <c r="C90" s="10" t="inlineStr">
        <is>
          <t>P4102307427</t>
        </is>
      </c>
      <c r="D90" s="10" t="inlineStr">
        <is>
          <t>BASF N 720</t>
        </is>
      </c>
      <c r="E90" s="10" t="inlineStr">
        <is>
          <t>Süd-West</t>
        </is>
      </c>
      <c r="F90" s="23" t="n">
        <v>40570.44</v>
      </c>
      <c r="G90" s="23" t="n">
        <v>-63381.2</v>
      </c>
      <c r="H90" s="23" t="n">
        <v>0</v>
      </c>
      <c r="I90" s="23" t="n">
        <v>100000</v>
      </c>
      <c r="J90" s="23" t="n">
        <v>-95000</v>
      </c>
      <c r="K90" s="23" t="n">
        <v>0</v>
      </c>
      <c r="L90" s="23" t="n">
        <v>140570.44</v>
      </c>
      <c r="M90" s="23" t="n">
        <v>-158381.2</v>
      </c>
      <c r="N90" s="23" t="n">
        <v>0</v>
      </c>
      <c r="O90" s="23" t="n">
        <v>-17810.76000000001</v>
      </c>
    </row>
    <row r="91" ht="21" customHeight="1">
      <c r="C91" s="10" t="inlineStr">
        <is>
          <t>P4102307428</t>
        </is>
      </c>
      <c r="D91" s="10" t="inlineStr">
        <is>
          <t>BASF O 405</t>
        </is>
      </c>
      <c r="E91" s="10" t="inlineStr">
        <is>
          <t>Süd-West</t>
        </is>
      </c>
      <c r="F91" s="23" t="n">
        <v>149536.25</v>
      </c>
      <c r="G91" s="23" t="n">
        <v>-7367.86</v>
      </c>
      <c r="H91" s="23" t="n">
        <v>0</v>
      </c>
      <c r="I91" s="23" t="n">
        <v>49000</v>
      </c>
      <c r="J91" s="23" t="n">
        <v>-29400</v>
      </c>
      <c r="K91" s="23" t="n">
        <v>0</v>
      </c>
      <c r="L91" s="23" t="n">
        <v>198536.25</v>
      </c>
      <c r="M91" s="23" t="n">
        <v>-36767.86</v>
      </c>
      <c r="N91" s="23" t="n">
        <v>0</v>
      </c>
      <c r="O91" s="23" t="n">
        <v>161768.39</v>
      </c>
    </row>
    <row r="92" ht="21" customHeight="1">
      <c r="C92" s="10" t="inlineStr">
        <is>
          <t>P4102307429</t>
        </is>
      </c>
      <c r="D92" s="10" t="inlineStr">
        <is>
          <t>BASF C 509</t>
        </is>
      </c>
      <c r="E92" s="10" t="inlineStr">
        <is>
          <t>Süd-West</t>
        </is>
      </c>
      <c r="F92" s="23" t="n">
        <v>47313.87</v>
      </c>
      <c r="G92" s="23" t="n">
        <v>-11295.81</v>
      </c>
      <c r="H92" s="23" t="n">
        <v>0</v>
      </c>
      <c r="I92" s="23" t="n">
        <v>0</v>
      </c>
      <c r="J92" s="23" t="n">
        <v>0</v>
      </c>
      <c r="K92" s="23" t="n">
        <v>0</v>
      </c>
      <c r="L92" s="23" t="n">
        <v>47313.87</v>
      </c>
      <c r="M92" s="23" t="n">
        <v>-11295.81</v>
      </c>
      <c r="N92" s="23" t="n">
        <v>0</v>
      </c>
      <c r="O92" s="23" t="n">
        <v>36018.06</v>
      </c>
    </row>
    <row r="93" ht="21" customHeight="1">
      <c r="C93" s="10" t="inlineStr">
        <is>
          <t>P4102307430</t>
        </is>
      </c>
      <c r="D93" s="10" t="inlineStr">
        <is>
          <t>BASF E 701</t>
        </is>
      </c>
      <c r="E93" s="10" t="inlineStr">
        <is>
          <t>Süd-West</t>
        </is>
      </c>
      <c r="F93" s="23" t="n">
        <v>42425.11</v>
      </c>
      <c r="G93" s="23" t="n">
        <v>-19891.85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42425.11</v>
      </c>
      <c r="M93" s="23" t="n">
        <v>-19891.85</v>
      </c>
      <c r="N93" s="23" t="n">
        <v>0</v>
      </c>
      <c r="O93" s="23" t="n">
        <v>22533.26</v>
      </c>
    </row>
    <row r="94" ht="21" customHeight="1">
      <c r="C94" s="10" t="inlineStr">
        <is>
          <t>P4102307431</t>
        </is>
      </c>
      <c r="D94" s="10" t="inlineStr">
        <is>
          <t>HNVG Bauph. II Gaswerk</t>
        </is>
      </c>
      <c r="E94" s="10" t="inlineStr">
        <is>
          <t>Süd-West</t>
        </is>
      </c>
      <c r="F94" s="23" t="n">
        <v>97490.11</v>
      </c>
      <c r="G94" s="23" t="n">
        <v>0</v>
      </c>
      <c r="H94" s="23" t="n">
        <v>-83199.77</v>
      </c>
      <c r="I94" s="23" t="n">
        <v>0</v>
      </c>
      <c r="J94" s="23" t="n">
        <v>0</v>
      </c>
      <c r="K94" s="23" t="n">
        <v>0</v>
      </c>
      <c r="L94" s="23" t="n">
        <v>97490.11</v>
      </c>
      <c r="M94" s="23" t="n">
        <v>0</v>
      </c>
      <c r="N94" s="23" t="n">
        <v>-83199.77</v>
      </c>
      <c r="O94" s="23" t="n">
        <v>14290.34</v>
      </c>
    </row>
    <row r="95" ht="21" customHeight="1">
      <c r="C95" s="10" t="inlineStr">
        <is>
          <t>P4102307432</t>
        </is>
      </c>
      <c r="D95" s="10" t="inlineStr">
        <is>
          <t>HNVG - Bauph. III Gaswerk</t>
        </is>
      </c>
      <c r="E95" s="10" t="inlineStr">
        <is>
          <t>Süd-West</t>
        </is>
      </c>
      <c r="F95" s="23" t="n">
        <v>85258.00999999999</v>
      </c>
      <c r="G95" s="23" t="n">
        <v>-30600</v>
      </c>
      <c r="H95" s="23" t="n">
        <v>-39732.85</v>
      </c>
      <c r="I95" s="23" t="n">
        <v>0</v>
      </c>
      <c r="J95" s="23" t="n">
        <v>0</v>
      </c>
      <c r="K95" s="23" t="n">
        <v>0</v>
      </c>
      <c r="L95" s="23" t="n">
        <v>85258.00999999999</v>
      </c>
      <c r="M95" s="23" t="n">
        <v>-30600</v>
      </c>
      <c r="N95" s="23" t="n">
        <v>-39732.85</v>
      </c>
      <c r="O95" s="23" t="n">
        <v>14925.16</v>
      </c>
    </row>
    <row r="96" ht="21" customHeight="1">
      <c r="C96" s="10" t="inlineStr">
        <is>
          <t>P4102307433</t>
        </is>
      </c>
      <c r="D96" s="10" t="inlineStr">
        <is>
          <t>BASF U 505 Blauer Block</t>
        </is>
      </c>
      <c r="E96" s="10" t="inlineStr">
        <is>
          <t>Süd-West</t>
        </is>
      </c>
      <c r="F96" s="23" t="n">
        <v>845320.52</v>
      </c>
      <c r="G96" s="23" t="n">
        <v>-825817.55</v>
      </c>
      <c r="H96" s="23" t="n">
        <v>0</v>
      </c>
      <c r="I96" s="23" t="n">
        <v>200000</v>
      </c>
      <c r="J96" s="23" t="n">
        <v>-120000</v>
      </c>
      <c r="K96" s="23" t="n">
        <v>0</v>
      </c>
      <c r="L96" s="23" t="n">
        <v>1045320.52</v>
      </c>
      <c r="M96" s="23" t="n">
        <v>-945817.55</v>
      </c>
      <c r="N96" s="23" t="n">
        <v>0</v>
      </c>
      <c r="O96" s="23" t="n">
        <v>99502.96999999997</v>
      </c>
    </row>
    <row r="97" ht="21" customHeight="1">
      <c r="C97" s="10" t="inlineStr">
        <is>
          <t>P4102307434</t>
        </is>
      </c>
      <c r="D97" s="10" t="inlineStr">
        <is>
          <t>BASF S 304</t>
        </is>
      </c>
      <c r="E97" s="10" t="inlineStr">
        <is>
          <t>Süd-West</t>
        </is>
      </c>
      <c r="F97" s="23" t="n">
        <v>60554.04</v>
      </c>
      <c r="G97" s="23" t="n">
        <v>-22058.42</v>
      </c>
      <c r="H97" s="23" t="n">
        <v>-46621</v>
      </c>
      <c r="I97" s="23" t="n">
        <v>0</v>
      </c>
      <c r="J97" s="23" t="n">
        <v>0</v>
      </c>
      <c r="K97" s="23" t="n">
        <v>0</v>
      </c>
      <c r="L97" s="23" t="n">
        <v>60554.04</v>
      </c>
      <c r="M97" s="23" t="n">
        <v>-22058.42</v>
      </c>
      <c r="N97" s="23" t="n">
        <v>-46621</v>
      </c>
      <c r="O97" s="23" t="n">
        <v>-8125.379999999997</v>
      </c>
    </row>
    <row r="98" ht="21" customHeight="1">
      <c r="C98" s="10" t="inlineStr">
        <is>
          <t>P4102307435</t>
        </is>
      </c>
      <c r="D98" s="10" t="inlineStr">
        <is>
          <t>ENBW - KW Walheim</t>
        </is>
      </c>
      <c r="E98" s="10" t="inlineStr">
        <is>
          <t>Süd-West</t>
        </is>
      </c>
      <c r="F98" s="23" t="n">
        <v>240770.35</v>
      </c>
      <c r="G98" s="23" t="n">
        <v>-142710.2</v>
      </c>
      <c r="H98" s="23" t="n">
        <v>-168400.34</v>
      </c>
      <c r="I98" s="23" t="n">
        <v>0</v>
      </c>
      <c r="J98" s="23" t="n">
        <v>0</v>
      </c>
      <c r="K98" s="23" t="n">
        <v>0</v>
      </c>
      <c r="L98" s="23" t="n">
        <v>240770.35</v>
      </c>
      <c r="M98" s="23" t="n">
        <v>-142710.2</v>
      </c>
      <c r="N98" s="23" t="n">
        <v>-168400.34</v>
      </c>
      <c r="O98" s="23" t="n">
        <v>-70340.19</v>
      </c>
    </row>
    <row r="99" ht="21" customHeight="1">
      <c r="C99" s="10" t="inlineStr">
        <is>
          <t>P4102307436</t>
        </is>
      </c>
      <c r="D99" s="10" t="inlineStr">
        <is>
          <t>BASF O 914 - O 915</t>
        </is>
      </c>
      <c r="E99" s="10" t="inlineStr">
        <is>
          <t>Süd-West</t>
        </is>
      </c>
      <c r="F99" s="23" t="n">
        <v>51822.08</v>
      </c>
      <c r="G99" s="23" t="n">
        <v>-56256.37</v>
      </c>
      <c r="H99" s="23" t="n">
        <v>5723.3</v>
      </c>
      <c r="I99" s="23" t="n">
        <v>0</v>
      </c>
      <c r="J99" s="23" t="n">
        <v>0</v>
      </c>
      <c r="K99" s="23" t="n">
        <v>0</v>
      </c>
      <c r="L99" s="23" t="n">
        <v>51822.08</v>
      </c>
      <c r="M99" s="23" t="n">
        <v>-56256.37</v>
      </c>
      <c r="N99" s="23" t="n">
        <v>5723.3</v>
      </c>
      <c r="O99" s="23" t="n">
        <v>1289.009999999999</v>
      </c>
    </row>
    <row r="100" ht="21" customHeight="1">
      <c r="C100" s="10" t="inlineStr">
        <is>
          <t>P4102307437</t>
        </is>
      </c>
      <c r="D100" s="10" t="inlineStr">
        <is>
          <t>ENBW - KW Walheim, Permutit-Anlage</t>
        </is>
      </c>
      <c r="E100" s="10" t="inlineStr">
        <is>
          <t>Süd-West</t>
        </is>
      </c>
      <c r="F100" s="23" t="n">
        <v>66801.86</v>
      </c>
      <c r="G100" s="23" t="n">
        <v>-188.19</v>
      </c>
      <c r="H100" s="23" t="n">
        <v>-66752</v>
      </c>
      <c r="I100" s="23" t="n">
        <v>0</v>
      </c>
      <c r="J100" s="23" t="n">
        <v>0</v>
      </c>
      <c r="K100" s="23" t="n">
        <v>0</v>
      </c>
      <c r="L100" s="23" t="n">
        <v>66801.86</v>
      </c>
      <c r="M100" s="23" t="n">
        <v>-188.19</v>
      </c>
      <c r="N100" s="23" t="n">
        <v>-66752</v>
      </c>
      <c r="O100" s="23" t="n">
        <v>-138.3300000000017</v>
      </c>
    </row>
    <row r="101" ht="21" customHeight="1">
      <c r="C101" s="10" t="inlineStr">
        <is>
          <t>P4102307438</t>
        </is>
      </c>
      <c r="D101" s="10" t="inlineStr">
        <is>
          <t>Netze BW- UW Bruchsal</t>
        </is>
      </c>
      <c r="E101" s="10" t="inlineStr">
        <is>
          <t>Süd-West</t>
        </is>
      </c>
      <c r="F101" s="23" t="n">
        <v>20108.3</v>
      </c>
      <c r="G101" s="23" t="n">
        <v>-65980.50999999999</v>
      </c>
      <c r="H101" s="23" t="n">
        <v>66878.32000000001</v>
      </c>
      <c r="I101" s="23" t="n">
        <v>81000</v>
      </c>
      <c r="J101" s="23" t="n">
        <v>-70227</v>
      </c>
      <c r="K101" s="23" t="n">
        <v>0</v>
      </c>
      <c r="L101" s="23" t="n">
        <v>101108.3</v>
      </c>
      <c r="M101" s="23" t="n">
        <v>-136207.51</v>
      </c>
      <c r="N101" s="23" t="n">
        <v>66878.32000000001</v>
      </c>
      <c r="O101" s="23" t="n">
        <v>31779.11</v>
      </c>
    </row>
    <row r="102" ht="21" customHeight="1">
      <c r="C102" s="10" t="inlineStr">
        <is>
          <t>P4102307439</t>
        </is>
      </c>
      <c r="D102" s="10" t="inlineStr">
        <is>
          <t>BASF U 405 Teil 1</t>
        </is>
      </c>
      <c r="E102" s="10" t="inlineStr">
        <is>
          <t>Süd-West</t>
        </is>
      </c>
      <c r="F102" s="23" t="n">
        <v>73270.25</v>
      </c>
      <c r="G102" s="23" t="n">
        <v>-104560.54</v>
      </c>
      <c r="H102" s="23" t="n">
        <v>0</v>
      </c>
      <c r="I102" s="23" t="n">
        <v>94000</v>
      </c>
      <c r="J102" s="23" t="n">
        <v>-50000</v>
      </c>
      <c r="K102" s="23" t="n">
        <v>0</v>
      </c>
      <c r="L102" s="23" t="n">
        <v>167270.25</v>
      </c>
      <c r="M102" s="23" t="n">
        <v>-154560.54</v>
      </c>
      <c r="N102" s="23" t="n">
        <v>0</v>
      </c>
      <c r="O102" s="23" t="n">
        <v>12709.71000000002</v>
      </c>
    </row>
    <row r="103" ht="21" customHeight="1">
      <c r="C103" s="10" t="inlineStr">
        <is>
          <t>P4102307440</t>
        </is>
      </c>
      <c r="D103" s="10" t="inlineStr">
        <is>
          <t>BASF  L 605</t>
        </is>
      </c>
      <c r="E103" s="10" t="inlineStr">
        <is>
          <t>Süd-West</t>
        </is>
      </c>
      <c r="F103" s="23" t="n">
        <v>249898.21</v>
      </c>
      <c r="G103" s="23" t="n">
        <v>-161600.06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249898.21</v>
      </c>
      <c r="M103" s="23" t="n">
        <v>-161600.06</v>
      </c>
      <c r="N103" s="23" t="n">
        <v>0</v>
      </c>
      <c r="O103" s="23" t="n">
        <v>88298.14999999999</v>
      </c>
    </row>
    <row r="104" ht="21" customHeight="1">
      <c r="C104" s="10" t="inlineStr">
        <is>
          <t>P4102307441</t>
        </is>
      </c>
      <c r="D104" s="10" t="inlineStr">
        <is>
          <t>BASF  E 301</t>
        </is>
      </c>
      <c r="E104" s="10" t="inlineStr">
        <is>
          <t>Süd-West</t>
        </is>
      </c>
      <c r="F104" s="23" t="n">
        <v>50827.6</v>
      </c>
      <c r="G104" s="23" t="n">
        <v>-16165.48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50827.6</v>
      </c>
      <c r="M104" s="23" t="n">
        <v>-16165.48</v>
      </c>
      <c r="N104" s="23" t="n">
        <v>0</v>
      </c>
      <c r="O104" s="23" t="n">
        <v>34662.12</v>
      </c>
    </row>
    <row r="105" ht="21" customHeight="1">
      <c r="C105" s="10" t="inlineStr">
        <is>
          <t>P4102307442</t>
        </is>
      </c>
      <c r="D105" s="10" t="inlineStr">
        <is>
          <t>Leingarten Schwimmhalle 1</t>
        </is>
      </c>
      <c r="E105" s="10" t="inlineStr">
        <is>
          <t>Süd-West</t>
        </is>
      </c>
      <c r="F105" s="23" t="n">
        <v>9232.4</v>
      </c>
      <c r="G105" s="23" t="n">
        <v>-68659.09</v>
      </c>
      <c r="H105" s="23" t="n">
        <v>77704.58</v>
      </c>
      <c r="I105" s="23" t="n">
        <v>0</v>
      </c>
      <c r="J105" s="23" t="n">
        <v>0</v>
      </c>
      <c r="K105" s="23" t="n">
        <v>0</v>
      </c>
      <c r="L105" s="23" t="n">
        <v>9232.4</v>
      </c>
      <c r="M105" s="23" t="n">
        <v>-68659.09</v>
      </c>
      <c r="N105" s="23" t="n">
        <v>77704.58</v>
      </c>
      <c r="O105" s="23" t="n">
        <v>18277.89000000001</v>
      </c>
    </row>
    <row r="106" ht="21" customHeight="1">
      <c r="C106" s="10" t="inlineStr">
        <is>
          <t>P4102307443</t>
        </is>
      </c>
      <c r="D106" s="10" t="inlineStr">
        <is>
          <t>Leingarten Schwimmhalle 2</t>
        </is>
      </c>
      <c r="E106" s="10" t="inlineStr">
        <is>
          <t>Süd-West</t>
        </is>
      </c>
      <c r="F106" s="23" t="n">
        <v>121773.65</v>
      </c>
      <c r="G106" s="23" t="n">
        <v>-144088.97</v>
      </c>
      <c r="H106" s="23" t="n">
        <v>59730.99</v>
      </c>
      <c r="I106" s="23" t="n">
        <v>193000</v>
      </c>
      <c r="J106" s="23" t="n">
        <v>-182000</v>
      </c>
      <c r="K106" s="23" t="n">
        <v>0</v>
      </c>
      <c r="L106" s="23" t="n">
        <v>314773.65</v>
      </c>
      <c r="M106" s="23" t="n">
        <v>-326088.97</v>
      </c>
      <c r="N106" s="23" t="n">
        <v>59730.99</v>
      </c>
      <c r="O106" s="23" t="n">
        <v>48415.67000000005</v>
      </c>
    </row>
    <row r="107" ht="21" customHeight="1">
      <c r="C107" s="10" t="inlineStr">
        <is>
          <t>P4102307444</t>
        </is>
      </c>
      <c r="D107" s="10" t="inlineStr">
        <is>
          <t>BASF  N 416-O 405</t>
        </is>
      </c>
      <c r="E107" s="10" t="inlineStr">
        <is>
          <t>Süd-West</t>
        </is>
      </c>
      <c r="F107" s="23" t="n">
        <v>119850.06</v>
      </c>
      <c r="G107" s="23" t="n">
        <v>-228386.29</v>
      </c>
      <c r="H107" s="23" t="n">
        <v>0</v>
      </c>
      <c r="I107" s="23" t="n">
        <v>566000</v>
      </c>
      <c r="J107" s="23" t="n">
        <v>-549020</v>
      </c>
      <c r="K107" s="23" t="n">
        <v>0</v>
      </c>
      <c r="L107" s="23" t="n">
        <v>685850.0600000001</v>
      </c>
      <c r="M107" s="23" t="n">
        <v>-777406.29</v>
      </c>
      <c r="N107" s="23" t="n">
        <v>0</v>
      </c>
      <c r="O107" s="23" t="n">
        <v>-91556.22999999998</v>
      </c>
    </row>
    <row r="108" ht="21" customHeight="1">
      <c r="C108" s="10" t="inlineStr">
        <is>
          <t>P4102307445</t>
        </is>
      </c>
      <c r="D108" s="10" t="inlineStr">
        <is>
          <t>BASF A 030</t>
        </is>
      </c>
      <c r="E108" s="10" t="inlineStr">
        <is>
          <t>Süd-West</t>
        </is>
      </c>
      <c r="F108" s="23" t="n">
        <v>0</v>
      </c>
      <c r="G108" s="23" t="n">
        <v>0</v>
      </c>
      <c r="H108" s="23" t="n">
        <v>0</v>
      </c>
      <c r="I108" s="23" t="n">
        <v>68000</v>
      </c>
      <c r="J108" s="23" t="n">
        <v>-41600</v>
      </c>
      <c r="K108" s="23" t="n">
        <v>0</v>
      </c>
      <c r="L108" s="23" t="n">
        <v>68000</v>
      </c>
      <c r="M108" s="23" t="n">
        <v>-41600</v>
      </c>
      <c r="N108" s="23" t="n">
        <v>0</v>
      </c>
      <c r="O108" s="23" t="n">
        <v>26400</v>
      </c>
    </row>
    <row r="109" ht="21" customHeight="1">
      <c r="C109" s="10" t="inlineStr">
        <is>
          <t>P4102307446</t>
        </is>
      </c>
      <c r="D109" s="10" t="inlineStr">
        <is>
          <t>Schwimmhalle Leingarten</t>
        </is>
      </c>
      <c r="E109" s="10" t="inlineStr">
        <is>
          <t>Süd-West</t>
        </is>
      </c>
      <c r="F109" s="23" t="n">
        <v>0</v>
      </c>
      <c r="G109" s="23" t="n">
        <v>0</v>
      </c>
      <c r="H109" s="23" t="n">
        <v>0</v>
      </c>
      <c r="I109" s="23" t="n">
        <v>45000</v>
      </c>
      <c r="J109" s="23" t="n">
        <v>-34000</v>
      </c>
      <c r="K109" s="23" t="n">
        <v>0</v>
      </c>
      <c r="L109" s="23" t="n">
        <v>45000</v>
      </c>
      <c r="M109" s="23" t="n">
        <v>-34000</v>
      </c>
      <c r="N109" s="23" t="n">
        <v>0</v>
      </c>
      <c r="O109" s="23" t="n">
        <v>11000</v>
      </c>
    </row>
    <row r="110" ht="21" customHeight="1">
      <c r="C110" s="10" t="inlineStr">
        <is>
          <t>P4102307447</t>
        </is>
      </c>
      <c r="D110" s="10" t="inlineStr">
        <is>
          <t>BASF C 317</t>
        </is>
      </c>
      <c r="E110" s="10" t="inlineStr">
        <is>
          <t>Süd-West</t>
        </is>
      </c>
      <c r="F110" s="23" t="n">
        <v>60444.44</v>
      </c>
      <c r="G110" s="23" t="n">
        <v>-46837.81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60444.44</v>
      </c>
      <c r="M110" s="23" t="n">
        <v>-46837.81</v>
      </c>
      <c r="N110" s="23" t="n">
        <v>0</v>
      </c>
      <c r="O110" s="23" t="n">
        <v>13606.63</v>
      </c>
    </row>
    <row r="111" ht="21" customHeight="1">
      <c r="C111" s="10" t="inlineStr">
        <is>
          <t>P4102307448</t>
        </is>
      </c>
      <c r="D111" s="10" t="inlineStr">
        <is>
          <t>Kopf SynGas - Klärschlammvergasung</t>
        </is>
      </c>
      <c r="E111" s="10" t="inlineStr">
        <is>
          <t>Süd-West</t>
        </is>
      </c>
      <c r="F111" s="23" t="n">
        <v>9829.799999999999</v>
      </c>
      <c r="G111" s="23" t="n">
        <v>-9695.459999999999</v>
      </c>
      <c r="H111" s="23" t="n">
        <v>0</v>
      </c>
      <c r="I111" s="23" t="n">
        <v>90000</v>
      </c>
      <c r="J111" s="23" t="n">
        <v>-84000</v>
      </c>
      <c r="K111" s="23" t="n">
        <v>0</v>
      </c>
      <c r="L111" s="23" t="n">
        <v>99829.8</v>
      </c>
      <c r="M111" s="23" t="n">
        <v>-93695.45999999999</v>
      </c>
      <c r="N111" s="23" t="n">
        <v>0</v>
      </c>
      <c r="O111" s="23" t="n">
        <v>6134.340000000011</v>
      </c>
    </row>
    <row r="112" ht="21" customHeight="1">
      <c r="C112" s="10" t="inlineStr">
        <is>
          <t>P4102307449</t>
        </is>
      </c>
      <c r="D112" s="10" t="inlineStr">
        <is>
          <t>BASF S 607</t>
        </is>
      </c>
      <c r="E112" s="10" t="inlineStr">
        <is>
          <t>Süd-West</t>
        </is>
      </c>
      <c r="F112" s="23" t="n">
        <v>43996.66</v>
      </c>
      <c r="G112" s="23" t="n">
        <v>-38919.52</v>
      </c>
      <c r="H112" s="23" t="n">
        <v>0</v>
      </c>
      <c r="I112" s="23" t="n">
        <v>298000</v>
      </c>
      <c r="J112" s="23" t="n">
        <v>-240000</v>
      </c>
      <c r="K112" s="23" t="n">
        <v>0</v>
      </c>
      <c r="L112" s="23" t="n">
        <v>341996.66</v>
      </c>
      <c r="M112" s="23" t="n">
        <v>-278919.52</v>
      </c>
      <c r="N112" s="23" t="n">
        <v>0</v>
      </c>
      <c r="O112" s="23" t="n">
        <v>63077.14000000001</v>
      </c>
    </row>
    <row r="113" ht="21" customHeight="1">
      <c r="C113" s="10" t="inlineStr">
        <is>
          <t>P4102307450</t>
        </is>
      </c>
      <c r="D113" s="10" t="inlineStr">
        <is>
          <t>Z500-4 Helion</t>
        </is>
      </c>
      <c r="E113" s="10" t="inlineStr">
        <is>
          <t>Süd-West</t>
        </is>
      </c>
      <c r="F113" s="23" t="n">
        <v>132500</v>
      </c>
      <c r="G113" s="23" t="n">
        <v>-116621.75</v>
      </c>
      <c r="H113" s="23" t="n">
        <v>0</v>
      </c>
      <c r="I113" s="23" t="n">
        <v>120000</v>
      </c>
      <c r="J113" s="23" t="n">
        <v>-120000</v>
      </c>
      <c r="K113" s="23" t="n">
        <v>0</v>
      </c>
      <c r="L113" s="23" t="n">
        <v>252500</v>
      </c>
      <c r="M113" s="23" t="n">
        <v>-236621.75</v>
      </c>
      <c r="N113" s="23" t="n">
        <v>0</v>
      </c>
      <c r="O113" s="23" t="n">
        <v>15878.25</v>
      </c>
    </row>
    <row r="114" ht="21" customHeight="1">
      <c r="C114" s="10" t="inlineStr">
        <is>
          <t>P4102309044</t>
        </is>
      </c>
      <c r="D114" s="10" t="inlineStr">
        <is>
          <t>RB BASF 2022</t>
        </is>
      </c>
      <c r="E114" s="10" t="inlineStr">
        <is>
          <t>Süd-West</t>
        </is>
      </c>
      <c r="F114" s="23" t="n">
        <v>0</v>
      </c>
      <c r="G114" s="23" t="n">
        <v>0</v>
      </c>
      <c r="H114" s="23" t="n">
        <v>-6447.83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-6447.83</v>
      </c>
      <c r="O114" s="23" t="n">
        <v>-6447.83</v>
      </c>
    </row>
    <row r="115" ht="21" customHeight="1">
      <c r="C115" s="10" t="inlineStr">
        <is>
          <t>P4102309045</t>
        </is>
      </c>
      <c r="D115" s="10" t="inlineStr">
        <is>
          <t>BASF Sonstige Kleinmaßnahmen</t>
        </is>
      </c>
      <c r="E115" s="10" t="inlineStr">
        <is>
          <t>Süd-West</t>
        </is>
      </c>
      <c r="F115" s="23" t="n">
        <v>133273.51</v>
      </c>
      <c r="G115" s="23" t="n">
        <v>-96408.7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133273.51</v>
      </c>
      <c r="M115" s="23" t="n">
        <v>-96408.7</v>
      </c>
      <c r="N115" s="23" t="n">
        <v>0</v>
      </c>
      <c r="O115" s="23" t="n">
        <v>36864.81000000001</v>
      </c>
    </row>
    <row r="116" ht="21" customHeight="1">
      <c r="C116" s="10" t="inlineStr">
        <is>
          <t>P4102309046</t>
        </is>
      </c>
      <c r="D116" s="10" t="inlineStr">
        <is>
          <t>Sonstige Kleinmaßnahmen</t>
        </is>
      </c>
      <c r="E116" s="10" t="inlineStr">
        <is>
          <t>Süd-West</t>
        </is>
      </c>
      <c r="F116" s="23" t="n">
        <v>24410.59</v>
      </c>
      <c r="G116" s="23" t="n">
        <v>-15778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24410.59</v>
      </c>
      <c r="M116" s="23" t="n">
        <v>-15778</v>
      </c>
      <c r="N116" s="23" t="n">
        <v>0</v>
      </c>
      <c r="O116" s="23" t="n">
        <v>8632.59</v>
      </c>
    </row>
    <row r="117" ht="21" customHeight="1">
      <c r="C117" s="10" t="inlineStr">
        <is>
          <t>P4102602023</t>
        </is>
      </c>
      <c r="D117" s="10" t="inlineStr">
        <is>
          <t>nachlaufende Kosten</t>
        </is>
      </c>
      <c r="E117" s="10" t="inlineStr">
        <is>
          <t>Ost</t>
        </is>
      </c>
      <c r="F117" s="23" t="n">
        <v>0</v>
      </c>
      <c r="G117" s="23" t="n">
        <v>-5293.57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-5293.57</v>
      </c>
      <c r="N117" s="23" t="n">
        <v>0</v>
      </c>
      <c r="O117" s="23" t="n">
        <v>-5293.57</v>
      </c>
    </row>
    <row r="118" ht="21" customHeight="1">
      <c r="C118" s="10" t="inlineStr">
        <is>
          <t>P4102604612</t>
        </is>
      </c>
      <c r="D118" s="10" t="inlineStr">
        <is>
          <t>Recyclingplatz Boxberg</t>
        </is>
      </c>
      <c r="E118" s="10" t="inlineStr">
        <is>
          <t>Ost</t>
        </is>
      </c>
      <c r="F118" s="23" t="n">
        <v>1055.73</v>
      </c>
      <c r="G118" s="23" t="n">
        <v>-9771.620000000001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1055.73</v>
      </c>
      <c r="M118" s="23" t="n">
        <v>-9771.620000000001</v>
      </c>
      <c r="N118" s="23" t="n">
        <v>0</v>
      </c>
      <c r="O118" s="23" t="n">
        <v>-8715.890000000001</v>
      </c>
    </row>
    <row r="119" ht="21" customHeight="1">
      <c r="C119" s="10" t="inlineStr">
        <is>
          <t>P4102607989</t>
        </is>
      </c>
      <c r="D119" s="10" t="inlineStr">
        <is>
          <t>Kleinaufträge</t>
        </is>
      </c>
      <c r="E119" s="10" t="inlineStr">
        <is>
          <t>Ost</t>
        </is>
      </c>
      <c r="F119" s="23" t="n">
        <v>113903.69</v>
      </c>
      <c r="G119" s="23" t="n">
        <v>-32842.94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113903.69</v>
      </c>
      <c r="M119" s="23" t="n">
        <v>-32842.94</v>
      </c>
      <c r="N119" s="23" t="n">
        <v>0</v>
      </c>
      <c r="O119" s="23" t="n">
        <v>81060.75</v>
      </c>
    </row>
    <row r="120" ht="21" customHeight="1">
      <c r="C120" s="10" t="inlineStr">
        <is>
          <t>P4102608224</t>
        </is>
      </c>
      <c r="D120" s="10" t="inlineStr">
        <is>
          <t>RB Turbinen Hirschfelde</t>
        </is>
      </c>
      <c r="E120" s="10" t="inlineStr">
        <is>
          <t>Ost</t>
        </is>
      </c>
      <c r="F120" s="23" t="n">
        <v>0</v>
      </c>
      <c r="G120" s="23" t="n">
        <v>-1758.75</v>
      </c>
      <c r="H120" s="23" t="n">
        <v>1969.8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-1758.75</v>
      </c>
      <c r="N120" s="23" t="n">
        <v>1969.8</v>
      </c>
      <c r="O120" s="23" t="n">
        <v>211.05</v>
      </c>
    </row>
    <row r="121" ht="21" customHeight="1">
      <c r="C121" s="10" t="inlineStr">
        <is>
          <t>P4102608226</t>
        </is>
      </c>
      <c r="D121" s="10" t="inlineStr">
        <is>
          <t>RB Kohlebunker Lübbenau</t>
        </is>
      </c>
      <c r="E121" s="10" t="inlineStr">
        <is>
          <t>Ost</t>
        </is>
      </c>
      <c r="F121" s="23" t="n">
        <v>0</v>
      </c>
      <c r="G121" s="23" t="n">
        <v>-400.43</v>
      </c>
      <c r="H121" s="23" t="n">
        <v>0</v>
      </c>
      <c r="I121" s="23" t="n">
        <v>57000</v>
      </c>
      <c r="J121" s="23" t="n">
        <v>-45000</v>
      </c>
      <c r="K121" s="23" t="n">
        <v>0</v>
      </c>
      <c r="L121" s="23" t="n">
        <v>57000</v>
      </c>
      <c r="M121" s="23" t="n">
        <v>-45400.43</v>
      </c>
      <c r="N121" s="23" t="n">
        <v>0</v>
      </c>
      <c r="O121" s="23" t="n">
        <v>11599.57</v>
      </c>
    </row>
    <row r="122" ht="21" customHeight="1">
      <c r="C122" s="10" t="inlineStr">
        <is>
          <t>P4102608232</t>
        </is>
      </c>
      <c r="D122" s="10" t="inlineStr">
        <is>
          <t>Seilbaggerarbeiten Platz der Republik</t>
        </is>
      </c>
      <c r="E122" s="10" t="inlineStr">
        <is>
          <t>Ost</t>
        </is>
      </c>
      <c r="F122" s="23" t="n">
        <v>6059.53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6059.53</v>
      </c>
      <c r="M122" s="23" t="n">
        <v>0</v>
      </c>
      <c r="N122" s="23" t="n">
        <v>0</v>
      </c>
      <c r="O122" s="23" t="n">
        <v>6059.53</v>
      </c>
    </row>
    <row r="123" ht="21" customHeight="1">
      <c r="C123" s="10" t="inlineStr">
        <is>
          <t>P4102608246</t>
        </is>
      </c>
      <c r="D123" s="10" t="inlineStr">
        <is>
          <t>RB Kohlebunker/Brücke Lübbenau</t>
        </is>
      </c>
      <c r="E123" s="10" t="inlineStr">
        <is>
          <t>Ost</t>
        </is>
      </c>
      <c r="F123" s="23" t="n">
        <v>71914.57000000001</v>
      </c>
      <c r="G123" s="23" t="n">
        <v>-472333.29</v>
      </c>
      <c r="H123" s="23" t="n">
        <v>854549.58</v>
      </c>
      <c r="I123" s="23" t="n">
        <v>760000</v>
      </c>
      <c r="J123" s="23" t="n">
        <v>-195000</v>
      </c>
      <c r="K123" s="23" t="n">
        <v>0</v>
      </c>
      <c r="L123" s="23" t="n">
        <v>831914.5700000001</v>
      </c>
      <c r="M123" s="23" t="n">
        <v>-667333.29</v>
      </c>
      <c r="N123" s="23" t="n">
        <v>854549.58</v>
      </c>
      <c r="O123" s="23" t="n">
        <v>1019130.86</v>
      </c>
    </row>
    <row r="124" ht="21" customHeight="1">
      <c r="C124" s="10" t="inlineStr">
        <is>
          <t>P4102608258</t>
        </is>
      </c>
      <c r="D124" s="10" t="inlineStr">
        <is>
          <t>BTU Dachsanierung Halle 3b</t>
        </is>
      </c>
      <c r="E124" s="10" t="inlineStr">
        <is>
          <t>Ost</t>
        </is>
      </c>
      <c r="F124" s="23" t="n">
        <v>125327.66</v>
      </c>
      <c r="G124" s="23" t="n">
        <v>0</v>
      </c>
      <c r="H124" s="23" t="n">
        <v>-44321.39</v>
      </c>
      <c r="I124" s="23" t="n">
        <v>0</v>
      </c>
      <c r="J124" s="23" t="n">
        <v>0</v>
      </c>
      <c r="K124" s="23" t="n">
        <v>0</v>
      </c>
      <c r="L124" s="23" t="n">
        <v>125327.66</v>
      </c>
      <c r="M124" s="23" t="n">
        <v>0</v>
      </c>
      <c r="N124" s="23" t="n">
        <v>-44321.39</v>
      </c>
      <c r="O124" s="23" t="n">
        <v>81006.27</v>
      </c>
    </row>
    <row r="125" ht="21" customHeight="1">
      <c r="C125" s="10" t="inlineStr">
        <is>
          <t>P4102608260</t>
        </is>
      </c>
      <c r="D125" s="10" t="inlineStr">
        <is>
          <t>RB Floorflexplatten Berlin</t>
        </is>
      </c>
      <c r="E125" s="10" t="inlineStr">
        <is>
          <t>Ost</t>
        </is>
      </c>
      <c r="F125" s="23" t="n">
        <v>36649.67</v>
      </c>
      <c r="G125" s="23" t="n">
        <v>-27469.51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36649.67</v>
      </c>
      <c r="M125" s="23" t="n">
        <v>-27469.51</v>
      </c>
      <c r="N125" s="23" t="n">
        <v>0</v>
      </c>
      <c r="O125" s="23" t="n">
        <v>9180.16</v>
      </c>
    </row>
    <row r="126" ht="21" customHeight="1">
      <c r="C126" s="10" t="inlineStr">
        <is>
          <t>P4102608263</t>
        </is>
      </c>
      <c r="D126" s="10" t="inlineStr">
        <is>
          <t>RB Föderbrücke AFB 60</t>
        </is>
      </c>
      <c r="E126" s="10" t="inlineStr">
        <is>
          <t>Ost</t>
        </is>
      </c>
      <c r="F126" s="23" t="n">
        <v>4111658.58</v>
      </c>
      <c r="G126" s="23" t="n">
        <v>-2410704.88</v>
      </c>
      <c r="H126" s="23" t="n">
        <v>-870769.6</v>
      </c>
      <c r="I126" s="23" t="n">
        <v>390400</v>
      </c>
      <c r="J126" s="23" t="n">
        <v>-325000</v>
      </c>
      <c r="K126" s="23" t="n">
        <v>0</v>
      </c>
      <c r="L126" s="23" t="n">
        <v>4502058.58</v>
      </c>
      <c r="M126" s="23" t="n">
        <v>-2735704.88</v>
      </c>
      <c r="N126" s="23" t="n">
        <v>-870769.6</v>
      </c>
      <c r="O126" s="23" t="n">
        <v>895584.1000000002</v>
      </c>
    </row>
    <row r="127" ht="21" customHeight="1">
      <c r="C127" s="10" t="inlineStr">
        <is>
          <t>P4102608264</t>
        </is>
      </c>
      <c r="D127" s="10" t="inlineStr">
        <is>
          <t>Mastrückbau Mainflingen</t>
        </is>
      </c>
      <c r="E127" s="10" t="inlineStr">
        <is>
          <t>Ost</t>
        </is>
      </c>
      <c r="F127" s="23" t="n">
        <v>0</v>
      </c>
      <c r="G127" s="23" t="n">
        <v>-583.34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-583.34</v>
      </c>
      <c r="N127" s="23" t="n">
        <v>0</v>
      </c>
      <c r="O127" s="23" t="n">
        <v>-583.34</v>
      </c>
    </row>
    <row r="128" ht="21" customHeight="1">
      <c r="C128" s="10" t="inlineStr">
        <is>
          <t>P4102608265</t>
        </is>
      </c>
      <c r="D128" s="10" t="inlineStr">
        <is>
          <t>RB Gebäude Grüneberg</t>
        </is>
      </c>
      <c r="E128" s="10" t="inlineStr">
        <is>
          <t>Ost</t>
        </is>
      </c>
      <c r="F128" s="23" t="n">
        <v>0</v>
      </c>
      <c r="G128" s="23" t="n">
        <v>-3096.72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-3096.72</v>
      </c>
      <c r="N128" s="23" t="n">
        <v>0</v>
      </c>
      <c r="O128" s="23" t="n">
        <v>-3096.72</v>
      </c>
    </row>
    <row r="129" ht="21" customHeight="1">
      <c r="C129" s="10" t="inlineStr">
        <is>
          <t>P4102608266</t>
        </is>
      </c>
      <c r="D129" s="10" t="inlineStr">
        <is>
          <t>RB Kurmark- Kaserne Storkow</t>
        </is>
      </c>
      <c r="E129" s="10" t="inlineStr">
        <is>
          <t>Ost</t>
        </is>
      </c>
      <c r="F129" s="23" t="n">
        <v>-591.8099999999999</v>
      </c>
      <c r="G129" s="23" t="n">
        <v>-279.03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-591.8099999999999</v>
      </c>
      <c r="M129" s="23" t="n">
        <v>-279.03</v>
      </c>
      <c r="N129" s="23" t="n">
        <v>0</v>
      </c>
      <c r="O129" s="23" t="n">
        <v>-870.8399999999999</v>
      </c>
    </row>
    <row r="130" ht="21" customHeight="1">
      <c r="C130" s="10" t="inlineStr">
        <is>
          <t>P4102608267</t>
        </is>
      </c>
      <c r="D130" s="10" t="inlineStr">
        <is>
          <t>Sprengarbeiten FLJS</t>
        </is>
      </c>
      <c r="E130" s="10" t="inlineStr">
        <is>
          <t>Ost</t>
        </is>
      </c>
      <c r="F130" s="23" t="n">
        <v>28224.24</v>
      </c>
      <c r="G130" s="23" t="n">
        <v>-20068.44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28224.24</v>
      </c>
      <c r="M130" s="23" t="n">
        <v>-20068.44</v>
      </c>
      <c r="N130" s="23" t="n">
        <v>0</v>
      </c>
      <c r="O130" s="23" t="n">
        <v>8155.800000000003</v>
      </c>
    </row>
    <row r="131" ht="21" customHeight="1">
      <c r="C131" s="10" t="inlineStr">
        <is>
          <t>P4102608268</t>
        </is>
      </c>
      <c r="D131" s="10" t="inlineStr">
        <is>
          <t>Gutenbergstrasse Potsdam</t>
        </is>
      </c>
      <c r="E131" s="10" t="inlineStr">
        <is>
          <t>Ost</t>
        </is>
      </c>
      <c r="F131" s="23" t="n">
        <v>5542.71</v>
      </c>
      <c r="G131" s="23" t="n">
        <v>-556.45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5542.71</v>
      </c>
      <c r="M131" s="23" t="n">
        <v>-556.45</v>
      </c>
      <c r="N131" s="23" t="n">
        <v>0</v>
      </c>
      <c r="O131" s="23" t="n">
        <v>4986.26</v>
      </c>
    </row>
    <row r="132" ht="21" customHeight="1">
      <c r="C132" s="10" t="inlineStr">
        <is>
          <t>P4102608270</t>
        </is>
      </c>
      <c r="D132" s="10" t="inlineStr">
        <is>
          <t>Baggergestellung LH 956 Jänschwalde</t>
        </is>
      </c>
      <c r="E132" s="10" t="inlineStr">
        <is>
          <t>Ost</t>
        </is>
      </c>
      <c r="F132" s="23" t="n">
        <v>120358.55</v>
      </c>
      <c r="G132" s="23" t="n">
        <v>-22672.84</v>
      </c>
      <c r="H132" s="23" t="n">
        <v>0</v>
      </c>
      <c r="I132" s="23" t="n">
        <v>10000</v>
      </c>
      <c r="J132" s="23" t="n">
        <v>-8000</v>
      </c>
      <c r="K132" s="23" t="n">
        <v>0</v>
      </c>
      <c r="L132" s="23" t="n">
        <v>130358.55</v>
      </c>
      <c r="M132" s="23" t="n">
        <v>-30672.84</v>
      </c>
      <c r="N132" s="23" t="n">
        <v>0</v>
      </c>
      <c r="O132" s="23" t="n">
        <v>99685.71000000001</v>
      </c>
    </row>
    <row r="133" ht="21" customHeight="1">
      <c r="C133" s="10" t="inlineStr">
        <is>
          <t>P4102608271</t>
        </is>
      </c>
      <c r="D133" s="10" t="inlineStr">
        <is>
          <t>Seilbagger Tagebau Jänschwalde</t>
        </is>
      </c>
      <c r="E133" s="10" t="inlineStr">
        <is>
          <t>Ost</t>
        </is>
      </c>
      <c r="F133" s="23" t="n">
        <v>194470.4</v>
      </c>
      <c r="G133" s="23" t="n">
        <v>-17848.96</v>
      </c>
      <c r="H133" s="23" t="n">
        <v>0</v>
      </c>
      <c r="I133" s="23" t="n">
        <v>9000</v>
      </c>
      <c r="J133" s="23" t="n">
        <v>-6000</v>
      </c>
      <c r="K133" s="23" t="n">
        <v>0</v>
      </c>
      <c r="L133" s="23" t="n">
        <v>203470.4</v>
      </c>
      <c r="M133" s="23" t="n">
        <v>-23848.96</v>
      </c>
      <c r="N133" s="23" t="n">
        <v>0</v>
      </c>
      <c r="O133" s="23" t="n">
        <v>179621.44</v>
      </c>
    </row>
    <row r="134" ht="21" customHeight="1">
      <c r="C134" s="10" t="inlineStr">
        <is>
          <t>P4102608275</t>
        </is>
      </c>
      <c r="D134" s="10" t="inlineStr">
        <is>
          <t>An der Spreewaldbahn lübben</t>
        </is>
      </c>
      <c r="E134" s="10" t="inlineStr">
        <is>
          <t>Ost</t>
        </is>
      </c>
      <c r="F134" s="23" t="n">
        <v>25652.08</v>
      </c>
      <c r="G134" s="23" t="n">
        <v>-9699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25652.08</v>
      </c>
      <c r="M134" s="23" t="n">
        <v>-9699</v>
      </c>
      <c r="N134" s="23" t="n">
        <v>0</v>
      </c>
      <c r="O134" s="23" t="n">
        <v>15953.08</v>
      </c>
    </row>
    <row r="135" ht="21" customHeight="1">
      <c r="C135" s="10" t="inlineStr">
        <is>
          <t>P4102652023</t>
        </is>
      </c>
      <c r="D135" s="10" t="inlineStr">
        <is>
          <t>Nachlaufende Kosten</t>
        </is>
      </c>
      <c r="E135" s="10" t="inlineStr">
        <is>
          <t>Berlin</t>
        </is>
      </c>
      <c r="F135" s="23" t="n">
        <v>0</v>
      </c>
      <c r="G135" s="23" t="n">
        <v>-100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-100</v>
      </c>
      <c r="N135" s="23" t="n">
        <v>0</v>
      </c>
      <c r="O135" s="23" t="n">
        <v>-100</v>
      </c>
    </row>
    <row r="136" ht="21" customHeight="1">
      <c r="C136" s="10" t="inlineStr">
        <is>
          <t>P4102657982</t>
        </is>
      </c>
      <c r="D136" s="10" t="inlineStr">
        <is>
          <t>Kleinaufträge</t>
        </is>
      </c>
      <c r="E136" s="10" t="inlineStr">
        <is>
          <t>Berlin</t>
        </is>
      </c>
      <c r="F136" s="23" t="n">
        <v>8250</v>
      </c>
      <c r="G136" s="23" t="n">
        <v>0</v>
      </c>
      <c r="H136" s="23" t="n">
        <v>0</v>
      </c>
      <c r="I136" s="23" t="n">
        <v>8250</v>
      </c>
      <c r="J136" s="23" t="n">
        <v>0</v>
      </c>
      <c r="K136" s="23" t="n">
        <v>0</v>
      </c>
      <c r="L136" s="23" t="n">
        <v>16500</v>
      </c>
      <c r="M136" s="23" t="n">
        <v>0</v>
      </c>
      <c r="N136" s="23" t="n">
        <v>0</v>
      </c>
      <c r="O136" s="23" t="n">
        <v>16500</v>
      </c>
    </row>
    <row r="137" ht="21" customHeight="1">
      <c r="C137" s="10" t="inlineStr">
        <is>
          <t>P4102658225</t>
        </is>
      </c>
      <c r="D137" s="10" t="inlineStr">
        <is>
          <t>B1 Brandenburg Potsdamer Straße</t>
        </is>
      </c>
      <c r="E137" s="10" t="inlineStr">
        <is>
          <t>Berlin</t>
        </is>
      </c>
      <c r="F137" s="23" t="n">
        <v>-59785.46</v>
      </c>
      <c r="G137" s="23" t="n">
        <v>-3.3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-59785.46</v>
      </c>
      <c r="M137" s="23" t="n">
        <v>-3.3</v>
      </c>
      <c r="N137" s="23" t="n">
        <v>0</v>
      </c>
      <c r="O137" s="23" t="n">
        <v>-59788.76</v>
      </c>
    </row>
    <row r="138" ht="21" customHeight="1">
      <c r="C138" s="10" t="inlineStr">
        <is>
          <t>P4102658228</t>
        </is>
      </c>
      <c r="D138" s="10" t="inlineStr">
        <is>
          <t>ENB EÜ Wollankstraße</t>
        </is>
      </c>
      <c r="E138" s="10" t="inlineStr">
        <is>
          <t>Berlin</t>
        </is>
      </c>
      <c r="F138" s="23" t="n">
        <v>0</v>
      </c>
      <c r="G138" s="23" t="n">
        <v>-424.37</v>
      </c>
      <c r="H138" s="23" t="n">
        <v>475.29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-424.37</v>
      </c>
      <c r="N138" s="23" t="n">
        <v>475.29</v>
      </c>
      <c r="O138" s="23" t="n">
        <v>50.92000000000002</v>
      </c>
    </row>
    <row r="139" ht="21" customHeight="1">
      <c r="C139" s="10" t="inlineStr">
        <is>
          <t>P4102658229</t>
        </is>
      </c>
      <c r="D139" s="10" t="inlineStr">
        <is>
          <t>Markgrafenbrücke Berlin</t>
        </is>
      </c>
      <c r="E139" s="10" t="inlineStr">
        <is>
          <t>Berlin</t>
        </is>
      </c>
      <c r="F139" s="23" t="n">
        <v>9697.700000000001</v>
      </c>
      <c r="G139" s="23" t="n">
        <v>-392074.26</v>
      </c>
      <c r="H139" s="23" t="n">
        <v>406981.1</v>
      </c>
      <c r="I139" s="23" t="n">
        <v>0</v>
      </c>
      <c r="J139" s="23" t="n">
        <v>0</v>
      </c>
      <c r="K139" s="23" t="n">
        <v>0</v>
      </c>
      <c r="L139" s="23" t="n">
        <v>9697.700000000001</v>
      </c>
      <c r="M139" s="23" t="n">
        <v>-392074.26</v>
      </c>
      <c r="N139" s="23" t="n">
        <v>406981.1</v>
      </c>
      <c r="O139" s="23" t="n">
        <v>24604.53999999998</v>
      </c>
    </row>
    <row r="140" ht="21" customHeight="1">
      <c r="C140" s="10" t="inlineStr">
        <is>
          <t>P4102658235</t>
        </is>
      </c>
      <c r="D140" s="10" t="inlineStr">
        <is>
          <t>ENB Neue Fahlenbergbrücke</t>
        </is>
      </c>
      <c r="E140" s="10" t="inlineStr">
        <is>
          <t>Berlin</t>
        </is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</row>
    <row r="141" ht="21" customHeight="1">
      <c r="C141" s="10" t="inlineStr">
        <is>
          <t>P4102658250</t>
        </is>
      </c>
      <c r="D141" s="10" t="inlineStr">
        <is>
          <t>Parkallee Velten, Brücke Stichkanal</t>
        </is>
      </c>
      <c r="E141" s="10" t="inlineStr">
        <is>
          <t>Berlin</t>
        </is>
      </c>
      <c r="F141" s="23" t="n">
        <v>-39809.7</v>
      </c>
      <c r="G141" s="23" t="n">
        <v>8.970000000000001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-39809.7</v>
      </c>
      <c r="M141" s="23" t="n">
        <v>8.970000000000001</v>
      </c>
      <c r="N141" s="23" t="n">
        <v>0</v>
      </c>
      <c r="O141" s="23" t="n">
        <v>-39800.73</v>
      </c>
    </row>
    <row r="142" ht="21" customHeight="1">
      <c r="C142" s="10" t="inlineStr">
        <is>
          <t>P4102658254</t>
        </is>
      </c>
      <c r="D142" s="10" t="inlineStr">
        <is>
          <t>EÜ Langendreerstraße Bochum</t>
        </is>
      </c>
      <c r="E142" s="10" t="inlineStr">
        <is>
          <t>Berlin</t>
        </is>
      </c>
      <c r="F142" s="23" t="n">
        <v>0</v>
      </c>
      <c r="G142" s="23" t="n">
        <v>0.15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0.15</v>
      </c>
      <c r="N142" s="23" t="n">
        <v>0</v>
      </c>
      <c r="O142" s="23" t="n">
        <v>0.15</v>
      </c>
    </row>
    <row r="143" ht="21" customHeight="1">
      <c r="C143" s="10" t="inlineStr">
        <is>
          <t>P4102658256</t>
        </is>
      </c>
      <c r="D143" s="10" t="inlineStr">
        <is>
          <t>Schleuse Wolfswinkel</t>
        </is>
      </c>
      <c r="E143" s="10" t="inlineStr">
        <is>
          <t>Berlin</t>
        </is>
      </c>
      <c r="F143" s="23" t="n">
        <v>302672.02</v>
      </c>
      <c r="G143" s="23" t="n">
        <v>-59955.88</v>
      </c>
      <c r="H143" s="23" t="n">
        <v>-70767.05</v>
      </c>
      <c r="I143" s="23" t="n">
        <v>0</v>
      </c>
      <c r="J143" s="23" t="n">
        <v>0</v>
      </c>
      <c r="K143" s="23" t="n">
        <v>0</v>
      </c>
      <c r="L143" s="23" t="n">
        <v>302672.02</v>
      </c>
      <c r="M143" s="23" t="n">
        <v>-59955.88</v>
      </c>
      <c r="N143" s="23" t="n">
        <v>-70767.05</v>
      </c>
      <c r="O143" s="23" t="n">
        <v>171949.09</v>
      </c>
    </row>
    <row r="144" ht="21" customHeight="1">
      <c r="C144" s="10" t="inlineStr">
        <is>
          <t>P4102658257</t>
        </is>
      </c>
      <c r="D144" s="10" t="inlineStr">
        <is>
          <t>Brücke An der Wuhlheide - Notunterstützu</t>
        </is>
      </c>
      <c r="E144" s="10" t="inlineStr">
        <is>
          <t>Berlin</t>
        </is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</row>
    <row r="145" ht="21" customHeight="1">
      <c r="C145" s="10" t="inlineStr">
        <is>
          <t>P4102658259</t>
        </is>
      </c>
      <c r="D145" s="10" t="inlineStr">
        <is>
          <t>ENB Eisenbahnbrücke Güsen</t>
        </is>
      </c>
      <c r="E145" s="10" t="inlineStr">
        <is>
          <t>Berlin</t>
        </is>
      </c>
      <c r="F145" s="23" t="n">
        <v>42491.68</v>
      </c>
      <c r="G145" s="23" t="n">
        <v>-67801.53999999999</v>
      </c>
      <c r="H145" s="23" t="n">
        <v>117116.98</v>
      </c>
      <c r="I145" s="23" t="n">
        <v>17000</v>
      </c>
      <c r="J145" s="23" t="n">
        <v>0</v>
      </c>
      <c r="K145" s="23" t="n">
        <v>0</v>
      </c>
      <c r="L145" s="23" t="n">
        <v>59491.68</v>
      </c>
      <c r="M145" s="23" t="n">
        <v>-67801.53999999999</v>
      </c>
      <c r="N145" s="23" t="n">
        <v>117116.98</v>
      </c>
      <c r="O145" s="23" t="n">
        <v>108807.12</v>
      </c>
    </row>
    <row r="146" ht="21" customHeight="1">
      <c r="C146" s="10" t="inlineStr">
        <is>
          <t>P4102658269</t>
        </is>
      </c>
      <c r="D146" s="10" t="inlineStr">
        <is>
          <t>B102 OD Jüterbog Alte Nuthe</t>
        </is>
      </c>
      <c r="E146" s="10" t="inlineStr">
        <is>
          <t>Berlin</t>
        </is>
      </c>
      <c r="F146" s="23" t="n">
        <v>16030.23</v>
      </c>
      <c r="G146" s="23" t="n">
        <v>-2708.05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16030.23</v>
      </c>
      <c r="M146" s="23" t="n">
        <v>-2708.05</v>
      </c>
      <c r="N146" s="23" t="n">
        <v>0</v>
      </c>
      <c r="O146" s="23" t="n">
        <v>13322.18</v>
      </c>
    </row>
    <row r="147" ht="21" customHeight="1">
      <c r="C147" s="10" t="inlineStr">
        <is>
          <t>P4102658272</t>
        </is>
      </c>
      <c r="D147" s="10" t="inlineStr">
        <is>
          <t>Beräumung Herzberger Straße</t>
        </is>
      </c>
      <c r="E147" s="10" t="inlineStr">
        <is>
          <t>Berlin</t>
        </is>
      </c>
      <c r="F147" s="23" t="n">
        <v>36922.66</v>
      </c>
      <c r="G147" s="23" t="n">
        <v>-15708.54</v>
      </c>
      <c r="H147" s="23" t="n">
        <v>0</v>
      </c>
      <c r="I147" s="23" t="n">
        <v>0</v>
      </c>
      <c r="J147" s="23" t="n">
        <v>0</v>
      </c>
      <c r="K147" s="23" t="n">
        <v>0</v>
      </c>
      <c r="L147" s="23" t="n">
        <v>36922.66</v>
      </c>
      <c r="M147" s="23" t="n">
        <v>-15708.54</v>
      </c>
      <c r="N147" s="23" t="n">
        <v>0</v>
      </c>
      <c r="O147" s="23" t="n">
        <v>21214.12</v>
      </c>
    </row>
    <row r="148" ht="21" customHeight="1">
      <c r="C148" s="10" t="inlineStr">
        <is>
          <t>P4102658276</t>
        </is>
      </c>
      <c r="D148" s="10" t="inlineStr">
        <is>
          <t>EÜ Braunsbedra</t>
        </is>
      </c>
      <c r="E148" s="10" t="inlineStr">
        <is>
          <t>Berlin</t>
        </is>
      </c>
      <c r="F148" s="23" t="n">
        <v>27313.05</v>
      </c>
      <c r="G148" s="23" t="n">
        <v>-39057.45</v>
      </c>
      <c r="H148" s="23" t="n">
        <v>83713.49000000001</v>
      </c>
      <c r="I148" s="23" t="n">
        <v>27300</v>
      </c>
      <c r="J148" s="23" t="n">
        <v>-10000</v>
      </c>
      <c r="K148" s="23" t="n">
        <v>0</v>
      </c>
      <c r="L148" s="23" t="n">
        <v>54613.05</v>
      </c>
      <c r="M148" s="23" t="n">
        <v>-49057.45</v>
      </c>
      <c r="N148" s="23" t="n">
        <v>83713.49000000001</v>
      </c>
      <c r="O148" s="23" t="n">
        <v>89269.09000000001</v>
      </c>
    </row>
    <row r="149" ht="21" customHeight="1">
      <c r="C149" s="10" t="inlineStr">
        <is>
          <t>W4102154411</t>
        </is>
      </c>
      <c r="D149" s="10" t="inlineStr">
        <is>
          <t>Vetrieb Region West</t>
        </is>
      </c>
      <c r="E149" s="10" t="inlineStr">
        <is>
          <t>West</t>
        </is>
      </c>
      <c r="F149" s="23" t="n">
        <v>0</v>
      </c>
      <c r="G149" s="23" t="n">
        <v>-101754.9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-101754.9</v>
      </c>
      <c r="N149" s="23" t="n">
        <v>0</v>
      </c>
      <c r="O149" s="23" t="n">
        <v>-101754.9</v>
      </c>
    </row>
    <row r="150" ht="21" customHeight="1">
      <c r="C150" s="10" t="inlineStr">
        <is>
          <t>W4102154501</t>
        </is>
      </c>
      <c r="D150" s="10" t="inlineStr">
        <is>
          <t>Gehalt BL Region West</t>
        </is>
      </c>
      <c r="E150" s="10" t="inlineStr">
        <is>
          <t>West</t>
        </is>
      </c>
      <c r="F150" s="23" t="n">
        <v>0</v>
      </c>
      <c r="G150" s="23" t="n">
        <v>-8664</v>
      </c>
      <c r="H150" s="23" t="n">
        <v>0</v>
      </c>
      <c r="I150" s="23" t="n">
        <v>0</v>
      </c>
      <c r="J150" s="23" t="n">
        <v>0</v>
      </c>
      <c r="K150" s="23" t="n">
        <v>0</v>
      </c>
      <c r="L150" s="23" t="n">
        <v>0</v>
      </c>
      <c r="M150" s="23" t="n">
        <v>-8664</v>
      </c>
      <c r="N150" s="23" t="n">
        <v>0</v>
      </c>
      <c r="O150" s="23" t="n">
        <v>-8664</v>
      </c>
    </row>
    <row r="151" ht="21" customHeight="1">
      <c r="C151" s="10" t="inlineStr">
        <is>
          <t>W4102154611</t>
        </is>
      </c>
      <c r="D151" s="10" t="inlineStr">
        <is>
          <t>Werkstatt Region West</t>
        </is>
      </c>
      <c r="E151" s="10" t="inlineStr">
        <is>
          <t>West</t>
        </is>
      </c>
      <c r="F151" s="23" t="n">
        <v>0</v>
      </c>
      <c r="G151" s="23" t="n">
        <v>-16506.24</v>
      </c>
      <c r="H151" s="23" t="n">
        <v>0</v>
      </c>
      <c r="I151" s="23" t="n">
        <v>0</v>
      </c>
      <c r="J151" s="23" t="n">
        <v>0</v>
      </c>
      <c r="K151" s="23" t="n">
        <v>0</v>
      </c>
      <c r="L151" s="23" t="n">
        <v>0</v>
      </c>
      <c r="M151" s="23" t="n">
        <v>-16506.24</v>
      </c>
      <c r="N151" s="23" t="n">
        <v>0</v>
      </c>
      <c r="O151" s="23" t="n">
        <v>-16506.24</v>
      </c>
    </row>
    <row r="152" ht="21" customHeight="1">
      <c r="C152" s="10" t="inlineStr">
        <is>
          <t>W4102154953</t>
        </is>
      </c>
      <c r="D152" s="10" t="inlineStr">
        <is>
          <t>CB-AA 140 Hr. Kraft</t>
        </is>
      </c>
      <c r="E152" s="10" t="inlineStr">
        <is>
          <t>West</t>
        </is>
      </c>
      <c r="F152" s="23" t="n">
        <v>0</v>
      </c>
      <c r="G152" s="23" t="n">
        <v>-1342.17</v>
      </c>
      <c r="H152" s="23" t="n">
        <v>0</v>
      </c>
      <c r="I152" s="23" t="n">
        <v>0</v>
      </c>
      <c r="J152" s="23" t="n">
        <v>0</v>
      </c>
      <c r="K152" s="23" t="n">
        <v>0</v>
      </c>
      <c r="L152" s="23" t="n">
        <v>0</v>
      </c>
      <c r="M152" s="23" t="n">
        <v>-1342.17</v>
      </c>
      <c r="N152" s="23" t="n">
        <v>0</v>
      </c>
      <c r="O152" s="23" t="n">
        <v>-1342.17</v>
      </c>
    </row>
    <row r="153" ht="21" customHeight="1">
      <c r="C153" s="10" t="inlineStr">
        <is>
          <t>W4102154961</t>
        </is>
      </c>
      <c r="D153" s="10" t="inlineStr">
        <is>
          <t>DO-AW 251 Ludwigs</t>
        </is>
      </c>
      <c r="E153" s="10" t="inlineStr">
        <is>
          <t>West</t>
        </is>
      </c>
      <c r="F153" s="23" t="n">
        <v>0</v>
      </c>
      <c r="G153" s="23" t="n">
        <v>-7075.24</v>
      </c>
      <c r="H153" s="23" t="n">
        <v>0</v>
      </c>
      <c r="I153" s="23" t="n">
        <v>0</v>
      </c>
      <c r="J153" s="23" t="n">
        <v>0</v>
      </c>
      <c r="K153" s="23" t="n">
        <v>0</v>
      </c>
      <c r="L153" s="23" t="n">
        <v>0</v>
      </c>
      <c r="M153" s="23" t="n">
        <v>-7075.24</v>
      </c>
      <c r="N153" s="23" t="n">
        <v>0</v>
      </c>
      <c r="O153" s="23" t="n">
        <v>-7075.24</v>
      </c>
    </row>
    <row r="154" ht="21" customHeight="1">
      <c r="C154" s="10" t="inlineStr">
        <is>
          <t>W4102154964</t>
        </is>
      </c>
      <c r="D154" s="10" t="inlineStr">
        <is>
          <t>PKW Schalk CB - TV 93</t>
        </is>
      </c>
      <c r="E154" s="10" t="inlineStr">
        <is>
          <t>West</t>
        </is>
      </c>
      <c r="F154" s="23" t="n">
        <v>0</v>
      </c>
      <c r="G154" s="23" t="n">
        <v>-10291.6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-10291.6</v>
      </c>
      <c r="N154" s="23" t="n">
        <v>0</v>
      </c>
      <c r="O154" s="23" t="n">
        <v>-10291.6</v>
      </c>
    </row>
    <row r="155" ht="21" customHeight="1">
      <c r="C155" s="10" t="inlineStr">
        <is>
          <t>W4102154966</t>
        </is>
      </c>
      <c r="D155" s="10" t="inlineStr">
        <is>
          <t>PKW Kilinc</t>
        </is>
      </c>
      <c r="E155" s="10" t="inlineStr">
        <is>
          <t>West</t>
        </is>
      </c>
      <c r="F155" s="23" t="n">
        <v>0</v>
      </c>
      <c r="G155" s="23" t="n">
        <v>-10045.97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-10045.97</v>
      </c>
      <c r="N155" s="23" t="n">
        <v>0</v>
      </c>
      <c r="O155" s="23" t="n">
        <v>-10045.97</v>
      </c>
    </row>
    <row r="156" ht="21" customHeight="1">
      <c r="C156" s="10" t="inlineStr">
        <is>
          <t>W4102154967</t>
        </is>
      </c>
      <c r="D156" s="10" t="inlineStr">
        <is>
          <t>CB - VT 585  Hr. Büskens</t>
        </is>
      </c>
      <c r="E156" s="10" t="inlineStr">
        <is>
          <t>West</t>
        </is>
      </c>
      <c r="F156" s="23" t="n">
        <v>0</v>
      </c>
      <c r="G156" s="23" t="n">
        <v>-13211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-13211</v>
      </c>
      <c r="N156" s="23" t="n">
        <v>0</v>
      </c>
      <c r="O156" s="23" t="n">
        <v>-13211</v>
      </c>
    </row>
    <row r="157" ht="21" customHeight="1">
      <c r="C157" s="10" t="inlineStr">
        <is>
          <t>W4102154968</t>
        </is>
      </c>
      <c r="D157" s="10" t="inlineStr">
        <is>
          <t>06-07/26 Mietwagen Hr. Lanzar</t>
        </is>
      </c>
      <c r="E157" s="10" t="inlineStr">
        <is>
          <t>West</t>
        </is>
      </c>
      <c r="F157" s="23" t="n">
        <v>0</v>
      </c>
      <c r="G157" s="23" t="n">
        <v>-1698.87</v>
      </c>
      <c r="H157" s="23" t="n">
        <v>0</v>
      </c>
      <c r="I157" s="23" t="n">
        <v>0</v>
      </c>
      <c r="J157" s="23" t="n">
        <v>0</v>
      </c>
      <c r="K157" s="23" t="n">
        <v>0</v>
      </c>
      <c r="L157" s="23" t="n">
        <v>0</v>
      </c>
      <c r="M157" s="23" t="n">
        <v>-1698.87</v>
      </c>
      <c r="N157" s="23" t="n">
        <v>0</v>
      </c>
      <c r="O157" s="23" t="n">
        <v>-1698.87</v>
      </c>
    </row>
    <row r="158" ht="21" customHeight="1">
      <c r="C158" s="10" t="inlineStr">
        <is>
          <t>W4102157414</t>
        </is>
      </c>
      <c r="D158" s="10" t="inlineStr">
        <is>
          <t>Krandemontage</t>
        </is>
      </c>
      <c r="E158" s="10" t="inlineStr">
        <is>
          <t>West</t>
        </is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</row>
    <row r="159" ht="21" customHeight="1">
      <c r="C159" s="10" t="inlineStr">
        <is>
          <t>W4102304411</t>
        </is>
      </c>
      <c r="D159" s="10" t="inlineStr">
        <is>
          <t>Vetrieb Region Sued-West</t>
        </is>
      </c>
      <c r="E159" s="10" t="inlineStr">
        <is>
          <t>Süd-West</t>
        </is>
      </c>
      <c r="F159" s="23" t="n">
        <v>0</v>
      </c>
      <c r="G159" s="23" t="n">
        <v>-94648.47</v>
      </c>
      <c r="H159" s="23" t="n">
        <v>0</v>
      </c>
      <c r="I159" s="23" t="n">
        <v>0</v>
      </c>
      <c r="J159" s="23" t="n">
        <v>0</v>
      </c>
      <c r="K159" s="23" t="n">
        <v>0</v>
      </c>
      <c r="L159" s="23" t="n">
        <v>0</v>
      </c>
      <c r="M159" s="23" t="n">
        <v>-94648.47</v>
      </c>
      <c r="N159" s="23" t="n">
        <v>0</v>
      </c>
      <c r="O159" s="23" t="n">
        <v>-94648.47</v>
      </c>
    </row>
    <row r="160" ht="21" customHeight="1">
      <c r="C160" s="10" t="inlineStr">
        <is>
          <t>W4102304412</t>
        </is>
      </c>
      <c r="D160" s="10" t="inlineStr">
        <is>
          <t>Fremdfirmenstuetzupunkt</t>
        </is>
      </c>
      <c r="E160" s="10" t="inlineStr">
        <is>
          <t>Süd-West</t>
        </is>
      </c>
      <c r="F160" s="23" t="n">
        <v>0</v>
      </c>
      <c r="G160" s="23" t="n">
        <v>-2488</v>
      </c>
      <c r="H160" s="23" t="n">
        <v>0</v>
      </c>
      <c r="I160" s="23" t="n">
        <v>0</v>
      </c>
      <c r="J160" s="23" t="n">
        <v>0</v>
      </c>
      <c r="K160" s="23" t="n">
        <v>0</v>
      </c>
      <c r="L160" s="23" t="n">
        <v>0</v>
      </c>
      <c r="M160" s="23" t="n">
        <v>-2488</v>
      </c>
      <c r="N160" s="23" t="n">
        <v>0</v>
      </c>
      <c r="O160" s="23" t="n">
        <v>-2488</v>
      </c>
    </row>
    <row r="161" ht="21" customHeight="1">
      <c r="C161" s="10" t="inlineStr">
        <is>
          <t>W4102304611</t>
        </is>
      </c>
      <c r="D161" s="10" t="inlineStr">
        <is>
          <t>Lager Region Sued-West</t>
        </is>
      </c>
      <c r="E161" s="10" t="inlineStr">
        <is>
          <t>Süd-West</t>
        </is>
      </c>
      <c r="F161" s="23" t="n">
        <v>0</v>
      </c>
      <c r="G161" s="23" t="n">
        <v>-88828.60000000001</v>
      </c>
      <c r="H161" s="23" t="n">
        <v>0</v>
      </c>
      <c r="I161" s="23" t="n">
        <v>0</v>
      </c>
      <c r="J161" s="23" t="n">
        <v>0</v>
      </c>
      <c r="K161" s="23" t="n">
        <v>0</v>
      </c>
      <c r="L161" s="23" t="n">
        <v>0</v>
      </c>
      <c r="M161" s="23" t="n">
        <v>-88828.60000000001</v>
      </c>
      <c r="N161" s="23" t="n">
        <v>0</v>
      </c>
      <c r="O161" s="23" t="n">
        <v>-88828.60000000001</v>
      </c>
    </row>
    <row r="162" ht="21" customHeight="1">
      <c r="C162" s="10" t="inlineStr">
        <is>
          <t>W4102304943</t>
        </is>
      </c>
      <c r="D162" s="10" t="inlineStr">
        <is>
          <t>CB - TV 90 Hr. Flamme</t>
        </is>
      </c>
      <c r="E162" s="10" t="inlineStr">
        <is>
          <t>Süd-West</t>
        </is>
      </c>
      <c r="F162" s="23" t="n">
        <v>0</v>
      </c>
      <c r="G162" s="23" t="n">
        <v>-11735.18</v>
      </c>
      <c r="H162" s="23" t="n">
        <v>0</v>
      </c>
      <c r="I162" s="23" t="n">
        <v>0</v>
      </c>
      <c r="J162" s="23" t="n">
        <v>0</v>
      </c>
      <c r="K162" s="23" t="n">
        <v>0</v>
      </c>
      <c r="L162" s="23" t="n">
        <v>0</v>
      </c>
      <c r="M162" s="23" t="n">
        <v>-11735.18</v>
      </c>
      <c r="N162" s="23" t="n">
        <v>0</v>
      </c>
      <c r="O162" s="23" t="n">
        <v>-11735.18</v>
      </c>
    </row>
    <row r="163" ht="21" customHeight="1">
      <c r="C163" s="10" t="inlineStr">
        <is>
          <t>W4102304946</t>
        </is>
      </c>
      <c r="D163" s="10" t="inlineStr">
        <is>
          <t>CB-AA 552 Sesjunin</t>
        </is>
      </c>
      <c r="E163" s="10" t="inlineStr">
        <is>
          <t>Süd-West</t>
        </is>
      </c>
      <c r="F163" s="23" t="n">
        <v>0</v>
      </c>
      <c r="G163" s="23" t="n">
        <v>-5317.15</v>
      </c>
      <c r="H163" s="23" t="n">
        <v>0</v>
      </c>
      <c r="I163" s="23" t="n">
        <v>0</v>
      </c>
      <c r="J163" s="23" t="n">
        <v>0</v>
      </c>
      <c r="K163" s="23" t="n">
        <v>0</v>
      </c>
      <c r="L163" s="23" t="n">
        <v>0</v>
      </c>
      <c r="M163" s="23" t="n">
        <v>-5317.15</v>
      </c>
      <c r="N163" s="23" t="n">
        <v>0</v>
      </c>
      <c r="O163" s="23" t="n">
        <v>-5317.15</v>
      </c>
    </row>
    <row r="164" ht="21" customHeight="1">
      <c r="C164" s="10" t="inlineStr">
        <is>
          <t>W4102304947</t>
        </is>
      </c>
      <c r="D164" s="10" t="inlineStr">
        <is>
          <t>CB-AB 644 Passat Herr Yavuz</t>
        </is>
      </c>
      <c r="E164" s="10" t="inlineStr">
        <is>
          <t>Süd-West</t>
        </is>
      </c>
      <c r="F164" s="23" t="n">
        <v>0</v>
      </c>
      <c r="G164" s="23" t="n">
        <v>-30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3" t="n">
        <v>-30</v>
      </c>
      <c r="N164" s="23" t="n">
        <v>0</v>
      </c>
      <c r="O164" s="23" t="n">
        <v>-30</v>
      </c>
    </row>
    <row r="165" ht="21" customHeight="1">
      <c r="C165" s="10" t="inlineStr">
        <is>
          <t>W4102307411</t>
        </is>
      </c>
      <c r="D165" s="10" t="inlineStr">
        <is>
          <t>BASF - G 521</t>
        </is>
      </c>
      <c r="E165" s="10" t="inlineStr">
        <is>
          <t>Süd-West</t>
        </is>
      </c>
      <c r="F165" s="23" t="n">
        <v>0</v>
      </c>
      <c r="G165" s="23" t="n">
        <v>-580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3" t="n">
        <v>-580</v>
      </c>
      <c r="N165" s="23" t="n">
        <v>0</v>
      </c>
      <c r="O165" s="23" t="n">
        <v>-580</v>
      </c>
    </row>
    <row r="166" ht="21" customHeight="1">
      <c r="C166" s="10" t="inlineStr">
        <is>
          <t>W4102504101</t>
        </is>
      </c>
      <c r="D166" s="10" t="inlineStr">
        <is>
          <t>Kaufm. Geschäftsfüh.</t>
        </is>
      </c>
      <c r="E166" s="10" t="inlineStr">
        <is>
          <t>Verwaltung</t>
        </is>
      </c>
      <c r="F166" s="23" t="n">
        <v>0</v>
      </c>
      <c r="G166" s="23" t="n">
        <v>-7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3" t="n">
        <v>-7</v>
      </c>
      <c r="N166" s="23" t="n">
        <v>0</v>
      </c>
      <c r="O166" s="23" t="n">
        <v>-7</v>
      </c>
    </row>
    <row r="167" ht="21" customHeight="1">
      <c r="C167" s="10" t="inlineStr">
        <is>
          <t>W4102504102</t>
        </is>
      </c>
      <c r="D167" s="10" t="inlineStr">
        <is>
          <t>Techn. Geschäftsfüh.</t>
        </is>
      </c>
      <c r="E167" s="10" t="inlineStr">
        <is>
          <t>Verwaltung</t>
        </is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</row>
    <row r="168" ht="21" customHeight="1">
      <c r="C168" s="10" t="inlineStr">
        <is>
          <t>W4102504104</t>
        </is>
      </c>
      <c r="D168" s="10" t="inlineStr">
        <is>
          <t>Dienstleistungsverrechn.</t>
        </is>
      </c>
      <c r="E168" s="10" t="inlineStr">
        <is>
          <t>Verwaltung</t>
        </is>
      </c>
      <c r="F168" s="23" t="n">
        <v>0</v>
      </c>
      <c r="G168" s="23" t="n">
        <v>-48751</v>
      </c>
      <c r="H168" s="23" t="n">
        <v>0</v>
      </c>
      <c r="I168" s="23" t="n">
        <v>0</v>
      </c>
      <c r="J168" s="23" t="n">
        <v>-16100</v>
      </c>
      <c r="K168" s="23" t="n">
        <v>0</v>
      </c>
      <c r="L168" s="23" t="n">
        <v>0</v>
      </c>
      <c r="M168" s="23" t="n">
        <v>-64851</v>
      </c>
      <c r="N168" s="23" t="n">
        <v>0</v>
      </c>
      <c r="O168" s="23" t="n">
        <v>-64851</v>
      </c>
    </row>
    <row r="169" ht="21" customHeight="1">
      <c r="C169" s="10" t="inlineStr">
        <is>
          <t>W4102504106</t>
        </is>
      </c>
      <c r="D169" s="10" t="inlineStr">
        <is>
          <t>Geschäftsfüh.</t>
        </is>
      </c>
      <c r="E169" s="10" t="inlineStr">
        <is>
          <t>Verwaltung</t>
        </is>
      </c>
      <c r="F169" s="23" t="n">
        <v>0</v>
      </c>
      <c r="G169" s="23" t="n">
        <v>-6447.58</v>
      </c>
      <c r="H169" s="23" t="n">
        <v>0</v>
      </c>
      <c r="I169" s="23" t="n">
        <v>0</v>
      </c>
      <c r="J169" s="23" t="n">
        <v>-2000</v>
      </c>
      <c r="K169" s="23" t="n">
        <v>0</v>
      </c>
      <c r="L169" s="23" t="n">
        <v>0</v>
      </c>
      <c r="M169" s="23" t="n">
        <v>-8447.58</v>
      </c>
      <c r="N169" s="23" t="n">
        <v>0</v>
      </c>
      <c r="O169" s="23" t="n">
        <v>-8447.58</v>
      </c>
    </row>
    <row r="170" ht="21" customHeight="1">
      <c r="C170" s="10" t="inlineStr">
        <is>
          <t>W4102504107</t>
        </is>
      </c>
      <c r="D170" s="10" t="inlineStr">
        <is>
          <t>Geschäftsfüh. Hr Kay</t>
        </is>
      </c>
      <c r="E170" s="10" t="inlineStr">
        <is>
          <t>Verwaltung</t>
        </is>
      </c>
      <c r="F170" s="23" t="n">
        <v>0</v>
      </c>
      <c r="G170" s="23" t="n">
        <v>-685.6799999999999</v>
      </c>
      <c r="H170" s="23" t="n">
        <v>0</v>
      </c>
      <c r="I170" s="23" t="n">
        <v>0</v>
      </c>
      <c r="J170" s="23" t="n">
        <v>0</v>
      </c>
      <c r="K170" s="23" t="n">
        <v>0</v>
      </c>
      <c r="L170" s="23" t="n">
        <v>0</v>
      </c>
      <c r="M170" s="23" t="n">
        <v>-685.6799999999999</v>
      </c>
      <c r="N170" s="23" t="n">
        <v>0</v>
      </c>
      <c r="O170" s="23" t="n">
        <v>-685.6799999999999</v>
      </c>
    </row>
    <row r="171" ht="21" customHeight="1">
      <c r="C171" s="10" t="inlineStr">
        <is>
          <t>W4102504108</t>
        </is>
      </c>
      <c r="D171" s="10" t="inlineStr">
        <is>
          <t>Geschäftsführer Hr. Kenski</t>
        </is>
      </c>
      <c r="E171" s="10" t="inlineStr">
        <is>
          <t>Verwaltung</t>
        </is>
      </c>
      <c r="F171" s="23" t="n">
        <v>0</v>
      </c>
      <c r="G171" s="23" t="n">
        <v>-4155.7</v>
      </c>
      <c r="H171" s="23" t="n">
        <v>0</v>
      </c>
      <c r="I171" s="23" t="n">
        <v>0</v>
      </c>
      <c r="J171" s="23" t="n">
        <v>-2000</v>
      </c>
      <c r="K171" s="23" t="n">
        <v>0</v>
      </c>
      <c r="L171" s="23" t="n">
        <v>0</v>
      </c>
      <c r="M171" s="23" t="n">
        <v>-6155.7</v>
      </c>
      <c r="N171" s="23" t="n">
        <v>0</v>
      </c>
      <c r="O171" s="23" t="n">
        <v>-6155.7</v>
      </c>
    </row>
    <row r="172" ht="21" customHeight="1">
      <c r="C172" s="10" t="inlineStr">
        <is>
          <t>W4102504109</t>
        </is>
      </c>
      <c r="D172" s="10" t="inlineStr">
        <is>
          <t>Geschäftsführerin Frau Langosch</t>
        </is>
      </c>
      <c r="E172" s="10" t="inlineStr">
        <is>
          <t>Verwaltung</t>
        </is>
      </c>
      <c r="F172" s="23" t="n">
        <v>0</v>
      </c>
      <c r="G172" s="23" t="n">
        <v>-4555.48</v>
      </c>
      <c r="H172" s="23" t="n">
        <v>0</v>
      </c>
      <c r="I172" s="23" t="n">
        <v>0</v>
      </c>
      <c r="J172" s="23" t="n">
        <v>0</v>
      </c>
      <c r="K172" s="23" t="n">
        <v>0</v>
      </c>
      <c r="L172" s="23" t="n">
        <v>0</v>
      </c>
      <c r="M172" s="23" t="n">
        <v>-4555.48</v>
      </c>
      <c r="N172" s="23" t="n">
        <v>0</v>
      </c>
      <c r="O172" s="23" t="n">
        <v>-4555.48</v>
      </c>
    </row>
    <row r="173" ht="21" customHeight="1">
      <c r="C173" s="10" t="inlineStr">
        <is>
          <t>W4102504211</t>
        </is>
      </c>
      <c r="D173" s="10" t="inlineStr">
        <is>
          <t>Rechnungsw./Finanzen</t>
        </is>
      </c>
      <c r="E173" s="10" t="inlineStr">
        <is>
          <t>Verwaltung</t>
        </is>
      </c>
      <c r="F173" s="23" t="n">
        <v>0</v>
      </c>
      <c r="G173" s="23" t="n">
        <v>-252.87</v>
      </c>
      <c r="H173" s="23" t="n">
        <v>0</v>
      </c>
      <c r="I173" s="23" t="n">
        <v>0</v>
      </c>
      <c r="J173" s="23" t="n">
        <v>-400</v>
      </c>
      <c r="K173" s="23" t="n">
        <v>0</v>
      </c>
      <c r="L173" s="23" t="n">
        <v>0</v>
      </c>
      <c r="M173" s="23" t="n">
        <v>-652.87</v>
      </c>
      <c r="N173" s="23" t="n">
        <v>0</v>
      </c>
      <c r="O173" s="23" t="n">
        <v>-652.87</v>
      </c>
    </row>
    <row r="174" ht="21" customHeight="1">
      <c r="C174" s="10" t="inlineStr">
        <is>
          <t>W4102504221</t>
        </is>
      </c>
      <c r="D174" s="10" t="inlineStr">
        <is>
          <t>Übriges Personal</t>
        </is>
      </c>
      <c r="E174" s="10" t="inlineStr">
        <is>
          <t>Verwaltung</t>
        </is>
      </c>
      <c r="F174" s="23" t="n">
        <v>0</v>
      </c>
      <c r="G174" s="23" t="n">
        <v>-2695.76</v>
      </c>
      <c r="H174" s="23" t="n">
        <v>0</v>
      </c>
      <c r="I174" s="23" t="n">
        <v>0</v>
      </c>
      <c r="J174" s="23" t="n">
        <v>-500</v>
      </c>
      <c r="K174" s="23" t="n">
        <v>0</v>
      </c>
      <c r="L174" s="23" t="n">
        <v>0</v>
      </c>
      <c r="M174" s="23" t="n">
        <v>-3195.76</v>
      </c>
      <c r="N174" s="23" t="n">
        <v>0</v>
      </c>
      <c r="O174" s="23" t="n">
        <v>-3195.76</v>
      </c>
    </row>
    <row r="175" ht="21" customHeight="1">
      <c r="C175" s="10" t="inlineStr">
        <is>
          <t>W4102504222</t>
        </is>
      </c>
      <c r="D175" s="10" t="inlineStr">
        <is>
          <t>Sonstige Sachkosten</t>
        </is>
      </c>
      <c r="E175" s="10" t="inlineStr">
        <is>
          <t>Verwaltung</t>
        </is>
      </c>
      <c r="F175" s="23" t="n">
        <v>0</v>
      </c>
      <c r="G175" s="23" t="n">
        <v>-385636.12</v>
      </c>
      <c r="H175" s="23" t="n">
        <v>0</v>
      </c>
      <c r="I175" s="23" t="n">
        <v>0</v>
      </c>
      <c r="J175" s="23" t="n">
        <v>-170000</v>
      </c>
      <c r="K175" s="23" t="n">
        <v>0</v>
      </c>
      <c r="L175" s="23" t="n">
        <v>0</v>
      </c>
      <c r="M175" s="23" t="n">
        <v>-555636.12</v>
      </c>
      <c r="N175" s="23" t="n">
        <v>0</v>
      </c>
      <c r="O175" s="23" t="n">
        <v>-555636.12</v>
      </c>
    </row>
    <row r="176" ht="21" customHeight="1">
      <c r="C176" s="10" t="inlineStr">
        <is>
          <t>W4102504262</t>
        </is>
      </c>
      <c r="D176" s="10" t="inlineStr">
        <is>
          <t>Zentrale EDV</t>
        </is>
      </c>
      <c r="E176" s="10" t="inlineStr">
        <is>
          <t>Verwaltung</t>
        </is>
      </c>
      <c r="F176" s="23" t="n">
        <v>0</v>
      </c>
      <c r="G176" s="23" t="n">
        <v>-65966.71000000001</v>
      </c>
      <c r="H176" s="23" t="n">
        <v>0</v>
      </c>
      <c r="I176" s="23" t="n">
        <v>0</v>
      </c>
      <c r="J176" s="23" t="n">
        <v>-22000</v>
      </c>
      <c r="K176" s="23" t="n">
        <v>0</v>
      </c>
      <c r="L176" s="23" t="n">
        <v>0</v>
      </c>
      <c r="M176" s="23" t="n">
        <v>-87966.71000000001</v>
      </c>
      <c r="N176" s="23" t="n">
        <v>0</v>
      </c>
      <c r="O176" s="23" t="n">
        <v>-87966.71000000001</v>
      </c>
    </row>
    <row r="177" ht="21" customHeight="1">
      <c r="C177" s="10" t="inlineStr">
        <is>
          <t>W4102504941</t>
        </is>
      </c>
      <c r="D177" s="10" t="inlineStr">
        <is>
          <t>Betriebsrat</t>
        </is>
      </c>
      <c r="E177" s="10" t="inlineStr">
        <is>
          <t>Verwaltung</t>
        </is>
      </c>
      <c r="F177" s="23" t="n">
        <v>0</v>
      </c>
      <c r="G177" s="23" t="n">
        <v>-590.37</v>
      </c>
      <c r="H177" s="23" t="n">
        <v>0</v>
      </c>
      <c r="I177" s="23" t="n">
        <v>0</v>
      </c>
      <c r="J177" s="23" t="n">
        <v>-400</v>
      </c>
      <c r="K177" s="23" t="n">
        <v>0</v>
      </c>
      <c r="L177" s="23" t="n">
        <v>0</v>
      </c>
      <c r="M177" s="23" t="n">
        <v>-990.37</v>
      </c>
      <c r="N177" s="23" t="n">
        <v>0</v>
      </c>
      <c r="O177" s="23" t="n">
        <v>-990.37</v>
      </c>
    </row>
    <row r="178" ht="21" customHeight="1">
      <c r="C178" s="10" t="inlineStr">
        <is>
          <t>W4102504951</t>
        </is>
      </c>
      <c r="D178" s="10" t="inlineStr">
        <is>
          <t>Steuern</t>
        </is>
      </c>
      <c r="E178" s="10" t="inlineStr">
        <is>
          <t>Verwaltung</t>
        </is>
      </c>
      <c r="F178" s="23" t="n">
        <v>0</v>
      </c>
      <c r="G178" s="23" t="n">
        <v>-10.5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3" t="n">
        <v>-10.5</v>
      </c>
      <c r="N178" s="23" t="n">
        <v>0</v>
      </c>
      <c r="O178" s="23" t="n">
        <v>-10.5</v>
      </c>
    </row>
    <row r="179" ht="21" customHeight="1">
      <c r="C179" s="10" t="inlineStr">
        <is>
          <t>W4102504967</t>
        </is>
      </c>
      <c r="D179" s="10" t="inlineStr">
        <is>
          <t>CB-VT 476 Krull</t>
        </is>
      </c>
      <c r="E179" s="10" t="inlineStr">
        <is>
          <t>Verwaltung</t>
        </is>
      </c>
      <c r="F179" s="23" t="n">
        <v>0</v>
      </c>
      <c r="G179" s="23" t="n">
        <v>112.3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3" t="n">
        <v>112.3</v>
      </c>
      <c r="N179" s="23" t="n">
        <v>0</v>
      </c>
      <c r="O179" s="23" t="n">
        <v>112.3</v>
      </c>
    </row>
    <row r="180" ht="21" customHeight="1">
      <c r="C180" s="10" t="inlineStr">
        <is>
          <t>W4102504971</t>
        </is>
      </c>
      <c r="D180" s="10" t="inlineStr">
        <is>
          <t>CB-CR 107 Werban</t>
        </is>
      </c>
      <c r="E180" s="10" t="inlineStr">
        <is>
          <t>Verwaltung</t>
        </is>
      </c>
      <c r="F180" s="23" t="n">
        <v>0</v>
      </c>
      <c r="G180" s="23" t="n">
        <v>-3939.21</v>
      </c>
      <c r="H180" s="23" t="n">
        <v>0</v>
      </c>
      <c r="I180" s="23" t="n">
        <v>0</v>
      </c>
      <c r="J180" s="23" t="n">
        <v>-1600</v>
      </c>
      <c r="K180" s="23" t="n">
        <v>0</v>
      </c>
      <c r="L180" s="23" t="n">
        <v>0</v>
      </c>
      <c r="M180" s="23" t="n">
        <v>-5539.21</v>
      </c>
      <c r="N180" s="23" t="n">
        <v>0</v>
      </c>
      <c r="O180" s="23" t="n">
        <v>-5539.21</v>
      </c>
    </row>
    <row r="181" ht="21" customHeight="1">
      <c r="C181" s="10" t="inlineStr">
        <is>
          <t>W4102504973</t>
        </is>
      </c>
      <c r="D181" s="10" t="inlineStr">
        <is>
          <t>CB- TV 300E Hr. Kemper Mercedes</t>
        </is>
      </c>
      <c r="E181" s="10" t="inlineStr">
        <is>
          <t>Verwaltung</t>
        </is>
      </c>
      <c r="F181" s="23" t="n">
        <v>0</v>
      </c>
      <c r="G181" s="23" t="n">
        <v>-14513.68</v>
      </c>
      <c r="H181" s="23" t="n">
        <v>0</v>
      </c>
      <c r="I181" s="23" t="n">
        <v>0</v>
      </c>
      <c r="J181" s="23" t="n">
        <v>-5400</v>
      </c>
      <c r="K181" s="23" t="n">
        <v>0</v>
      </c>
      <c r="L181" s="23" t="n">
        <v>0</v>
      </c>
      <c r="M181" s="23" t="n">
        <v>-19913.68</v>
      </c>
      <c r="N181" s="23" t="n">
        <v>0</v>
      </c>
      <c r="O181" s="23" t="n">
        <v>-19913.68</v>
      </c>
    </row>
    <row r="182" ht="21" customHeight="1">
      <c r="C182" s="10" t="inlineStr">
        <is>
          <t>W4102504974</t>
        </is>
      </c>
      <c r="D182" s="10" t="inlineStr">
        <is>
          <t>CB-TV 55E Volvo Herr Kay</t>
        </is>
      </c>
      <c r="E182" s="10" t="inlineStr">
        <is>
          <t>Verwaltung</t>
        </is>
      </c>
      <c r="F182" s="23" t="n">
        <v>0</v>
      </c>
      <c r="G182" s="23" t="n">
        <v>-11348.78</v>
      </c>
      <c r="H182" s="23" t="n">
        <v>0</v>
      </c>
      <c r="I182" s="23" t="n">
        <v>0</v>
      </c>
      <c r="J182" s="23" t="n">
        <v>0</v>
      </c>
      <c r="K182" s="23" t="n">
        <v>0</v>
      </c>
      <c r="L182" s="23" t="n">
        <v>0</v>
      </c>
      <c r="M182" s="23" t="n">
        <v>-11348.78</v>
      </c>
      <c r="N182" s="23" t="n">
        <v>0</v>
      </c>
      <c r="O182" s="23" t="n">
        <v>-11348.78</v>
      </c>
    </row>
    <row r="183" ht="21" customHeight="1">
      <c r="C183" s="10" t="inlineStr">
        <is>
          <t>W4102504975</t>
        </is>
      </c>
      <c r="D183" s="10" t="inlineStr">
        <is>
          <t>PKW Frau Noack</t>
        </is>
      </c>
      <c r="E183" s="10" t="inlineStr">
        <is>
          <t>Verwaltung</t>
        </is>
      </c>
      <c r="F183" s="23" t="n">
        <v>0</v>
      </c>
      <c r="G183" s="23" t="n">
        <v>-7633.76</v>
      </c>
      <c r="H183" s="23" t="n">
        <v>0</v>
      </c>
      <c r="I183" s="23" t="n">
        <v>0</v>
      </c>
      <c r="J183" s="23" t="n">
        <v>-5400</v>
      </c>
      <c r="K183" s="23" t="n">
        <v>0</v>
      </c>
      <c r="L183" s="23" t="n">
        <v>0</v>
      </c>
      <c r="M183" s="23" t="n">
        <v>-13033.76</v>
      </c>
      <c r="N183" s="23" t="n">
        <v>0</v>
      </c>
      <c r="O183" s="23" t="n">
        <v>-13033.76</v>
      </c>
    </row>
    <row r="184" ht="21" customHeight="1">
      <c r="C184" s="10" t="inlineStr">
        <is>
          <t>W4102504976</t>
        </is>
      </c>
      <c r="D184" s="10" t="inlineStr">
        <is>
          <t>CB-TV 104 Skoda Superb - Herr Kenski</t>
        </is>
      </c>
      <c r="E184" s="10" t="inlineStr">
        <is>
          <t>Verwaltung</t>
        </is>
      </c>
      <c r="F184" s="23" t="n">
        <v>0</v>
      </c>
      <c r="G184" s="23" t="n">
        <v>-5379.28</v>
      </c>
      <c r="H184" s="23" t="n">
        <v>0</v>
      </c>
      <c r="I184" s="23" t="n">
        <v>0</v>
      </c>
      <c r="J184" s="23" t="n">
        <v>-5400</v>
      </c>
      <c r="K184" s="23" t="n">
        <v>0</v>
      </c>
      <c r="L184" s="23" t="n">
        <v>0</v>
      </c>
      <c r="M184" s="23" t="n">
        <v>-10779.28</v>
      </c>
      <c r="N184" s="23" t="n">
        <v>0</v>
      </c>
      <c r="O184" s="23" t="n">
        <v>-10779.28</v>
      </c>
    </row>
    <row r="185" ht="21" customHeight="1">
      <c r="C185" s="10" t="inlineStr">
        <is>
          <t>W4102602023</t>
        </is>
      </c>
      <c r="D185" s="10" t="inlineStr">
        <is>
          <t>nachlaufende Kosten</t>
        </is>
      </c>
      <c r="E185" s="10" t="inlineStr">
        <is>
          <t>Ost</t>
        </is>
      </c>
      <c r="F185" s="23" t="n">
        <v>0</v>
      </c>
      <c r="G185" s="23" t="n">
        <v>-761.1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3" t="n">
        <v>-761.1</v>
      </c>
      <c r="N185" s="23" t="n">
        <v>0</v>
      </c>
      <c r="O185" s="23" t="n">
        <v>-761.1</v>
      </c>
    </row>
    <row r="186" ht="21" customHeight="1">
      <c r="C186" s="10" t="inlineStr">
        <is>
          <t>W4102604411</t>
        </is>
      </c>
      <c r="D186" s="10" t="inlineStr">
        <is>
          <t>Vertrieb Region Ost</t>
        </is>
      </c>
      <c r="E186" s="10" t="inlineStr">
        <is>
          <t>Ost</t>
        </is>
      </c>
      <c r="F186" s="23" t="n">
        <v>0</v>
      </c>
      <c r="G186" s="23" t="n">
        <v>-92999.39999999999</v>
      </c>
      <c r="H186" s="23" t="n">
        <v>0</v>
      </c>
      <c r="I186" s="23" t="n">
        <v>0</v>
      </c>
      <c r="J186" s="23" t="n">
        <v>0</v>
      </c>
      <c r="K186" s="23" t="n">
        <v>0</v>
      </c>
      <c r="L186" s="23" t="n">
        <v>0</v>
      </c>
      <c r="M186" s="23" t="n">
        <v>-92999.39999999999</v>
      </c>
      <c r="N186" s="23" t="n">
        <v>0</v>
      </c>
      <c r="O186" s="23" t="n">
        <v>-92999.39999999999</v>
      </c>
    </row>
    <row r="187" ht="21" customHeight="1">
      <c r="C187" s="10" t="inlineStr">
        <is>
          <t>W4102604414</t>
        </is>
      </c>
      <c r="D187" s="10" t="inlineStr">
        <is>
          <t>Halle Boxberg</t>
        </is>
      </c>
      <c r="E187" s="10" t="inlineStr">
        <is>
          <t>Ost</t>
        </is>
      </c>
      <c r="F187" s="23" t="n">
        <v>11272.5</v>
      </c>
      <c r="G187" s="23" t="n">
        <v>-9792.09</v>
      </c>
      <c r="H187" s="23" t="n">
        <v>0</v>
      </c>
      <c r="I187" s="23" t="n">
        <v>0</v>
      </c>
      <c r="J187" s="23" t="n">
        <v>0</v>
      </c>
      <c r="K187" s="23" t="n">
        <v>0</v>
      </c>
      <c r="L187" s="23" t="n">
        <v>11272.5</v>
      </c>
      <c r="M187" s="23" t="n">
        <v>-9792.09</v>
      </c>
      <c r="N187" s="23" t="n">
        <v>0</v>
      </c>
      <c r="O187" s="23" t="n">
        <v>1480.41</v>
      </c>
    </row>
    <row r="188" ht="21" customHeight="1">
      <c r="C188" s="10" t="inlineStr">
        <is>
          <t>W4102604611</t>
        </is>
      </c>
      <c r="D188" s="10" t="inlineStr">
        <is>
          <t>Lager Regon Sued</t>
        </is>
      </c>
      <c r="E188" s="10" t="inlineStr">
        <is>
          <t>Ost</t>
        </is>
      </c>
      <c r="F188" s="23" t="n">
        <v>0</v>
      </c>
      <c r="G188" s="23" t="n">
        <v>-15481.18</v>
      </c>
      <c r="H188" s="23" t="n">
        <v>0</v>
      </c>
      <c r="I188" s="23" t="n">
        <v>0</v>
      </c>
      <c r="J188" s="23" t="n">
        <v>0</v>
      </c>
      <c r="K188" s="23" t="n">
        <v>0</v>
      </c>
      <c r="L188" s="23" t="n">
        <v>0</v>
      </c>
      <c r="M188" s="23" t="n">
        <v>-15481.18</v>
      </c>
      <c r="N188" s="23" t="n">
        <v>0</v>
      </c>
      <c r="O188" s="23" t="n">
        <v>-15481.18</v>
      </c>
    </row>
    <row r="189" ht="21" customHeight="1">
      <c r="C189" s="10" t="inlineStr">
        <is>
          <t>W4102604612</t>
        </is>
      </c>
      <c r="D189" s="10" t="inlineStr">
        <is>
          <t>Recyclingplatz Boxberg</t>
        </is>
      </c>
      <c r="E189" s="10" t="inlineStr">
        <is>
          <t>Ost</t>
        </is>
      </c>
      <c r="F189" s="23" t="n">
        <v>11153.42</v>
      </c>
      <c r="G189" s="23" t="n">
        <v>-365.72</v>
      </c>
      <c r="H189" s="23" t="n">
        <v>0</v>
      </c>
      <c r="I189" s="23" t="n">
        <v>0</v>
      </c>
      <c r="J189" s="23" t="n">
        <v>0</v>
      </c>
      <c r="K189" s="23" t="n">
        <v>0</v>
      </c>
      <c r="L189" s="23" t="n">
        <v>11153.42</v>
      </c>
      <c r="M189" s="23" t="n">
        <v>-365.72</v>
      </c>
      <c r="N189" s="23" t="n">
        <v>0</v>
      </c>
      <c r="O189" s="23" t="n">
        <v>10787.7</v>
      </c>
    </row>
    <row r="190" ht="21" customHeight="1">
      <c r="C190" s="10" t="inlineStr">
        <is>
          <t>W4102604938</t>
        </is>
      </c>
      <c r="D190" s="10" t="inlineStr">
        <is>
          <t>CB-AA 501 Spindler</t>
        </is>
      </c>
      <c r="E190" s="10" t="inlineStr">
        <is>
          <t>Ost</t>
        </is>
      </c>
      <c r="F190" s="23" t="n">
        <v>0</v>
      </c>
      <c r="G190" s="23" t="n">
        <v>-9673.93</v>
      </c>
      <c r="H190" s="23" t="n">
        <v>0</v>
      </c>
      <c r="I190" s="23" t="n">
        <v>0</v>
      </c>
      <c r="J190" s="23" t="n">
        <v>0</v>
      </c>
      <c r="K190" s="23" t="n">
        <v>0</v>
      </c>
      <c r="L190" s="23" t="n">
        <v>0</v>
      </c>
      <c r="M190" s="23" t="n">
        <v>-9673.93</v>
      </c>
      <c r="N190" s="23" t="n">
        <v>0</v>
      </c>
      <c r="O190" s="23" t="n">
        <v>-9673.93</v>
      </c>
    </row>
    <row r="191" ht="21" customHeight="1">
      <c r="C191" s="10" t="inlineStr">
        <is>
          <t>W4102604940</t>
        </is>
      </c>
      <c r="D191" s="10" t="inlineStr">
        <is>
          <t>CB-VT 475 Heilmann</t>
        </is>
      </c>
      <c r="E191" s="10" t="inlineStr">
        <is>
          <t>Ost</t>
        </is>
      </c>
      <c r="F191" s="23" t="n">
        <v>0</v>
      </c>
      <c r="G191" s="23" t="n">
        <v>-4628.19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3" t="n">
        <v>-4628.19</v>
      </c>
      <c r="N191" s="23" t="n">
        <v>0</v>
      </c>
      <c r="O191" s="23" t="n">
        <v>-4628.19</v>
      </c>
    </row>
    <row r="192" ht="21" customHeight="1">
      <c r="C192" s="10" t="inlineStr">
        <is>
          <t>W4102604941</t>
        </is>
      </c>
      <c r="D192" s="10" t="inlineStr">
        <is>
          <t>CB-TV 22E Tayron Hr Lorenz</t>
        </is>
      </c>
      <c r="E192" s="10" t="inlineStr">
        <is>
          <t>Ost</t>
        </is>
      </c>
      <c r="F192" s="23" t="n">
        <v>0</v>
      </c>
      <c r="G192" s="23" t="n">
        <v>-15276.38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3" t="n">
        <v>-15276.38</v>
      </c>
      <c r="N192" s="23" t="n">
        <v>0</v>
      </c>
      <c r="O192" s="23" t="n">
        <v>-15276.38</v>
      </c>
    </row>
    <row r="193" ht="21" customHeight="1">
      <c r="C193" s="10" t="inlineStr">
        <is>
          <t>W4102604949</t>
        </is>
      </c>
      <c r="D193" s="10" t="inlineStr">
        <is>
          <t>CB - VT 686 Passat Fr. Kolber</t>
        </is>
      </c>
      <c r="E193" s="10" t="inlineStr">
        <is>
          <t>Ost</t>
        </is>
      </c>
      <c r="F193" s="23" t="n">
        <v>0</v>
      </c>
      <c r="G193" s="23" t="n">
        <v>-6913.67</v>
      </c>
      <c r="H193" s="23" t="n">
        <v>0</v>
      </c>
      <c r="I193" s="23" t="n">
        <v>0</v>
      </c>
      <c r="J193" s="23" t="n">
        <v>0</v>
      </c>
      <c r="K193" s="23" t="n">
        <v>0</v>
      </c>
      <c r="L193" s="23" t="n">
        <v>0</v>
      </c>
      <c r="M193" s="23" t="n">
        <v>-6913.67</v>
      </c>
      <c r="N193" s="23" t="n">
        <v>0</v>
      </c>
      <c r="O193" s="23" t="n">
        <v>-6913.67</v>
      </c>
    </row>
    <row r="194" ht="21" customHeight="1">
      <c r="C194" s="10" t="inlineStr">
        <is>
          <t>W4102604950</t>
        </is>
      </c>
      <c r="D194" s="10" t="inlineStr">
        <is>
          <t>CB-TV 97 Hr. Mühlberg</t>
        </is>
      </c>
      <c r="E194" s="10" t="inlineStr">
        <is>
          <t>Ost</t>
        </is>
      </c>
      <c r="F194" s="23" t="n">
        <v>0</v>
      </c>
      <c r="G194" s="23" t="n">
        <v>-8323.5</v>
      </c>
      <c r="H194" s="23" t="n">
        <v>0</v>
      </c>
      <c r="I194" s="23" t="n">
        <v>0</v>
      </c>
      <c r="J194" s="23" t="n">
        <v>0</v>
      </c>
      <c r="K194" s="23" t="n">
        <v>0</v>
      </c>
      <c r="L194" s="23" t="n">
        <v>0</v>
      </c>
      <c r="M194" s="23" t="n">
        <v>-8323.5</v>
      </c>
      <c r="N194" s="23" t="n">
        <v>0</v>
      </c>
      <c r="O194" s="23" t="n">
        <v>-8323.5</v>
      </c>
    </row>
    <row r="195" ht="21" customHeight="1">
      <c r="C195" s="10" t="inlineStr">
        <is>
          <t>W4102604951</t>
        </is>
      </c>
      <c r="D195" s="10" t="inlineStr">
        <is>
          <t>PKW Herr Tymczy</t>
        </is>
      </c>
      <c r="E195" s="10" t="inlineStr">
        <is>
          <t>Ost</t>
        </is>
      </c>
      <c r="F195" s="23" t="n">
        <v>0</v>
      </c>
      <c r="G195" s="23" t="n">
        <v>-2396.61</v>
      </c>
      <c r="H195" s="23" t="n">
        <v>0</v>
      </c>
      <c r="I195" s="23" t="n">
        <v>0</v>
      </c>
      <c r="J195" s="23" t="n">
        <v>0</v>
      </c>
      <c r="K195" s="23" t="n">
        <v>0</v>
      </c>
      <c r="L195" s="23" t="n">
        <v>0</v>
      </c>
      <c r="M195" s="23" t="n">
        <v>-2396.61</v>
      </c>
      <c r="N195" s="23" t="n">
        <v>0</v>
      </c>
      <c r="O195" s="23" t="n">
        <v>-2396.61</v>
      </c>
    </row>
    <row r="196" ht="21" customHeight="1">
      <c r="C196" s="10" t="inlineStr">
        <is>
          <t>W4102608246</t>
        </is>
      </c>
      <c r="D196" s="10" t="inlineStr">
        <is>
          <t>RB Kohlebunker/Brücke Lübbenau</t>
        </is>
      </c>
      <c r="E196" s="10" t="inlineStr">
        <is>
          <t>Ost</t>
        </is>
      </c>
      <c r="F196" s="23" t="n">
        <v>0</v>
      </c>
      <c r="G196" s="23" t="n">
        <v>-7875</v>
      </c>
      <c r="H196" s="23" t="n">
        <v>0</v>
      </c>
      <c r="I196" s="23" t="n">
        <v>0</v>
      </c>
      <c r="J196" s="23" t="n">
        <v>0</v>
      </c>
      <c r="K196" s="23" t="n">
        <v>0</v>
      </c>
      <c r="L196" s="23" t="n">
        <v>0</v>
      </c>
      <c r="M196" s="23" t="n">
        <v>-7875</v>
      </c>
      <c r="N196" s="23" t="n">
        <v>0</v>
      </c>
      <c r="O196" s="23" t="n">
        <v>-7875</v>
      </c>
    </row>
    <row r="197" ht="21" customHeight="1">
      <c r="C197" s="10" t="inlineStr">
        <is>
          <t>W4102651216</t>
        </is>
      </c>
      <c r="D197" s="10" t="inlineStr">
        <is>
          <t>Bagger CAT 326 07 FLN</t>
        </is>
      </c>
      <c r="E197" s="10" t="inlineStr">
        <is>
          <t>Berlin</t>
        </is>
      </c>
      <c r="F197" s="23" t="n">
        <v>0</v>
      </c>
      <c r="G197" s="23" t="n">
        <v>-2570</v>
      </c>
      <c r="H197" s="23" t="n">
        <v>0</v>
      </c>
      <c r="I197" s="23" t="n">
        <v>0</v>
      </c>
      <c r="J197" s="23" t="n">
        <v>0</v>
      </c>
      <c r="K197" s="23" t="n">
        <v>0</v>
      </c>
      <c r="L197" s="23" t="n">
        <v>0</v>
      </c>
      <c r="M197" s="23" t="n">
        <v>-2570</v>
      </c>
      <c r="N197" s="23" t="n">
        <v>0</v>
      </c>
      <c r="O197" s="23" t="n">
        <v>-2570</v>
      </c>
    </row>
    <row r="198" ht="21" customHeight="1">
      <c r="C198" s="10" t="inlineStr">
        <is>
          <t>W4102652709</t>
        </is>
      </c>
      <c r="D198" s="10" t="inlineStr">
        <is>
          <t>CB-TV 96 Remault Kangoo</t>
        </is>
      </c>
      <c r="E198" s="10" t="inlineStr">
        <is>
          <t>Berlin</t>
        </is>
      </c>
      <c r="F198" s="23" t="n">
        <v>0</v>
      </c>
      <c r="G198" s="23" t="n">
        <v>-778.71</v>
      </c>
      <c r="H198" s="23" t="n">
        <v>0</v>
      </c>
      <c r="I198" s="23" t="n">
        <v>0</v>
      </c>
      <c r="J198" s="23" t="n">
        <v>0</v>
      </c>
      <c r="K198" s="23" t="n">
        <v>0</v>
      </c>
      <c r="L198" s="23" t="n">
        <v>0</v>
      </c>
      <c r="M198" s="23" t="n">
        <v>-778.71</v>
      </c>
      <c r="N198" s="23" t="n">
        <v>0</v>
      </c>
      <c r="O198" s="23" t="n">
        <v>-778.71</v>
      </c>
    </row>
    <row r="199" ht="21" customHeight="1">
      <c r="C199" s="10" t="inlineStr">
        <is>
          <t>W4102654411</t>
        </is>
      </c>
      <c r="D199" s="10" t="inlineStr">
        <is>
          <t>VVK Berlin</t>
        </is>
      </c>
      <c r="E199" s="10" t="inlineStr">
        <is>
          <t>Berlin</t>
        </is>
      </c>
      <c r="F199" s="23" t="n">
        <v>0</v>
      </c>
      <c r="G199" s="23" t="n">
        <v>-34906.06</v>
      </c>
      <c r="H199" s="23" t="n">
        <v>0</v>
      </c>
      <c r="I199" s="23" t="n">
        <v>0</v>
      </c>
      <c r="J199" s="23" t="n">
        <v>0</v>
      </c>
      <c r="K199" s="23" t="n">
        <v>0</v>
      </c>
      <c r="L199" s="23" t="n">
        <v>0</v>
      </c>
      <c r="M199" s="23" t="n">
        <v>-34906.06</v>
      </c>
      <c r="N199" s="23" t="n">
        <v>0</v>
      </c>
      <c r="O199" s="23" t="n">
        <v>-34906.06</v>
      </c>
    </row>
    <row r="200" ht="21" customHeight="1">
      <c r="C200" s="10" t="inlineStr">
        <is>
          <t>W4102654611</t>
        </is>
      </c>
      <c r="D200" s="10" t="inlineStr">
        <is>
          <t>Lager Region Berlin</t>
        </is>
      </c>
      <c r="E200" s="10" t="inlineStr">
        <is>
          <t>Berlin</t>
        </is>
      </c>
      <c r="F200" s="23" t="n">
        <v>0</v>
      </c>
      <c r="G200" s="23" t="n">
        <v>-54513.8</v>
      </c>
      <c r="H200" s="23" t="n">
        <v>0</v>
      </c>
      <c r="I200" s="23" t="n">
        <v>0</v>
      </c>
      <c r="J200" s="23" t="n">
        <v>0</v>
      </c>
      <c r="K200" s="23" t="n">
        <v>0</v>
      </c>
      <c r="L200" s="23" t="n">
        <v>0</v>
      </c>
      <c r="M200" s="23" t="n">
        <v>-54513.8</v>
      </c>
      <c r="N200" s="23" t="n">
        <v>0</v>
      </c>
      <c r="O200" s="23" t="n">
        <v>-54513.8</v>
      </c>
    </row>
    <row r="201" ht="21" customHeight="1">
      <c r="C201" s="10" t="inlineStr">
        <is>
          <t>W4102654945</t>
        </is>
      </c>
      <c r="D201" s="10" t="inlineStr">
        <is>
          <t>CB- TV 300E Hr. Kemper Mercedes</t>
        </is>
      </c>
      <c r="E201" s="10" t="inlineStr">
        <is>
          <t>Berlin</t>
        </is>
      </c>
      <c r="F201" s="23" t="n">
        <v>0</v>
      </c>
      <c r="G201" s="23" t="n">
        <v>-15640.24</v>
      </c>
      <c r="H201" s="23" t="n">
        <v>0</v>
      </c>
      <c r="I201" s="23" t="n">
        <v>0</v>
      </c>
      <c r="J201" s="23" t="n">
        <v>0</v>
      </c>
      <c r="K201" s="23" t="n">
        <v>0</v>
      </c>
      <c r="L201" s="23" t="n">
        <v>0</v>
      </c>
      <c r="M201" s="23" t="n">
        <v>-15640.24</v>
      </c>
      <c r="N201" s="23" t="n">
        <v>0</v>
      </c>
      <c r="O201" s="23" t="n">
        <v>-15640.24</v>
      </c>
    </row>
    <row r="202" ht="21" customHeight="1">
      <c r="C202" s="10" t="inlineStr">
        <is>
          <t>W4102654946</t>
        </is>
      </c>
      <c r="D202" s="10" t="inlineStr">
        <is>
          <t>CB-TV 65 Hr Braun</t>
        </is>
      </c>
      <c r="E202" s="10" t="inlineStr">
        <is>
          <t>Berlin</t>
        </is>
      </c>
      <c r="F202" s="23" t="n">
        <v>0</v>
      </c>
      <c r="G202" s="23" t="n">
        <v>-6616.91</v>
      </c>
      <c r="H202" s="23" t="n">
        <v>0</v>
      </c>
      <c r="I202" s="23" t="n">
        <v>0</v>
      </c>
      <c r="J202" s="23" t="n">
        <v>0</v>
      </c>
      <c r="K202" s="23" t="n">
        <v>0</v>
      </c>
      <c r="L202" s="23" t="n">
        <v>0</v>
      </c>
      <c r="M202" s="23" t="n">
        <v>-6616.91</v>
      </c>
      <c r="N202" s="23" t="n">
        <v>0</v>
      </c>
      <c r="O202" s="23" t="n">
        <v>-6616.91</v>
      </c>
    </row>
    <row r="203" ht="21" customHeight="1">
      <c r="C203" s="10" t="inlineStr">
        <is>
          <t>W4102654947</t>
        </is>
      </c>
      <c r="D203" s="10" t="inlineStr">
        <is>
          <t>CB-TV 200 Hr. Adil</t>
        </is>
      </c>
      <c r="E203" s="10" t="inlineStr">
        <is>
          <t>Berlin</t>
        </is>
      </c>
      <c r="F203" s="23" t="n">
        <v>0</v>
      </c>
      <c r="G203" s="23" t="n">
        <v>-3949</v>
      </c>
      <c r="H203" s="23" t="n">
        <v>0</v>
      </c>
      <c r="I203" s="23" t="n">
        <v>0</v>
      </c>
      <c r="J203" s="23" t="n">
        <v>0</v>
      </c>
      <c r="K203" s="23" t="n">
        <v>0</v>
      </c>
      <c r="L203" s="23" t="n">
        <v>0</v>
      </c>
      <c r="M203" s="23" t="n">
        <v>-3949</v>
      </c>
      <c r="N203" s="23" t="n">
        <v>0</v>
      </c>
      <c r="O203" s="23" t="n">
        <v>-3949</v>
      </c>
    </row>
    <row r="204" ht="21" customHeight="1">
      <c r="C204" s="10" t="n"/>
      <c r="D204" s="10" t="n"/>
      <c r="E204" s="10" t="n"/>
      <c r="F204" s="23" t="n">
        <v>-128.47</v>
      </c>
      <c r="G204" s="23" t="n">
        <v>-3256845.05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-128.47</v>
      </c>
      <c r="M204" s="23" t="n">
        <v>-3256845.05</v>
      </c>
      <c r="N204" s="23" t="n">
        <v>0</v>
      </c>
      <c r="O204" s="23" t="n">
        <v>-3256973.52</v>
      </c>
    </row>
    <row r="205" ht="21" customHeight="1">
      <c r="C205" s="10" t="inlineStr">
        <is>
          <t>W4102304949</t>
        </is>
      </c>
      <c r="D205" s="10" t="n"/>
      <c r="E205" s="10" t="n"/>
      <c r="F205" s="23" t="n">
        <v>0</v>
      </c>
      <c r="G205" s="23" t="n">
        <v>-1187.54</v>
      </c>
      <c r="H205" s="23" t="n">
        <v>0</v>
      </c>
      <c r="I205" s="23" t="n">
        <v>0</v>
      </c>
      <c r="J205" s="23" t="n">
        <v>0</v>
      </c>
      <c r="K205" s="23" t="n">
        <v>0</v>
      </c>
      <c r="L205" s="23" t="n">
        <v>0</v>
      </c>
      <c r="M205" s="23" t="n">
        <v>-1187.54</v>
      </c>
      <c r="N205" s="23" t="n">
        <v>0</v>
      </c>
      <c r="O205" s="23" t="n">
        <v>-1187.54</v>
      </c>
    </row>
    <row r="206" ht="21" customHeight="1">
      <c r="C206" s="10" t="inlineStr">
        <is>
          <t>W4102604613</t>
        </is>
      </c>
      <c r="D206" s="10" t="n"/>
      <c r="E206" s="10" t="n"/>
      <c r="F206" s="23" t="n">
        <v>0</v>
      </c>
      <c r="G206" s="23" t="n">
        <v>-2192.04</v>
      </c>
      <c r="H206" s="23" t="n">
        <v>0</v>
      </c>
      <c r="I206" s="23" t="n">
        <v>0</v>
      </c>
      <c r="J206" s="23" t="n">
        <v>0</v>
      </c>
      <c r="K206" s="23" t="n">
        <v>0</v>
      </c>
      <c r="L206" s="23" t="n">
        <v>0</v>
      </c>
      <c r="M206" s="23" t="n">
        <v>-2192.04</v>
      </c>
      <c r="N206" s="23" t="n">
        <v>0</v>
      </c>
      <c r="O206" s="23" t="n">
        <v>-2192.04</v>
      </c>
    </row>
    <row r="207" ht="21" customHeight="1">
      <c r="C207" s="10" t="inlineStr">
        <is>
          <t>W4102607081</t>
        </is>
      </c>
      <c r="D207" s="10" t="n"/>
      <c r="E207" s="10" t="n"/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</row>
    <row r="208" ht="21" customHeight="1">
      <c r="C208" s="10" t="inlineStr">
        <is>
          <t>W4102504978</t>
        </is>
      </c>
      <c r="D208" s="10" t="n"/>
      <c r="E208" s="10" t="n"/>
      <c r="F208" s="23" t="n">
        <v>0</v>
      </c>
      <c r="G208" s="23" t="n">
        <v>-1002.99</v>
      </c>
      <c r="H208" s="23" t="n">
        <v>0</v>
      </c>
      <c r="I208" s="23" t="n">
        <v>0</v>
      </c>
      <c r="J208" s="23" t="n">
        <v>0</v>
      </c>
      <c r="K208" s="23" t="n">
        <v>0</v>
      </c>
      <c r="L208" s="23" t="n">
        <v>0</v>
      </c>
      <c r="M208" s="23" t="n">
        <v>-1002.99</v>
      </c>
      <c r="N208" s="23" t="n">
        <v>0</v>
      </c>
      <c r="O208" s="23" t="n">
        <v>-1002.99</v>
      </c>
    </row>
    <row r="209" ht="21" customHeight="1">
      <c r="C209" s="10" t="inlineStr">
        <is>
          <t>P4102307452</t>
        </is>
      </c>
      <c r="D209" s="10" t="n"/>
      <c r="E209" s="10" t="n"/>
      <c r="F209" s="23" t="n">
        <v>0</v>
      </c>
      <c r="G209" s="23" t="n">
        <v>-349.4</v>
      </c>
      <c r="H209" s="23" t="n">
        <v>0</v>
      </c>
      <c r="I209" s="23" t="n">
        <v>0</v>
      </c>
      <c r="J209" s="23" t="n">
        <v>0</v>
      </c>
      <c r="K209" s="23" t="n">
        <v>0</v>
      </c>
      <c r="L209" s="23" t="n">
        <v>0</v>
      </c>
      <c r="M209" s="23" t="n">
        <v>-349.4</v>
      </c>
      <c r="N209" s="23" t="n">
        <v>0</v>
      </c>
      <c r="O209" s="23" t="n">
        <v>-349.4</v>
      </c>
    </row>
    <row r="210" ht="21" customHeight="1">
      <c r="C210" s="10" t="inlineStr">
        <is>
          <t>W4102309045</t>
        </is>
      </c>
      <c r="D210" s="10" t="n"/>
      <c r="E210" s="10" t="n"/>
      <c r="F210" s="23" t="n">
        <v>0</v>
      </c>
      <c r="G210" s="23" t="n">
        <v>-77.84999999999999</v>
      </c>
      <c r="H210" s="23" t="n">
        <v>0</v>
      </c>
      <c r="I210" s="23" t="n">
        <v>0</v>
      </c>
      <c r="J210" s="23" t="n">
        <v>0</v>
      </c>
      <c r="K210" s="23" t="n">
        <v>0</v>
      </c>
      <c r="L210" s="23" t="n">
        <v>0</v>
      </c>
      <c r="M210" s="23" t="n">
        <v>-77.84999999999999</v>
      </c>
      <c r="N210" s="23" t="n">
        <v>0</v>
      </c>
      <c r="O210" s="23" t="n">
        <v>-77.84999999999999</v>
      </c>
    </row>
    <row r="211" ht="21" customHeight="1">
      <c r="C211" s="10" t="inlineStr">
        <is>
          <t>W4102604501</t>
        </is>
      </c>
      <c r="D211" s="10" t="n"/>
      <c r="E211" s="10" t="n"/>
      <c r="F211" s="23" t="n">
        <v>0</v>
      </c>
      <c r="G211" s="23" t="n">
        <v>-33.46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-33.46</v>
      </c>
      <c r="N211" s="23" t="n">
        <v>0</v>
      </c>
      <c r="O211" s="23" t="n">
        <v>-33.46</v>
      </c>
    </row>
    <row r="212" ht="21" customHeight="1">
      <c r="C212" s="10" t="inlineStr">
        <is>
          <t>W4102304948</t>
        </is>
      </c>
      <c r="D212" s="10" t="n"/>
      <c r="E212" s="10" t="n"/>
      <c r="F212" s="23" t="n">
        <v>0</v>
      </c>
      <c r="G212" s="23" t="n">
        <v>-180.18</v>
      </c>
      <c r="H212" s="23" t="n">
        <v>0</v>
      </c>
      <c r="I212" s="23" t="n">
        <v>0</v>
      </c>
      <c r="J212" s="23" t="n">
        <v>0</v>
      </c>
      <c r="K212" s="23" t="n">
        <v>0</v>
      </c>
      <c r="L212" s="23" t="n">
        <v>0</v>
      </c>
      <c r="M212" s="23" t="n">
        <v>-180.18</v>
      </c>
      <c r="N212" s="23" t="n">
        <v>0</v>
      </c>
      <c r="O212" s="23" t="n">
        <v>-180.18</v>
      </c>
    </row>
    <row r="213" ht="21" customHeight="1">
      <c r="C213" s="10" t="inlineStr">
        <is>
          <t>P4102608277</t>
        </is>
      </c>
      <c r="D213" s="10" t="n"/>
      <c r="E213" s="10" t="n"/>
      <c r="F213" s="23" t="n">
        <v>9367.07</v>
      </c>
      <c r="G213" s="23" t="n">
        <v>-5289.44</v>
      </c>
      <c r="H213" s="23" t="n">
        <v>0</v>
      </c>
      <c r="I213" s="23" t="n">
        <v>0</v>
      </c>
      <c r="J213" s="23" t="n">
        <v>0</v>
      </c>
      <c r="K213" s="23" t="n">
        <v>0</v>
      </c>
      <c r="L213" s="23" t="n">
        <v>9367.07</v>
      </c>
      <c r="M213" s="23" t="n">
        <v>-5289.44</v>
      </c>
      <c r="N213" s="23" t="n">
        <v>0</v>
      </c>
      <c r="O213" s="23" t="n">
        <v>4077.63</v>
      </c>
    </row>
    <row r="214" ht="21" customHeight="1">
      <c r="C214" s="10" t="inlineStr">
        <is>
          <t>W4102307366</t>
        </is>
      </c>
      <c r="D214" s="10" t="n"/>
      <c r="E214" s="10" t="n"/>
      <c r="F214" s="23" t="n">
        <v>0</v>
      </c>
      <c r="G214" s="23" t="n">
        <v>0</v>
      </c>
      <c r="H214" s="23" t="n">
        <v>0</v>
      </c>
      <c r="I214" s="23" t="n">
        <v>0</v>
      </c>
      <c r="J214" s="23" t="n">
        <v>0</v>
      </c>
      <c r="K214" s="23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</row>
    <row r="215" ht="21" customHeight="1">
      <c r="C215" s="10" t="inlineStr">
        <is>
          <t>P4102607081</t>
        </is>
      </c>
      <c r="D215" s="10" t="n"/>
      <c r="E215" s="10" t="n"/>
      <c r="F215" s="23" t="n">
        <v>0</v>
      </c>
      <c r="G215" s="23" t="n">
        <v>-177.57</v>
      </c>
      <c r="H215" s="23" t="n">
        <v>0</v>
      </c>
      <c r="I215" s="23" t="n">
        <v>0</v>
      </c>
      <c r="J215" s="23" t="n">
        <v>0</v>
      </c>
      <c r="K215" s="23" t="n">
        <v>0</v>
      </c>
      <c r="L215" s="23" t="n">
        <v>0</v>
      </c>
      <c r="M215" s="23" t="n">
        <v>-177.57</v>
      </c>
      <c r="N215" s="23" t="n">
        <v>0</v>
      </c>
      <c r="O215" s="23" t="n">
        <v>-177.57</v>
      </c>
    </row>
    <row r="216" ht="21" customHeight="1">
      <c r="C216" s="10" t="inlineStr">
        <is>
          <t>P4102307451</t>
        </is>
      </c>
      <c r="D216" s="10" t="n"/>
      <c r="E216" s="10" t="n"/>
      <c r="F216" s="23" t="n">
        <v>0</v>
      </c>
      <c r="G216" s="23" t="n">
        <v>-2162</v>
      </c>
      <c r="H216" s="23" t="n">
        <v>0</v>
      </c>
      <c r="I216" s="23" t="n">
        <v>0</v>
      </c>
      <c r="J216" s="23" t="n">
        <v>0</v>
      </c>
      <c r="K216" s="23" t="n">
        <v>0</v>
      </c>
      <c r="L216" s="23" t="n">
        <v>0</v>
      </c>
      <c r="M216" s="23" t="n">
        <v>-2162</v>
      </c>
      <c r="N216" s="23" t="n">
        <v>0</v>
      </c>
      <c r="O216" s="23" t="n">
        <v>-2162</v>
      </c>
    </row>
    <row r="217" ht="21" customHeight="1">
      <c r="C217" s="10" t="inlineStr">
        <is>
          <t>P4102157472</t>
        </is>
      </c>
      <c r="D217" s="10" t="n"/>
      <c r="E217" s="10" t="n"/>
      <c r="F217" s="23" t="n">
        <v>13000</v>
      </c>
      <c r="G217" s="23" t="n">
        <v>-6383.76</v>
      </c>
      <c r="H217" s="23" t="n">
        <v>0</v>
      </c>
      <c r="I217" s="23" t="n">
        <v>0</v>
      </c>
      <c r="J217" s="23" t="n">
        <v>0</v>
      </c>
      <c r="K217" s="23" t="n">
        <v>0</v>
      </c>
      <c r="L217" s="23" t="n">
        <v>13000</v>
      </c>
      <c r="M217" s="23" t="n">
        <v>-6383.76</v>
      </c>
      <c r="N217" s="23" t="n">
        <v>0</v>
      </c>
      <c r="O217" s="23" t="n">
        <v>6616.24</v>
      </c>
    </row>
    <row r="218" ht="21" customHeight="1">
      <c r="C218" s="10" t="inlineStr">
        <is>
          <t>P4102608278</t>
        </is>
      </c>
      <c r="D218" s="10" t="n"/>
      <c r="E218" s="10" t="n"/>
      <c r="F218" s="23" t="n">
        <v>0</v>
      </c>
      <c r="G218" s="23" t="n">
        <v>-1010</v>
      </c>
      <c r="H218" s="23" t="n">
        <v>0</v>
      </c>
      <c r="I218" s="23" t="n">
        <v>0</v>
      </c>
      <c r="J218" s="23" t="n">
        <v>0</v>
      </c>
      <c r="K218" s="23" t="n">
        <v>0</v>
      </c>
      <c r="L218" s="23" t="n">
        <v>0</v>
      </c>
      <c r="M218" s="23" t="n">
        <v>-1010</v>
      </c>
      <c r="N218" s="23" t="n">
        <v>0</v>
      </c>
      <c r="O218" s="23" t="n">
        <v>-1010</v>
      </c>
    </row>
    <row r="219" ht="21" customHeight="1">
      <c r="C219" s="10" t="inlineStr">
        <is>
          <t>W4102307414</t>
        </is>
      </c>
      <c r="D219" s="10" t="n"/>
      <c r="E219" s="10" t="n"/>
      <c r="F219" s="23" t="n">
        <v>0</v>
      </c>
      <c r="G219" s="23" t="n">
        <v>-65.02</v>
      </c>
      <c r="H219" s="23" t="n">
        <v>0</v>
      </c>
      <c r="I219" s="23" t="n">
        <v>0</v>
      </c>
      <c r="J219" s="23" t="n">
        <v>0</v>
      </c>
      <c r="K219" s="23" t="n">
        <v>0</v>
      </c>
      <c r="L219" s="23" t="n">
        <v>0</v>
      </c>
      <c r="M219" s="23" t="n">
        <v>-65.02</v>
      </c>
      <c r="N219" s="23" t="n">
        <v>0</v>
      </c>
      <c r="O219" s="23" t="n">
        <v>-65.02</v>
      </c>
    </row>
    <row r="220" ht="21" customHeight="1">
      <c r="C220" s="10" t="inlineStr">
        <is>
          <t>P4102157470</t>
        </is>
      </c>
      <c r="D220" s="10" t="n"/>
      <c r="E220" s="10" t="n"/>
      <c r="F220" s="23" t="n">
        <v>40500</v>
      </c>
      <c r="G220" s="23" t="n">
        <v>-21238.51</v>
      </c>
      <c r="H220" s="23" t="n">
        <v>0</v>
      </c>
      <c r="I220" s="23" t="n">
        <v>0</v>
      </c>
      <c r="J220" s="23" t="n">
        <v>0</v>
      </c>
      <c r="K220" s="23" t="n">
        <v>0</v>
      </c>
      <c r="L220" s="23" t="n">
        <v>40500</v>
      </c>
      <c r="M220" s="23" t="n">
        <v>-21238.51</v>
      </c>
      <c r="N220" s="23" t="n">
        <v>0</v>
      </c>
      <c r="O220" s="23" t="n">
        <v>19261.49</v>
      </c>
    </row>
    <row r="221" ht="21" customHeight="1">
      <c r="C221" s="10" t="inlineStr">
        <is>
          <t>W4102504110</t>
        </is>
      </c>
      <c r="D221" s="10" t="n"/>
      <c r="E221" s="10" t="n"/>
      <c r="F221" s="23" t="n">
        <v>0</v>
      </c>
      <c r="G221" s="23" t="n">
        <v>-79.34</v>
      </c>
      <c r="H221" s="23" t="n">
        <v>0</v>
      </c>
      <c r="I221" s="23" t="n">
        <v>0</v>
      </c>
      <c r="J221" s="23" t="n">
        <v>0</v>
      </c>
      <c r="K221" s="23" t="n">
        <v>0</v>
      </c>
      <c r="L221" s="23" t="n">
        <v>0</v>
      </c>
      <c r="M221" s="23" t="n">
        <v>-79.34</v>
      </c>
      <c r="N221" s="23" t="n">
        <v>0</v>
      </c>
      <c r="O221" s="23" t="n">
        <v>-79.34</v>
      </c>
    </row>
    <row r="222" ht="21" customHeight="1">
      <c r="C222" s="10" t="inlineStr">
        <is>
          <t>W4102504977</t>
        </is>
      </c>
      <c r="D222" s="10" t="n"/>
      <c r="E222" s="10" t="n"/>
      <c r="F222" s="23" t="n">
        <v>0</v>
      </c>
      <c r="G222" s="23" t="n">
        <v>-3282.09</v>
      </c>
      <c r="H222" s="23" t="n">
        <v>0</v>
      </c>
      <c r="I222" s="23" t="n">
        <v>0</v>
      </c>
      <c r="J222" s="23" t="n">
        <v>0</v>
      </c>
      <c r="K222" s="23" t="n">
        <v>0</v>
      </c>
      <c r="L222" s="23" t="n">
        <v>0</v>
      </c>
      <c r="M222" s="23" t="n">
        <v>-3282.09</v>
      </c>
      <c r="N222" s="23" t="n">
        <v>0</v>
      </c>
      <c r="O222" s="23" t="n">
        <v>-3282.09</v>
      </c>
    </row>
  </sheetData>
  <mergeCells count="3">
    <mergeCell ref="C2:Q2"/>
    <mergeCell ref="C3:Q3"/>
    <mergeCell ref="C46:Q46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T60"/>
  <sheetViews>
    <sheetView showGridLines="0" workbookViewId="0">
      <selection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20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</row>
    <row r="2" ht="30" customHeight="1">
      <c r="A2" s="48" t="n"/>
      <c r="B2" s="48" t="n"/>
      <c r="C2" s="53" t="inlineStr">
        <is>
          <t>Monatsroll und Cash-Pool-Plan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  <c r="T2" s="60" t="n"/>
    </row>
    <row r="3" ht="32" customHeight="1">
      <c r="A3" s="48" t="n"/>
      <c r="B3" s="48" t="n"/>
      <c r="C3" s="54" t="inlineStr">
        <is>
          <t>Modell aus der Anwendung mit gerundeten DSO-/DPO-Monatsversätzen. Startbestand und Zahlungsparameter auf Steuerung.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</row>
    <row r="6" ht="34" customHeight="1">
      <c r="A6" s="48" t="n"/>
      <c r="B6" s="48" t="n"/>
      <c r="C6" s="3" t="inlineStr">
        <is>
          <t>Monat</t>
        </is>
      </c>
      <c r="D6" s="3" t="inlineStr">
        <is>
          <t>Art</t>
        </is>
      </c>
      <c r="E6" s="3" t="inlineStr">
        <is>
          <t>Umsatz</t>
        </is>
      </c>
      <c r="F6" s="3" t="inlineStr">
        <is>
          <t>Bestand Δ</t>
        </is>
      </c>
      <c r="G6" s="3" t="inlineStr">
        <is>
          <t>EBITDA</t>
        </is>
      </c>
      <c r="H6" s="3" t="inlineStr">
        <is>
          <t>Kosten</t>
        </is>
      </c>
      <c r="I6" s="3" t="inlineStr">
        <is>
          <t>Cash-Anfang</t>
        </is>
      </c>
      <c r="J6" s="3" t="inlineStr">
        <is>
          <t>Umsatz-Zufluss</t>
        </is>
      </c>
      <c r="K6" s="3" t="inlineStr">
        <is>
          <t>Regelzufluss</t>
        </is>
      </c>
      <c r="L6" s="3" t="inlineStr">
        <is>
          <t>Finanzierung</t>
        </is>
      </c>
      <c r="M6" s="3" t="inlineStr">
        <is>
          <t>Gepl. Eingang</t>
        </is>
      </c>
      <c r="N6" s="3" t="inlineStr">
        <is>
          <t>Sachkosten</t>
        </is>
      </c>
      <c r="O6" s="3" t="inlineStr">
        <is>
          <t>Personal/Zins/Invest</t>
        </is>
      </c>
      <c r="P6" s="3" t="inlineStr">
        <is>
          <t>Gepl. Ausgang</t>
        </is>
      </c>
      <c r="Q6" s="3" t="inlineStr">
        <is>
          <t>Cash-Ende</t>
        </is>
      </c>
      <c r="R6" s="3" t="inlineStr">
        <is>
          <t>Ist-Cash</t>
        </is>
      </c>
      <c r="S6" s="48" t="n"/>
      <c r="T6" s="48" t="n"/>
    </row>
    <row r="7">
      <c r="A7" s="48" t="n"/>
      <c r="B7" s="48" t="n"/>
      <c r="C7" s="48" t="n">
        <v>1</v>
      </c>
      <c r="D7" s="42" t="inlineStr">
        <is>
          <t>IST</t>
        </is>
      </c>
      <c r="E7" s="43" t="n">
        <v>639565.45</v>
      </c>
      <c r="F7" s="43" t="n">
        <v>1280847.26</v>
      </c>
      <c r="G7" s="43" t="n">
        <v>294942.37</v>
      </c>
      <c r="H7" s="17" t="n">
        <v>1625470.34</v>
      </c>
      <c r="I7" s="43" t="n"/>
      <c r="J7" s="43" t="n"/>
      <c r="K7" s="43" t="n"/>
      <c r="L7" s="43" t="n"/>
      <c r="M7" s="43" t="n"/>
      <c r="N7" s="43" t="n"/>
      <c r="O7" s="43" t="n"/>
      <c r="P7" s="43" t="n"/>
      <c r="Q7" s="17" t="n"/>
      <c r="R7" s="43" t="n">
        <v>-967394.51</v>
      </c>
      <c r="S7" s="48" t="n"/>
      <c r="T7" s="48" t="n"/>
    </row>
    <row r="8">
      <c r="A8" s="48" t="n"/>
      <c r="B8" s="48" t="n"/>
      <c r="C8" s="48" t="n">
        <v>2</v>
      </c>
      <c r="D8" s="42" t="inlineStr">
        <is>
          <t>IST</t>
        </is>
      </c>
      <c r="E8" s="43" t="n">
        <v>2777244.65</v>
      </c>
      <c r="F8" s="43" t="n">
        <v>-200176.92</v>
      </c>
      <c r="G8" s="43" t="n">
        <v>318570.76</v>
      </c>
      <c r="H8" s="17" t="n">
        <v>2258496.97</v>
      </c>
      <c r="I8" s="43" t="n"/>
      <c r="J8" s="43" t="n"/>
      <c r="K8" s="43" t="n"/>
      <c r="L8" s="43" t="n"/>
      <c r="M8" s="43" t="n"/>
      <c r="N8" s="43" t="n"/>
      <c r="O8" s="43" t="n"/>
      <c r="P8" s="43" t="n"/>
      <c r="Q8" s="17" t="n"/>
      <c r="R8" s="43" t="n">
        <v>-1687613.22</v>
      </c>
      <c r="S8" s="48" t="n"/>
      <c r="T8" s="48" t="n"/>
    </row>
    <row r="9">
      <c r="A9" s="48" t="n"/>
      <c r="B9" s="48" t="n"/>
      <c r="C9" s="48" t="n">
        <v>3</v>
      </c>
      <c r="D9" s="42" t="inlineStr">
        <is>
          <t>IST</t>
        </is>
      </c>
      <c r="E9" s="43" t="n">
        <v>1213541.38</v>
      </c>
      <c r="F9" s="43" t="n">
        <v>1198671.49</v>
      </c>
      <c r="G9" s="43" t="n">
        <v>23595.18</v>
      </c>
      <c r="H9" s="17" t="n">
        <v>2388617.69</v>
      </c>
      <c r="I9" s="43" t="n"/>
      <c r="J9" s="43" t="n"/>
      <c r="K9" s="43" t="n"/>
      <c r="L9" s="43" t="n"/>
      <c r="M9" s="43" t="n"/>
      <c r="N9" s="43" t="n"/>
      <c r="O9" s="43" t="n"/>
      <c r="P9" s="43" t="n"/>
      <c r="Q9" s="17" t="n"/>
      <c r="R9" s="43" t="n">
        <v>-1081708.41</v>
      </c>
      <c r="S9" s="48" t="n"/>
      <c r="T9" s="48" t="n"/>
    </row>
    <row r="10">
      <c r="A10" s="48" t="n"/>
      <c r="B10" s="48" t="n"/>
      <c r="C10" s="48" t="n">
        <v>4</v>
      </c>
      <c r="D10" s="42" t="inlineStr">
        <is>
          <t>IST</t>
        </is>
      </c>
      <c r="E10" s="43" t="n">
        <v>678343.59</v>
      </c>
      <c r="F10" s="43" t="n">
        <v>1261219.89</v>
      </c>
      <c r="G10" s="43" t="n">
        <v>-179274.07</v>
      </c>
      <c r="H10" s="17" t="n">
        <v>2118837.55</v>
      </c>
      <c r="I10" s="43" t="n"/>
      <c r="J10" s="43" t="n"/>
      <c r="K10" s="43" t="n"/>
      <c r="L10" s="43" t="n"/>
      <c r="M10" s="43" t="n"/>
      <c r="N10" s="43" t="n"/>
      <c r="O10" s="43" t="n"/>
      <c r="P10" s="43" t="n"/>
      <c r="Q10" s="17" t="n"/>
      <c r="R10" s="43" t="n">
        <v>-1858253.62</v>
      </c>
      <c r="S10" s="48" t="n"/>
      <c r="T10" s="48" t="n"/>
    </row>
    <row r="11">
      <c r="A11" s="48" t="n"/>
      <c r="B11" s="48" t="n"/>
      <c r="C11" s="48" t="n">
        <v>5</v>
      </c>
      <c r="D11" s="42" t="inlineStr">
        <is>
          <t>IST</t>
        </is>
      </c>
      <c r="E11" s="43" t="n">
        <v>1347585.48</v>
      </c>
      <c r="F11" s="43" t="n">
        <v>-263604.09</v>
      </c>
      <c r="G11" s="43" t="n">
        <v>-141241.9</v>
      </c>
      <c r="H11" s="17" t="n">
        <v>1225223.29</v>
      </c>
      <c r="I11" s="43" t="n"/>
      <c r="J11" s="43" t="n"/>
      <c r="K11" s="43" t="n"/>
      <c r="L11" s="43" t="n"/>
      <c r="M11" s="43" t="n"/>
      <c r="N11" s="43" t="n"/>
      <c r="O11" s="43" t="n"/>
      <c r="P11" s="43" t="n"/>
      <c r="Q11" s="17" t="n"/>
      <c r="R11" s="43" t="n">
        <v>-2445311.2</v>
      </c>
      <c r="S11" s="48" t="n"/>
      <c r="T11" s="48" t="n"/>
    </row>
    <row r="12">
      <c r="A12" s="48" t="n"/>
      <c r="B12" s="48" t="n"/>
      <c r="C12" s="48" t="n">
        <v>6</v>
      </c>
      <c r="D12" s="42" t="inlineStr">
        <is>
          <t>IST</t>
        </is>
      </c>
      <c r="E12" s="43" t="n">
        <v>2470042.1</v>
      </c>
      <c r="F12" s="43" t="n">
        <v>314645.23</v>
      </c>
      <c r="G12" s="43" t="n">
        <v>58553.86</v>
      </c>
      <c r="H12" s="17" t="n">
        <v>2726133.47</v>
      </c>
      <c r="I12" s="43" t="n"/>
      <c r="J12" s="43" t="n"/>
      <c r="K12" s="43" t="n"/>
      <c r="L12" s="43" t="n"/>
      <c r="M12" s="43" t="n"/>
      <c r="N12" s="43" t="n"/>
      <c r="O12" s="43" t="n"/>
      <c r="P12" s="43" t="n"/>
      <c r="Q12" s="17" t="n"/>
      <c r="R12" s="43" t="n">
        <v>-1778289.46</v>
      </c>
      <c r="S12" s="48" t="n"/>
      <c r="T12" s="48" t="n"/>
    </row>
    <row r="13">
      <c r="A13" s="48" t="n"/>
      <c r="B13" s="48" t="n"/>
      <c r="C13" s="48" t="n">
        <v>7</v>
      </c>
      <c r="D13" s="42" t="inlineStr">
        <is>
          <t>IST</t>
        </is>
      </c>
      <c r="E13" s="43" t="n">
        <v>1323928.2</v>
      </c>
      <c r="F13" s="43" t="n">
        <v>294716.46</v>
      </c>
      <c r="G13" s="43" t="n">
        <v>-495291.54</v>
      </c>
      <c r="H13" s="17" t="n">
        <v>2113936.2</v>
      </c>
      <c r="I13" s="43" t="n"/>
      <c r="J13" s="43" t="n"/>
      <c r="K13" s="43" t="n"/>
      <c r="L13" s="43" t="n"/>
      <c r="M13" s="43" t="n"/>
      <c r="N13" s="43" t="n"/>
      <c r="O13" s="43" t="n"/>
      <c r="P13" s="43" t="n"/>
      <c r="Q13" s="17" t="n"/>
      <c r="R13" s="43" t="n">
        <v>-919229.04</v>
      </c>
      <c r="S13" s="48" t="n"/>
      <c r="T13" s="48" t="n"/>
    </row>
    <row r="14">
      <c r="A14" s="48" t="n"/>
      <c r="B14" s="48" t="n"/>
      <c r="C14" s="48" t="n">
        <v>8</v>
      </c>
      <c r="D14" s="42" t="inlineStr">
        <is>
          <t>IST</t>
        </is>
      </c>
      <c r="E14" s="43" t="n">
        <v>854339.84</v>
      </c>
      <c r="F14" s="43" t="n">
        <v>1022525.14</v>
      </c>
      <c r="G14" s="43" t="n">
        <v>-138242.37</v>
      </c>
      <c r="H14" s="17" t="n">
        <v>2015107.35</v>
      </c>
      <c r="I14" s="43" t="n"/>
      <c r="J14" s="43" t="n"/>
      <c r="K14" s="43" t="n"/>
      <c r="L14" s="43" t="n"/>
      <c r="M14" s="43" t="n"/>
      <c r="N14" s="43" t="n"/>
      <c r="O14" s="43" t="n"/>
      <c r="P14" s="43" t="n"/>
      <c r="Q14" s="17" t="n"/>
      <c r="R14" s="43" t="n">
        <v>1944327.5</v>
      </c>
      <c r="S14" s="48" t="n"/>
      <c r="T14" s="48" t="n"/>
    </row>
    <row r="15">
      <c r="A15" s="48" t="n"/>
      <c r="B15" s="48" t="n"/>
      <c r="C15" s="48" t="n">
        <v>9</v>
      </c>
      <c r="D15" s="42" t="inlineStr">
        <is>
          <t>PLAN</t>
        </is>
      </c>
      <c r="E15" s="43" t="n">
        <v>2604944</v>
      </c>
      <c r="F15" s="43" t="n">
        <v>0</v>
      </c>
      <c r="G15" s="43" t="n">
        <v>468444</v>
      </c>
      <c r="H15" s="17" t="n">
        <v>2136500</v>
      </c>
      <c r="I15" s="43" t="n">
        <v>1944327.5</v>
      </c>
      <c r="J15" s="43" t="n">
        <v>1347585.48</v>
      </c>
      <c r="K15" s="43" t="n">
        <v>209759.08</v>
      </c>
      <c r="L15" s="43" t="n">
        <v>0</v>
      </c>
      <c r="M15" s="43" t="n">
        <v>0</v>
      </c>
      <c r="N15" s="43" t="n">
        <v>1671763.97</v>
      </c>
      <c r="O15" s="43" t="n">
        <v>337946.2</v>
      </c>
      <c r="P15" s="43" t="n">
        <v>0</v>
      </c>
      <c r="Q15" s="17" t="n">
        <v>1491961.89</v>
      </c>
      <c r="R15" s="43" t="n"/>
      <c r="S15" s="48" t="n"/>
      <c r="T15" s="48" t="n"/>
    </row>
    <row r="16">
      <c r="A16" s="48" t="n"/>
      <c r="B16" s="48" t="n"/>
      <c r="C16" s="48" t="n">
        <v>10</v>
      </c>
      <c r="D16" s="42" t="inlineStr">
        <is>
          <t>PLAN</t>
        </is>
      </c>
      <c r="E16" s="43" t="n">
        <v>1333000</v>
      </c>
      <c r="F16" s="43" t="n">
        <v>0</v>
      </c>
      <c r="G16" s="43" t="n">
        <v>261250</v>
      </c>
      <c r="H16" s="17" t="n">
        <v>1071750</v>
      </c>
      <c r="I16" s="43" t="n">
        <v>1491961.89</v>
      </c>
      <c r="J16" s="43" t="n">
        <v>2470042.1</v>
      </c>
      <c r="K16" s="43" t="n">
        <v>209759.08</v>
      </c>
      <c r="L16" s="43" t="n">
        <v>0</v>
      </c>
      <c r="M16" s="43" t="n">
        <v>0</v>
      </c>
      <c r="N16" s="43" t="n">
        <v>1793156.62</v>
      </c>
      <c r="O16" s="43" t="n">
        <v>337946.2</v>
      </c>
      <c r="P16" s="43" t="n">
        <v>0</v>
      </c>
      <c r="Q16" s="17" t="n">
        <v>2040660.25</v>
      </c>
      <c r="R16" s="43" t="n"/>
      <c r="S16" s="48" t="n"/>
      <c r="T16" s="48" t="n"/>
    </row>
    <row r="17">
      <c r="A17" s="48" t="n"/>
      <c r="B17" s="48" t="n"/>
      <c r="C17" s="48" t="n">
        <v>11</v>
      </c>
      <c r="D17" s="42" t="inlineStr">
        <is>
          <t>PLAN</t>
        </is>
      </c>
      <c r="E17" s="43" t="n">
        <v>1775000</v>
      </c>
      <c r="F17" s="43" t="n">
        <v>0</v>
      </c>
      <c r="G17" s="43" t="n">
        <v>516650</v>
      </c>
      <c r="H17" s="17" t="n">
        <v>1258350</v>
      </c>
      <c r="I17" s="43" t="n">
        <v>2040660.25</v>
      </c>
      <c r="J17" s="43" t="n">
        <v>1323928.2</v>
      </c>
      <c r="K17" s="43" t="n">
        <v>209759.08</v>
      </c>
      <c r="L17" s="43" t="n">
        <v>0</v>
      </c>
      <c r="M17" s="43" t="n">
        <v>0</v>
      </c>
      <c r="N17" s="43" t="n">
        <v>728406.62</v>
      </c>
      <c r="O17" s="43" t="n">
        <v>337946.2</v>
      </c>
      <c r="P17" s="43" t="n">
        <v>0</v>
      </c>
      <c r="Q17" s="17" t="n">
        <v>2507994.71</v>
      </c>
      <c r="R17" s="43" t="n"/>
      <c r="S17" s="48" t="n"/>
      <c r="T17" s="48" t="n"/>
    </row>
    <row r="18">
      <c r="A18" s="48" t="n"/>
      <c r="B18" s="48" t="n"/>
      <c r="C18" s="48" t="n">
        <v>12</v>
      </c>
      <c r="D18" s="42" t="inlineStr">
        <is>
          <t>PLAN</t>
        </is>
      </c>
      <c r="E18" s="43" t="n">
        <v>1073000</v>
      </c>
      <c r="F18" s="43" t="n">
        <v>0</v>
      </c>
      <c r="G18" s="43" t="n">
        <v>26153</v>
      </c>
      <c r="H18" s="17" t="n">
        <v>1046847</v>
      </c>
      <c r="I18" s="43" t="n">
        <v>2507994.71</v>
      </c>
      <c r="J18" s="43" t="n">
        <v>854339.84</v>
      </c>
      <c r="K18" s="43" t="n">
        <v>209759.08</v>
      </c>
      <c r="L18" s="43" t="n">
        <v>0</v>
      </c>
      <c r="M18" s="43" t="n">
        <v>0</v>
      </c>
      <c r="N18" s="43" t="n">
        <v>915006.62</v>
      </c>
      <c r="O18" s="43" t="n">
        <v>337946.2</v>
      </c>
      <c r="P18" s="43" t="n">
        <v>0</v>
      </c>
      <c r="Q18" s="17" t="n">
        <v>2319140.81</v>
      </c>
      <c r="R18" s="43" t="n"/>
      <c r="S18" s="48" t="n"/>
      <c r="T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</row>
    <row r="22">
      <c r="A22" s="48" t="n"/>
      <c r="B22" s="48" t="n"/>
      <c r="C22" s="51" t="inlineStr">
        <is>
          <t>Der gespeicherte Startbestand 1.944.327,50 EUR entspricht dem Cash-Pool-Stichtag 04.09.2026 in liq_bestand. Die ältere Parameterbeschreibung nennt abweichend 31.07.2026. Beide Originalangaben sind in den Quellen erhalten.</t>
        </is>
      </c>
      <c r="S22" s="48" t="n"/>
      <c r="T22" s="48" t="n"/>
    </row>
    <row r="23">
      <c r="A23" s="48" t="n"/>
      <c r="B23" s="48" t="n"/>
      <c r="S23" s="48" t="n"/>
      <c r="T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</row>
  </sheetData>
  <mergeCells count="3">
    <mergeCell ref="C3:T3"/>
    <mergeCell ref="C22:R23"/>
    <mergeCell ref="C2:T2"/>
  </mergeCells>
  <conditionalFormatting sqref="Q7:R18">
    <cfRule type="cellIs" priority="1" operator="lessThan" dxfId="1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M5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4"/>
    <col width="23" customWidth="1" min="5" max="6"/>
    <col width="15" customWidth="1" min="7" max="9"/>
    <col width="40" customWidth="1" min="10" max="10"/>
    <col width="15" customWidth="1" min="11" max="13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</row>
    <row r="2" ht="30" customHeight="1">
      <c r="A2" s="48" t="n"/>
      <c r="B2" s="48" t="n"/>
      <c r="C2" s="53" t="inlineStr">
        <is>
          <t>Forecast-Eingabe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32" customHeight="1">
      <c r="A3" s="48" t="n"/>
      <c r="B3" s="48" t="n"/>
      <c r="C3" s="54" t="inlineStr">
        <is>
          <t>Änderungen gegenüber dem exportierten Forecast. Positive Kosten erhöhen den Aufwand. Ist-Monate werden als gesperrt gekennzeichnet.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</row>
    <row r="6" ht="36" customHeight="1">
      <c r="A6" s="48" t="n"/>
      <c r="B6" s="48" t="n"/>
      <c r="C6" s="3" t="inlineStr">
        <is>
          <t>Jahr</t>
        </is>
      </c>
      <c r="D6" s="3" t="inlineStr">
        <is>
          <t>Monat</t>
        </is>
      </c>
      <c r="E6" s="3" t="inlineStr">
        <is>
          <t>Region</t>
        </is>
      </c>
      <c r="F6" s="3" t="inlineStr">
        <is>
          <t>Auftrag / Projekt</t>
        </is>
      </c>
      <c r="G6" s="3" t="inlineStr">
        <is>
          <t>Δ Umsatz EUR</t>
        </is>
      </c>
      <c r="H6" s="3" t="inlineStr">
        <is>
          <t>Δ Bestand EUR</t>
        </is>
      </c>
      <c r="I6" s="3" t="inlineStr">
        <is>
          <t>Δ Kosten EUR</t>
        </is>
      </c>
      <c r="J6" s="3" t="inlineStr">
        <is>
          <t>Kommentar</t>
        </is>
      </c>
      <c r="K6" s="3" t="inlineStr">
        <is>
          <t>Status</t>
        </is>
      </c>
      <c r="L6" s="3" t="inlineStr">
        <is>
          <t>Δ EBITDA EUR</t>
        </is>
      </c>
      <c r="M6" s="48" t="n"/>
    </row>
    <row r="7" ht="21" customHeight="1">
      <c r="A7" s="48" t="n"/>
      <c r="B7" s="48" t="n"/>
      <c r="C7" s="59" t="n"/>
      <c r="D7" s="59" t="n"/>
      <c r="E7" s="59" t="n"/>
      <c r="F7" s="59" t="n"/>
      <c r="G7" s="15" t="n"/>
      <c r="H7" s="15" t="n"/>
      <c r="I7" s="15" t="n"/>
      <c r="J7" s="59" t="n"/>
      <c r="K7" s="48" t="n"/>
      <c r="L7" s="5" t="n"/>
      <c r="M7" s="48" t="n"/>
    </row>
    <row r="8" ht="21" customHeight="1">
      <c r="A8" s="48" t="n"/>
      <c r="B8" s="48" t="n"/>
      <c r="C8" s="59" t="n"/>
      <c r="D8" s="59" t="n"/>
      <c r="E8" s="59" t="n"/>
      <c r="F8" s="59" t="n"/>
      <c r="G8" s="15" t="n"/>
      <c r="H8" s="15" t="n"/>
      <c r="I8" s="15" t="n"/>
      <c r="J8" s="59" t="n"/>
      <c r="K8" s="48" t="n"/>
      <c r="L8" s="5" t="n"/>
      <c r="M8" s="48" t="n"/>
    </row>
    <row r="9" ht="21" customHeight="1">
      <c r="A9" s="48" t="n"/>
      <c r="B9" s="48" t="n"/>
      <c r="C9" s="59" t="n"/>
      <c r="D9" s="59" t="n"/>
      <c r="E9" s="59" t="n"/>
      <c r="F9" s="59" t="n"/>
      <c r="G9" s="15" t="n"/>
      <c r="H9" s="15" t="n"/>
      <c r="I9" s="15" t="n"/>
      <c r="J9" s="59" t="n"/>
      <c r="K9" s="48" t="n"/>
      <c r="L9" s="5" t="n"/>
      <c r="M9" s="48" t="n"/>
    </row>
    <row r="10" ht="21" customHeight="1">
      <c r="A10" s="48" t="n"/>
      <c r="B10" s="48" t="n"/>
      <c r="C10" s="59" t="n"/>
      <c r="D10" s="59" t="n"/>
      <c r="E10" s="59" t="n"/>
      <c r="F10" s="59" t="n"/>
      <c r="G10" s="15" t="n"/>
      <c r="H10" s="15" t="n"/>
      <c r="I10" s="15" t="n"/>
      <c r="J10" s="59" t="n"/>
      <c r="K10" s="48" t="n"/>
      <c r="L10" s="5" t="n"/>
      <c r="M10" s="48" t="n"/>
    </row>
    <row r="11" ht="21" customHeight="1">
      <c r="A11" s="48" t="n"/>
      <c r="B11" s="48" t="n"/>
      <c r="C11" s="59" t="n"/>
      <c r="D11" s="59" t="n"/>
      <c r="E11" s="59" t="n"/>
      <c r="F11" s="59" t="n"/>
      <c r="G11" s="15" t="n"/>
      <c r="H11" s="15" t="n"/>
      <c r="I11" s="15" t="n"/>
      <c r="J11" s="59" t="n"/>
      <c r="K11" s="48" t="n"/>
      <c r="L11" s="5" t="n"/>
      <c r="M11" s="48" t="n"/>
    </row>
    <row r="12" ht="21" customHeight="1">
      <c r="A12" s="48" t="n"/>
      <c r="B12" s="48" t="n"/>
      <c r="C12" s="59" t="n"/>
      <c r="D12" s="59" t="n"/>
      <c r="E12" s="59" t="n"/>
      <c r="F12" s="59" t="n"/>
      <c r="G12" s="15" t="n"/>
      <c r="H12" s="15" t="n"/>
      <c r="I12" s="15" t="n"/>
      <c r="J12" s="59" t="n"/>
      <c r="K12" s="48" t="n"/>
      <c r="L12" s="5" t="n"/>
      <c r="M12" s="48" t="n"/>
    </row>
    <row r="13" ht="21" customHeight="1">
      <c r="A13" s="48" t="n"/>
      <c r="B13" s="48" t="n"/>
      <c r="C13" s="59" t="n"/>
      <c r="D13" s="59" t="n"/>
      <c r="E13" s="59" t="n"/>
      <c r="F13" s="59" t="n"/>
      <c r="G13" s="15" t="n"/>
      <c r="H13" s="15" t="n"/>
      <c r="I13" s="15" t="n"/>
      <c r="J13" s="59" t="n"/>
      <c r="K13" s="48" t="n"/>
      <c r="L13" s="5" t="n"/>
      <c r="M13" s="48" t="n"/>
    </row>
    <row r="14" ht="21" customHeight="1">
      <c r="A14" s="48" t="n"/>
      <c r="B14" s="48" t="n"/>
      <c r="C14" s="59" t="n"/>
      <c r="D14" s="59" t="n"/>
      <c r="E14" s="59" t="n"/>
      <c r="F14" s="59" t="n"/>
      <c r="G14" s="15" t="n"/>
      <c r="H14" s="15" t="n"/>
      <c r="I14" s="15" t="n"/>
      <c r="J14" s="59" t="n"/>
      <c r="K14" s="48" t="n"/>
      <c r="L14" s="5" t="n"/>
      <c r="M14" s="48" t="n"/>
    </row>
    <row r="15" ht="21" customHeight="1">
      <c r="A15" s="48" t="n"/>
      <c r="B15" s="48" t="n"/>
      <c r="C15" s="59" t="n"/>
      <c r="D15" s="59" t="n"/>
      <c r="E15" s="59" t="n"/>
      <c r="F15" s="59" t="n"/>
      <c r="G15" s="15" t="n"/>
      <c r="H15" s="15" t="n"/>
      <c r="I15" s="15" t="n"/>
      <c r="J15" s="59" t="n"/>
      <c r="K15" s="48" t="n"/>
      <c r="L15" s="5" t="n"/>
      <c r="M15" s="48" t="n"/>
    </row>
    <row r="16" ht="21" customHeight="1">
      <c r="A16" s="48" t="n"/>
      <c r="B16" s="48" t="n"/>
      <c r="C16" s="59" t="n"/>
      <c r="D16" s="59" t="n"/>
      <c r="E16" s="59" t="n"/>
      <c r="F16" s="59" t="n"/>
      <c r="G16" s="15" t="n"/>
      <c r="H16" s="15" t="n"/>
      <c r="I16" s="15" t="n"/>
      <c r="J16" s="59" t="n"/>
      <c r="K16" s="48" t="n"/>
      <c r="L16" s="5" t="n"/>
      <c r="M16" s="48" t="n"/>
    </row>
    <row r="17" ht="21" customHeight="1">
      <c r="A17" s="48" t="n"/>
      <c r="B17" s="48" t="n"/>
      <c r="C17" s="59" t="n"/>
      <c r="D17" s="59" t="n"/>
      <c r="E17" s="59" t="n"/>
      <c r="F17" s="59" t="n"/>
      <c r="G17" s="15" t="n"/>
      <c r="H17" s="15" t="n"/>
      <c r="I17" s="15" t="n"/>
      <c r="J17" s="59" t="n"/>
      <c r="K17" s="48" t="n"/>
      <c r="L17" s="5" t="n"/>
      <c r="M17" s="48" t="n"/>
    </row>
    <row r="18" ht="21" customHeight="1">
      <c r="A18" s="48" t="n"/>
      <c r="B18" s="48" t="n"/>
      <c r="C18" s="59" t="n"/>
      <c r="D18" s="59" t="n"/>
      <c r="E18" s="59" t="n"/>
      <c r="F18" s="59" t="n"/>
      <c r="G18" s="15" t="n"/>
      <c r="H18" s="15" t="n"/>
      <c r="I18" s="15" t="n"/>
      <c r="J18" s="59" t="n"/>
      <c r="K18" s="48" t="n"/>
      <c r="L18" s="5" t="n"/>
      <c r="M18" s="48" t="n"/>
    </row>
    <row r="19" ht="21" customHeight="1">
      <c r="A19" s="48" t="n"/>
      <c r="B19" s="48" t="n"/>
      <c r="C19" s="59" t="n"/>
      <c r="D19" s="59" t="n"/>
      <c r="E19" s="59" t="n"/>
      <c r="F19" s="59" t="n"/>
      <c r="G19" s="15" t="n"/>
      <c r="H19" s="15" t="n"/>
      <c r="I19" s="15" t="n"/>
      <c r="J19" s="59" t="n"/>
      <c r="K19" s="48" t="n"/>
      <c r="L19" s="5" t="n"/>
      <c r="M19" s="48" t="n"/>
    </row>
    <row r="20" ht="21" customHeight="1">
      <c r="A20" s="48" t="n"/>
      <c r="B20" s="48" t="n"/>
      <c r="C20" s="59" t="n"/>
      <c r="D20" s="59" t="n"/>
      <c r="E20" s="59" t="n"/>
      <c r="F20" s="59" t="n"/>
      <c r="G20" s="15" t="n"/>
      <c r="H20" s="15" t="n"/>
      <c r="I20" s="15" t="n"/>
      <c r="J20" s="59" t="n"/>
      <c r="K20" s="48" t="n"/>
      <c r="L20" s="5" t="n"/>
      <c r="M20" s="48" t="n"/>
    </row>
    <row r="21" ht="21" customHeight="1">
      <c r="A21" s="48" t="n"/>
      <c r="B21" s="48" t="n"/>
      <c r="C21" s="59" t="n"/>
      <c r="D21" s="59" t="n"/>
      <c r="E21" s="59" t="n"/>
      <c r="F21" s="59" t="n"/>
      <c r="G21" s="15" t="n"/>
      <c r="H21" s="15" t="n"/>
      <c r="I21" s="15" t="n"/>
      <c r="J21" s="59" t="n"/>
      <c r="K21" s="48" t="n"/>
      <c r="L21" s="5" t="n"/>
      <c r="M21" s="48" t="n"/>
    </row>
    <row r="22" ht="21" customHeight="1">
      <c r="A22" s="48" t="n"/>
      <c r="B22" s="48" t="n"/>
      <c r="C22" s="59" t="n"/>
      <c r="D22" s="59" t="n"/>
      <c r="E22" s="59" t="n"/>
      <c r="F22" s="59" t="n"/>
      <c r="G22" s="15" t="n"/>
      <c r="H22" s="15" t="n"/>
      <c r="I22" s="15" t="n"/>
      <c r="J22" s="59" t="n"/>
      <c r="K22" s="48" t="n"/>
      <c r="L22" s="5" t="n"/>
      <c r="M22" s="48" t="n"/>
    </row>
    <row r="23" ht="21" customHeight="1">
      <c r="A23" s="48" t="n"/>
      <c r="B23" s="48" t="n"/>
      <c r="C23" s="59" t="n"/>
      <c r="D23" s="59" t="n"/>
      <c r="E23" s="59" t="n"/>
      <c r="F23" s="59" t="n"/>
      <c r="G23" s="15" t="n"/>
      <c r="H23" s="15" t="n"/>
      <c r="I23" s="15" t="n"/>
      <c r="J23" s="59" t="n"/>
      <c r="K23" s="48" t="n"/>
      <c r="L23" s="5" t="n"/>
      <c r="M23" s="48" t="n"/>
    </row>
    <row r="24" ht="21" customHeight="1">
      <c r="A24" s="48" t="n"/>
      <c r="B24" s="48" t="n"/>
      <c r="C24" s="59" t="n"/>
      <c r="D24" s="59" t="n"/>
      <c r="E24" s="59" t="n"/>
      <c r="F24" s="59" t="n"/>
      <c r="G24" s="15" t="n"/>
      <c r="H24" s="15" t="n"/>
      <c r="I24" s="15" t="n"/>
      <c r="J24" s="59" t="n"/>
      <c r="K24" s="48" t="n"/>
      <c r="L24" s="5" t="n"/>
      <c r="M24" s="48" t="n"/>
    </row>
    <row r="25" ht="21" customHeight="1">
      <c r="A25" s="48" t="n"/>
      <c r="B25" s="48" t="n"/>
      <c r="C25" s="59" t="n"/>
      <c r="D25" s="59" t="n"/>
      <c r="E25" s="59" t="n"/>
      <c r="F25" s="59" t="n"/>
      <c r="G25" s="15" t="n"/>
      <c r="H25" s="15" t="n"/>
      <c r="I25" s="15" t="n"/>
      <c r="J25" s="59" t="n"/>
      <c r="K25" s="48" t="n"/>
      <c r="L25" s="5" t="n"/>
      <c r="M25" s="48" t="n"/>
    </row>
    <row r="26" ht="21" customHeight="1">
      <c r="A26" s="48" t="n"/>
      <c r="B26" s="48" t="n"/>
      <c r="C26" s="59" t="n"/>
      <c r="D26" s="59" t="n"/>
      <c r="E26" s="59" t="n"/>
      <c r="F26" s="59" t="n"/>
      <c r="G26" s="15" t="n"/>
      <c r="H26" s="15" t="n"/>
      <c r="I26" s="15" t="n"/>
      <c r="J26" s="59" t="n"/>
      <c r="K26" s="48" t="n"/>
      <c r="L26" s="5" t="n"/>
      <c r="M26" s="48" t="n"/>
    </row>
    <row r="27" ht="21" customHeight="1">
      <c r="A27" s="48" t="n"/>
      <c r="B27" s="48" t="n"/>
      <c r="C27" s="59" t="n"/>
      <c r="D27" s="59" t="n"/>
      <c r="E27" s="59" t="n"/>
      <c r="F27" s="59" t="n"/>
      <c r="G27" s="15" t="n"/>
      <c r="H27" s="15" t="n"/>
      <c r="I27" s="15" t="n"/>
      <c r="J27" s="59" t="n"/>
      <c r="K27" s="48" t="n"/>
      <c r="L27" s="5" t="n"/>
      <c r="M27" s="48" t="n"/>
    </row>
    <row r="28" ht="21" customHeight="1">
      <c r="A28" s="48" t="n"/>
      <c r="B28" s="48" t="n"/>
      <c r="C28" s="59" t="n"/>
      <c r="D28" s="59" t="n"/>
      <c r="E28" s="59" t="n"/>
      <c r="F28" s="59" t="n"/>
      <c r="G28" s="15" t="n"/>
      <c r="H28" s="15" t="n"/>
      <c r="I28" s="15" t="n"/>
      <c r="J28" s="59" t="n"/>
      <c r="K28" s="48" t="n"/>
      <c r="L28" s="5" t="n"/>
      <c r="M28" s="48" t="n"/>
    </row>
    <row r="29" ht="21" customHeight="1">
      <c r="A29" s="48" t="n"/>
      <c r="B29" s="48" t="n"/>
      <c r="C29" s="59" t="n"/>
      <c r="D29" s="59" t="n"/>
      <c r="E29" s="59" t="n"/>
      <c r="F29" s="59" t="n"/>
      <c r="G29" s="15" t="n"/>
      <c r="H29" s="15" t="n"/>
      <c r="I29" s="15" t="n"/>
      <c r="J29" s="59" t="n"/>
      <c r="K29" s="48" t="n"/>
      <c r="L29" s="5" t="n"/>
      <c r="M29" s="48" t="n"/>
    </row>
    <row r="30" ht="21" customHeight="1">
      <c r="A30" s="48" t="n"/>
      <c r="B30" s="48" t="n"/>
      <c r="C30" s="59" t="n"/>
      <c r="D30" s="59" t="n"/>
      <c r="E30" s="59" t="n"/>
      <c r="F30" s="59" t="n"/>
      <c r="G30" s="15" t="n"/>
      <c r="H30" s="15" t="n"/>
      <c r="I30" s="15" t="n"/>
      <c r="J30" s="59" t="n"/>
      <c r="K30" s="48" t="n"/>
      <c r="L30" s="5" t="n"/>
      <c r="M30" s="48" t="n"/>
    </row>
    <row r="31" ht="21" customHeight="1">
      <c r="A31" s="48" t="n"/>
      <c r="B31" s="48" t="n"/>
      <c r="C31" s="59" t="n"/>
      <c r="D31" s="59" t="n"/>
      <c r="E31" s="59" t="n"/>
      <c r="F31" s="59" t="n"/>
      <c r="G31" s="15" t="n"/>
      <c r="H31" s="15" t="n"/>
      <c r="I31" s="15" t="n"/>
      <c r="J31" s="59" t="n"/>
      <c r="K31" s="48" t="n"/>
      <c r="L31" s="5" t="n"/>
      <c r="M31" s="48" t="n"/>
    </row>
    <row r="32" ht="21" customHeight="1">
      <c r="A32" s="48" t="n"/>
      <c r="B32" s="48" t="n"/>
      <c r="C32" s="59" t="n"/>
      <c r="D32" s="59" t="n"/>
      <c r="E32" s="59" t="n"/>
      <c r="F32" s="59" t="n"/>
      <c r="G32" s="15" t="n"/>
      <c r="H32" s="15" t="n"/>
      <c r="I32" s="15" t="n"/>
      <c r="J32" s="59" t="n"/>
      <c r="K32" s="48" t="n"/>
      <c r="L32" s="5" t="n"/>
      <c r="M32" s="48" t="n"/>
    </row>
    <row r="33" ht="21" customHeight="1">
      <c r="A33" s="48" t="n"/>
      <c r="B33" s="48" t="n"/>
      <c r="C33" s="59" t="n"/>
      <c r="D33" s="59" t="n"/>
      <c r="E33" s="59" t="n"/>
      <c r="F33" s="59" t="n"/>
      <c r="G33" s="15" t="n"/>
      <c r="H33" s="15" t="n"/>
      <c r="I33" s="15" t="n"/>
      <c r="J33" s="59" t="n"/>
      <c r="K33" s="48" t="n"/>
      <c r="L33" s="5" t="n"/>
      <c r="M33" s="48" t="n"/>
    </row>
    <row r="34" ht="21" customHeight="1">
      <c r="A34" s="48" t="n"/>
      <c r="B34" s="48" t="n"/>
      <c r="C34" s="59" t="n"/>
      <c r="D34" s="59" t="n"/>
      <c r="E34" s="59" t="n"/>
      <c r="F34" s="59" t="n"/>
      <c r="G34" s="15" t="n"/>
      <c r="H34" s="15" t="n"/>
      <c r="I34" s="15" t="n"/>
      <c r="J34" s="59" t="n"/>
      <c r="K34" s="48" t="n"/>
      <c r="L34" s="5" t="n"/>
      <c r="M34" s="48" t="n"/>
    </row>
    <row r="35" ht="21" customHeight="1">
      <c r="A35" s="48" t="n"/>
      <c r="B35" s="48" t="n"/>
      <c r="C35" s="59" t="n"/>
      <c r="D35" s="59" t="n"/>
      <c r="E35" s="59" t="n"/>
      <c r="F35" s="59" t="n"/>
      <c r="G35" s="15" t="n"/>
      <c r="H35" s="15" t="n"/>
      <c r="I35" s="15" t="n"/>
      <c r="J35" s="59" t="n"/>
      <c r="K35" s="48" t="n"/>
      <c r="L35" s="5" t="n"/>
      <c r="M35" s="48" t="n"/>
    </row>
    <row r="36" ht="21" customHeight="1">
      <c r="A36" s="48" t="n"/>
      <c r="B36" s="48" t="n"/>
      <c r="C36" s="59" t="n"/>
      <c r="D36" s="59" t="n"/>
      <c r="E36" s="59" t="n"/>
      <c r="F36" s="59" t="n"/>
      <c r="G36" s="15" t="n"/>
      <c r="H36" s="15" t="n"/>
      <c r="I36" s="15" t="n"/>
      <c r="J36" s="59" t="n"/>
      <c r="K36" s="48" t="n"/>
      <c r="L36" s="5" t="n"/>
      <c r="M36" s="48" t="n"/>
    </row>
    <row r="37" ht="21" customHeight="1">
      <c r="A37" s="48" t="n"/>
      <c r="B37" s="48" t="n"/>
      <c r="C37" s="59" t="n"/>
      <c r="D37" s="59" t="n"/>
      <c r="E37" s="59" t="n"/>
      <c r="F37" s="59" t="n"/>
      <c r="G37" s="15" t="n"/>
      <c r="H37" s="15" t="n"/>
      <c r="I37" s="15" t="n"/>
      <c r="J37" s="59" t="n"/>
      <c r="K37" s="48" t="n"/>
      <c r="L37" s="5" t="n"/>
      <c r="M37" s="48" t="n"/>
    </row>
    <row r="38" ht="21" customHeight="1">
      <c r="A38" s="48" t="n"/>
      <c r="B38" s="48" t="n"/>
      <c r="C38" s="59" t="n"/>
      <c r="D38" s="59" t="n"/>
      <c r="E38" s="59" t="n"/>
      <c r="F38" s="59" t="n"/>
      <c r="G38" s="15" t="n"/>
      <c r="H38" s="15" t="n"/>
      <c r="I38" s="15" t="n"/>
      <c r="J38" s="59" t="n"/>
      <c r="K38" s="48" t="n"/>
      <c r="L38" s="5" t="n"/>
      <c r="M38" s="48" t="n"/>
    </row>
    <row r="39" ht="21" customHeight="1">
      <c r="A39" s="48" t="n"/>
      <c r="B39" s="48" t="n"/>
      <c r="C39" s="59" t="n"/>
      <c r="D39" s="59" t="n"/>
      <c r="E39" s="59" t="n"/>
      <c r="F39" s="59" t="n"/>
      <c r="G39" s="15" t="n"/>
      <c r="H39" s="15" t="n"/>
      <c r="I39" s="15" t="n"/>
      <c r="J39" s="59" t="n"/>
      <c r="K39" s="48" t="n"/>
      <c r="L39" s="5" t="n"/>
      <c r="M39" s="48" t="n"/>
    </row>
    <row r="40" ht="21" customHeight="1">
      <c r="A40" s="48" t="n"/>
      <c r="B40" s="48" t="n"/>
      <c r="C40" s="59" t="n"/>
      <c r="D40" s="59" t="n"/>
      <c r="E40" s="59" t="n"/>
      <c r="F40" s="59" t="n"/>
      <c r="G40" s="15" t="n"/>
      <c r="H40" s="15" t="n"/>
      <c r="I40" s="15" t="n"/>
      <c r="J40" s="59" t="n"/>
      <c r="K40" s="48" t="n"/>
      <c r="L40" s="5" t="n"/>
      <c r="M40" s="48" t="n"/>
    </row>
    <row r="41" ht="21" customHeight="1">
      <c r="A41" s="48" t="n"/>
      <c r="B41" s="48" t="n"/>
      <c r="C41" s="59" t="n"/>
      <c r="D41" s="59" t="n"/>
      <c r="E41" s="59" t="n"/>
      <c r="F41" s="59" t="n"/>
      <c r="G41" s="15" t="n"/>
      <c r="H41" s="15" t="n"/>
      <c r="I41" s="15" t="n"/>
      <c r="J41" s="59" t="n"/>
      <c r="K41" s="48" t="n"/>
      <c r="L41" s="5" t="n"/>
      <c r="M41" s="48" t="n"/>
    </row>
    <row r="42" ht="21" customHeight="1">
      <c r="A42" s="48" t="n"/>
      <c r="B42" s="48" t="n"/>
      <c r="C42" s="59" t="n"/>
      <c r="D42" s="59" t="n"/>
      <c r="E42" s="59" t="n"/>
      <c r="F42" s="59" t="n"/>
      <c r="G42" s="15" t="n"/>
      <c r="H42" s="15" t="n"/>
      <c r="I42" s="15" t="n"/>
      <c r="J42" s="59" t="n"/>
      <c r="K42" s="48" t="n"/>
      <c r="L42" s="5" t="n"/>
      <c r="M42" s="48" t="n"/>
    </row>
    <row r="43" ht="21" customHeight="1">
      <c r="A43" s="48" t="n"/>
      <c r="B43" s="48" t="n"/>
      <c r="C43" s="59" t="n"/>
      <c r="D43" s="59" t="n"/>
      <c r="E43" s="59" t="n"/>
      <c r="F43" s="59" t="n"/>
      <c r="G43" s="15" t="n"/>
      <c r="H43" s="15" t="n"/>
      <c r="I43" s="15" t="n"/>
      <c r="J43" s="59" t="n"/>
      <c r="K43" s="48" t="n"/>
      <c r="L43" s="5" t="n"/>
      <c r="M43" s="48" t="n"/>
    </row>
    <row r="44" ht="21" customHeight="1">
      <c r="A44" s="48" t="n"/>
      <c r="B44" s="48" t="n"/>
      <c r="C44" s="59" t="n"/>
      <c r="D44" s="59" t="n"/>
      <c r="E44" s="59" t="n"/>
      <c r="F44" s="59" t="n"/>
      <c r="G44" s="15" t="n"/>
      <c r="H44" s="15" t="n"/>
      <c r="I44" s="15" t="n"/>
      <c r="J44" s="59" t="n"/>
      <c r="K44" s="48" t="n"/>
      <c r="L44" s="5" t="n"/>
      <c r="M44" s="48" t="n"/>
    </row>
    <row r="45" ht="21" customHeight="1">
      <c r="A45" s="48" t="n"/>
      <c r="B45" s="48" t="n"/>
      <c r="C45" s="59" t="n"/>
      <c r="D45" s="59" t="n"/>
      <c r="E45" s="59" t="n"/>
      <c r="F45" s="59" t="n"/>
      <c r="G45" s="15" t="n"/>
      <c r="H45" s="15" t="n"/>
      <c r="I45" s="15" t="n"/>
      <c r="J45" s="59" t="n"/>
      <c r="K45" s="48" t="n"/>
      <c r="L45" s="5" t="n"/>
      <c r="M45" s="48" t="n"/>
    </row>
    <row r="46" ht="21" customHeight="1">
      <c r="A46" s="48" t="n"/>
      <c r="B46" s="48" t="n"/>
      <c r="C46" s="59" t="n"/>
      <c r="D46" s="59" t="n"/>
      <c r="E46" s="59" t="n"/>
      <c r="F46" s="59" t="n"/>
      <c r="G46" s="15" t="n"/>
      <c r="H46" s="15" t="n"/>
      <c r="I46" s="15" t="n"/>
      <c r="J46" s="59" t="n"/>
      <c r="K46" s="48" t="n"/>
      <c r="L46" s="5" t="n"/>
      <c r="M46" s="48" t="n"/>
    </row>
    <row r="47" ht="21" customHeight="1">
      <c r="A47" s="48" t="n"/>
      <c r="B47" s="48" t="n"/>
      <c r="C47" s="59" t="n"/>
      <c r="D47" s="59" t="n"/>
      <c r="E47" s="59" t="n"/>
      <c r="F47" s="59" t="n"/>
      <c r="G47" s="15" t="n"/>
      <c r="H47" s="15" t="n"/>
      <c r="I47" s="15" t="n"/>
      <c r="J47" s="59" t="n"/>
      <c r="K47" s="48" t="n"/>
      <c r="L47" s="5" t="n"/>
      <c r="M47" s="48" t="n"/>
    </row>
    <row r="48" ht="21" customHeight="1">
      <c r="A48" s="48" t="n"/>
      <c r="B48" s="48" t="n"/>
      <c r="C48" s="59" t="n"/>
      <c r="D48" s="59" t="n"/>
      <c r="E48" s="59" t="n"/>
      <c r="F48" s="59" t="n"/>
      <c r="G48" s="15" t="n"/>
      <c r="H48" s="15" t="n"/>
      <c r="I48" s="15" t="n"/>
      <c r="J48" s="59" t="n"/>
      <c r="K48" s="48" t="n"/>
      <c r="L48" s="5" t="n"/>
      <c r="M48" s="48" t="n"/>
    </row>
    <row r="49" ht="21" customHeight="1">
      <c r="A49" s="48" t="n"/>
      <c r="B49" s="48" t="n"/>
      <c r="C49" s="59" t="n"/>
      <c r="D49" s="59" t="n"/>
      <c r="E49" s="59" t="n"/>
      <c r="F49" s="59" t="n"/>
      <c r="G49" s="15" t="n"/>
      <c r="H49" s="15" t="n"/>
      <c r="I49" s="15" t="n"/>
      <c r="J49" s="59" t="n"/>
      <c r="K49" s="48" t="n"/>
      <c r="L49" s="5" t="n"/>
      <c r="M49" s="48" t="n"/>
    </row>
    <row r="50" ht="21" customHeight="1">
      <c r="A50" s="48" t="n"/>
      <c r="B50" s="48" t="n"/>
      <c r="C50" s="59" t="n"/>
      <c r="D50" s="59" t="n"/>
      <c r="E50" s="59" t="n"/>
      <c r="F50" s="59" t="n"/>
      <c r="G50" s="15" t="n"/>
      <c r="H50" s="15" t="n"/>
      <c r="I50" s="15" t="n"/>
      <c r="J50" s="59" t="n"/>
      <c r="K50" s="48" t="n"/>
      <c r="L50" s="5" t="n"/>
      <c r="M50" s="48" t="n"/>
    </row>
    <row r="51" ht="21" customHeight="1">
      <c r="A51" s="48" t="n"/>
      <c r="B51" s="48" t="n"/>
      <c r="C51" s="59" t="n"/>
      <c r="D51" s="59" t="n"/>
      <c r="E51" s="59" t="n"/>
      <c r="F51" s="59" t="n"/>
      <c r="G51" s="15" t="n"/>
      <c r="H51" s="15" t="n"/>
      <c r="I51" s="15" t="n"/>
      <c r="J51" s="59" t="n"/>
      <c r="K51" s="48" t="n"/>
      <c r="L51" s="5" t="n"/>
      <c r="M51" s="48" t="n"/>
    </row>
    <row r="52" ht="21" customHeight="1">
      <c r="A52" s="48" t="n"/>
      <c r="B52" s="48" t="n"/>
      <c r="C52" s="59" t="n"/>
      <c r="D52" s="59" t="n"/>
      <c r="E52" s="59" t="n"/>
      <c r="F52" s="59" t="n"/>
      <c r="G52" s="15" t="n"/>
      <c r="H52" s="15" t="n"/>
      <c r="I52" s="15" t="n"/>
      <c r="J52" s="59" t="n"/>
      <c r="K52" s="48" t="n"/>
      <c r="L52" s="5" t="n"/>
      <c r="M52" s="48" t="n"/>
    </row>
    <row r="53" ht="21" customHeight="1">
      <c r="A53" s="48" t="n"/>
      <c r="B53" s="48" t="n"/>
      <c r="C53" s="59" t="n"/>
      <c r="D53" s="59" t="n"/>
      <c r="E53" s="59" t="n"/>
      <c r="F53" s="59" t="n"/>
      <c r="G53" s="15" t="n"/>
      <c r="H53" s="15" t="n"/>
      <c r="I53" s="15" t="n"/>
      <c r="J53" s="59" t="n"/>
      <c r="K53" s="48" t="n"/>
      <c r="L53" s="5" t="n"/>
      <c r="M53" s="48" t="n"/>
    </row>
    <row r="54" ht="21" customHeight="1">
      <c r="A54" s="48" t="n"/>
      <c r="B54" s="48" t="n"/>
      <c r="C54" s="59" t="n"/>
      <c r="D54" s="59" t="n"/>
      <c r="E54" s="59" t="n"/>
      <c r="F54" s="59" t="n"/>
      <c r="G54" s="15" t="n"/>
      <c r="H54" s="15" t="n"/>
      <c r="I54" s="15" t="n"/>
      <c r="J54" s="59" t="n"/>
      <c r="K54" s="48" t="n"/>
      <c r="L54" s="5" t="n"/>
      <c r="M54" s="48" t="n"/>
    </row>
    <row r="55" ht="21" customHeight="1">
      <c r="A55" s="48" t="n"/>
      <c r="B55" s="48" t="n"/>
      <c r="C55" s="59" t="n"/>
      <c r="D55" s="59" t="n"/>
      <c r="E55" s="59" t="n"/>
      <c r="F55" s="59" t="n"/>
      <c r="G55" s="15" t="n"/>
      <c r="H55" s="15" t="n"/>
      <c r="I55" s="15" t="n"/>
      <c r="J55" s="59" t="n"/>
      <c r="K55" s="48" t="n"/>
      <c r="L55" s="5" t="n"/>
      <c r="M55" s="48" t="n"/>
    </row>
    <row r="56" ht="21" customHeight="1">
      <c r="A56" s="48" t="n"/>
      <c r="B56" s="48" t="n"/>
      <c r="C56" s="59" t="n"/>
      <c r="D56" s="59" t="n"/>
      <c r="E56" s="59" t="n"/>
      <c r="F56" s="59" t="n"/>
      <c r="G56" s="15" t="n"/>
      <c r="H56" s="15" t="n"/>
      <c r="I56" s="15" t="n"/>
      <c r="J56" s="59" t="n"/>
      <c r="K56" s="48" t="n"/>
      <c r="L56" s="5" t="n"/>
      <c r="M56" s="48" t="n"/>
    </row>
    <row r="57" ht="21" customHeight="1">
      <c r="A57" s="48" t="n"/>
      <c r="B57" s="48" t="n"/>
      <c r="C57" s="59" t="n"/>
      <c r="D57" s="59" t="n"/>
      <c r="E57" s="59" t="n"/>
      <c r="F57" s="59" t="n"/>
      <c r="G57" s="15" t="n"/>
      <c r="H57" s="15" t="n"/>
      <c r="I57" s="15" t="n"/>
      <c r="J57" s="59" t="n"/>
      <c r="K57" s="48" t="n"/>
      <c r="L57" s="5" t="n"/>
      <c r="M57" s="48" t="n"/>
    </row>
    <row r="58" ht="21" customHeight="1">
      <c r="A58" s="48" t="n"/>
      <c r="B58" s="48" t="n"/>
      <c r="C58" s="59" t="n"/>
      <c r="D58" s="59" t="n"/>
      <c r="E58" s="59" t="n"/>
      <c r="F58" s="59" t="n"/>
      <c r="G58" s="15" t="n"/>
      <c r="H58" s="15" t="n"/>
      <c r="I58" s="15" t="n"/>
      <c r="J58" s="59" t="n"/>
      <c r="K58" s="48" t="n"/>
      <c r="L58" s="5" t="n"/>
      <c r="M58" s="48" t="n"/>
    </row>
    <row r="59" ht="21" customHeight="1">
      <c r="A59" s="48" t="n"/>
      <c r="B59" s="48" t="n"/>
      <c r="C59" s="59" t="n"/>
      <c r="D59" s="59" t="n"/>
      <c r="E59" s="59" t="n"/>
      <c r="F59" s="59" t="n"/>
      <c r="G59" s="15" t="n"/>
      <c r="H59" s="15" t="n"/>
      <c r="I59" s="15" t="n"/>
      <c r="J59" s="59" t="n"/>
      <c r="K59" s="48" t="n"/>
      <c r="L59" s="5" t="n"/>
      <c r="M59" s="48" t="n"/>
    </row>
    <row r="60" ht="21" customHeight="1">
      <c r="A60" s="48" t="n"/>
      <c r="B60" s="48" t="n"/>
      <c r="C60" s="59" t="n"/>
      <c r="D60" s="59" t="n"/>
      <c r="E60" s="59" t="n"/>
      <c r="F60" s="59" t="n"/>
      <c r="G60" s="15" t="n"/>
      <c r="H60" s="15" t="n"/>
      <c r="I60" s="15" t="n"/>
      <c r="J60" s="59" t="n"/>
      <c r="K60" s="48" t="n"/>
      <c r="L60" s="5" t="n"/>
      <c r="M60" s="48" t="n"/>
    </row>
    <row r="61" ht="21" customHeight="1">
      <c r="C61" s="14" t="n"/>
      <c r="D61" s="14" t="n"/>
      <c r="E61" s="14" t="n"/>
      <c r="F61" s="14" t="n"/>
      <c r="G61" s="16" t="n"/>
      <c r="H61" s="16" t="n"/>
      <c r="I61" s="16" t="n"/>
      <c r="J61" s="14" t="n"/>
      <c r="K61" s="10" t="n"/>
      <c r="L61" s="8" t="n"/>
    </row>
    <row r="62" ht="21" customHeight="1">
      <c r="C62" s="14" t="n"/>
      <c r="D62" s="14" t="n"/>
      <c r="E62" s="14" t="n"/>
      <c r="F62" s="14" t="n"/>
      <c r="G62" s="16" t="n"/>
      <c r="H62" s="16" t="n"/>
      <c r="I62" s="16" t="n"/>
      <c r="J62" s="14" t="n"/>
      <c r="K62" s="10" t="n"/>
      <c r="L62" s="8" t="n"/>
    </row>
    <row r="63" ht="21" customHeight="1">
      <c r="C63" s="14" t="n"/>
      <c r="D63" s="14" t="n"/>
      <c r="E63" s="14" t="n"/>
      <c r="F63" s="14" t="n"/>
      <c r="G63" s="16" t="n"/>
      <c r="H63" s="16" t="n"/>
      <c r="I63" s="16" t="n"/>
      <c r="J63" s="14" t="n"/>
      <c r="K63" s="10" t="n"/>
      <c r="L63" s="8" t="n"/>
    </row>
    <row r="64" ht="21" customHeight="1">
      <c r="C64" s="14" t="n"/>
      <c r="D64" s="14" t="n"/>
      <c r="E64" s="14" t="n"/>
      <c r="F64" s="14" t="n"/>
      <c r="G64" s="16" t="n"/>
      <c r="H64" s="16" t="n"/>
      <c r="I64" s="16" t="n"/>
      <c r="J64" s="14" t="n"/>
      <c r="K64" s="10" t="n"/>
      <c r="L64" s="8" t="n"/>
    </row>
    <row r="65" ht="21" customHeight="1">
      <c r="C65" s="14" t="n"/>
      <c r="D65" s="14" t="n"/>
      <c r="E65" s="14" t="n"/>
      <c r="F65" s="14" t="n"/>
      <c r="G65" s="16" t="n"/>
      <c r="H65" s="16" t="n"/>
      <c r="I65" s="16" t="n"/>
      <c r="J65" s="14" t="n"/>
      <c r="K65" s="10" t="n"/>
      <c r="L65" s="8" t="n"/>
    </row>
    <row r="66" ht="21" customHeight="1">
      <c r="C66" s="14" t="n"/>
      <c r="D66" s="14" t="n"/>
      <c r="E66" s="14" t="n"/>
      <c r="F66" s="14" t="n"/>
      <c r="G66" s="16" t="n"/>
      <c r="H66" s="16" t="n"/>
      <c r="I66" s="16" t="n"/>
      <c r="J66" s="14" t="n"/>
      <c r="K66" s="10" t="n"/>
      <c r="L66" s="8" t="n"/>
    </row>
    <row r="67" ht="21" customHeight="1">
      <c r="C67" s="14" t="n"/>
      <c r="D67" s="14" t="n"/>
      <c r="E67" s="14" t="n"/>
      <c r="F67" s="14" t="n"/>
      <c r="G67" s="16" t="n"/>
      <c r="H67" s="16" t="n"/>
      <c r="I67" s="16" t="n"/>
      <c r="J67" s="14" t="n"/>
      <c r="K67" s="10" t="n"/>
      <c r="L67" s="8" t="n"/>
    </row>
    <row r="68" ht="21" customHeight="1">
      <c r="C68" s="14" t="n"/>
      <c r="D68" s="14" t="n"/>
      <c r="E68" s="14" t="n"/>
      <c r="F68" s="14" t="n"/>
      <c r="G68" s="16" t="n"/>
      <c r="H68" s="16" t="n"/>
      <c r="I68" s="16" t="n"/>
      <c r="J68" s="14" t="n"/>
      <c r="K68" s="10" t="n"/>
      <c r="L68" s="8" t="n"/>
    </row>
    <row r="69" ht="21" customHeight="1">
      <c r="C69" s="14" t="n"/>
      <c r="D69" s="14" t="n"/>
      <c r="E69" s="14" t="n"/>
      <c r="F69" s="14" t="n"/>
      <c r="G69" s="16" t="n"/>
      <c r="H69" s="16" t="n"/>
      <c r="I69" s="16" t="n"/>
      <c r="J69" s="14" t="n"/>
      <c r="K69" s="10" t="n"/>
      <c r="L69" s="8" t="n"/>
    </row>
    <row r="70" ht="21" customHeight="1">
      <c r="C70" s="14" t="n"/>
      <c r="D70" s="14" t="n"/>
      <c r="E70" s="14" t="n"/>
      <c r="F70" s="14" t="n"/>
      <c r="G70" s="16" t="n"/>
      <c r="H70" s="16" t="n"/>
      <c r="I70" s="16" t="n"/>
      <c r="J70" s="14" t="n"/>
      <c r="K70" s="10" t="n"/>
      <c r="L70" s="8" t="n"/>
    </row>
    <row r="71" ht="21" customHeight="1">
      <c r="C71" s="14" t="n"/>
      <c r="D71" s="14" t="n"/>
      <c r="E71" s="14" t="n"/>
      <c r="F71" s="14" t="n"/>
      <c r="G71" s="16" t="n"/>
      <c r="H71" s="16" t="n"/>
      <c r="I71" s="16" t="n"/>
      <c r="J71" s="14" t="n"/>
      <c r="K71" s="10" t="n"/>
      <c r="L71" s="8" t="n"/>
    </row>
    <row r="72" ht="21" customHeight="1">
      <c r="C72" s="14" t="n"/>
      <c r="D72" s="14" t="n"/>
      <c r="E72" s="14" t="n"/>
      <c r="F72" s="14" t="n"/>
      <c r="G72" s="16" t="n"/>
      <c r="H72" s="16" t="n"/>
      <c r="I72" s="16" t="n"/>
      <c r="J72" s="14" t="n"/>
      <c r="K72" s="10" t="n"/>
      <c r="L72" s="8" t="n"/>
    </row>
    <row r="73" ht="21" customHeight="1">
      <c r="C73" s="14" t="n"/>
      <c r="D73" s="14" t="n"/>
      <c r="E73" s="14" t="n"/>
      <c r="F73" s="14" t="n"/>
      <c r="G73" s="16" t="n"/>
      <c r="H73" s="16" t="n"/>
      <c r="I73" s="16" t="n"/>
      <c r="J73" s="14" t="n"/>
      <c r="K73" s="10" t="n"/>
      <c r="L73" s="8" t="n"/>
    </row>
    <row r="74" ht="21" customHeight="1">
      <c r="C74" s="14" t="n"/>
      <c r="D74" s="14" t="n"/>
      <c r="E74" s="14" t="n"/>
      <c r="F74" s="14" t="n"/>
      <c r="G74" s="16" t="n"/>
      <c r="H74" s="16" t="n"/>
      <c r="I74" s="16" t="n"/>
      <c r="J74" s="14" t="n"/>
      <c r="K74" s="10" t="n"/>
      <c r="L74" s="8" t="n"/>
    </row>
    <row r="75" ht="21" customHeight="1">
      <c r="C75" s="14" t="n"/>
      <c r="D75" s="14" t="n"/>
      <c r="E75" s="14" t="n"/>
      <c r="F75" s="14" t="n"/>
      <c r="G75" s="16" t="n"/>
      <c r="H75" s="16" t="n"/>
      <c r="I75" s="16" t="n"/>
      <c r="J75" s="14" t="n"/>
      <c r="K75" s="10" t="n"/>
      <c r="L75" s="8" t="n"/>
    </row>
    <row r="76" ht="21" customHeight="1">
      <c r="C76" s="14" t="n"/>
      <c r="D76" s="14" t="n"/>
      <c r="E76" s="14" t="n"/>
      <c r="F76" s="14" t="n"/>
      <c r="G76" s="16" t="n"/>
      <c r="H76" s="16" t="n"/>
      <c r="I76" s="16" t="n"/>
      <c r="J76" s="14" t="n"/>
      <c r="K76" s="10" t="n"/>
      <c r="L76" s="8" t="n"/>
    </row>
    <row r="77" ht="21" customHeight="1">
      <c r="C77" s="14" t="n"/>
      <c r="D77" s="14" t="n"/>
      <c r="E77" s="14" t="n"/>
      <c r="F77" s="14" t="n"/>
      <c r="G77" s="16" t="n"/>
      <c r="H77" s="16" t="n"/>
      <c r="I77" s="16" t="n"/>
      <c r="J77" s="14" t="n"/>
      <c r="K77" s="10" t="n"/>
      <c r="L77" s="8" t="n"/>
    </row>
    <row r="78" ht="21" customHeight="1">
      <c r="C78" s="14" t="n"/>
      <c r="D78" s="14" t="n"/>
      <c r="E78" s="14" t="n"/>
      <c r="F78" s="14" t="n"/>
      <c r="G78" s="16" t="n"/>
      <c r="H78" s="16" t="n"/>
      <c r="I78" s="16" t="n"/>
      <c r="J78" s="14" t="n"/>
      <c r="K78" s="10" t="n"/>
      <c r="L78" s="8" t="n"/>
    </row>
    <row r="79" ht="21" customHeight="1">
      <c r="C79" s="14" t="n"/>
      <c r="D79" s="14" t="n"/>
      <c r="E79" s="14" t="n"/>
      <c r="F79" s="14" t="n"/>
      <c r="G79" s="16" t="n"/>
      <c r="H79" s="16" t="n"/>
      <c r="I79" s="16" t="n"/>
      <c r="J79" s="14" t="n"/>
      <c r="K79" s="10" t="n"/>
      <c r="L79" s="8" t="n"/>
    </row>
    <row r="80" ht="21" customHeight="1">
      <c r="C80" s="14" t="n"/>
      <c r="D80" s="14" t="n"/>
      <c r="E80" s="14" t="n"/>
      <c r="F80" s="14" t="n"/>
      <c r="G80" s="16" t="n"/>
      <c r="H80" s="16" t="n"/>
      <c r="I80" s="16" t="n"/>
      <c r="J80" s="14" t="n"/>
      <c r="K80" s="10" t="n"/>
      <c r="L80" s="8" t="n"/>
    </row>
    <row r="81" ht="21" customHeight="1">
      <c r="C81" s="14" t="n"/>
      <c r="D81" s="14" t="n"/>
      <c r="E81" s="14" t="n"/>
      <c r="F81" s="14" t="n"/>
      <c r="G81" s="16" t="n"/>
      <c r="H81" s="16" t="n"/>
      <c r="I81" s="16" t="n"/>
      <c r="J81" s="14" t="n"/>
      <c r="K81" s="10" t="n"/>
      <c r="L81" s="8" t="n"/>
    </row>
    <row r="82" ht="21" customHeight="1">
      <c r="C82" s="14" t="n"/>
      <c r="D82" s="14" t="n"/>
      <c r="E82" s="14" t="n"/>
      <c r="F82" s="14" t="n"/>
      <c r="G82" s="16" t="n"/>
      <c r="H82" s="16" t="n"/>
      <c r="I82" s="16" t="n"/>
      <c r="J82" s="14" t="n"/>
      <c r="K82" s="10" t="n"/>
      <c r="L82" s="8" t="n"/>
    </row>
    <row r="83" ht="21" customHeight="1">
      <c r="C83" s="14" t="n"/>
      <c r="D83" s="14" t="n"/>
      <c r="E83" s="14" t="n"/>
      <c r="F83" s="14" t="n"/>
      <c r="G83" s="16" t="n"/>
      <c r="H83" s="16" t="n"/>
      <c r="I83" s="16" t="n"/>
      <c r="J83" s="14" t="n"/>
      <c r="K83" s="10" t="n"/>
      <c r="L83" s="8" t="n"/>
    </row>
    <row r="84" ht="21" customHeight="1">
      <c r="C84" s="14" t="n"/>
      <c r="D84" s="14" t="n"/>
      <c r="E84" s="14" t="n"/>
      <c r="F84" s="14" t="n"/>
      <c r="G84" s="16" t="n"/>
      <c r="H84" s="16" t="n"/>
      <c r="I84" s="16" t="n"/>
      <c r="J84" s="14" t="n"/>
      <c r="K84" s="10" t="n"/>
      <c r="L84" s="8" t="n"/>
    </row>
    <row r="85" ht="21" customHeight="1">
      <c r="C85" s="14" t="n"/>
      <c r="D85" s="14" t="n"/>
      <c r="E85" s="14" t="n"/>
      <c r="F85" s="14" t="n"/>
      <c r="G85" s="16" t="n"/>
      <c r="H85" s="16" t="n"/>
      <c r="I85" s="16" t="n"/>
      <c r="J85" s="14" t="n"/>
      <c r="K85" s="10" t="n"/>
      <c r="L85" s="8" t="n"/>
    </row>
    <row r="86" ht="21" customHeight="1">
      <c r="C86" s="14" t="n"/>
      <c r="D86" s="14" t="n"/>
      <c r="E86" s="14" t="n"/>
      <c r="F86" s="14" t="n"/>
      <c r="G86" s="16" t="n"/>
      <c r="H86" s="16" t="n"/>
      <c r="I86" s="16" t="n"/>
      <c r="J86" s="14" t="n"/>
      <c r="K86" s="10" t="n"/>
      <c r="L86" s="8" t="n"/>
    </row>
    <row r="87" ht="21" customHeight="1">
      <c r="C87" s="14" t="n"/>
      <c r="D87" s="14" t="n"/>
      <c r="E87" s="14" t="n"/>
      <c r="F87" s="14" t="n"/>
      <c r="G87" s="16" t="n"/>
      <c r="H87" s="16" t="n"/>
      <c r="I87" s="16" t="n"/>
      <c r="J87" s="14" t="n"/>
      <c r="K87" s="10" t="n"/>
      <c r="L87" s="8" t="n"/>
    </row>
    <row r="88" ht="21" customHeight="1">
      <c r="C88" s="14" t="n"/>
      <c r="D88" s="14" t="n"/>
      <c r="E88" s="14" t="n"/>
      <c r="F88" s="14" t="n"/>
      <c r="G88" s="16" t="n"/>
      <c r="H88" s="16" t="n"/>
      <c r="I88" s="16" t="n"/>
      <c r="J88" s="14" t="n"/>
      <c r="K88" s="10" t="n"/>
      <c r="L88" s="8" t="n"/>
    </row>
    <row r="89" ht="21" customHeight="1">
      <c r="C89" s="14" t="n"/>
      <c r="D89" s="14" t="n"/>
      <c r="E89" s="14" t="n"/>
      <c r="F89" s="14" t="n"/>
      <c r="G89" s="16" t="n"/>
      <c r="H89" s="16" t="n"/>
      <c r="I89" s="16" t="n"/>
      <c r="J89" s="14" t="n"/>
      <c r="K89" s="10" t="n"/>
      <c r="L89" s="8" t="n"/>
    </row>
    <row r="90" ht="21" customHeight="1">
      <c r="C90" s="14" t="n"/>
      <c r="D90" s="14" t="n"/>
      <c r="E90" s="14" t="n"/>
      <c r="F90" s="14" t="n"/>
      <c r="G90" s="16" t="n"/>
      <c r="H90" s="16" t="n"/>
      <c r="I90" s="16" t="n"/>
      <c r="J90" s="14" t="n"/>
      <c r="K90" s="10" t="n"/>
      <c r="L90" s="8" t="n"/>
    </row>
    <row r="91" ht="21" customHeight="1">
      <c r="C91" s="14" t="n"/>
      <c r="D91" s="14" t="n"/>
      <c r="E91" s="14" t="n"/>
      <c r="F91" s="14" t="n"/>
      <c r="G91" s="16" t="n"/>
      <c r="H91" s="16" t="n"/>
      <c r="I91" s="16" t="n"/>
      <c r="J91" s="14" t="n"/>
      <c r="K91" s="10" t="n"/>
      <c r="L91" s="8" t="n"/>
    </row>
    <row r="92" ht="21" customHeight="1">
      <c r="C92" s="14" t="n"/>
      <c r="D92" s="14" t="n"/>
      <c r="E92" s="14" t="n"/>
      <c r="F92" s="14" t="n"/>
      <c r="G92" s="16" t="n"/>
      <c r="H92" s="16" t="n"/>
      <c r="I92" s="16" t="n"/>
      <c r="J92" s="14" t="n"/>
      <c r="K92" s="10" t="n"/>
      <c r="L92" s="8" t="n"/>
    </row>
    <row r="93" ht="21" customHeight="1">
      <c r="C93" s="14" t="n"/>
      <c r="D93" s="14" t="n"/>
      <c r="E93" s="14" t="n"/>
      <c r="F93" s="14" t="n"/>
      <c r="G93" s="16" t="n"/>
      <c r="H93" s="16" t="n"/>
      <c r="I93" s="16" t="n"/>
      <c r="J93" s="14" t="n"/>
      <c r="K93" s="10" t="n"/>
      <c r="L93" s="8" t="n"/>
    </row>
    <row r="94" ht="21" customHeight="1">
      <c r="C94" s="14" t="n"/>
      <c r="D94" s="14" t="n"/>
      <c r="E94" s="14" t="n"/>
      <c r="F94" s="14" t="n"/>
      <c r="G94" s="16" t="n"/>
      <c r="H94" s="16" t="n"/>
      <c r="I94" s="16" t="n"/>
      <c r="J94" s="14" t="n"/>
      <c r="K94" s="10" t="n"/>
      <c r="L94" s="8" t="n"/>
    </row>
    <row r="95" ht="21" customHeight="1">
      <c r="C95" s="14" t="n"/>
      <c r="D95" s="14" t="n"/>
      <c r="E95" s="14" t="n"/>
      <c r="F95" s="14" t="n"/>
      <c r="G95" s="16" t="n"/>
      <c r="H95" s="16" t="n"/>
      <c r="I95" s="16" t="n"/>
      <c r="J95" s="14" t="n"/>
      <c r="K95" s="10" t="n"/>
      <c r="L95" s="8" t="n"/>
    </row>
    <row r="96" ht="21" customHeight="1">
      <c r="C96" s="14" t="n"/>
      <c r="D96" s="14" t="n"/>
      <c r="E96" s="14" t="n"/>
      <c r="F96" s="14" t="n"/>
      <c r="G96" s="16" t="n"/>
      <c r="H96" s="16" t="n"/>
      <c r="I96" s="16" t="n"/>
      <c r="J96" s="14" t="n"/>
      <c r="K96" s="10" t="n"/>
      <c r="L96" s="8" t="n"/>
    </row>
    <row r="97" ht="21" customHeight="1">
      <c r="C97" s="14" t="n"/>
      <c r="D97" s="14" t="n"/>
      <c r="E97" s="14" t="n"/>
      <c r="F97" s="14" t="n"/>
      <c r="G97" s="16" t="n"/>
      <c r="H97" s="16" t="n"/>
      <c r="I97" s="16" t="n"/>
      <c r="J97" s="14" t="n"/>
      <c r="K97" s="10" t="n"/>
      <c r="L97" s="8" t="n"/>
    </row>
    <row r="98" ht="21" customHeight="1">
      <c r="C98" s="14" t="n"/>
      <c r="D98" s="14" t="n"/>
      <c r="E98" s="14" t="n"/>
      <c r="F98" s="14" t="n"/>
      <c r="G98" s="16" t="n"/>
      <c r="H98" s="16" t="n"/>
      <c r="I98" s="16" t="n"/>
      <c r="J98" s="14" t="n"/>
      <c r="K98" s="10" t="n"/>
      <c r="L98" s="8" t="n"/>
    </row>
    <row r="99" ht="21" customHeight="1">
      <c r="C99" s="14" t="n"/>
      <c r="D99" s="14" t="n"/>
      <c r="E99" s="14" t="n"/>
      <c r="F99" s="14" t="n"/>
      <c r="G99" s="16" t="n"/>
      <c r="H99" s="16" t="n"/>
      <c r="I99" s="16" t="n"/>
      <c r="J99" s="14" t="n"/>
      <c r="K99" s="10" t="n"/>
      <c r="L99" s="8" t="n"/>
    </row>
    <row r="100" ht="21" customHeight="1">
      <c r="C100" s="14" t="n"/>
      <c r="D100" s="14" t="n"/>
      <c r="E100" s="14" t="n"/>
      <c r="F100" s="14" t="n"/>
      <c r="G100" s="16" t="n"/>
      <c r="H100" s="16" t="n"/>
      <c r="I100" s="16" t="n"/>
      <c r="J100" s="14" t="n"/>
      <c r="K100" s="10" t="n"/>
      <c r="L100" s="8" t="n"/>
    </row>
    <row r="101" ht="21" customHeight="1">
      <c r="C101" s="14" t="n"/>
      <c r="D101" s="14" t="n"/>
      <c r="E101" s="14" t="n"/>
      <c r="F101" s="14" t="n"/>
      <c r="G101" s="16" t="n"/>
      <c r="H101" s="16" t="n"/>
      <c r="I101" s="16" t="n"/>
      <c r="J101" s="14" t="n"/>
      <c r="K101" s="10" t="n"/>
      <c r="L101" s="8" t="n"/>
    </row>
    <row r="102" ht="21" customHeight="1">
      <c r="C102" s="14" t="n"/>
      <c r="D102" s="14" t="n"/>
      <c r="E102" s="14" t="n"/>
      <c r="F102" s="14" t="n"/>
      <c r="G102" s="16" t="n"/>
      <c r="H102" s="16" t="n"/>
      <c r="I102" s="16" t="n"/>
      <c r="J102" s="14" t="n"/>
      <c r="K102" s="10" t="n"/>
      <c r="L102" s="8" t="n"/>
    </row>
    <row r="103" ht="21" customHeight="1">
      <c r="C103" s="14" t="n"/>
      <c r="D103" s="14" t="n"/>
      <c r="E103" s="14" t="n"/>
      <c r="F103" s="14" t="n"/>
      <c r="G103" s="16" t="n"/>
      <c r="H103" s="16" t="n"/>
      <c r="I103" s="16" t="n"/>
      <c r="J103" s="14" t="n"/>
      <c r="K103" s="10" t="n"/>
      <c r="L103" s="8" t="n"/>
    </row>
    <row r="104" ht="21" customHeight="1">
      <c r="C104" s="14" t="n"/>
      <c r="D104" s="14" t="n"/>
      <c r="E104" s="14" t="n"/>
      <c r="F104" s="14" t="n"/>
      <c r="G104" s="16" t="n"/>
      <c r="H104" s="16" t="n"/>
      <c r="I104" s="16" t="n"/>
      <c r="J104" s="14" t="n"/>
      <c r="K104" s="10" t="n"/>
      <c r="L104" s="8" t="n"/>
    </row>
    <row r="105" ht="21" customHeight="1">
      <c r="C105" s="14" t="n"/>
      <c r="D105" s="14" t="n"/>
      <c r="E105" s="14" t="n"/>
      <c r="F105" s="14" t="n"/>
      <c r="G105" s="16" t="n"/>
      <c r="H105" s="16" t="n"/>
      <c r="I105" s="16" t="n"/>
      <c r="J105" s="14" t="n"/>
      <c r="K105" s="10" t="n"/>
      <c r="L105" s="8" t="n"/>
    </row>
    <row r="106" ht="21" customHeight="1">
      <c r="C106" s="14" t="n"/>
      <c r="D106" s="14" t="n"/>
      <c r="E106" s="14" t="n"/>
      <c r="F106" s="14" t="n"/>
      <c r="G106" s="16" t="n"/>
      <c r="H106" s="16" t="n"/>
      <c r="I106" s="16" t="n"/>
      <c r="J106" s="14" t="n"/>
      <c r="K106" s="10" t="n"/>
      <c r="L106" s="8" t="n"/>
    </row>
    <row r="107" ht="21" customHeight="1">
      <c r="C107" s="14" t="n"/>
      <c r="D107" s="14" t="n"/>
      <c r="E107" s="14" t="n"/>
      <c r="F107" s="14" t="n"/>
      <c r="G107" s="16" t="n"/>
      <c r="H107" s="16" t="n"/>
      <c r="I107" s="16" t="n"/>
      <c r="J107" s="14" t="n"/>
      <c r="K107" s="10" t="n"/>
      <c r="L107" s="8" t="n"/>
    </row>
    <row r="108" ht="21" customHeight="1">
      <c r="C108" s="14" t="n"/>
      <c r="D108" s="14" t="n"/>
      <c r="E108" s="14" t="n"/>
      <c r="F108" s="14" t="n"/>
      <c r="G108" s="16" t="n"/>
      <c r="H108" s="16" t="n"/>
      <c r="I108" s="16" t="n"/>
      <c r="J108" s="14" t="n"/>
      <c r="K108" s="10" t="n"/>
      <c r="L108" s="8" t="n"/>
    </row>
    <row r="109" ht="21" customHeight="1">
      <c r="C109" s="14" t="n"/>
      <c r="D109" s="14" t="n"/>
      <c r="E109" s="14" t="n"/>
      <c r="F109" s="14" t="n"/>
      <c r="G109" s="16" t="n"/>
      <c r="H109" s="16" t="n"/>
      <c r="I109" s="16" t="n"/>
      <c r="J109" s="14" t="n"/>
      <c r="K109" s="10" t="n"/>
      <c r="L109" s="8" t="n"/>
    </row>
    <row r="110" ht="21" customHeight="1">
      <c r="C110" s="14" t="n"/>
      <c r="D110" s="14" t="n"/>
      <c r="E110" s="14" t="n"/>
      <c r="F110" s="14" t="n"/>
      <c r="G110" s="16" t="n"/>
      <c r="H110" s="16" t="n"/>
      <c r="I110" s="16" t="n"/>
      <c r="J110" s="14" t="n"/>
      <c r="K110" s="10" t="n"/>
      <c r="L110" s="8" t="n"/>
    </row>
    <row r="111" ht="21" customHeight="1">
      <c r="C111" s="14" t="n"/>
      <c r="D111" s="14" t="n"/>
      <c r="E111" s="14" t="n"/>
      <c r="F111" s="14" t="n"/>
      <c r="G111" s="16" t="n"/>
      <c r="H111" s="16" t="n"/>
      <c r="I111" s="16" t="n"/>
      <c r="J111" s="14" t="n"/>
      <c r="K111" s="10" t="n"/>
      <c r="L111" s="8" t="n"/>
    </row>
    <row r="112" ht="21" customHeight="1">
      <c r="C112" s="14" t="n"/>
      <c r="D112" s="14" t="n"/>
      <c r="E112" s="14" t="n"/>
      <c r="F112" s="14" t="n"/>
      <c r="G112" s="16" t="n"/>
      <c r="H112" s="16" t="n"/>
      <c r="I112" s="16" t="n"/>
      <c r="J112" s="14" t="n"/>
      <c r="K112" s="10" t="n"/>
      <c r="L112" s="8" t="n"/>
    </row>
    <row r="113" ht="21" customHeight="1">
      <c r="C113" s="14" t="n"/>
      <c r="D113" s="14" t="n"/>
      <c r="E113" s="14" t="n"/>
      <c r="F113" s="14" t="n"/>
      <c r="G113" s="16" t="n"/>
      <c r="H113" s="16" t="n"/>
      <c r="I113" s="16" t="n"/>
      <c r="J113" s="14" t="n"/>
      <c r="K113" s="10" t="n"/>
      <c r="L113" s="8" t="n"/>
    </row>
    <row r="114" ht="21" customHeight="1">
      <c r="C114" s="14" t="n"/>
      <c r="D114" s="14" t="n"/>
      <c r="E114" s="14" t="n"/>
      <c r="F114" s="14" t="n"/>
      <c r="G114" s="16" t="n"/>
      <c r="H114" s="16" t="n"/>
      <c r="I114" s="16" t="n"/>
      <c r="J114" s="14" t="n"/>
      <c r="K114" s="10" t="n"/>
      <c r="L114" s="8" t="n"/>
    </row>
    <row r="115" ht="21" customHeight="1">
      <c r="C115" s="14" t="n"/>
      <c r="D115" s="14" t="n"/>
      <c r="E115" s="14" t="n"/>
      <c r="F115" s="14" t="n"/>
      <c r="G115" s="16" t="n"/>
      <c r="H115" s="16" t="n"/>
      <c r="I115" s="16" t="n"/>
      <c r="J115" s="14" t="n"/>
      <c r="K115" s="10" t="n"/>
      <c r="L115" s="8" t="n"/>
    </row>
    <row r="116" ht="21" customHeight="1">
      <c r="C116" s="14" t="n"/>
      <c r="D116" s="14" t="n"/>
      <c r="E116" s="14" t="n"/>
      <c r="F116" s="14" t="n"/>
      <c r="G116" s="16" t="n"/>
      <c r="H116" s="16" t="n"/>
      <c r="I116" s="16" t="n"/>
      <c r="J116" s="14" t="n"/>
      <c r="K116" s="10" t="n"/>
      <c r="L116" s="8" t="n"/>
    </row>
    <row r="117" ht="21" customHeight="1">
      <c r="C117" s="14" t="n"/>
      <c r="D117" s="14" t="n"/>
      <c r="E117" s="14" t="n"/>
      <c r="F117" s="14" t="n"/>
      <c r="G117" s="16" t="n"/>
      <c r="H117" s="16" t="n"/>
      <c r="I117" s="16" t="n"/>
      <c r="J117" s="14" t="n"/>
      <c r="K117" s="10" t="n"/>
      <c r="L117" s="8" t="n"/>
    </row>
    <row r="118" ht="21" customHeight="1">
      <c r="C118" s="14" t="n"/>
      <c r="D118" s="14" t="n"/>
      <c r="E118" s="14" t="n"/>
      <c r="F118" s="14" t="n"/>
      <c r="G118" s="16" t="n"/>
      <c r="H118" s="16" t="n"/>
      <c r="I118" s="16" t="n"/>
      <c r="J118" s="14" t="n"/>
      <c r="K118" s="10" t="n"/>
      <c r="L118" s="8" t="n"/>
    </row>
    <row r="119" ht="21" customHeight="1">
      <c r="C119" s="14" t="n"/>
      <c r="D119" s="14" t="n"/>
      <c r="E119" s="14" t="n"/>
      <c r="F119" s="14" t="n"/>
      <c r="G119" s="16" t="n"/>
      <c r="H119" s="16" t="n"/>
      <c r="I119" s="16" t="n"/>
      <c r="J119" s="14" t="n"/>
      <c r="K119" s="10" t="n"/>
      <c r="L119" s="8" t="n"/>
    </row>
    <row r="120" ht="21" customHeight="1">
      <c r="C120" s="14" t="n"/>
      <c r="D120" s="14" t="n"/>
      <c r="E120" s="14" t="n"/>
      <c r="F120" s="14" t="n"/>
      <c r="G120" s="16" t="n"/>
      <c r="H120" s="16" t="n"/>
      <c r="I120" s="16" t="n"/>
      <c r="J120" s="14" t="n"/>
      <c r="K120" s="10" t="n"/>
      <c r="L120" s="8" t="n"/>
    </row>
    <row r="121" ht="21" customHeight="1">
      <c r="C121" s="14" t="n"/>
      <c r="D121" s="14" t="n"/>
      <c r="E121" s="14" t="n"/>
      <c r="F121" s="14" t="n"/>
      <c r="G121" s="16" t="n"/>
      <c r="H121" s="16" t="n"/>
      <c r="I121" s="16" t="n"/>
      <c r="J121" s="14" t="n"/>
      <c r="K121" s="10" t="n"/>
      <c r="L121" s="8" t="n"/>
    </row>
    <row r="122" ht="21" customHeight="1">
      <c r="C122" s="14" t="n"/>
      <c r="D122" s="14" t="n"/>
      <c r="E122" s="14" t="n"/>
      <c r="F122" s="14" t="n"/>
      <c r="G122" s="16" t="n"/>
      <c r="H122" s="16" t="n"/>
      <c r="I122" s="16" t="n"/>
      <c r="J122" s="14" t="n"/>
      <c r="K122" s="10" t="n"/>
      <c r="L122" s="8" t="n"/>
    </row>
    <row r="123" ht="21" customHeight="1">
      <c r="C123" s="14" t="n"/>
      <c r="D123" s="14" t="n"/>
      <c r="E123" s="14" t="n"/>
      <c r="F123" s="14" t="n"/>
      <c r="G123" s="16" t="n"/>
      <c r="H123" s="16" t="n"/>
      <c r="I123" s="16" t="n"/>
      <c r="J123" s="14" t="n"/>
      <c r="K123" s="10" t="n"/>
      <c r="L123" s="8" t="n"/>
    </row>
    <row r="124" ht="21" customHeight="1">
      <c r="C124" s="14" t="n"/>
      <c r="D124" s="14" t="n"/>
      <c r="E124" s="14" t="n"/>
      <c r="F124" s="14" t="n"/>
      <c r="G124" s="16" t="n"/>
      <c r="H124" s="16" t="n"/>
      <c r="I124" s="16" t="n"/>
      <c r="J124" s="14" t="n"/>
      <c r="K124" s="10" t="n"/>
      <c r="L124" s="8" t="n"/>
    </row>
    <row r="125" ht="21" customHeight="1">
      <c r="C125" s="14" t="n"/>
      <c r="D125" s="14" t="n"/>
      <c r="E125" s="14" t="n"/>
      <c r="F125" s="14" t="n"/>
      <c r="G125" s="16" t="n"/>
      <c r="H125" s="16" t="n"/>
      <c r="I125" s="16" t="n"/>
      <c r="J125" s="14" t="n"/>
      <c r="K125" s="10" t="n"/>
      <c r="L125" s="8" t="n"/>
    </row>
    <row r="126" ht="21" customHeight="1">
      <c r="C126" s="14" t="n"/>
      <c r="D126" s="14" t="n"/>
      <c r="E126" s="14" t="n"/>
      <c r="F126" s="14" t="n"/>
      <c r="G126" s="16" t="n"/>
      <c r="H126" s="16" t="n"/>
      <c r="I126" s="16" t="n"/>
      <c r="J126" s="14" t="n"/>
      <c r="K126" s="10" t="n"/>
      <c r="L126" s="8" t="n"/>
    </row>
    <row r="127" ht="21" customHeight="1">
      <c r="C127" s="14" t="n"/>
      <c r="D127" s="14" t="n"/>
      <c r="E127" s="14" t="n"/>
      <c r="F127" s="14" t="n"/>
      <c r="G127" s="16" t="n"/>
      <c r="H127" s="16" t="n"/>
      <c r="I127" s="16" t="n"/>
      <c r="J127" s="14" t="n"/>
      <c r="K127" s="10" t="n"/>
      <c r="L127" s="8" t="n"/>
    </row>
    <row r="128" ht="21" customHeight="1">
      <c r="C128" s="14" t="n"/>
      <c r="D128" s="14" t="n"/>
      <c r="E128" s="14" t="n"/>
      <c r="F128" s="14" t="n"/>
      <c r="G128" s="16" t="n"/>
      <c r="H128" s="16" t="n"/>
      <c r="I128" s="16" t="n"/>
      <c r="J128" s="14" t="n"/>
      <c r="K128" s="10" t="n"/>
      <c r="L128" s="8" t="n"/>
    </row>
    <row r="129" ht="21" customHeight="1">
      <c r="C129" s="14" t="n"/>
      <c r="D129" s="14" t="n"/>
      <c r="E129" s="14" t="n"/>
      <c r="F129" s="14" t="n"/>
      <c r="G129" s="16" t="n"/>
      <c r="H129" s="16" t="n"/>
      <c r="I129" s="16" t="n"/>
      <c r="J129" s="14" t="n"/>
      <c r="K129" s="10" t="n"/>
      <c r="L129" s="8" t="n"/>
    </row>
    <row r="130" ht="21" customHeight="1">
      <c r="C130" s="14" t="n"/>
      <c r="D130" s="14" t="n"/>
      <c r="E130" s="14" t="n"/>
      <c r="F130" s="14" t="n"/>
      <c r="G130" s="16" t="n"/>
      <c r="H130" s="16" t="n"/>
      <c r="I130" s="16" t="n"/>
      <c r="J130" s="14" t="n"/>
      <c r="K130" s="10" t="n"/>
      <c r="L130" s="8" t="n"/>
    </row>
    <row r="131" ht="21" customHeight="1">
      <c r="C131" s="14" t="n"/>
      <c r="D131" s="14" t="n"/>
      <c r="E131" s="14" t="n"/>
      <c r="F131" s="14" t="n"/>
      <c r="G131" s="16" t="n"/>
      <c r="H131" s="16" t="n"/>
      <c r="I131" s="16" t="n"/>
      <c r="J131" s="14" t="n"/>
      <c r="K131" s="10" t="n"/>
      <c r="L131" s="8" t="n"/>
    </row>
    <row r="132" ht="21" customHeight="1">
      <c r="C132" s="14" t="n"/>
      <c r="D132" s="14" t="n"/>
      <c r="E132" s="14" t="n"/>
      <c r="F132" s="14" t="n"/>
      <c r="G132" s="16" t="n"/>
      <c r="H132" s="16" t="n"/>
      <c r="I132" s="16" t="n"/>
      <c r="J132" s="14" t="n"/>
      <c r="K132" s="10" t="n"/>
      <c r="L132" s="8" t="n"/>
    </row>
    <row r="133" ht="21" customHeight="1">
      <c r="C133" s="14" t="n"/>
      <c r="D133" s="14" t="n"/>
      <c r="E133" s="14" t="n"/>
      <c r="F133" s="14" t="n"/>
      <c r="G133" s="16" t="n"/>
      <c r="H133" s="16" t="n"/>
      <c r="I133" s="16" t="n"/>
      <c r="J133" s="14" t="n"/>
      <c r="K133" s="10" t="n"/>
      <c r="L133" s="8" t="n"/>
    </row>
    <row r="134" ht="21" customHeight="1">
      <c r="C134" s="14" t="n"/>
      <c r="D134" s="14" t="n"/>
      <c r="E134" s="14" t="n"/>
      <c r="F134" s="14" t="n"/>
      <c r="G134" s="16" t="n"/>
      <c r="H134" s="16" t="n"/>
      <c r="I134" s="16" t="n"/>
      <c r="J134" s="14" t="n"/>
      <c r="K134" s="10" t="n"/>
      <c r="L134" s="8" t="n"/>
    </row>
    <row r="135" ht="21" customHeight="1">
      <c r="C135" s="14" t="n"/>
      <c r="D135" s="14" t="n"/>
      <c r="E135" s="14" t="n"/>
      <c r="F135" s="14" t="n"/>
      <c r="G135" s="16" t="n"/>
      <c r="H135" s="16" t="n"/>
      <c r="I135" s="16" t="n"/>
      <c r="J135" s="14" t="n"/>
      <c r="K135" s="10" t="n"/>
      <c r="L135" s="8" t="n"/>
    </row>
    <row r="136" ht="21" customHeight="1">
      <c r="C136" s="14" t="n"/>
      <c r="D136" s="14" t="n"/>
      <c r="E136" s="14" t="n"/>
      <c r="F136" s="14" t="n"/>
      <c r="G136" s="16" t="n"/>
      <c r="H136" s="16" t="n"/>
      <c r="I136" s="16" t="n"/>
      <c r="J136" s="14" t="n"/>
      <c r="K136" s="10" t="n"/>
      <c r="L136" s="8" t="n"/>
    </row>
    <row r="137" ht="21" customHeight="1">
      <c r="C137" s="14" t="n"/>
      <c r="D137" s="14" t="n"/>
      <c r="E137" s="14" t="n"/>
      <c r="F137" s="14" t="n"/>
      <c r="G137" s="16" t="n"/>
      <c r="H137" s="16" t="n"/>
      <c r="I137" s="16" t="n"/>
      <c r="J137" s="14" t="n"/>
      <c r="K137" s="10" t="n"/>
      <c r="L137" s="8" t="n"/>
    </row>
    <row r="138" ht="21" customHeight="1">
      <c r="C138" s="14" t="n"/>
      <c r="D138" s="14" t="n"/>
      <c r="E138" s="14" t="n"/>
      <c r="F138" s="14" t="n"/>
      <c r="G138" s="16" t="n"/>
      <c r="H138" s="16" t="n"/>
      <c r="I138" s="16" t="n"/>
      <c r="J138" s="14" t="n"/>
      <c r="K138" s="10" t="n"/>
      <c r="L138" s="8" t="n"/>
    </row>
    <row r="139" ht="21" customHeight="1">
      <c r="C139" s="14" t="n"/>
      <c r="D139" s="14" t="n"/>
      <c r="E139" s="14" t="n"/>
      <c r="F139" s="14" t="n"/>
      <c r="G139" s="16" t="n"/>
      <c r="H139" s="16" t="n"/>
      <c r="I139" s="16" t="n"/>
      <c r="J139" s="14" t="n"/>
      <c r="K139" s="10" t="n"/>
      <c r="L139" s="8" t="n"/>
    </row>
    <row r="140" ht="21" customHeight="1">
      <c r="C140" s="14" t="n"/>
      <c r="D140" s="14" t="n"/>
      <c r="E140" s="14" t="n"/>
      <c r="F140" s="14" t="n"/>
      <c r="G140" s="16" t="n"/>
      <c r="H140" s="16" t="n"/>
      <c r="I140" s="16" t="n"/>
      <c r="J140" s="14" t="n"/>
      <c r="K140" s="10" t="n"/>
      <c r="L140" s="8" t="n"/>
    </row>
    <row r="141" ht="21" customHeight="1">
      <c r="C141" s="14" t="n"/>
      <c r="D141" s="14" t="n"/>
      <c r="E141" s="14" t="n"/>
      <c r="F141" s="14" t="n"/>
      <c r="G141" s="16" t="n"/>
      <c r="H141" s="16" t="n"/>
      <c r="I141" s="16" t="n"/>
      <c r="J141" s="14" t="n"/>
      <c r="K141" s="10" t="n"/>
      <c r="L141" s="8" t="n"/>
    </row>
    <row r="142" ht="21" customHeight="1">
      <c r="C142" s="14" t="n"/>
      <c r="D142" s="14" t="n"/>
      <c r="E142" s="14" t="n"/>
      <c r="F142" s="14" t="n"/>
      <c r="G142" s="16" t="n"/>
      <c r="H142" s="16" t="n"/>
      <c r="I142" s="16" t="n"/>
      <c r="J142" s="14" t="n"/>
      <c r="K142" s="10" t="n"/>
      <c r="L142" s="8" t="n"/>
    </row>
    <row r="143" ht="21" customHeight="1">
      <c r="C143" s="14" t="n"/>
      <c r="D143" s="14" t="n"/>
      <c r="E143" s="14" t="n"/>
      <c r="F143" s="14" t="n"/>
      <c r="G143" s="16" t="n"/>
      <c r="H143" s="16" t="n"/>
      <c r="I143" s="16" t="n"/>
      <c r="J143" s="14" t="n"/>
      <c r="K143" s="10" t="n"/>
      <c r="L143" s="8" t="n"/>
    </row>
    <row r="144" ht="21" customHeight="1">
      <c r="C144" s="14" t="n"/>
      <c r="D144" s="14" t="n"/>
      <c r="E144" s="14" t="n"/>
      <c r="F144" s="14" t="n"/>
      <c r="G144" s="16" t="n"/>
      <c r="H144" s="16" t="n"/>
      <c r="I144" s="16" t="n"/>
      <c r="J144" s="14" t="n"/>
      <c r="K144" s="10" t="n"/>
      <c r="L144" s="8" t="n"/>
    </row>
    <row r="145" ht="21" customHeight="1">
      <c r="C145" s="14" t="n"/>
      <c r="D145" s="14" t="n"/>
      <c r="E145" s="14" t="n"/>
      <c r="F145" s="14" t="n"/>
      <c r="G145" s="16" t="n"/>
      <c r="H145" s="16" t="n"/>
      <c r="I145" s="16" t="n"/>
      <c r="J145" s="14" t="n"/>
      <c r="K145" s="10" t="n"/>
      <c r="L145" s="8" t="n"/>
    </row>
    <row r="146" ht="21" customHeight="1">
      <c r="C146" s="14" t="n"/>
      <c r="D146" s="14" t="n"/>
      <c r="E146" s="14" t="n"/>
      <c r="F146" s="14" t="n"/>
      <c r="G146" s="16" t="n"/>
      <c r="H146" s="16" t="n"/>
      <c r="I146" s="16" t="n"/>
      <c r="J146" s="14" t="n"/>
      <c r="K146" s="10" t="n"/>
      <c r="L146" s="8" t="n"/>
    </row>
    <row r="147" ht="21" customHeight="1">
      <c r="C147" s="14" t="n"/>
      <c r="D147" s="14" t="n"/>
      <c r="E147" s="14" t="n"/>
      <c r="F147" s="14" t="n"/>
      <c r="G147" s="16" t="n"/>
      <c r="H147" s="16" t="n"/>
      <c r="I147" s="16" t="n"/>
      <c r="J147" s="14" t="n"/>
      <c r="K147" s="10" t="n"/>
      <c r="L147" s="8" t="n"/>
    </row>
    <row r="148" ht="21" customHeight="1">
      <c r="C148" s="14" t="n"/>
      <c r="D148" s="14" t="n"/>
      <c r="E148" s="14" t="n"/>
      <c r="F148" s="14" t="n"/>
      <c r="G148" s="16" t="n"/>
      <c r="H148" s="16" t="n"/>
      <c r="I148" s="16" t="n"/>
      <c r="J148" s="14" t="n"/>
      <c r="K148" s="10" t="n"/>
      <c r="L148" s="8" t="n"/>
    </row>
    <row r="149" ht="21" customHeight="1">
      <c r="C149" s="14" t="n"/>
      <c r="D149" s="14" t="n"/>
      <c r="E149" s="14" t="n"/>
      <c r="F149" s="14" t="n"/>
      <c r="G149" s="16" t="n"/>
      <c r="H149" s="16" t="n"/>
      <c r="I149" s="16" t="n"/>
      <c r="J149" s="14" t="n"/>
      <c r="K149" s="10" t="n"/>
      <c r="L149" s="8" t="n"/>
    </row>
    <row r="150" ht="21" customHeight="1">
      <c r="C150" s="14" t="n"/>
      <c r="D150" s="14" t="n"/>
      <c r="E150" s="14" t="n"/>
      <c r="F150" s="14" t="n"/>
      <c r="G150" s="16" t="n"/>
      <c r="H150" s="16" t="n"/>
      <c r="I150" s="16" t="n"/>
      <c r="J150" s="14" t="n"/>
      <c r="K150" s="10" t="n"/>
      <c r="L150" s="8" t="n"/>
    </row>
    <row r="151" ht="21" customHeight="1">
      <c r="C151" s="14" t="n"/>
      <c r="D151" s="14" t="n"/>
      <c r="E151" s="14" t="n"/>
      <c r="F151" s="14" t="n"/>
      <c r="G151" s="16" t="n"/>
      <c r="H151" s="16" t="n"/>
      <c r="I151" s="16" t="n"/>
      <c r="J151" s="14" t="n"/>
      <c r="K151" s="10" t="n"/>
      <c r="L151" s="8" t="n"/>
    </row>
    <row r="152" ht="21" customHeight="1">
      <c r="C152" s="14" t="n"/>
      <c r="D152" s="14" t="n"/>
      <c r="E152" s="14" t="n"/>
      <c r="F152" s="14" t="n"/>
      <c r="G152" s="16" t="n"/>
      <c r="H152" s="16" t="n"/>
      <c r="I152" s="16" t="n"/>
      <c r="J152" s="14" t="n"/>
      <c r="K152" s="10" t="n"/>
      <c r="L152" s="8" t="n"/>
    </row>
    <row r="153" ht="21" customHeight="1">
      <c r="C153" s="14" t="n"/>
      <c r="D153" s="14" t="n"/>
      <c r="E153" s="14" t="n"/>
      <c r="F153" s="14" t="n"/>
      <c r="G153" s="16" t="n"/>
      <c r="H153" s="16" t="n"/>
      <c r="I153" s="16" t="n"/>
      <c r="J153" s="14" t="n"/>
      <c r="K153" s="10" t="n"/>
      <c r="L153" s="8" t="n"/>
    </row>
    <row r="154" ht="21" customHeight="1">
      <c r="C154" s="14" t="n"/>
      <c r="D154" s="14" t="n"/>
      <c r="E154" s="14" t="n"/>
      <c r="F154" s="14" t="n"/>
      <c r="G154" s="16" t="n"/>
      <c r="H154" s="16" t="n"/>
      <c r="I154" s="16" t="n"/>
      <c r="J154" s="14" t="n"/>
      <c r="K154" s="10" t="n"/>
      <c r="L154" s="8" t="n"/>
    </row>
    <row r="155" ht="21" customHeight="1">
      <c r="C155" s="14" t="n"/>
      <c r="D155" s="14" t="n"/>
      <c r="E155" s="14" t="n"/>
      <c r="F155" s="14" t="n"/>
      <c r="G155" s="16" t="n"/>
      <c r="H155" s="16" t="n"/>
      <c r="I155" s="16" t="n"/>
      <c r="J155" s="14" t="n"/>
      <c r="K155" s="10" t="n"/>
      <c r="L155" s="8" t="n"/>
    </row>
    <row r="156" ht="21" customHeight="1">
      <c r="C156" s="14" t="n"/>
      <c r="D156" s="14" t="n"/>
      <c r="E156" s="14" t="n"/>
      <c r="F156" s="14" t="n"/>
      <c r="G156" s="16" t="n"/>
      <c r="H156" s="16" t="n"/>
      <c r="I156" s="16" t="n"/>
      <c r="J156" s="14" t="n"/>
      <c r="K156" s="10" t="n"/>
      <c r="L156" s="8" t="n"/>
    </row>
    <row r="157" ht="21" customHeight="1">
      <c r="C157" s="14" t="n"/>
      <c r="D157" s="14" t="n"/>
      <c r="E157" s="14" t="n"/>
      <c r="F157" s="14" t="n"/>
      <c r="G157" s="16" t="n"/>
      <c r="H157" s="16" t="n"/>
      <c r="I157" s="16" t="n"/>
      <c r="J157" s="14" t="n"/>
      <c r="K157" s="10" t="n"/>
      <c r="L157" s="8" t="n"/>
    </row>
    <row r="158" ht="21" customHeight="1">
      <c r="C158" s="14" t="n"/>
      <c r="D158" s="14" t="n"/>
      <c r="E158" s="14" t="n"/>
      <c r="F158" s="14" t="n"/>
      <c r="G158" s="16" t="n"/>
      <c r="H158" s="16" t="n"/>
      <c r="I158" s="16" t="n"/>
      <c r="J158" s="14" t="n"/>
      <c r="K158" s="10" t="n"/>
      <c r="L158" s="8" t="n"/>
    </row>
    <row r="159" ht="21" customHeight="1">
      <c r="C159" s="14" t="n"/>
      <c r="D159" s="14" t="n"/>
      <c r="E159" s="14" t="n"/>
      <c r="F159" s="14" t="n"/>
      <c r="G159" s="16" t="n"/>
      <c r="H159" s="16" t="n"/>
      <c r="I159" s="16" t="n"/>
      <c r="J159" s="14" t="n"/>
      <c r="K159" s="10" t="n"/>
      <c r="L159" s="8" t="n"/>
    </row>
    <row r="160" ht="21" customHeight="1">
      <c r="C160" s="14" t="n"/>
      <c r="D160" s="14" t="n"/>
      <c r="E160" s="14" t="n"/>
      <c r="F160" s="14" t="n"/>
      <c r="G160" s="16" t="n"/>
      <c r="H160" s="16" t="n"/>
      <c r="I160" s="16" t="n"/>
      <c r="J160" s="14" t="n"/>
      <c r="K160" s="10" t="n"/>
      <c r="L160" s="8" t="n"/>
    </row>
    <row r="161" ht="21" customHeight="1">
      <c r="C161" s="14" t="n"/>
      <c r="D161" s="14" t="n"/>
      <c r="E161" s="14" t="n"/>
      <c r="F161" s="14" t="n"/>
      <c r="G161" s="16" t="n"/>
      <c r="H161" s="16" t="n"/>
      <c r="I161" s="16" t="n"/>
      <c r="J161" s="14" t="n"/>
      <c r="K161" s="10" t="n"/>
      <c r="L161" s="8" t="n"/>
    </row>
    <row r="162" ht="21" customHeight="1">
      <c r="C162" s="14" t="n"/>
      <c r="D162" s="14" t="n"/>
      <c r="E162" s="14" t="n"/>
      <c r="F162" s="14" t="n"/>
      <c r="G162" s="16" t="n"/>
      <c r="H162" s="16" t="n"/>
      <c r="I162" s="16" t="n"/>
      <c r="J162" s="14" t="n"/>
      <c r="K162" s="10" t="n"/>
      <c r="L162" s="8" t="n"/>
    </row>
    <row r="163" ht="21" customHeight="1">
      <c r="C163" s="14" t="n"/>
      <c r="D163" s="14" t="n"/>
      <c r="E163" s="14" t="n"/>
      <c r="F163" s="14" t="n"/>
      <c r="G163" s="16" t="n"/>
      <c r="H163" s="16" t="n"/>
      <c r="I163" s="16" t="n"/>
      <c r="J163" s="14" t="n"/>
      <c r="K163" s="10" t="n"/>
      <c r="L163" s="8" t="n"/>
    </row>
    <row r="164" ht="21" customHeight="1">
      <c r="C164" s="14" t="n"/>
      <c r="D164" s="14" t="n"/>
      <c r="E164" s="14" t="n"/>
      <c r="F164" s="14" t="n"/>
      <c r="G164" s="16" t="n"/>
      <c r="H164" s="16" t="n"/>
      <c r="I164" s="16" t="n"/>
      <c r="J164" s="14" t="n"/>
      <c r="K164" s="10" t="n"/>
      <c r="L164" s="8" t="n"/>
    </row>
    <row r="165" ht="21" customHeight="1">
      <c r="C165" s="14" t="n"/>
      <c r="D165" s="14" t="n"/>
      <c r="E165" s="14" t="n"/>
      <c r="F165" s="14" t="n"/>
      <c r="G165" s="16" t="n"/>
      <c r="H165" s="16" t="n"/>
      <c r="I165" s="16" t="n"/>
      <c r="J165" s="14" t="n"/>
      <c r="K165" s="10" t="n"/>
      <c r="L165" s="8" t="n"/>
    </row>
    <row r="166" ht="21" customHeight="1">
      <c r="C166" s="14" t="n"/>
      <c r="D166" s="14" t="n"/>
      <c r="E166" s="14" t="n"/>
      <c r="F166" s="14" t="n"/>
      <c r="G166" s="16" t="n"/>
      <c r="H166" s="16" t="n"/>
      <c r="I166" s="16" t="n"/>
      <c r="J166" s="14" t="n"/>
      <c r="K166" s="10" t="n"/>
      <c r="L166" s="8" t="n"/>
    </row>
    <row r="167" ht="21" customHeight="1">
      <c r="C167" s="14" t="n"/>
      <c r="D167" s="14" t="n"/>
      <c r="E167" s="14" t="n"/>
      <c r="F167" s="14" t="n"/>
      <c r="G167" s="16" t="n"/>
      <c r="H167" s="16" t="n"/>
      <c r="I167" s="16" t="n"/>
      <c r="J167" s="14" t="n"/>
      <c r="K167" s="10" t="n"/>
      <c r="L167" s="8" t="n"/>
    </row>
    <row r="168" ht="21" customHeight="1">
      <c r="C168" s="14" t="n"/>
      <c r="D168" s="14" t="n"/>
      <c r="E168" s="14" t="n"/>
      <c r="F168" s="14" t="n"/>
      <c r="G168" s="16" t="n"/>
      <c r="H168" s="16" t="n"/>
      <c r="I168" s="16" t="n"/>
      <c r="J168" s="14" t="n"/>
      <c r="K168" s="10" t="n"/>
      <c r="L168" s="8" t="n"/>
    </row>
    <row r="169" ht="21" customHeight="1">
      <c r="C169" s="14" t="n"/>
      <c r="D169" s="14" t="n"/>
      <c r="E169" s="14" t="n"/>
      <c r="F169" s="14" t="n"/>
      <c r="G169" s="16" t="n"/>
      <c r="H169" s="16" t="n"/>
      <c r="I169" s="16" t="n"/>
      <c r="J169" s="14" t="n"/>
      <c r="K169" s="10" t="n"/>
      <c r="L169" s="8" t="n"/>
    </row>
    <row r="170" ht="21" customHeight="1">
      <c r="C170" s="14" t="n"/>
      <c r="D170" s="14" t="n"/>
      <c r="E170" s="14" t="n"/>
      <c r="F170" s="14" t="n"/>
      <c r="G170" s="16" t="n"/>
      <c r="H170" s="16" t="n"/>
      <c r="I170" s="16" t="n"/>
      <c r="J170" s="14" t="n"/>
      <c r="K170" s="10" t="n"/>
      <c r="L170" s="8" t="n"/>
    </row>
    <row r="171" ht="21" customHeight="1">
      <c r="C171" s="14" t="n"/>
      <c r="D171" s="14" t="n"/>
      <c r="E171" s="14" t="n"/>
      <c r="F171" s="14" t="n"/>
      <c r="G171" s="16" t="n"/>
      <c r="H171" s="16" t="n"/>
      <c r="I171" s="16" t="n"/>
      <c r="J171" s="14" t="n"/>
      <c r="K171" s="10" t="n"/>
      <c r="L171" s="8" t="n"/>
    </row>
    <row r="172" ht="21" customHeight="1">
      <c r="C172" s="14" t="n"/>
      <c r="D172" s="14" t="n"/>
      <c r="E172" s="14" t="n"/>
      <c r="F172" s="14" t="n"/>
      <c r="G172" s="16" t="n"/>
      <c r="H172" s="16" t="n"/>
      <c r="I172" s="16" t="n"/>
      <c r="J172" s="14" t="n"/>
      <c r="K172" s="10" t="n"/>
      <c r="L172" s="8" t="n"/>
    </row>
    <row r="173" ht="21" customHeight="1">
      <c r="C173" s="14" t="n"/>
      <c r="D173" s="14" t="n"/>
      <c r="E173" s="14" t="n"/>
      <c r="F173" s="14" t="n"/>
      <c r="G173" s="16" t="n"/>
      <c r="H173" s="16" t="n"/>
      <c r="I173" s="16" t="n"/>
      <c r="J173" s="14" t="n"/>
      <c r="K173" s="10" t="n"/>
      <c r="L173" s="8" t="n"/>
    </row>
    <row r="174" ht="21" customHeight="1">
      <c r="C174" s="14" t="n"/>
      <c r="D174" s="14" t="n"/>
      <c r="E174" s="14" t="n"/>
      <c r="F174" s="14" t="n"/>
      <c r="G174" s="16" t="n"/>
      <c r="H174" s="16" t="n"/>
      <c r="I174" s="16" t="n"/>
      <c r="J174" s="14" t="n"/>
      <c r="K174" s="10" t="n"/>
      <c r="L174" s="8" t="n"/>
    </row>
    <row r="175" ht="21" customHeight="1">
      <c r="C175" s="14" t="n"/>
      <c r="D175" s="14" t="n"/>
      <c r="E175" s="14" t="n"/>
      <c r="F175" s="14" t="n"/>
      <c r="G175" s="16" t="n"/>
      <c r="H175" s="16" t="n"/>
      <c r="I175" s="16" t="n"/>
      <c r="J175" s="14" t="n"/>
      <c r="K175" s="10" t="n"/>
      <c r="L175" s="8" t="n"/>
    </row>
    <row r="176" ht="21" customHeight="1">
      <c r="C176" s="14" t="n"/>
      <c r="D176" s="14" t="n"/>
      <c r="E176" s="14" t="n"/>
      <c r="F176" s="14" t="n"/>
      <c r="G176" s="16" t="n"/>
      <c r="H176" s="16" t="n"/>
      <c r="I176" s="16" t="n"/>
      <c r="J176" s="14" t="n"/>
      <c r="K176" s="10" t="n"/>
      <c r="L176" s="8" t="n"/>
    </row>
    <row r="177" ht="21" customHeight="1">
      <c r="C177" s="14" t="n"/>
      <c r="D177" s="14" t="n"/>
      <c r="E177" s="14" t="n"/>
      <c r="F177" s="14" t="n"/>
      <c r="G177" s="16" t="n"/>
      <c r="H177" s="16" t="n"/>
      <c r="I177" s="16" t="n"/>
      <c r="J177" s="14" t="n"/>
      <c r="K177" s="10" t="n"/>
      <c r="L177" s="8" t="n"/>
    </row>
    <row r="178" ht="21" customHeight="1">
      <c r="C178" s="14" t="n"/>
      <c r="D178" s="14" t="n"/>
      <c r="E178" s="14" t="n"/>
      <c r="F178" s="14" t="n"/>
      <c r="G178" s="16" t="n"/>
      <c r="H178" s="16" t="n"/>
      <c r="I178" s="16" t="n"/>
      <c r="J178" s="14" t="n"/>
      <c r="K178" s="10" t="n"/>
      <c r="L178" s="8" t="n"/>
    </row>
    <row r="179" ht="21" customHeight="1">
      <c r="C179" s="14" t="n"/>
      <c r="D179" s="14" t="n"/>
      <c r="E179" s="14" t="n"/>
      <c r="F179" s="14" t="n"/>
      <c r="G179" s="16" t="n"/>
      <c r="H179" s="16" t="n"/>
      <c r="I179" s="16" t="n"/>
      <c r="J179" s="14" t="n"/>
      <c r="K179" s="10" t="n"/>
      <c r="L179" s="8" t="n"/>
    </row>
    <row r="180" ht="21" customHeight="1">
      <c r="C180" s="14" t="n"/>
      <c r="D180" s="14" t="n"/>
      <c r="E180" s="14" t="n"/>
      <c r="F180" s="14" t="n"/>
      <c r="G180" s="16" t="n"/>
      <c r="H180" s="16" t="n"/>
      <c r="I180" s="16" t="n"/>
      <c r="J180" s="14" t="n"/>
      <c r="K180" s="10" t="n"/>
      <c r="L180" s="8" t="n"/>
    </row>
    <row r="181" ht="21" customHeight="1">
      <c r="C181" s="14" t="n"/>
      <c r="D181" s="14" t="n"/>
      <c r="E181" s="14" t="n"/>
      <c r="F181" s="14" t="n"/>
      <c r="G181" s="16" t="n"/>
      <c r="H181" s="16" t="n"/>
      <c r="I181" s="16" t="n"/>
      <c r="J181" s="14" t="n"/>
      <c r="K181" s="10" t="n"/>
      <c r="L181" s="8" t="n"/>
    </row>
    <row r="182" ht="21" customHeight="1">
      <c r="C182" s="14" t="n"/>
      <c r="D182" s="14" t="n"/>
      <c r="E182" s="14" t="n"/>
      <c r="F182" s="14" t="n"/>
      <c r="G182" s="16" t="n"/>
      <c r="H182" s="16" t="n"/>
      <c r="I182" s="16" t="n"/>
      <c r="J182" s="14" t="n"/>
      <c r="K182" s="10" t="n"/>
      <c r="L182" s="8" t="n"/>
    </row>
    <row r="183" ht="21" customHeight="1">
      <c r="C183" s="14" t="n"/>
      <c r="D183" s="14" t="n"/>
      <c r="E183" s="14" t="n"/>
      <c r="F183" s="14" t="n"/>
      <c r="G183" s="16" t="n"/>
      <c r="H183" s="16" t="n"/>
      <c r="I183" s="16" t="n"/>
      <c r="J183" s="14" t="n"/>
      <c r="K183" s="10" t="n"/>
      <c r="L183" s="8" t="n"/>
    </row>
    <row r="184" ht="21" customHeight="1">
      <c r="C184" s="14" t="n"/>
      <c r="D184" s="14" t="n"/>
      <c r="E184" s="14" t="n"/>
      <c r="F184" s="14" t="n"/>
      <c r="G184" s="16" t="n"/>
      <c r="H184" s="16" t="n"/>
      <c r="I184" s="16" t="n"/>
      <c r="J184" s="14" t="n"/>
      <c r="K184" s="10" t="n"/>
      <c r="L184" s="8" t="n"/>
    </row>
    <row r="185" ht="21" customHeight="1">
      <c r="C185" s="14" t="n"/>
      <c r="D185" s="14" t="n"/>
      <c r="E185" s="14" t="n"/>
      <c r="F185" s="14" t="n"/>
      <c r="G185" s="16" t="n"/>
      <c r="H185" s="16" t="n"/>
      <c r="I185" s="16" t="n"/>
      <c r="J185" s="14" t="n"/>
      <c r="K185" s="10" t="n"/>
      <c r="L185" s="8" t="n"/>
    </row>
    <row r="186" ht="21" customHeight="1">
      <c r="C186" s="14" t="n"/>
      <c r="D186" s="14" t="n"/>
      <c r="E186" s="14" t="n"/>
      <c r="F186" s="14" t="n"/>
      <c r="G186" s="16" t="n"/>
      <c r="H186" s="16" t="n"/>
      <c r="I186" s="16" t="n"/>
      <c r="J186" s="14" t="n"/>
      <c r="K186" s="10" t="n"/>
      <c r="L186" s="8" t="n"/>
    </row>
    <row r="187" ht="21" customHeight="1">
      <c r="C187" s="14" t="n"/>
      <c r="D187" s="14" t="n"/>
      <c r="E187" s="14" t="n"/>
      <c r="F187" s="14" t="n"/>
      <c r="G187" s="16" t="n"/>
      <c r="H187" s="16" t="n"/>
      <c r="I187" s="16" t="n"/>
      <c r="J187" s="14" t="n"/>
      <c r="K187" s="10" t="n"/>
      <c r="L187" s="8" t="n"/>
    </row>
    <row r="188" ht="21" customHeight="1">
      <c r="C188" s="14" t="n"/>
      <c r="D188" s="14" t="n"/>
      <c r="E188" s="14" t="n"/>
      <c r="F188" s="14" t="n"/>
      <c r="G188" s="16" t="n"/>
      <c r="H188" s="16" t="n"/>
      <c r="I188" s="16" t="n"/>
      <c r="J188" s="14" t="n"/>
      <c r="K188" s="10" t="n"/>
      <c r="L188" s="8" t="n"/>
    </row>
    <row r="189" ht="21" customHeight="1">
      <c r="C189" s="14" t="n"/>
      <c r="D189" s="14" t="n"/>
      <c r="E189" s="14" t="n"/>
      <c r="F189" s="14" t="n"/>
      <c r="G189" s="16" t="n"/>
      <c r="H189" s="16" t="n"/>
      <c r="I189" s="16" t="n"/>
      <c r="J189" s="14" t="n"/>
      <c r="K189" s="10" t="n"/>
      <c r="L189" s="8" t="n"/>
    </row>
    <row r="190" ht="21" customHeight="1">
      <c r="C190" s="14" t="n"/>
      <c r="D190" s="14" t="n"/>
      <c r="E190" s="14" t="n"/>
      <c r="F190" s="14" t="n"/>
      <c r="G190" s="16" t="n"/>
      <c r="H190" s="16" t="n"/>
      <c r="I190" s="16" t="n"/>
      <c r="J190" s="14" t="n"/>
      <c r="K190" s="10" t="n"/>
      <c r="L190" s="8" t="n"/>
    </row>
    <row r="191" ht="21" customHeight="1">
      <c r="C191" s="14" t="n"/>
      <c r="D191" s="14" t="n"/>
      <c r="E191" s="14" t="n"/>
      <c r="F191" s="14" t="n"/>
      <c r="G191" s="16" t="n"/>
      <c r="H191" s="16" t="n"/>
      <c r="I191" s="16" t="n"/>
      <c r="J191" s="14" t="n"/>
      <c r="K191" s="10" t="n"/>
      <c r="L191" s="8" t="n"/>
    </row>
    <row r="192" ht="21" customHeight="1">
      <c r="C192" s="14" t="n"/>
      <c r="D192" s="14" t="n"/>
      <c r="E192" s="14" t="n"/>
      <c r="F192" s="14" t="n"/>
      <c r="G192" s="16" t="n"/>
      <c r="H192" s="16" t="n"/>
      <c r="I192" s="16" t="n"/>
      <c r="J192" s="14" t="n"/>
      <c r="K192" s="10" t="n"/>
      <c r="L192" s="8" t="n"/>
    </row>
    <row r="193" ht="21" customHeight="1">
      <c r="C193" s="14" t="n"/>
      <c r="D193" s="14" t="n"/>
      <c r="E193" s="14" t="n"/>
      <c r="F193" s="14" t="n"/>
      <c r="G193" s="16" t="n"/>
      <c r="H193" s="16" t="n"/>
      <c r="I193" s="16" t="n"/>
      <c r="J193" s="14" t="n"/>
      <c r="K193" s="10" t="n"/>
      <c r="L193" s="8" t="n"/>
    </row>
    <row r="194" ht="21" customHeight="1">
      <c r="C194" s="14" t="n"/>
      <c r="D194" s="14" t="n"/>
      <c r="E194" s="14" t="n"/>
      <c r="F194" s="14" t="n"/>
      <c r="G194" s="16" t="n"/>
      <c r="H194" s="16" t="n"/>
      <c r="I194" s="16" t="n"/>
      <c r="J194" s="14" t="n"/>
      <c r="K194" s="10" t="n"/>
      <c r="L194" s="8" t="n"/>
    </row>
    <row r="195" ht="21" customHeight="1">
      <c r="C195" s="14" t="n"/>
      <c r="D195" s="14" t="n"/>
      <c r="E195" s="14" t="n"/>
      <c r="F195" s="14" t="n"/>
      <c r="G195" s="16" t="n"/>
      <c r="H195" s="16" t="n"/>
      <c r="I195" s="16" t="n"/>
      <c r="J195" s="14" t="n"/>
      <c r="K195" s="10" t="n"/>
      <c r="L195" s="8" t="n"/>
    </row>
    <row r="196" ht="21" customHeight="1">
      <c r="C196" s="14" t="n"/>
      <c r="D196" s="14" t="n"/>
      <c r="E196" s="14" t="n"/>
      <c r="F196" s="14" t="n"/>
      <c r="G196" s="16" t="n"/>
      <c r="H196" s="16" t="n"/>
      <c r="I196" s="16" t="n"/>
      <c r="J196" s="14" t="n"/>
      <c r="K196" s="10" t="n"/>
      <c r="L196" s="8" t="n"/>
    </row>
    <row r="197" ht="21" customHeight="1">
      <c r="C197" s="14" t="n"/>
      <c r="D197" s="14" t="n"/>
      <c r="E197" s="14" t="n"/>
      <c r="F197" s="14" t="n"/>
      <c r="G197" s="16" t="n"/>
      <c r="H197" s="16" t="n"/>
      <c r="I197" s="16" t="n"/>
      <c r="J197" s="14" t="n"/>
      <c r="K197" s="10" t="n"/>
      <c r="L197" s="8" t="n"/>
    </row>
    <row r="198" ht="21" customHeight="1">
      <c r="C198" s="14" t="n"/>
      <c r="D198" s="14" t="n"/>
      <c r="E198" s="14" t="n"/>
      <c r="F198" s="14" t="n"/>
      <c r="G198" s="16" t="n"/>
      <c r="H198" s="16" t="n"/>
      <c r="I198" s="16" t="n"/>
      <c r="J198" s="14" t="n"/>
      <c r="K198" s="10" t="n"/>
      <c r="L198" s="8" t="n"/>
    </row>
    <row r="199" ht="21" customHeight="1">
      <c r="C199" s="14" t="n"/>
      <c r="D199" s="14" t="n"/>
      <c r="E199" s="14" t="n"/>
      <c r="F199" s="14" t="n"/>
      <c r="G199" s="16" t="n"/>
      <c r="H199" s="16" t="n"/>
      <c r="I199" s="16" t="n"/>
      <c r="J199" s="14" t="n"/>
      <c r="K199" s="10" t="n"/>
      <c r="L199" s="8" t="n"/>
    </row>
    <row r="200" ht="21" customHeight="1">
      <c r="C200" s="14" t="n"/>
      <c r="D200" s="14" t="n"/>
      <c r="E200" s="14" t="n"/>
      <c r="F200" s="14" t="n"/>
      <c r="G200" s="16" t="n"/>
      <c r="H200" s="16" t="n"/>
      <c r="I200" s="16" t="n"/>
      <c r="J200" s="14" t="n"/>
      <c r="K200" s="10" t="n"/>
      <c r="L200" s="8" t="n"/>
    </row>
    <row r="201" ht="21" customHeight="1">
      <c r="C201" s="14" t="n"/>
      <c r="D201" s="14" t="n"/>
      <c r="E201" s="14" t="n"/>
      <c r="F201" s="14" t="n"/>
      <c r="G201" s="16" t="n"/>
      <c r="H201" s="16" t="n"/>
      <c r="I201" s="16" t="n"/>
      <c r="J201" s="14" t="n"/>
      <c r="K201" s="10" t="n"/>
      <c r="L201" s="8" t="n"/>
    </row>
    <row r="202" ht="21" customHeight="1">
      <c r="C202" s="14" t="n"/>
      <c r="D202" s="14" t="n"/>
      <c r="E202" s="14" t="n"/>
      <c r="F202" s="14" t="n"/>
      <c r="G202" s="16" t="n"/>
      <c r="H202" s="16" t="n"/>
      <c r="I202" s="16" t="n"/>
      <c r="J202" s="14" t="n"/>
      <c r="K202" s="10" t="n"/>
      <c r="L202" s="8" t="n"/>
    </row>
    <row r="203" ht="21" customHeight="1">
      <c r="C203" s="14" t="n"/>
      <c r="D203" s="14" t="n"/>
      <c r="E203" s="14" t="n"/>
      <c r="F203" s="14" t="n"/>
      <c r="G203" s="16" t="n"/>
      <c r="H203" s="16" t="n"/>
      <c r="I203" s="16" t="n"/>
      <c r="J203" s="14" t="n"/>
      <c r="K203" s="10" t="n"/>
      <c r="L203" s="8" t="n"/>
    </row>
    <row r="204" ht="21" customHeight="1">
      <c r="C204" s="14" t="n"/>
      <c r="D204" s="14" t="n"/>
      <c r="E204" s="14" t="n"/>
      <c r="F204" s="14" t="n"/>
      <c r="G204" s="16" t="n"/>
      <c r="H204" s="16" t="n"/>
      <c r="I204" s="16" t="n"/>
      <c r="J204" s="14" t="n"/>
      <c r="K204" s="10" t="n"/>
      <c r="L204" s="8" t="n"/>
    </row>
    <row r="205" ht="21" customHeight="1">
      <c r="C205" s="14" t="n"/>
      <c r="D205" s="14" t="n"/>
      <c r="E205" s="14" t="n"/>
      <c r="F205" s="14" t="n"/>
      <c r="G205" s="16" t="n"/>
      <c r="H205" s="16" t="n"/>
      <c r="I205" s="16" t="n"/>
      <c r="J205" s="14" t="n"/>
      <c r="K205" s="10" t="n"/>
      <c r="L205" s="8" t="n"/>
    </row>
    <row r="206" ht="21" customHeight="1">
      <c r="C206" s="14" t="n"/>
      <c r="D206" s="14" t="n"/>
      <c r="E206" s="14" t="n"/>
      <c r="F206" s="14" t="n"/>
      <c r="G206" s="16" t="n"/>
      <c r="H206" s="16" t="n"/>
      <c r="I206" s="16" t="n"/>
      <c r="J206" s="14" t="n"/>
      <c r="K206" s="10" t="n"/>
      <c r="L206" s="8" t="n"/>
    </row>
    <row r="207" ht="21" customHeight="1">
      <c r="C207" s="14" t="n"/>
      <c r="D207" s="14" t="n"/>
      <c r="E207" s="14" t="n"/>
      <c r="F207" s="14" t="n"/>
      <c r="G207" s="16" t="n"/>
      <c r="H207" s="16" t="n"/>
      <c r="I207" s="16" t="n"/>
      <c r="J207" s="14" t="n"/>
      <c r="K207" s="10" t="n"/>
      <c r="L207" s="8" t="n"/>
    </row>
    <row r="208" ht="21" customHeight="1">
      <c r="C208" s="14" t="n"/>
      <c r="D208" s="14" t="n"/>
      <c r="E208" s="14" t="n"/>
      <c r="F208" s="14" t="n"/>
      <c r="G208" s="16" t="n"/>
      <c r="H208" s="16" t="n"/>
      <c r="I208" s="16" t="n"/>
      <c r="J208" s="14" t="n"/>
      <c r="K208" s="10" t="n"/>
      <c r="L208" s="8" t="n"/>
    </row>
    <row r="209" ht="21" customHeight="1">
      <c r="C209" s="14" t="n"/>
      <c r="D209" s="14" t="n"/>
      <c r="E209" s="14" t="n"/>
      <c r="F209" s="14" t="n"/>
      <c r="G209" s="16" t="n"/>
      <c r="H209" s="16" t="n"/>
      <c r="I209" s="16" t="n"/>
      <c r="J209" s="14" t="n"/>
      <c r="K209" s="10" t="n"/>
      <c r="L209" s="8" t="n"/>
    </row>
    <row r="210" ht="21" customHeight="1">
      <c r="C210" s="14" t="n"/>
      <c r="D210" s="14" t="n"/>
      <c r="E210" s="14" t="n"/>
      <c r="F210" s="14" t="n"/>
      <c r="G210" s="16" t="n"/>
      <c r="H210" s="16" t="n"/>
      <c r="I210" s="16" t="n"/>
      <c r="J210" s="14" t="n"/>
      <c r="K210" s="10" t="n"/>
      <c r="L210" s="8" t="n"/>
    </row>
    <row r="211" ht="21" customHeight="1">
      <c r="C211" s="14" t="n"/>
      <c r="D211" s="14" t="n"/>
      <c r="E211" s="14" t="n"/>
      <c r="F211" s="14" t="n"/>
      <c r="G211" s="16" t="n"/>
      <c r="H211" s="16" t="n"/>
      <c r="I211" s="16" t="n"/>
      <c r="J211" s="14" t="n"/>
      <c r="K211" s="10" t="n"/>
      <c r="L211" s="8" t="n"/>
    </row>
    <row r="212" ht="21" customHeight="1">
      <c r="C212" s="14" t="n"/>
      <c r="D212" s="14" t="n"/>
      <c r="E212" s="14" t="n"/>
      <c r="F212" s="14" t="n"/>
      <c r="G212" s="16" t="n"/>
      <c r="H212" s="16" t="n"/>
      <c r="I212" s="16" t="n"/>
      <c r="J212" s="14" t="n"/>
      <c r="K212" s="10" t="n"/>
      <c r="L212" s="8" t="n"/>
    </row>
    <row r="213" ht="21" customHeight="1">
      <c r="C213" s="14" t="n"/>
      <c r="D213" s="14" t="n"/>
      <c r="E213" s="14" t="n"/>
      <c r="F213" s="14" t="n"/>
      <c r="G213" s="16" t="n"/>
      <c r="H213" s="16" t="n"/>
      <c r="I213" s="16" t="n"/>
      <c r="J213" s="14" t="n"/>
      <c r="K213" s="10" t="n"/>
      <c r="L213" s="8" t="n"/>
    </row>
    <row r="214" ht="21" customHeight="1">
      <c r="C214" s="14" t="n"/>
      <c r="D214" s="14" t="n"/>
      <c r="E214" s="14" t="n"/>
      <c r="F214" s="14" t="n"/>
      <c r="G214" s="16" t="n"/>
      <c r="H214" s="16" t="n"/>
      <c r="I214" s="16" t="n"/>
      <c r="J214" s="14" t="n"/>
      <c r="K214" s="10" t="n"/>
      <c r="L214" s="8" t="n"/>
    </row>
    <row r="215" ht="21" customHeight="1">
      <c r="C215" s="14" t="n"/>
      <c r="D215" s="14" t="n"/>
      <c r="E215" s="14" t="n"/>
      <c r="F215" s="14" t="n"/>
      <c r="G215" s="16" t="n"/>
      <c r="H215" s="16" t="n"/>
      <c r="I215" s="16" t="n"/>
      <c r="J215" s="14" t="n"/>
      <c r="K215" s="10" t="n"/>
      <c r="L215" s="8" t="n"/>
    </row>
    <row r="216" ht="21" customHeight="1">
      <c r="C216" s="14" t="n"/>
      <c r="D216" s="14" t="n"/>
      <c r="E216" s="14" t="n"/>
      <c r="F216" s="14" t="n"/>
      <c r="G216" s="16" t="n"/>
      <c r="H216" s="16" t="n"/>
      <c r="I216" s="16" t="n"/>
      <c r="J216" s="14" t="n"/>
      <c r="K216" s="10" t="n"/>
      <c r="L216" s="8" t="n"/>
    </row>
    <row r="217" ht="21" customHeight="1">
      <c r="C217" s="14" t="n"/>
      <c r="D217" s="14" t="n"/>
      <c r="E217" s="14" t="n"/>
      <c r="F217" s="14" t="n"/>
      <c r="G217" s="16" t="n"/>
      <c r="H217" s="16" t="n"/>
      <c r="I217" s="16" t="n"/>
      <c r="J217" s="14" t="n"/>
      <c r="K217" s="10" t="n"/>
      <c r="L217" s="8" t="n"/>
    </row>
    <row r="218" ht="21" customHeight="1">
      <c r="C218" s="14" t="n"/>
      <c r="D218" s="14" t="n"/>
      <c r="E218" s="14" t="n"/>
      <c r="F218" s="14" t="n"/>
      <c r="G218" s="16" t="n"/>
      <c r="H218" s="16" t="n"/>
      <c r="I218" s="16" t="n"/>
      <c r="J218" s="14" t="n"/>
      <c r="K218" s="10" t="n"/>
      <c r="L218" s="8" t="n"/>
    </row>
    <row r="219" ht="21" customHeight="1">
      <c r="C219" s="14" t="n"/>
      <c r="D219" s="14" t="n"/>
      <c r="E219" s="14" t="n"/>
      <c r="F219" s="14" t="n"/>
      <c r="G219" s="16" t="n"/>
      <c r="H219" s="16" t="n"/>
      <c r="I219" s="16" t="n"/>
      <c r="J219" s="14" t="n"/>
      <c r="K219" s="10" t="n"/>
      <c r="L219" s="8" t="n"/>
    </row>
    <row r="220" ht="21" customHeight="1">
      <c r="C220" s="14" t="n"/>
      <c r="D220" s="14" t="n"/>
      <c r="E220" s="14" t="n"/>
      <c r="F220" s="14" t="n"/>
      <c r="G220" s="16" t="n"/>
      <c r="H220" s="16" t="n"/>
      <c r="I220" s="16" t="n"/>
      <c r="J220" s="14" t="n"/>
      <c r="K220" s="10" t="n"/>
      <c r="L220" s="8" t="n"/>
    </row>
    <row r="221" ht="21" customHeight="1">
      <c r="C221" s="14" t="n"/>
      <c r="D221" s="14" t="n"/>
      <c r="E221" s="14" t="n"/>
      <c r="F221" s="14" t="n"/>
      <c r="G221" s="16" t="n"/>
      <c r="H221" s="16" t="n"/>
      <c r="I221" s="16" t="n"/>
      <c r="J221" s="14" t="n"/>
      <c r="K221" s="10" t="n"/>
      <c r="L221" s="8" t="n"/>
    </row>
    <row r="222" ht="21" customHeight="1">
      <c r="C222" s="14" t="n"/>
      <c r="D222" s="14" t="n"/>
      <c r="E222" s="14" t="n"/>
      <c r="F222" s="14" t="n"/>
      <c r="G222" s="16" t="n"/>
      <c r="H222" s="16" t="n"/>
      <c r="I222" s="16" t="n"/>
      <c r="J222" s="14" t="n"/>
      <c r="K222" s="10" t="n"/>
      <c r="L222" s="8" t="n"/>
    </row>
    <row r="223" ht="21" customHeight="1">
      <c r="C223" s="14" t="n"/>
      <c r="D223" s="14" t="n"/>
      <c r="E223" s="14" t="n"/>
      <c r="F223" s="14" t="n"/>
      <c r="G223" s="16" t="n"/>
      <c r="H223" s="16" t="n"/>
      <c r="I223" s="16" t="n"/>
      <c r="J223" s="14" t="n"/>
      <c r="K223" s="10" t="n"/>
      <c r="L223" s="8" t="n"/>
    </row>
    <row r="224" ht="21" customHeight="1">
      <c r="C224" s="14" t="n"/>
      <c r="D224" s="14" t="n"/>
      <c r="E224" s="14" t="n"/>
      <c r="F224" s="14" t="n"/>
      <c r="G224" s="16" t="n"/>
      <c r="H224" s="16" t="n"/>
      <c r="I224" s="16" t="n"/>
      <c r="J224" s="14" t="n"/>
      <c r="K224" s="10" t="n"/>
      <c r="L224" s="8" t="n"/>
    </row>
    <row r="225" ht="21" customHeight="1">
      <c r="C225" s="14" t="n"/>
      <c r="D225" s="14" t="n"/>
      <c r="E225" s="14" t="n"/>
      <c r="F225" s="14" t="n"/>
      <c r="G225" s="16" t="n"/>
      <c r="H225" s="16" t="n"/>
      <c r="I225" s="16" t="n"/>
      <c r="J225" s="14" t="n"/>
      <c r="K225" s="10" t="n"/>
      <c r="L225" s="8" t="n"/>
    </row>
    <row r="226" ht="21" customHeight="1">
      <c r="C226" s="14" t="n"/>
      <c r="D226" s="14" t="n"/>
      <c r="E226" s="14" t="n"/>
      <c r="F226" s="14" t="n"/>
      <c r="G226" s="16" t="n"/>
      <c r="H226" s="16" t="n"/>
      <c r="I226" s="16" t="n"/>
      <c r="J226" s="14" t="n"/>
      <c r="K226" s="10" t="n"/>
      <c r="L226" s="8" t="n"/>
    </row>
    <row r="227" ht="21" customHeight="1">
      <c r="C227" s="14" t="n"/>
      <c r="D227" s="14" t="n"/>
      <c r="E227" s="14" t="n"/>
      <c r="F227" s="14" t="n"/>
      <c r="G227" s="16" t="n"/>
      <c r="H227" s="16" t="n"/>
      <c r="I227" s="16" t="n"/>
      <c r="J227" s="14" t="n"/>
      <c r="K227" s="10" t="n"/>
      <c r="L227" s="8" t="n"/>
    </row>
    <row r="228" ht="21" customHeight="1">
      <c r="C228" s="14" t="n"/>
      <c r="D228" s="14" t="n"/>
      <c r="E228" s="14" t="n"/>
      <c r="F228" s="14" t="n"/>
      <c r="G228" s="16" t="n"/>
      <c r="H228" s="16" t="n"/>
      <c r="I228" s="16" t="n"/>
      <c r="J228" s="14" t="n"/>
      <c r="K228" s="10" t="n"/>
      <c r="L228" s="8" t="n"/>
    </row>
    <row r="229" ht="21" customHeight="1">
      <c r="C229" s="14" t="n"/>
      <c r="D229" s="14" t="n"/>
      <c r="E229" s="14" t="n"/>
      <c r="F229" s="14" t="n"/>
      <c r="G229" s="16" t="n"/>
      <c r="H229" s="16" t="n"/>
      <c r="I229" s="16" t="n"/>
      <c r="J229" s="14" t="n"/>
      <c r="K229" s="10" t="n"/>
      <c r="L229" s="8" t="n"/>
    </row>
    <row r="230" ht="21" customHeight="1">
      <c r="C230" s="14" t="n"/>
      <c r="D230" s="14" t="n"/>
      <c r="E230" s="14" t="n"/>
      <c r="F230" s="14" t="n"/>
      <c r="G230" s="16" t="n"/>
      <c r="H230" s="16" t="n"/>
      <c r="I230" s="16" t="n"/>
      <c r="J230" s="14" t="n"/>
      <c r="K230" s="10" t="n"/>
      <c r="L230" s="8" t="n"/>
    </row>
    <row r="231" ht="21" customHeight="1">
      <c r="C231" s="14" t="n"/>
      <c r="D231" s="14" t="n"/>
      <c r="E231" s="14" t="n"/>
      <c r="F231" s="14" t="n"/>
      <c r="G231" s="16" t="n"/>
      <c r="H231" s="16" t="n"/>
      <c r="I231" s="16" t="n"/>
      <c r="J231" s="14" t="n"/>
      <c r="K231" s="10" t="n"/>
      <c r="L231" s="8" t="n"/>
    </row>
    <row r="232" ht="21" customHeight="1">
      <c r="C232" s="14" t="n"/>
      <c r="D232" s="14" t="n"/>
      <c r="E232" s="14" t="n"/>
      <c r="F232" s="14" t="n"/>
      <c r="G232" s="16" t="n"/>
      <c r="H232" s="16" t="n"/>
      <c r="I232" s="16" t="n"/>
      <c r="J232" s="14" t="n"/>
      <c r="K232" s="10" t="n"/>
      <c r="L232" s="8" t="n"/>
    </row>
    <row r="233" ht="21" customHeight="1">
      <c r="C233" s="14" t="n"/>
      <c r="D233" s="14" t="n"/>
      <c r="E233" s="14" t="n"/>
      <c r="F233" s="14" t="n"/>
      <c r="G233" s="16" t="n"/>
      <c r="H233" s="16" t="n"/>
      <c r="I233" s="16" t="n"/>
      <c r="J233" s="14" t="n"/>
      <c r="K233" s="10" t="n"/>
      <c r="L233" s="8" t="n"/>
    </row>
    <row r="234" ht="21" customHeight="1">
      <c r="C234" s="14" t="n"/>
      <c r="D234" s="14" t="n"/>
      <c r="E234" s="14" t="n"/>
      <c r="F234" s="14" t="n"/>
      <c r="G234" s="16" t="n"/>
      <c r="H234" s="16" t="n"/>
      <c r="I234" s="16" t="n"/>
      <c r="J234" s="14" t="n"/>
      <c r="K234" s="10" t="n"/>
      <c r="L234" s="8" t="n"/>
    </row>
    <row r="235" ht="21" customHeight="1">
      <c r="C235" s="14" t="n"/>
      <c r="D235" s="14" t="n"/>
      <c r="E235" s="14" t="n"/>
      <c r="F235" s="14" t="n"/>
      <c r="G235" s="16" t="n"/>
      <c r="H235" s="16" t="n"/>
      <c r="I235" s="16" t="n"/>
      <c r="J235" s="14" t="n"/>
      <c r="K235" s="10" t="n"/>
      <c r="L235" s="8" t="n"/>
    </row>
    <row r="236" ht="21" customHeight="1">
      <c r="C236" s="14" t="n"/>
      <c r="D236" s="14" t="n"/>
      <c r="E236" s="14" t="n"/>
      <c r="F236" s="14" t="n"/>
      <c r="G236" s="16" t="n"/>
      <c r="H236" s="16" t="n"/>
      <c r="I236" s="16" t="n"/>
      <c r="J236" s="14" t="n"/>
      <c r="K236" s="10" t="n"/>
      <c r="L236" s="8" t="n"/>
    </row>
    <row r="237" ht="21" customHeight="1">
      <c r="C237" s="14" t="n"/>
      <c r="D237" s="14" t="n"/>
      <c r="E237" s="14" t="n"/>
      <c r="F237" s="14" t="n"/>
      <c r="G237" s="16" t="n"/>
      <c r="H237" s="16" t="n"/>
      <c r="I237" s="16" t="n"/>
      <c r="J237" s="14" t="n"/>
      <c r="K237" s="10" t="n"/>
      <c r="L237" s="8" t="n"/>
    </row>
    <row r="238" ht="21" customHeight="1">
      <c r="C238" s="14" t="n"/>
      <c r="D238" s="14" t="n"/>
      <c r="E238" s="14" t="n"/>
      <c r="F238" s="14" t="n"/>
      <c r="G238" s="16" t="n"/>
      <c r="H238" s="16" t="n"/>
      <c r="I238" s="16" t="n"/>
      <c r="J238" s="14" t="n"/>
      <c r="K238" s="10" t="n"/>
      <c r="L238" s="8" t="n"/>
    </row>
    <row r="239" ht="21" customHeight="1">
      <c r="C239" s="14" t="n"/>
      <c r="D239" s="14" t="n"/>
      <c r="E239" s="14" t="n"/>
      <c r="F239" s="14" t="n"/>
      <c r="G239" s="16" t="n"/>
      <c r="H239" s="16" t="n"/>
      <c r="I239" s="16" t="n"/>
      <c r="J239" s="14" t="n"/>
      <c r="K239" s="10" t="n"/>
      <c r="L239" s="8" t="n"/>
    </row>
    <row r="240" ht="21" customHeight="1">
      <c r="C240" s="14" t="n"/>
      <c r="D240" s="14" t="n"/>
      <c r="E240" s="14" t="n"/>
      <c r="F240" s="14" t="n"/>
      <c r="G240" s="16" t="n"/>
      <c r="H240" s="16" t="n"/>
      <c r="I240" s="16" t="n"/>
      <c r="J240" s="14" t="n"/>
      <c r="K240" s="10" t="n"/>
      <c r="L240" s="8" t="n"/>
    </row>
    <row r="241" ht="21" customHeight="1">
      <c r="C241" s="14" t="n"/>
      <c r="D241" s="14" t="n"/>
      <c r="E241" s="14" t="n"/>
      <c r="F241" s="14" t="n"/>
      <c r="G241" s="16" t="n"/>
      <c r="H241" s="16" t="n"/>
      <c r="I241" s="16" t="n"/>
      <c r="J241" s="14" t="n"/>
      <c r="K241" s="10" t="n"/>
      <c r="L241" s="8" t="n"/>
    </row>
    <row r="242" ht="21" customHeight="1">
      <c r="C242" s="14" t="n"/>
      <c r="D242" s="14" t="n"/>
      <c r="E242" s="14" t="n"/>
      <c r="F242" s="14" t="n"/>
      <c r="G242" s="16" t="n"/>
      <c r="H242" s="16" t="n"/>
      <c r="I242" s="16" t="n"/>
      <c r="J242" s="14" t="n"/>
      <c r="K242" s="10" t="n"/>
      <c r="L242" s="8" t="n"/>
    </row>
    <row r="243" ht="21" customHeight="1">
      <c r="C243" s="14" t="n"/>
      <c r="D243" s="14" t="n"/>
      <c r="E243" s="14" t="n"/>
      <c r="F243" s="14" t="n"/>
      <c r="G243" s="16" t="n"/>
      <c r="H243" s="16" t="n"/>
      <c r="I243" s="16" t="n"/>
      <c r="J243" s="14" t="n"/>
      <c r="K243" s="10" t="n"/>
      <c r="L243" s="8" t="n"/>
    </row>
    <row r="244" ht="21" customHeight="1">
      <c r="C244" s="14" t="n"/>
      <c r="D244" s="14" t="n"/>
      <c r="E244" s="14" t="n"/>
      <c r="F244" s="14" t="n"/>
      <c r="G244" s="16" t="n"/>
      <c r="H244" s="16" t="n"/>
      <c r="I244" s="16" t="n"/>
      <c r="J244" s="14" t="n"/>
      <c r="K244" s="10" t="n"/>
      <c r="L244" s="8" t="n"/>
    </row>
    <row r="245" ht="21" customHeight="1">
      <c r="C245" s="14" t="n"/>
      <c r="D245" s="14" t="n"/>
      <c r="E245" s="14" t="n"/>
      <c r="F245" s="14" t="n"/>
      <c r="G245" s="16" t="n"/>
      <c r="H245" s="16" t="n"/>
      <c r="I245" s="16" t="n"/>
      <c r="J245" s="14" t="n"/>
      <c r="K245" s="10" t="n"/>
      <c r="L245" s="8" t="n"/>
    </row>
    <row r="246" ht="21" customHeight="1">
      <c r="C246" s="14" t="n"/>
      <c r="D246" s="14" t="n"/>
      <c r="E246" s="14" t="n"/>
      <c r="F246" s="14" t="n"/>
      <c r="G246" s="16" t="n"/>
      <c r="H246" s="16" t="n"/>
      <c r="I246" s="16" t="n"/>
      <c r="J246" s="14" t="n"/>
      <c r="K246" s="10" t="n"/>
      <c r="L246" s="8" t="n"/>
    </row>
    <row r="247" ht="21" customHeight="1">
      <c r="C247" s="14" t="n"/>
      <c r="D247" s="14" t="n"/>
      <c r="E247" s="14" t="n"/>
      <c r="F247" s="14" t="n"/>
      <c r="G247" s="16" t="n"/>
      <c r="H247" s="16" t="n"/>
      <c r="I247" s="16" t="n"/>
      <c r="J247" s="14" t="n"/>
      <c r="K247" s="10" t="n"/>
      <c r="L247" s="8" t="n"/>
    </row>
    <row r="248" ht="21" customHeight="1">
      <c r="C248" s="14" t="n"/>
      <c r="D248" s="14" t="n"/>
      <c r="E248" s="14" t="n"/>
      <c r="F248" s="14" t="n"/>
      <c r="G248" s="16" t="n"/>
      <c r="H248" s="16" t="n"/>
      <c r="I248" s="16" t="n"/>
      <c r="J248" s="14" t="n"/>
      <c r="K248" s="10" t="n"/>
      <c r="L248" s="8" t="n"/>
    </row>
    <row r="249" ht="21" customHeight="1">
      <c r="C249" s="14" t="n"/>
      <c r="D249" s="14" t="n"/>
      <c r="E249" s="14" t="n"/>
      <c r="F249" s="14" t="n"/>
      <c r="G249" s="16" t="n"/>
      <c r="H249" s="16" t="n"/>
      <c r="I249" s="16" t="n"/>
      <c r="J249" s="14" t="n"/>
      <c r="K249" s="10" t="n"/>
      <c r="L249" s="8" t="n"/>
    </row>
    <row r="250" ht="21" customHeight="1">
      <c r="C250" s="14" t="n"/>
      <c r="D250" s="14" t="n"/>
      <c r="E250" s="14" t="n"/>
      <c r="F250" s="14" t="n"/>
      <c r="G250" s="16" t="n"/>
      <c r="H250" s="16" t="n"/>
      <c r="I250" s="16" t="n"/>
      <c r="J250" s="14" t="n"/>
      <c r="K250" s="10" t="n"/>
      <c r="L250" s="8" t="n"/>
    </row>
    <row r="251" ht="21" customHeight="1">
      <c r="C251" s="14" t="n"/>
      <c r="D251" s="14" t="n"/>
      <c r="E251" s="14" t="n"/>
      <c r="F251" s="14" t="n"/>
      <c r="G251" s="16" t="n"/>
      <c r="H251" s="16" t="n"/>
      <c r="I251" s="16" t="n"/>
      <c r="J251" s="14" t="n"/>
      <c r="K251" s="10" t="n"/>
      <c r="L251" s="8" t="n"/>
    </row>
    <row r="252" ht="21" customHeight="1">
      <c r="C252" s="14" t="n"/>
      <c r="D252" s="14" t="n"/>
      <c r="E252" s="14" t="n"/>
      <c r="F252" s="14" t="n"/>
      <c r="G252" s="16" t="n"/>
      <c r="H252" s="16" t="n"/>
      <c r="I252" s="16" t="n"/>
      <c r="J252" s="14" t="n"/>
      <c r="K252" s="10" t="n"/>
      <c r="L252" s="8" t="n"/>
    </row>
    <row r="253" ht="21" customHeight="1">
      <c r="C253" s="14" t="n"/>
      <c r="D253" s="14" t="n"/>
      <c r="E253" s="14" t="n"/>
      <c r="F253" s="14" t="n"/>
      <c r="G253" s="16" t="n"/>
      <c r="H253" s="16" t="n"/>
      <c r="I253" s="16" t="n"/>
      <c r="J253" s="14" t="n"/>
      <c r="K253" s="10" t="n"/>
      <c r="L253" s="8" t="n"/>
    </row>
    <row r="254" ht="21" customHeight="1">
      <c r="C254" s="14" t="n"/>
      <c r="D254" s="14" t="n"/>
      <c r="E254" s="14" t="n"/>
      <c r="F254" s="14" t="n"/>
      <c r="G254" s="16" t="n"/>
      <c r="H254" s="16" t="n"/>
      <c r="I254" s="16" t="n"/>
      <c r="J254" s="14" t="n"/>
      <c r="K254" s="10" t="n"/>
      <c r="L254" s="8" t="n"/>
    </row>
    <row r="255" ht="21" customHeight="1">
      <c r="C255" s="14" t="n"/>
      <c r="D255" s="14" t="n"/>
      <c r="E255" s="14" t="n"/>
      <c r="F255" s="14" t="n"/>
      <c r="G255" s="16" t="n"/>
      <c r="H255" s="16" t="n"/>
      <c r="I255" s="16" t="n"/>
      <c r="J255" s="14" t="n"/>
      <c r="K255" s="10" t="n"/>
      <c r="L255" s="8" t="n"/>
    </row>
    <row r="256" ht="21" customHeight="1">
      <c r="C256" s="14" t="n"/>
      <c r="D256" s="14" t="n"/>
      <c r="E256" s="14" t="n"/>
      <c r="F256" s="14" t="n"/>
      <c r="G256" s="16" t="n"/>
      <c r="H256" s="16" t="n"/>
      <c r="I256" s="16" t="n"/>
      <c r="J256" s="14" t="n"/>
      <c r="K256" s="10" t="n"/>
      <c r="L256" s="8" t="n"/>
    </row>
    <row r="257" ht="21" customHeight="1">
      <c r="C257" s="14" t="n"/>
      <c r="D257" s="14" t="n"/>
      <c r="E257" s="14" t="n"/>
      <c r="F257" s="14" t="n"/>
      <c r="G257" s="16" t="n"/>
      <c r="H257" s="16" t="n"/>
      <c r="I257" s="16" t="n"/>
      <c r="J257" s="14" t="n"/>
      <c r="K257" s="10" t="n"/>
      <c r="L257" s="8" t="n"/>
    </row>
    <row r="258" ht="21" customHeight="1">
      <c r="C258" s="14" t="n"/>
      <c r="D258" s="14" t="n"/>
      <c r="E258" s="14" t="n"/>
      <c r="F258" s="14" t="n"/>
      <c r="G258" s="16" t="n"/>
      <c r="H258" s="16" t="n"/>
      <c r="I258" s="16" t="n"/>
      <c r="J258" s="14" t="n"/>
      <c r="K258" s="10" t="n"/>
      <c r="L258" s="8" t="n"/>
    </row>
    <row r="259" ht="21" customHeight="1">
      <c r="C259" s="14" t="n"/>
      <c r="D259" s="14" t="n"/>
      <c r="E259" s="14" t="n"/>
      <c r="F259" s="14" t="n"/>
      <c r="G259" s="16" t="n"/>
      <c r="H259" s="16" t="n"/>
      <c r="I259" s="16" t="n"/>
      <c r="J259" s="14" t="n"/>
      <c r="K259" s="10" t="n"/>
      <c r="L259" s="8" t="n"/>
    </row>
    <row r="260" ht="21" customHeight="1">
      <c r="C260" s="14" t="n"/>
      <c r="D260" s="14" t="n"/>
      <c r="E260" s="14" t="n"/>
      <c r="F260" s="14" t="n"/>
      <c r="G260" s="16" t="n"/>
      <c r="H260" s="16" t="n"/>
      <c r="I260" s="16" t="n"/>
      <c r="J260" s="14" t="n"/>
      <c r="K260" s="10" t="n"/>
      <c r="L260" s="8" t="n"/>
    </row>
    <row r="261" ht="21" customHeight="1">
      <c r="C261" s="14" t="n"/>
      <c r="D261" s="14" t="n"/>
      <c r="E261" s="14" t="n"/>
      <c r="F261" s="14" t="n"/>
      <c r="G261" s="16" t="n"/>
      <c r="H261" s="16" t="n"/>
      <c r="I261" s="16" t="n"/>
      <c r="J261" s="14" t="n"/>
      <c r="K261" s="10" t="n"/>
      <c r="L261" s="8" t="n"/>
    </row>
    <row r="262" ht="21" customHeight="1">
      <c r="C262" s="14" t="n"/>
      <c r="D262" s="14" t="n"/>
      <c r="E262" s="14" t="n"/>
      <c r="F262" s="14" t="n"/>
      <c r="G262" s="16" t="n"/>
      <c r="H262" s="16" t="n"/>
      <c r="I262" s="16" t="n"/>
      <c r="J262" s="14" t="n"/>
      <c r="K262" s="10" t="n"/>
      <c r="L262" s="8" t="n"/>
    </row>
    <row r="263" ht="21" customHeight="1">
      <c r="C263" s="14" t="n"/>
      <c r="D263" s="14" t="n"/>
      <c r="E263" s="14" t="n"/>
      <c r="F263" s="14" t="n"/>
      <c r="G263" s="16" t="n"/>
      <c r="H263" s="16" t="n"/>
      <c r="I263" s="16" t="n"/>
      <c r="J263" s="14" t="n"/>
      <c r="K263" s="10" t="n"/>
      <c r="L263" s="8" t="n"/>
    </row>
    <row r="264" ht="21" customHeight="1">
      <c r="C264" s="14" t="n"/>
      <c r="D264" s="14" t="n"/>
      <c r="E264" s="14" t="n"/>
      <c r="F264" s="14" t="n"/>
      <c r="G264" s="16" t="n"/>
      <c r="H264" s="16" t="n"/>
      <c r="I264" s="16" t="n"/>
      <c r="J264" s="14" t="n"/>
      <c r="K264" s="10" t="n"/>
      <c r="L264" s="8" t="n"/>
    </row>
    <row r="265" ht="21" customHeight="1">
      <c r="C265" s="14" t="n"/>
      <c r="D265" s="14" t="n"/>
      <c r="E265" s="14" t="n"/>
      <c r="F265" s="14" t="n"/>
      <c r="G265" s="16" t="n"/>
      <c r="H265" s="16" t="n"/>
      <c r="I265" s="16" t="n"/>
      <c r="J265" s="14" t="n"/>
      <c r="K265" s="10" t="n"/>
      <c r="L265" s="8" t="n"/>
    </row>
    <row r="266" ht="21" customHeight="1">
      <c r="C266" s="14" t="n"/>
      <c r="D266" s="14" t="n"/>
      <c r="E266" s="14" t="n"/>
      <c r="F266" s="14" t="n"/>
      <c r="G266" s="16" t="n"/>
      <c r="H266" s="16" t="n"/>
      <c r="I266" s="16" t="n"/>
      <c r="J266" s="14" t="n"/>
      <c r="K266" s="10" t="n"/>
      <c r="L266" s="8" t="n"/>
    </row>
    <row r="267" ht="21" customHeight="1">
      <c r="C267" s="14" t="n"/>
      <c r="D267" s="14" t="n"/>
      <c r="E267" s="14" t="n"/>
      <c r="F267" s="14" t="n"/>
      <c r="G267" s="16" t="n"/>
      <c r="H267" s="16" t="n"/>
      <c r="I267" s="16" t="n"/>
      <c r="J267" s="14" t="n"/>
      <c r="K267" s="10" t="n"/>
      <c r="L267" s="8" t="n"/>
    </row>
    <row r="268" ht="21" customHeight="1">
      <c r="C268" s="14" t="n"/>
      <c r="D268" s="14" t="n"/>
      <c r="E268" s="14" t="n"/>
      <c r="F268" s="14" t="n"/>
      <c r="G268" s="16" t="n"/>
      <c r="H268" s="16" t="n"/>
      <c r="I268" s="16" t="n"/>
      <c r="J268" s="14" t="n"/>
      <c r="K268" s="10" t="n"/>
      <c r="L268" s="8" t="n"/>
    </row>
    <row r="269" ht="21" customHeight="1">
      <c r="C269" s="14" t="n"/>
      <c r="D269" s="14" t="n"/>
      <c r="E269" s="14" t="n"/>
      <c r="F269" s="14" t="n"/>
      <c r="G269" s="16" t="n"/>
      <c r="H269" s="16" t="n"/>
      <c r="I269" s="16" t="n"/>
      <c r="J269" s="14" t="n"/>
      <c r="K269" s="10" t="n"/>
      <c r="L269" s="8" t="n"/>
    </row>
    <row r="270" ht="21" customHeight="1">
      <c r="C270" s="14" t="n"/>
      <c r="D270" s="14" t="n"/>
      <c r="E270" s="14" t="n"/>
      <c r="F270" s="14" t="n"/>
      <c r="G270" s="16" t="n"/>
      <c r="H270" s="16" t="n"/>
      <c r="I270" s="16" t="n"/>
      <c r="J270" s="14" t="n"/>
      <c r="K270" s="10" t="n"/>
      <c r="L270" s="8" t="n"/>
    </row>
    <row r="271" ht="21" customHeight="1">
      <c r="C271" s="14" t="n"/>
      <c r="D271" s="14" t="n"/>
      <c r="E271" s="14" t="n"/>
      <c r="F271" s="14" t="n"/>
      <c r="G271" s="16" t="n"/>
      <c r="H271" s="16" t="n"/>
      <c r="I271" s="16" t="n"/>
      <c r="J271" s="14" t="n"/>
      <c r="K271" s="10" t="n"/>
      <c r="L271" s="8" t="n"/>
    </row>
    <row r="272" ht="21" customHeight="1">
      <c r="C272" s="14" t="n"/>
      <c r="D272" s="14" t="n"/>
      <c r="E272" s="14" t="n"/>
      <c r="F272" s="14" t="n"/>
      <c r="G272" s="16" t="n"/>
      <c r="H272" s="16" t="n"/>
      <c r="I272" s="16" t="n"/>
      <c r="J272" s="14" t="n"/>
      <c r="K272" s="10" t="n"/>
      <c r="L272" s="8" t="n"/>
    </row>
    <row r="273" ht="21" customHeight="1">
      <c r="C273" s="14" t="n"/>
      <c r="D273" s="14" t="n"/>
      <c r="E273" s="14" t="n"/>
      <c r="F273" s="14" t="n"/>
      <c r="G273" s="16" t="n"/>
      <c r="H273" s="16" t="n"/>
      <c r="I273" s="16" t="n"/>
      <c r="J273" s="14" t="n"/>
      <c r="K273" s="10" t="n"/>
      <c r="L273" s="8" t="n"/>
    </row>
    <row r="274" ht="21" customHeight="1">
      <c r="C274" s="14" t="n"/>
      <c r="D274" s="14" t="n"/>
      <c r="E274" s="14" t="n"/>
      <c r="F274" s="14" t="n"/>
      <c r="G274" s="16" t="n"/>
      <c r="H274" s="16" t="n"/>
      <c r="I274" s="16" t="n"/>
      <c r="J274" s="14" t="n"/>
      <c r="K274" s="10" t="n"/>
      <c r="L274" s="8" t="n"/>
    </row>
    <row r="275" ht="21" customHeight="1">
      <c r="C275" s="14" t="n"/>
      <c r="D275" s="14" t="n"/>
      <c r="E275" s="14" t="n"/>
      <c r="F275" s="14" t="n"/>
      <c r="G275" s="16" t="n"/>
      <c r="H275" s="16" t="n"/>
      <c r="I275" s="16" t="n"/>
      <c r="J275" s="14" t="n"/>
      <c r="K275" s="10" t="n"/>
      <c r="L275" s="8" t="n"/>
    </row>
    <row r="276" ht="21" customHeight="1">
      <c r="C276" s="14" t="n"/>
      <c r="D276" s="14" t="n"/>
      <c r="E276" s="14" t="n"/>
      <c r="F276" s="14" t="n"/>
      <c r="G276" s="16" t="n"/>
      <c r="H276" s="16" t="n"/>
      <c r="I276" s="16" t="n"/>
      <c r="J276" s="14" t="n"/>
      <c r="K276" s="10" t="n"/>
      <c r="L276" s="8" t="n"/>
    </row>
    <row r="277" ht="21" customHeight="1">
      <c r="C277" s="14" t="n"/>
      <c r="D277" s="14" t="n"/>
      <c r="E277" s="14" t="n"/>
      <c r="F277" s="14" t="n"/>
      <c r="G277" s="16" t="n"/>
      <c r="H277" s="16" t="n"/>
      <c r="I277" s="16" t="n"/>
      <c r="J277" s="14" t="n"/>
      <c r="K277" s="10" t="n"/>
      <c r="L277" s="8" t="n"/>
    </row>
    <row r="278" ht="21" customHeight="1">
      <c r="C278" s="14" t="n"/>
      <c r="D278" s="14" t="n"/>
      <c r="E278" s="14" t="n"/>
      <c r="F278" s="14" t="n"/>
      <c r="G278" s="16" t="n"/>
      <c r="H278" s="16" t="n"/>
      <c r="I278" s="16" t="n"/>
      <c r="J278" s="14" t="n"/>
      <c r="K278" s="10" t="n"/>
      <c r="L278" s="8" t="n"/>
    </row>
    <row r="279" ht="21" customHeight="1">
      <c r="C279" s="14" t="n"/>
      <c r="D279" s="14" t="n"/>
      <c r="E279" s="14" t="n"/>
      <c r="F279" s="14" t="n"/>
      <c r="G279" s="16" t="n"/>
      <c r="H279" s="16" t="n"/>
      <c r="I279" s="16" t="n"/>
      <c r="J279" s="14" t="n"/>
      <c r="K279" s="10" t="n"/>
      <c r="L279" s="8" t="n"/>
    </row>
    <row r="280" ht="21" customHeight="1">
      <c r="C280" s="14" t="n"/>
      <c r="D280" s="14" t="n"/>
      <c r="E280" s="14" t="n"/>
      <c r="F280" s="14" t="n"/>
      <c r="G280" s="16" t="n"/>
      <c r="H280" s="16" t="n"/>
      <c r="I280" s="16" t="n"/>
      <c r="J280" s="14" t="n"/>
      <c r="K280" s="10" t="n"/>
      <c r="L280" s="8" t="n"/>
    </row>
    <row r="281" ht="21" customHeight="1">
      <c r="C281" s="14" t="n"/>
      <c r="D281" s="14" t="n"/>
      <c r="E281" s="14" t="n"/>
      <c r="F281" s="14" t="n"/>
      <c r="G281" s="16" t="n"/>
      <c r="H281" s="16" t="n"/>
      <c r="I281" s="16" t="n"/>
      <c r="J281" s="14" t="n"/>
      <c r="K281" s="10" t="n"/>
      <c r="L281" s="8" t="n"/>
    </row>
    <row r="282" ht="21" customHeight="1">
      <c r="C282" s="14" t="n"/>
      <c r="D282" s="14" t="n"/>
      <c r="E282" s="14" t="n"/>
      <c r="F282" s="14" t="n"/>
      <c r="G282" s="16" t="n"/>
      <c r="H282" s="16" t="n"/>
      <c r="I282" s="16" t="n"/>
      <c r="J282" s="14" t="n"/>
      <c r="K282" s="10" t="n"/>
      <c r="L282" s="8" t="n"/>
    </row>
    <row r="283" ht="21" customHeight="1">
      <c r="C283" s="14" t="n"/>
      <c r="D283" s="14" t="n"/>
      <c r="E283" s="14" t="n"/>
      <c r="F283" s="14" t="n"/>
      <c r="G283" s="16" t="n"/>
      <c r="H283" s="16" t="n"/>
      <c r="I283" s="16" t="n"/>
      <c r="J283" s="14" t="n"/>
      <c r="K283" s="10" t="n"/>
      <c r="L283" s="8" t="n"/>
    </row>
    <row r="284" ht="21" customHeight="1">
      <c r="C284" s="14" t="n"/>
      <c r="D284" s="14" t="n"/>
      <c r="E284" s="14" t="n"/>
      <c r="F284" s="14" t="n"/>
      <c r="G284" s="16" t="n"/>
      <c r="H284" s="16" t="n"/>
      <c r="I284" s="16" t="n"/>
      <c r="J284" s="14" t="n"/>
      <c r="K284" s="10" t="n"/>
      <c r="L284" s="8" t="n"/>
    </row>
    <row r="285" ht="21" customHeight="1">
      <c r="C285" s="14" t="n"/>
      <c r="D285" s="14" t="n"/>
      <c r="E285" s="14" t="n"/>
      <c r="F285" s="14" t="n"/>
      <c r="G285" s="16" t="n"/>
      <c r="H285" s="16" t="n"/>
      <c r="I285" s="16" t="n"/>
      <c r="J285" s="14" t="n"/>
      <c r="K285" s="10" t="n"/>
      <c r="L285" s="8" t="n"/>
    </row>
    <row r="286" ht="21" customHeight="1">
      <c r="C286" s="14" t="n"/>
      <c r="D286" s="14" t="n"/>
      <c r="E286" s="14" t="n"/>
      <c r="F286" s="14" t="n"/>
      <c r="G286" s="16" t="n"/>
      <c r="H286" s="16" t="n"/>
      <c r="I286" s="16" t="n"/>
      <c r="J286" s="14" t="n"/>
      <c r="K286" s="10" t="n"/>
      <c r="L286" s="8" t="n"/>
    </row>
    <row r="287" ht="21" customHeight="1">
      <c r="C287" s="14" t="n"/>
      <c r="D287" s="14" t="n"/>
      <c r="E287" s="14" t="n"/>
      <c r="F287" s="14" t="n"/>
      <c r="G287" s="16" t="n"/>
      <c r="H287" s="16" t="n"/>
      <c r="I287" s="16" t="n"/>
      <c r="J287" s="14" t="n"/>
      <c r="K287" s="10" t="n"/>
      <c r="L287" s="8" t="n"/>
    </row>
    <row r="288" ht="21" customHeight="1">
      <c r="C288" s="14" t="n"/>
      <c r="D288" s="14" t="n"/>
      <c r="E288" s="14" t="n"/>
      <c r="F288" s="14" t="n"/>
      <c r="G288" s="16" t="n"/>
      <c r="H288" s="16" t="n"/>
      <c r="I288" s="16" t="n"/>
      <c r="J288" s="14" t="n"/>
      <c r="K288" s="10" t="n"/>
      <c r="L288" s="8" t="n"/>
    </row>
    <row r="289" ht="21" customHeight="1">
      <c r="C289" s="14" t="n"/>
      <c r="D289" s="14" t="n"/>
      <c r="E289" s="14" t="n"/>
      <c r="F289" s="14" t="n"/>
      <c r="G289" s="16" t="n"/>
      <c r="H289" s="16" t="n"/>
      <c r="I289" s="16" t="n"/>
      <c r="J289" s="14" t="n"/>
      <c r="K289" s="10" t="n"/>
      <c r="L289" s="8" t="n"/>
    </row>
    <row r="290" ht="21" customHeight="1">
      <c r="C290" s="14" t="n"/>
      <c r="D290" s="14" t="n"/>
      <c r="E290" s="14" t="n"/>
      <c r="F290" s="14" t="n"/>
      <c r="G290" s="16" t="n"/>
      <c r="H290" s="16" t="n"/>
      <c r="I290" s="16" t="n"/>
      <c r="J290" s="14" t="n"/>
      <c r="K290" s="10" t="n"/>
      <c r="L290" s="8" t="n"/>
    </row>
    <row r="291" ht="21" customHeight="1">
      <c r="C291" s="14" t="n"/>
      <c r="D291" s="14" t="n"/>
      <c r="E291" s="14" t="n"/>
      <c r="F291" s="14" t="n"/>
      <c r="G291" s="16" t="n"/>
      <c r="H291" s="16" t="n"/>
      <c r="I291" s="16" t="n"/>
      <c r="J291" s="14" t="n"/>
      <c r="K291" s="10" t="n"/>
      <c r="L291" s="8" t="n"/>
    </row>
    <row r="292" ht="21" customHeight="1">
      <c r="C292" s="14" t="n"/>
      <c r="D292" s="14" t="n"/>
      <c r="E292" s="14" t="n"/>
      <c r="F292" s="14" t="n"/>
      <c r="G292" s="16" t="n"/>
      <c r="H292" s="16" t="n"/>
      <c r="I292" s="16" t="n"/>
      <c r="J292" s="14" t="n"/>
      <c r="K292" s="10" t="n"/>
      <c r="L292" s="8" t="n"/>
    </row>
    <row r="293" ht="21" customHeight="1">
      <c r="C293" s="14" t="n"/>
      <c r="D293" s="14" t="n"/>
      <c r="E293" s="14" t="n"/>
      <c r="F293" s="14" t="n"/>
      <c r="G293" s="16" t="n"/>
      <c r="H293" s="16" t="n"/>
      <c r="I293" s="16" t="n"/>
      <c r="J293" s="14" t="n"/>
      <c r="K293" s="10" t="n"/>
      <c r="L293" s="8" t="n"/>
    </row>
    <row r="294" ht="21" customHeight="1">
      <c r="C294" s="14" t="n"/>
      <c r="D294" s="14" t="n"/>
      <c r="E294" s="14" t="n"/>
      <c r="F294" s="14" t="n"/>
      <c r="G294" s="16" t="n"/>
      <c r="H294" s="16" t="n"/>
      <c r="I294" s="16" t="n"/>
      <c r="J294" s="14" t="n"/>
      <c r="K294" s="10" t="n"/>
      <c r="L294" s="8" t="n"/>
    </row>
    <row r="295" ht="21" customHeight="1">
      <c r="C295" s="14" t="n"/>
      <c r="D295" s="14" t="n"/>
      <c r="E295" s="14" t="n"/>
      <c r="F295" s="14" t="n"/>
      <c r="G295" s="16" t="n"/>
      <c r="H295" s="16" t="n"/>
      <c r="I295" s="16" t="n"/>
      <c r="J295" s="14" t="n"/>
      <c r="K295" s="10" t="n"/>
      <c r="L295" s="8" t="n"/>
    </row>
    <row r="296" ht="21" customHeight="1">
      <c r="C296" s="14" t="n"/>
      <c r="D296" s="14" t="n"/>
      <c r="E296" s="14" t="n"/>
      <c r="F296" s="14" t="n"/>
      <c r="G296" s="16" t="n"/>
      <c r="H296" s="16" t="n"/>
      <c r="I296" s="16" t="n"/>
      <c r="J296" s="14" t="n"/>
      <c r="K296" s="10" t="n"/>
      <c r="L296" s="8" t="n"/>
    </row>
    <row r="297" ht="21" customHeight="1">
      <c r="C297" s="14" t="n"/>
      <c r="D297" s="14" t="n"/>
      <c r="E297" s="14" t="n"/>
      <c r="F297" s="14" t="n"/>
      <c r="G297" s="16" t="n"/>
      <c r="H297" s="16" t="n"/>
      <c r="I297" s="16" t="n"/>
      <c r="J297" s="14" t="n"/>
      <c r="K297" s="10" t="n"/>
      <c r="L297" s="8" t="n"/>
    </row>
    <row r="298" ht="21" customHeight="1">
      <c r="C298" s="14" t="n"/>
      <c r="D298" s="14" t="n"/>
      <c r="E298" s="14" t="n"/>
      <c r="F298" s="14" t="n"/>
      <c r="G298" s="16" t="n"/>
      <c r="H298" s="16" t="n"/>
      <c r="I298" s="16" t="n"/>
      <c r="J298" s="14" t="n"/>
      <c r="K298" s="10" t="n"/>
      <c r="L298" s="8" t="n"/>
    </row>
    <row r="299" ht="21" customHeight="1">
      <c r="C299" s="14" t="n"/>
      <c r="D299" s="14" t="n"/>
      <c r="E299" s="14" t="n"/>
      <c r="F299" s="14" t="n"/>
      <c r="G299" s="16" t="n"/>
      <c r="H299" s="16" t="n"/>
      <c r="I299" s="16" t="n"/>
      <c r="J299" s="14" t="n"/>
      <c r="K299" s="10" t="n"/>
      <c r="L299" s="8" t="n"/>
    </row>
    <row r="300" ht="21" customHeight="1">
      <c r="C300" s="14" t="n"/>
      <c r="D300" s="14" t="n"/>
      <c r="E300" s="14" t="n"/>
      <c r="F300" s="14" t="n"/>
      <c r="G300" s="16" t="n"/>
      <c r="H300" s="16" t="n"/>
      <c r="I300" s="16" t="n"/>
      <c r="J300" s="14" t="n"/>
      <c r="K300" s="10" t="n"/>
      <c r="L300" s="8" t="n"/>
    </row>
    <row r="301" ht="21" customHeight="1">
      <c r="C301" s="14" t="n"/>
      <c r="D301" s="14" t="n"/>
      <c r="E301" s="14" t="n"/>
      <c r="F301" s="14" t="n"/>
      <c r="G301" s="16" t="n"/>
      <c r="H301" s="16" t="n"/>
      <c r="I301" s="16" t="n"/>
      <c r="J301" s="14" t="n"/>
      <c r="K301" s="10" t="n"/>
      <c r="L301" s="8" t="n"/>
    </row>
    <row r="302" ht="21" customHeight="1">
      <c r="C302" s="14" t="n"/>
      <c r="D302" s="14" t="n"/>
      <c r="E302" s="14" t="n"/>
      <c r="F302" s="14" t="n"/>
      <c r="G302" s="16" t="n"/>
      <c r="H302" s="16" t="n"/>
      <c r="I302" s="16" t="n"/>
      <c r="J302" s="14" t="n"/>
      <c r="K302" s="10" t="n"/>
      <c r="L302" s="8" t="n"/>
    </row>
    <row r="303" ht="21" customHeight="1">
      <c r="C303" s="14" t="n"/>
      <c r="D303" s="14" t="n"/>
      <c r="E303" s="14" t="n"/>
      <c r="F303" s="14" t="n"/>
      <c r="G303" s="16" t="n"/>
      <c r="H303" s="16" t="n"/>
      <c r="I303" s="16" t="n"/>
      <c r="J303" s="14" t="n"/>
      <c r="K303" s="10" t="n"/>
      <c r="L303" s="8" t="n"/>
    </row>
    <row r="304" ht="21" customHeight="1">
      <c r="C304" s="14" t="n"/>
      <c r="D304" s="14" t="n"/>
      <c r="E304" s="14" t="n"/>
      <c r="F304" s="14" t="n"/>
      <c r="G304" s="16" t="n"/>
      <c r="H304" s="16" t="n"/>
      <c r="I304" s="16" t="n"/>
      <c r="J304" s="14" t="n"/>
      <c r="K304" s="10" t="n"/>
      <c r="L304" s="8" t="n"/>
    </row>
    <row r="305" ht="21" customHeight="1">
      <c r="C305" s="14" t="n"/>
      <c r="D305" s="14" t="n"/>
      <c r="E305" s="14" t="n"/>
      <c r="F305" s="14" t="n"/>
      <c r="G305" s="16" t="n"/>
      <c r="H305" s="16" t="n"/>
      <c r="I305" s="16" t="n"/>
      <c r="J305" s="14" t="n"/>
      <c r="K305" s="10" t="n"/>
      <c r="L305" s="8" t="n"/>
    </row>
    <row r="306" ht="21" customHeight="1">
      <c r="C306" s="14" t="n"/>
      <c r="D306" s="14" t="n"/>
      <c r="E306" s="14" t="n"/>
      <c r="F306" s="14" t="n"/>
      <c r="G306" s="16" t="n"/>
      <c r="H306" s="16" t="n"/>
      <c r="I306" s="16" t="n"/>
      <c r="J306" s="14" t="n"/>
      <c r="K306" s="10" t="n"/>
      <c r="L306" s="8" t="n"/>
    </row>
    <row r="307" ht="21" customHeight="1">
      <c r="C307" s="14" t="n"/>
      <c r="D307" s="14" t="n"/>
      <c r="E307" s="14" t="n"/>
      <c r="F307" s="14" t="n"/>
      <c r="G307" s="16" t="n"/>
      <c r="H307" s="16" t="n"/>
      <c r="I307" s="16" t="n"/>
      <c r="J307" s="14" t="n"/>
      <c r="K307" s="10" t="n"/>
      <c r="L307" s="8" t="n"/>
    </row>
    <row r="308" ht="21" customHeight="1">
      <c r="C308" s="14" t="n"/>
      <c r="D308" s="14" t="n"/>
      <c r="E308" s="14" t="n"/>
      <c r="F308" s="14" t="n"/>
      <c r="G308" s="16" t="n"/>
      <c r="H308" s="16" t="n"/>
      <c r="I308" s="16" t="n"/>
      <c r="J308" s="14" t="n"/>
      <c r="K308" s="10" t="n"/>
      <c r="L308" s="8" t="n"/>
    </row>
    <row r="309" ht="21" customHeight="1">
      <c r="C309" s="14" t="n"/>
      <c r="D309" s="14" t="n"/>
      <c r="E309" s="14" t="n"/>
      <c r="F309" s="14" t="n"/>
      <c r="G309" s="16" t="n"/>
      <c r="H309" s="16" t="n"/>
      <c r="I309" s="16" t="n"/>
      <c r="J309" s="14" t="n"/>
      <c r="K309" s="10" t="n"/>
      <c r="L309" s="8" t="n"/>
    </row>
    <row r="310" ht="21" customHeight="1">
      <c r="C310" s="14" t="n"/>
      <c r="D310" s="14" t="n"/>
      <c r="E310" s="14" t="n"/>
      <c r="F310" s="14" t="n"/>
      <c r="G310" s="16" t="n"/>
      <c r="H310" s="16" t="n"/>
      <c r="I310" s="16" t="n"/>
      <c r="J310" s="14" t="n"/>
      <c r="K310" s="10" t="n"/>
      <c r="L310" s="8" t="n"/>
    </row>
    <row r="311" ht="21" customHeight="1">
      <c r="C311" s="14" t="n"/>
      <c r="D311" s="14" t="n"/>
      <c r="E311" s="14" t="n"/>
      <c r="F311" s="14" t="n"/>
      <c r="G311" s="16" t="n"/>
      <c r="H311" s="16" t="n"/>
      <c r="I311" s="16" t="n"/>
      <c r="J311" s="14" t="n"/>
      <c r="K311" s="10" t="n"/>
      <c r="L311" s="8" t="n"/>
    </row>
    <row r="312" ht="21" customHeight="1">
      <c r="C312" s="14" t="n"/>
      <c r="D312" s="14" t="n"/>
      <c r="E312" s="14" t="n"/>
      <c r="F312" s="14" t="n"/>
      <c r="G312" s="16" t="n"/>
      <c r="H312" s="16" t="n"/>
      <c r="I312" s="16" t="n"/>
      <c r="J312" s="14" t="n"/>
      <c r="K312" s="10" t="n"/>
      <c r="L312" s="8" t="n"/>
    </row>
    <row r="313" ht="21" customHeight="1">
      <c r="C313" s="14" t="n"/>
      <c r="D313" s="14" t="n"/>
      <c r="E313" s="14" t="n"/>
      <c r="F313" s="14" t="n"/>
      <c r="G313" s="16" t="n"/>
      <c r="H313" s="16" t="n"/>
      <c r="I313" s="16" t="n"/>
      <c r="J313" s="14" t="n"/>
      <c r="K313" s="10" t="n"/>
      <c r="L313" s="8" t="n"/>
    </row>
    <row r="314" ht="21" customHeight="1">
      <c r="C314" s="14" t="n"/>
      <c r="D314" s="14" t="n"/>
      <c r="E314" s="14" t="n"/>
      <c r="F314" s="14" t="n"/>
      <c r="G314" s="16" t="n"/>
      <c r="H314" s="16" t="n"/>
      <c r="I314" s="16" t="n"/>
      <c r="J314" s="14" t="n"/>
      <c r="K314" s="10" t="n"/>
      <c r="L314" s="8" t="n"/>
    </row>
    <row r="315" ht="21" customHeight="1">
      <c r="C315" s="14" t="n"/>
      <c r="D315" s="14" t="n"/>
      <c r="E315" s="14" t="n"/>
      <c r="F315" s="14" t="n"/>
      <c r="G315" s="16" t="n"/>
      <c r="H315" s="16" t="n"/>
      <c r="I315" s="16" t="n"/>
      <c r="J315" s="14" t="n"/>
      <c r="K315" s="10" t="n"/>
      <c r="L315" s="8" t="n"/>
    </row>
    <row r="316" ht="21" customHeight="1">
      <c r="C316" s="14" t="n"/>
      <c r="D316" s="14" t="n"/>
      <c r="E316" s="14" t="n"/>
      <c r="F316" s="14" t="n"/>
      <c r="G316" s="16" t="n"/>
      <c r="H316" s="16" t="n"/>
      <c r="I316" s="16" t="n"/>
      <c r="J316" s="14" t="n"/>
      <c r="K316" s="10" t="n"/>
      <c r="L316" s="8" t="n"/>
    </row>
    <row r="317" ht="21" customHeight="1">
      <c r="C317" s="14" t="n"/>
      <c r="D317" s="14" t="n"/>
      <c r="E317" s="14" t="n"/>
      <c r="F317" s="14" t="n"/>
      <c r="G317" s="16" t="n"/>
      <c r="H317" s="16" t="n"/>
      <c r="I317" s="16" t="n"/>
      <c r="J317" s="14" t="n"/>
      <c r="K317" s="10" t="n"/>
      <c r="L317" s="8" t="n"/>
    </row>
    <row r="318" ht="21" customHeight="1">
      <c r="C318" s="14" t="n"/>
      <c r="D318" s="14" t="n"/>
      <c r="E318" s="14" t="n"/>
      <c r="F318" s="14" t="n"/>
      <c r="G318" s="16" t="n"/>
      <c r="H318" s="16" t="n"/>
      <c r="I318" s="16" t="n"/>
      <c r="J318" s="14" t="n"/>
      <c r="K318" s="10" t="n"/>
      <c r="L318" s="8" t="n"/>
    </row>
    <row r="319" ht="21" customHeight="1">
      <c r="C319" s="14" t="n"/>
      <c r="D319" s="14" t="n"/>
      <c r="E319" s="14" t="n"/>
      <c r="F319" s="14" t="n"/>
      <c r="G319" s="16" t="n"/>
      <c r="H319" s="16" t="n"/>
      <c r="I319" s="16" t="n"/>
      <c r="J319" s="14" t="n"/>
      <c r="K319" s="10" t="n"/>
      <c r="L319" s="8" t="n"/>
    </row>
    <row r="320" ht="21" customHeight="1">
      <c r="C320" s="14" t="n"/>
      <c r="D320" s="14" t="n"/>
      <c r="E320" s="14" t="n"/>
      <c r="F320" s="14" t="n"/>
      <c r="G320" s="16" t="n"/>
      <c r="H320" s="16" t="n"/>
      <c r="I320" s="16" t="n"/>
      <c r="J320" s="14" t="n"/>
      <c r="K320" s="10" t="n"/>
      <c r="L320" s="8" t="n"/>
    </row>
    <row r="321" ht="21" customHeight="1">
      <c r="C321" s="14" t="n"/>
      <c r="D321" s="14" t="n"/>
      <c r="E321" s="14" t="n"/>
      <c r="F321" s="14" t="n"/>
      <c r="G321" s="16" t="n"/>
      <c r="H321" s="16" t="n"/>
      <c r="I321" s="16" t="n"/>
      <c r="J321" s="14" t="n"/>
      <c r="K321" s="10" t="n"/>
      <c r="L321" s="8" t="n"/>
    </row>
    <row r="322" ht="21" customHeight="1">
      <c r="C322" s="14" t="n"/>
      <c r="D322" s="14" t="n"/>
      <c r="E322" s="14" t="n"/>
      <c r="F322" s="14" t="n"/>
      <c r="G322" s="16" t="n"/>
      <c r="H322" s="16" t="n"/>
      <c r="I322" s="16" t="n"/>
      <c r="J322" s="14" t="n"/>
      <c r="K322" s="10" t="n"/>
      <c r="L322" s="8" t="n"/>
    </row>
    <row r="323" ht="21" customHeight="1">
      <c r="C323" s="14" t="n"/>
      <c r="D323" s="14" t="n"/>
      <c r="E323" s="14" t="n"/>
      <c r="F323" s="14" t="n"/>
      <c r="G323" s="16" t="n"/>
      <c r="H323" s="16" t="n"/>
      <c r="I323" s="16" t="n"/>
      <c r="J323" s="14" t="n"/>
      <c r="K323" s="10" t="n"/>
      <c r="L323" s="8" t="n"/>
    </row>
    <row r="324" ht="21" customHeight="1">
      <c r="C324" s="14" t="n"/>
      <c r="D324" s="14" t="n"/>
      <c r="E324" s="14" t="n"/>
      <c r="F324" s="14" t="n"/>
      <c r="G324" s="16" t="n"/>
      <c r="H324" s="16" t="n"/>
      <c r="I324" s="16" t="n"/>
      <c r="J324" s="14" t="n"/>
      <c r="K324" s="10" t="n"/>
      <c r="L324" s="8" t="n"/>
    </row>
    <row r="325" ht="21" customHeight="1">
      <c r="C325" s="14" t="n"/>
      <c r="D325" s="14" t="n"/>
      <c r="E325" s="14" t="n"/>
      <c r="F325" s="14" t="n"/>
      <c r="G325" s="16" t="n"/>
      <c r="H325" s="16" t="n"/>
      <c r="I325" s="16" t="n"/>
      <c r="J325" s="14" t="n"/>
      <c r="K325" s="10" t="n"/>
      <c r="L325" s="8" t="n"/>
    </row>
    <row r="326" ht="21" customHeight="1">
      <c r="C326" s="14" t="n"/>
      <c r="D326" s="14" t="n"/>
      <c r="E326" s="14" t="n"/>
      <c r="F326" s="14" t="n"/>
      <c r="G326" s="16" t="n"/>
      <c r="H326" s="16" t="n"/>
      <c r="I326" s="16" t="n"/>
      <c r="J326" s="14" t="n"/>
      <c r="K326" s="10" t="n"/>
      <c r="L326" s="8" t="n"/>
    </row>
    <row r="327" ht="21" customHeight="1">
      <c r="C327" s="14" t="n"/>
      <c r="D327" s="14" t="n"/>
      <c r="E327" s="14" t="n"/>
      <c r="F327" s="14" t="n"/>
      <c r="G327" s="16" t="n"/>
      <c r="H327" s="16" t="n"/>
      <c r="I327" s="16" t="n"/>
      <c r="J327" s="14" t="n"/>
      <c r="K327" s="10" t="n"/>
      <c r="L327" s="8" t="n"/>
    </row>
    <row r="328" ht="21" customHeight="1">
      <c r="C328" s="14" t="n"/>
      <c r="D328" s="14" t="n"/>
      <c r="E328" s="14" t="n"/>
      <c r="F328" s="14" t="n"/>
      <c r="G328" s="16" t="n"/>
      <c r="H328" s="16" t="n"/>
      <c r="I328" s="16" t="n"/>
      <c r="J328" s="14" t="n"/>
      <c r="K328" s="10" t="n"/>
      <c r="L328" s="8" t="n"/>
    </row>
    <row r="329" ht="21" customHeight="1">
      <c r="C329" s="14" t="n"/>
      <c r="D329" s="14" t="n"/>
      <c r="E329" s="14" t="n"/>
      <c r="F329" s="14" t="n"/>
      <c r="G329" s="16" t="n"/>
      <c r="H329" s="16" t="n"/>
      <c r="I329" s="16" t="n"/>
      <c r="J329" s="14" t="n"/>
      <c r="K329" s="10" t="n"/>
      <c r="L329" s="8" t="n"/>
    </row>
    <row r="330" ht="21" customHeight="1">
      <c r="C330" s="14" t="n"/>
      <c r="D330" s="14" t="n"/>
      <c r="E330" s="14" t="n"/>
      <c r="F330" s="14" t="n"/>
      <c r="G330" s="16" t="n"/>
      <c r="H330" s="16" t="n"/>
      <c r="I330" s="16" t="n"/>
      <c r="J330" s="14" t="n"/>
      <c r="K330" s="10" t="n"/>
      <c r="L330" s="8" t="n"/>
    </row>
    <row r="331" ht="21" customHeight="1">
      <c r="C331" s="14" t="n"/>
      <c r="D331" s="14" t="n"/>
      <c r="E331" s="14" t="n"/>
      <c r="F331" s="14" t="n"/>
      <c r="G331" s="16" t="n"/>
      <c r="H331" s="16" t="n"/>
      <c r="I331" s="16" t="n"/>
      <c r="J331" s="14" t="n"/>
      <c r="K331" s="10" t="n"/>
      <c r="L331" s="8" t="n"/>
    </row>
    <row r="332" ht="21" customHeight="1">
      <c r="C332" s="14" t="n"/>
      <c r="D332" s="14" t="n"/>
      <c r="E332" s="14" t="n"/>
      <c r="F332" s="14" t="n"/>
      <c r="G332" s="16" t="n"/>
      <c r="H332" s="16" t="n"/>
      <c r="I332" s="16" t="n"/>
      <c r="J332" s="14" t="n"/>
      <c r="K332" s="10" t="n"/>
      <c r="L332" s="8" t="n"/>
    </row>
    <row r="333" ht="21" customHeight="1">
      <c r="C333" s="14" t="n"/>
      <c r="D333" s="14" t="n"/>
      <c r="E333" s="14" t="n"/>
      <c r="F333" s="14" t="n"/>
      <c r="G333" s="16" t="n"/>
      <c r="H333" s="16" t="n"/>
      <c r="I333" s="16" t="n"/>
      <c r="J333" s="14" t="n"/>
      <c r="K333" s="10" t="n"/>
      <c r="L333" s="8" t="n"/>
    </row>
    <row r="334" ht="21" customHeight="1">
      <c r="C334" s="14" t="n"/>
      <c r="D334" s="14" t="n"/>
      <c r="E334" s="14" t="n"/>
      <c r="F334" s="14" t="n"/>
      <c r="G334" s="16" t="n"/>
      <c r="H334" s="16" t="n"/>
      <c r="I334" s="16" t="n"/>
      <c r="J334" s="14" t="n"/>
      <c r="K334" s="10" t="n"/>
      <c r="L334" s="8" t="n"/>
    </row>
    <row r="335" ht="21" customHeight="1">
      <c r="C335" s="14" t="n"/>
      <c r="D335" s="14" t="n"/>
      <c r="E335" s="14" t="n"/>
      <c r="F335" s="14" t="n"/>
      <c r="G335" s="16" t="n"/>
      <c r="H335" s="16" t="n"/>
      <c r="I335" s="16" t="n"/>
      <c r="J335" s="14" t="n"/>
      <c r="K335" s="10" t="n"/>
      <c r="L335" s="8" t="n"/>
    </row>
    <row r="336" ht="21" customHeight="1">
      <c r="C336" s="14" t="n"/>
      <c r="D336" s="14" t="n"/>
      <c r="E336" s="14" t="n"/>
      <c r="F336" s="14" t="n"/>
      <c r="G336" s="16" t="n"/>
      <c r="H336" s="16" t="n"/>
      <c r="I336" s="16" t="n"/>
      <c r="J336" s="14" t="n"/>
      <c r="K336" s="10" t="n"/>
      <c r="L336" s="8" t="n"/>
    </row>
    <row r="337" ht="21" customHeight="1">
      <c r="C337" s="14" t="n"/>
      <c r="D337" s="14" t="n"/>
      <c r="E337" s="14" t="n"/>
      <c r="F337" s="14" t="n"/>
      <c r="G337" s="16" t="n"/>
      <c r="H337" s="16" t="n"/>
      <c r="I337" s="16" t="n"/>
      <c r="J337" s="14" t="n"/>
      <c r="K337" s="10" t="n"/>
      <c r="L337" s="8" t="n"/>
    </row>
    <row r="338" ht="21" customHeight="1">
      <c r="C338" s="14" t="n"/>
      <c r="D338" s="14" t="n"/>
      <c r="E338" s="14" t="n"/>
      <c r="F338" s="14" t="n"/>
      <c r="G338" s="16" t="n"/>
      <c r="H338" s="16" t="n"/>
      <c r="I338" s="16" t="n"/>
      <c r="J338" s="14" t="n"/>
      <c r="K338" s="10" t="n"/>
      <c r="L338" s="8" t="n"/>
    </row>
    <row r="339" ht="21" customHeight="1">
      <c r="C339" s="14" t="n"/>
      <c r="D339" s="14" t="n"/>
      <c r="E339" s="14" t="n"/>
      <c r="F339" s="14" t="n"/>
      <c r="G339" s="16" t="n"/>
      <c r="H339" s="16" t="n"/>
      <c r="I339" s="16" t="n"/>
      <c r="J339" s="14" t="n"/>
      <c r="K339" s="10" t="n"/>
      <c r="L339" s="8" t="n"/>
    </row>
    <row r="340" ht="21" customHeight="1">
      <c r="C340" s="14" t="n"/>
      <c r="D340" s="14" t="n"/>
      <c r="E340" s="14" t="n"/>
      <c r="F340" s="14" t="n"/>
      <c r="G340" s="16" t="n"/>
      <c r="H340" s="16" t="n"/>
      <c r="I340" s="16" t="n"/>
      <c r="J340" s="14" t="n"/>
      <c r="K340" s="10" t="n"/>
      <c r="L340" s="8" t="n"/>
    </row>
    <row r="341" ht="21" customHeight="1">
      <c r="C341" s="14" t="n"/>
      <c r="D341" s="14" t="n"/>
      <c r="E341" s="14" t="n"/>
      <c r="F341" s="14" t="n"/>
      <c r="G341" s="16" t="n"/>
      <c r="H341" s="16" t="n"/>
      <c r="I341" s="16" t="n"/>
      <c r="J341" s="14" t="n"/>
      <c r="K341" s="10" t="n"/>
      <c r="L341" s="8" t="n"/>
    </row>
    <row r="342" ht="21" customHeight="1">
      <c r="C342" s="14" t="n"/>
      <c r="D342" s="14" t="n"/>
      <c r="E342" s="14" t="n"/>
      <c r="F342" s="14" t="n"/>
      <c r="G342" s="16" t="n"/>
      <c r="H342" s="16" t="n"/>
      <c r="I342" s="16" t="n"/>
      <c r="J342" s="14" t="n"/>
      <c r="K342" s="10" t="n"/>
      <c r="L342" s="8" t="n"/>
    </row>
    <row r="343" ht="21" customHeight="1">
      <c r="C343" s="14" t="n"/>
      <c r="D343" s="14" t="n"/>
      <c r="E343" s="14" t="n"/>
      <c r="F343" s="14" t="n"/>
      <c r="G343" s="16" t="n"/>
      <c r="H343" s="16" t="n"/>
      <c r="I343" s="16" t="n"/>
      <c r="J343" s="14" t="n"/>
      <c r="K343" s="10" t="n"/>
      <c r="L343" s="8" t="n"/>
    </row>
    <row r="344" ht="21" customHeight="1">
      <c r="C344" s="14" t="n"/>
      <c r="D344" s="14" t="n"/>
      <c r="E344" s="14" t="n"/>
      <c r="F344" s="14" t="n"/>
      <c r="G344" s="16" t="n"/>
      <c r="H344" s="16" t="n"/>
      <c r="I344" s="16" t="n"/>
      <c r="J344" s="14" t="n"/>
      <c r="K344" s="10" t="n"/>
      <c r="L344" s="8" t="n"/>
    </row>
    <row r="345" ht="21" customHeight="1">
      <c r="C345" s="14" t="n"/>
      <c r="D345" s="14" t="n"/>
      <c r="E345" s="14" t="n"/>
      <c r="F345" s="14" t="n"/>
      <c r="G345" s="16" t="n"/>
      <c r="H345" s="16" t="n"/>
      <c r="I345" s="16" t="n"/>
      <c r="J345" s="14" t="n"/>
      <c r="K345" s="10" t="n"/>
      <c r="L345" s="8" t="n"/>
    </row>
    <row r="346" ht="21" customHeight="1">
      <c r="C346" s="14" t="n"/>
      <c r="D346" s="14" t="n"/>
      <c r="E346" s="14" t="n"/>
      <c r="F346" s="14" t="n"/>
      <c r="G346" s="16" t="n"/>
      <c r="H346" s="16" t="n"/>
      <c r="I346" s="16" t="n"/>
      <c r="J346" s="14" t="n"/>
      <c r="K346" s="10" t="n"/>
      <c r="L346" s="8" t="n"/>
    </row>
    <row r="347" ht="21" customHeight="1">
      <c r="C347" s="14" t="n"/>
      <c r="D347" s="14" t="n"/>
      <c r="E347" s="14" t="n"/>
      <c r="F347" s="14" t="n"/>
      <c r="G347" s="16" t="n"/>
      <c r="H347" s="16" t="n"/>
      <c r="I347" s="16" t="n"/>
      <c r="J347" s="14" t="n"/>
      <c r="K347" s="10" t="n"/>
      <c r="L347" s="8" t="n"/>
    </row>
    <row r="348" ht="21" customHeight="1">
      <c r="C348" s="14" t="n"/>
      <c r="D348" s="14" t="n"/>
      <c r="E348" s="14" t="n"/>
      <c r="F348" s="14" t="n"/>
      <c r="G348" s="16" t="n"/>
      <c r="H348" s="16" t="n"/>
      <c r="I348" s="16" t="n"/>
      <c r="J348" s="14" t="n"/>
      <c r="K348" s="10" t="n"/>
      <c r="L348" s="8" t="n"/>
    </row>
    <row r="349" ht="21" customHeight="1">
      <c r="C349" s="14" t="n"/>
      <c r="D349" s="14" t="n"/>
      <c r="E349" s="14" t="n"/>
      <c r="F349" s="14" t="n"/>
      <c r="G349" s="16" t="n"/>
      <c r="H349" s="16" t="n"/>
      <c r="I349" s="16" t="n"/>
      <c r="J349" s="14" t="n"/>
      <c r="K349" s="10" t="n"/>
      <c r="L349" s="8" t="n"/>
    </row>
    <row r="350" ht="21" customHeight="1">
      <c r="C350" s="14" t="n"/>
      <c r="D350" s="14" t="n"/>
      <c r="E350" s="14" t="n"/>
      <c r="F350" s="14" t="n"/>
      <c r="G350" s="16" t="n"/>
      <c r="H350" s="16" t="n"/>
      <c r="I350" s="16" t="n"/>
      <c r="J350" s="14" t="n"/>
      <c r="K350" s="10" t="n"/>
      <c r="L350" s="8" t="n"/>
    </row>
    <row r="351" ht="21" customHeight="1">
      <c r="C351" s="14" t="n"/>
      <c r="D351" s="14" t="n"/>
      <c r="E351" s="14" t="n"/>
      <c r="F351" s="14" t="n"/>
      <c r="G351" s="16" t="n"/>
      <c r="H351" s="16" t="n"/>
      <c r="I351" s="16" t="n"/>
      <c r="J351" s="14" t="n"/>
      <c r="K351" s="10" t="n"/>
      <c r="L351" s="8" t="n"/>
    </row>
    <row r="352" ht="21" customHeight="1">
      <c r="C352" s="14" t="n"/>
      <c r="D352" s="14" t="n"/>
      <c r="E352" s="14" t="n"/>
      <c r="F352" s="14" t="n"/>
      <c r="G352" s="16" t="n"/>
      <c r="H352" s="16" t="n"/>
      <c r="I352" s="16" t="n"/>
      <c r="J352" s="14" t="n"/>
      <c r="K352" s="10" t="n"/>
      <c r="L352" s="8" t="n"/>
    </row>
    <row r="353" ht="21" customHeight="1">
      <c r="C353" s="14" t="n"/>
      <c r="D353" s="14" t="n"/>
      <c r="E353" s="14" t="n"/>
      <c r="F353" s="14" t="n"/>
      <c r="G353" s="16" t="n"/>
      <c r="H353" s="16" t="n"/>
      <c r="I353" s="16" t="n"/>
      <c r="J353" s="14" t="n"/>
      <c r="K353" s="10" t="n"/>
      <c r="L353" s="8" t="n"/>
    </row>
    <row r="354" ht="21" customHeight="1">
      <c r="C354" s="14" t="n"/>
      <c r="D354" s="14" t="n"/>
      <c r="E354" s="14" t="n"/>
      <c r="F354" s="14" t="n"/>
      <c r="G354" s="16" t="n"/>
      <c r="H354" s="16" t="n"/>
      <c r="I354" s="16" t="n"/>
      <c r="J354" s="14" t="n"/>
      <c r="K354" s="10" t="n"/>
      <c r="L354" s="8" t="n"/>
    </row>
    <row r="355" ht="21" customHeight="1">
      <c r="C355" s="14" t="n"/>
      <c r="D355" s="14" t="n"/>
      <c r="E355" s="14" t="n"/>
      <c r="F355" s="14" t="n"/>
      <c r="G355" s="16" t="n"/>
      <c r="H355" s="16" t="n"/>
      <c r="I355" s="16" t="n"/>
      <c r="J355" s="14" t="n"/>
      <c r="K355" s="10" t="n"/>
      <c r="L355" s="8" t="n"/>
    </row>
    <row r="356" ht="21" customHeight="1">
      <c r="C356" s="14" t="n"/>
      <c r="D356" s="14" t="n"/>
      <c r="E356" s="14" t="n"/>
      <c r="F356" s="14" t="n"/>
      <c r="G356" s="16" t="n"/>
      <c r="H356" s="16" t="n"/>
      <c r="I356" s="16" t="n"/>
      <c r="J356" s="14" t="n"/>
      <c r="K356" s="10" t="n"/>
      <c r="L356" s="8" t="n"/>
    </row>
    <row r="357" ht="21" customHeight="1">
      <c r="C357" s="14" t="n"/>
      <c r="D357" s="14" t="n"/>
      <c r="E357" s="14" t="n"/>
      <c r="F357" s="14" t="n"/>
      <c r="G357" s="16" t="n"/>
      <c r="H357" s="16" t="n"/>
      <c r="I357" s="16" t="n"/>
      <c r="J357" s="14" t="n"/>
      <c r="K357" s="10" t="n"/>
      <c r="L357" s="8" t="n"/>
    </row>
    <row r="358" ht="21" customHeight="1">
      <c r="C358" s="14" t="n"/>
      <c r="D358" s="14" t="n"/>
      <c r="E358" s="14" t="n"/>
      <c r="F358" s="14" t="n"/>
      <c r="G358" s="16" t="n"/>
      <c r="H358" s="16" t="n"/>
      <c r="I358" s="16" t="n"/>
      <c r="J358" s="14" t="n"/>
      <c r="K358" s="10" t="n"/>
      <c r="L358" s="8" t="n"/>
    </row>
    <row r="359" ht="21" customHeight="1">
      <c r="C359" s="14" t="n"/>
      <c r="D359" s="14" t="n"/>
      <c r="E359" s="14" t="n"/>
      <c r="F359" s="14" t="n"/>
      <c r="G359" s="16" t="n"/>
      <c r="H359" s="16" t="n"/>
      <c r="I359" s="16" t="n"/>
      <c r="J359" s="14" t="n"/>
      <c r="K359" s="10" t="n"/>
      <c r="L359" s="8" t="n"/>
    </row>
    <row r="360" ht="21" customHeight="1">
      <c r="C360" s="14" t="n"/>
      <c r="D360" s="14" t="n"/>
      <c r="E360" s="14" t="n"/>
      <c r="F360" s="14" t="n"/>
      <c r="G360" s="16" t="n"/>
      <c r="H360" s="16" t="n"/>
      <c r="I360" s="16" t="n"/>
      <c r="J360" s="14" t="n"/>
      <c r="K360" s="10" t="n"/>
      <c r="L360" s="8" t="n"/>
    </row>
    <row r="361" ht="21" customHeight="1">
      <c r="C361" s="14" t="n"/>
      <c r="D361" s="14" t="n"/>
      <c r="E361" s="14" t="n"/>
      <c r="F361" s="14" t="n"/>
      <c r="G361" s="16" t="n"/>
      <c r="H361" s="16" t="n"/>
      <c r="I361" s="16" t="n"/>
      <c r="J361" s="14" t="n"/>
      <c r="K361" s="10" t="n"/>
      <c r="L361" s="8" t="n"/>
    </row>
    <row r="362" ht="21" customHeight="1">
      <c r="C362" s="14" t="n"/>
      <c r="D362" s="14" t="n"/>
      <c r="E362" s="14" t="n"/>
      <c r="F362" s="14" t="n"/>
      <c r="G362" s="16" t="n"/>
      <c r="H362" s="16" t="n"/>
      <c r="I362" s="16" t="n"/>
      <c r="J362" s="14" t="n"/>
      <c r="K362" s="10" t="n"/>
      <c r="L362" s="8" t="n"/>
    </row>
    <row r="363" ht="21" customHeight="1">
      <c r="C363" s="14" t="n"/>
      <c r="D363" s="14" t="n"/>
      <c r="E363" s="14" t="n"/>
      <c r="F363" s="14" t="n"/>
      <c r="G363" s="16" t="n"/>
      <c r="H363" s="16" t="n"/>
      <c r="I363" s="16" t="n"/>
      <c r="J363" s="14" t="n"/>
      <c r="K363" s="10" t="n"/>
      <c r="L363" s="8" t="n"/>
    </row>
    <row r="364" ht="21" customHeight="1">
      <c r="C364" s="14" t="n"/>
      <c r="D364" s="14" t="n"/>
      <c r="E364" s="14" t="n"/>
      <c r="F364" s="14" t="n"/>
      <c r="G364" s="16" t="n"/>
      <c r="H364" s="16" t="n"/>
      <c r="I364" s="16" t="n"/>
      <c r="J364" s="14" t="n"/>
      <c r="K364" s="10" t="n"/>
      <c r="L364" s="8" t="n"/>
    </row>
    <row r="365" ht="21" customHeight="1">
      <c r="C365" s="14" t="n"/>
      <c r="D365" s="14" t="n"/>
      <c r="E365" s="14" t="n"/>
      <c r="F365" s="14" t="n"/>
      <c r="G365" s="16" t="n"/>
      <c r="H365" s="16" t="n"/>
      <c r="I365" s="16" t="n"/>
      <c r="J365" s="14" t="n"/>
      <c r="K365" s="10" t="n"/>
      <c r="L365" s="8" t="n"/>
    </row>
    <row r="366" ht="21" customHeight="1">
      <c r="C366" s="14" t="n"/>
      <c r="D366" s="14" t="n"/>
      <c r="E366" s="14" t="n"/>
      <c r="F366" s="14" t="n"/>
      <c r="G366" s="16" t="n"/>
      <c r="H366" s="16" t="n"/>
      <c r="I366" s="16" t="n"/>
      <c r="J366" s="14" t="n"/>
      <c r="K366" s="10" t="n"/>
      <c r="L366" s="8" t="n"/>
    </row>
    <row r="367" ht="21" customHeight="1">
      <c r="C367" s="14" t="n"/>
      <c r="D367" s="14" t="n"/>
      <c r="E367" s="14" t="n"/>
      <c r="F367" s="14" t="n"/>
      <c r="G367" s="16" t="n"/>
      <c r="H367" s="16" t="n"/>
      <c r="I367" s="16" t="n"/>
      <c r="J367" s="14" t="n"/>
      <c r="K367" s="10" t="n"/>
      <c r="L367" s="8" t="n"/>
    </row>
    <row r="368" ht="21" customHeight="1">
      <c r="C368" s="14" t="n"/>
      <c r="D368" s="14" t="n"/>
      <c r="E368" s="14" t="n"/>
      <c r="F368" s="14" t="n"/>
      <c r="G368" s="16" t="n"/>
      <c r="H368" s="16" t="n"/>
      <c r="I368" s="16" t="n"/>
      <c r="J368" s="14" t="n"/>
      <c r="K368" s="10" t="n"/>
      <c r="L368" s="8" t="n"/>
    </row>
    <row r="369" ht="21" customHeight="1">
      <c r="C369" s="14" t="n"/>
      <c r="D369" s="14" t="n"/>
      <c r="E369" s="14" t="n"/>
      <c r="F369" s="14" t="n"/>
      <c r="G369" s="16" t="n"/>
      <c r="H369" s="16" t="n"/>
      <c r="I369" s="16" t="n"/>
      <c r="J369" s="14" t="n"/>
      <c r="K369" s="10" t="n"/>
      <c r="L369" s="8" t="n"/>
    </row>
    <row r="370" ht="21" customHeight="1">
      <c r="C370" s="14" t="n"/>
      <c r="D370" s="14" t="n"/>
      <c r="E370" s="14" t="n"/>
      <c r="F370" s="14" t="n"/>
      <c r="G370" s="16" t="n"/>
      <c r="H370" s="16" t="n"/>
      <c r="I370" s="16" t="n"/>
      <c r="J370" s="14" t="n"/>
      <c r="K370" s="10" t="n"/>
      <c r="L370" s="8" t="n"/>
    </row>
    <row r="371" ht="21" customHeight="1">
      <c r="C371" s="14" t="n"/>
      <c r="D371" s="14" t="n"/>
      <c r="E371" s="14" t="n"/>
      <c r="F371" s="14" t="n"/>
      <c r="G371" s="16" t="n"/>
      <c r="H371" s="16" t="n"/>
      <c r="I371" s="16" t="n"/>
      <c r="J371" s="14" t="n"/>
      <c r="K371" s="10" t="n"/>
      <c r="L371" s="8" t="n"/>
    </row>
    <row r="372" ht="21" customHeight="1">
      <c r="C372" s="14" t="n"/>
      <c r="D372" s="14" t="n"/>
      <c r="E372" s="14" t="n"/>
      <c r="F372" s="14" t="n"/>
      <c r="G372" s="16" t="n"/>
      <c r="H372" s="16" t="n"/>
      <c r="I372" s="16" t="n"/>
      <c r="J372" s="14" t="n"/>
      <c r="K372" s="10" t="n"/>
      <c r="L372" s="8" t="n"/>
    </row>
    <row r="373" ht="21" customHeight="1">
      <c r="C373" s="14" t="n"/>
      <c r="D373" s="14" t="n"/>
      <c r="E373" s="14" t="n"/>
      <c r="F373" s="14" t="n"/>
      <c r="G373" s="16" t="n"/>
      <c r="H373" s="16" t="n"/>
      <c r="I373" s="16" t="n"/>
      <c r="J373" s="14" t="n"/>
      <c r="K373" s="10" t="n"/>
      <c r="L373" s="8" t="n"/>
    </row>
    <row r="374" ht="21" customHeight="1">
      <c r="C374" s="14" t="n"/>
      <c r="D374" s="14" t="n"/>
      <c r="E374" s="14" t="n"/>
      <c r="F374" s="14" t="n"/>
      <c r="G374" s="16" t="n"/>
      <c r="H374" s="16" t="n"/>
      <c r="I374" s="16" t="n"/>
      <c r="J374" s="14" t="n"/>
      <c r="K374" s="10" t="n"/>
      <c r="L374" s="8" t="n"/>
    </row>
    <row r="375" ht="21" customHeight="1">
      <c r="C375" s="14" t="n"/>
      <c r="D375" s="14" t="n"/>
      <c r="E375" s="14" t="n"/>
      <c r="F375" s="14" t="n"/>
      <c r="G375" s="16" t="n"/>
      <c r="H375" s="16" t="n"/>
      <c r="I375" s="16" t="n"/>
      <c r="J375" s="14" t="n"/>
      <c r="K375" s="10" t="n"/>
      <c r="L375" s="8" t="n"/>
    </row>
    <row r="376" ht="21" customHeight="1">
      <c r="C376" s="14" t="n"/>
      <c r="D376" s="14" t="n"/>
      <c r="E376" s="14" t="n"/>
      <c r="F376" s="14" t="n"/>
      <c r="G376" s="16" t="n"/>
      <c r="H376" s="16" t="n"/>
      <c r="I376" s="16" t="n"/>
      <c r="J376" s="14" t="n"/>
      <c r="K376" s="10" t="n"/>
      <c r="L376" s="8" t="n"/>
    </row>
    <row r="377" ht="21" customHeight="1">
      <c r="C377" s="14" t="n"/>
      <c r="D377" s="14" t="n"/>
      <c r="E377" s="14" t="n"/>
      <c r="F377" s="14" t="n"/>
      <c r="G377" s="16" t="n"/>
      <c r="H377" s="16" t="n"/>
      <c r="I377" s="16" t="n"/>
      <c r="J377" s="14" t="n"/>
      <c r="K377" s="10" t="n"/>
      <c r="L377" s="8" t="n"/>
    </row>
    <row r="378" ht="21" customHeight="1">
      <c r="C378" s="14" t="n"/>
      <c r="D378" s="14" t="n"/>
      <c r="E378" s="14" t="n"/>
      <c r="F378" s="14" t="n"/>
      <c r="G378" s="16" t="n"/>
      <c r="H378" s="16" t="n"/>
      <c r="I378" s="16" t="n"/>
      <c r="J378" s="14" t="n"/>
      <c r="K378" s="10" t="n"/>
      <c r="L378" s="8" t="n"/>
    </row>
    <row r="379" ht="21" customHeight="1">
      <c r="C379" s="14" t="n"/>
      <c r="D379" s="14" t="n"/>
      <c r="E379" s="14" t="n"/>
      <c r="F379" s="14" t="n"/>
      <c r="G379" s="16" t="n"/>
      <c r="H379" s="16" t="n"/>
      <c r="I379" s="16" t="n"/>
      <c r="J379" s="14" t="n"/>
      <c r="K379" s="10" t="n"/>
      <c r="L379" s="8" t="n"/>
    </row>
    <row r="380" ht="21" customHeight="1">
      <c r="C380" s="14" t="n"/>
      <c r="D380" s="14" t="n"/>
      <c r="E380" s="14" t="n"/>
      <c r="F380" s="14" t="n"/>
      <c r="G380" s="16" t="n"/>
      <c r="H380" s="16" t="n"/>
      <c r="I380" s="16" t="n"/>
      <c r="J380" s="14" t="n"/>
      <c r="K380" s="10" t="n"/>
      <c r="L380" s="8" t="n"/>
    </row>
    <row r="381" ht="21" customHeight="1">
      <c r="C381" s="14" t="n"/>
      <c r="D381" s="14" t="n"/>
      <c r="E381" s="14" t="n"/>
      <c r="F381" s="14" t="n"/>
      <c r="G381" s="16" t="n"/>
      <c r="H381" s="16" t="n"/>
      <c r="I381" s="16" t="n"/>
      <c r="J381" s="14" t="n"/>
      <c r="K381" s="10" t="n"/>
      <c r="L381" s="8" t="n"/>
    </row>
    <row r="382" ht="21" customHeight="1">
      <c r="C382" s="14" t="n"/>
      <c r="D382" s="14" t="n"/>
      <c r="E382" s="14" t="n"/>
      <c r="F382" s="14" t="n"/>
      <c r="G382" s="16" t="n"/>
      <c r="H382" s="16" t="n"/>
      <c r="I382" s="16" t="n"/>
      <c r="J382" s="14" t="n"/>
      <c r="K382" s="10" t="n"/>
      <c r="L382" s="8" t="n"/>
    </row>
    <row r="383" ht="21" customHeight="1">
      <c r="C383" s="14" t="n"/>
      <c r="D383" s="14" t="n"/>
      <c r="E383" s="14" t="n"/>
      <c r="F383" s="14" t="n"/>
      <c r="G383" s="16" t="n"/>
      <c r="H383" s="16" t="n"/>
      <c r="I383" s="16" t="n"/>
      <c r="J383" s="14" t="n"/>
      <c r="K383" s="10" t="n"/>
      <c r="L383" s="8" t="n"/>
    </row>
    <row r="384" ht="21" customHeight="1">
      <c r="C384" s="14" t="n"/>
      <c r="D384" s="14" t="n"/>
      <c r="E384" s="14" t="n"/>
      <c r="F384" s="14" t="n"/>
      <c r="G384" s="16" t="n"/>
      <c r="H384" s="16" t="n"/>
      <c r="I384" s="16" t="n"/>
      <c r="J384" s="14" t="n"/>
      <c r="K384" s="10" t="n"/>
      <c r="L384" s="8" t="n"/>
    </row>
    <row r="385" ht="21" customHeight="1">
      <c r="C385" s="14" t="n"/>
      <c r="D385" s="14" t="n"/>
      <c r="E385" s="14" t="n"/>
      <c r="F385" s="14" t="n"/>
      <c r="G385" s="16" t="n"/>
      <c r="H385" s="16" t="n"/>
      <c r="I385" s="16" t="n"/>
      <c r="J385" s="14" t="n"/>
      <c r="K385" s="10" t="n"/>
      <c r="L385" s="8" t="n"/>
    </row>
    <row r="386" ht="21" customHeight="1">
      <c r="C386" s="14" t="n"/>
      <c r="D386" s="14" t="n"/>
      <c r="E386" s="14" t="n"/>
      <c r="F386" s="14" t="n"/>
      <c r="G386" s="16" t="n"/>
      <c r="H386" s="16" t="n"/>
      <c r="I386" s="16" t="n"/>
      <c r="J386" s="14" t="n"/>
      <c r="K386" s="10" t="n"/>
      <c r="L386" s="8" t="n"/>
    </row>
    <row r="387" ht="21" customHeight="1">
      <c r="C387" s="14" t="n"/>
      <c r="D387" s="14" t="n"/>
      <c r="E387" s="14" t="n"/>
      <c r="F387" s="14" t="n"/>
      <c r="G387" s="16" t="n"/>
      <c r="H387" s="16" t="n"/>
      <c r="I387" s="16" t="n"/>
      <c r="J387" s="14" t="n"/>
      <c r="K387" s="10" t="n"/>
      <c r="L387" s="8" t="n"/>
    </row>
    <row r="388" ht="21" customHeight="1">
      <c r="C388" s="14" t="n"/>
      <c r="D388" s="14" t="n"/>
      <c r="E388" s="14" t="n"/>
      <c r="F388" s="14" t="n"/>
      <c r="G388" s="16" t="n"/>
      <c r="H388" s="16" t="n"/>
      <c r="I388" s="16" t="n"/>
      <c r="J388" s="14" t="n"/>
      <c r="K388" s="10" t="n"/>
      <c r="L388" s="8" t="n"/>
    </row>
    <row r="389" ht="21" customHeight="1">
      <c r="C389" s="14" t="n"/>
      <c r="D389" s="14" t="n"/>
      <c r="E389" s="14" t="n"/>
      <c r="F389" s="14" t="n"/>
      <c r="G389" s="16" t="n"/>
      <c r="H389" s="16" t="n"/>
      <c r="I389" s="16" t="n"/>
      <c r="J389" s="14" t="n"/>
      <c r="K389" s="10" t="n"/>
      <c r="L389" s="8" t="n"/>
    </row>
    <row r="390" ht="21" customHeight="1">
      <c r="C390" s="14" t="n"/>
      <c r="D390" s="14" t="n"/>
      <c r="E390" s="14" t="n"/>
      <c r="F390" s="14" t="n"/>
      <c r="G390" s="16" t="n"/>
      <c r="H390" s="16" t="n"/>
      <c r="I390" s="16" t="n"/>
      <c r="J390" s="14" t="n"/>
      <c r="K390" s="10" t="n"/>
      <c r="L390" s="8" t="n"/>
    </row>
    <row r="391" ht="21" customHeight="1">
      <c r="C391" s="14" t="n"/>
      <c r="D391" s="14" t="n"/>
      <c r="E391" s="14" t="n"/>
      <c r="F391" s="14" t="n"/>
      <c r="G391" s="16" t="n"/>
      <c r="H391" s="16" t="n"/>
      <c r="I391" s="16" t="n"/>
      <c r="J391" s="14" t="n"/>
      <c r="K391" s="10" t="n"/>
      <c r="L391" s="8" t="n"/>
    </row>
    <row r="392" ht="21" customHeight="1">
      <c r="C392" s="14" t="n"/>
      <c r="D392" s="14" t="n"/>
      <c r="E392" s="14" t="n"/>
      <c r="F392" s="14" t="n"/>
      <c r="G392" s="16" t="n"/>
      <c r="H392" s="16" t="n"/>
      <c r="I392" s="16" t="n"/>
      <c r="J392" s="14" t="n"/>
      <c r="K392" s="10" t="n"/>
      <c r="L392" s="8" t="n"/>
    </row>
    <row r="393" ht="21" customHeight="1">
      <c r="C393" s="14" t="n"/>
      <c r="D393" s="14" t="n"/>
      <c r="E393" s="14" t="n"/>
      <c r="F393" s="14" t="n"/>
      <c r="G393" s="16" t="n"/>
      <c r="H393" s="16" t="n"/>
      <c r="I393" s="16" t="n"/>
      <c r="J393" s="14" t="n"/>
      <c r="K393" s="10" t="n"/>
      <c r="L393" s="8" t="n"/>
    </row>
    <row r="394" ht="21" customHeight="1">
      <c r="C394" s="14" t="n"/>
      <c r="D394" s="14" t="n"/>
      <c r="E394" s="14" t="n"/>
      <c r="F394" s="14" t="n"/>
      <c r="G394" s="16" t="n"/>
      <c r="H394" s="16" t="n"/>
      <c r="I394" s="16" t="n"/>
      <c r="J394" s="14" t="n"/>
      <c r="K394" s="10" t="n"/>
      <c r="L394" s="8" t="n"/>
    </row>
    <row r="395" ht="21" customHeight="1">
      <c r="C395" s="14" t="n"/>
      <c r="D395" s="14" t="n"/>
      <c r="E395" s="14" t="n"/>
      <c r="F395" s="14" t="n"/>
      <c r="G395" s="16" t="n"/>
      <c r="H395" s="16" t="n"/>
      <c r="I395" s="16" t="n"/>
      <c r="J395" s="14" t="n"/>
      <c r="K395" s="10" t="n"/>
      <c r="L395" s="8" t="n"/>
    </row>
    <row r="396" ht="21" customHeight="1">
      <c r="C396" s="14" t="n"/>
      <c r="D396" s="14" t="n"/>
      <c r="E396" s="14" t="n"/>
      <c r="F396" s="14" t="n"/>
      <c r="G396" s="16" t="n"/>
      <c r="H396" s="16" t="n"/>
      <c r="I396" s="16" t="n"/>
      <c r="J396" s="14" t="n"/>
      <c r="K396" s="10" t="n"/>
      <c r="L396" s="8" t="n"/>
    </row>
    <row r="397" ht="21" customHeight="1">
      <c r="C397" s="14" t="n"/>
      <c r="D397" s="14" t="n"/>
      <c r="E397" s="14" t="n"/>
      <c r="F397" s="14" t="n"/>
      <c r="G397" s="16" t="n"/>
      <c r="H397" s="16" t="n"/>
      <c r="I397" s="16" t="n"/>
      <c r="J397" s="14" t="n"/>
      <c r="K397" s="10" t="n"/>
      <c r="L397" s="8" t="n"/>
    </row>
    <row r="398" ht="21" customHeight="1">
      <c r="C398" s="14" t="n"/>
      <c r="D398" s="14" t="n"/>
      <c r="E398" s="14" t="n"/>
      <c r="F398" s="14" t="n"/>
      <c r="G398" s="16" t="n"/>
      <c r="H398" s="16" t="n"/>
      <c r="I398" s="16" t="n"/>
      <c r="J398" s="14" t="n"/>
      <c r="K398" s="10" t="n"/>
      <c r="L398" s="8" t="n"/>
    </row>
    <row r="399" ht="21" customHeight="1">
      <c r="C399" s="14" t="n"/>
      <c r="D399" s="14" t="n"/>
      <c r="E399" s="14" t="n"/>
      <c r="F399" s="14" t="n"/>
      <c r="G399" s="16" t="n"/>
      <c r="H399" s="16" t="n"/>
      <c r="I399" s="16" t="n"/>
      <c r="J399" s="14" t="n"/>
      <c r="K399" s="10" t="n"/>
      <c r="L399" s="8" t="n"/>
    </row>
    <row r="400" ht="21" customHeight="1">
      <c r="C400" s="14" t="n"/>
      <c r="D400" s="14" t="n"/>
      <c r="E400" s="14" t="n"/>
      <c r="F400" s="14" t="n"/>
      <c r="G400" s="16" t="n"/>
      <c r="H400" s="16" t="n"/>
      <c r="I400" s="16" t="n"/>
      <c r="J400" s="14" t="n"/>
      <c r="K400" s="10" t="n"/>
      <c r="L400" s="8" t="n"/>
    </row>
    <row r="401" ht="21" customHeight="1">
      <c r="C401" s="14" t="n"/>
      <c r="D401" s="14" t="n"/>
      <c r="E401" s="14" t="n"/>
      <c r="F401" s="14" t="n"/>
      <c r="G401" s="16" t="n"/>
      <c r="H401" s="16" t="n"/>
      <c r="I401" s="16" t="n"/>
      <c r="J401" s="14" t="n"/>
      <c r="K401" s="10" t="n"/>
      <c r="L401" s="8" t="n"/>
    </row>
    <row r="402" ht="21" customHeight="1">
      <c r="C402" s="14" t="n"/>
      <c r="D402" s="14" t="n"/>
      <c r="E402" s="14" t="n"/>
      <c r="F402" s="14" t="n"/>
      <c r="G402" s="16" t="n"/>
      <c r="H402" s="16" t="n"/>
      <c r="I402" s="16" t="n"/>
      <c r="J402" s="14" t="n"/>
      <c r="K402" s="10" t="n"/>
      <c r="L402" s="8" t="n"/>
    </row>
    <row r="403" ht="21" customHeight="1">
      <c r="C403" s="14" t="n"/>
      <c r="D403" s="14" t="n"/>
      <c r="E403" s="14" t="n"/>
      <c r="F403" s="14" t="n"/>
      <c r="G403" s="16" t="n"/>
      <c r="H403" s="16" t="n"/>
      <c r="I403" s="16" t="n"/>
      <c r="J403" s="14" t="n"/>
      <c r="K403" s="10" t="n"/>
      <c r="L403" s="8" t="n"/>
    </row>
    <row r="404" ht="21" customHeight="1">
      <c r="C404" s="14" t="n"/>
      <c r="D404" s="14" t="n"/>
      <c r="E404" s="14" t="n"/>
      <c r="F404" s="14" t="n"/>
      <c r="G404" s="16" t="n"/>
      <c r="H404" s="16" t="n"/>
      <c r="I404" s="16" t="n"/>
      <c r="J404" s="14" t="n"/>
      <c r="K404" s="10" t="n"/>
      <c r="L404" s="8" t="n"/>
    </row>
    <row r="405" ht="21" customHeight="1">
      <c r="C405" s="14" t="n"/>
      <c r="D405" s="14" t="n"/>
      <c r="E405" s="14" t="n"/>
      <c r="F405" s="14" t="n"/>
      <c r="G405" s="16" t="n"/>
      <c r="H405" s="16" t="n"/>
      <c r="I405" s="16" t="n"/>
      <c r="J405" s="14" t="n"/>
      <c r="K405" s="10" t="n"/>
      <c r="L405" s="8" t="n"/>
    </row>
    <row r="406" ht="21" customHeight="1">
      <c r="C406" s="14" t="n"/>
      <c r="D406" s="14" t="n"/>
      <c r="E406" s="14" t="n"/>
      <c r="F406" s="14" t="n"/>
      <c r="G406" s="16" t="n"/>
      <c r="H406" s="16" t="n"/>
      <c r="I406" s="16" t="n"/>
      <c r="J406" s="14" t="n"/>
      <c r="K406" s="10" t="n"/>
      <c r="L406" s="8" t="n"/>
    </row>
    <row r="407" ht="21" customHeight="1">
      <c r="C407" s="14" t="n"/>
      <c r="D407" s="14" t="n"/>
      <c r="E407" s="14" t="n"/>
      <c r="F407" s="14" t="n"/>
      <c r="G407" s="16" t="n"/>
      <c r="H407" s="16" t="n"/>
      <c r="I407" s="16" t="n"/>
      <c r="J407" s="14" t="n"/>
      <c r="K407" s="10" t="n"/>
      <c r="L407" s="8" t="n"/>
    </row>
    <row r="408" ht="21" customHeight="1">
      <c r="C408" s="14" t="n"/>
      <c r="D408" s="14" t="n"/>
      <c r="E408" s="14" t="n"/>
      <c r="F408" s="14" t="n"/>
      <c r="G408" s="16" t="n"/>
      <c r="H408" s="16" t="n"/>
      <c r="I408" s="16" t="n"/>
      <c r="J408" s="14" t="n"/>
      <c r="K408" s="10" t="n"/>
      <c r="L408" s="8" t="n"/>
    </row>
    <row r="409" ht="21" customHeight="1">
      <c r="C409" s="14" t="n"/>
      <c r="D409" s="14" t="n"/>
      <c r="E409" s="14" t="n"/>
      <c r="F409" s="14" t="n"/>
      <c r="G409" s="16" t="n"/>
      <c r="H409" s="16" t="n"/>
      <c r="I409" s="16" t="n"/>
      <c r="J409" s="14" t="n"/>
      <c r="K409" s="10" t="n"/>
      <c r="L409" s="8" t="n"/>
    </row>
    <row r="410" ht="21" customHeight="1">
      <c r="C410" s="14" t="n"/>
      <c r="D410" s="14" t="n"/>
      <c r="E410" s="14" t="n"/>
      <c r="F410" s="14" t="n"/>
      <c r="G410" s="16" t="n"/>
      <c r="H410" s="16" t="n"/>
      <c r="I410" s="16" t="n"/>
      <c r="J410" s="14" t="n"/>
      <c r="K410" s="10" t="n"/>
      <c r="L410" s="8" t="n"/>
    </row>
    <row r="411" ht="21" customHeight="1">
      <c r="C411" s="14" t="n"/>
      <c r="D411" s="14" t="n"/>
      <c r="E411" s="14" t="n"/>
      <c r="F411" s="14" t="n"/>
      <c r="G411" s="16" t="n"/>
      <c r="H411" s="16" t="n"/>
      <c r="I411" s="16" t="n"/>
      <c r="J411" s="14" t="n"/>
      <c r="K411" s="10" t="n"/>
      <c r="L411" s="8" t="n"/>
    </row>
    <row r="412" ht="21" customHeight="1">
      <c r="C412" s="14" t="n"/>
      <c r="D412" s="14" t="n"/>
      <c r="E412" s="14" t="n"/>
      <c r="F412" s="14" t="n"/>
      <c r="G412" s="16" t="n"/>
      <c r="H412" s="16" t="n"/>
      <c r="I412" s="16" t="n"/>
      <c r="J412" s="14" t="n"/>
      <c r="K412" s="10" t="n"/>
      <c r="L412" s="8" t="n"/>
    </row>
    <row r="413" ht="21" customHeight="1">
      <c r="C413" s="14" t="n"/>
      <c r="D413" s="14" t="n"/>
      <c r="E413" s="14" t="n"/>
      <c r="F413" s="14" t="n"/>
      <c r="G413" s="16" t="n"/>
      <c r="H413" s="16" t="n"/>
      <c r="I413" s="16" t="n"/>
      <c r="J413" s="14" t="n"/>
      <c r="K413" s="10" t="n"/>
      <c r="L413" s="8" t="n"/>
    </row>
    <row r="414" ht="21" customHeight="1">
      <c r="C414" s="14" t="n"/>
      <c r="D414" s="14" t="n"/>
      <c r="E414" s="14" t="n"/>
      <c r="F414" s="14" t="n"/>
      <c r="G414" s="16" t="n"/>
      <c r="H414" s="16" t="n"/>
      <c r="I414" s="16" t="n"/>
      <c r="J414" s="14" t="n"/>
      <c r="K414" s="10" t="n"/>
      <c r="L414" s="8" t="n"/>
    </row>
    <row r="415" ht="21" customHeight="1">
      <c r="C415" s="14" t="n"/>
      <c r="D415" s="14" t="n"/>
      <c r="E415" s="14" t="n"/>
      <c r="F415" s="14" t="n"/>
      <c r="G415" s="16" t="n"/>
      <c r="H415" s="16" t="n"/>
      <c r="I415" s="16" t="n"/>
      <c r="J415" s="14" t="n"/>
      <c r="K415" s="10" t="n"/>
      <c r="L415" s="8" t="n"/>
    </row>
    <row r="416" ht="21" customHeight="1">
      <c r="C416" s="14" t="n"/>
      <c r="D416" s="14" t="n"/>
      <c r="E416" s="14" t="n"/>
      <c r="F416" s="14" t="n"/>
      <c r="G416" s="16" t="n"/>
      <c r="H416" s="16" t="n"/>
      <c r="I416" s="16" t="n"/>
      <c r="J416" s="14" t="n"/>
      <c r="K416" s="10" t="n"/>
      <c r="L416" s="8" t="n"/>
    </row>
    <row r="417" ht="21" customHeight="1">
      <c r="C417" s="14" t="n"/>
      <c r="D417" s="14" t="n"/>
      <c r="E417" s="14" t="n"/>
      <c r="F417" s="14" t="n"/>
      <c r="G417" s="16" t="n"/>
      <c r="H417" s="16" t="n"/>
      <c r="I417" s="16" t="n"/>
      <c r="J417" s="14" t="n"/>
      <c r="K417" s="10" t="n"/>
      <c r="L417" s="8" t="n"/>
    </row>
    <row r="418" ht="21" customHeight="1">
      <c r="C418" s="14" t="n"/>
      <c r="D418" s="14" t="n"/>
      <c r="E418" s="14" t="n"/>
      <c r="F418" s="14" t="n"/>
      <c r="G418" s="16" t="n"/>
      <c r="H418" s="16" t="n"/>
      <c r="I418" s="16" t="n"/>
      <c r="J418" s="14" t="n"/>
      <c r="K418" s="10" t="n"/>
      <c r="L418" s="8" t="n"/>
    </row>
    <row r="419" ht="21" customHeight="1">
      <c r="C419" s="14" t="n"/>
      <c r="D419" s="14" t="n"/>
      <c r="E419" s="14" t="n"/>
      <c r="F419" s="14" t="n"/>
      <c r="G419" s="16" t="n"/>
      <c r="H419" s="16" t="n"/>
      <c r="I419" s="16" t="n"/>
      <c r="J419" s="14" t="n"/>
      <c r="K419" s="10" t="n"/>
      <c r="L419" s="8" t="n"/>
    </row>
    <row r="420" ht="21" customHeight="1">
      <c r="C420" s="14" t="n"/>
      <c r="D420" s="14" t="n"/>
      <c r="E420" s="14" t="n"/>
      <c r="F420" s="14" t="n"/>
      <c r="G420" s="16" t="n"/>
      <c r="H420" s="16" t="n"/>
      <c r="I420" s="16" t="n"/>
      <c r="J420" s="14" t="n"/>
      <c r="K420" s="10" t="n"/>
      <c r="L420" s="8" t="n"/>
    </row>
    <row r="421" ht="21" customHeight="1">
      <c r="C421" s="14" t="n"/>
      <c r="D421" s="14" t="n"/>
      <c r="E421" s="14" t="n"/>
      <c r="F421" s="14" t="n"/>
      <c r="G421" s="16" t="n"/>
      <c r="H421" s="16" t="n"/>
      <c r="I421" s="16" t="n"/>
      <c r="J421" s="14" t="n"/>
      <c r="K421" s="10" t="n"/>
      <c r="L421" s="8" t="n"/>
    </row>
    <row r="422" ht="21" customHeight="1">
      <c r="C422" s="14" t="n"/>
      <c r="D422" s="14" t="n"/>
      <c r="E422" s="14" t="n"/>
      <c r="F422" s="14" t="n"/>
      <c r="G422" s="16" t="n"/>
      <c r="H422" s="16" t="n"/>
      <c r="I422" s="16" t="n"/>
      <c r="J422" s="14" t="n"/>
      <c r="K422" s="10" t="n"/>
      <c r="L422" s="8" t="n"/>
    </row>
    <row r="423" ht="21" customHeight="1">
      <c r="C423" s="14" t="n"/>
      <c r="D423" s="14" t="n"/>
      <c r="E423" s="14" t="n"/>
      <c r="F423" s="14" t="n"/>
      <c r="G423" s="16" t="n"/>
      <c r="H423" s="16" t="n"/>
      <c r="I423" s="16" t="n"/>
      <c r="J423" s="14" t="n"/>
      <c r="K423" s="10" t="n"/>
      <c r="L423" s="8" t="n"/>
    </row>
    <row r="424" ht="21" customHeight="1">
      <c r="C424" s="14" t="n"/>
      <c r="D424" s="14" t="n"/>
      <c r="E424" s="14" t="n"/>
      <c r="F424" s="14" t="n"/>
      <c r="G424" s="16" t="n"/>
      <c r="H424" s="16" t="n"/>
      <c r="I424" s="16" t="n"/>
      <c r="J424" s="14" t="n"/>
      <c r="K424" s="10" t="n"/>
      <c r="L424" s="8" t="n"/>
    </row>
    <row r="425" ht="21" customHeight="1">
      <c r="C425" s="14" t="n"/>
      <c r="D425" s="14" t="n"/>
      <c r="E425" s="14" t="n"/>
      <c r="F425" s="14" t="n"/>
      <c r="G425" s="16" t="n"/>
      <c r="H425" s="16" t="n"/>
      <c r="I425" s="16" t="n"/>
      <c r="J425" s="14" t="n"/>
      <c r="K425" s="10" t="n"/>
      <c r="L425" s="8" t="n"/>
    </row>
    <row r="426" ht="21" customHeight="1">
      <c r="C426" s="14" t="n"/>
      <c r="D426" s="14" t="n"/>
      <c r="E426" s="14" t="n"/>
      <c r="F426" s="14" t="n"/>
      <c r="G426" s="16" t="n"/>
      <c r="H426" s="16" t="n"/>
      <c r="I426" s="16" t="n"/>
      <c r="J426" s="14" t="n"/>
      <c r="K426" s="10" t="n"/>
      <c r="L426" s="8" t="n"/>
    </row>
    <row r="427" ht="21" customHeight="1">
      <c r="C427" s="14" t="n"/>
      <c r="D427" s="14" t="n"/>
      <c r="E427" s="14" t="n"/>
      <c r="F427" s="14" t="n"/>
      <c r="G427" s="16" t="n"/>
      <c r="H427" s="16" t="n"/>
      <c r="I427" s="16" t="n"/>
      <c r="J427" s="14" t="n"/>
      <c r="K427" s="10" t="n"/>
      <c r="L427" s="8" t="n"/>
    </row>
    <row r="428" ht="21" customHeight="1">
      <c r="C428" s="14" t="n"/>
      <c r="D428" s="14" t="n"/>
      <c r="E428" s="14" t="n"/>
      <c r="F428" s="14" t="n"/>
      <c r="G428" s="16" t="n"/>
      <c r="H428" s="16" t="n"/>
      <c r="I428" s="16" t="n"/>
      <c r="J428" s="14" t="n"/>
      <c r="K428" s="10" t="n"/>
      <c r="L428" s="8" t="n"/>
    </row>
    <row r="429" ht="21" customHeight="1">
      <c r="C429" s="14" t="n"/>
      <c r="D429" s="14" t="n"/>
      <c r="E429" s="14" t="n"/>
      <c r="F429" s="14" t="n"/>
      <c r="G429" s="16" t="n"/>
      <c r="H429" s="16" t="n"/>
      <c r="I429" s="16" t="n"/>
      <c r="J429" s="14" t="n"/>
      <c r="K429" s="10" t="n"/>
      <c r="L429" s="8" t="n"/>
    </row>
    <row r="430" ht="21" customHeight="1">
      <c r="C430" s="14" t="n"/>
      <c r="D430" s="14" t="n"/>
      <c r="E430" s="14" t="n"/>
      <c r="F430" s="14" t="n"/>
      <c r="G430" s="16" t="n"/>
      <c r="H430" s="16" t="n"/>
      <c r="I430" s="16" t="n"/>
      <c r="J430" s="14" t="n"/>
      <c r="K430" s="10" t="n"/>
      <c r="L430" s="8" t="n"/>
    </row>
    <row r="431" ht="21" customHeight="1">
      <c r="C431" s="14" t="n"/>
      <c r="D431" s="14" t="n"/>
      <c r="E431" s="14" t="n"/>
      <c r="F431" s="14" t="n"/>
      <c r="G431" s="16" t="n"/>
      <c r="H431" s="16" t="n"/>
      <c r="I431" s="16" t="n"/>
      <c r="J431" s="14" t="n"/>
      <c r="K431" s="10" t="n"/>
      <c r="L431" s="8" t="n"/>
    </row>
    <row r="432" ht="21" customHeight="1">
      <c r="C432" s="14" t="n"/>
      <c r="D432" s="14" t="n"/>
      <c r="E432" s="14" t="n"/>
      <c r="F432" s="14" t="n"/>
      <c r="G432" s="16" t="n"/>
      <c r="H432" s="16" t="n"/>
      <c r="I432" s="16" t="n"/>
      <c r="J432" s="14" t="n"/>
      <c r="K432" s="10" t="n"/>
      <c r="L432" s="8" t="n"/>
    </row>
    <row r="433" ht="21" customHeight="1">
      <c r="C433" s="14" t="n"/>
      <c r="D433" s="14" t="n"/>
      <c r="E433" s="14" t="n"/>
      <c r="F433" s="14" t="n"/>
      <c r="G433" s="16" t="n"/>
      <c r="H433" s="16" t="n"/>
      <c r="I433" s="16" t="n"/>
      <c r="J433" s="14" t="n"/>
      <c r="K433" s="10" t="n"/>
      <c r="L433" s="8" t="n"/>
    </row>
    <row r="434" ht="21" customHeight="1">
      <c r="C434" s="14" t="n"/>
      <c r="D434" s="14" t="n"/>
      <c r="E434" s="14" t="n"/>
      <c r="F434" s="14" t="n"/>
      <c r="G434" s="16" t="n"/>
      <c r="H434" s="16" t="n"/>
      <c r="I434" s="16" t="n"/>
      <c r="J434" s="14" t="n"/>
      <c r="K434" s="10" t="n"/>
      <c r="L434" s="8" t="n"/>
    </row>
    <row r="435" ht="21" customHeight="1">
      <c r="C435" s="14" t="n"/>
      <c r="D435" s="14" t="n"/>
      <c r="E435" s="14" t="n"/>
      <c r="F435" s="14" t="n"/>
      <c r="G435" s="16" t="n"/>
      <c r="H435" s="16" t="n"/>
      <c r="I435" s="16" t="n"/>
      <c r="J435" s="14" t="n"/>
      <c r="K435" s="10" t="n"/>
      <c r="L435" s="8" t="n"/>
    </row>
    <row r="436" ht="21" customHeight="1">
      <c r="C436" s="14" t="n"/>
      <c r="D436" s="14" t="n"/>
      <c r="E436" s="14" t="n"/>
      <c r="F436" s="14" t="n"/>
      <c r="G436" s="16" t="n"/>
      <c r="H436" s="16" t="n"/>
      <c r="I436" s="16" t="n"/>
      <c r="J436" s="14" t="n"/>
      <c r="K436" s="10" t="n"/>
      <c r="L436" s="8" t="n"/>
    </row>
    <row r="437" ht="21" customHeight="1">
      <c r="C437" s="14" t="n"/>
      <c r="D437" s="14" t="n"/>
      <c r="E437" s="14" t="n"/>
      <c r="F437" s="14" t="n"/>
      <c r="G437" s="16" t="n"/>
      <c r="H437" s="16" t="n"/>
      <c r="I437" s="16" t="n"/>
      <c r="J437" s="14" t="n"/>
      <c r="K437" s="10" t="n"/>
      <c r="L437" s="8" t="n"/>
    </row>
    <row r="438" ht="21" customHeight="1">
      <c r="C438" s="14" t="n"/>
      <c r="D438" s="14" t="n"/>
      <c r="E438" s="14" t="n"/>
      <c r="F438" s="14" t="n"/>
      <c r="G438" s="16" t="n"/>
      <c r="H438" s="16" t="n"/>
      <c r="I438" s="16" t="n"/>
      <c r="J438" s="14" t="n"/>
      <c r="K438" s="10" t="n"/>
      <c r="L438" s="8" t="n"/>
    </row>
    <row r="439" ht="21" customHeight="1">
      <c r="C439" s="14" t="n"/>
      <c r="D439" s="14" t="n"/>
      <c r="E439" s="14" t="n"/>
      <c r="F439" s="14" t="n"/>
      <c r="G439" s="16" t="n"/>
      <c r="H439" s="16" t="n"/>
      <c r="I439" s="16" t="n"/>
      <c r="J439" s="14" t="n"/>
      <c r="K439" s="10" t="n"/>
      <c r="L439" s="8" t="n"/>
    </row>
    <row r="440" ht="21" customHeight="1">
      <c r="C440" s="14" t="n"/>
      <c r="D440" s="14" t="n"/>
      <c r="E440" s="14" t="n"/>
      <c r="F440" s="14" t="n"/>
      <c r="G440" s="16" t="n"/>
      <c r="H440" s="16" t="n"/>
      <c r="I440" s="16" t="n"/>
      <c r="J440" s="14" t="n"/>
      <c r="K440" s="10" t="n"/>
      <c r="L440" s="8" t="n"/>
    </row>
    <row r="441" ht="21" customHeight="1">
      <c r="C441" s="14" t="n"/>
      <c r="D441" s="14" t="n"/>
      <c r="E441" s="14" t="n"/>
      <c r="F441" s="14" t="n"/>
      <c r="G441" s="16" t="n"/>
      <c r="H441" s="16" t="n"/>
      <c r="I441" s="16" t="n"/>
      <c r="J441" s="14" t="n"/>
      <c r="K441" s="10" t="n"/>
      <c r="L441" s="8" t="n"/>
    </row>
    <row r="442" ht="21" customHeight="1">
      <c r="C442" s="14" t="n"/>
      <c r="D442" s="14" t="n"/>
      <c r="E442" s="14" t="n"/>
      <c r="F442" s="14" t="n"/>
      <c r="G442" s="16" t="n"/>
      <c r="H442" s="16" t="n"/>
      <c r="I442" s="16" t="n"/>
      <c r="J442" s="14" t="n"/>
      <c r="K442" s="10" t="n"/>
      <c r="L442" s="8" t="n"/>
    </row>
    <row r="443" ht="21" customHeight="1">
      <c r="C443" s="14" t="n"/>
      <c r="D443" s="14" t="n"/>
      <c r="E443" s="14" t="n"/>
      <c r="F443" s="14" t="n"/>
      <c r="G443" s="16" t="n"/>
      <c r="H443" s="16" t="n"/>
      <c r="I443" s="16" t="n"/>
      <c r="J443" s="14" t="n"/>
      <c r="K443" s="10" t="n"/>
      <c r="L443" s="8" t="n"/>
    </row>
    <row r="444" ht="21" customHeight="1">
      <c r="C444" s="14" t="n"/>
      <c r="D444" s="14" t="n"/>
      <c r="E444" s="14" t="n"/>
      <c r="F444" s="14" t="n"/>
      <c r="G444" s="16" t="n"/>
      <c r="H444" s="16" t="n"/>
      <c r="I444" s="16" t="n"/>
      <c r="J444" s="14" t="n"/>
      <c r="K444" s="10" t="n"/>
      <c r="L444" s="8" t="n"/>
    </row>
    <row r="445" ht="21" customHeight="1">
      <c r="C445" s="14" t="n"/>
      <c r="D445" s="14" t="n"/>
      <c r="E445" s="14" t="n"/>
      <c r="F445" s="14" t="n"/>
      <c r="G445" s="16" t="n"/>
      <c r="H445" s="16" t="n"/>
      <c r="I445" s="16" t="n"/>
      <c r="J445" s="14" t="n"/>
      <c r="K445" s="10" t="n"/>
      <c r="L445" s="8" t="n"/>
    </row>
    <row r="446" ht="21" customHeight="1">
      <c r="C446" s="14" t="n"/>
      <c r="D446" s="14" t="n"/>
      <c r="E446" s="14" t="n"/>
      <c r="F446" s="14" t="n"/>
      <c r="G446" s="16" t="n"/>
      <c r="H446" s="16" t="n"/>
      <c r="I446" s="16" t="n"/>
      <c r="J446" s="14" t="n"/>
      <c r="K446" s="10" t="n"/>
      <c r="L446" s="8" t="n"/>
    </row>
    <row r="447" ht="21" customHeight="1">
      <c r="C447" s="14" t="n"/>
      <c r="D447" s="14" t="n"/>
      <c r="E447" s="14" t="n"/>
      <c r="F447" s="14" t="n"/>
      <c r="G447" s="16" t="n"/>
      <c r="H447" s="16" t="n"/>
      <c r="I447" s="16" t="n"/>
      <c r="J447" s="14" t="n"/>
      <c r="K447" s="10" t="n"/>
      <c r="L447" s="8" t="n"/>
    </row>
    <row r="448" ht="21" customHeight="1">
      <c r="C448" s="14" t="n"/>
      <c r="D448" s="14" t="n"/>
      <c r="E448" s="14" t="n"/>
      <c r="F448" s="14" t="n"/>
      <c r="G448" s="16" t="n"/>
      <c r="H448" s="16" t="n"/>
      <c r="I448" s="16" t="n"/>
      <c r="J448" s="14" t="n"/>
      <c r="K448" s="10" t="n"/>
      <c r="L448" s="8" t="n"/>
    </row>
    <row r="449" ht="21" customHeight="1">
      <c r="C449" s="14" t="n"/>
      <c r="D449" s="14" t="n"/>
      <c r="E449" s="14" t="n"/>
      <c r="F449" s="14" t="n"/>
      <c r="G449" s="16" t="n"/>
      <c r="H449" s="16" t="n"/>
      <c r="I449" s="16" t="n"/>
      <c r="J449" s="14" t="n"/>
      <c r="K449" s="10" t="n"/>
      <c r="L449" s="8" t="n"/>
    </row>
    <row r="450" ht="21" customHeight="1">
      <c r="C450" s="14" t="n"/>
      <c r="D450" s="14" t="n"/>
      <c r="E450" s="14" t="n"/>
      <c r="F450" s="14" t="n"/>
      <c r="G450" s="16" t="n"/>
      <c r="H450" s="16" t="n"/>
      <c r="I450" s="16" t="n"/>
      <c r="J450" s="14" t="n"/>
      <c r="K450" s="10" t="n"/>
      <c r="L450" s="8" t="n"/>
    </row>
    <row r="451" ht="21" customHeight="1">
      <c r="C451" s="14" t="n"/>
      <c r="D451" s="14" t="n"/>
      <c r="E451" s="14" t="n"/>
      <c r="F451" s="14" t="n"/>
      <c r="G451" s="16" t="n"/>
      <c r="H451" s="16" t="n"/>
      <c r="I451" s="16" t="n"/>
      <c r="J451" s="14" t="n"/>
      <c r="K451" s="10" t="n"/>
      <c r="L451" s="8" t="n"/>
    </row>
    <row r="452" ht="21" customHeight="1">
      <c r="C452" s="14" t="n"/>
      <c r="D452" s="14" t="n"/>
      <c r="E452" s="14" t="n"/>
      <c r="F452" s="14" t="n"/>
      <c r="G452" s="16" t="n"/>
      <c r="H452" s="16" t="n"/>
      <c r="I452" s="16" t="n"/>
      <c r="J452" s="14" t="n"/>
      <c r="K452" s="10" t="n"/>
      <c r="L452" s="8" t="n"/>
    </row>
    <row r="453" ht="21" customHeight="1">
      <c r="C453" s="14" t="n"/>
      <c r="D453" s="14" t="n"/>
      <c r="E453" s="14" t="n"/>
      <c r="F453" s="14" t="n"/>
      <c r="G453" s="16" t="n"/>
      <c r="H453" s="16" t="n"/>
      <c r="I453" s="16" t="n"/>
      <c r="J453" s="14" t="n"/>
      <c r="K453" s="10" t="n"/>
      <c r="L453" s="8" t="n"/>
    </row>
    <row r="454" ht="21" customHeight="1">
      <c r="C454" s="14" t="n"/>
      <c r="D454" s="14" t="n"/>
      <c r="E454" s="14" t="n"/>
      <c r="F454" s="14" t="n"/>
      <c r="G454" s="16" t="n"/>
      <c r="H454" s="16" t="n"/>
      <c r="I454" s="16" t="n"/>
      <c r="J454" s="14" t="n"/>
      <c r="K454" s="10" t="n"/>
      <c r="L454" s="8" t="n"/>
    </row>
    <row r="455" ht="21" customHeight="1">
      <c r="C455" s="14" t="n"/>
      <c r="D455" s="14" t="n"/>
      <c r="E455" s="14" t="n"/>
      <c r="F455" s="14" t="n"/>
      <c r="G455" s="16" t="n"/>
      <c r="H455" s="16" t="n"/>
      <c r="I455" s="16" t="n"/>
      <c r="J455" s="14" t="n"/>
      <c r="K455" s="10" t="n"/>
      <c r="L455" s="8" t="n"/>
    </row>
    <row r="456" ht="21" customHeight="1">
      <c r="C456" s="14" t="n"/>
      <c r="D456" s="14" t="n"/>
      <c r="E456" s="14" t="n"/>
      <c r="F456" s="14" t="n"/>
      <c r="G456" s="16" t="n"/>
      <c r="H456" s="16" t="n"/>
      <c r="I456" s="16" t="n"/>
      <c r="J456" s="14" t="n"/>
      <c r="K456" s="10" t="n"/>
      <c r="L456" s="8" t="n"/>
    </row>
    <row r="457" ht="21" customHeight="1">
      <c r="C457" s="14" t="n"/>
      <c r="D457" s="14" t="n"/>
      <c r="E457" s="14" t="n"/>
      <c r="F457" s="14" t="n"/>
      <c r="G457" s="16" t="n"/>
      <c r="H457" s="16" t="n"/>
      <c r="I457" s="16" t="n"/>
      <c r="J457" s="14" t="n"/>
      <c r="K457" s="10" t="n"/>
      <c r="L457" s="8" t="n"/>
    </row>
    <row r="458" ht="21" customHeight="1">
      <c r="C458" s="14" t="n"/>
      <c r="D458" s="14" t="n"/>
      <c r="E458" s="14" t="n"/>
      <c r="F458" s="14" t="n"/>
      <c r="G458" s="16" t="n"/>
      <c r="H458" s="16" t="n"/>
      <c r="I458" s="16" t="n"/>
      <c r="J458" s="14" t="n"/>
      <c r="K458" s="10" t="n"/>
      <c r="L458" s="8" t="n"/>
    </row>
    <row r="459" ht="21" customHeight="1">
      <c r="C459" s="14" t="n"/>
      <c r="D459" s="14" t="n"/>
      <c r="E459" s="14" t="n"/>
      <c r="F459" s="14" t="n"/>
      <c r="G459" s="16" t="n"/>
      <c r="H459" s="16" t="n"/>
      <c r="I459" s="16" t="n"/>
      <c r="J459" s="14" t="n"/>
      <c r="K459" s="10" t="n"/>
      <c r="L459" s="8" t="n"/>
    </row>
    <row r="460" ht="21" customHeight="1">
      <c r="C460" s="14" t="n"/>
      <c r="D460" s="14" t="n"/>
      <c r="E460" s="14" t="n"/>
      <c r="F460" s="14" t="n"/>
      <c r="G460" s="16" t="n"/>
      <c r="H460" s="16" t="n"/>
      <c r="I460" s="16" t="n"/>
      <c r="J460" s="14" t="n"/>
      <c r="K460" s="10" t="n"/>
      <c r="L460" s="8" t="n"/>
    </row>
    <row r="461" ht="21" customHeight="1">
      <c r="C461" s="14" t="n"/>
      <c r="D461" s="14" t="n"/>
      <c r="E461" s="14" t="n"/>
      <c r="F461" s="14" t="n"/>
      <c r="G461" s="16" t="n"/>
      <c r="H461" s="16" t="n"/>
      <c r="I461" s="16" t="n"/>
      <c r="J461" s="14" t="n"/>
      <c r="K461" s="10" t="n"/>
      <c r="L461" s="8" t="n"/>
    </row>
    <row r="462" ht="21" customHeight="1">
      <c r="C462" s="14" t="n"/>
      <c r="D462" s="14" t="n"/>
      <c r="E462" s="14" t="n"/>
      <c r="F462" s="14" t="n"/>
      <c r="G462" s="16" t="n"/>
      <c r="H462" s="16" t="n"/>
      <c r="I462" s="16" t="n"/>
      <c r="J462" s="14" t="n"/>
      <c r="K462" s="10" t="n"/>
      <c r="L462" s="8" t="n"/>
    </row>
    <row r="463" ht="21" customHeight="1">
      <c r="C463" s="14" t="n"/>
      <c r="D463" s="14" t="n"/>
      <c r="E463" s="14" t="n"/>
      <c r="F463" s="14" t="n"/>
      <c r="G463" s="16" t="n"/>
      <c r="H463" s="16" t="n"/>
      <c r="I463" s="16" t="n"/>
      <c r="J463" s="14" t="n"/>
      <c r="K463" s="10" t="n"/>
      <c r="L463" s="8" t="n"/>
    </row>
    <row r="464" ht="21" customHeight="1">
      <c r="C464" s="14" t="n"/>
      <c r="D464" s="14" t="n"/>
      <c r="E464" s="14" t="n"/>
      <c r="F464" s="14" t="n"/>
      <c r="G464" s="16" t="n"/>
      <c r="H464" s="16" t="n"/>
      <c r="I464" s="16" t="n"/>
      <c r="J464" s="14" t="n"/>
      <c r="K464" s="10" t="n"/>
      <c r="L464" s="8" t="n"/>
    </row>
    <row r="465" ht="21" customHeight="1">
      <c r="C465" s="14" t="n"/>
      <c r="D465" s="14" t="n"/>
      <c r="E465" s="14" t="n"/>
      <c r="F465" s="14" t="n"/>
      <c r="G465" s="16" t="n"/>
      <c r="H465" s="16" t="n"/>
      <c r="I465" s="16" t="n"/>
      <c r="J465" s="14" t="n"/>
      <c r="K465" s="10" t="n"/>
      <c r="L465" s="8" t="n"/>
    </row>
    <row r="466" ht="21" customHeight="1">
      <c r="C466" s="14" t="n"/>
      <c r="D466" s="14" t="n"/>
      <c r="E466" s="14" t="n"/>
      <c r="F466" s="14" t="n"/>
      <c r="G466" s="16" t="n"/>
      <c r="H466" s="16" t="n"/>
      <c r="I466" s="16" t="n"/>
      <c r="J466" s="14" t="n"/>
      <c r="K466" s="10" t="n"/>
      <c r="L466" s="8" t="n"/>
    </row>
    <row r="467" ht="21" customHeight="1">
      <c r="C467" s="14" t="n"/>
      <c r="D467" s="14" t="n"/>
      <c r="E467" s="14" t="n"/>
      <c r="F467" s="14" t="n"/>
      <c r="G467" s="16" t="n"/>
      <c r="H467" s="16" t="n"/>
      <c r="I467" s="16" t="n"/>
      <c r="J467" s="14" t="n"/>
      <c r="K467" s="10" t="n"/>
      <c r="L467" s="8" t="n"/>
    </row>
    <row r="468" ht="21" customHeight="1">
      <c r="C468" s="14" t="n"/>
      <c r="D468" s="14" t="n"/>
      <c r="E468" s="14" t="n"/>
      <c r="F468" s="14" t="n"/>
      <c r="G468" s="16" t="n"/>
      <c r="H468" s="16" t="n"/>
      <c r="I468" s="16" t="n"/>
      <c r="J468" s="14" t="n"/>
      <c r="K468" s="10" t="n"/>
      <c r="L468" s="8" t="n"/>
    </row>
    <row r="469" ht="21" customHeight="1">
      <c r="C469" s="14" t="n"/>
      <c r="D469" s="14" t="n"/>
      <c r="E469" s="14" t="n"/>
      <c r="F469" s="14" t="n"/>
      <c r="G469" s="16" t="n"/>
      <c r="H469" s="16" t="n"/>
      <c r="I469" s="16" t="n"/>
      <c r="J469" s="14" t="n"/>
      <c r="K469" s="10" t="n"/>
      <c r="L469" s="8" t="n"/>
    </row>
    <row r="470" ht="21" customHeight="1">
      <c r="C470" s="14" t="n"/>
      <c r="D470" s="14" t="n"/>
      <c r="E470" s="14" t="n"/>
      <c r="F470" s="14" t="n"/>
      <c r="G470" s="16" t="n"/>
      <c r="H470" s="16" t="n"/>
      <c r="I470" s="16" t="n"/>
      <c r="J470" s="14" t="n"/>
      <c r="K470" s="10" t="n"/>
      <c r="L470" s="8" t="n"/>
    </row>
    <row r="471" ht="21" customHeight="1">
      <c r="C471" s="14" t="n"/>
      <c r="D471" s="14" t="n"/>
      <c r="E471" s="14" t="n"/>
      <c r="F471" s="14" t="n"/>
      <c r="G471" s="16" t="n"/>
      <c r="H471" s="16" t="n"/>
      <c r="I471" s="16" t="n"/>
      <c r="J471" s="14" t="n"/>
      <c r="K471" s="10" t="n"/>
      <c r="L471" s="8" t="n"/>
    </row>
    <row r="472" ht="21" customHeight="1">
      <c r="C472" s="14" t="n"/>
      <c r="D472" s="14" t="n"/>
      <c r="E472" s="14" t="n"/>
      <c r="F472" s="14" t="n"/>
      <c r="G472" s="16" t="n"/>
      <c r="H472" s="16" t="n"/>
      <c r="I472" s="16" t="n"/>
      <c r="J472" s="14" t="n"/>
      <c r="K472" s="10" t="n"/>
      <c r="L472" s="8" t="n"/>
    </row>
    <row r="473" ht="21" customHeight="1">
      <c r="C473" s="14" t="n"/>
      <c r="D473" s="14" t="n"/>
      <c r="E473" s="14" t="n"/>
      <c r="F473" s="14" t="n"/>
      <c r="G473" s="16" t="n"/>
      <c r="H473" s="16" t="n"/>
      <c r="I473" s="16" t="n"/>
      <c r="J473" s="14" t="n"/>
      <c r="K473" s="10" t="n"/>
      <c r="L473" s="8" t="n"/>
    </row>
    <row r="474" ht="21" customHeight="1">
      <c r="C474" s="14" t="n"/>
      <c r="D474" s="14" t="n"/>
      <c r="E474" s="14" t="n"/>
      <c r="F474" s="14" t="n"/>
      <c r="G474" s="16" t="n"/>
      <c r="H474" s="16" t="n"/>
      <c r="I474" s="16" t="n"/>
      <c r="J474" s="14" t="n"/>
      <c r="K474" s="10" t="n"/>
      <c r="L474" s="8" t="n"/>
    </row>
    <row r="475" ht="21" customHeight="1">
      <c r="C475" s="14" t="n"/>
      <c r="D475" s="14" t="n"/>
      <c r="E475" s="14" t="n"/>
      <c r="F475" s="14" t="n"/>
      <c r="G475" s="16" t="n"/>
      <c r="H475" s="16" t="n"/>
      <c r="I475" s="16" t="n"/>
      <c r="J475" s="14" t="n"/>
      <c r="K475" s="10" t="n"/>
      <c r="L475" s="8" t="n"/>
    </row>
    <row r="476" ht="21" customHeight="1">
      <c r="C476" s="14" t="n"/>
      <c r="D476" s="14" t="n"/>
      <c r="E476" s="14" t="n"/>
      <c r="F476" s="14" t="n"/>
      <c r="G476" s="16" t="n"/>
      <c r="H476" s="16" t="n"/>
      <c r="I476" s="16" t="n"/>
      <c r="J476" s="14" t="n"/>
      <c r="K476" s="10" t="n"/>
      <c r="L476" s="8" t="n"/>
    </row>
    <row r="477" ht="21" customHeight="1">
      <c r="C477" s="14" t="n"/>
      <c r="D477" s="14" t="n"/>
      <c r="E477" s="14" t="n"/>
      <c r="F477" s="14" t="n"/>
      <c r="G477" s="16" t="n"/>
      <c r="H477" s="16" t="n"/>
      <c r="I477" s="16" t="n"/>
      <c r="J477" s="14" t="n"/>
      <c r="K477" s="10" t="n"/>
      <c r="L477" s="8" t="n"/>
    </row>
    <row r="478" ht="21" customHeight="1">
      <c r="C478" s="14" t="n"/>
      <c r="D478" s="14" t="n"/>
      <c r="E478" s="14" t="n"/>
      <c r="F478" s="14" t="n"/>
      <c r="G478" s="16" t="n"/>
      <c r="H478" s="16" t="n"/>
      <c r="I478" s="16" t="n"/>
      <c r="J478" s="14" t="n"/>
      <c r="K478" s="10" t="n"/>
      <c r="L478" s="8" t="n"/>
    </row>
    <row r="479" ht="21" customHeight="1">
      <c r="C479" s="14" t="n"/>
      <c r="D479" s="14" t="n"/>
      <c r="E479" s="14" t="n"/>
      <c r="F479" s="14" t="n"/>
      <c r="G479" s="16" t="n"/>
      <c r="H479" s="16" t="n"/>
      <c r="I479" s="16" t="n"/>
      <c r="J479" s="14" t="n"/>
      <c r="K479" s="10" t="n"/>
      <c r="L479" s="8" t="n"/>
    </row>
    <row r="480" ht="21" customHeight="1">
      <c r="C480" s="14" t="n"/>
      <c r="D480" s="14" t="n"/>
      <c r="E480" s="14" t="n"/>
      <c r="F480" s="14" t="n"/>
      <c r="G480" s="16" t="n"/>
      <c r="H480" s="16" t="n"/>
      <c r="I480" s="16" t="n"/>
      <c r="J480" s="14" t="n"/>
      <c r="K480" s="10" t="n"/>
      <c r="L480" s="8" t="n"/>
    </row>
    <row r="481" ht="21" customHeight="1">
      <c r="C481" s="14" t="n"/>
      <c r="D481" s="14" t="n"/>
      <c r="E481" s="14" t="n"/>
      <c r="F481" s="14" t="n"/>
      <c r="G481" s="16" t="n"/>
      <c r="H481" s="16" t="n"/>
      <c r="I481" s="16" t="n"/>
      <c r="J481" s="14" t="n"/>
      <c r="K481" s="10" t="n"/>
      <c r="L481" s="8" t="n"/>
    </row>
    <row r="482" ht="21" customHeight="1">
      <c r="C482" s="14" t="n"/>
      <c r="D482" s="14" t="n"/>
      <c r="E482" s="14" t="n"/>
      <c r="F482" s="14" t="n"/>
      <c r="G482" s="16" t="n"/>
      <c r="H482" s="16" t="n"/>
      <c r="I482" s="16" t="n"/>
      <c r="J482" s="14" t="n"/>
      <c r="K482" s="10" t="n"/>
      <c r="L482" s="8" t="n"/>
    </row>
    <row r="483" ht="21" customHeight="1">
      <c r="C483" s="14" t="n"/>
      <c r="D483" s="14" t="n"/>
      <c r="E483" s="14" t="n"/>
      <c r="F483" s="14" t="n"/>
      <c r="G483" s="16" t="n"/>
      <c r="H483" s="16" t="n"/>
      <c r="I483" s="16" t="n"/>
      <c r="J483" s="14" t="n"/>
      <c r="K483" s="10" t="n"/>
      <c r="L483" s="8" t="n"/>
    </row>
    <row r="484" ht="21" customHeight="1">
      <c r="C484" s="14" t="n"/>
      <c r="D484" s="14" t="n"/>
      <c r="E484" s="14" t="n"/>
      <c r="F484" s="14" t="n"/>
      <c r="G484" s="16" t="n"/>
      <c r="H484" s="16" t="n"/>
      <c r="I484" s="16" t="n"/>
      <c r="J484" s="14" t="n"/>
      <c r="K484" s="10" t="n"/>
      <c r="L484" s="8" t="n"/>
    </row>
    <row r="485" ht="21" customHeight="1">
      <c r="C485" s="14" t="n"/>
      <c r="D485" s="14" t="n"/>
      <c r="E485" s="14" t="n"/>
      <c r="F485" s="14" t="n"/>
      <c r="G485" s="16" t="n"/>
      <c r="H485" s="16" t="n"/>
      <c r="I485" s="16" t="n"/>
      <c r="J485" s="14" t="n"/>
      <c r="K485" s="10" t="n"/>
      <c r="L485" s="8" t="n"/>
    </row>
    <row r="486" ht="21" customHeight="1">
      <c r="C486" s="14" t="n"/>
      <c r="D486" s="14" t="n"/>
      <c r="E486" s="14" t="n"/>
      <c r="F486" s="14" t="n"/>
      <c r="G486" s="16" t="n"/>
      <c r="H486" s="16" t="n"/>
      <c r="I486" s="16" t="n"/>
      <c r="J486" s="14" t="n"/>
      <c r="K486" s="10" t="n"/>
      <c r="L486" s="8" t="n"/>
    </row>
    <row r="487" ht="21" customHeight="1">
      <c r="C487" s="14" t="n"/>
      <c r="D487" s="14" t="n"/>
      <c r="E487" s="14" t="n"/>
      <c r="F487" s="14" t="n"/>
      <c r="G487" s="16" t="n"/>
      <c r="H487" s="16" t="n"/>
      <c r="I487" s="16" t="n"/>
      <c r="J487" s="14" t="n"/>
      <c r="K487" s="10" t="n"/>
      <c r="L487" s="8" t="n"/>
    </row>
    <row r="488" ht="21" customHeight="1">
      <c r="C488" s="14" t="n"/>
      <c r="D488" s="14" t="n"/>
      <c r="E488" s="14" t="n"/>
      <c r="F488" s="14" t="n"/>
      <c r="G488" s="16" t="n"/>
      <c r="H488" s="16" t="n"/>
      <c r="I488" s="16" t="n"/>
      <c r="J488" s="14" t="n"/>
      <c r="K488" s="10" t="n"/>
      <c r="L488" s="8" t="n"/>
    </row>
    <row r="489" ht="21" customHeight="1">
      <c r="C489" s="14" t="n"/>
      <c r="D489" s="14" t="n"/>
      <c r="E489" s="14" t="n"/>
      <c r="F489" s="14" t="n"/>
      <c r="G489" s="16" t="n"/>
      <c r="H489" s="16" t="n"/>
      <c r="I489" s="16" t="n"/>
      <c r="J489" s="14" t="n"/>
      <c r="K489" s="10" t="n"/>
      <c r="L489" s="8" t="n"/>
    </row>
    <row r="490" ht="21" customHeight="1">
      <c r="C490" s="14" t="n"/>
      <c r="D490" s="14" t="n"/>
      <c r="E490" s="14" t="n"/>
      <c r="F490" s="14" t="n"/>
      <c r="G490" s="16" t="n"/>
      <c r="H490" s="16" t="n"/>
      <c r="I490" s="16" t="n"/>
      <c r="J490" s="14" t="n"/>
      <c r="K490" s="10" t="n"/>
      <c r="L490" s="8" t="n"/>
    </row>
    <row r="491" ht="21" customHeight="1">
      <c r="C491" s="14" t="n"/>
      <c r="D491" s="14" t="n"/>
      <c r="E491" s="14" t="n"/>
      <c r="F491" s="14" t="n"/>
      <c r="G491" s="16" t="n"/>
      <c r="H491" s="16" t="n"/>
      <c r="I491" s="16" t="n"/>
      <c r="J491" s="14" t="n"/>
      <c r="K491" s="10" t="n"/>
      <c r="L491" s="8" t="n"/>
    </row>
    <row r="492" ht="21" customHeight="1">
      <c r="C492" s="14" t="n"/>
      <c r="D492" s="14" t="n"/>
      <c r="E492" s="14" t="n"/>
      <c r="F492" s="14" t="n"/>
      <c r="G492" s="16" t="n"/>
      <c r="H492" s="16" t="n"/>
      <c r="I492" s="16" t="n"/>
      <c r="J492" s="14" t="n"/>
      <c r="K492" s="10" t="n"/>
      <c r="L492" s="8" t="n"/>
    </row>
    <row r="493" ht="21" customHeight="1">
      <c r="C493" s="14" t="n"/>
      <c r="D493" s="14" t="n"/>
      <c r="E493" s="14" t="n"/>
      <c r="F493" s="14" t="n"/>
      <c r="G493" s="16" t="n"/>
      <c r="H493" s="16" t="n"/>
      <c r="I493" s="16" t="n"/>
      <c r="J493" s="14" t="n"/>
      <c r="K493" s="10" t="n"/>
      <c r="L493" s="8" t="n"/>
    </row>
    <row r="494" ht="21" customHeight="1">
      <c r="C494" s="14" t="n"/>
      <c r="D494" s="14" t="n"/>
      <c r="E494" s="14" t="n"/>
      <c r="F494" s="14" t="n"/>
      <c r="G494" s="16" t="n"/>
      <c r="H494" s="16" t="n"/>
      <c r="I494" s="16" t="n"/>
      <c r="J494" s="14" t="n"/>
      <c r="K494" s="10" t="n"/>
      <c r="L494" s="8" t="n"/>
    </row>
    <row r="495" ht="21" customHeight="1">
      <c r="C495" s="14" t="n"/>
      <c r="D495" s="14" t="n"/>
      <c r="E495" s="14" t="n"/>
      <c r="F495" s="14" t="n"/>
      <c r="G495" s="16" t="n"/>
      <c r="H495" s="16" t="n"/>
      <c r="I495" s="16" t="n"/>
      <c r="J495" s="14" t="n"/>
      <c r="K495" s="10" t="n"/>
      <c r="L495" s="8" t="n"/>
    </row>
    <row r="496" ht="21" customHeight="1">
      <c r="C496" s="14" t="n"/>
      <c r="D496" s="14" t="n"/>
      <c r="E496" s="14" t="n"/>
      <c r="F496" s="14" t="n"/>
      <c r="G496" s="16" t="n"/>
      <c r="H496" s="16" t="n"/>
      <c r="I496" s="16" t="n"/>
      <c r="J496" s="14" t="n"/>
      <c r="K496" s="10" t="n"/>
      <c r="L496" s="8" t="n"/>
    </row>
    <row r="497" ht="21" customHeight="1">
      <c r="C497" s="14" t="n"/>
      <c r="D497" s="14" t="n"/>
      <c r="E497" s="14" t="n"/>
      <c r="F497" s="14" t="n"/>
      <c r="G497" s="16" t="n"/>
      <c r="H497" s="16" t="n"/>
      <c r="I497" s="16" t="n"/>
      <c r="J497" s="14" t="n"/>
      <c r="K497" s="10" t="n"/>
      <c r="L497" s="8" t="n"/>
    </row>
    <row r="498" ht="21" customHeight="1">
      <c r="C498" s="14" t="n"/>
      <c r="D498" s="14" t="n"/>
      <c r="E498" s="14" t="n"/>
      <c r="F498" s="14" t="n"/>
      <c r="G498" s="16" t="n"/>
      <c r="H498" s="16" t="n"/>
      <c r="I498" s="16" t="n"/>
      <c r="J498" s="14" t="n"/>
      <c r="K498" s="10" t="n"/>
      <c r="L498" s="8" t="n"/>
    </row>
    <row r="499" ht="21" customHeight="1">
      <c r="C499" s="14" t="n"/>
      <c r="D499" s="14" t="n"/>
      <c r="E499" s="14" t="n"/>
      <c r="F499" s="14" t="n"/>
      <c r="G499" s="16" t="n"/>
      <c r="H499" s="16" t="n"/>
      <c r="I499" s="16" t="n"/>
      <c r="J499" s="14" t="n"/>
      <c r="K499" s="10" t="n"/>
      <c r="L499" s="8" t="n"/>
    </row>
    <row r="500" ht="21" customHeight="1">
      <c r="C500" s="14" t="n"/>
      <c r="D500" s="14" t="n"/>
      <c r="E500" s="14" t="n"/>
      <c r="F500" s="14" t="n"/>
      <c r="G500" s="16" t="n"/>
      <c r="H500" s="16" t="n"/>
      <c r="I500" s="16" t="n"/>
      <c r="J500" s="14" t="n"/>
      <c r="K500" s="10" t="n"/>
      <c r="L500" s="8" t="n"/>
    </row>
    <row r="501" ht="21" customHeight="1">
      <c r="C501" s="14" t="n"/>
      <c r="D501" s="14" t="n"/>
      <c r="E501" s="14" t="n"/>
      <c r="F501" s="14" t="n"/>
      <c r="G501" s="16" t="n"/>
      <c r="H501" s="16" t="n"/>
      <c r="I501" s="16" t="n"/>
      <c r="J501" s="14" t="n"/>
      <c r="K501" s="10" t="n"/>
      <c r="L501" s="8" t="n"/>
    </row>
    <row r="502" ht="21" customHeight="1">
      <c r="C502" s="14" t="n"/>
      <c r="D502" s="14" t="n"/>
      <c r="E502" s="14" t="n"/>
      <c r="F502" s="14" t="n"/>
      <c r="G502" s="16" t="n"/>
      <c r="H502" s="16" t="n"/>
      <c r="I502" s="16" t="n"/>
      <c r="J502" s="14" t="n"/>
      <c r="K502" s="10" t="n"/>
      <c r="L502" s="8" t="n"/>
    </row>
    <row r="503" ht="21" customHeight="1">
      <c r="C503" s="14" t="n"/>
      <c r="D503" s="14" t="n"/>
      <c r="E503" s="14" t="n"/>
      <c r="F503" s="14" t="n"/>
      <c r="G503" s="16" t="n"/>
      <c r="H503" s="16" t="n"/>
      <c r="I503" s="16" t="n"/>
      <c r="J503" s="14" t="n"/>
      <c r="K503" s="10" t="n"/>
      <c r="L503" s="8" t="n"/>
    </row>
    <row r="504" ht="21" customHeight="1">
      <c r="C504" s="14" t="n"/>
      <c r="D504" s="14" t="n"/>
      <c r="E504" s="14" t="n"/>
      <c r="F504" s="14" t="n"/>
      <c r="G504" s="16" t="n"/>
      <c r="H504" s="16" t="n"/>
      <c r="I504" s="16" t="n"/>
      <c r="J504" s="14" t="n"/>
      <c r="K504" s="10" t="n"/>
      <c r="L504" s="8" t="n"/>
    </row>
    <row r="505" ht="21" customHeight="1">
      <c r="C505" s="14" t="n"/>
      <c r="D505" s="14" t="n"/>
      <c r="E505" s="14" t="n"/>
      <c r="F505" s="14" t="n"/>
      <c r="G505" s="16" t="n"/>
      <c r="H505" s="16" t="n"/>
      <c r="I505" s="16" t="n"/>
      <c r="J505" s="14" t="n"/>
      <c r="K505" s="10" t="n"/>
      <c r="L505" s="8" t="n"/>
    </row>
    <row r="506" ht="21" customHeight="1">
      <c r="C506" s="14" t="n"/>
      <c r="D506" s="14" t="n"/>
      <c r="E506" s="14" t="n"/>
      <c r="F506" s="14" t="n"/>
      <c r="G506" s="16" t="n"/>
      <c r="H506" s="16" t="n"/>
      <c r="I506" s="16" t="n"/>
      <c r="J506" s="14" t="n"/>
      <c r="K506" s="10" t="n"/>
      <c r="L506" s="8" t="n"/>
    </row>
  </sheetData>
  <mergeCells count="2">
    <mergeCell ref="C2:M2"/>
    <mergeCell ref="C3:M3"/>
  </mergeCells>
  <conditionalFormatting sqref="K7:K506">
    <cfRule type="containsText" priority="1" operator="containsText" dxfId="0" text="fehlen"/>
  </conditionalFormatting>
  <dataValidations count="1">
    <dataValidation sqref="E7:E506" showDropDown="0" showInputMessage="0" showErrorMessage="0" allowBlank="0" type="list">
      <formula1>"West,Süd-West,Ost,Berlin,Verwaltung"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F59E0B"/>
    <outlinePr summaryBelow="1" summaryRight="1"/>
    <pageSetUpPr/>
  </sheetPr>
  <dimension ref="A1:O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12" customWidth="1" min="3" max="4"/>
    <col width="22" customWidth="1" min="5" max="13"/>
    <col width="15" customWidth="1" min="14" max="15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</row>
    <row r="2" ht="30" customHeight="1">
      <c r="A2" s="48" t="n"/>
      <c r="B2" s="48" t="n"/>
      <c r="C2" s="53" t="inlineStr">
        <is>
          <t>Importierte Monats-GuV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</row>
    <row r="3" ht="32" customHeight="1">
      <c r="A3" s="48" t="n"/>
      <c r="B3" s="48" t="n"/>
      <c r="C3" s="54" t="inlineStr">
        <is>
          <t>Befüllung über TVF_Import.ts. Eine Zeile je Jahr und Monat. Vorhandene Monate werden gezielt ersetzt. Originalquellen bleiben erhalten.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</row>
    <row r="6" ht="36" customHeight="1">
      <c r="A6" s="48" t="n"/>
      <c r="B6" s="48" t="n"/>
      <c r="C6" s="3" t="inlineStr">
        <is>
          <t>Jahr</t>
        </is>
      </c>
      <c r="D6" s="3" t="inlineStr">
        <is>
          <t>Monat</t>
        </is>
      </c>
      <c r="E6" s="3" t="inlineStr">
        <is>
          <t>Umsatz</t>
        </is>
      </c>
      <c r="F6" s="3" t="inlineStr">
        <is>
          <t>Bestand</t>
        </is>
      </c>
      <c r="G6" s="3" t="inlineStr">
        <is>
          <t>Sonstige_Ertraege</t>
        </is>
      </c>
      <c r="H6" s="3" t="inlineStr">
        <is>
          <t>Materialaufwand</t>
        </is>
      </c>
      <c r="I6" s="3" t="inlineStr">
        <is>
          <t>Personalaufwand</t>
        </is>
      </c>
      <c r="J6" s="3" t="inlineStr">
        <is>
          <t>Sonstiger_Aufwand</t>
        </is>
      </c>
      <c r="K6" s="3" t="inlineStr">
        <is>
          <t>Abschreibungen</t>
        </is>
      </c>
      <c r="L6" s="3" t="inlineStr">
        <is>
          <t>Finanzergebnis</t>
        </is>
      </c>
      <c r="M6" s="3" t="inlineStr">
        <is>
          <t>Neutrales_Ergebnis</t>
        </is>
      </c>
      <c r="N6" s="48" t="n"/>
      <c r="O6" s="48" t="n"/>
    </row>
    <row r="7" ht="21" customHeight="1">
      <c r="A7" s="48" t="n"/>
      <c r="B7" s="48" t="n"/>
      <c r="C7" s="48" t="n"/>
      <c r="D7" s="48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48" t="n"/>
      <c r="O7" s="48" t="n"/>
    </row>
    <row r="8" ht="21" customHeight="1">
      <c r="A8" s="48" t="n"/>
      <c r="B8" s="48" t="n"/>
      <c r="C8" s="48" t="n"/>
      <c r="D8" s="48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48" t="n"/>
      <c r="O8" s="48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</row>
  </sheetData>
  <mergeCells count="2">
    <mergeCell ref="C3:O3"/>
    <mergeCell ref="C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U3575"/>
  <sheetViews>
    <sheetView workbookViewId="0">
      <selection activeCell="A1" sqref="A1"/>
    </sheetView>
  </sheetViews>
  <sheetFormatPr baseColWidth="8" defaultRowHeight="15"/>
  <sheetData>
    <row r="2">
      <c r="C2" t="inlineStr">
        <is>
          <t>Finanzen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v_kennzahlen_monat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umsatzerloese</t>
        </is>
      </c>
      <c r="D7" t="inlineStr">
        <is>
          <t>bestandsveraenderung</t>
        </is>
      </c>
      <c r="E7" t="inlineStr">
        <is>
          <t>gesamtleistung</t>
        </is>
      </c>
      <c r="F7" t="inlineStr">
        <is>
          <t>ebitda</t>
        </is>
      </c>
      <c r="G7" t="inlineStr">
        <is>
          <t>neutrales_ergebnis</t>
        </is>
      </c>
      <c r="H7" t="inlineStr">
        <is>
          <t>ebitda_nach_neutral</t>
        </is>
      </c>
      <c r="I7" t="inlineStr">
        <is>
          <t>abschreibungen</t>
        </is>
      </c>
      <c r="J7" t="inlineStr">
        <is>
          <t>finanzergebnis</t>
        </is>
      </c>
    </row>
    <row r="8">
      <c r="A8" t="n">
        <v>2026</v>
      </c>
      <c r="B8" t="n">
        <v>1</v>
      </c>
      <c r="C8" t="n">
        <v>639565.45</v>
      </c>
      <c r="D8" t="n">
        <v>1280847.26</v>
      </c>
      <c r="E8" t="n">
        <v>1920412.71</v>
      </c>
      <c r="F8" t="n">
        <v>294942.37</v>
      </c>
      <c r="G8" t="n">
        <v>-4710.2</v>
      </c>
      <c r="H8" t="n">
        <v>290232.17</v>
      </c>
      <c r="I8" t="n">
        <v>-9645.450000000001</v>
      </c>
      <c r="J8" t="n">
        <v>-5854.47</v>
      </c>
    </row>
    <row r="9">
      <c r="A9" t="n">
        <v>2026</v>
      </c>
      <c r="B9" t="n">
        <v>2</v>
      </c>
      <c r="C9" t="n">
        <v>2777244.65</v>
      </c>
      <c r="D9" t="n">
        <v>-200176.92</v>
      </c>
      <c r="E9" t="n">
        <v>2577067.73</v>
      </c>
      <c r="F9" t="n">
        <v>318570.76</v>
      </c>
      <c r="G9" t="n">
        <v>-3717.47</v>
      </c>
      <c r="H9" t="n">
        <v>314853.29</v>
      </c>
      <c r="I9" t="n">
        <v>-9711.51</v>
      </c>
      <c r="J9" t="n">
        <v>-6903.55</v>
      </c>
    </row>
    <row r="10">
      <c r="A10" t="n">
        <v>2026</v>
      </c>
      <c r="B10" t="n">
        <v>3</v>
      </c>
      <c r="C10" t="n">
        <v>1213541.38</v>
      </c>
      <c r="D10" t="n">
        <v>1198671.49</v>
      </c>
      <c r="E10" t="n">
        <v>2412212.87</v>
      </c>
      <c r="F10" t="n">
        <v>23595.18</v>
      </c>
      <c r="G10" t="n">
        <v>-13169.88</v>
      </c>
      <c r="H10" t="n">
        <v>10425.3</v>
      </c>
      <c r="I10" t="n">
        <v>-9824.139999999999</v>
      </c>
      <c r="J10" t="n">
        <v>-9432.18</v>
      </c>
    </row>
    <row r="11">
      <c r="A11" t="n">
        <v>2026</v>
      </c>
      <c r="B11" t="n">
        <v>4</v>
      </c>
      <c r="C11" t="n">
        <v>678343.59</v>
      </c>
      <c r="D11" t="n">
        <v>1261219.89</v>
      </c>
      <c r="E11" t="n">
        <v>1939563.48</v>
      </c>
      <c r="F11" t="n">
        <v>-179274.07</v>
      </c>
      <c r="G11" t="n">
        <v>-5173.46</v>
      </c>
      <c r="H11" t="n">
        <v>-184447.53</v>
      </c>
      <c r="I11" t="n">
        <v>-9599.860000000001</v>
      </c>
      <c r="J11" t="n">
        <v>-8779.92</v>
      </c>
    </row>
    <row r="12">
      <c r="A12" t="n">
        <v>2026</v>
      </c>
      <c r="B12" t="n">
        <v>5</v>
      </c>
      <c r="C12" t="n">
        <v>1347585.48</v>
      </c>
      <c r="D12" t="n">
        <v>-263604.09</v>
      </c>
      <c r="E12" t="n">
        <v>1083981.39</v>
      </c>
      <c r="F12" t="n">
        <v>-141241.9</v>
      </c>
      <c r="G12" t="n">
        <v>-2569.29</v>
      </c>
      <c r="H12" t="n">
        <v>-143811.19</v>
      </c>
      <c r="I12" t="n">
        <v>-9655.030000000001</v>
      </c>
      <c r="J12" t="n">
        <v>-15584.75</v>
      </c>
    </row>
    <row r="13">
      <c r="A13" t="n">
        <v>2026</v>
      </c>
      <c r="B13" t="n">
        <v>6</v>
      </c>
      <c r="C13" t="n">
        <v>2470042.1</v>
      </c>
      <c r="D13" t="n">
        <v>314645.23</v>
      </c>
      <c r="E13" t="n">
        <v>2784687.33</v>
      </c>
      <c r="F13" t="n">
        <v>58553.86</v>
      </c>
      <c r="G13" t="n">
        <v>0</v>
      </c>
      <c r="H13" t="n">
        <v>58553.86</v>
      </c>
      <c r="I13" t="n">
        <v>-9047.959999999999</v>
      </c>
      <c r="J13" t="n">
        <v>-12744.5</v>
      </c>
    </row>
    <row r="14">
      <c r="A14" t="n">
        <v>2026</v>
      </c>
      <c r="B14" t="n">
        <v>7</v>
      </c>
      <c r="C14" t="n">
        <v>1323928.2</v>
      </c>
      <c r="D14" t="n">
        <v>294716.46</v>
      </c>
      <c r="E14" t="n">
        <v>1618644.66</v>
      </c>
      <c r="F14" t="n">
        <v>-495291.54</v>
      </c>
      <c r="G14" t="n">
        <v>-18831</v>
      </c>
      <c r="H14" t="n">
        <v>-514122.54</v>
      </c>
      <c r="I14" t="n">
        <v>-9082.969999999999</v>
      </c>
      <c r="J14" t="n">
        <v>-8079.09</v>
      </c>
    </row>
    <row r="15">
      <c r="A15" t="n">
        <v>2026</v>
      </c>
      <c r="B15" t="n">
        <v>8</v>
      </c>
      <c r="C15" t="n">
        <v>854339.84</v>
      </c>
      <c r="D15" t="n">
        <v>1022525.14</v>
      </c>
      <c r="E15" t="n">
        <v>1876864.98</v>
      </c>
      <c r="F15" t="n">
        <v>-138242.37</v>
      </c>
      <c r="G15" t="n">
        <v>1492.2</v>
      </c>
      <c r="H15" t="n">
        <v>-136750.17</v>
      </c>
      <c r="I15" t="n">
        <v>-9109.85</v>
      </c>
      <c r="J15" t="n">
        <v>-58785.49</v>
      </c>
    </row>
    <row r="16">
      <c r="A16" t="n">
        <v>2026</v>
      </c>
      <c r="B16" t="n">
        <v>9</v>
      </c>
      <c r="C16" t="n">
        <v>885382.71</v>
      </c>
      <c r="D16" t="n">
        <v>0</v>
      </c>
      <c r="E16" t="n">
        <v>885382.71</v>
      </c>
      <c r="F16" t="n">
        <v>-1453149.19</v>
      </c>
      <c r="G16" t="n">
        <v>312223.42</v>
      </c>
      <c r="H16" t="n">
        <v>-1140925.77</v>
      </c>
      <c r="I16" t="n">
        <v>-9102</v>
      </c>
      <c r="J16" t="n">
        <v>5347.05</v>
      </c>
    </row>
    <row r="20">
      <c r="A20" t="inlineStr">
        <is>
          <t>v_ebitda_monat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art</t>
        </is>
      </c>
      <c r="D21" t="inlineStr">
        <is>
          <t>operatives_ergebnis</t>
        </is>
      </c>
      <c r="E21" t="inlineStr">
        <is>
          <t>overhead</t>
        </is>
      </c>
      <c r="F21" t="inlineStr">
        <is>
          <t>bewertung</t>
        </is>
      </c>
      <c r="G21" t="inlineStr">
        <is>
          <t>ebitda</t>
        </is>
      </c>
      <c r="H21" t="inlineStr">
        <is>
          <t>gerechnet</t>
        </is>
      </c>
    </row>
    <row r="22">
      <c r="A22" t="n">
        <v>2026</v>
      </c>
      <c r="B22" t="n">
        <v>1</v>
      </c>
      <c r="C22" t="inlineStr">
        <is>
          <t>IST</t>
        </is>
      </c>
      <c r="D22" t="n">
        <v>383991.37</v>
      </c>
      <c r="E22" t="n">
        <v>-89049</v>
      </c>
      <c r="F22" t="n">
        <v>0</v>
      </c>
      <c r="G22" t="n">
        <v>294942.37</v>
      </c>
      <c r="H22" t="b">
        <v>1</v>
      </c>
    </row>
    <row r="23">
      <c r="A23" t="n">
        <v>2026</v>
      </c>
      <c r="B23" t="n">
        <v>2</v>
      </c>
      <c r="C23" t="inlineStr">
        <is>
          <t>IST</t>
        </is>
      </c>
      <c r="D23" t="n">
        <v>422833.76</v>
      </c>
      <c r="E23" t="n">
        <v>-104263</v>
      </c>
      <c r="F23" t="n">
        <v>0</v>
      </c>
      <c r="G23" t="n">
        <v>318570.76</v>
      </c>
      <c r="H23" t="b">
        <v>1</v>
      </c>
    </row>
    <row r="24">
      <c r="A24" t="n">
        <v>2026</v>
      </c>
      <c r="B24" t="n">
        <v>3</v>
      </c>
      <c r="C24" t="inlineStr">
        <is>
          <t>IST</t>
        </is>
      </c>
      <c r="D24" t="n">
        <v>174843.18</v>
      </c>
      <c r="E24" t="n">
        <v>-151248</v>
      </c>
      <c r="F24" t="n">
        <v>0</v>
      </c>
      <c r="G24" t="n">
        <v>23595.18</v>
      </c>
      <c r="H24" t="b">
        <v>1</v>
      </c>
    </row>
    <row r="25">
      <c r="A25" t="n">
        <v>2026</v>
      </c>
      <c r="B25" t="n">
        <v>4</v>
      </c>
      <c r="C25" t="inlineStr">
        <is>
          <t>IST</t>
        </is>
      </c>
      <c r="D25" t="n">
        <v>-27218.07</v>
      </c>
      <c r="E25" t="n">
        <v>-152056</v>
      </c>
      <c r="F25" t="n">
        <v>0</v>
      </c>
      <c r="G25" t="n">
        <v>-179274.07</v>
      </c>
      <c r="H25" t="b">
        <v>1</v>
      </c>
    </row>
    <row r="26">
      <c r="A26" t="n">
        <v>2026</v>
      </c>
      <c r="B26" t="n">
        <v>5</v>
      </c>
      <c r="C26" t="inlineStr">
        <is>
          <t>IST</t>
        </is>
      </c>
      <c r="D26" t="n">
        <v>21820.1</v>
      </c>
      <c r="E26" t="n">
        <v>-163062</v>
      </c>
      <c r="F26" t="n">
        <v>0</v>
      </c>
      <c r="G26" t="n">
        <v>-141241.9</v>
      </c>
      <c r="H26" t="b">
        <v>1</v>
      </c>
    </row>
    <row r="27">
      <c r="A27" t="n">
        <v>2026</v>
      </c>
      <c r="B27" t="n">
        <v>6</v>
      </c>
      <c r="C27" t="inlineStr">
        <is>
          <t>IST</t>
        </is>
      </c>
      <c r="D27" t="n">
        <v>207195.86</v>
      </c>
      <c r="E27" t="n">
        <v>-148642</v>
      </c>
      <c r="F27" t="n">
        <v>0</v>
      </c>
      <c r="G27" t="n">
        <v>58553.86</v>
      </c>
      <c r="H27" t="b">
        <v>1</v>
      </c>
    </row>
    <row r="28">
      <c r="A28" t="n">
        <v>2026</v>
      </c>
      <c r="B28" t="n">
        <v>7</v>
      </c>
      <c r="C28" t="inlineStr">
        <is>
          <t>IST</t>
        </is>
      </c>
      <c r="D28" t="n">
        <v>-346650.54</v>
      </c>
      <c r="E28" t="n">
        <v>-148641</v>
      </c>
      <c r="F28" t="n">
        <v>0</v>
      </c>
      <c r="G28" t="n">
        <v>-495291.54</v>
      </c>
      <c r="H28" t="b">
        <v>1</v>
      </c>
    </row>
    <row r="29">
      <c r="A29" t="n">
        <v>2026</v>
      </c>
      <c r="B29" t="n">
        <v>8</v>
      </c>
      <c r="C29" t="inlineStr">
        <is>
          <t>IST</t>
        </is>
      </c>
      <c r="D29" t="n">
        <v>14315.63</v>
      </c>
      <c r="E29" t="n">
        <v>-152558</v>
      </c>
      <c r="F29" t="n">
        <v>0</v>
      </c>
      <c r="G29" t="n">
        <v>-138242.37</v>
      </c>
      <c r="H29" t="b">
        <v>1</v>
      </c>
    </row>
    <row r="30">
      <c r="A30" t="n">
        <v>2026</v>
      </c>
      <c r="B30" t="n">
        <v>9</v>
      </c>
      <c r="C30" t="inlineStr">
        <is>
          <t>FC</t>
        </is>
      </c>
      <c r="D30" t="n">
        <v>468444</v>
      </c>
      <c r="E30" t="n">
        <v>-158558</v>
      </c>
      <c r="F30" t="n">
        <v>0</v>
      </c>
      <c r="G30" t="n">
        <v>309886</v>
      </c>
      <c r="H30" t="b">
        <v>0</v>
      </c>
    </row>
    <row r="31">
      <c r="A31" t="n">
        <v>2026</v>
      </c>
      <c r="B31" t="n">
        <v>10</v>
      </c>
      <c r="C31" t="inlineStr">
        <is>
          <t>FC</t>
        </is>
      </c>
      <c r="D31" t="n">
        <v>261250</v>
      </c>
      <c r="E31" t="n">
        <v>-142558</v>
      </c>
      <c r="F31" t="n">
        <v>0</v>
      </c>
      <c r="G31" t="n">
        <v>118692</v>
      </c>
      <c r="H31" t="b">
        <v>0</v>
      </c>
    </row>
    <row r="32">
      <c r="A32" t="n">
        <v>2026</v>
      </c>
      <c r="B32" t="n">
        <v>11</v>
      </c>
      <c r="C32" t="inlineStr">
        <is>
          <t>FC</t>
        </is>
      </c>
      <c r="D32" t="n">
        <v>516650</v>
      </c>
      <c r="E32" t="n">
        <v>-136558</v>
      </c>
      <c r="F32" t="n">
        <v>0</v>
      </c>
      <c r="G32" t="n">
        <v>380092</v>
      </c>
      <c r="H32" t="b">
        <v>0</v>
      </c>
    </row>
    <row r="33">
      <c r="A33" t="n">
        <v>2026</v>
      </c>
      <c r="B33" t="n">
        <v>12</v>
      </c>
      <c r="C33" t="inlineStr">
        <is>
          <t>FC</t>
        </is>
      </c>
      <c r="D33" t="n">
        <v>26153</v>
      </c>
      <c r="E33" t="n">
        <v>-136558</v>
      </c>
      <c r="F33" t="n">
        <v>0</v>
      </c>
      <c r="G33" t="n">
        <v>-110405</v>
      </c>
      <c r="H33" t="b">
        <v>0</v>
      </c>
    </row>
    <row r="37">
      <c r="A37" t="inlineStr">
        <is>
          <t>v_ebitda_jahr</t>
        </is>
      </c>
    </row>
    <row r="38">
      <c r="A38" t="inlineStr">
        <is>
          <t>jahr</t>
        </is>
      </c>
      <c r="B38" t="inlineStr">
        <is>
          <t>ist_bis</t>
        </is>
      </c>
      <c r="C38" t="inlineStr">
        <is>
          <t>ist</t>
        </is>
      </c>
      <c r="D38" t="inlineStr">
        <is>
          <t>fc</t>
        </is>
      </c>
      <c r="E38" t="inlineStr">
        <is>
          <t>ebitda_reihe</t>
        </is>
      </c>
      <c r="F38" t="inlineStr">
        <is>
          <t>bewertung_offen</t>
        </is>
      </c>
      <c r="G38" t="inlineStr">
        <is>
          <t>bewertung_nachrichtlich</t>
        </is>
      </c>
      <c r="H38" t="inlineStr">
        <is>
          <t>bewertet_gesamt</t>
        </is>
      </c>
      <c r="I38" t="inlineStr">
        <is>
          <t>ebitda</t>
        </is>
      </c>
      <c r="J38" t="inlineStr">
        <is>
          <t>ebitda_mit_nachrichtlich</t>
        </is>
      </c>
    </row>
    <row r="39">
      <c r="A39" t="n">
        <v>2026</v>
      </c>
      <c r="B39" t="n">
        <v>8</v>
      </c>
      <c r="C39" t="n">
        <v>-258387.71</v>
      </c>
      <c r="D39" t="n">
        <v>698265</v>
      </c>
      <c r="E39" t="n">
        <v>439877.29</v>
      </c>
      <c r="F39" t="n">
        <v>0</v>
      </c>
      <c r="G39" t="n">
        <v>0</v>
      </c>
      <c r="H39" t="n">
        <v>-743000</v>
      </c>
      <c r="I39" t="n">
        <v>439877.29</v>
      </c>
      <c r="J39" t="n">
        <v>439877.29</v>
      </c>
    </row>
    <row r="43">
      <c r="A43" t="inlineStr">
        <is>
          <t>v_guv_staffel</t>
        </is>
      </c>
    </row>
    <row r="44">
      <c r="A44" t="inlineStr">
        <is>
          <t>jahr</t>
        </is>
      </c>
      <c r="B44" t="inlineStr">
        <is>
          <t>monat</t>
        </is>
      </c>
      <c r="C44" t="inlineStr">
        <is>
          <t>guv_sort</t>
        </is>
      </c>
      <c r="D44" t="inlineStr">
        <is>
          <t>guv_gruppe</t>
        </is>
      </c>
      <c r="E44" t="inlineStr">
        <is>
          <t>betrag</t>
        </is>
      </c>
      <c r="F44" t="inlineStr">
        <is>
          <t>belege</t>
        </is>
      </c>
    </row>
    <row r="45">
      <c r="A45" t="n">
        <v>2026</v>
      </c>
      <c r="B45" t="n">
        <v>1</v>
      </c>
      <c r="C45" t="n">
        <v>10</v>
      </c>
      <c r="D45" t="inlineStr">
        <is>
          <t>1 Umsatzerlöse</t>
        </is>
      </c>
      <c r="E45" t="n">
        <v>639565.45</v>
      </c>
      <c r="F45" t="n">
        <v>102</v>
      </c>
    </row>
    <row r="46">
      <c r="A46" t="n">
        <v>2026</v>
      </c>
      <c r="B46" t="n">
        <v>1</v>
      </c>
      <c r="C46" t="n">
        <v>20</v>
      </c>
      <c r="D46" t="inlineStr">
        <is>
          <t>2 Bestandsveränderungen</t>
        </is>
      </c>
      <c r="E46" t="n">
        <v>1280847.26</v>
      </c>
      <c r="F46" t="n">
        <v>22</v>
      </c>
    </row>
    <row r="47">
      <c r="A47" t="n">
        <v>2026</v>
      </c>
      <c r="B47" t="n">
        <v>1</v>
      </c>
      <c r="C47" t="n">
        <v>30</v>
      </c>
      <c r="D47" t="inlineStr">
        <is>
          <t>3 Sonstige betriebliche Erträge</t>
        </is>
      </c>
      <c r="E47" t="n">
        <v>12030.21</v>
      </c>
      <c r="F47" t="n">
        <v>13</v>
      </c>
    </row>
    <row r="48">
      <c r="A48" t="n">
        <v>2026</v>
      </c>
      <c r="B48" t="n">
        <v>1</v>
      </c>
      <c r="C48" t="n">
        <v>40</v>
      </c>
      <c r="D48" t="inlineStr">
        <is>
          <t>4 Materialaufwand</t>
        </is>
      </c>
      <c r="E48" t="n">
        <v>-1080421</v>
      </c>
      <c r="F48" t="n">
        <v>320</v>
      </c>
    </row>
    <row r="49">
      <c r="A49" t="n">
        <v>2026</v>
      </c>
      <c r="B49" t="n">
        <v>1</v>
      </c>
      <c r="C49" t="n">
        <v>50</v>
      </c>
      <c r="D49" t="inlineStr">
        <is>
          <t>5 Personalaufwand</t>
        </is>
      </c>
      <c r="E49" t="n">
        <v>-338608.8</v>
      </c>
      <c r="F49" t="n">
        <v>111</v>
      </c>
    </row>
    <row r="50">
      <c r="A50" t="n">
        <v>2026</v>
      </c>
      <c r="B50" t="n">
        <v>1</v>
      </c>
      <c r="C50" t="n">
        <v>60</v>
      </c>
      <c r="D50" t="inlineStr">
        <is>
          <t>6 Abschreibungen</t>
        </is>
      </c>
      <c r="E50" t="n">
        <v>-9645.450000000001</v>
      </c>
      <c r="F50" t="n">
        <v>39</v>
      </c>
    </row>
    <row r="51">
      <c r="A51" t="n">
        <v>2026</v>
      </c>
      <c r="B51" t="n">
        <v>1</v>
      </c>
      <c r="C51" t="n">
        <v>70</v>
      </c>
      <c r="D51" t="inlineStr">
        <is>
          <t>7 Sonstige betriebliche Aufwendungen</t>
        </is>
      </c>
      <c r="E51" t="n">
        <v>-223180.95</v>
      </c>
      <c r="F51" t="n">
        <v>339</v>
      </c>
    </row>
    <row r="52">
      <c r="A52" t="n">
        <v>2026</v>
      </c>
      <c r="B52" t="n">
        <v>1</v>
      </c>
      <c r="C52" t="n">
        <v>80</v>
      </c>
      <c r="D52" t="inlineStr">
        <is>
          <t>8 Finanzergebnis</t>
        </is>
      </c>
      <c r="E52" t="n">
        <v>-5854.47</v>
      </c>
      <c r="F52" t="n">
        <v>7</v>
      </c>
    </row>
    <row r="53">
      <c r="A53" t="n">
        <v>2026</v>
      </c>
      <c r="B53" t="n">
        <v>2</v>
      </c>
      <c r="C53" t="n">
        <v>10</v>
      </c>
      <c r="D53" t="inlineStr">
        <is>
          <t>1 Umsatzerlöse</t>
        </is>
      </c>
      <c r="E53" t="n">
        <v>2777244.65</v>
      </c>
      <c r="F53" t="n">
        <v>96</v>
      </c>
    </row>
    <row r="54">
      <c r="A54" t="n">
        <v>2026</v>
      </c>
      <c r="B54" t="n">
        <v>2</v>
      </c>
      <c r="C54" t="n">
        <v>20</v>
      </c>
      <c r="D54" t="inlineStr">
        <is>
          <t>2 Bestandsveränderungen</t>
        </is>
      </c>
      <c r="E54" t="n">
        <v>-200176.92</v>
      </c>
      <c r="F54" t="n">
        <v>19</v>
      </c>
    </row>
    <row r="55">
      <c r="A55" t="n">
        <v>2026</v>
      </c>
      <c r="B55" t="n">
        <v>2</v>
      </c>
      <c r="C55" t="n">
        <v>30</v>
      </c>
      <c r="D55" t="inlineStr">
        <is>
          <t>3 Sonstige betriebliche Erträge</t>
        </is>
      </c>
      <c r="E55" t="n">
        <v>22190.76</v>
      </c>
      <c r="F55" t="n">
        <v>15</v>
      </c>
    </row>
    <row r="56">
      <c r="A56" t="n">
        <v>2026</v>
      </c>
      <c r="B56" t="n">
        <v>2</v>
      </c>
      <c r="C56" t="n">
        <v>40</v>
      </c>
      <c r="D56" t="inlineStr">
        <is>
          <t>4 Materialaufwand</t>
        </is>
      </c>
      <c r="E56" t="n">
        <v>-1706242.27</v>
      </c>
      <c r="F56" t="n">
        <v>430</v>
      </c>
    </row>
    <row r="57">
      <c r="A57" t="n">
        <v>2026</v>
      </c>
      <c r="B57" t="n">
        <v>2</v>
      </c>
      <c r="C57" t="n">
        <v>50</v>
      </c>
      <c r="D57" t="inlineStr">
        <is>
          <t>5 Personalaufwand</t>
        </is>
      </c>
      <c r="E57" t="n">
        <v>-363244</v>
      </c>
      <c r="F57" t="n">
        <v>97</v>
      </c>
    </row>
    <row r="58">
      <c r="A58" t="n">
        <v>2026</v>
      </c>
      <c r="B58" t="n">
        <v>2</v>
      </c>
      <c r="C58" t="n">
        <v>60</v>
      </c>
      <c r="D58" t="inlineStr">
        <is>
          <t>6 Abschreibungen</t>
        </is>
      </c>
      <c r="E58" t="n">
        <v>-9711.51</v>
      </c>
      <c r="F58" t="n">
        <v>41</v>
      </c>
    </row>
    <row r="59">
      <c r="A59" t="n">
        <v>2026</v>
      </c>
      <c r="B59" t="n">
        <v>2</v>
      </c>
      <c r="C59" t="n">
        <v>70</v>
      </c>
      <c r="D59" t="inlineStr">
        <is>
          <t>7 Sonstige betriebliche Aufwendungen</t>
        </is>
      </c>
      <c r="E59" t="n">
        <v>-214918.93</v>
      </c>
      <c r="F59" t="n">
        <v>562</v>
      </c>
    </row>
    <row r="60">
      <c r="A60" t="n">
        <v>2026</v>
      </c>
      <c r="B60" t="n">
        <v>2</v>
      </c>
      <c r="C60" t="n">
        <v>80</v>
      </c>
      <c r="D60" t="inlineStr">
        <is>
          <t>8 Finanzergebnis</t>
        </is>
      </c>
      <c r="E60" t="n">
        <v>-6903.55</v>
      </c>
      <c r="F60" t="n">
        <v>15</v>
      </c>
    </row>
    <row r="61">
      <c r="A61" t="n">
        <v>2026</v>
      </c>
      <c r="B61" t="n">
        <v>3</v>
      </c>
      <c r="C61" t="n">
        <v>10</v>
      </c>
      <c r="D61" t="inlineStr">
        <is>
          <t>1 Umsatzerlöse</t>
        </is>
      </c>
      <c r="E61" t="n">
        <v>1213541.38</v>
      </c>
      <c r="F61" t="n">
        <v>132</v>
      </c>
    </row>
    <row r="62">
      <c r="A62" t="n">
        <v>2026</v>
      </c>
      <c r="B62" t="n">
        <v>3</v>
      </c>
      <c r="C62" t="n">
        <v>20</v>
      </c>
      <c r="D62" t="inlineStr">
        <is>
          <t>2 Bestandsveränderungen</t>
        </is>
      </c>
      <c r="E62" t="n">
        <v>1198671.49</v>
      </c>
      <c r="F62" t="n">
        <v>17</v>
      </c>
    </row>
    <row r="63">
      <c r="A63" t="n">
        <v>2026</v>
      </c>
      <c r="B63" t="n">
        <v>3</v>
      </c>
      <c r="C63" t="n">
        <v>30</v>
      </c>
      <c r="D63" t="inlineStr">
        <is>
          <t>3 Sonstige betriebliche Erträge</t>
        </is>
      </c>
      <c r="E63" t="n">
        <v>15409.39</v>
      </c>
      <c r="F63" t="n">
        <v>18</v>
      </c>
    </row>
    <row r="64">
      <c r="A64" t="n">
        <v>2026</v>
      </c>
      <c r="B64" t="n">
        <v>3</v>
      </c>
      <c r="C64" t="n">
        <v>40</v>
      </c>
      <c r="D64" t="inlineStr">
        <is>
          <t>4 Materialaufwand</t>
        </is>
      </c>
      <c r="E64" t="n">
        <v>-1746548.03</v>
      </c>
      <c r="F64" t="n">
        <v>516</v>
      </c>
    </row>
    <row r="65">
      <c r="A65" t="n">
        <v>2026</v>
      </c>
      <c r="B65" t="n">
        <v>3</v>
      </c>
      <c r="C65" t="n">
        <v>50</v>
      </c>
      <c r="D65" t="inlineStr">
        <is>
          <t>5 Personalaufwand</t>
        </is>
      </c>
      <c r="E65" t="n">
        <v>-383792.43</v>
      </c>
      <c r="F65" t="n">
        <v>102</v>
      </c>
    </row>
    <row r="66">
      <c r="A66" t="n">
        <v>2026</v>
      </c>
      <c r="B66" t="n">
        <v>3</v>
      </c>
      <c r="C66" t="n">
        <v>60</v>
      </c>
      <c r="D66" t="inlineStr">
        <is>
          <t>6 Abschreibungen</t>
        </is>
      </c>
      <c r="E66" t="n">
        <v>-9824.139999999999</v>
      </c>
      <c r="F66" t="n">
        <v>39</v>
      </c>
    </row>
    <row r="67">
      <c r="A67" t="n">
        <v>2026</v>
      </c>
      <c r="B67" t="n">
        <v>3</v>
      </c>
      <c r="C67" t="n">
        <v>70</v>
      </c>
      <c r="D67" t="inlineStr">
        <is>
          <t>7 Sonstige betriebliche Aufwendungen</t>
        </is>
      </c>
      <c r="E67" t="n">
        <v>-286856.5</v>
      </c>
      <c r="F67" t="n">
        <v>723</v>
      </c>
    </row>
    <row r="68">
      <c r="A68" t="n">
        <v>2026</v>
      </c>
      <c r="B68" t="n">
        <v>3</v>
      </c>
      <c r="C68" t="n">
        <v>80</v>
      </c>
      <c r="D68" t="inlineStr">
        <is>
          <t>8 Finanzergebnis</t>
        </is>
      </c>
      <c r="E68" t="n">
        <v>-9432.18</v>
      </c>
      <c r="F68" t="n">
        <v>12</v>
      </c>
    </row>
    <row r="69">
      <c r="A69" t="n">
        <v>2026</v>
      </c>
      <c r="B69" t="n">
        <v>4</v>
      </c>
      <c r="C69" t="n">
        <v>10</v>
      </c>
      <c r="D69" t="inlineStr">
        <is>
          <t>1 Umsatzerlöse</t>
        </is>
      </c>
      <c r="E69" t="n">
        <v>678343.59</v>
      </c>
      <c r="F69" t="n">
        <v>136</v>
      </c>
    </row>
    <row r="70">
      <c r="A70" t="n">
        <v>2026</v>
      </c>
      <c r="B70" t="n">
        <v>4</v>
      </c>
      <c r="C70" t="n">
        <v>20</v>
      </c>
      <c r="D70" t="inlineStr">
        <is>
          <t>2 Bestandsveränderungen</t>
        </is>
      </c>
      <c r="E70" t="n">
        <v>1261219.89</v>
      </c>
      <c r="F70" t="n">
        <v>14</v>
      </c>
    </row>
    <row r="71">
      <c r="A71" t="n">
        <v>2026</v>
      </c>
      <c r="B71" t="n">
        <v>4</v>
      </c>
      <c r="C71" t="n">
        <v>30</v>
      </c>
      <c r="D71" t="inlineStr">
        <is>
          <t>3 Sonstige betriebliche Erträge</t>
        </is>
      </c>
      <c r="E71" t="n">
        <v>56063.55</v>
      </c>
      <c r="F71" t="n">
        <v>23</v>
      </c>
    </row>
    <row r="72">
      <c r="A72" t="n">
        <v>2026</v>
      </c>
      <c r="B72" t="n">
        <v>4</v>
      </c>
      <c r="C72" t="n">
        <v>40</v>
      </c>
      <c r="D72" t="inlineStr">
        <is>
          <t>4 Materialaufwand</t>
        </is>
      </c>
      <c r="E72" t="n">
        <v>-1520583.11</v>
      </c>
      <c r="F72" t="n">
        <v>518</v>
      </c>
    </row>
    <row r="73">
      <c r="A73" t="n">
        <v>2026</v>
      </c>
      <c r="B73" t="n">
        <v>4</v>
      </c>
      <c r="C73" t="n">
        <v>50</v>
      </c>
      <c r="D73" t="inlineStr">
        <is>
          <t>5 Personalaufwand</t>
        </is>
      </c>
      <c r="E73" t="n">
        <v>-383705.5</v>
      </c>
      <c r="F73" t="n">
        <v>103</v>
      </c>
    </row>
    <row r="74">
      <c r="A74" t="n">
        <v>2026</v>
      </c>
      <c r="B74" t="n">
        <v>4</v>
      </c>
      <c r="C74" t="n">
        <v>60</v>
      </c>
      <c r="D74" t="inlineStr">
        <is>
          <t>6 Abschreibungen</t>
        </is>
      </c>
      <c r="E74" t="n">
        <v>-9599.860000000001</v>
      </c>
      <c r="F74" t="n">
        <v>38</v>
      </c>
    </row>
    <row r="75">
      <c r="A75" t="n">
        <v>2026</v>
      </c>
      <c r="B75" t="n">
        <v>4</v>
      </c>
      <c r="C75" t="n">
        <v>70</v>
      </c>
      <c r="D75" t="inlineStr">
        <is>
          <t>7 Sonstige betriebliche Aufwendungen</t>
        </is>
      </c>
      <c r="E75" t="n">
        <v>-275785.95</v>
      </c>
      <c r="F75" t="n">
        <v>636</v>
      </c>
    </row>
    <row r="76">
      <c r="A76" t="n">
        <v>2026</v>
      </c>
      <c r="B76" t="n">
        <v>4</v>
      </c>
      <c r="C76" t="n">
        <v>80</v>
      </c>
      <c r="D76" t="inlineStr">
        <is>
          <t>8 Finanzergebnis</t>
        </is>
      </c>
      <c r="E76" t="n">
        <v>-8779.92</v>
      </c>
      <c r="F76" t="n">
        <v>11</v>
      </c>
    </row>
    <row r="77">
      <c r="A77" t="n">
        <v>2026</v>
      </c>
      <c r="B77" t="n">
        <v>5</v>
      </c>
      <c r="C77" t="n">
        <v>10</v>
      </c>
      <c r="D77" t="inlineStr">
        <is>
          <t>1 Umsatzerlöse</t>
        </is>
      </c>
      <c r="E77" t="n">
        <v>1347585.48</v>
      </c>
      <c r="F77" t="n">
        <v>130</v>
      </c>
    </row>
    <row r="78">
      <c r="A78" t="n">
        <v>2026</v>
      </c>
      <c r="B78" t="n">
        <v>5</v>
      </c>
      <c r="C78" t="n">
        <v>20</v>
      </c>
      <c r="D78" t="inlineStr">
        <is>
          <t>2 Bestandsveränderungen</t>
        </is>
      </c>
      <c r="E78" t="n">
        <v>-263604.09</v>
      </c>
      <c r="F78" t="n">
        <v>21</v>
      </c>
    </row>
    <row r="79">
      <c r="A79" t="n">
        <v>2026</v>
      </c>
      <c r="B79" t="n">
        <v>5</v>
      </c>
      <c r="C79" t="n">
        <v>30</v>
      </c>
      <c r="D79" t="inlineStr">
        <is>
          <t>3 Sonstige betriebliche Erträge</t>
        </is>
      </c>
      <c r="E79" t="n">
        <v>24678.87</v>
      </c>
      <c r="F79" t="n">
        <v>14</v>
      </c>
    </row>
    <row r="80">
      <c r="A80" t="n">
        <v>2026</v>
      </c>
      <c r="B80" t="n">
        <v>5</v>
      </c>
      <c r="C80" t="n">
        <v>40</v>
      </c>
      <c r="D80" t="inlineStr">
        <is>
          <t>4 Materialaufwand</t>
        </is>
      </c>
      <c r="E80" t="n">
        <v>-582901.1800000001</v>
      </c>
      <c r="F80" t="n">
        <v>346</v>
      </c>
    </row>
    <row r="81">
      <c r="A81" t="n">
        <v>2026</v>
      </c>
      <c r="B81" t="n">
        <v>5</v>
      </c>
      <c r="C81" t="n">
        <v>50</v>
      </c>
      <c r="D81" t="inlineStr">
        <is>
          <t>5 Personalaufwand</t>
        </is>
      </c>
      <c r="E81" t="n">
        <v>-432453.34</v>
      </c>
      <c r="F81" t="n">
        <v>141</v>
      </c>
    </row>
    <row r="82">
      <c r="A82" t="n">
        <v>2026</v>
      </c>
      <c r="B82" t="n">
        <v>5</v>
      </c>
      <c r="C82" t="n">
        <v>60</v>
      </c>
      <c r="D82" t="inlineStr">
        <is>
          <t>6 Abschreibungen</t>
        </is>
      </c>
      <c r="E82" t="n">
        <v>-9655.030000000001</v>
      </c>
      <c r="F82" t="n">
        <v>39</v>
      </c>
    </row>
    <row r="83">
      <c r="A83" t="n">
        <v>2026</v>
      </c>
      <c r="B83" t="n">
        <v>5</v>
      </c>
      <c r="C83" t="n">
        <v>70</v>
      </c>
      <c r="D83" t="inlineStr">
        <is>
          <t>7 Sonstige betriebliche Aufwendungen</t>
        </is>
      </c>
      <c r="E83" t="n">
        <v>-237116.93</v>
      </c>
      <c r="F83" t="n">
        <v>582</v>
      </c>
    </row>
    <row r="84">
      <c r="A84" t="n">
        <v>2026</v>
      </c>
      <c r="B84" t="n">
        <v>5</v>
      </c>
      <c r="C84" t="n">
        <v>80</v>
      </c>
      <c r="D84" t="inlineStr">
        <is>
          <t>8 Finanzergebnis</t>
        </is>
      </c>
      <c r="E84" t="n">
        <v>-15584.75</v>
      </c>
      <c r="F84" t="n">
        <v>11</v>
      </c>
    </row>
    <row r="85">
      <c r="A85" t="n">
        <v>2026</v>
      </c>
      <c r="B85" t="n">
        <v>6</v>
      </c>
      <c r="C85" t="n">
        <v>10</v>
      </c>
      <c r="D85" t="inlineStr">
        <is>
          <t>1 Umsatzerlöse</t>
        </is>
      </c>
      <c r="E85" t="n">
        <v>2470042.1</v>
      </c>
      <c r="F85" t="n">
        <v>162</v>
      </c>
    </row>
    <row r="86">
      <c r="A86" t="n">
        <v>2026</v>
      </c>
      <c r="B86" t="n">
        <v>6</v>
      </c>
      <c r="C86" t="n">
        <v>20</v>
      </c>
      <c r="D86" t="inlineStr">
        <is>
          <t>2 Bestandsveränderungen</t>
        </is>
      </c>
      <c r="E86" t="n">
        <v>314645.23</v>
      </c>
      <c r="F86" t="n">
        <v>18</v>
      </c>
    </row>
    <row r="87">
      <c r="A87" t="n">
        <v>2026</v>
      </c>
      <c r="B87" t="n">
        <v>6</v>
      </c>
      <c r="C87" t="n">
        <v>30</v>
      </c>
      <c r="D87" t="inlineStr">
        <is>
          <t>3 Sonstige betriebliche Erträge</t>
        </is>
      </c>
      <c r="E87" t="n">
        <v>17068.34</v>
      </c>
      <c r="F87" t="n">
        <v>17</v>
      </c>
    </row>
    <row r="88">
      <c r="A88" t="n">
        <v>2026</v>
      </c>
      <c r="B88" t="n">
        <v>6</v>
      </c>
      <c r="C88" t="n">
        <v>40</v>
      </c>
      <c r="D88" t="inlineStr">
        <is>
          <t>4 Materialaufwand</t>
        </is>
      </c>
      <c r="E88" t="n">
        <v>-2109049.83</v>
      </c>
      <c r="F88" t="n">
        <v>381</v>
      </c>
    </row>
    <row r="89">
      <c r="A89" t="n">
        <v>2026</v>
      </c>
      <c r="B89" t="n">
        <v>6</v>
      </c>
      <c r="C89" t="n">
        <v>50</v>
      </c>
      <c r="D89" t="inlineStr">
        <is>
          <t>5 Personalaufwand</t>
        </is>
      </c>
      <c r="E89" t="n">
        <v>-378900.06</v>
      </c>
      <c r="F89" t="n">
        <v>104</v>
      </c>
    </row>
    <row r="90">
      <c r="A90" t="n">
        <v>2026</v>
      </c>
      <c r="B90" t="n">
        <v>6</v>
      </c>
      <c r="C90" t="n">
        <v>60</v>
      </c>
      <c r="D90" t="inlineStr">
        <is>
          <t>6 Abschreibungen</t>
        </is>
      </c>
      <c r="E90" t="n">
        <v>-9047.959999999999</v>
      </c>
      <c r="F90" t="n">
        <v>41</v>
      </c>
    </row>
    <row r="91">
      <c r="A91" t="n">
        <v>2026</v>
      </c>
      <c r="B91" t="n">
        <v>6</v>
      </c>
      <c r="C91" t="n">
        <v>70</v>
      </c>
      <c r="D91" t="inlineStr">
        <is>
          <t>7 Sonstige betriebliche Aufwendungen</t>
        </is>
      </c>
      <c r="E91" t="n">
        <v>-255251.92</v>
      </c>
      <c r="F91" t="n">
        <v>622</v>
      </c>
    </row>
    <row r="92">
      <c r="A92" t="n">
        <v>2026</v>
      </c>
      <c r="B92" t="n">
        <v>6</v>
      </c>
      <c r="C92" t="n">
        <v>80</v>
      </c>
      <c r="D92" t="inlineStr">
        <is>
          <t>8 Finanzergebnis</t>
        </is>
      </c>
      <c r="E92" t="n">
        <v>-12828.32</v>
      </c>
      <c r="F92" t="n">
        <v>17</v>
      </c>
    </row>
    <row r="93">
      <c r="A93" t="n">
        <v>2026</v>
      </c>
      <c r="B93" t="n">
        <v>7</v>
      </c>
      <c r="C93" t="n">
        <v>10</v>
      </c>
      <c r="D93" t="inlineStr">
        <is>
          <t>1 Umsatzerlöse</t>
        </is>
      </c>
      <c r="E93" t="n">
        <v>1323928.2</v>
      </c>
      <c r="F93" t="n">
        <v>142</v>
      </c>
    </row>
    <row r="94">
      <c r="A94" t="n">
        <v>2026</v>
      </c>
      <c r="B94" t="n">
        <v>7</v>
      </c>
      <c r="C94" t="n">
        <v>20</v>
      </c>
      <c r="D94" t="inlineStr">
        <is>
          <t>2 Bestandsveränderungen</t>
        </is>
      </c>
      <c r="E94" t="n">
        <v>294716.46</v>
      </c>
      <c r="F94" t="n">
        <v>17</v>
      </c>
    </row>
    <row r="95">
      <c r="A95" t="n">
        <v>2026</v>
      </c>
      <c r="B95" t="n">
        <v>7</v>
      </c>
      <c r="C95" t="n">
        <v>30</v>
      </c>
      <c r="D95" t="inlineStr">
        <is>
          <t>3 Sonstige betriebliche Erträge</t>
        </is>
      </c>
      <c r="E95" t="n">
        <v>15326.23</v>
      </c>
      <c r="F95" t="n">
        <v>12</v>
      </c>
    </row>
    <row r="96">
      <c r="A96" t="n">
        <v>2026</v>
      </c>
      <c r="B96" t="n">
        <v>7</v>
      </c>
      <c r="C96" t="n">
        <v>40</v>
      </c>
      <c r="D96" t="inlineStr">
        <is>
          <t>4 Materialaufwand</t>
        </is>
      </c>
      <c r="E96" t="n">
        <v>-1512452.36</v>
      </c>
      <c r="F96" t="n">
        <v>500</v>
      </c>
    </row>
    <row r="97">
      <c r="A97" t="n">
        <v>2026</v>
      </c>
      <c r="B97" t="n">
        <v>7</v>
      </c>
      <c r="C97" t="n">
        <v>50</v>
      </c>
      <c r="D97" t="inlineStr">
        <is>
          <t>5 Personalaufwand</t>
        </is>
      </c>
      <c r="E97" t="n">
        <v>-390395</v>
      </c>
      <c r="F97" t="n">
        <v>101</v>
      </c>
    </row>
    <row r="98">
      <c r="A98" t="n">
        <v>2026</v>
      </c>
      <c r="B98" t="n">
        <v>7</v>
      </c>
      <c r="C98" t="n">
        <v>60</v>
      </c>
      <c r="D98" t="inlineStr">
        <is>
          <t>6 Abschreibungen</t>
        </is>
      </c>
      <c r="E98" t="n">
        <v>-9082.969999999999</v>
      </c>
      <c r="F98" t="n">
        <v>38</v>
      </c>
    </row>
    <row r="99">
      <c r="A99" t="n">
        <v>2026</v>
      </c>
      <c r="B99" t="n">
        <v>7</v>
      </c>
      <c r="C99" t="n">
        <v>70</v>
      </c>
      <c r="D99" t="inlineStr">
        <is>
          <t>7 Sonstige betriebliche Aufwendungen</t>
        </is>
      </c>
      <c r="E99" t="n">
        <v>-245246.07</v>
      </c>
      <c r="F99" t="n">
        <v>573</v>
      </c>
    </row>
    <row r="100">
      <c r="A100" t="n">
        <v>2026</v>
      </c>
      <c r="B100" t="n">
        <v>7</v>
      </c>
      <c r="C100" t="n">
        <v>80</v>
      </c>
      <c r="D100" t="inlineStr">
        <is>
          <t>8 Finanzergebnis</t>
        </is>
      </c>
      <c r="E100" t="n">
        <v>-8079.09</v>
      </c>
      <c r="F100" t="n">
        <v>22</v>
      </c>
    </row>
    <row r="101">
      <c r="A101" t="n">
        <v>2026</v>
      </c>
      <c r="B101" t="n">
        <v>8</v>
      </c>
      <c r="C101" t="n">
        <v>10</v>
      </c>
      <c r="D101" t="inlineStr">
        <is>
          <t>1 Umsatzerlöse</t>
        </is>
      </c>
      <c r="E101" t="n">
        <v>854339.84</v>
      </c>
      <c r="F101" t="n">
        <v>183</v>
      </c>
    </row>
    <row r="102">
      <c r="A102" t="n">
        <v>2026</v>
      </c>
      <c r="B102" t="n">
        <v>8</v>
      </c>
      <c r="C102" t="n">
        <v>20</v>
      </c>
      <c r="D102" t="inlineStr">
        <is>
          <t>2 Bestandsveränderungen</t>
        </is>
      </c>
      <c r="E102" t="n">
        <v>1022525.14</v>
      </c>
      <c r="F102" t="n">
        <v>31</v>
      </c>
    </row>
    <row r="103">
      <c r="A103" t="n">
        <v>2026</v>
      </c>
      <c r="B103" t="n">
        <v>8</v>
      </c>
      <c r="C103" t="n">
        <v>30</v>
      </c>
      <c r="D103" t="inlineStr">
        <is>
          <t>3 Sonstige betriebliche Erträge</t>
        </is>
      </c>
      <c r="E103" t="n">
        <v>14281.36</v>
      </c>
      <c r="F103" t="n">
        <v>18</v>
      </c>
    </row>
    <row r="104">
      <c r="A104" t="n">
        <v>2026</v>
      </c>
      <c r="B104" t="n">
        <v>8</v>
      </c>
      <c r="C104" t="n">
        <v>40</v>
      </c>
      <c r="D104" t="inlineStr">
        <is>
          <t>4 Materialaufwand</t>
        </is>
      </c>
      <c r="E104" t="n">
        <v>-1436882.3</v>
      </c>
      <c r="F104" t="n">
        <v>507</v>
      </c>
    </row>
    <row r="105">
      <c r="A105" t="n">
        <v>2026</v>
      </c>
      <c r="B105" t="n">
        <v>8</v>
      </c>
      <c r="C105" t="n">
        <v>50</v>
      </c>
      <c r="D105" t="inlineStr">
        <is>
          <t>5 Personalaufwand</t>
        </is>
      </c>
      <c r="E105" t="n">
        <v>-399129.54</v>
      </c>
      <c r="F105" t="n">
        <v>109</v>
      </c>
    </row>
    <row r="106">
      <c r="A106" t="n">
        <v>2026</v>
      </c>
      <c r="B106" t="n">
        <v>8</v>
      </c>
      <c r="C106" t="n">
        <v>60</v>
      </c>
      <c r="D106" t="inlineStr">
        <is>
          <t>6 Abschreibungen</t>
        </is>
      </c>
      <c r="E106" t="n">
        <v>-9109.85</v>
      </c>
      <c r="F106" t="n">
        <v>37</v>
      </c>
    </row>
    <row r="107">
      <c r="A107" t="n">
        <v>2026</v>
      </c>
      <c r="B107" t="n">
        <v>8</v>
      </c>
      <c r="C107" t="n">
        <v>70</v>
      </c>
      <c r="D107" t="inlineStr">
        <is>
          <t>7 Sonstige betriebliche Aufwendungen</t>
        </is>
      </c>
      <c r="E107" t="n">
        <v>-191884.67</v>
      </c>
      <c r="F107" t="n">
        <v>690</v>
      </c>
    </row>
    <row r="108">
      <c r="A108" t="n">
        <v>2026</v>
      </c>
      <c r="B108" t="n">
        <v>8</v>
      </c>
      <c r="C108" t="n">
        <v>80</v>
      </c>
      <c r="D108" t="inlineStr">
        <is>
          <t>8 Finanzergebnis</t>
        </is>
      </c>
      <c r="E108" t="n">
        <v>-12425.47</v>
      </c>
      <c r="F108" t="n">
        <v>23</v>
      </c>
    </row>
    <row r="109">
      <c r="A109" t="n">
        <v>2026</v>
      </c>
      <c r="B109" t="n">
        <v>9</v>
      </c>
      <c r="C109" t="n">
        <v>10</v>
      </c>
      <c r="D109" t="inlineStr">
        <is>
          <t>1 Umsatzerlöse</t>
        </is>
      </c>
      <c r="E109" t="n">
        <v>885382.71</v>
      </c>
      <c r="F109" t="n">
        <v>72</v>
      </c>
    </row>
    <row r="110">
      <c r="A110" t="n">
        <v>2026</v>
      </c>
      <c r="B110" t="n">
        <v>9</v>
      </c>
      <c r="C110" t="n">
        <v>30</v>
      </c>
      <c r="D110" t="inlineStr">
        <is>
          <t>3 Sonstige betriebliche Erträge</t>
        </is>
      </c>
      <c r="E110" t="n">
        <v>325242.43</v>
      </c>
      <c r="F110" t="n">
        <v>17</v>
      </c>
    </row>
    <row r="111">
      <c r="A111" t="n">
        <v>2026</v>
      </c>
      <c r="B111" t="n">
        <v>9</v>
      </c>
      <c r="C111" t="n">
        <v>40</v>
      </c>
      <c r="D111" t="inlineStr">
        <is>
          <t>4 Materialaufwand</t>
        </is>
      </c>
      <c r="E111" t="n">
        <v>-1735737.84</v>
      </c>
      <c r="F111" t="n">
        <v>328</v>
      </c>
    </row>
    <row r="112">
      <c r="A112" t="n">
        <v>2026</v>
      </c>
      <c r="B112" t="n">
        <v>9</v>
      </c>
      <c r="C112" t="n">
        <v>50</v>
      </c>
      <c r="D112" t="inlineStr">
        <is>
          <t>5 Personalaufwand</t>
        </is>
      </c>
      <c r="E112" t="n">
        <v>-356776.51</v>
      </c>
      <c r="F112" t="n">
        <v>86</v>
      </c>
    </row>
    <row r="113">
      <c r="A113" t="n">
        <v>2026</v>
      </c>
      <c r="B113" t="n">
        <v>9</v>
      </c>
      <c r="C113" t="n">
        <v>60</v>
      </c>
      <c r="D113" t="inlineStr">
        <is>
          <t>6 Abschreibungen</t>
        </is>
      </c>
      <c r="E113" t="n">
        <v>-9102</v>
      </c>
      <c r="F113" t="n">
        <v>35</v>
      </c>
    </row>
    <row r="114">
      <c r="A114" t="n">
        <v>2026</v>
      </c>
      <c r="B114" t="n">
        <v>9</v>
      </c>
      <c r="C114" t="n">
        <v>70</v>
      </c>
      <c r="D114" t="inlineStr">
        <is>
          <t>7 Sonstige betriebliche Aufwendungen</t>
        </is>
      </c>
      <c r="E114" t="n">
        <v>-258426.01</v>
      </c>
      <c r="F114" t="n">
        <v>505</v>
      </c>
    </row>
    <row r="115">
      <c r="A115" t="n">
        <v>2026</v>
      </c>
      <c r="B115" t="n">
        <v>9</v>
      </c>
      <c r="C115" t="n">
        <v>80</v>
      </c>
      <c r="D115" t="inlineStr">
        <is>
          <t>8 Finanzergebnis</t>
        </is>
      </c>
      <c r="E115" t="n">
        <v>8366</v>
      </c>
      <c r="F115" t="n">
        <v>8</v>
      </c>
    </row>
    <row r="119">
      <c r="A119" t="inlineStr">
        <is>
          <t>v_forecast_monat</t>
        </is>
      </c>
    </row>
    <row r="120">
      <c r="A120" t="inlineStr">
        <is>
          <t>jahr</t>
        </is>
      </c>
      <c r="B120" t="inlineStr">
        <is>
          <t>region</t>
        </is>
      </c>
      <c r="C120" t="inlineStr">
        <is>
          <t>monat</t>
        </is>
      </c>
      <c r="D120" t="inlineStr">
        <is>
          <t>umsatz_plan</t>
        </is>
      </c>
      <c r="E120" t="inlineStr">
        <is>
          <t>kosten_plan</t>
        </is>
      </c>
      <c r="F120" t="inlineStr">
        <is>
          <t>umsatz_gemeldet</t>
        </is>
      </c>
      <c r="G120" t="inlineStr">
        <is>
          <t>kosten_gemeldet</t>
        </is>
      </c>
      <c r="H120" t="inlineStr">
        <is>
          <t>umsatz_sap</t>
        </is>
      </c>
      <c r="I120" t="inlineStr">
        <is>
          <t>kosten_sap</t>
        </is>
      </c>
      <c r="J120" t="inlineStr">
        <is>
          <t>db_plan</t>
        </is>
      </c>
      <c r="K120" t="inlineStr">
        <is>
          <t>db_sap</t>
        </is>
      </c>
      <c r="L120" t="inlineStr">
        <is>
          <t>umsatz_meldediff</t>
        </is>
      </c>
      <c r="M120" t="inlineStr">
        <is>
          <t>kosten_meldediff</t>
        </is>
      </c>
      <c r="N120" t="inlineStr">
        <is>
          <t>ba_plan</t>
        </is>
      </c>
      <c r="O120" t="inlineStr">
        <is>
          <t>ba_sap</t>
        </is>
      </c>
    </row>
    <row r="121">
      <c r="A121" t="n">
        <v>2026</v>
      </c>
      <c r="B121" t="inlineStr">
        <is>
          <t>Süd-West</t>
        </is>
      </c>
      <c r="C121" t="n">
        <v>6</v>
      </c>
      <c r="D121" t="n">
        <v>0</v>
      </c>
      <c r="E121" t="n">
        <v>0</v>
      </c>
      <c r="F121" t="n">
        <v>672893.3100000001</v>
      </c>
      <c r="G121" t="n">
        <v>-891420.95</v>
      </c>
      <c r="H121" t="n">
        <v>732119.79</v>
      </c>
      <c r="I121" t="n">
        <v>-541306.36</v>
      </c>
      <c r="J121" t="n">
        <v>0</v>
      </c>
      <c r="K121" t="n">
        <v>131586.95</v>
      </c>
      <c r="L121" t="n">
        <v>-59226.48</v>
      </c>
      <c r="M121" t="n">
        <v>-350114.59</v>
      </c>
      <c r="N121" t="n">
        <v>0</v>
      </c>
      <c r="O121" t="n">
        <v>-59226.48</v>
      </c>
    </row>
    <row r="122">
      <c r="A122" t="n">
        <v>2026</v>
      </c>
      <c r="B122" t="inlineStr">
        <is>
          <t>Ost</t>
        </is>
      </c>
      <c r="C122" t="n">
        <v>9</v>
      </c>
      <c r="D122" t="n">
        <v>336400</v>
      </c>
      <c r="E122" t="n">
        <v>-279000</v>
      </c>
      <c r="F122" t="n">
        <v>0</v>
      </c>
      <c r="G122" t="n">
        <v>0</v>
      </c>
      <c r="H122" t="n">
        <v>21979.5</v>
      </c>
      <c r="I122" t="n">
        <v>-56664.97</v>
      </c>
      <c r="J122" t="n">
        <v>57400</v>
      </c>
      <c r="K122" t="n">
        <v>-34685.47</v>
      </c>
      <c r="L122" t="n">
        <v>-21979.5</v>
      </c>
      <c r="M122" t="n">
        <v>56664.97</v>
      </c>
      <c r="N122" t="n">
        <v>0</v>
      </c>
      <c r="O122" t="n">
        <v>0</v>
      </c>
    </row>
    <row r="123">
      <c r="A123" t="n">
        <v>2026</v>
      </c>
      <c r="B123" t="inlineStr">
        <is>
          <t>Süd-West</t>
        </is>
      </c>
      <c r="C123" t="n">
        <v>7</v>
      </c>
      <c r="D123" t="n">
        <v>0</v>
      </c>
      <c r="E123" t="n">
        <v>0</v>
      </c>
      <c r="F123" t="n">
        <v>353807.94</v>
      </c>
      <c r="G123" t="n">
        <v>-658322.75</v>
      </c>
      <c r="H123" t="n">
        <v>600733.45</v>
      </c>
      <c r="I123" t="n">
        <v>-357821.82</v>
      </c>
      <c r="J123" t="n">
        <v>0</v>
      </c>
      <c r="K123" t="n">
        <v>-4013.88</v>
      </c>
      <c r="L123" t="n">
        <v>-246925.51</v>
      </c>
      <c r="M123" t="n">
        <v>-300500.93</v>
      </c>
      <c r="N123" t="n">
        <v>0</v>
      </c>
      <c r="O123" t="n">
        <v>-246925.51</v>
      </c>
    </row>
    <row r="124">
      <c r="A124" t="n">
        <v>2026</v>
      </c>
      <c r="B124" t="inlineStr">
        <is>
          <t>Berlin</t>
        </is>
      </c>
      <c r="C124" t="n">
        <v>6</v>
      </c>
      <c r="D124" t="n">
        <v>0</v>
      </c>
      <c r="E124" t="n">
        <v>0</v>
      </c>
      <c r="F124" t="n">
        <v>140043.52</v>
      </c>
      <c r="G124" t="n">
        <v>-92589.22</v>
      </c>
      <c r="H124" t="n">
        <v>295727.88</v>
      </c>
      <c r="I124" t="n">
        <v>-29551.74</v>
      </c>
      <c r="J124" t="n">
        <v>0</v>
      </c>
      <c r="K124" t="n">
        <v>110491.78</v>
      </c>
      <c r="L124" t="n">
        <v>-155684.36</v>
      </c>
      <c r="M124" t="n">
        <v>-63037.48</v>
      </c>
      <c r="N124" t="n">
        <v>0</v>
      </c>
      <c r="O124" t="n">
        <v>-155684.36</v>
      </c>
    </row>
    <row r="125">
      <c r="A125" t="n">
        <v>2026</v>
      </c>
      <c r="B125" t="inlineStr">
        <is>
          <t>West</t>
        </is>
      </c>
      <c r="C125" t="n">
        <v>3</v>
      </c>
      <c r="D125" t="n">
        <v>379206.89</v>
      </c>
      <c r="E125" t="n">
        <v>-499149.29</v>
      </c>
      <c r="F125" t="n">
        <v>1111344.07</v>
      </c>
      <c r="G125" t="n">
        <v>-790667.58</v>
      </c>
      <c r="H125" t="n">
        <v>255457.91</v>
      </c>
      <c r="I125" t="n">
        <v>-790606.66</v>
      </c>
      <c r="J125" t="n">
        <v>-119942.4</v>
      </c>
      <c r="K125" t="n">
        <v>320737.41</v>
      </c>
      <c r="L125" t="n">
        <v>855886.16</v>
      </c>
      <c r="M125" t="n">
        <v>-60.92</v>
      </c>
      <c r="N125" t="n">
        <v>0</v>
      </c>
      <c r="O125" t="n">
        <v>855886.16</v>
      </c>
    </row>
    <row r="126">
      <c r="A126" t="n">
        <v>2026</v>
      </c>
      <c r="B126" t="inlineStr">
        <is>
          <t>Verwaltung</t>
        </is>
      </c>
      <c r="C126" t="n">
        <v>9</v>
      </c>
      <c r="D126" t="n">
        <v>0</v>
      </c>
      <c r="E126" t="n">
        <v>-57700</v>
      </c>
      <c r="F126" t="n">
        <v>0</v>
      </c>
      <c r="G126" t="n">
        <v>0</v>
      </c>
      <c r="H126" t="n">
        <v>0</v>
      </c>
      <c r="I126" t="n">
        <v>-56905.18</v>
      </c>
      <c r="J126" t="n">
        <v>-57700</v>
      </c>
      <c r="K126" t="n">
        <v>-56905.18</v>
      </c>
      <c r="L126" t="n">
        <v>0</v>
      </c>
      <c r="M126" t="n">
        <v>56905.18</v>
      </c>
      <c r="N126" t="n">
        <v>0</v>
      </c>
      <c r="O126" t="n">
        <v>0</v>
      </c>
    </row>
    <row r="127">
      <c r="A127" t="n">
        <v>2026</v>
      </c>
      <c r="B127" t="inlineStr">
        <is>
          <t>Ost</t>
        </is>
      </c>
      <c r="C127" t="n">
        <v>1</v>
      </c>
      <c r="D127" t="n">
        <v>0</v>
      </c>
      <c r="E127" t="n">
        <v>0</v>
      </c>
      <c r="F127" t="n">
        <v>381141.59</v>
      </c>
      <c r="G127" t="n">
        <v>-442112.78</v>
      </c>
      <c r="H127" t="n">
        <v>15823.05</v>
      </c>
      <c r="I127" t="n">
        <v>-294050.62</v>
      </c>
      <c r="J127" t="n">
        <v>0</v>
      </c>
      <c r="K127" t="n">
        <v>87090.97</v>
      </c>
      <c r="L127" t="n">
        <v>365318.54</v>
      </c>
      <c r="M127" t="n">
        <v>-148062.16</v>
      </c>
      <c r="N127" t="n">
        <v>0</v>
      </c>
      <c r="O127" t="n">
        <v>365318.54</v>
      </c>
    </row>
    <row r="128">
      <c r="A128" t="n">
        <v>2026</v>
      </c>
      <c r="B128" t="inlineStr">
        <is>
          <t>Berlin</t>
        </is>
      </c>
      <c r="C128" t="n">
        <v>1</v>
      </c>
      <c r="D128" t="n">
        <v>0</v>
      </c>
      <c r="E128" t="n">
        <v>0</v>
      </c>
      <c r="F128" t="n">
        <v>69580.17</v>
      </c>
      <c r="G128" t="n">
        <v>-133048.22</v>
      </c>
      <c r="H128" t="n">
        <v>-2201.74</v>
      </c>
      <c r="I128" t="n">
        <v>-104015.08</v>
      </c>
      <c r="J128" t="n">
        <v>0</v>
      </c>
      <c r="K128" t="n">
        <v>-34434.91</v>
      </c>
      <c r="L128" t="n">
        <v>71781.91</v>
      </c>
      <c r="M128" t="n">
        <v>-29033.14</v>
      </c>
      <c r="N128" t="n">
        <v>0</v>
      </c>
      <c r="O128" t="n">
        <v>71781.91</v>
      </c>
    </row>
    <row r="129">
      <c r="A129" t="n">
        <v>2026</v>
      </c>
      <c r="B129" t="inlineStr">
        <is>
          <t>West</t>
        </is>
      </c>
      <c r="C129" t="n">
        <v>9</v>
      </c>
      <c r="D129" t="n">
        <v>1561994</v>
      </c>
      <c r="E129" t="n">
        <v>-1275000</v>
      </c>
      <c r="F129" t="n">
        <v>0</v>
      </c>
      <c r="G129" t="n">
        <v>0</v>
      </c>
      <c r="H129" t="n">
        <v>845719.74</v>
      </c>
      <c r="I129" t="n">
        <v>-1287026.45</v>
      </c>
      <c r="J129" t="n">
        <v>286994</v>
      </c>
      <c r="K129" t="n">
        <v>-441306.71</v>
      </c>
      <c r="L129" t="n">
        <v>-845719.74</v>
      </c>
      <c r="M129" t="n">
        <v>1287026.45</v>
      </c>
      <c r="N129" t="n">
        <v>0</v>
      </c>
      <c r="O129" t="n">
        <v>0</v>
      </c>
    </row>
    <row r="130">
      <c r="A130" t="n">
        <v>2026</v>
      </c>
      <c r="B130" t="inlineStr">
        <is>
          <t>Ost</t>
        </is>
      </c>
      <c r="C130" t="n">
        <v>7</v>
      </c>
      <c r="D130" t="n">
        <v>0</v>
      </c>
      <c r="E130" t="n">
        <v>0</v>
      </c>
      <c r="F130" t="n">
        <v>621983.46</v>
      </c>
      <c r="G130" t="n">
        <v>-1294155.85</v>
      </c>
      <c r="H130" t="n">
        <v>554294.62</v>
      </c>
      <c r="I130" t="n">
        <v>-393656.74</v>
      </c>
      <c r="J130" t="n">
        <v>0</v>
      </c>
      <c r="K130" t="n">
        <v>228326.72</v>
      </c>
      <c r="L130" t="n">
        <v>67688.84</v>
      </c>
      <c r="M130" t="n">
        <v>-900499.11</v>
      </c>
      <c r="N130" t="n">
        <v>0</v>
      </c>
      <c r="O130" t="n">
        <v>67688.84</v>
      </c>
    </row>
    <row r="131">
      <c r="A131" t="n">
        <v>2026</v>
      </c>
      <c r="B131" t="inlineStr">
        <is>
          <t>Berlin</t>
        </is>
      </c>
      <c r="C131" t="n">
        <v>9</v>
      </c>
      <c r="D131" t="n">
        <v>52550</v>
      </c>
      <c r="E131" t="n">
        <v>-10000</v>
      </c>
      <c r="F131" t="n">
        <v>0</v>
      </c>
      <c r="G131" t="n">
        <v>0</v>
      </c>
      <c r="H131" t="n">
        <v>18269.27</v>
      </c>
      <c r="I131" t="n">
        <v>-13480.65</v>
      </c>
      <c r="J131" t="n">
        <v>42550</v>
      </c>
      <c r="K131" t="n">
        <v>4788.62</v>
      </c>
      <c r="L131" t="n">
        <v>-18269.27</v>
      </c>
      <c r="M131" t="n">
        <v>13480.65</v>
      </c>
      <c r="N131" t="n">
        <v>0</v>
      </c>
      <c r="O131" t="n">
        <v>0</v>
      </c>
    </row>
    <row r="132">
      <c r="A132" t="n">
        <v>2026</v>
      </c>
      <c r="B132" t="inlineStr">
        <is>
          <t>West</t>
        </is>
      </c>
      <c r="C132" t="n">
        <v>6</v>
      </c>
      <c r="D132" t="n">
        <v>535828.72</v>
      </c>
      <c r="E132" t="n">
        <v>-661247.4300000001</v>
      </c>
      <c r="F132" t="n">
        <v>1404357.27</v>
      </c>
      <c r="G132" t="n">
        <v>-1253446.22</v>
      </c>
      <c r="H132" t="n">
        <v>998990.23</v>
      </c>
      <c r="I132" t="n">
        <v>-1252895.31</v>
      </c>
      <c r="J132" t="n">
        <v>-125418.71</v>
      </c>
      <c r="K132" t="n">
        <v>151461.96</v>
      </c>
      <c r="L132" t="n">
        <v>405367.04</v>
      </c>
      <c r="M132" t="n">
        <v>-550.91</v>
      </c>
      <c r="N132" t="n">
        <v>0</v>
      </c>
      <c r="O132" t="n">
        <v>405367.04</v>
      </c>
    </row>
    <row r="133">
      <c r="A133" t="n">
        <v>2026</v>
      </c>
      <c r="B133" t="inlineStr">
        <is>
          <t>Ost</t>
        </is>
      </c>
      <c r="C133" t="n">
        <v>6</v>
      </c>
      <c r="D133" t="n">
        <v>0</v>
      </c>
      <c r="E133" t="n">
        <v>0</v>
      </c>
      <c r="F133" t="n">
        <v>565551.03</v>
      </c>
      <c r="G133" t="n">
        <v>-1143216.08</v>
      </c>
      <c r="H133" t="n">
        <v>441362</v>
      </c>
      <c r="I133" t="n">
        <v>-393915.11</v>
      </c>
      <c r="J133" t="n">
        <v>0</v>
      </c>
      <c r="K133" t="n">
        <v>171635.92</v>
      </c>
      <c r="L133" t="n">
        <v>124189.03</v>
      </c>
      <c r="M133" t="n">
        <v>-749300.97</v>
      </c>
      <c r="N133" t="n">
        <v>0</v>
      </c>
      <c r="O133" t="n">
        <v>124189.03</v>
      </c>
    </row>
    <row r="134">
      <c r="A134" t="n">
        <v>2026</v>
      </c>
      <c r="B134" t="inlineStr">
        <is>
          <t>Süd-West</t>
        </is>
      </c>
      <c r="C134" t="n">
        <v>9</v>
      </c>
      <c r="D134" t="n">
        <v>654000</v>
      </c>
      <c r="E134" t="n">
        <v>-514800</v>
      </c>
      <c r="F134" t="n">
        <v>0</v>
      </c>
      <c r="G134" t="n">
        <v>10000</v>
      </c>
      <c r="H134" t="n">
        <v>5198.24</v>
      </c>
      <c r="I134" t="n">
        <v>-277876.73</v>
      </c>
      <c r="J134" t="n">
        <v>139200</v>
      </c>
      <c r="K134" t="n">
        <v>-272678.49</v>
      </c>
      <c r="L134" t="n">
        <v>-5198.24</v>
      </c>
      <c r="M134" t="n">
        <v>287876.73</v>
      </c>
      <c r="N134" t="n">
        <v>0</v>
      </c>
      <c r="O134" t="n">
        <v>0</v>
      </c>
    </row>
    <row r="135">
      <c r="A135" t="n">
        <v>2026</v>
      </c>
      <c r="B135" t="inlineStr">
        <is>
          <t>West</t>
        </is>
      </c>
      <c r="C135" t="n">
        <v>7</v>
      </c>
      <c r="D135" t="n">
        <v>624510.8100000001</v>
      </c>
      <c r="E135" t="n">
        <v>-1429341.99</v>
      </c>
      <c r="F135" t="n">
        <v>456973.6</v>
      </c>
      <c r="G135" t="n">
        <v>-826051.42</v>
      </c>
      <c r="H135" t="n">
        <v>214452.93</v>
      </c>
      <c r="I135" t="n">
        <v>-819214.84</v>
      </c>
      <c r="J135" t="n">
        <v>-804831.1800000001</v>
      </c>
      <c r="K135" t="n">
        <v>-228736.67</v>
      </c>
      <c r="L135" t="n">
        <v>242520.67</v>
      </c>
      <c r="M135" t="n">
        <v>-6836.58</v>
      </c>
      <c r="N135" t="n">
        <v>0</v>
      </c>
      <c r="O135" t="n">
        <v>376025.24</v>
      </c>
    </row>
    <row r="136">
      <c r="A136" t="n">
        <v>2026</v>
      </c>
      <c r="B136" t="inlineStr">
        <is>
          <t>Verwaltung</t>
        </is>
      </c>
      <c r="C136" t="n">
        <v>1</v>
      </c>
      <c r="D136" t="n">
        <v>0</v>
      </c>
      <c r="E136" t="n">
        <v>0</v>
      </c>
      <c r="F136" t="n">
        <v>0</v>
      </c>
      <c r="G136" t="n">
        <v>-91868.83</v>
      </c>
      <c r="H136" t="n">
        <v>0</v>
      </c>
      <c r="I136" t="n">
        <v>-50195.1</v>
      </c>
      <c r="J136" t="n">
        <v>0</v>
      </c>
      <c r="K136" t="n">
        <v>-50195.1</v>
      </c>
      <c r="L136" t="n">
        <v>0</v>
      </c>
      <c r="M136" t="n">
        <v>-41673.73</v>
      </c>
      <c r="N136" t="n">
        <v>0</v>
      </c>
      <c r="O136" t="n">
        <v>0</v>
      </c>
    </row>
    <row r="137">
      <c r="A137" t="n">
        <v>2026</v>
      </c>
      <c r="B137" t="inlineStr">
        <is>
          <t>Süd-West</t>
        </is>
      </c>
      <c r="C137" t="n">
        <v>3</v>
      </c>
      <c r="D137" t="n">
        <v>0</v>
      </c>
      <c r="E137" t="n">
        <v>0</v>
      </c>
      <c r="F137" t="n">
        <v>144183.31</v>
      </c>
      <c r="G137" t="n">
        <v>-565057.95</v>
      </c>
      <c r="H137" t="n">
        <v>320056.06</v>
      </c>
      <c r="I137" t="n">
        <v>-241825.05</v>
      </c>
      <c r="J137" t="n">
        <v>0</v>
      </c>
      <c r="K137" t="n">
        <v>-97641.74000000001</v>
      </c>
      <c r="L137" t="n">
        <v>-175872.75</v>
      </c>
      <c r="M137" t="n">
        <v>-323232.9</v>
      </c>
      <c r="N137" t="n">
        <v>0</v>
      </c>
      <c r="O137" t="n">
        <v>-175872.75</v>
      </c>
    </row>
    <row r="138">
      <c r="A138" t="n">
        <v>2026</v>
      </c>
      <c r="B138" t="inlineStr">
        <is>
          <t>West</t>
        </is>
      </c>
      <c r="C138" t="n">
        <v>2</v>
      </c>
      <c r="D138" t="n">
        <v>215345.42</v>
      </c>
      <c r="E138" t="n">
        <v>-241119.56</v>
      </c>
      <c r="F138" t="n">
        <v>646204.4399999999</v>
      </c>
      <c r="G138" t="n">
        <v>-911746.35</v>
      </c>
      <c r="H138" t="n">
        <v>403993.79</v>
      </c>
      <c r="I138" t="n">
        <v>-909508.38</v>
      </c>
      <c r="J138" t="n">
        <v>-25774.14</v>
      </c>
      <c r="K138" t="n">
        <v>293647.64</v>
      </c>
      <c r="L138" t="n">
        <v>242210.65</v>
      </c>
      <c r="M138" t="n">
        <v>-2237.97</v>
      </c>
      <c r="N138" t="n">
        <v>0</v>
      </c>
      <c r="O138" t="n">
        <v>799162.23</v>
      </c>
    </row>
    <row r="139">
      <c r="A139" t="n">
        <v>2026</v>
      </c>
      <c r="B139" t="inlineStr">
        <is>
          <t>Verwaltung</t>
        </is>
      </c>
      <c r="C139" t="n">
        <v>7</v>
      </c>
      <c r="D139" t="n">
        <v>0</v>
      </c>
      <c r="E139" t="n">
        <v>0</v>
      </c>
      <c r="F139" t="n">
        <v>0</v>
      </c>
      <c r="G139" t="n">
        <v>-82865.89</v>
      </c>
      <c r="H139" t="n">
        <v>0</v>
      </c>
      <c r="I139" t="n">
        <v>-61244.52</v>
      </c>
      <c r="J139" t="n">
        <v>0</v>
      </c>
      <c r="K139" t="n">
        <v>-61244.52</v>
      </c>
      <c r="L139" t="n">
        <v>0</v>
      </c>
      <c r="M139" t="n">
        <v>-21621.37</v>
      </c>
      <c r="N139" t="n">
        <v>0</v>
      </c>
      <c r="O139" t="n">
        <v>0</v>
      </c>
    </row>
    <row r="140">
      <c r="A140" t="n">
        <v>2026</v>
      </c>
      <c r="B140" t="inlineStr">
        <is>
          <t>Berlin</t>
        </is>
      </c>
      <c r="C140" t="n">
        <v>3</v>
      </c>
      <c r="D140" t="n">
        <v>0</v>
      </c>
      <c r="E140" t="n">
        <v>0</v>
      </c>
      <c r="F140" t="n">
        <v>413588.23</v>
      </c>
      <c r="G140" t="n">
        <v>-538720.38</v>
      </c>
      <c r="H140" t="n">
        <v>15393.95</v>
      </c>
      <c r="I140" t="n">
        <v>-363293.61</v>
      </c>
      <c r="J140" t="n">
        <v>0</v>
      </c>
      <c r="K140" t="n">
        <v>50294.62</v>
      </c>
      <c r="L140" t="n">
        <v>398194.28</v>
      </c>
      <c r="M140" t="n">
        <v>-175426.77</v>
      </c>
      <c r="N140" t="n">
        <v>0</v>
      </c>
      <c r="O140" t="n">
        <v>398194.28</v>
      </c>
    </row>
    <row r="141">
      <c r="A141" t="n">
        <v>2026</v>
      </c>
      <c r="B141" t="inlineStr">
        <is>
          <t>Verwaltung</t>
        </is>
      </c>
      <c r="C141" t="n">
        <v>6</v>
      </c>
      <c r="D141" t="n">
        <v>0</v>
      </c>
      <c r="E141" t="n">
        <v>0</v>
      </c>
      <c r="F141" t="n">
        <v>0</v>
      </c>
      <c r="G141" t="n">
        <v>-114518.67</v>
      </c>
      <c r="H141" t="n">
        <v>0</v>
      </c>
      <c r="I141" t="n">
        <v>-66790.36</v>
      </c>
      <c r="J141" t="n">
        <v>0</v>
      </c>
      <c r="K141" t="n">
        <v>-66790.36</v>
      </c>
      <c r="L141" t="n">
        <v>0</v>
      </c>
      <c r="M141" t="n">
        <v>-47728.31</v>
      </c>
      <c r="N141" t="n">
        <v>0</v>
      </c>
      <c r="O141" t="n">
        <v>0</v>
      </c>
    </row>
    <row r="142">
      <c r="A142" t="n">
        <v>2026</v>
      </c>
      <c r="B142" t="inlineStr">
        <is>
          <t>Berlin</t>
        </is>
      </c>
      <c r="C142" t="n">
        <v>7</v>
      </c>
      <c r="D142" t="n">
        <v>0</v>
      </c>
      <c r="E142" t="n">
        <v>0</v>
      </c>
      <c r="F142" t="n">
        <v>52375.1</v>
      </c>
      <c r="G142" t="n">
        <v>-71915.44</v>
      </c>
      <c r="H142" t="n">
        <v>-45552.79</v>
      </c>
      <c r="I142" t="n">
        <v>-27694.71</v>
      </c>
      <c r="J142" t="n">
        <v>0</v>
      </c>
      <c r="K142" t="n">
        <v>24680.39</v>
      </c>
      <c r="L142" t="n">
        <v>97927.89</v>
      </c>
      <c r="M142" t="n">
        <v>-44220.73</v>
      </c>
      <c r="N142" t="n">
        <v>0</v>
      </c>
      <c r="O142" t="n">
        <v>97927.89</v>
      </c>
    </row>
    <row r="143">
      <c r="A143" t="n">
        <v>2026</v>
      </c>
      <c r="B143" t="inlineStr">
        <is>
          <t>Ost</t>
        </is>
      </c>
      <c r="C143" t="n">
        <v>8</v>
      </c>
      <c r="D143" t="n">
        <v>477600</v>
      </c>
      <c r="E143" t="n">
        <v>-248760</v>
      </c>
      <c r="F143" t="n">
        <v>0</v>
      </c>
      <c r="G143" t="n">
        <v>0</v>
      </c>
      <c r="H143" t="n">
        <v>371050.11</v>
      </c>
      <c r="I143" t="n">
        <v>-326485.61</v>
      </c>
      <c r="J143" t="n">
        <v>228840</v>
      </c>
      <c r="K143" t="n">
        <v>138660.43</v>
      </c>
      <c r="L143" t="n">
        <v>-371050.11</v>
      </c>
      <c r="M143" t="n">
        <v>326485.61</v>
      </c>
      <c r="N143" t="n">
        <v>0</v>
      </c>
      <c r="O143" t="n">
        <v>94095.92999999999</v>
      </c>
    </row>
    <row r="144">
      <c r="A144" t="n">
        <v>2026</v>
      </c>
      <c r="B144" t="inlineStr">
        <is>
          <t>Verwaltung</t>
        </is>
      </c>
      <c r="C144" t="n">
        <v>4</v>
      </c>
      <c r="D144" t="n">
        <v>0</v>
      </c>
      <c r="E144" t="n">
        <v>0</v>
      </c>
      <c r="F144" t="n">
        <v>0</v>
      </c>
      <c r="G144" t="n">
        <v>-120968.95</v>
      </c>
      <c r="H144" t="n">
        <v>0</v>
      </c>
      <c r="I144" t="n">
        <v>-79573.74000000001</v>
      </c>
      <c r="J144" t="n">
        <v>0</v>
      </c>
      <c r="K144" t="n">
        <v>-79573.74000000001</v>
      </c>
      <c r="L144" t="n">
        <v>0</v>
      </c>
      <c r="M144" t="n">
        <v>-41395.21</v>
      </c>
      <c r="N144" t="n">
        <v>0</v>
      </c>
      <c r="O144" t="n">
        <v>0</v>
      </c>
    </row>
    <row r="145">
      <c r="A145" t="n">
        <v>2026</v>
      </c>
      <c r="B145" t="inlineStr">
        <is>
          <t>Ost</t>
        </is>
      </c>
      <c r="C145" t="n">
        <v>5</v>
      </c>
      <c r="D145" t="n">
        <v>0</v>
      </c>
      <c r="E145" t="n">
        <v>0</v>
      </c>
      <c r="F145" t="n">
        <v>377418.86</v>
      </c>
      <c r="G145" t="n">
        <v>-575443.5600000001</v>
      </c>
      <c r="H145" t="n">
        <v>371881.94</v>
      </c>
      <c r="I145" t="n">
        <v>-270035.63</v>
      </c>
      <c r="J145" t="n">
        <v>0</v>
      </c>
      <c r="K145" t="n">
        <v>107383.23</v>
      </c>
      <c r="L145" t="n">
        <v>5536.92</v>
      </c>
      <c r="M145" t="n">
        <v>-305407.93</v>
      </c>
      <c r="N145" t="n">
        <v>0</v>
      </c>
      <c r="O145" t="n">
        <v>5536.92</v>
      </c>
    </row>
    <row r="146">
      <c r="A146" t="n">
        <v>2026</v>
      </c>
      <c r="B146" t="inlineStr">
        <is>
          <t>Berlin</t>
        </is>
      </c>
      <c r="C146" t="n">
        <v>5</v>
      </c>
      <c r="D146" t="n">
        <v>0</v>
      </c>
      <c r="E146" t="n">
        <v>0</v>
      </c>
      <c r="F146" t="n">
        <v>49644.86</v>
      </c>
      <c r="G146" t="n">
        <v>-636932.9300000001</v>
      </c>
      <c r="H146" t="n">
        <v>60423.55</v>
      </c>
      <c r="I146" t="n">
        <v>-6565.29</v>
      </c>
      <c r="J146" t="n">
        <v>0</v>
      </c>
      <c r="K146" t="n">
        <v>43079.57</v>
      </c>
      <c r="L146" t="n">
        <v>-10778.69</v>
      </c>
      <c r="M146" t="n">
        <v>-630367.64</v>
      </c>
      <c r="N146" t="n">
        <v>0</v>
      </c>
      <c r="O146" t="n">
        <v>-10778.69</v>
      </c>
    </row>
    <row r="147">
      <c r="A147" t="n">
        <v>2026</v>
      </c>
      <c r="B147" t="inlineStr">
        <is>
          <t>Ost</t>
        </is>
      </c>
      <c r="C147" t="n">
        <v>4</v>
      </c>
      <c r="D147" t="n">
        <v>0</v>
      </c>
      <c r="E147" t="n">
        <v>0</v>
      </c>
      <c r="F147" t="n">
        <v>632669.73</v>
      </c>
      <c r="G147" t="n">
        <v>-1468479.97</v>
      </c>
      <c r="H147" t="n">
        <v>427146.01</v>
      </c>
      <c r="I147" t="n">
        <v>-477628.24</v>
      </c>
      <c r="J147" t="n">
        <v>0</v>
      </c>
      <c r="K147" t="n">
        <v>155041.49</v>
      </c>
      <c r="L147" t="n">
        <v>205523.72</v>
      </c>
      <c r="M147" t="n">
        <v>-990851.73</v>
      </c>
      <c r="N147" t="n">
        <v>0</v>
      </c>
      <c r="O147" t="n">
        <v>205523.72</v>
      </c>
    </row>
    <row r="148">
      <c r="A148" t="n">
        <v>2026</v>
      </c>
      <c r="B148" t="inlineStr">
        <is>
          <t>Berlin</t>
        </is>
      </c>
      <c r="C148" t="n">
        <v>4</v>
      </c>
      <c r="D148" t="n">
        <v>0</v>
      </c>
      <c r="E148" t="n">
        <v>0</v>
      </c>
      <c r="F148" t="n">
        <v>32483.42</v>
      </c>
      <c r="G148" t="n">
        <v>-604282.98</v>
      </c>
      <c r="H148" t="n">
        <v>-44067.99</v>
      </c>
      <c r="I148" t="n">
        <v>-46957.94</v>
      </c>
      <c r="J148" t="n">
        <v>0</v>
      </c>
      <c r="K148" t="n">
        <v>-14474.52</v>
      </c>
      <c r="L148" t="n">
        <v>76551.41</v>
      </c>
      <c r="M148" t="n">
        <v>-557325.04</v>
      </c>
      <c r="N148" t="n">
        <v>0</v>
      </c>
      <c r="O148" t="n">
        <v>76551.41</v>
      </c>
    </row>
    <row r="149">
      <c r="A149" t="n">
        <v>2026</v>
      </c>
      <c r="B149" t="inlineStr">
        <is>
          <t>West</t>
        </is>
      </c>
      <c r="C149" t="n">
        <v>5</v>
      </c>
      <c r="D149" t="n">
        <v>161602.1</v>
      </c>
      <c r="E149" t="n">
        <v>-251907.22</v>
      </c>
      <c r="F149" t="n">
        <v>680382.01</v>
      </c>
      <c r="G149" t="n">
        <v>-264668.95</v>
      </c>
      <c r="H149" t="n">
        <v>714986.63</v>
      </c>
      <c r="I149" t="n">
        <v>-233325.1</v>
      </c>
      <c r="J149" t="n">
        <v>-90305.12</v>
      </c>
      <c r="K149" t="n">
        <v>181199.85</v>
      </c>
      <c r="L149" t="n">
        <v>-34604.62</v>
      </c>
      <c r="M149" t="n">
        <v>-31343.85</v>
      </c>
      <c r="N149" t="n">
        <v>0</v>
      </c>
      <c r="O149" t="n">
        <v>-300461.68</v>
      </c>
    </row>
    <row r="150">
      <c r="A150" t="n">
        <v>2026</v>
      </c>
      <c r="B150" t="inlineStr">
        <is>
          <t>Verwaltung</t>
        </is>
      </c>
      <c r="C150" t="n">
        <v>5</v>
      </c>
      <c r="D150" t="n">
        <v>0</v>
      </c>
      <c r="E150" t="n">
        <v>0</v>
      </c>
      <c r="F150" t="n">
        <v>0</v>
      </c>
      <c r="G150" t="n">
        <v>-132358.3</v>
      </c>
      <c r="H150" t="n">
        <v>0</v>
      </c>
      <c r="I150" t="n">
        <v>-61259.01</v>
      </c>
      <c r="J150" t="n">
        <v>0</v>
      </c>
      <c r="K150" t="n">
        <v>-61259.01</v>
      </c>
      <c r="L150" t="n">
        <v>0</v>
      </c>
      <c r="M150" t="n">
        <v>-71099.28999999999</v>
      </c>
      <c r="N150" t="n">
        <v>0</v>
      </c>
      <c r="O150" t="n">
        <v>0</v>
      </c>
    </row>
    <row r="151">
      <c r="A151" t="n">
        <v>2026</v>
      </c>
      <c r="B151" t="inlineStr">
        <is>
          <t>Ost</t>
        </is>
      </c>
      <c r="C151" t="n">
        <v>3</v>
      </c>
      <c r="D151" t="n">
        <v>0</v>
      </c>
      <c r="E151" t="n">
        <v>0</v>
      </c>
      <c r="F151" t="n">
        <v>743097.28</v>
      </c>
      <c r="G151" t="n">
        <v>-703518.47</v>
      </c>
      <c r="H151" t="n">
        <v>622633.48</v>
      </c>
      <c r="I151" t="n">
        <v>-471348.57</v>
      </c>
      <c r="J151" t="n">
        <v>0</v>
      </c>
      <c r="K151" t="n">
        <v>271748.71</v>
      </c>
      <c r="L151" t="n">
        <v>120463.8</v>
      </c>
      <c r="M151" t="n">
        <v>-232169.9</v>
      </c>
      <c r="N151" t="n">
        <v>0</v>
      </c>
      <c r="O151" t="n">
        <v>120463.8</v>
      </c>
    </row>
    <row r="152">
      <c r="A152" t="n">
        <v>2026</v>
      </c>
      <c r="B152" t="inlineStr">
        <is>
          <t>Ost</t>
        </is>
      </c>
      <c r="C152" t="n">
        <v>2</v>
      </c>
      <c r="D152" t="n">
        <v>0</v>
      </c>
      <c r="E152" t="n">
        <v>0</v>
      </c>
      <c r="F152" t="n">
        <v>1004459.49</v>
      </c>
      <c r="G152" t="n">
        <v>-1222527.79</v>
      </c>
      <c r="H152" t="n">
        <v>2045847.88</v>
      </c>
      <c r="I152" t="n">
        <v>-534783.5600000001</v>
      </c>
      <c r="J152" t="n">
        <v>0</v>
      </c>
      <c r="K152" t="n">
        <v>469675.93</v>
      </c>
      <c r="L152" t="n">
        <v>-1041388.39</v>
      </c>
      <c r="M152" t="n">
        <v>-687744.23</v>
      </c>
      <c r="N152" t="n">
        <v>0</v>
      </c>
      <c r="O152" t="n">
        <v>-1041388.39</v>
      </c>
    </row>
    <row r="153">
      <c r="A153" t="n">
        <v>2026</v>
      </c>
      <c r="B153" t="inlineStr">
        <is>
          <t>West</t>
        </is>
      </c>
      <c r="C153" t="n">
        <v>4</v>
      </c>
      <c r="D153" t="n">
        <v>623473.42</v>
      </c>
      <c r="E153" t="n">
        <v>-768957.6</v>
      </c>
      <c r="F153" t="n">
        <v>1146276.26</v>
      </c>
      <c r="G153" t="n">
        <v>-989360.55</v>
      </c>
      <c r="H153" t="n">
        <v>146261.59</v>
      </c>
      <c r="I153" t="n">
        <v>-979755.63</v>
      </c>
      <c r="J153" t="n">
        <v>-145484.18</v>
      </c>
      <c r="K153" t="n">
        <v>166520.63</v>
      </c>
      <c r="L153" t="n">
        <v>1000014.67</v>
      </c>
      <c r="M153" t="n">
        <v>-9604.92</v>
      </c>
      <c r="N153" t="n">
        <v>0</v>
      </c>
      <c r="O153" t="n">
        <v>1000014.67</v>
      </c>
    </row>
    <row r="154">
      <c r="A154" t="n">
        <v>2026</v>
      </c>
      <c r="B154" t="inlineStr">
        <is>
          <t>Süd-West</t>
        </is>
      </c>
      <c r="C154" t="n">
        <v>4</v>
      </c>
      <c r="D154" t="n">
        <v>0</v>
      </c>
      <c r="E154" t="n">
        <v>0</v>
      </c>
      <c r="F154" t="n">
        <v>128134.06</v>
      </c>
      <c r="G154" t="n">
        <v>-1285566.03</v>
      </c>
      <c r="H154" t="n">
        <v>149003.97</v>
      </c>
      <c r="I154" t="n">
        <v>-108961.9</v>
      </c>
      <c r="J154" t="n">
        <v>0</v>
      </c>
      <c r="K154" t="n">
        <v>19172.16</v>
      </c>
      <c r="L154" t="n">
        <v>-20869.91</v>
      </c>
      <c r="M154" t="n">
        <v>-1176604.13</v>
      </c>
      <c r="N154" t="n">
        <v>0</v>
      </c>
      <c r="O154" t="n">
        <v>-20869.91</v>
      </c>
    </row>
    <row r="155">
      <c r="A155" t="n">
        <v>2026</v>
      </c>
      <c r="B155" t="inlineStr">
        <is>
          <t>West</t>
        </is>
      </c>
      <c r="C155" t="n">
        <v>8</v>
      </c>
      <c r="D155" t="n">
        <v>1330356.74</v>
      </c>
      <c r="E155" t="n">
        <v>-1135518.6</v>
      </c>
      <c r="F155" t="n">
        <v>0</v>
      </c>
      <c r="G155" t="n">
        <v>-74626.17</v>
      </c>
      <c r="H155" t="n">
        <v>238122.69</v>
      </c>
      <c r="I155" t="n">
        <v>-757203.62</v>
      </c>
      <c r="J155" t="n">
        <v>194838.14</v>
      </c>
      <c r="K155" t="n">
        <v>290001.74</v>
      </c>
      <c r="L155" t="n">
        <v>-238122.69</v>
      </c>
      <c r="M155" t="n">
        <v>682577.45</v>
      </c>
      <c r="N155" t="n">
        <v>0</v>
      </c>
      <c r="O155" t="n">
        <v>809082.67</v>
      </c>
    </row>
    <row r="156">
      <c r="A156" t="n">
        <v>2026</v>
      </c>
      <c r="B156" t="inlineStr">
        <is>
          <t>Berlin</t>
        </is>
      </c>
      <c r="C156" t="n">
        <v>2</v>
      </c>
      <c r="D156" t="n">
        <v>0</v>
      </c>
      <c r="E156" t="n">
        <v>0</v>
      </c>
      <c r="F156" t="n">
        <v>29347.46</v>
      </c>
      <c r="G156" t="n">
        <v>-108823.13</v>
      </c>
      <c r="H156" t="n">
        <v>-17209.95</v>
      </c>
      <c r="I156" t="n">
        <v>-26575.07</v>
      </c>
      <c r="J156" t="n">
        <v>0</v>
      </c>
      <c r="K156" t="n">
        <v>2772.39</v>
      </c>
      <c r="L156" t="n">
        <v>46557.41</v>
      </c>
      <c r="M156" t="n">
        <v>-82248.06</v>
      </c>
      <c r="N156" t="n">
        <v>0</v>
      </c>
      <c r="O156" t="n">
        <v>46557.41</v>
      </c>
    </row>
    <row r="157">
      <c r="A157" t="n">
        <v>2026</v>
      </c>
      <c r="B157" t="inlineStr">
        <is>
          <t>Süd-West</t>
        </is>
      </c>
      <c r="C157" t="n">
        <v>8</v>
      </c>
      <c r="D157" t="n">
        <v>487000</v>
      </c>
      <c r="E157" t="n">
        <v>-135890</v>
      </c>
      <c r="F157" t="n">
        <v>0</v>
      </c>
      <c r="G157" t="n">
        <v>10000</v>
      </c>
      <c r="H157" t="n">
        <v>182167.04</v>
      </c>
      <c r="I157" t="n">
        <v>-343123.53</v>
      </c>
      <c r="J157" t="n">
        <v>351110</v>
      </c>
      <c r="K157" t="n">
        <v>-54579.91</v>
      </c>
      <c r="L157" t="n">
        <v>-182167.04</v>
      </c>
      <c r="M157" t="n">
        <v>353123.53</v>
      </c>
      <c r="N157" t="n">
        <v>0</v>
      </c>
      <c r="O157" t="n">
        <v>106376.58</v>
      </c>
    </row>
    <row r="158">
      <c r="A158" t="n">
        <v>2026</v>
      </c>
      <c r="B158" t="inlineStr">
        <is>
          <t>West</t>
        </is>
      </c>
      <c r="C158" t="n">
        <v>1</v>
      </c>
      <c r="D158" t="n">
        <v>306531.65</v>
      </c>
      <c r="E158" t="n">
        <v>-305162.71</v>
      </c>
      <c r="F158" t="n">
        <v>1346028.83</v>
      </c>
      <c r="G158" t="n">
        <v>-578690.95</v>
      </c>
      <c r="H158" t="n">
        <v>313216.91</v>
      </c>
      <c r="I158" t="n">
        <v>-574040.73</v>
      </c>
      <c r="J158" t="n">
        <v>1368.94</v>
      </c>
      <c r="K158" t="n">
        <v>468121.78</v>
      </c>
      <c r="L158" t="n">
        <v>1032811.92</v>
      </c>
      <c r="M158" t="n">
        <v>-4650.22</v>
      </c>
      <c r="N158" t="n">
        <v>0</v>
      </c>
      <c r="O158" t="n">
        <v>728945.6</v>
      </c>
    </row>
    <row r="159">
      <c r="A159" t="n">
        <v>2026</v>
      </c>
      <c r="B159" t="inlineStr">
        <is>
          <t>Verwaltung</t>
        </is>
      </c>
      <c r="C159" t="n">
        <v>2</v>
      </c>
      <c r="D159" t="n">
        <v>0</v>
      </c>
      <c r="E159" t="n">
        <v>0</v>
      </c>
      <c r="F159" t="n">
        <v>0</v>
      </c>
      <c r="G159" t="n">
        <v>-128276.82</v>
      </c>
      <c r="H159" t="n">
        <v>0</v>
      </c>
      <c r="I159" t="n">
        <v>-51739.58</v>
      </c>
      <c r="J159" t="n">
        <v>0</v>
      </c>
      <c r="K159" t="n">
        <v>-51739.58</v>
      </c>
      <c r="L159" t="n">
        <v>0</v>
      </c>
      <c r="M159" t="n">
        <v>-76537.24000000001</v>
      </c>
      <c r="N159" t="n">
        <v>0</v>
      </c>
      <c r="O159" t="n">
        <v>0</v>
      </c>
    </row>
    <row r="160">
      <c r="A160" t="n">
        <v>2026</v>
      </c>
      <c r="B160" t="inlineStr">
        <is>
          <t>Berlin</t>
        </is>
      </c>
      <c r="C160" t="n">
        <v>8</v>
      </c>
      <c r="D160" t="n">
        <v>202103.77</v>
      </c>
      <c r="E160" t="n">
        <v>-189070.58</v>
      </c>
      <c r="F160" t="n">
        <v>0</v>
      </c>
      <c r="G160" t="n">
        <v>0</v>
      </c>
      <c r="H160" t="n">
        <v>63000</v>
      </c>
      <c r="I160" t="n">
        <v>-78664.89999999999</v>
      </c>
      <c r="J160" t="n">
        <v>13033.19</v>
      </c>
      <c r="K160" t="n">
        <v>-2694.94</v>
      </c>
      <c r="L160" t="n">
        <v>-63000</v>
      </c>
      <c r="M160" t="n">
        <v>78664.89999999999</v>
      </c>
      <c r="N160" t="n">
        <v>0</v>
      </c>
      <c r="O160" t="n">
        <v>12969.96</v>
      </c>
    </row>
    <row r="161">
      <c r="A161" t="n">
        <v>2026</v>
      </c>
      <c r="B161" t="inlineStr">
        <is>
          <t>Süd-West</t>
        </is>
      </c>
      <c r="C161" t="n">
        <v>1</v>
      </c>
      <c r="D161" t="n">
        <v>0</v>
      </c>
      <c r="E161" t="n">
        <v>0</v>
      </c>
      <c r="F161" t="n">
        <v>425326.69</v>
      </c>
      <c r="G161" t="n">
        <v>-352188.5</v>
      </c>
      <c r="H161" t="n">
        <v>310525.48</v>
      </c>
      <c r="I161" t="n">
        <v>-215359.19</v>
      </c>
      <c r="J161" t="n">
        <v>0</v>
      </c>
      <c r="K161" t="n">
        <v>209967.5</v>
      </c>
      <c r="L161" t="n">
        <v>114801.21</v>
      </c>
      <c r="M161" t="n">
        <v>-136829.31</v>
      </c>
      <c r="N161" t="n">
        <v>0</v>
      </c>
      <c r="O161" t="n">
        <v>114801.21</v>
      </c>
    </row>
    <row r="162">
      <c r="A162" t="n">
        <v>2026</v>
      </c>
      <c r="B162" t="inlineStr">
        <is>
          <t>Süd-West</t>
        </is>
      </c>
      <c r="C162" t="n">
        <v>5</v>
      </c>
      <c r="D162" t="n">
        <v>0</v>
      </c>
      <c r="E162" t="n">
        <v>0</v>
      </c>
      <c r="F162" t="n">
        <v>246565.12</v>
      </c>
      <c r="G162" t="n">
        <v>-1355985.03</v>
      </c>
      <c r="H162" t="n">
        <v>204465.76</v>
      </c>
      <c r="I162" t="n">
        <v>-171156.26</v>
      </c>
      <c r="J162" t="n">
        <v>0</v>
      </c>
      <c r="K162" t="n">
        <v>75408.86</v>
      </c>
      <c r="L162" t="n">
        <v>42099.36</v>
      </c>
      <c r="M162" t="n">
        <v>-1184828.77</v>
      </c>
      <c r="N162" t="n">
        <v>0</v>
      </c>
      <c r="O162" t="n">
        <v>42099.36</v>
      </c>
    </row>
    <row r="163">
      <c r="A163" t="n">
        <v>2026</v>
      </c>
      <c r="B163" t="inlineStr">
        <is>
          <t>Süd-West</t>
        </is>
      </c>
      <c r="C163" t="n">
        <v>2</v>
      </c>
      <c r="D163" t="n">
        <v>0</v>
      </c>
      <c r="E163" t="n">
        <v>0</v>
      </c>
      <c r="F163" t="n">
        <v>340104.76</v>
      </c>
      <c r="G163" t="n">
        <v>-639222.7</v>
      </c>
      <c r="H163" t="n">
        <v>344612.93</v>
      </c>
      <c r="I163" t="n">
        <v>-325435.79</v>
      </c>
      <c r="J163" t="n">
        <v>0</v>
      </c>
      <c r="K163" t="n">
        <v>14668.97</v>
      </c>
      <c r="L163" t="n">
        <v>-4508.17</v>
      </c>
      <c r="M163" t="n">
        <v>-313786.91</v>
      </c>
      <c r="N163" t="n">
        <v>0</v>
      </c>
      <c r="O163" t="n">
        <v>-4508.17</v>
      </c>
    </row>
    <row r="164">
      <c r="A164" t="n">
        <v>2026</v>
      </c>
      <c r="B164" t="inlineStr">
        <is>
          <t>Verwaltung</t>
        </is>
      </c>
      <c r="C164" t="n">
        <v>3</v>
      </c>
      <c r="D164" t="n">
        <v>0</v>
      </c>
      <c r="E164" t="n">
        <v>0</v>
      </c>
      <c r="F164" t="n">
        <v>0</v>
      </c>
      <c r="G164" t="n">
        <v>-153549.58</v>
      </c>
      <c r="H164" t="n">
        <v>0</v>
      </c>
      <c r="I164" t="n">
        <v>-79970.53999999999</v>
      </c>
      <c r="J164" t="n">
        <v>0</v>
      </c>
      <c r="K164" t="n">
        <v>-79970.53999999999</v>
      </c>
      <c r="L164" t="n">
        <v>0</v>
      </c>
      <c r="M164" t="n">
        <v>-73579.03999999999</v>
      </c>
      <c r="N164" t="n">
        <v>0</v>
      </c>
      <c r="O164" t="n">
        <v>0</v>
      </c>
    </row>
    <row r="165">
      <c r="A165" t="n">
        <v>2026</v>
      </c>
      <c r="B165" t="inlineStr">
        <is>
          <t>Verwaltung</t>
        </is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-59143.57</v>
      </c>
      <c r="J165" t="n">
        <v>0</v>
      </c>
      <c r="K165" t="n">
        <v>-59143.57</v>
      </c>
      <c r="L165" t="n">
        <v>0</v>
      </c>
      <c r="M165" t="n">
        <v>59143.57</v>
      </c>
      <c r="N165" t="n">
        <v>0</v>
      </c>
      <c r="O165" t="n">
        <v>0</v>
      </c>
    </row>
    <row r="166">
      <c r="A166" t="n">
        <v>2026</v>
      </c>
      <c r="B166" t="inlineStr">
        <is>
          <t>Ost</t>
        </is>
      </c>
      <c r="C166" t="n">
        <v>11</v>
      </c>
      <c r="D166" t="n">
        <v>600000</v>
      </c>
      <c r="E166" t="n">
        <v>-145000</v>
      </c>
      <c r="F166" t="n">
        <v>0</v>
      </c>
      <c r="G166" t="n">
        <v>0</v>
      </c>
      <c r="H166" t="n">
        <v>0</v>
      </c>
      <c r="I166" t="n">
        <v>0</v>
      </c>
      <c r="J166" t="n">
        <v>455000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2026</v>
      </c>
      <c r="B167" t="inlineStr">
        <is>
          <t>Verwaltung</t>
        </is>
      </c>
      <c r="C167" t="n">
        <v>11</v>
      </c>
      <c r="D167" t="n">
        <v>0</v>
      </c>
      <c r="E167" t="n">
        <v>-57700</v>
      </c>
      <c r="F167" t="n">
        <v>0</v>
      </c>
      <c r="G167" t="n">
        <v>0</v>
      </c>
      <c r="H167" t="n">
        <v>0</v>
      </c>
      <c r="I167" t="n">
        <v>0</v>
      </c>
      <c r="J167" t="n">
        <v>-57700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2026</v>
      </c>
      <c r="B168" t="inlineStr">
        <is>
          <t>Ost</t>
        </is>
      </c>
      <c r="C168" t="n">
        <v>10</v>
      </c>
      <c r="D168" t="n">
        <v>290000</v>
      </c>
      <c r="E168" t="n">
        <v>-155000</v>
      </c>
      <c r="F168" t="n">
        <v>0</v>
      </c>
      <c r="G168" t="n">
        <v>0</v>
      </c>
      <c r="H168" t="n">
        <v>0</v>
      </c>
      <c r="I168" t="n">
        <v>0</v>
      </c>
      <c r="J168" t="n">
        <v>135000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2026</v>
      </c>
      <c r="B169" t="inlineStr">
        <is>
          <t>Verwaltung</t>
        </is>
      </c>
      <c r="C169" t="n">
        <v>10</v>
      </c>
      <c r="D169" t="n">
        <v>0</v>
      </c>
      <c r="E169" t="n">
        <v>-57850</v>
      </c>
      <c r="F169" t="n">
        <v>0</v>
      </c>
      <c r="G169" t="n">
        <v>0</v>
      </c>
      <c r="H169" t="n">
        <v>0</v>
      </c>
      <c r="I169" t="n">
        <v>0</v>
      </c>
      <c r="J169" t="n">
        <v>-57850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2026</v>
      </c>
      <c r="B170" t="inlineStr">
        <is>
          <t>Verwaltung</t>
        </is>
      </c>
      <c r="C170" t="n">
        <v>12</v>
      </c>
      <c r="D170" t="n">
        <v>0</v>
      </c>
      <c r="E170" t="n">
        <v>-57950</v>
      </c>
      <c r="F170" t="n">
        <v>0</v>
      </c>
      <c r="G170" t="n">
        <v>0</v>
      </c>
      <c r="H170" t="n">
        <v>0</v>
      </c>
      <c r="I170" t="n">
        <v>0</v>
      </c>
      <c r="J170" t="n">
        <v>-57950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2026</v>
      </c>
      <c r="B171" t="inlineStr">
        <is>
          <t>Süd-West</t>
        </is>
      </c>
      <c r="C171" t="n">
        <v>11</v>
      </c>
      <c r="D171" t="n">
        <v>333000</v>
      </c>
      <c r="E171" t="n">
        <v>-299650</v>
      </c>
      <c r="F171" t="n">
        <v>0</v>
      </c>
      <c r="G171" t="n">
        <v>10000</v>
      </c>
      <c r="H171" t="n">
        <v>0</v>
      </c>
      <c r="I171" t="n">
        <v>0</v>
      </c>
      <c r="J171" t="n">
        <v>33350</v>
      </c>
      <c r="K171" t="n">
        <v>0</v>
      </c>
      <c r="L171" t="n">
        <v>0</v>
      </c>
      <c r="M171" t="n">
        <v>10000</v>
      </c>
      <c r="N171" t="n">
        <v>0</v>
      </c>
      <c r="O171" t="n">
        <v>0</v>
      </c>
    </row>
    <row r="172">
      <c r="A172" t="n">
        <v>2026</v>
      </c>
      <c r="B172" t="inlineStr">
        <is>
          <t>Süd-West</t>
        </is>
      </c>
      <c r="C172" t="n">
        <v>12</v>
      </c>
      <c r="D172" t="n">
        <v>473000</v>
      </c>
      <c r="E172" t="n">
        <v>-412897</v>
      </c>
      <c r="F172" t="n">
        <v>0</v>
      </c>
      <c r="G172" t="n">
        <v>0</v>
      </c>
      <c r="H172" t="n">
        <v>0</v>
      </c>
      <c r="I172" t="n">
        <v>0</v>
      </c>
      <c r="J172" t="n">
        <v>60103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2026</v>
      </c>
      <c r="B173" t="inlineStr">
        <is>
          <t>Süd-West</t>
        </is>
      </c>
      <c r="C173" t="n">
        <v>10</v>
      </c>
      <c r="D173" t="n">
        <v>520000</v>
      </c>
      <c r="E173" t="n">
        <v>-387900</v>
      </c>
      <c r="F173" t="n">
        <v>0</v>
      </c>
      <c r="G173" t="n">
        <v>10000</v>
      </c>
      <c r="H173" t="n">
        <v>0</v>
      </c>
      <c r="I173" t="n">
        <v>0</v>
      </c>
      <c r="J173" t="n">
        <v>132100</v>
      </c>
      <c r="K173" t="n">
        <v>0</v>
      </c>
      <c r="L173" t="n">
        <v>0</v>
      </c>
      <c r="M173" t="n">
        <v>10000</v>
      </c>
      <c r="N173" t="n">
        <v>0</v>
      </c>
      <c r="O173" t="n">
        <v>0</v>
      </c>
    </row>
    <row r="174">
      <c r="A174" t="n">
        <v>2026</v>
      </c>
      <c r="B174" t="inlineStr">
        <is>
          <t>West</t>
        </is>
      </c>
      <c r="C174" t="n">
        <v>12</v>
      </c>
      <c r="D174" t="n">
        <v>600000</v>
      </c>
      <c r="E174" t="n">
        <v>-576000</v>
      </c>
      <c r="F174" t="n">
        <v>0</v>
      </c>
      <c r="G174" t="n">
        <v>0</v>
      </c>
      <c r="H174" t="n">
        <v>0</v>
      </c>
      <c r="I174" t="n">
        <v>0</v>
      </c>
      <c r="J174" t="n">
        <v>24000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2026</v>
      </c>
      <c r="B175" t="inlineStr">
        <is>
          <t>West</t>
        </is>
      </c>
      <c r="C175" t="n">
        <v>10</v>
      </c>
      <c r="D175" t="n">
        <v>523000</v>
      </c>
      <c r="E175" t="n">
        <v>-471000</v>
      </c>
      <c r="F175" t="n">
        <v>0</v>
      </c>
      <c r="G175" t="n">
        <v>0</v>
      </c>
      <c r="H175" t="n">
        <v>0</v>
      </c>
      <c r="I175" t="n">
        <v>0</v>
      </c>
      <c r="J175" t="n">
        <v>52000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2026</v>
      </c>
      <c r="B176" t="inlineStr">
        <is>
          <t>West</t>
        </is>
      </c>
      <c r="C176" t="n">
        <v>11</v>
      </c>
      <c r="D176" t="n">
        <v>842000</v>
      </c>
      <c r="E176" t="n">
        <v>-756000</v>
      </c>
      <c r="F176" t="n">
        <v>0</v>
      </c>
      <c r="G176" t="n">
        <v>0</v>
      </c>
      <c r="H176" t="n">
        <v>0</v>
      </c>
      <c r="I176" t="n">
        <v>0</v>
      </c>
      <c r="J176" t="n">
        <v>86000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80">
      <c r="A180" t="inlineStr">
        <is>
          <t>v_plan_ist_monat</t>
        </is>
      </c>
    </row>
    <row r="181">
      <c r="A181" t="inlineStr">
        <is>
          <t>jahr</t>
        </is>
      </c>
      <c r="B181" t="inlineStr">
        <is>
          <t>monat</t>
        </is>
      </c>
      <c r="C181" t="inlineStr">
        <is>
          <t>art</t>
        </is>
      </c>
      <c r="D181" t="inlineStr">
        <is>
          <t>gl_plan</t>
        </is>
      </c>
      <c r="E181" t="inlineStr">
        <is>
          <t>gl_ist</t>
        </is>
      </c>
      <c r="F181" t="inlineStr">
        <is>
          <t>gl_delta</t>
        </is>
      </c>
      <c r="G181" t="inlineStr">
        <is>
          <t>ebitda_plan</t>
        </is>
      </c>
      <c r="H181" t="inlineStr">
        <is>
          <t>ebitda_ist</t>
        </is>
      </c>
      <c r="I181" t="inlineStr">
        <is>
          <t>ebitda_delta</t>
        </is>
      </c>
    </row>
    <row r="182">
      <c r="A182" t="n">
        <v>2026</v>
      </c>
      <c r="B182" t="n">
        <v>1</v>
      </c>
      <c r="C182" t="inlineStr">
        <is>
          <t>IST</t>
        </is>
      </c>
      <c r="D182" t="n">
        <v>1416000</v>
      </c>
      <c r="E182" t="n">
        <v>1920412.71</v>
      </c>
      <c r="F182" t="n">
        <v>504412.71</v>
      </c>
      <c r="G182" t="n">
        <v>76000</v>
      </c>
      <c r="H182" t="n">
        <v>294942.37</v>
      </c>
      <c r="I182" t="n">
        <v>218942.37</v>
      </c>
    </row>
    <row r="183">
      <c r="A183" t="n">
        <v>2026</v>
      </c>
      <c r="B183" t="n">
        <v>2</v>
      </c>
      <c r="C183" t="inlineStr">
        <is>
          <t>IST</t>
        </is>
      </c>
      <c r="D183" t="n">
        <v>1348000</v>
      </c>
      <c r="E183" t="n">
        <v>2577067.73</v>
      </c>
      <c r="F183" t="n">
        <v>1229067.73</v>
      </c>
      <c r="G183" t="n">
        <v>25000</v>
      </c>
      <c r="H183" t="n">
        <v>318570.76</v>
      </c>
      <c r="I183" t="n">
        <v>293570.76</v>
      </c>
    </row>
    <row r="184">
      <c r="A184" t="n">
        <v>2026</v>
      </c>
      <c r="B184" t="n">
        <v>3</v>
      </c>
      <c r="C184" t="inlineStr">
        <is>
          <t>IST</t>
        </is>
      </c>
      <c r="D184" t="n">
        <v>1483000</v>
      </c>
      <c r="E184" t="n">
        <v>2412212.87</v>
      </c>
      <c r="F184" t="n">
        <v>929212.87</v>
      </c>
      <c r="G184" t="n">
        <v>127000</v>
      </c>
      <c r="H184" t="n">
        <v>23595.18</v>
      </c>
      <c r="I184" t="n">
        <v>-103404.82</v>
      </c>
    </row>
    <row r="185">
      <c r="A185" t="n">
        <v>2026</v>
      </c>
      <c r="B185" t="n">
        <v>4</v>
      </c>
      <c r="C185" t="inlineStr">
        <is>
          <t>IST</t>
        </is>
      </c>
      <c r="D185" t="n">
        <v>1348000</v>
      </c>
      <c r="E185" t="n">
        <v>1939563.48</v>
      </c>
      <c r="F185" t="n">
        <v>591563.48</v>
      </c>
      <c r="G185" t="n">
        <v>24000</v>
      </c>
      <c r="H185" t="n">
        <v>-179274.07</v>
      </c>
      <c r="I185" t="n">
        <v>-203274.07</v>
      </c>
    </row>
    <row r="186">
      <c r="A186" t="n">
        <v>2026</v>
      </c>
      <c r="B186" t="n">
        <v>5</v>
      </c>
      <c r="C186" t="inlineStr">
        <is>
          <t>IST</t>
        </is>
      </c>
      <c r="D186" t="n">
        <v>1213000</v>
      </c>
      <c r="E186" t="n">
        <v>1083981.39</v>
      </c>
      <c r="F186" t="n">
        <v>-129018.61</v>
      </c>
      <c r="G186" t="n">
        <v>-79000</v>
      </c>
      <c r="H186" t="n">
        <v>-141241.9</v>
      </c>
      <c r="I186" t="n">
        <v>-62241.9</v>
      </c>
    </row>
    <row r="187">
      <c r="A187" t="n">
        <v>2026</v>
      </c>
      <c r="B187" t="n">
        <v>6</v>
      </c>
      <c r="C187" t="inlineStr">
        <is>
          <t>IST</t>
        </is>
      </c>
      <c r="D187" t="n">
        <v>1483000</v>
      </c>
      <c r="E187" t="n">
        <v>2784687.33</v>
      </c>
      <c r="F187" t="n">
        <v>1301687.33</v>
      </c>
      <c r="G187" t="n">
        <v>126000</v>
      </c>
      <c r="H187" t="n">
        <v>58553.86</v>
      </c>
      <c r="I187" t="n">
        <v>-67446.14</v>
      </c>
    </row>
    <row r="188">
      <c r="A188" t="n">
        <v>2026</v>
      </c>
      <c r="B188" t="n">
        <v>7</v>
      </c>
      <c r="C188" t="inlineStr">
        <is>
          <t>IST</t>
        </is>
      </c>
      <c r="D188" t="n">
        <v>1551000</v>
      </c>
      <c r="E188" t="n">
        <v>1618644.66</v>
      </c>
      <c r="F188" t="n">
        <v>67644.66</v>
      </c>
      <c r="G188" t="n">
        <v>178000</v>
      </c>
      <c r="H188" t="n">
        <v>-495291.54</v>
      </c>
      <c r="I188" t="n">
        <v>-673291.54</v>
      </c>
    </row>
    <row r="189">
      <c r="A189" t="n">
        <v>2026</v>
      </c>
      <c r="B189" t="n">
        <v>8</v>
      </c>
      <c r="C189" t="inlineStr">
        <is>
          <t>IST</t>
        </is>
      </c>
      <c r="D189" t="n">
        <v>1416000</v>
      </c>
      <c r="E189" t="n">
        <v>1876864.98</v>
      </c>
      <c r="F189" t="n">
        <v>460864.98</v>
      </c>
      <c r="G189" t="n">
        <v>76000</v>
      </c>
      <c r="H189" t="n">
        <v>-138242.37</v>
      </c>
      <c r="I189" t="n">
        <v>-214242.37</v>
      </c>
    </row>
    <row r="190">
      <c r="A190" t="n">
        <v>2026</v>
      </c>
      <c r="B190" t="n">
        <v>9</v>
      </c>
      <c r="C190" t="inlineStr">
        <is>
          <t>FC</t>
        </is>
      </c>
      <c r="D190" t="n">
        <v>1483000</v>
      </c>
      <c r="E190" t="n">
        <v>2604944</v>
      </c>
      <c r="F190" t="n">
        <v>1121944</v>
      </c>
      <c r="G190" t="n">
        <v>125000</v>
      </c>
      <c r="H190" t="n">
        <v>309886</v>
      </c>
      <c r="I190" t="n">
        <v>184886</v>
      </c>
    </row>
    <row r="191">
      <c r="A191" t="n">
        <v>2026</v>
      </c>
      <c r="B191" t="n">
        <v>10</v>
      </c>
      <c r="C191" t="inlineStr">
        <is>
          <t>FC</t>
        </is>
      </c>
      <c r="D191" t="n">
        <v>1483000</v>
      </c>
      <c r="E191" t="n">
        <v>1333000</v>
      </c>
      <c r="F191" t="n">
        <v>-150000</v>
      </c>
      <c r="G191" t="n">
        <v>125000</v>
      </c>
      <c r="H191" t="n">
        <v>118692</v>
      </c>
      <c r="I191" t="n">
        <v>-6308</v>
      </c>
    </row>
    <row r="192">
      <c r="A192" t="n">
        <v>2026</v>
      </c>
      <c r="B192" t="n">
        <v>11</v>
      </c>
      <c r="C192" t="inlineStr">
        <is>
          <t>FC</t>
        </is>
      </c>
      <c r="D192" t="n">
        <v>1416000</v>
      </c>
      <c r="E192" t="n">
        <v>1775000</v>
      </c>
      <c r="F192" t="n">
        <v>359000</v>
      </c>
      <c r="G192" t="n">
        <v>73000</v>
      </c>
      <c r="H192" t="n">
        <v>380092</v>
      </c>
      <c r="I192" t="n">
        <v>307092</v>
      </c>
    </row>
    <row r="193">
      <c r="A193" t="n">
        <v>2026</v>
      </c>
      <c r="B193" t="n">
        <v>12</v>
      </c>
      <c r="C193" t="inlineStr">
        <is>
          <t>FC</t>
        </is>
      </c>
      <c r="D193" t="n">
        <v>1483000</v>
      </c>
      <c r="E193" t="n">
        <v>1073000</v>
      </c>
      <c r="F193" t="n">
        <v>-410000</v>
      </c>
      <c r="G193" t="n">
        <v>124000</v>
      </c>
      <c r="H193" t="n">
        <v>-110405</v>
      </c>
      <c r="I193" t="n">
        <v>-234405</v>
      </c>
    </row>
    <row r="197">
      <c r="A197" t="inlineStr">
        <is>
          <t>v_periode_status</t>
        </is>
      </c>
    </row>
    <row r="198">
      <c r="A198" t="inlineStr">
        <is>
          <t>jahr</t>
        </is>
      </c>
      <c r="B198" t="inlineStr">
        <is>
          <t>monat</t>
        </is>
      </c>
      <c r="C198" t="inlineStr">
        <is>
          <t>belege</t>
        </is>
      </c>
      <c r="D198" t="inlineStr">
        <is>
          <t>median_belege</t>
        </is>
      </c>
      <c r="E198" t="inlineStr">
        <is>
          <t>fuellgrad</t>
        </is>
      </c>
      <c r="F198" t="inlineStr">
        <is>
          <t>belastbar</t>
        </is>
      </c>
      <c r="G198" t="inlineStr">
        <is>
          <t>freigabe</t>
        </is>
      </c>
      <c r="H198" t="inlineStr">
        <is>
          <t>belastbar_effektiv</t>
        </is>
      </c>
      <c r="I198" t="inlineStr">
        <is>
          <t>lohn_gebucht</t>
        </is>
      </c>
      <c r="J198" t="inlineStr">
        <is>
          <t>co_gebucht</t>
        </is>
      </c>
      <c r="K198" t="inlineStr">
        <is>
          <t>abgeschlossen</t>
        </is>
      </c>
      <c r="L198" t="inlineStr">
        <is>
          <t>quelle</t>
        </is>
      </c>
      <c r="M198" t="inlineStr">
        <is>
          <t>belege_journal</t>
        </is>
      </c>
      <c r="N198" t="inlineStr">
        <is>
          <t>belege_fi</t>
        </is>
      </c>
      <c r="O198" t="inlineStr">
        <is>
          <t>belege_sap</t>
        </is>
      </c>
    </row>
    <row r="199">
      <c r="A199" t="n">
        <v>2026</v>
      </c>
      <c r="B199" t="n">
        <v>1</v>
      </c>
      <c r="C199" t="n">
        <v>4079</v>
      </c>
      <c r="D199" t="n">
        <v>4907</v>
      </c>
      <c r="E199" t="n">
        <v>83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inlineStr">
        <is>
          <t>CO</t>
        </is>
      </c>
      <c r="M199" t="n">
        <v>1454</v>
      </c>
      <c r="N199" t="n">
        <v>4079</v>
      </c>
      <c r="O199" t="n">
        <v>2029</v>
      </c>
    </row>
    <row r="200">
      <c r="A200" t="n">
        <v>2026</v>
      </c>
      <c r="B200" t="n">
        <v>2</v>
      </c>
      <c r="C200" t="n">
        <v>4768</v>
      </c>
      <c r="D200" t="n">
        <v>4907</v>
      </c>
      <c r="E200" t="n">
        <v>97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inlineStr">
        <is>
          <t>CO</t>
        </is>
      </c>
      <c r="M200" t="n">
        <v>1847</v>
      </c>
      <c r="N200" t="n">
        <v>4768</v>
      </c>
      <c r="O200" t="n">
        <v>2483</v>
      </c>
    </row>
    <row r="201">
      <c r="A201" t="n">
        <v>2026</v>
      </c>
      <c r="B201" t="n">
        <v>3</v>
      </c>
      <c r="C201" t="n">
        <v>5430</v>
      </c>
      <c r="D201" t="n">
        <v>4907</v>
      </c>
      <c r="E201" t="n">
        <v>111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inlineStr">
        <is>
          <t>CO</t>
        </is>
      </c>
      <c r="M201" t="n">
        <v>2085</v>
      </c>
      <c r="N201" t="n">
        <v>5430</v>
      </c>
      <c r="O201" t="n">
        <v>2844</v>
      </c>
    </row>
    <row r="202">
      <c r="A202" t="n">
        <v>2026</v>
      </c>
      <c r="B202" t="n">
        <v>4</v>
      </c>
      <c r="C202" t="n">
        <v>5281</v>
      </c>
      <c r="D202" t="n">
        <v>4907</v>
      </c>
      <c r="E202" t="n">
        <v>108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inlineStr">
        <is>
          <t>CO</t>
        </is>
      </c>
      <c r="M202" t="n">
        <v>2054</v>
      </c>
      <c r="N202" t="n">
        <v>5281</v>
      </c>
      <c r="O202" t="n">
        <v>2674</v>
      </c>
    </row>
    <row r="203">
      <c r="A203" t="n">
        <v>2026</v>
      </c>
      <c r="B203" t="n">
        <v>5</v>
      </c>
      <c r="C203" t="n">
        <v>4878</v>
      </c>
      <c r="D203" t="n">
        <v>4907</v>
      </c>
      <c r="E203" t="n">
        <v>99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inlineStr">
        <is>
          <t>CO</t>
        </is>
      </c>
      <c r="M203" t="n">
        <v>1912</v>
      </c>
      <c r="N203" t="n">
        <v>4878</v>
      </c>
      <c r="O203" t="n">
        <v>2476</v>
      </c>
    </row>
    <row r="204">
      <c r="A204" t="n">
        <v>2026</v>
      </c>
      <c r="B204" t="n">
        <v>6</v>
      </c>
      <c r="C204" t="n">
        <v>5044</v>
      </c>
      <c r="D204" t="n">
        <v>4907</v>
      </c>
      <c r="E204" t="n">
        <v>103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inlineStr">
        <is>
          <t>CO</t>
        </is>
      </c>
      <c r="M204" t="n">
        <v>2057</v>
      </c>
      <c r="N204" t="n">
        <v>5044</v>
      </c>
      <c r="O204" t="n">
        <v>2517</v>
      </c>
    </row>
    <row r="205">
      <c r="A205" t="n">
        <v>2026</v>
      </c>
      <c r="B205" t="n">
        <v>7</v>
      </c>
      <c r="C205" t="n">
        <v>5450</v>
      </c>
      <c r="D205" t="n">
        <v>4907</v>
      </c>
      <c r="E205" t="n">
        <v>111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inlineStr">
        <is>
          <t>CO</t>
        </is>
      </c>
      <c r="M205" t="n">
        <v>1982</v>
      </c>
      <c r="N205" t="n">
        <v>5450</v>
      </c>
      <c r="O205" t="n">
        <v>2773</v>
      </c>
    </row>
    <row r="206">
      <c r="A206" t="n">
        <v>2026</v>
      </c>
      <c r="B206" t="n">
        <v>8</v>
      </c>
      <c r="C206" t="n">
        <v>4907</v>
      </c>
      <c r="D206" t="n">
        <v>4907</v>
      </c>
      <c r="E206" t="n">
        <v>100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inlineStr">
        <is>
          <t>FI</t>
        </is>
      </c>
      <c r="M206" t="n">
        <v>1114</v>
      </c>
      <c r="N206" t="n">
        <v>4907</v>
      </c>
      <c r="O206" t="n">
        <v>468</v>
      </c>
    </row>
    <row r="207">
      <c r="A207" t="n">
        <v>2026</v>
      </c>
      <c r="B207" t="n">
        <v>9</v>
      </c>
      <c r="C207" t="n">
        <v>3575</v>
      </c>
      <c r="D207" t="n">
        <v>4907</v>
      </c>
      <c r="E207" t="n">
        <v>73</v>
      </c>
      <c r="F207" t="b">
        <v>0</v>
      </c>
      <c r="H207" t="b">
        <v>0</v>
      </c>
      <c r="I207" t="b">
        <v>1</v>
      </c>
      <c r="J207" t="b">
        <v>1</v>
      </c>
      <c r="K207" t="b">
        <v>1</v>
      </c>
      <c r="L207" t="inlineStr">
        <is>
          <t>FI</t>
        </is>
      </c>
      <c r="M207" t="n">
        <v>839</v>
      </c>
      <c r="N207" t="n">
        <v>3575</v>
      </c>
      <c r="O207" t="n">
        <v>320</v>
      </c>
    </row>
    <row r="211">
      <c r="A211" t="inlineStr">
        <is>
          <t>v_ebitda_region_monat</t>
        </is>
      </c>
    </row>
    <row r="212">
      <c r="A212" t="inlineStr">
        <is>
          <t>jahr</t>
        </is>
      </c>
      <c r="B212" t="inlineStr">
        <is>
          <t>monat</t>
        </is>
      </c>
      <c r="C212" t="inlineStr">
        <is>
          <t>region</t>
        </is>
      </c>
      <c r="D212" t="inlineStr">
        <is>
          <t>umsatzerloese</t>
        </is>
      </c>
      <c r="E212" t="inlineStr">
        <is>
          <t>bestandsveraenderung</t>
        </is>
      </c>
      <c r="F212" t="inlineStr">
        <is>
          <t>sonstige_ertraege</t>
        </is>
      </c>
      <c r="G212" t="inlineStr">
        <is>
          <t>betriebsaufwand</t>
        </is>
      </c>
      <c r="H212" t="inlineStr">
        <is>
          <t>gesamtleistung</t>
        </is>
      </c>
      <c r="I212" t="inlineStr">
        <is>
          <t>ebitda</t>
        </is>
      </c>
      <c r="J212" t="inlineStr">
        <is>
          <t>finanzergebnis</t>
        </is>
      </c>
      <c r="K212" t="inlineStr">
        <is>
          <t>abschreibungen</t>
        </is>
      </c>
      <c r="L212" t="inlineStr">
        <is>
          <t>neutral_steuern</t>
        </is>
      </c>
      <c r="M212" t="inlineStr">
        <is>
          <t>ergebnis</t>
        </is>
      </c>
      <c r="N212" t="inlineStr">
        <is>
          <t>belege</t>
        </is>
      </c>
    </row>
    <row r="213">
      <c r="A213" t="n">
        <v>2026</v>
      </c>
      <c r="B213" t="n">
        <v>1</v>
      </c>
      <c r="C213" t="inlineStr">
        <is>
          <t>Berlin</t>
        </is>
      </c>
      <c r="D213" t="n">
        <v>-2201.74</v>
      </c>
      <c r="E213" t="n">
        <v>71781.91</v>
      </c>
      <c r="F213" t="n">
        <v>928.77</v>
      </c>
      <c r="G213" t="n">
        <v>-139926.09</v>
      </c>
      <c r="H213" t="n">
        <v>69580.17</v>
      </c>
      <c r="I213" t="n">
        <v>-69417.14999999999</v>
      </c>
      <c r="J213" t="n">
        <v>-4.4</v>
      </c>
      <c r="K213" t="n">
        <v>-1524.86</v>
      </c>
      <c r="L213" t="n">
        <v>-369.38</v>
      </c>
      <c r="M213" t="n">
        <v>-71315.78999999999</v>
      </c>
      <c r="N213" t="n">
        <v>145</v>
      </c>
    </row>
    <row r="214">
      <c r="A214" t="n">
        <v>2026</v>
      </c>
      <c r="B214" t="n">
        <v>1</v>
      </c>
      <c r="C214" t="inlineStr">
        <is>
          <t>Ohne Zuordnung</t>
        </is>
      </c>
      <c r="D214" t="n">
        <v>2201.75</v>
      </c>
      <c r="E214" t="n">
        <v>0</v>
      </c>
      <c r="F214" t="n">
        <v>0</v>
      </c>
      <c r="G214" t="n">
        <v>-135.23</v>
      </c>
      <c r="H214" t="n">
        <v>2201.75</v>
      </c>
      <c r="I214" t="n">
        <v>2066.52</v>
      </c>
      <c r="J214" t="n">
        <v>0</v>
      </c>
      <c r="K214" t="n">
        <v>0</v>
      </c>
      <c r="L214" t="n">
        <v>0</v>
      </c>
      <c r="M214" t="n">
        <v>2066.52</v>
      </c>
      <c r="N214" t="n">
        <v>176</v>
      </c>
    </row>
    <row r="215">
      <c r="A215" t="n">
        <v>2026</v>
      </c>
      <c r="B215" t="n">
        <v>1</v>
      </c>
      <c r="C215" t="inlineStr">
        <is>
          <t>Ost</t>
        </is>
      </c>
      <c r="D215" t="n">
        <v>15823.05</v>
      </c>
      <c r="E215" t="n">
        <v>365318.54</v>
      </c>
      <c r="F215" t="n">
        <v>2413.95</v>
      </c>
      <c r="G215" t="n">
        <v>-416021.55</v>
      </c>
      <c r="H215" t="n">
        <v>381141.59</v>
      </c>
      <c r="I215" t="n">
        <v>-32466.01</v>
      </c>
      <c r="J215" t="n">
        <v>-81.86</v>
      </c>
      <c r="K215" t="n">
        <v>-1386</v>
      </c>
      <c r="L215" t="n">
        <v>245.53</v>
      </c>
      <c r="M215" t="n">
        <v>-33688.34</v>
      </c>
      <c r="N215" t="n">
        <v>278</v>
      </c>
    </row>
    <row r="216">
      <c r="A216" t="n">
        <v>2026</v>
      </c>
      <c r="B216" t="n">
        <v>1</v>
      </c>
      <c r="C216" t="inlineStr">
        <is>
          <t>Süd-West</t>
        </is>
      </c>
      <c r="D216" t="n">
        <v>310525.48</v>
      </c>
      <c r="E216" t="n">
        <v>114801.21</v>
      </c>
      <c r="F216" t="n">
        <v>970.22</v>
      </c>
      <c r="G216" t="n">
        <v>-298514.16</v>
      </c>
      <c r="H216" t="n">
        <v>425326.69</v>
      </c>
      <c r="I216" t="n">
        <v>127782.75</v>
      </c>
      <c r="J216" t="n">
        <v>0</v>
      </c>
      <c r="K216" t="n">
        <v>-4893.49</v>
      </c>
      <c r="L216" t="n">
        <v>-661.01</v>
      </c>
      <c r="M216" t="n">
        <v>122228.25</v>
      </c>
      <c r="N216" t="n">
        <v>245</v>
      </c>
    </row>
    <row r="217">
      <c r="A217" t="n">
        <v>2026</v>
      </c>
      <c r="B217" t="n">
        <v>1</v>
      </c>
      <c r="C217" t="inlineStr">
        <is>
          <t>Verwaltung</t>
        </is>
      </c>
      <c r="D217" t="n">
        <v>0</v>
      </c>
      <c r="E217" t="n">
        <v>0</v>
      </c>
      <c r="F217" t="n">
        <v>2322.58</v>
      </c>
      <c r="G217" t="n">
        <v>-92817.16</v>
      </c>
      <c r="H217" t="n">
        <v>0</v>
      </c>
      <c r="I217" t="n">
        <v>-90494.58</v>
      </c>
      <c r="J217" t="n">
        <v>-5768.21</v>
      </c>
      <c r="K217" t="n">
        <v>-178</v>
      </c>
      <c r="L217" t="n">
        <v>-4189.71</v>
      </c>
      <c r="M217" t="n">
        <v>-100630.5</v>
      </c>
      <c r="N217" t="n">
        <v>138</v>
      </c>
    </row>
    <row r="218">
      <c r="A218" t="n">
        <v>2026</v>
      </c>
      <c r="B218" t="n">
        <v>1</v>
      </c>
      <c r="C218" t="inlineStr">
        <is>
          <t>West</t>
        </is>
      </c>
      <c r="D218" t="n">
        <v>313216.91</v>
      </c>
      <c r="E218" t="n">
        <v>728945.6</v>
      </c>
      <c r="F218" t="n">
        <v>1566.22</v>
      </c>
      <c r="G218" t="n">
        <v>-686257.89</v>
      </c>
      <c r="H218" t="n">
        <v>1042162.51</v>
      </c>
      <c r="I218" t="n">
        <v>357470.84</v>
      </c>
      <c r="J218" t="n">
        <v>0</v>
      </c>
      <c r="K218" t="n">
        <v>-1663.1</v>
      </c>
      <c r="L218" t="n">
        <v>-2224.99</v>
      </c>
      <c r="M218" t="n">
        <v>353582.75</v>
      </c>
      <c r="N218" t="n">
        <v>288</v>
      </c>
    </row>
    <row r="219">
      <c r="A219" t="n">
        <v>2026</v>
      </c>
      <c r="B219" t="n">
        <v>2</v>
      </c>
      <c r="C219" t="inlineStr">
        <is>
          <t>Berlin</t>
        </is>
      </c>
      <c r="D219" t="n">
        <v>-17209.95</v>
      </c>
      <c r="E219" t="n">
        <v>46557.41</v>
      </c>
      <c r="F219" t="n">
        <v>928.77</v>
      </c>
      <c r="G219" t="n">
        <v>-62054.22</v>
      </c>
      <c r="H219" t="n">
        <v>29347.46</v>
      </c>
      <c r="I219" t="n">
        <v>-31777.99</v>
      </c>
      <c r="J219" t="n">
        <v>-4.4</v>
      </c>
      <c r="K219" t="n">
        <v>-1521</v>
      </c>
      <c r="L219" t="n">
        <v>-99.28</v>
      </c>
      <c r="M219" t="n">
        <v>-33402.67</v>
      </c>
      <c r="N219" t="n">
        <v>222</v>
      </c>
    </row>
    <row r="220">
      <c r="A220" t="n">
        <v>2026</v>
      </c>
      <c r="B220" t="n">
        <v>2</v>
      </c>
      <c r="C220" t="inlineStr">
        <is>
          <t>Ohne Zuordnung</t>
        </is>
      </c>
      <c r="D220" t="n">
        <v>-3848.16</v>
      </c>
      <c r="E220" t="n">
        <v>0</v>
      </c>
      <c r="F220" t="n">
        <v>0</v>
      </c>
      <c r="G220" t="n">
        <v>4329.44</v>
      </c>
      <c r="H220" t="n">
        <v>-3848.16</v>
      </c>
      <c r="I220" t="n">
        <v>481.28</v>
      </c>
      <c r="J220" t="n">
        <v>0</v>
      </c>
      <c r="K220" t="n">
        <v>0</v>
      </c>
      <c r="L220" t="n">
        <v>0</v>
      </c>
      <c r="M220" t="n">
        <v>481.28</v>
      </c>
      <c r="N220" t="n">
        <v>170</v>
      </c>
    </row>
    <row r="221">
      <c r="A221" t="n">
        <v>2026</v>
      </c>
      <c r="B221" t="n">
        <v>2</v>
      </c>
      <c r="C221" t="inlineStr">
        <is>
          <t>Ost</t>
        </is>
      </c>
      <c r="D221" t="n">
        <v>2045847.88</v>
      </c>
      <c r="E221" t="n">
        <v>-1041388.39</v>
      </c>
      <c r="F221" t="n">
        <v>2050.92</v>
      </c>
      <c r="G221" t="n">
        <v>-666038.24</v>
      </c>
      <c r="H221" t="n">
        <v>1004459.49</v>
      </c>
      <c r="I221" t="n">
        <v>340472.17</v>
      </c>
      <c r="J221" t="n">
        <v>-81.86</v>
      </c>
      <c r="K221" t="n">
        <v>-1376</v>
      </c>
      <c r="L221" t="n">
        <v>-1415.93</v>
      </c>
      <c r="M221" t="n">
        <v>337598.38</v>
      </c>
      <c r="N221" t="n">
        <v>388</v>
      </c>
    </row>
    <row r="222">
      <c r="A222" t="n">
        <v>2026</v>
      </c>
      <c r="B222" t="n">
        <v>2</v>
      </c>
      <c r="C222" t="inlineStr">
        <is>
          <t>Süd-West</t>
        </is>
      </c>
      <c r="D222" t="n">
        <v>344612.93</v>
      </c>
      <c r="E222" t="n">
        <v>-4508.17</v>
      </c>
      <c r="F222" t="n">
        <v>9046.290000000001</v>
      </c>
      <c r="G222" t="n">
        <v>-410457.23</v>
      </c>
      <c r="H222" t="n">
        <v>340104.76</v>
      </c>
      <c r="I222" t="n">
        <v>-61306.18</v>
      </c>
      <c r="J222" t="n">
        <v>0</v>
      </c>
      <c r="K222" t="n">
        <v>-4885</v>
      </c>
      <c r="L222" t="n">
        <v>-1928.36</v>
      </c>
      <c r="M222" t="n">
        <v>-68119.53999999999</v>
      </c>
      <c r="N222" t="n">
        <v>291</v>
      </c>
    </row>
    <row r="223">
      <c r="A223" t="n">
        <v>2026</v>
      </c>
      <c r="B223" t="n">
        <v>2</v>
      </c>
      <c r="C223" t="inlineStr">
        <is>
          <t>Verwaltung</t>
        </is>
      </c>
      <c r="D223" t="n">
        <v>3848.16</v>
      </c>
      <c r="E223" t="n">
        <v>0</v>
      </c>
      <c r="F223" t="n">
        <v>2736.78</v>
      </c>
      <c r="G223" t="n">
        <v>-118357.31</v>
      </c>
      <c r="H223" t="n">
        <v>3848.16</v>
      </c>
      <c r="I223" t="n">
        <v>-111772.37</v>
      </c>
      <c r="J223" t="n">
        <v>-6817.29</v>
      </c>
      <c r="K223" t="n">
        <v>-174</v>
      </c>
      <c r="L223" t="n">
        <v>-15488.56</v>
      </c>
      <c r="M223" t="n">
        <v>-134252.22</v>
      </c>
      <c r="N223" t="n">
        <v>232</v>
      </c>
    </row>
    <row r="224">
      <c r="A224" t="n">
        <v>2026</v>
      </c>
      <c r="B224" t="n">
        <v>2</v>
      </c>
      <c r="C224" t="inlineStr">
        <is>
          <t>West</t>
        </is>
      </c>
      <c r="D224" t="n">
        <v>403993.79</v>
      </c>
      <c r="E224" t="n">
        <v>799162.23</v>
      </c>
      <c r="F224" t="n">
        <v>7165.65</v>
      </c>
      <c r="G224" t="n">
        <v>-1027847.82</v>
      </c>
      <c r="H224" t="n">
        <v>1203156.02</v>
      </c>
      <c r="I224" t="n">
        <v>182473.85</v>
      </c>
      <c r="J224" t="n">
        <v>0</v>
      </c>
      <c r="K224" t="n">
        <v>-1755.51</v>
      </c>
      <c r="L224" t="n">
        <v>-2334.74</v>
      </c>
      <c r="M224" t="n">
        <v>178383.6</v>
      </c>
      <c r="N224" t="n">
        <v>399</v>
      </c>
    </row>
    <row r="225">
      <c r="A225" t="n">
        <v>2026</v>
      </c>
      <c r="B225" t="n">
        <v>3</v>
      </c>
      <c r="C225" t="inlineStr">
        <is>
          <t>Berlin</t>
        </is>
      </c>
      <c r="D225" t="n">
        <v>15393.95</v>
      </c>
      <c r="E225" t="n">
        <v>398194.28</v>
      </c>
      <c r="F225" t="n">
        <v>928.77</v>
      </c>
      <c r="G225" t="n">
        <v>-404165.98</v>
      </c>
      <c r="H225" t="n">
        <v>413588.23</v>
      </c>
      <c r="I225" t="n">
        <v>10351.02</v>
      </c>
      <c r="J225" t="n">
        <v>0</v>
      </c>
      <c r="K225" t="n">
        <v>-1520</v>
      </c>
      <c r="L225" t="n">
        <v>-226.78</v>
      </c>
      <c r="M225" t="n">
        <v>8604.24</v>
      </c>
      <c r="N225" t="n">
        <v>233</v>
      </c>
    </row>
    <row r="226">
      <c r="A226" t="n">
        <v>2026</v>
      </c>
      <c r="B226" t="n">
        <v>3</v>
      </c>
      <c r="C226" t="inlineStr">
        <is>
          <t>Ohne Zuordnung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186</v>
      </c>
    </row>
    <row r="227">
      <c r="A227" t="n">
        <v>2026</v>
      </c>
      <c r="B227" t="n">
        <v>3</v>
      </c>
      <c r="C227" t="inlineStr">
        <is>
          <t>Ost</t>
        </is>
      </c>
      <c r="D227" t="n">
        <v>622633.48</v>
      </c>
      <c r="E227" t="n">
        <v>120463.8</v>
      </c>
      <c r="F227" t="n">
        <v>5177.1</v>
      </c>
      <c r="G227" t="n">
        <v>-600005.04</v>
      </c>
      <c r="H227" t="n">
        <v>743097.28</v>
      </c>
      <c r="I227" t="n">
        <v>148269.34</v>
      </c>
      <c r="J227" t="n">
        <v>-81.86</v>
      </c>
      <c r="K227" t="n">
        <v>-1372</v>
      </c>
      <c r="L227" t="n">
        <v>107.38</v>
      </c>
      <c r="M227" t="n">
        <v>146922.86</v>
      </c>
      <c r="N227" t="n">
        <v>412</v>
      </c>
    </row>
    <row r="228">
      <c r="A228" t="n">
        <v>2026</v>
      </c>
      <c r="B228" t="n">
        <v>3</v>
      </c>
      <c r="C228" t="inlineStr">
        <is>
          <t>Süd-West</t>
        </is>
      </c>
      <c r="D228" t="n">
        <v>320056.06</v>
      </c>
      <c r="E228" t="n">
        <v>-175872.75</v>
      </c>
      <c r="F228" t="n">
        <v>970.22</v>
      </c>
      <c r="G228" t="n">
        <v>-327425.2</v>
      </c>
      <c r="H228" t="n">
        <v>144183.31</v>
      </c>
      <c r="I228" t="n">
        <v>-182271.67</v>
      </c>
      <c r="J228" t="n">
        <v>0</v>
      </c>
      <c r="K228" t="n">
        <v>-4910.14</v>
      </c>
      <c r="L228" t="n">
        <v>-13340.66</v>
      </c>
      <c r="M228" t="n">
        <v>-200522.47</v>
      </c>
      <c r="N228" t="n">
        <v>335</v>
      </c>
    </row>
    <row r="229">
      <c r="A229" t="n">
        <v>2026</v>
      </c>
      <c r="B229" t="n">
        <v>3</v>
      </c>
      <c r="C229" t="inlineStr">
        <is>
          <t>Verwaltung</t>
        </is>
      </c>
      <c r="D229" t="n">
        <v>-0.02</v>
      </c>
      <c r="E229" t="n">
        <v>0</v>
      </c>
      <c r="F229" t="n">
        <v>2886.45</v>
      </c>
      <c r="G229" t="n">
        <v>-153433.87</v>
      </c>
      <c r="H229" t="n">
        <v>-0.02</v>
      </c>
      <c r="I229" t="n">
        <v>-150547.44</v>
      </c>
      <c r="J229" t="n">
        <v>-9350.32</v>
      </c>
      <c r="K229" t="n">
        <v>-173</v>
      </c>
      <c r="L229" t="n">
        <v>-27414.85</v>
      </c>
      <c r="M229" t="n">
        <v>-187485.61</v>
      </c>
      <c r="N229" t="n">
        <v>336</v>
      </c>
    </row>
    <row r="230">
      <c r="A230" t="n">
        <v>2026</v>
      </c>
      <c r="B230" t="n">
        <v>3</v>
      </c>
      <c r="C230" t="inlineStr">
        <is>
          <t>West</t>
        </is>
      </c>
      <c r="D230" t="n">
        <v>255457.91</v>
      </c>
      <c r="E230" t="n">
        <v>855886.16</v>
      </c>
      <c r="F230" t="n">
        <v>1166.22</v>
      </c>
      <c r="G230" t="n">
        <v>-914716.36</v>
      </c>
      <c r="H230" t="n">
        <v>1111344.07</v>
      </c>
      <c r="I230" t="n">
        <v>197793.93</v>
      </c>
      <c r="J230" t="n">
        <v>0</v>
      </c>
      <c r="K230" t="n">
        <v>-1849</v>
      </c>
      <c r="L230" t="n">
        <v>-271.02</v>
      </c>
      <c r="M230" t="n">
        <v>195673.91</v>
      </c>
      <c r="N230" t="n">
        <v>490</v>
      </c>
    </row>
    <row r="231">
      <c r="A231" t="n">
        <v>2026</v>
      </c>
      <c r="B231" t="n">
        <v>4</v>
      </c>
      <c r="C231" t="inlineStr">
        <is>
          <t>Berlin</t>
        </is>
      </c>
      <c r="D231" t="n">
        <v>-44067.99</v>
      </c>
      <c r="E231" t="n">
        <v>76551.41</v>
      </c>
      <c r="F231" t="n">
        <v>39038.74</v>
      </c>
      <c r="G231" t="n">
        <v>-100005.09</v>
      </c>
      <c r="H231" t="n">
        <v>32483.42</v>
      </c>
      <c r="I231" t="n">
        <v>-28482.93</v>
      </c>
      <c r="J231" t="n">
        <v>-6.62</v>
      </c>
      <c r="K231" t="n">
        <v>-1518</v>
      </c>
      <c r="L231" t="n">
        <v>-1657.55</v>
      </c>
      <c r="M231" t="n">
        <v>-31665.1</v>
      </c>
      <c r="N231" t="n">
        <v>221</v>
      </c>
    </row>
    <row r="232">
      <c r="A232" t="n">
        <v>2026</v>
      </c>
      <c r="B232" t="n">
        <v>4</v>
      </c>
      <c r="C232" t="inlineStr">
        <is>
          <t>Ohne Zuordnung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196</v>
      </c>
    </row>
    <row r="233">
      <c r="A233" t="n">
        <v>2026</v>
      </c>
      <c r="B233" t="n">
        <v>4</v>
      </c>
      <c r="C233" t="inlineStr">
        <is>
          <t>Ost</t>
        </is>
      </c>
      <c r="D233" t="n">
        <v>427146.01</v>
      </c>
      <c r="E233" t="n">
        <v>205523.72</v>
      </c>
      <c r="F233" t="n">
        <v>2050.92</v>
      </c>
      <c r="G233" t="n">
        <v>-611879.78</v>
      </c>
      <c r="H233" t="n">
        <v>632669.73</v>
      </c>
      <c r="I233" t="n">
        <v>22840.87</v>
      </c>
      <c r="J233" t="n">
        <v>-81.86</v>
      </c>
      <c r="K233" t="n">
        <v>-759</v>
      </c>
      <c r="L233" t="n">
        <v>3994.41</v>
      </c>
      <c r="M233" t="n">
        <v>25994.42</v>
      </c>
      <c r="N233" t="n">
        <v>379</v>
      </c>
    </row>
    <row r="234">
      <c r="A234" t="n">
        <v>2026</v>
      </c>
      <c r="B234" t="n">
        <v>4</v>
      </c>
      <c r="C234" t="inlineStr">
        <is>
          <t>Süd-West</t>
        </is>
      </c>
      <c r="D234" t="n">
        <v>149003.97</v>
      </c>
      <c r="E234" t="n">
        <v>-20869.91</v>
      </c>
      <c r="F234" t="n">
        <v>2630.89</v>
      </c>
      <c r="G234" t="n">
        <v>-199874.27</v>
      </c>
      <c r="H234" t="n">
        <v>128134.06</v>
      </c>
      <c r="I234" t="n">
        <v>-69109.32000000001</v>
      </c>
      <c r="J234" t="n">
        <v>0</v>
      </c>
      <c r="K234" t="n">
        <v>-5359</v>
      </c>
      <c r="L234" t="n">
        <v>-722.97</v>
      </c>
      <c r="M234" t="n">
        <v>-75191.28999999999</v>
      </c>
      <c r="N234" t="n">
        <v>330</v>
      </c>
    </row>
    <row r="235">
      <c r="A235" t="n">
        <v>2026</v>
      </c>
      <c r="B235" t="n">
        <v>4</v>
      </c>
      <c r="C235" t="inlineStr">
        <is>
          <t>Verwaltung</t>
        </is>
      </c>
      <c r="D235" t="n">
        <v>0.01</v>
      </c>
      <c r="E235" t="n">
        <v>0</v>
      </c>
      <c r="F235" t="n">
        <v>2726.8</v>
      </c>
      <c r="G235" t="n">
        <v>-154244.14</v>
      </c>
      <c r="H235" t="n">
        <v>0.01</v>
      </c>
      <c r="I235" t="n">
        <v>-151517.33</v>
      </c>
      <c r="J235" t="n">
        <v>-8691.440000000001</v>
      </c>
      <c r="K235" t="n">
        <v>-171</v>
      </c>
      <c r="L235" t="n">
        <v>-1382.93</v>
      </c>
      <c r="M235" t="n">
        <v>-161762.7</v>
      </c>
      <c r="N235" t="n">
        <v>350</v>
      </c>
    </row>
    <row r="236">
      <c r="A236" t="n">
        <v>2026</v>
      </c>
      <c r="B236" t="n">
        <v>4</v>
      </c>
      <c r="C236" t="inlineStr">
        <is>
          <t>West</t>
        </is>
      </c>
      <c r="D236" t="n">
        <v>146261.59</v>
      </c>
      <c r="E236" t="n">
        <v>1000014.67</v>
      </c>
      <c r="F236" t="n">
        <v>1164.7</v>
      </c>
      <c r="G236" t="n">
        <v>-1100446.32</v>
      </c>
      <c r="H236" t="n">
        <v>1146276.26</v>
      </c>
      <c r="I236" t="n">
        <v>46994.64</v>
      </c>
      <c r="J236" t="n">
        <v>0</v>
      </c>
      <c r="K236" t="n">
        <v>-1792.86</v>
      </c>
      <c r="L236" t="n">
        <v>-7528.13</v>
      </c>
      <c r="M236" t="n">
        <v>37673.65</v>
      </c>
      <c r="N236" t="n">
        <v>434</v>
      </c>
    </row>
    <row r="237">
      <c r="A237" t="n">
        <v>2026</v>
      </c>
      <c r="B237" t="n">
        <v>5</v>
      </c>
      <c r="C237" t="inlineStr">
        <is>
          <t>Berlin</t>
        </is>
      </c>
      <c r="D237" t="n">
        <v>60423.55</v>
      </c>
      <c r="E237" t="n">
        <v>-10778.69</v>
      </c>
      <c r="F237" t="n">
        <v>13047.28</v>
      </c>
      <c r="G237" t="n">
        <v>-59061.05</v>
      </c>
      <c r="H237" t="n">
        <v>49644.86</v>
      </c>
      <c r="I237" t="n">
        <v>3631.09</v>
      </c>
      <c r="J237" t="n">
        <v>0</v>
      </c>
      <c r="K237" t="n">
        <v>-1519</v>
      </c>
      <c r="L237" t="n">
        <v>246.61</v>
      </c>
      <c r="M237" t="n">
        <v>2358.7</v>
      </c>
      <c r="N237" t="n">
        <v>188</v>
      </c>
    </row>
    <row r="238">
      <c r="A238" t="n">
        <v>2026</v>
      </c>
      <c r="B238" t="n">
        <v>5</v>
      </c>
      <c r="C238" t="inlineStr">
        <is>
          <t>Ohne Zuordnung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205</v>
      </c>
    </row>
    <row r="239">
      <c r="A239" t="n">
        <v>2026</v>
      </c>
      <c r="B239" t="n">
        <v>5</v>
      </c>
      <c r="C239" t="inlineStr">
        <is>
          <t>Ost</t>
        </is>
      </c>
      <c r="D239" t="n">
        <v>371881.94</v>
      </c>
      <c r="E239" t="n">
        <v>5536.92</v>
      </c>
      <c r="F239" t="n">
        <v>4036.34</v>
      </c>
      <c r="G239" t="n">
        <v>-396099.63</v>
      </c>
      <c r="H239" t="n">
        <v>377418.86</v>
      </c>
      <c r="I239" t="n">
        <v>-14644.43</v>
      </c>
      <c r="J239" t="n">
        <v>-81.86</v>
      </c>
      <c r="K239" t="n">
        <v>-758</v>
      </c>
      <c r="L239" t="n">
        <v>-623.92</v>
      </c>
      <c r="M239" t="n">
        <v>-16108.21</v>
      </c>
      <c r="N239" t="n">
        <v>353</v>
      </c>
    </row>
    <row r="240">
      <c r="A240" t="n">
        <v>2026</v>
      </c>
      <c r="B240" t="n">
        <v>5</v>
      </c>
      <c r="C240" t="inlineStr">
        <is>
          <t>Süd-West</t>
        </is>
      </c>
      <c r="D240" t="n">
        <v>204465.76</v>
      </c>
      <c r="E240" t="n">
        <v>42099.36</v>
      </c>
      <c r="F240" t="n">
        <v>980.15</v>
      </c>
      <c r="G240" t="n">
        <v>-268038.91</v>
      </c>
      <c r="H240" t="n">
        <v>246565.12</v>
      </c>
      <c r="I240" t="n">
        <v>-20493.64</v>
      </c>
      <c r="J240" t="n">
        <v>0</v>
      </c>
      <c r="K240" t="n">
        <v>-5411.51</v>
      </c>
      <c r="L240" t="n">
        <v>-2320.67</v>
      </c>
      <c r="M240" t="n">
        <v>-28225.82</v>
      </c>
      <c r="N240" t="n">
        <v>299</v>
      </c>
    </row>
    <row r="241">
      <c r="A241" t="n">
        <v>2026</v>
      </c>
      <c r="B241" t="n">
        <v>5</v>
      </c>
      <c r="C241" t="inlineStr">
        <is>
          <t>Verwaltung</t>
        </is>
      </c>
      <c r="D241" t="n">
        <v>-4172.4</v>
      </c>
      <c r="E241" t="n">
        <v>0</v>
      </c>
      <c r="F241" t="n">
        <v>5144.88</v>
      </c>
      <c r="G241" t="n">
        <v>-163550.51</v>
      </c>
      <c r="H241" t="n">
        <v>-4172.4</v>
      </c>
      <c r="I241" t="n">
        <v>-162578.03</v>
      </c>
      <c r="J241" t="n">
        <v>-10742.89</v>
      </c>
      <c r="K241" t="n">
        <v>-171</v>
      </c>
      <c r="L241" t="n">
        <v>-24423.56</v>
      </c>
      <c r="M241" t="n">
        <v>-197915.48</v>
      </c>
      <c r="N241" t="n">
        <v>245</v>
      </c>
    </row>
    <row r="242">
      <c r="A242" t="n">
        <v>2026</v>
      </c>
      <c r="B242" t="n">
        <v>5</v>
      </c>
      <c r="C242" t="inlineStr">
        <is>
          <t>West</t>
        </is>
      </c>
      <c r="D242" t="n">
        <v>714986.63</v>
      </c>
      <c r="E242" t="n">
        <v>-300461.68</v>
      </c>
      <c r="F242" t="n">
        <v>1146.22</v>
      </c>
      <c r="G242" t="n">
        <v>-362828.06</v>
      </c>
      <c r="H242" t="n">
        <v>414524.95</v>
      </c>
      <c r="I242" t="n">
        <v>52843.11</v>
      </c>
      <c r="J242" t="n">
        <v>-4760</v>
      </c>
      <c r="K242" t="n">
        <v>-1795.52</v>
      </c>
      <c r="L242" t="n">
        <v>-310.78</v>
      </c>
      <c r="M242" t="n">
        <v>45976.81</v>
      </c>
      <c r="N242" t="n">
        <v>434</v>
      </c>
    </row>
    <row r="243">
      <c r="A243" t="n">
        <v>2026</v>
      </c>
      <c r="B243" t="n">
        <v>6</v>
      </c>
      <c r="C243" t="inlineStr">
        <is>
          <t>Berlin</t>
        </is>
      </c>
      <c r="D243" t="n">
        <v>295727.88</v>
      </c>
      <c r="E243" t="n">
        <v>-155684.36</v>
      </c>
      <c r="F243" t="n">
        <v>362.19</v>
      </c>
      <c r="G243" t="n">
        <v>-63163.62</v>
      </c>
      <c r="H243" t="n">
        <v>140043.52</v>
      </c>
      <c r="I243" t="n">
        <v>77242.09</v>
      </c>
      <c r="J243" t="n">
        <v>-6.7</v>
      </c>
      <c r="K243" t="n">
        <v>-1522</v>
      </c>
      <c r="L243" t="n">
        <v>-341.05</v>
      </c>
      <c r="M243" t="n">
        <v>75372.34</v>
      </c>
      <c r="N243" t="n">
        <v>194</v>
      </c>
    </row>
    <row r="244">
      <c r="A244" t="n">
        <v>2026</v>
      </c>
      <c r="B244" t="n">
        <v>6</v>
      </c>
      <c r="C244" t="inlineStr">
        <is>
          <t>Ohne Zuordnung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83.81999999999999</v>
      </c>
      <c r="K244" t="n">
        <v>0</v>
      </c>
      <c r="L244" t="n">
        <v>0</v>
      </c>
      <c r="M244" t="n">
        <v>83.81999999999999</v>
      </c>
      <c r="N244" t="n">
        <v>206</v>
      </c>
    </row>
    <row r="245">
      <c r="A245" t="n">
        <v>2026</v>
      </c>
      <c r="B245" t="n">
        <v>6</v>
      </c>
      <c r="C245" t="inlineStr">
        <is>
          <t>Ost</t>
        </is>
      </c>
      <c r="D245" t="n">
        <v>441362</v>
      </c>
      <c r="E245" t="n">
        <v>124189.03</v>
      </c>
      <c r="F245" t="n">
        <v>2185.55</v>
      </c>
      <c r="G245" t="n">
        <v>-527996.95</v>
      </c>
      <c r="H245" t="n">
        <v>565551.03</v>
      </c>
      <c r="I245" t="n">
        <v>39739.63</v>
      </c>
      <c r="J245" t="n">
        <v>-81.86</v>
      </c>
      <c r="K245" t="n">
        <v>-757</v>
      </c>
      <c r="L245" t="n">
        <v>-131.77</v>
      </c>
      <c r="M245" t="n">
        <v>38769</v>
      </c>
      <c r="N245" t="n">
        <v>362</v>
      </c>
    </row>
    <row r="246">
      <c r="A246" t="n">
        <v>2026</v>
      </c>
      <c r="B246" t="n">
        <v>6</v>
      </c>
      <c r="C246" t="inlineStr">
        <is>
          <t>Süd-West</t>
        </is>
      </c>
      <c r="D246" t="n">
        <v>732119.79</v>
      </c>
      <c r="E246" t="n">
        <v>-59226.48</v>
      </c>
      <c r="F246" t="n">
        <v>1691.91</v>
      </c>
      <c r="G246" t="n">
        <v>-630190.77</v>
      </c>
      <c r="H246" t="n">
        <v>672893.3100000001</v>
      </c>
      <c r="I246" t="n">
        <v>44394.45</v>
      </c>
      <c r="J246" t="n">
        <v>0</v>
      </c>
      <c r="K246" t="n">
        <v>-5157.7</v>
      </c>
      <c r="L246" t="n">
        <v>-230.4</v>
      </c>
      <c r="M246" t="n">
        <v>39006.35</v>
      </c>
      <c r="N246" t="n">
        <v>363</v>
      </c>
    </row>
    <row r="247">
      <c r="A247" t="n">
        <v>2026</v>
      </c>
      <c r="B247" t="n">
        <v>6</v>
      </c>
      <c r="C247" t="inlineStr">
        <is>
          <t>Verwaltung</t>
        </is>
      </c>
      <c r="D247" t="n">
        <v>1842.2</v>
      </c>
      <c r="E247" t="n">
        <v>0</v>
      </c>
      <c r="F247" t="n">
        <v>3692.47</v>
      </c>
      <c r="G247" t="n">
        <v>-151995.46</v>
      </c>
      <c r="H247" t="n">
        <v>1842.2</v>
      </c>
      <c r="I247" t="n">
        <v>-146460.79</v>
      </c>
      <c r="J247" t="n">
        <v>-12739.76</v>
      </c>
      <c r="K247" t="n">
        <v>-173</v>
      </c>
      <c r="L247" t="n">
        <v>-26886.77</v>
      </c>
      <c r="M247" t="n">
        <v>-186260.32</v>
      </c>
      <c r="N247" t="n">
        <v>248</v>
      </c>
    </row>
    <row r="248">
      <c r="A248" t="n">
        <v>2026</v>
      </c>
      <c r="B248" t="n">
        <v>6</v>
      </c>
      <c r="C248" t="inlineStr">
        <is>
          <t>West</t>
        </is>
      </c>
      <c r="D248" t="n">
        <v>998990.23</v>
      </c>
      <c r="E248" t="n">
        <v>405367.04</v>
      </c>
      <c r="F248" t="n">
        <v>9136.219999999999</v>
      </c>
      <c r="G248" t="n">
        <v>-1369855.01</v>
      </c>
      <c r="H248" t="n">
        <v>1404357.27</v>
      </c>
      <c r="I248" t="n">
        <v>43638.48</v>
      </c>
      <c r="J248" t="n">
        <v>0</v>
      </c>
      <c r="K248" t="n">
        <v>-1438.26</v>
      </c>
      <c r="L248" t="n">
        <v>-616.5599999999999</v>
      </c>
      <c r="M248" t="n">
        <v>41583.66</v>
      </c>
      <c r="N248" t="n">
        <v>440</v>
      </c>
    </row>
    <row r="249">
      <c r="A249" t="n">
        <v>2026</v>
      </c>
      <c r="B249" t="n">
        <v>7</v>
      </c>
      <c r="C249" t="inlineStr">
        <is>
          <t>Berlin</t>
        </is>
      </c>
      <c r="D249" t="n">
        <v>-45552.79</v>
      </c>
      <c r="E249" t="n">
        <v>97927.89</v>
      </c>
      <c r="F249" t="n">
        <v>362.19</v>
      </c>
      <c r="G249" t="n">
        <v>-58028.78</v>
      </c>
      <c r="H249" t="n">
        <v>52375.1</v>
      </c>
      <c r="I249" t="n">
        <v>-5291.49</v>
      </c>
      <c r="J249" t="n">
        <v>-44.02</v>
      </c>
      <c r="K249" t="n">
        <v>-1517</v>
      </c>
      <c r="L249" t="n">
        <v>187.03</v>
      </c>
      <c r="M249" t="n">
        <v>-6665.48</v>
      </c>
      <c r="N249" t="n">
        <v>170</v>
      </c>
    </row>
    <row r="250">
      <c r="A250" t="n">
        <v>2026</v>
      </c>
      <c r="B250" t="n">
        <v>7</v>
      </c>
      <c r="C250" t="inlineStr">
        <is>
          <t>Ohne Zuordnung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177</v>
      </c>
    </row>
    <row r="251">
      <c r="A251" t="n">
        <v>2026</v>
      </c>
      <c r="B251" t="n">
        <v>7</v>
      </c>
      <c r="C251" t="inlineStr">
        <is>
          <t>Ost</t>
        </is>
      </c>
      <c r="D251" t="n">
        <v>554294.62</v>
      </c>
      <c r="E251" t="n">
        <v>67688.84</v>
      </c>
      <c r="F251" t="n">
        <v>2188.33</v>
      </c>
      <c r="G251" t="n">
        <v>-521634.67</v>
      </c>
      <c r="H251" t="n">
        <v>621983.46</v>
      </c>
      <c r="I251" t="n">
        <v>102537.12</v>
      </c>
      <c r="J251" t="n">
        <v>-515.14</v>
      </c>
      <c r="K251" t="n">
        <v>-747</v>
      </c>
      <c r="L251" t="n">
        <v>-1239.69</v>
      </c>
      <c r="M251" t="n">
        <v>100035.29</v>
      </c>
      <c r="N251" t="n">
        <v>347</v>
      </c>
    </row>
    <row r="252">
      <c r="A252" t="n">
        <v>2026</v>
      </c>
      <c r="B252" t="n">
        <v>7</v>
      </c>
      <c r="C252" t="inlineStr">
        <is>
          <t>Süd-West</t>
        </is>
      </c>
      <c r="D252" t="n">
        <v>600733.45</v>
      </c>
      <c r="E252" t="n">
        <v>-246925.51</v>
      </c>
      <c r="F252" t="n">
        <v>886.4299999999999</v>
      </c>
      <c r="G252" t="n">
        <v>-448911.87</v>
      </c>
      <c r="H252" t="n">
        <v>353807.94</v>
      </c>
      <c r="I252" t="n">
        <v>-94217.5</v>
      </c>
      <c r="J252" t="n">
        <v>29.37</v>
      </c>
      <c r="K252" t="n">
        <v>-4904.71</v>
      </c>
      <c r="L252" t="n">
        <v>-18059.48</v>
      </c>
      <c r="M252" t="n">
        <v>-117152.32</v>
      </c>
      <c r="N252" t="n">
        <v>312</v>
      </c>
    </row>
    <row r="253">
      <c r="A253" t="n">
        <v>2026</v>
      </c>
      <c r="B253" t="n">
        <v>7</v>
      </c>
      <c r="C253" t="inlineStr">
        <is>
          <t>Verwaltung</t>
        </is>
      </c>
      <c r="D253" t="n">
        <v>-0.01</v>
      </c>
      <c r="E253" t="n">
        <v>0</v>
      </c>
      <c r="F253" t="n">
        <v>2776.68</v>
      </c>
      <c r="G253" t="n">
        <v>-144787.64</v>
      </c>
      <c r="H253" t="n">
        <v>-0.01</v>
      </c>
      <c r="I253" t="n">
        <v>-142010.97</v>
      </c>
      <c r="J253" t="n">
        <v>-7549.3</v>
      </c>
      <c r="K253" t="n">
        <v>-170</v>
      </c>
      <c r="L253" t="n">
        <v>47943.29</v>
      </c>
      <c r="M253" t="n">
        <v>-101786.98</v>
      </c>
      <c r="N253" t="n">
        <v>297</v>
      </c>
    </row>
    <row r="254">
      <c r="A254" t="n">
        <v>2026</v>
      </c>
      <c r="B254" t="n">
        <v>7</v>
      </c>
      <c r="C254" t="inlineStr">
        <is>
          <t>West</t>
        </is>
      </c>
      <c r="D254" t="n">
        <v>214452.93</v>
      </c>
      <c r="E254" t="n">
        <v>376025.24</v>
      </c>
      <c r="F254" t="n">
        <v>9112.6</v>
      </c>
      <c r="G254" t="n">
        <v>-955899.47</v>
      </c>
      <c r="H254" t="n">
        <v>590478.17</v>
      </c>
      <c r="I254" t="n">
        <v>-356308.7</v>
      </c>
      <c r="J254" t="n">
        <v>0</v>
      </c>
      <c r="K254" t="n">
        <v>-1744.26</v>
      </c>
      <c r="L254" t="n">
        <v>-287.53</v>
      </c>
      <c r="M254" t="n">
        <v>-358340.49</v>
      </c>
      <c r="N254" t="n">
        <v>513</v>
      </c>
    </row>
    <row r="255">
      <c r="A255" t="n">
        <v>2026</v>
      </c>
      <c r="B255" t="n">
        <v>8</v>
      </c>
      <c r="C255" t="inlineStr">
        <is>
          <t>Berlin</t>
        </is>
      </c>
      <c r="D255" t="n">
        <v>63000</v>
      </c>
      <c r="E255" t="n">
        <v>12969.96</v>
      </c>
      <c r="F255" t="n">
        <v>362.19</v>
      </c>
      <c r="G255" t="n">
        <v>-113439.39</v>
      </c>
      <c r="H255" t="n">
        <v>75969.96000000001</v>
      </c>
      <c r="I255" t="n">
        <v>-37107.24</v>
      </c>
      <c r="J255" t="n">
        <v>0</v>
      </c>
      <c r="K255" t="n">
        <v>-1542.43</v>
      </c>
      <c r="L255" t="n">
        <v>-33.74</v>
      </c>
      <c r="M255" t="n">
        <v>-38683.41</v>
      </c>
      <c r="N255" t="n">
        <v>178</v>
      </c>
    </row>
    <row r="256">
      <c r="A256" t="n">
        <v>2026</v>
      </c>
      <c r="B256" t="n">
        <v>8</v>
      </c>
      <c r="C256" t="inlineStr">
        <is>
          <t>Ost</t>
        </is>
      </c>
      <c r="D256" t="n">
        <v>371050.11</v>
      </c>
      <c r="E256" t="n">
        <v>94095.92999999999</v>
      </c>
      <c r="F256" t="n">
        <v>2188.33</v>
      </c>
      <c r="G256" t="n">
        <v>-452306.79</v>
      </c>
      <c r="H256" t="n">
        <v>465146.04</v>
      </c>
      <c r="I256" t="n">
        <v>15027.58</v>
      </c>
      <c r="J256" t="n">
        <v>-448.53</v>
      </c>
      <c r="K256" t="n">
        <v>-743</v>
      </c>
      <c r="L256" t="n">
        <v>490.83</v>
      </c>
      <c r="M256" t="n">
        <v>14326.88</v>
      </c>
      <c r="N256" t="n">
        <v>377</v>
      </c>
    </row>
    <row r="257">
      <c r="A257" t="n">
        <v>2026</v>
      </c>
      <c r="B257" t="n">
        <v>8</v>
      </c>
      <c r="C257" t="inlineStr">
        <is>
          <t>Süd-West</t>
        </is>
      </c>
      <c r="D257" t="n">
        <v>182167.04</v>
      </c>
      <c r="E257" t="n">
        <v>106376.58</v>
      </c>
      <c r="F257" t="n">
        <v>873.7</v>
      </c>
      <c r="G257" t="n">
        <v>-435808.18</v>
      </c>
      <c r="H257" t="n">
        <v>288543.62</v>
      </c>
      <c r="I257" t="n">
        <v>-146390.86</v>
      </c>
      <c r="J257" t="n">
        <v>0</v>
      </c>
      <c r="K257" t="n">
        <v>-4902</v>
      </c>
      <c r="L257" t="n">
        <v>574.22</v>
      </c>
      <c r="M257" t="n">
        <v>-150718.64</v>
      </c>
      <c r="N257" t="n">
        <v>335</v>
      </c>
    </row>
    <row r="258">
      <c r="A258" t="n">
        <v>2026</v>
      </c>
      <c r="B258" t="n">
        <v>8</v>
      </c>
      <c r="C258" t="inlineStr">
        <is>
          <t>Verwaltung</t>
        </is>
      </c>
      <c r="D258" t="n">
        <v>0</v>
      </c>
      <c r="E258" t="n">
        <v>0</v>
      </c>
      <c r="F258" t="n">
        <v>7311.63</v>
      </c>
      <c r="G258" t="n">
        <v>-145253.69</v>
      </c>
      <c r="H258" t="n">
        <v>0</v>
      </c>
      <c r="I258" t="n">
        <v>-137942.06</v>
      </c>
      <c r="J258" t="n">
        <v>-11976.94</v>
      </c>
      <c r="K258" t="n">
        <v>-172</v>
      </c>
      <c r="L258" t="n">
        <v>-99.09</v>
      </c>
      <c r="M258" t="n">
        <v>-150190.09</v>
      </c>
      <c r="N258" t="n">
        <v>360</v>
      </c>
    </row>
    <row r="259">
      <c r="A259" t="n">
        <v>2026</v>
      </c>
      <c r="B259" t="n">
        <v>8</v>
      </c>
      <c r="C259" t="inlineStr">
        <is>
          <t>West</t>
        </is>
      </c>
      <c r="D259" t="n">
        <v>238122.69</v>
      </c>
      <c r="E259" t="n">
        <v>809082.67</v>
      </c>
      <c r="F259" t="n">
        <v>1900.84</v>
      </c>
      <c r="G259" t="n">
        <v>-880935.99</v>
      </c>
      <c r="H259" t="n">
        <v>1047205.36</v>
      </c>
      <c r="I259" t="n">
        <v>168170.21</v>
      </c>
      <c r="J259" t="n">
        <v>0</v>
      </c>
      <c r="K259" t="n">
        <v>-1750.42</v>
      </c>
      <c r="L259" t="n">
        <v>-290.73</v>
      </c>
      <c r="M259" t="n">
        <v>166129.06</v>
      </c>
      <c r="N259" t="n">
        <v>434</v>
      </c>
    </row>
    <row r="260">
      <c r="A260" t="n">
        <v>2026</v>
      </c>
      <c r="B260" t="n">
        <v>9</v>
      </c>
      <c r="C260" t="inlineStr">
        <is>
          <t>Berlin</t>
        </is>
      </c>
      <c r="D260" t="n">
        <v>78054.73</v>
      </c>
      <c r="E260" t="n">
        <v>0</v>
      </c>
      <c r="F260" t="n">
        <v>0</v>
      </c>
      <c r="G260" t="n">
        <v>-4962.05</v>
      </c>
      <c r="H260" t="n">
        <v>78054.73</v>
      </c>
      <c r="I260" t="n">
        <v>73092.67999999999</v>
      </c>
      <c r="J260" t="n">
        <v>0</v>
      </c>
      <c r="K260" t="n">
        <v>0</v>
      </c>
      <c r="L260" t="n">
        <v>0</v>
      </c>
      <c r="M260" t="n">
        <v>73092.67999999999</v>
      </c>
      <c r="N260" t="n">
        <v>28</v>
      </c>
    </row>
    <row r="261">
      <c r="A261" t="n">
        <v>2026</v>
      </c>
      <c r="B261" t="n">
        <v>9</v>
      </c>
      <c r="C261" t="inlineStr">
        <is>
          <t>Ost</t>
        </is>
      </c>
      <c r="D261" t="n">
        <v>18169.04</v>
      </c>
      <c r="E261" t="n">
        <v>0</v>
      </c>
      <c r="F261" t="n">
        <v>0</v>
      </c>
      <c r="G261" t="n">
        <v>-39892.93</v>
      </c>
      <c r="H261" t="n">
        <v>18169.04</v>
      </c>
      <c r="I261" t="n">
        <v>-21723.89</v>
      </c>
      <c r="J261" t="n">
        <v>0</v>
      </c>
      <c r="K261" t="n">
        <v>0</v>
      </c>
      <c r="L261" t="n">
        <v>0</v>
      </c>
      <c r="M261" t="n">
        <v>-21723.89</v>
      </c>
      <c r="N261" t="n">
        <v>72</v>
      </c>
    </row>
    <row r="262">
      <c r="A262" t="n">
        <v>2026</v>
      </c>
      <c r="B262" t="n">
        <v>9</v>
      </c>
      <c r="C262" t="inlineStr">
        <is>
          <t>Süd-West</t>
        </is>
      </c>
      <c r="D262" t="n">
        <v>5198.24</v>
      </c>
      <c r="E262" t="n">
        <v>0</v>
      </c>
      <c r="F262" t="n">
        <v>0</v>
      </c>
      <c r="G262" t="n">
        <v>-247259.27</v>
      </c>
      <c r="H262" t="n">
        <v>5198.24</v>
      </c>
      <c r="I262" t="n">
        <v>-242061.03</v>
      </c>
      <c r="J262" t="n">
        <v>0</v>
      </c>
      <c r="K262" t="n">
        <v>0</v>
      </c>
      <c r="L262" t="n">
        <v>0</v>
      </c>
      <c r="M262" t="n">
        <v>-242061.03</v>
      </c>
      <c r="N262" t="n">
        <v>73</v>
      </c>
    </row>
    <row r="263">
      <c r="A263" t="n">
        <v>2026</v>
      </c>
      <c r="B263" t="n">
        <v>9</v>
      </c>
      <c r="C263" t="inlineStr">
        <is>
          <t>West</t>
        </is>
      </c>
      <c r="D263" t="n">
        <v>845719.74</v>
      </c>
      <c r="E263" t="n">
        <v>0</v>
      </c>
      <c r="F263" t="n">
        <v>0</v>
      </c>
      <c r="G263" t="n">
        <v>-1269386.63</v>
      </c>
      <c r="H263" t="n">
        <v>845719.74</v>
      </c>
      <c r="I263" t="n">
        <v>-423666.89</v>
      </c>
      <c r="J263" t="n">
        <v>0</v>
      </c>
      <c r="K263" t="n">
        <v>0</v>
      </c>
      <c r="L263" t="n">
        <v>312530</v>
      </c>
      <c r="M263" t="n">
        <v>-111136.89</v>
      </c>
      <c r="N263" t="n">
        <v>147</v>
      </c>
    </row>
    <row r="267">
      <c r="A267" t="inlineStr">
        <is>
          <t>v_forecast_bruecke</t>
        </is>
      </c>
    </row>
    <row r="268">
      <c r="A268" t="inlineStr">
        <is>
          <t>sort</t>
        </is>
      </c>
      <c r="B268" t="inlineStr">
        <is>
          <t>position</t>
        </is>
      </c>
      <c r="C268" t="inlineStr">
        <is>
          <t>quelle</t>
        </is>
      </c>
      <c r="D268" t="inlineStr">
        <is>
          <t>wert</t>
        </is>
      </c>
    </row>
    <row r="269">
      <c r="A269" t="n">
        <v>1</v>
      </c>
      <c r="B269" t="inlineStr">
        <is>
          <t>Ergebnis Ist Januar bis August</t>
        </is>
      </c>
      <c r="C269" t="inlineStr">
        <is>
          <t>SAP-Einzelposten, gegen den Abschluss geprüft</t>
        </is>
      </c>
      <c r="D269" t="n">
        <v>460631.33</v>
      </c>
    </row>
    <row r="270">
      <c r="A270" t="n">
        <v>2</v>
      </c>
      <c r="B270" t="inlineStr">
        <is>
          <t>EBITDA September bis Dezember</t>
        </is>
      </c>
      <c r="C270" t="inlineStr">
        <is>
          <t>Rolling Forecast</t>
        </is>
      </c>
      <c r="D270" t="n">
        <v>-698265</v>
      </c>
    </row>
    <row r="271">
      <c r="A271" t="n">
        <v>3</v>
      </c>
      <c r="B271" t="inlineStr">
        <is>
          <t>Abschreibungen September bis Dezember</t>
        </is>
      </c>
      <c r="C271" t="inlineStr">
        <is>
          <t>Fortschreibung der Ist-Monatsrate Januar bis August</t>
        </is>
      </c>
      <c r="D271" t="n">
        <v>37838.39</v>
      </c>
    </row>
    <row r="272">
      <c r="A272" t="n">
        <v>4</v>
      </c>
      <c r="B272" t="inlineStr">
        <is>
          <t>Finanzergebnis September bis Dezember</t>
        </is>
      </c>
      <c r="C272" t="inlineStr">
        <is>
          <t>Fortschreibung der Ist-Monatsrate Januar bis August</t>
        </is>
      </c>
      <c r="D272" t="n">
        <v>39943.88</v>
      </c>
    </row>
    <row r="276">
      <c r="A276" t="inlineStr">
        <is>
          <t>v_forecast_reihe</t>
        </is>
      </c>
    </row>
    <row r="277">
      <c r="A277" t="inlineStr">
        <is>
          <t>monat</t>
        </is>
      </c>
      <c r="B277" t="inlineStr">
        <is>
          <t>quelle</t>
        </is>
      </c>
      <c r="C277" t="inlineStr">
        <is>
          <t>ist</t>
        </is>
      </c>
      <c r="D277" t="inlineStr">
        <is>
          <t>ergebnis</t>
        </is>
      </c>
      <c r="E277" t="inlineStr">
        <is>
          <t>umsatz</t>
        </is>
      </c>
      <c r="F277" t="inlineStr">
        <is>
          <t>bestandsaenderung</t>
        </is>
      </c>
      <c r="G277" t="inlineStr">
        <is>
          <t>ebitda</t>
        </is>
      </c>
      <c r="H277" t="inlineStr">
        <is>
          <t>jahr</t>
        </is>
      </c>
    </row>
    <row r="278">
      <c r="A278" t="n">
        <v>1</v>
      </c>
      <c r="B278" t="inlineStr">
        <is>
          <t>SAP-Ist</t>
        </is>
      </c>
      <c r="C278" t="b">
        <v>1</v>
      </c>
      <c r="D278" t="n">
        <v>-274732.25</v>
      </c>
      <c r="E278" t="n">
        <v>639565.45</v>
      </c>
      <c r="F278" t="n">
        <v>1280847.26</v>
      </c>
      <c r="G278" t="n">
        <v>294942.37</v>
      </c>
      <c r="H278" t="n">
        <v>2026</v>
      </c>
    </row>
    <row r="279">
      <c r="A279" t="n">
        <v>2</v>
      </c>
      <c r="B279" t="inlineStr">
        <is>
          <t>SAP-Ist</t>
        </is>
      </c>
      <c r="C279" t="b">
        <v>1</v>
      </c>
      <c r="D279" t="n">
        <v>-298238.23</v>
      </c>
      <c r="E279" t="n">
        <v>2777244.65</v>
      </c>
      <c r="F279" t="n">
        <v>-200176.92</v>
      </c>
      <c r="G279" t="n">
        <v>318570.76</v>
      </c>
      <c r="H279" t="n">
        <v>2026</v>
      </c>
    </row>
    <row r="280">
      <c r="A280" t="n">
        <v>3</v>
      </c>
      <c r="B280" t="inlineStr">
        <is>
          <t>SAP-Ist</t>
        </is>
      </c>
      <c r="C280" t="b">
        <v>1</v>
      </c>
      <c r="D280" t="n">
        <v>8831.02</v>
      </c>
      <c r="E280" t="n">
        <v>1213541.38</v>
      </c>
      <c r="F280" t="n">
        <v>1198671.49</v>
      </c>
      <c r="G280" t="n">
        <v>23595.18</v>
      </c>
      <c r="H280" t="n">
        <v>2026</v>
      </c>
    </row>
    <row r="281">
      <c r="A281" t="n">
        <v>4</v>
      </c>
      <c r="B281" t="inlineStr">
        <is>
          <t>SAP-Ist</t>
        </is>
      </c>
      <c r="C281" t="b">
        <v>1</v>
      </c>
      <c r="D281" t="n">
        <v>202827.31</v>
      </c>
      <c r="E281" t="n">
        <v>678343.59</v>
      </c>
      <c r="F281" t="n">
        <v>1261219.89</v>
      </c>
      <c r="G281" t="n">
        <v>-179274.07</v>
      </c>
      <c r="H281" t="n">
        <v>2026</v>
      </c>
    </row>
    <row r="282">
      <c r="A282" t="n">
        <v>5</v>
      </c>
      <c r="B282" t="inlineStr">
        <is>
          <t>SAP-Ist</t>
        </is>
      </c>
      <c r="C282" t="b">
        <v>1</v>
      </c>
      <c r="D282" t="n">
        <v>169050.97</v>
      </c>
      <c r="E282" t="n">
        <v>1347585.48</v>
      </c>
      <c r="F282" t="n">
        <v>-263604.09</v>
      </c>
      <c r="G282" t="n">
        <v>-141241.9</v>
      </c>
      <c r="H282" t="n">
        <v>2026</v>
      </c>
    </row>
    <row r="283">
      <c r="A283" t="n">
        <v>6</v>
      </c>
      <c r="B283" t="inlineStr">
        <is>
          <t>SAP-Ist</t>
        </is>
      </c>
      <c r="C283" t="b">
        <v>1</v>
      </c>
      <c r="D283" t="n">
        <v>-36677.58</v>
      </c>
      <c r="E283" t="n">
        <v>2470042.1</v>
      </c>
      <c r="F283" t="n">
        <v>314645.23</v>
      </c>
      <c r="G283" t="n">
        <v>58553.86</v>
      </c>
      <c r="H283" t="n">
        <v>2026</v>
      </c>
    </row>
    <row r="284">
      <c r="A284" t="n">
        <v>7</v>
      </c>
      <c r="B284" t="inlineStr">
        <is>
          <t>SAP-Ist</t>
        </is>
      </c>
      <c r="C284" t="b">
        <v>1</v>
      </c>
      <c r="D284" t="n">
        <v>531284.6</v>
      </c>
      <c r="E284" t="n">
        <v>1323928.2</v>
      </c>
      <c r="F284" t="n">
        <v>294716.46</v>
      </c>
      <c r="G284" t="n">
        <v>-495291.54</v>
      </c>
      <c r="H284" t="n">
        <v>2026</v>
      </c>
    </row>
    <row r="285">
      <c r="A285" t="n">
        <v>8</v>
      </c>
      <c r="B285" t="inlineStr">
        <is>
          <t>SAP-Ist</t>
        </is>
      </c>
      <c r="C285" t="b">
        <v>1</v>
      </c>
      <c r="D285" t="n">
        <v>158285.49</v>
      </c>
      <c r="E285" t="n">
        <v>854339.84</v>
      </c>
      <c r="F285" t="n">
        <v>1022525.14</v>
      </c>
      <c r="G285" t="n">
        <v>-138242.37</v>
      </c>
      <c r="H285" t="n">
        <v>2026</v>
      </c>
    </row>
    <row r="286">
      <c r="A286" t="n">
        <v>9</v>
      </c>
      <c r="B286" t="inlineStr">
        <is>
          <t>Rolling Forecast</t>
        </is>
      </c>
      <c r="C286" t="b">
        <v>0</v>
      </c>
      <c r="D286" t="n">
        <v>-448998.44</v>
      </c>
      <c r="E286" t="n">
        <v>2604944</v>
      </c>
      <c r="F286" t="n">
        <v>0</v>
      </c>
      <c r="G286" t="n">
        <v>468444</v>
      </c>
      <c r="H286" t="n">
        <v>2026</v>
      </c>
    </row>
    <row r="287">
      <c r="A287" t="n">
        <v>10</v>
      </c>
      <c r="B287" t="inlineStr">
        <is>
          <t>Rolling Forecast</t>
        </is>
      </c>
      <c r="C287" t="b">
        <v>0</v>
      </c>
      <c r="D287" t="n">
        <v>-241804.44</v>
      </c>
      <c r="E287" t="n">
        <v>1333000</v>
      </c>
      <c r="F287" t="n">
        <v>0</v>
      </c>
      <c r="G287" t="n">
        <v>261250</v>
      </c>
      <c r="H287" t="n">
        <v>2026</v>
      </c>
    </row>
    <row r="288">
      <c r="A288" t="n">
        <v>11</v>
      </c>
      <c r="B288" t="inlineStr">
        <is>
          <t>Rolling Forecast</t>
        </is>
      </c>
      <c r="C288" t="b">
        <v>0</v>
      </c>
      <c r="D288" t="n">
        <v>-497204.44</v>
      </c>
      <c r="E288" t="n">
        <v>1775000</v>
      </c>
      <c r="F288" t="n">
        <v>0</v>
      </c>
      <c r="G288" t="n">
        <v>516650</v>
      </c>
      <c r="H288" t="n">
        <v>2026</v>
      </c>
    </row>
    <row r="289">
      <c r="A289" t="n">
        <v>12</v>
      </c>
      <c r="B289" t="inlineStr">
        <is>
          <t>Rolling Forecast</t>
        </is>
      </c>
      <c r="C289" t="b">
        <v>0</v>
      </c>
      <c r="D289" t="n">
        <v>-6707.44</v>
      </c>
      <c r="E289" t="n">
        <v>1073000</v>
      </c>
      <c r="F289" t="n">
        <v>0</v>
      </c>
      <c r="G289" t="n">
        <v>26153</v>
      </c>
      <c r="H289" t="n">
        <v>2026</v>
      </c>
    </row>
    <row r="290">
      <c r="A290" t="n">
        <v>1</v>
      </c>
      <c r="B290" t="inlineStr">
        <is>
          <t>Plan</t>
        </is>
      </c>
      <c r="C290" t="b">
        <v>0</v>
      </c>
      <c r="D290" t="n">
        <v>-84756.67</v>
      </c>
      <c r="E290" t="n">
        <v>1566666.67</v>
      </c>
      <c r="F290" t="n">
        <v>0</v>
      </c>
      <c r="G290" t="n">
        <v>84756.67</v>
      </c>
      <c r="H290" t="n">
        <v>2027</v>
      </c>
    </row>
    <row r="291">
      <c r="A291" t="n">
        <v>2</v>
      </c>
      <c r="B291" t="inlineStr">
        <is>
          <t>Plan</t>
        </is>
      </c>
      <c r="C291" t="b">
        <v>0</v>
      </c>
      <c r="D291" t="n">
        <v>-84756.67</v>
      </c>
      <c r="E291" t="n">
        <v>1566666.67</v>
      </c>
      <c r="F291" t="n">
        <v>0</v>
      </c>
      <c r="G291" t="n">
        <v>84756.67</v>
      </c>
      <c r="H291" t="n">
        <v>2027</v>
      </c>
    </row>
    <row r="292">
      <c r="A292" t="n">
        <v>3</v>
      </c>
      <c r="B292" t="inlineStr">
        <is>
          <t>Plan</t>
        </is>
      </c>
      <c r="C292" t="b">
        <v>0</v>
      </c>
      <c r="D292" t="n">
        <v>-84756.67</v>
      </c>
      <c r="E292" t="n">
        <v>1566666.67</v>
      </c>
      <c r="F292" t="n">
        <v>0</v>
      </c>
      <c r="G292" t="n">
        <v>84756.67</v>
      </c>
      <c r="H292" t="n">
        <v>2027</v>
      </c>
    </row>
    <row r="293">
      <c r="A293" t="n">
        <v>4</v>
      </c>
      <c r="B293" t="inlineStr">
        <is>
          <t>Plan</t>
        </is>
      </c>
      <c r="C293" t="b">
        <v>0</v>
      </c>
      <c r="D293" t="n">
        <v>-81150</v>
      </c>
      <c r="E293" t="n">
        <v>1500000</v>
      </c>
      <c r="F293" t="n">
        <v>0</v>
      </c>
      <c r="G293" t="n">
        <v>81150</v>
      </c>
      <c r="H293" t="n">
        <v>2027</v>
      </c>
    </row>
    <row r="294">
      <c r="A294" t="n">
        <v>5</v>
      </c>
      <c r="B294" t="inlineStr">
        <is>
          <t>Plan</t>
        </is>
      </c>
      <c r="C294" t="b">
        <v>0</v>
      </c>
      <c r="D294" t="n">
        <v>-81150</v>
      </c>
      <c r="E294" t="n">
        <v>1500000</v>
      </c>
      <c r="F294" t="n">
        <v>0</v>
      </c>
      <c r="G294" t="n">
        <v>81150</v>
      </c>
      <c r="H294" t="n">
        <v>2027</v>
      </c>
    </row>
    <row r="295">
      <c r="A295" t="n">
        <v>6</v>
      </c>
      <c r="B295" t="inlineStr">
        <is>
          <t>Plan</t>
        </is>
      </c>
      <c r="C295" t="b">
        <v>0</v>
      </c>
      <c r="D295" t="n">
        <v>-81150</v>
      </c>
      <c r="E295" t="n">
        <v>1500000</v>
      </c>
      <c r="F295" t="n">
        <v>0</v>
      </c>
      <c r="G295" t="n">
        <v>81150</v>
      </c>
      <c r="H295" t="n">
        <v>2027</v>
      </c>
    </row>
    <row r="296">
      <c r="A296" t="n">
        <v>7</v>
      </c>
      <c r="B296" t="inlineStr">
        <is>
          <t>Plan</t>
        </is>
      </c>
      <c r="C296" t="b">
        <v>0</v>
      </c>
      <c r="D296" t="n">
        <v>-12623.33</v>
      </c>
      <c r="E296" t="n">
        <v>233333.33</v>
      </c>
      <c r="F296" t="n">
        <v>0</v>
      </c>
      <c r="G296" t="n">
        <v>12623.33</v>
      </c>
      <c r="H296" t="n">
        <v>2027</v>
      </c>
    </row>
    <row r="297">
      <c r="A297" t="n">
        <v>8</v>
      </c>
      <c r="B297" t="inlineStr">
        <is>
          <t>Plan</t>
        </is>
      </c>
      <c r="C297" t="b">
        <v>0</v>
      </c>
      <c r="D297" t="n">
        <v>-12623.33</v>
      </c>
      <c r="E297" t="n">
        <v>233333.33</v>
      </c>
      <c r="F297" t="n">
        <v>0</v>
      </c>
      <c r="G297" t="n">
        <v>12623.33</v>
      </c>
      <c r="H297" t="n">
        <v>2027</v>
      </c>
    </row>
    <row r="298">
      <c r="A298" t="n">
        <v>9</v>
      </c>
      <c r="B298" t="inlineStr">
        <is>
          <t>Plan</t>
        </is>
      </c>
      <c r="C298" t="b">
        <v>0</v>
      </c>
      <c r="D298" t="n">
        <v>-12623.33</v>
      </c>
      <c r="E298" t="n">
        <v>233333.33</v>
      </c>
      <c r="F298" t="n">
        <v>0</v>
      </c>
      <c r="G298" t="n">
        <v>12623.33</v>
      </c>
      <c r="H298" t="n">
        <v>2027</v>
      </c>
    </row>
    <row r="299">
      <c r="A299" t="n">
        <v>10</v>
      </c>
      <c r="B299" t="inlineStr">
        <is>
          <t>Plan</t>
        </is>
      </c>
      <c r="C299" t="b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2027</v>
      </c>
    </row>
    <row r="300">
      <c r="A300" t="n">
        <v>11</v>
      </c>
      <c r="B300" t="inlineStr">
        <is>
          <t>Plan</t>
        </is>
      </c>
      <c r="C300" t="b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2027</v>
      </c>
    </row>
    <row r="301">
      <c r="A301" t="n">
        <v>12</v>
      </c>
      <c r="B301" t="inlineStr">
        <is>
          <t>Plan</t>
        </is>
      </c>
      <c r="C301" t="b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2027</v>
      </c>
    </row>
    <row r="305">
      <c r="A305" t="inlineStr">
        <is>
          <t>v_bilanz</t>
        </is>
      </c>
    </row>
    <row r="306">
      <c r="A306" t="inlineStr">
        <is>
          <t>konto</t>
        </is>
      </c>
      <c r="B306" t="inlineStr">
        <is>
          <t>bezeichnung</t>
        </is>
      </c>
      <c r="C306" t="inlineStr">
        <is>
          <t>kategorie</t>
        </is>
      </c>
      <c r="D306" t="inlineStr">
        <is>
          <t>bilanz_seite</t>
        </is>
      </c>
      <c r="E306" t="inlineStr">
        <is>
          <t>bestand</t>
        </is>
      </c>
      <c r="F306" t="inlineStr">
        <is>
          <t>bewegung_2026</t>
        </is>
      </c>
      <c r="G306" t="inlineStr">
        <is>
          <t>eroeffnungsbilanz</t>
        </is>
      </c>
    </row>
    <row r="307">
      <c r="A307" t="inlineStr">
        <is>
          <t>100000</t>
        </is>
      </c>
      <c r="B307" t="inlineStr">
        <is>
          <t>100000 Kasse I</t>
        </is>
      </c>
      <c r="C307" t="inlineStr">
        <is>
          <t>bilanz_bank</t>
        </is>
      </c>
      <c r="D307" t="inlineStr">
        <is>
          <t>AKTIVA</t>
        </is>
      </c>
      <c r="E307" t="n">
        <v>4585.14</v>
      </c>
      <c r="F307" t="n">
        <v>1126.19</v>
      </c>
      <c r="G307" t="n">
        <v>3458.95</v>
      </c>
    </row>
    <row r="308">
      <c r="A308" t="inlineStr">
        <is>
          <t>100090</t>
        </is>
      </c>
      <c r="B308" t="inlineStr">
        <is>
          <t>100090 Kasse X</t>
        </is>
      </c>
      <c r="C308" t="inlineStr">
        <is>
          <t>bilanz_bank</t>
        </is>
      </c>
      <c r="D308" t="inlineStr">
        <is>
          <t>AKTIVA</t>
        </is>
      </c>
      <c r="E308" t="n">
        <v>467.45</v>
      </c>
      <c r="F308" t="n">
        <v>-628.71</v>
      </c>
      <c r="G308" t="n">
        <v>1096.16</v>
      </c>
    </row>
    <row r="309">
      <c r="A309" t="inlineStr">
        <is>
          <t>100091</t>
        </is>
      </c>
      <c r="B309" t="inlineStr">
        <is>
          <t>100091 Kasse XI</t>
        </is>
      </c>
      <c r="C309" t="inlineStr">
        <is>
          <t>bilanz_bank</t>
        </is>
      </c>
      <c r="D309" t="inlineStr">
        <is>
          <t>AKTIVA</t>
        </is>
      </c>
      <c r="E309" t="n">
        <v>154.04</v>
      </c>
      <c r="F309" t="n">
        <v>-437.81</v>
      </c>
      <c r="G309" t="n">
        <v>591.85</v>
      </c>
    </row>
    <row r="310">
      <c r="A310" t="inlineStr">
        <is>
          <t>100092</t>
        </is>
      </c>
      <c r="B310" t="inlineStr">
        <is>
          <t>100092 Kasse XII</t>
        </is>
      </c>
      <c r="C310" t="inlineStr">
        <is>
          <t>bilanz_bank</t>
        </is>
      </c>
      <c r="D310" t="inlineStr">
        <is>
          <t>AKTIVA</t>
        </is>
      </c>
      <c r="E310" t="n">
        <v>906.47</v>
      </c>
      <c r="F310" t="n">
        <v>-304.05</v>
      </c>
      <c r="G310" t="n">
        <v>1210.52</v>
      </c>
    </row>
    <row r="311">
      <c r="A311" t="inlineStr">
        <is>
          <t>111030</t>
        </is>
      </c>
      <c r="B311" t="inlineStr">
        <is>
          <t>111030 Commerzbank (CB)</t>
        </is>
      </c>
      <c r="C311" t="inlineStr">
        <is>
          <t>bilanz_bank</t>
        </is>
      </c>
      <c r="D311" t="inlineStr">
        <is>
          <t>AKTIVA</t>
        </is>
      </c>
      <c r="E311" t="n">
        <v>1249305.18</v>
      </c>
      <c r="F311" t="n">
        <v>0</v>
      </c>
      <c r="G311" t="n">
        <v>1249305.18</v>
      </c>
    </row>
    <row r="312">
      <c r="A312" t="inlineStr">
        <is>
          <t>111033</t>
        </is>
      </c>
      <c r="B312" t="inlineStr">
        <is>
          <t>111033 CB Überweisungsausgang</t>
        </is>
      </c>
      <c r="C312" t="inlineStr">
        <is>
          <t>bilanz_bank</t>
        </is>
      </c>
      <c r="E312" t="n">
        <v>-135533.86</v>
      </c>
      <c r="F312" t="n">
        <v>0</v>
      </c>
      <c r="G312" t="n">
        <v>-135533.86</v>
      </c>
    </row>
    <row r="313">
      <c r="A313" t="inlineStr">
        <is>
          <t>111409</t>
        </is>
      </c>
      <c r="B313" t="inlineStr">
        <is>
          <t>111409 CashPool ALBA  plc &amp; Co. KG (5002) vU</t>
        </is>
      </c>
      <c r="C313" t="inlineStr">
        <is>
          <t>bilanz_bank</t>
        </is>
      </c>
      <c r="D313" t="inlineStr">
        <is>
          <t>PASSIVA</t>
        </is>
      </c>
      <c r="E313" t="n">
        <v>-798510.3</v>
      </c>
      <c r="F313" t="n">
        <v>-1348250.23</v>
      </c>
      <c r="G313" t="n">
        <v>549739.9300000001</v>
      </c>
    </row>
    <row r="314">
      <c r="A314" t="inlineStr">
        <is>
          <t>119600</t>
        </is>
      </c>
      <c r="B314" t="inlineStr">
        <is>
          <t>119600 Geld inTransit Kasse</t>
        </is>
      </c>
      <c r="C314" t="inlineStr">
        <is>
          <t>bilanz_bank</t>
        </is>
      </c>
      <c r="D314" t="inlineStr">
        <is>
          <t>AKTIVA</t>
        </is>
      </c>
      <c r="E314" t="n">
        <v>1000</v>
      </c>
      <c r="F314" t="n">
        <v>0</v>
      </c>
      <c r="G314" t="n">
        <v>1000</v>
      </c>
    </row>
    <row r="315">
      <c r="A315" t="inlineStr">
        <is>
          <t>140000</t>
        </is>
      </c>
      <c r="B315" t="inlineStr">
        <is>
          <t>140000 Forderungen aus L+L</t>
        </is>
      </c>
      <c r="C315" t="inlineStr">
        <is>
          <t>bilanz_forderungen</t>
        </is>
      </c>
      <c r="D315" t="inlineStr">
        <is>
          <t>AKTIVA</t>
        </is>
      </c>
      <c r="E315" t="n">
        <v>2987182.63</v>
      </c>
      <c r="F315" t="n">
        <v>0</v>
      </c>
      <c r="G315" t="n">
        <v>2987182.63</v>
      </c>
    </row>
    <row r="316">
      <c r="A316" t="inlineStr">
        <is>
          <t>140010</t>
        </is>
      </c>
      <c r="B316" t="inlineStr">
        <is>
          <t>140010 Ford. gegen verbundene Unternehmen</t>
        </is>
      </c>
      <c r="C316" t="inlineStr">
        <is>
          <t>bilanz_forderungen</t>
        </is>
      </c>
      <c r="D316" t="inlineStr">
        <is>
          <t>AKTIVA</t>
        </is>
      </c>
      <c r="E316" t="n">
        <v>19986.02</v>
      </c>
      <c r="F316" t="n">
        <v>0</v>
      </c>
      <c r="G316" t="n">
        <v>19986.02</v>
      </c>
    </row>
    <row r="317">
      <c r="A317" t="inlineStr">
        <is>
          <t>140011</t>
        </is>
      </c>
      <c r="B317" t="inlineStr">
        <is>
          <t>140011 Ford. gegen verbundene Unternehmen Abgrenzung</t>
        </is>
      </c>
      <c r="E317" t="n">
        <v>0</v>
      </c>
      <c r="F317" t="n">
        <v>0</v>
      </c>
      <c r="G317" t="n">
        <v>0</v>
      </c>
    </row>
    <row r="318">
      <c r="A318" t="inlineStr">
        <is>
          <t>140015</t>
        </is>
      </c>
      <c r="B318" t="inlineStr">
        <is>
          <t>140015 Forderungen gegen verbundene Unternehmen Steuern</t>
        </is>
      </c>
      <c r="E318" t="n">
        <v>0</v>
      </c>
      <c r="F318" t="n">
        <v>0</v>
      </c>
      <c r="G318" t="n">
        <v>0</v>
      </c>
    </row>
    <row r="319">
      <c r="A319" t="inlineStr">
        <is>
          <t>140016</t>
        </is>
      </c>
      <c r="B319" t="inlineStr">
        <is>
          <t>140016 Forderungen gegen verbundene Unternehmen Zinsen</t>
        </is>
      </c>
      <c r="E319" t="n">
        <v>0</v>
      </c>
      <c r="F319" t="n">
        <v>0</v>
      </c>
      <c r="G319" t="n">
        <v>0</v>
      </c>
    </row>
    <row r="320">
      <c r="A320" t="inlineStr">
        <is>
          <t>140600</t>
        </is>
      </c>
      <c r="B320" t="inlineStr">
        <is>
          <t>140600 Nachbuchung Ford.L/L</t>
        </is>
      </c>
      <c r="C320" t="inlineStr">
        <is>
          <t>bilanz_forderungen</t>
        </is>
      </c>
      <c r="D320" t="inlineStr">
        <is>
          <t>AKTIVA</t>
        </is>
      </c>
      <c r="E320" t="n">
        <v>-1413386.65</v>
      </c>
      <c r="F320" t="n">
        <v>1464695.54</v>
      </c>
      <c r="G320" t="n">
        <v>-2878082.19</v>
      </c>
    </row>
    <row r="321">
      <c r="A321" t="inlineStr">
        <is>
          <t>140712</t>
        </is>
      </c>
      <c r="B321" t="inlineStr">
        <is>
          <t>140712 Korrekturkto. Ford. L+L (Factoring)</t>
        </is>
      </c>
      <c r="C321" t="inlineStr">
        <is>
          <t>bilanz_forderungen</t>
        </is>
      </c>
      <c r="D321" t="inlineStr">
        <is>
          <t>AKTIVA</t>
        </is>
      </c>
      <c r="E321" t="n">
        <v>-1036703.08</v>
      </c>
      <c r="F321" t="n">
        <v>237370.3</v>
      </c>
      <c r="G321" t="n">
        <v>-1274073.38</v>
      </c>
    </row>
    <row r="322">
      <c r="A322" t="inlineStr">
        <is>
          <t>150000</t>
        </is>
      </c>
      <c r="B322" t="inlineStr">
        <is>
          <t>150000 Sonstige Forderungen</t>
        </is>
      </c>
      <c r="C322" t="inlineStr">
        <is>
          <t>bilanz_forderungen</t>
        </is>
      </c>
      <c r="D322" t="inlineStr">
        <is>
          <t>AKTIVA</t>
        </is>
      </c>
      <c r="E322" t="n">
        <v>1300000</v>
      </c>
      <c r="F322" t="n">
        <v>0</v>
      </c>
      <c r="G322" t="n">
        <v>1300000</v>
      </c>
    </row>
    <row r="323">
      <c r="A323" t="inlineStr">
        <is>
          <t>150110</t>
        </is>
      </c>
      <c r="B323" t="inlineStr">
        <is>
          <t>150110 Sicherheitseinbehalte (Debitoren)</t>
        </is>
      </c>
      <c r="C323" t="inlineStr">
        <is>
          <t>bilanz_anlagevermoegen</t>
        </is>
      </c>
      <c r="D323" t="inlineStr">
        <is>
          <t>AKTIVA</t>
        </is>
      </c>
      <c r="E323" t="n">
        <v>100818.65</v>
      </c>
      <c r="F323" t="n">
        <v>0</v>
      </c>
      <c r="G323" t="n">
        <v>100818.65</v>
      </c>
    </row>
    <row r="324">
      <c r="A324" t="inlineStr">
        <is>
          <t>150719</t>
        </is>
      </c>
      <c r="B324" t="inlineStr">
        <is>
          <t>150719 Sicherheitseinbehalte (Factoring)</t>
        </is>
      </c>
      <c r="C324" t="inlineStr">
        <is>
          <t>bilanz_anlagevermoegen</t>
        </is>
      </c>
      <c r="D324" t="inlineStr">
        <is>
          <t>AKTIVA</t>
        </is>
      </c>
      <c r="E324" t="n">
        <v>383407.59</v>
      </c>
      <c r="F324" t="n">
        <v>121442.25</v>
      </c>
      <c r="G324" t="n">
        <v>261965.34</v>
      </c>
    </row>
    <row r="325">
      <c r="A325" t="inlineStr">
        <is>
          <t>150720</t>
        </is>
      </c>
      <c r="B325" t="inlineStr">
        <is>
          <t>150720 Forderungen/Verbindlichkeiten BNP (Factoring)</t>
        </is>
      </c>
      <c r="C325" t="inlineStr">
        <is>
          <t>bilanz_forderungen</t>
        </is>
      </c>
      <c r="D325" t="inlineStr">
        <is>
          <t>PASSIVA</t>
        </is>
      </c>
      <c r="E325" t="n">
        <v>-24811.03</v>
      </c>
      <c r="F325" t="n">
        <v>178611.85</v>
      </c>
      <c r="G325" t="n">
        <v>-203422.88</v>
      </c>
    </row>
    <row r="326">
      <c r="A326" t="inlineStr">
        <is>
          <t>152500</t>
        </is>
      </c>
      <c r="B326" t="inlineStr">
        <is>
          <t>152500 gegebene Kautionen</t>
        </is>
      </c>
      <c r="C326" t="inlineStr">
        <is>
          <t>bilanz_anlagevermoegen</t>
        </is>
      </c>
      <c r="D326" t="inlineStr">
        <is>
          <t>AKTIVA</t>
        </is>
      </c>
      <c r="E326" t="n">
        <v>3460</v>
      </c>
      <c r="F326" t="n">
        <v>0</v>
      </c>
      <c r="G326" t="n">
        <v>3460</v>
      </c>
    </row>
    <row r="327">
      <c r="A327" t="inlineStr">
        <is>
          <t>153000</t>
        </is>
      </c>
      <c r="B327" t="inlineStr">
        <is>
          <t>153000 Forderungen gegen Personal</t>
        </is>
      </c>
      <c r="C327" t="inlineStr">
        <is>
          <t>bilanz_forderungen</t>
        </is>
      </c>
      <c r="D327" t="inlineStr">
        <is>
          <t>AKTIVA</t>
        </is>
      </c>
      <c r="E327" t="n">
        <v>4318.25</v>
      </c>
      <c r="F327" t="n">
        <v>4318.25</v>
      </c>
      <c r="G327" t="n">
        <v>0</v>
      </c>
    </row>
    <row r="328">
      <c r="A328" t="inlineStr">
        <is>
          <t>154500</t>
        </is>
      </c>
      <c r="B328" t="inlineStr">
        <is>
          <t>154500 Ford./Verb. aus Steuern vom Einkommen und Ertrag</t>
        </is>
      </c>
      <c r="C328" t="inlineStr">
        <is>
          <t>bilanz_steuern</t>
        </is>
      </c>
      <c r="D328" t="inlineStr">
        <is>
          <t>AKTIVA</t>
        </is>
      </c>
      <c r="E328" t="n">
        <v>410707.15</v>
      </c>
      <c r="F328" t="n">
        <v>-180759.49</v>
      </c>
      <c r="G328" t="n">
        <v>591466.64</v>
      </c>
    </row>
    <row r="329">
      <c r="A329" t="inlineStr">
        <is>
          <t>154900</t>
        </is>
      </c>
      <c r="B329" t="inlineStr">
        <is>
          <t>154900 Vorsteuer im Folgejahr/in Folgeperiode abziehbar</t>
        </is>
      </c>
      <c r="C329" t="inlineStr">
        <is>
          <t>bilanz_steuern</t>
        </is>
      </c>
      <c r="D329" t="inlineStr">
        <is>
          <t>AKTIVA</t>
        </is>
      </c>
      <c r="E329" t="n">
        <v>9802.24</v>
      </c>
      <c r="F329" t="n">
        <v>-16078.2</v>
      </c>
      <c r="G329" t="n">
        <v>25880.44</v>
      </c>
    </row>
    <row r="330">
      <c r="A330" t="inlineStr">
        <is>
          <t>155011</t>
        </is>
      </c>
      <c r="B330" t="inlineStr">
        <is>
          <t>155011 Forderungen Zinsen auf Steuererstattungen</t>
        </is>
      </c>
      <c r="C330" t="inlineStr">
        <is>
          <t>bilanz_steuern</t>
        </is>
      </c>
      <c r="D330" t="inlineStr">
        <is>
          <t>PASSIVA</t>
        </is>
      </c>
      <c r="E330" t="n">
        <v>33.55</v>
      </c>
      <c r="F330" t="n">
        <v>-83.81999999999999</v>
      </c>
      <c r="G330" t="n">
        <v>117.37</v>
      </c>
    </row>
    <row r="331">
      <c r="A331" t="inlineStr">
        <is>
          <t>157000</t>
        </is>
      </c>
      <c r="B331" t="inlineStr">
        <is>
          <t>157000 Vorsteuer</t>
        </is>
      </c>
      <c r="C331" t="inlineStr">
        <is>
          <t>bilanz_steuern</t>
        </is>
      </c>
      <c r="D331" t="inlineStr">
        <is>
          <t>PASSIVA</t>
        </is>
      </c>
      <c r="E331" t="n">
        <v>1001948.24</v>
      </c>
      <c r="F331" t="n">
        <v>0</v>
      </c>
      <c r="G331" t="n">
        <v>1001948.24</v>
      </c>
    </row>
    <row r="332">
      <c r="A332" t="inlineStr">
        <is>
          <t>157010</t>
        </is>
      </c>
      <c r="B332" t="inlineStr">
        <is>
          <t>157010 Vorsteuer (Altteile)</t>
        </is>
      </c>
      <c r="C332" t="inlineStr">
        <is>
          <t>bilanz_steuern</t>
        </is>
      </c>
      <c r="D332" t="inlineStr">
        <is>
          <t>PASSIVA</t>
        </is>
      </c>
      <c r="E332" t="n">
        <v>25.8</v>
      </c>
      <c r="F332" t="n">
        <v>12.9</v>
      </c>
      <c r="G332" t="n">
        <v>12.9</v>
      </c>
    </row>
    <row r="333">
      <c r="A333" t="inlineStr">
        <is>
          <t>157030</t>
        </is>
      </c>
      <c r="B333" t="inlineStr">
        <is>
          <t>157030 Erwerbsteuer (Eingang)</t>
        </is>
      </c>
      <c r="C333" t="inlineStr">
        <is>
          <t>bilanz_steuern</t>
        </is>
      </c>
      <c r="D333" t="inlineStr">
        <is>
          <t>PASSIVA</t>
        </is>
      </c>
      <c r="E333" t="n">
        <v>1341350.51</v>
      </c>
      <c r="F333" t="n">
        <v>1210498.3</v>
      </c>
      <c r="G333" t="n">
        <v>130852.21</v>
      </c>
    </row>
    <row r="334">
      <c r="A334" t="inlineStr">
        <is>
          <t>157040</t>
        </is>
      </c>
      <c r="B334" t="inlineStr">
        <is>
          <t>157040 Vorsteuer Vergütung Ausland</t>
        </is>
      </c>
      <c r="C334" t="inlineStr">
        <is>
          <t>bilanz_steuern</t>
        </is>
      </c>
      <c r="D334" t="inlineStr">
        <is>
          <t>AKTIVA</t>
        </is>
      </c>
      <c r="E334" t="n">
        <v>1985.01</v>
      </c>
      <c r="F334" t="n">
        <v>825.45</v>
      </c>
      <c r="G334" t="n">
        <v>1159.56</v>
      </c>
    </row>
    <row r="335">
      <c r="A335" t="inlineStr">
        <is>
          <t>160000</t>
        </is>
      </c>
      <c r="B335" t="inlineStr">
        <is>
          <t>160000 Verbindlichkeiten aus Lieferungen und Leistungen</t>
        </is>
      </c>
      <c r="C335" t="inlineStr">
        <is>
          <t>bilanz_verbindlichkeiten</t>
        </is>
      </c>
      <c r="D335" t="inlineStr">
        <is>
          <t>PASSIVA</t>
        </is>
      </c>
      <c r="E335" t="n">
        <v>-717863.6</v>
      </c>
      <c r="F335" t="n">
        <v>0</v>
      </c>
      <c r="G335" t="n">
        <v>-717863.6</v>
      </c>
    </row>
    <row r="336">
      <c r="A336" t="inlineStr">
        <is>
          <t>160010</t>
        </is>
      </c>
      <c r="B336" t="inlineStr">
        <is>
          <t>160010 Verbindlichkeiten gegenüber verbundenen Unternehme</t>
        </is>
      </c>
      <c r="C336" t="inlineStr">
        <is>
          <t>bilanz_verbindlichkeiten</t>
        </is>
      </c>
      <c r="D336" t="inlineStr">
        <is>
          <t>PASSIVA</t>
        </is>
      </c>
      <c r="E336" t="n">
        <v>5484.01</v>
      </c>
      <c r="F336" t="n">
        <v>0</v>
      </c>
      <c r="G336" t="n">
        <v>5484.01</v>
      </c>
    </row>
    <row r="337">
      <c r="A337" t="inlineStr">
        <is>
          <t>160015</t>
        </is>
      </c>
      <c r="B337" t="inlineStr">
        <is>
          <t>160015 Verb. gegenüber verbundenen Unternehmen Steuern</t>
        </is>
      </c>
      <c r="E337" t="n">
        <v>0</v>
      </c>
      <c r="F337" t="n">
        <v>0</v>
      </c>
      <c r="G337" t="n">
        <v>0</v>
      </c>
    </row>
    <row r="338">
      <c r="A338" t="inlineStr">
        <is>
          <t>160016</t>
        </is>
      </c>
      <c r="B338" t="inlineStr">
        <is>
          <t>160016 Verb. gegenüber verbundenen Unternehmen Zinsen</t>
        </is>
      </c>
      <c r="E338" t="n">
        <v>0</v>
      </c>
      <c r="F338" t="n">
        <v>0</v>
      </c>
      <c r="G338" t="n">
        <v>0</v>
      </c>
    </row>
    <row r="339">
      <c r="A339" t="inlineStr">
        <is>
          <t>160030</t>
        </is>
      </c>
      <c r="B339" t="inlineStr">
        <is>
          <t>160030 Verbindl.gegen Untern.m.d.e.Beteil.verh.besteht</t>
        </is>
      </c>
      <c r="E339" t="n">
        <v>0</v>
      </c>
      <c r="F339" t="n">
        <v>0</v>
      </c>
      <c r="G339" t="n">
        <v>0</v>
      </c>
    </row>
    <row r="340">
      <c r="A340" t="inlineStr">
        <is>
          <t>160050</t>
        </is>
      </c>
      <c r="B340" t="inlineStr">
        <is>
          <t>160050 Verbindlichkeiten nicht L+L</t>
        </is>
      </c>
      <c r="C340" t="inlineStr">
        <is>
          <t>bilanz_verbindlichkeiten</t>
        </is>
      </c>
      <c r="D340" t="inlineStr">
        <is>
          <t>PASSIVA</t>
        </is>
      </c>
      <c r="E340" t="n">
        <v>-106942.56</v>
      </c>
      <c r="F340" t="n">
        <v>0</v>
      </c>
      <c r="G340" t="n">
        <v>-106942.56</v>
      </c>
    </row>
    <row r="341">
      <c r="A341" t="inlineStr">
        <is>
          <t>160060</t>
        </is>
      </c>
      <c r="B341" t="inlineStr">
        <is>
          <t>160060 Verb. geg. Bet. L+L (Konzernsicht)</t>
        </is>
      </c>
      <c r="E341" t="n">
        <v>0</v>
      </c>
      <c r="F341" t="n">
        <v>0</v>
      </c>
      <c r="G341" t="n">
        <v>0</v>
      </c>
    </row>
    <row r="342">
      <c r="A342" t="inlineStr">
        <is>
          <t>166055</t>
        </is>
      </c>
      <c r="B342" t="inlineStr">
        <is>
          <t>166055 Verbindlichkeiten Nicht LuL (BNP Zinsen)</t>
        </is>
      </c>
      <c r="C342" t="inlineStr">
        <is>
          <t>bilanz_verbindlichkeiten</t>
        </is>
      </c>
      <c r="D342" t="inlineStr">
        <is>
          <t>PASSIVA</t>
        </is>
      </c>
      <c r="E342" t="n">
        <v>-3495.43</v>
      </c>
      <c r="F342" t="n">
        <v>0</v>
      </c>
      <c r="G342" t="n">
        <v>-3495.43</v>
      </c>
    </row>
    <row r="343">
      <c r="A343" t="inlineStr">
        <is>
          <t>170510</t>
        </is>
      </c>
      <c r="B343" t="inlineStr">
        <is>
          <t>170510 erhaltene Darlehen von Gesellschaftern</t>
        </is>
      </c>
      <c r="C343" t="inlineStr">
        <is>
          <t>bilanz_darlehen</t>
        </is>
      </c>
      <c r="D343" t="inlineStr">
        <is>
          <t>PASSIVA</t>
        </is>
      </c>
      <c r="E343" t="n">
        <v>-1500000</v>
      </c>
      <c r="F343" t="n">
        <v>0</v>
      </c>
      <c r="G343" t="n">
        <v>-1500000</v>
      </c>
    </row>
    <row r="344">
      <c r="A344" t="inlineStr">
        <is>
          <t>173200</t>
        </is>
      </c>
      <c r="B344" t="inlineStr">
        <is>
          <t>173200 Erhaltene Kautionen</t>
        </is>
      </c>
      <c r="C344" t="inlineStr">
        <is>
          <t>bilanz_abgrenzung</t>
        </is>
      </c>
      <c r="D344" t="inlineStr">
        <is>
          <t>PASSIVA</t>
        </is>
      </c>
      <c r="E344" t="n">
        <v>-280</v>
      </c>
      <c r="F344" t="n">
        <v>0</v>
      </c>
      <c r="G344" t="n">
        <v>-280</v>
      </c>
    </row>
    <row r="345">
      <c r="A345" t="inlineStr">
        <is>
          <t>174000</t>
        </is>
      </c>
      <c r="B345" t="inlineStr">
        <is>
          <t>174000 Verbindlichkeiten aus Lohn und Gehalt</t>
        </is>
      </c>
      <c r="C345" t="inlineStr">
        <is>
          <t>bilanz_verbindlichkeiten</t>
        </is>
      </c>
      <c r="D345" t="inlineStr">
        <is>
          <t>PASSIVA</t>
        </is>
      </c>
      <c r="E345" t="n">
        <v>-2345.49</v>
      </c>
      <c r="F345" t="n">
        <v>-135.5</v>
      </c>
      <c r="G345" t="n">
        <v>-2209.99</v>
      </c>
    </row>
    <row r="346">
      <c r="A346" t="inlineStr">
        <is>
          <t>174020</t>
        </is>
      </c>
      <c r="B346" t="inlineStr">
        <is>
          <t>174020 Verbindlichkeiten Pfändung</t>
        </is>
      </c>
      <c r="C346" t="inlineStr">
        <is>
          <t>bilanz_verbindlichkeiten</t>
        </is>
      </c>
      <c r="D346" t="inlineStr">
        <is>
          <t>AKTIVA</t>
        </is>
      </c>
      <c r="E346" t="n">
        <v>124.61</v>
      </c>
      <c r="F346" t="n">
        <v>0</v>
      </c>
      <c r="G346" t="n">
        <v>124.61</v>
      </c>
    </row>
    <row r="347">
      <c r="A347" t="inlineStr">
        <is>
          <t>174030</t>
        </is>
      </c>
      <c r="B347" t="inlineStr">
        <is>
          <t>174030 Verbindlichkeiten Direktversicherung</t>
        </is>
      </c>
      <c r="C347" t="inlineStr">
        <is>
          <t>bilanz_verbindlichkeiten</t>
        </is>
      </c>
      <c r="D347" t="inlineStr">
        <is>
          <t>AKTIVA</t>
        </is>
      </c>
      <c r="E347" t="n">
        <v>3188.68</v>
      </c>
      <c r="F347" t="n">
        <v>0</v>
      </c>
      <c r="G347" t="n">
        <v>3188.68</v>
      </c>
    </row>
    <row r="348">
      <c r="A348" t="inlineStr">
        <is>
          <t>174040</t>
        </is>
      </c>
      <c r="B348" t="inlineStr">
        <is>
          <t>174040 Verbindlichkeiten gegen Mitarbeiter</t>
        </is>
      </c>
      <c r="C348" t="inlineStr">
        <is>
          <t>bilanz_verbindlichkeiten</t>
        </is>
      </c>
      <c r="D348" t="inlineStr">
        <is>
          <t>PASSIVA</t>
        </is>
      </c>
      <c r="E348" t="n">
        <v>1450</v>
      </c>
      <c r="F348" t="n">
        <v>5242.55</v>
      </c>
      <c r="G348" t="n">
        <v>-3792.55</v>
      </c>
    </row>
    <row r="349">
      <c r="A349" t="inlineStr">
        <is>
          <t>174100</t>
        </is>
      </c>
      <c r="B349" t="inlineStr">
        <is>
          <t>174100 Verbindlichkeiten aus Lohn-u.Kirchensteuer</t>
        </is>
      </c>
      <c r="C349" t="inlineStr">
        <is>
          <t>bilanz_steuern</t>
        </is>
      </c>
      <c r="D349" t="inlineStr">
        <is>
          <t>AKTIVA</t>
        </is>
      </c>
      <c r="E349" t="n">
        <v>5826.49</v>
      </c>
      <c r="F349" t="n">
        <v>-12591.37</v>
      </c>
      <c r="G349" t="n">
        <v>18417.86</v>
      </c>
    </row>
    <row r="350">
      <c r="A350" t="inlineStr">
        <is>
          <t>174200</t>
        </is>
      </c>
      <c r="B350" t="inlineStr">
        <is>
          <t>174200 Verbindlichkeiten im Rahmen d. sozialen Sicherheit</t>
        </is>
      </c>
      <c r="C350" t="inlineStr">
        <is>
          <t>bilanz_verbindlichkeiten</t>
        </is>
      </c>
      <c r="D350" t="inlineStr">
        <is>
          <t>AKTIVA</t>
        </is>
      </c>
      <c r="E350" t="n">
        <v>83.05</v>
      </c>
      <c r="F350" t="n">
        <v>0</v>
      </c>
      <c r="G350" t="n">
        <v>83.05</v>
      </c>
    </row>
    <row r="351">
      <c r="A351" t="inlineStr">
        <is>
          <t>177000</t>
        </is>
      </c>
      <c r="B351" t="inlineStr">
        <is>
          <t>177000 Ausgangssteuer</t>
        </is>
      </c>
      <c r="C351" t="inlineStr">
        <is>
          <t>bilanz_steuern</t>
        </is>
      </c>
      <c r="D351" t="inlineStr">
        <is>
          <t>PASSIVA</t>
        </is>
      </c>
      <c r="E351" t="n">
        <v>-2111865.97</v>
      </c>
      <c r="F351" t="n">
        <v>0</v>
      </c>
      <c r="G351" t="n">
        <v>-2111865.97</v>
      </c>
    </row>
    <row r="352">
      <c r="A352" t="inlineStr">
        <is>
          <t>177060</t>
        </is>
      </c>
      <c r="B352" t="inlineStr">
        <is>
          <t>177060 Erwerbsteuer Ausgang</t>
        </is>
      </c>
      <c r="C352" t="inlineStr">
        <is>
          <t>bilanz_steuern</t>
        </is>
      </c>
      <c r="D352" t="inlineStr">
        <is>
          <t>PASSIVA</t>
        </is>
      </c>
      <c r="E352" t="n">
        <v>-1341350.51</v>
      </c>
      <c r="F352" t="n">
        <v>0</v>
      </c>
      <c r="G352" t="n">
        <v>-1341350.51</v>
      </c>
    </row>
    <row r="353">
      <c r="A353" t="inlineStr">
        <is>
          <t>178890</t>
        </is>
      </c>
      <c r="B353" t="inlineStr">
        <is>
          <t>178890 USt Zahllast Organträger</t>
        </is>
      </c>
      <c r="C353" t="inlineStr">
        <is>
          <t>bilanz_steuern</t>
        </is>
      </c>
      <c r="D353" t="inlineStr">
        <is>
          <t>PASSIVA</t>
        </is>
      </c>
      <c r="E353" t="n">
        <v>-19885.45</v>
      </c>
      <c r="F353" t="n">
        <v>-19885.45</v>
      </c>
      <c r="G353" t="n">
        <v>0</v>
      </c>
    </row>
    <row r="354">
      <c r="A354" t="inlineStr">
        <is>
          <t>178901</t>
        </is>
      </c>
      <c r="B354" t="inlineStr">
        <is>
          <t>178901 Zahllast laufendes Jahr Finanzamt</t>
        </is>
      </c>
      <c r="C354" t="inlineStr">
        <is>
          <t>bilanz_steuern</t>
        </is>
      </c>
      <c r="D354" t="inlineStr">
        <is>
          <t>PASSIVA</t>
        </is>
      </c>
      <c r="E354" t="n">
        <v>1036090.28</v>
      </c>
      <c r="F354" t="n">
        <v>771847.25</v>
      </c>
      <c r="G354" t="n">
        <v>264243.03</v>
      </c>
    </row>
    <row r="355">
      <c r="A355" t="inlineStr">
        <is>
          <t>191529</t>
        </is>
      </c>
      <c r="B355" t="inlineStr">
        <is>
          <t>191529 V-Kto. ALBA SE (4000)</t>
        </is>
      </c>
      <c r="C355" t="inlineStr">
        <is>
          <t>bilanz_abgrenzung</t>
        </is>
      </c>
      <c r="D355" t="inlineStr">
        <is>
          <t>PASSIVA</t>
        </is>
      </c>
      <c r="E355" t="n">
        <v>-956.1</v>
      </c>
      <c r="F355" t="n">
        <v>-8.1</v>
      </c>
      <c r="G355" t="n">
        <v>-948</v>
      </c>
    </row>
    <row r="356">
      <c r="A356" t="inlineStr">
        <is>
          <t>194406</t>
        </is>
      </c>
      <c r="B356" t="inlineStr">
        <is>
          <t>194406 V-Kto 2 ALBA KG (5002)</t>
        </is>
      </c>
      <c r="C356" t="inlineStr">
        <is>
          <t>bilanz_abgrenzung</t>
        </is>
      </c>
      <c r="D356" t="inlineStr">
        <is>
          <t>PASSIVA</t>
        </is>
      </c>
      <c r="E356" t="n">
        <v>-21765.48</v>
      </c>
      <c r="F356" t="n">
        <v>8545.030000000001</v>
      </c>
      <c r="G356" t="n">
        <v>-30310.51</v>
      </c>
    </row>
    <row r="357">
      <c r="A357" t="inlineStr">
        <is>
          <t>199901</t>
        </is>
      </c>
      <c r="B357" t="inlineStr">
        <is>
          <t>199901 Verrechnung Lieferantenskonti (Nettoverfahren)</t>
        </is>
      </c>
      <c r="C357" t="inlineStr">
        <is>
          <t>bilanz_verbindlichkeiten</t>
        </is>
      </c>
      <c r="E357" t="n">
        <v>0</v>
      </c>
      <c r="F357" t="n">
        <v>-14.83</v>
      </c>
      <c r="G357" t="n">
        <v>14.83</v>
      </c>
    </row>
    <row r="358">
      <c r="A358" t="inlineStr">
        <is>
          <t>21000</t>
        </is>
      </c>
      <c r="B358" t="inlineStr">
        <is>
          <t>021000 Maschinen</t>
        </is>
      </c>
      <c r="C358" t="inlineStr">
        <is>
          <t>bilanz_anlagevermoegen</t>
        </is>
      </c>
      <c r="D358" t="inlineStr">
        <is>
          <t>AKTIVA</t>
        </is>
      </c>
      <c r="E358" t="n">
        <v>8844</v>
      </c>
      <c r="F358" t="n">
        <v>0</v>
      </c>
      <c r="G358" t="n">
        <v>8844</v>
      </c>
    </row>
    <row r="359">
      <c r="A359" t="inlineStr">
        <is>
          <t>221200</t>
        </is>
      </c>
      <c r="B359" t="inlineStr">
        <is>
          <t>221200 Solidaritätszuschlag</t>
        </is>
      </c>
      <c r="C359" t="inlineStr">
        <is>
          <t>ertragsteuer</t>
        </is>
      </c>
      <c r="E359" t="n">
        <v>0</v>
      </c>
      <c r="F359" t="n">
        <v>0</v>
      </c>
      <c r="G359" t="n">
        <v>0</v>
      </c>
    </row>
    <row r="360">
      <c r="A360" t="inlineStr">
        <is>
          <t>26000</t>
        </is>
      </c>
      <c r="B360" t="inlineStr">
        <is>
          <t>026000 Transportanlagen u.ä.</t>
        </is>
      </c>
      <c r="C360" t="inlineStr">
        <is>
          <t>bilanz_anlagevermoegen</t>
        </is>
      </c>
      <c r="D360" t="inlineStr">
        <is>
          <t>AKTIVA</t>
        </is>
      </c>
      <c r="E360" t="n">
        <v>13715</v>
      </c>
      <c r="F360" t="n">
        <v>0</v>
      </c>
      <c r="G360" t="n">
        <v>13715</v>
      </c>
    </row>
    <row r="361">
      <c r="A361" t="inlineStr">
        <is>
          <t>277000</t>
        </is>
      </c>
      <c r="B361" t="inlineStr">
        <is>
          <t>277000 Steuernachzahl. E + E Vorjahre (bis 2025)</t>
        </is>
      </c>
      <c r="E361" t="n">
        <v>0</v>
      </c>
      <c r="F361" t="n">
        <v>0</v>
      </c>
      <c r="G361" t="n">
        <v>0</v>
      </c>
    </row>
    <row r="362">
      <c r="A362" t="inlineStr">
        <is>
          <t>277100</t>
        </is>
      </c>
      <c r="B362" t="inlineStr">
        <is>
          <t>277100 Steuernachzahl. E + E Vorjahre</t>
        </is>
      </c>
      <c r="C362" t="inlineStr">
        <is>
          <t>ertragsteuer</t>
        </is>
      </c>
      <c r="D362" t="inlineStr">
        <is>
          <t>PASSIVA</t>
        </is>
      </c>
      <c r="E362" t="n">
        <v>66530.2</v>
      </c>
      <c r="F362" t="n">
        <v>66530.2</v>
      </c>
      <c r="G362" t="n">
        <v>0</v>
      </c>
    </row>
    <row r="363">
      <c r="A363" t="inlineStr">
        <is>
          <t>278000</t>
        </is>
      </c>
      <c r="B363" t="inlineStr">
        <is>
          <t>278000 Steuererstattung VJ f.Steuern v. E+E (bis 2025)</t>
        </is>
      </c>
      <c r="C363" t="inlineStr">
        <is>
          <t>ertragsteuer</t>
        </is>
      </c>
      <c r="E363" t="n">
        <v>0</v>
      </c>
      <c r="F363" t="n">
        <v>0</v>
      </c>
      <c r="G363" t="n">
        <v>0</v>
      </c>
    </row>
    <row r="364">
      <c r="A364" t="inlineStr">
        <is>
          <t>278100</t>
        </is>
      </c>
      <c r="B364" t="inlineStr">
        <is>
          <t>278100 Steuererstattung E + E Vorjahre</t>
        </is>
      </c>
      <c r="C364" t="inlineStr">
        <is>
          <t>ertragsteuer</t>
        </is>
      </c>
      <c r="D364" t="inlineStr">
        <is>
          <t>PASSIVA</t>
        </is>
      </c>
      <c r="E364" t="n">
        <v>-13413.67</v>
      </c>
      <c r="F364" t="n">
        <v>-13413.67</v>
      </c>
      <c r="G364" t="n">
        <v>0</v>
      </c>
    </row>
    <row r="365">
      <c r="A365" t="inlineStr">
        <is>
          <t>28000</t>
        </is>
      </c>
      <c r="B365" t="inlineStr">
        <is>
          <t>028000 Betriebsvorrichtungen</t>
        </is>
      </c>
      <c r="C365" t="inlineStr">
        <is>
          <t>bilanz_anlagevermoegen</t>
        </is>
      </c>
      <c r="D365" t="inlineStr">
        <is>
          <t>AKTIVA</t>
        </is>
      </c>
      <c r="E365" t="n">
        <v>3828</v>
      </c>
      <c r="F365" t="n">
        <v>0</v>
      </c>
      <c r="G365" t="n">
        <v>3828</v>
      </c>
    </row>
    <row r="366">
      <c r="A366" t="inlineStr">
        <is>
          <t>289200</t>
        </is>
      </c>
      <c r="B366" t="inlineStr">
        <is>
          <t>289200 Verr. kalk. Zinsen</t>
        </is>
      </c>
      <c r="C366" t="inlineStr">
        <is>
          <t>bilanz_abgrenzung</t>
        </is>
      </c>
      <c r="D366" t="inlineStr">
        <is>
          <t>PASSIVA</t>
        </is>
      </c>
      <c r="E366" t="n">
        <v>-14873</v>
      </c>
      <c r="F366" t="n">
        <v>-12968</v>
      </c>
      <c r="G366" t="n">
        <v>-1905</v>
      </c>
    </row>
    <row r="367">
      <c r="A367" t="inlineStr">
        <is>
          <t>289300</t>
        </is>
      </c>
      <c r="B367" t="inlineStr">
        <is>
          <t>289300 Verr. kalk. Abschreibungen</t>
        </is>
      </c>
      <c r="C367" t="inlineStr">
        <is>
          <t>bilanz_abgrenzung</t>
        </is>
      </c>
      <c r="D367" t="inlineStr">
        <is>
          <t>PASSIVA</t>
        </is>
      </c>
      <c r="E367" t="n">
        <v>-73755.92</v>
      </c>
      <c r="F367" t="n">
        <v>-64651.92</v>
      </c>
      <c r="G367" t="n">
        <v>-9104</v>
      </c>
    </row>
    <row r="368">
      <c r="A368" t="inlineStr">
        <is>
          <t>32000</t>
        </is>
      </c>
      <c r="B368" t="inlineStr">
        <is>
          <t>032000 PKW</t>
        </is>
      </c>
      <c r="C368" t="inlineStr">
        <is>
          <t>bilanz_anlagevermoegen</t>
        </is>
      </c>
      <c r="D368" t="inlineStr">
        <is>
          <t>AKTIVA</t>
        </is>
      </c>
      <c r="E368" t="n">
        <v>6463</v>
      </c>
      <c r="F368" t="n">
        <v>0</v>
      </c>
      <c r="G368" t="n">
        <v>6463</v>
      </c>
    </row>
    <row r="369">
      <c r="A369" t="inlineStr">
        <is>
          <t>35000</t>
        </is>
      </c>
      <c r="B369" t="inlineStr">
        <is>
          <t>035000 LKW</t>
        </is>
      </c>
      <c r="C369" t="inlineStr">
        <is>
          <t>bilanz_anlagevermoegen</t>
        </is>
      </c>
      <c r="D369" t="inlineStr">
        <is>
          <t>AKTIVA</t>
        </is>
      </c>
      <c r="E369" t="n">
        <v>6752</v>
      </c>
      <c r="F369" t="n">
        <v>0</v>
      </c>
      <c r="G369" t="n">
        <v>6752</v>
      </c>
    </row>
    <row r="370">
      <c r="A370" t="inlineStr">
        <is>
          <t>36000</t>
        </is>
      </c>
      <c r="B370" t="inlineStr">
        <is>
          <t>036000 Schneefahrzeuge</t>
        </is>
      </c>
      <c r="C370" t="inlineStr">
        <is>
          <t>bilanz_anlagevermoegen</t>
        </is>
      </c>
      <c r="D370" t="inlineStr">
        <is>
          <t>AKTIVA</t>
        </is>
      </c>
      <c r="E370" t="n">
        <v>32080</v>
      </c>
      <c r="F370" t="n">
        <v>0</v>
      </c>
      <c r="G370" t="n">
        <v>32080</v>
      </c>
    </row>
    <row r="371">
      <c r="A371" t="inlineStr">
        <is>
          <t>38000</t>
        </is>
      </c>
      <c r="B371" t="inlineStr">
        <is>
          <t>038000 Sonstige Transportmittel</t>
        </is>
      </c>
      <c r="C371" t="inlineStr">
        <is>
          <t>bilanz_anlagevermoegen</t>
        </is>
      </c>
      <c r="D371" t="inlineStr">
        <is>
          <t>AKTIVA</t>
        </is>
      </c>
      <c r="E371" t="n">
        <v>193755</v>
      </c>
      <c r="F371" t="n">
        <v>0</v>
      </c>
      <c r="G371" t="n">
        <v>193755</v>
      </c>
    </row>
    <row r="372">
      <c r="A372" t="inlineStr">
        <is>
          <t>380950</t>
        </is>
      </c>
      <c r="B372" t="inlineStr">
        <is>
          <t>380950 Bestände Ersatzteile</t>
        </is>
      </c>
      <c r="C372" t="inlineStr">
        <is>
          <t>bilanz_anlagevermoegen</t>
        </is>
      </c>
      <c r="D372" t="inlineStr">
        <is>
          <t>AKTIVA</t>
        </is>
      </c>
      <c r="E372" t="n">
        <v>49055.01</v>
      </c>
      <c r="F372" t="n">
        <v>0</v>
      </c>
      <c r="G372" t="n">
        <v>49055.01</v>
      </c>
    </row>
    <row r="373">
      <c r="A373" t="inlineStr">
        <is>
          <t>40000</t>
        </is>
      </c>
      <c r="B373" t="inlineStr">
        <is>
          <t>040000 Betriebsausstattung</t>
        </is>
      </c>
      <c r="C373" t="inlineStr">
        <is>
          <t>bilanz_anlagevermoegen</t>
        </is>
      </c>
      <c r="D373" t="inlineStr">
        <is>
          <t>AKTIVA</t>
        </is>
      </c>
      <c r="E373" t="n">
        <v>117859</v>
      </c>
      <c r="F373" t="n">
        <v>0</v>
      </c>
      <c r="G373" t="n">
        <v>117859</v>
      </c>
    </row>
    <row r="374">
      <c r="A374" t="inlineStr">
        <is>
          <t>41000</t>
        </is>
      </c>
      <c r="B374" t="inlineStr">
        <is>
          <t>041000 Geschäftsausstattung/ EDV</t>
        </is>
      </c>
      <c r="C374" t="inlineStr">
        <is>
          <t>bilanz_anlagevermoegen</t>
        </is>
      </c>
      <c r="D374" t="inlineStr">
        <is>
          <t>AKTIVA</t>
        </is>
      </c>
      <c r="E374" t="n">
        <v>6274</v>
      </c>
      <c r="F374" t="n">
        <v>0</v>
      </c>
      <c r="G374" t="n">
        <v>6274</v>
      </c>
    </row>
    <row r="375">
      <c r="A375" t="inlineStr">
        <is>
          <t>42000</t>
        </is>
      </c>
      <c r="B375" t="inlineStr">
        <is>
          <t>042000 Büroeinrichtung</t>
        </is>
      </c>
      <c r="C375" t="inlineStr">
        <is>
          <t>bilanz_anlagevermoegen</t>
        </is>
      </c>
      <c r="D375" t="inlineStr">
        <is>
          <t>AKTIVA</t>
        </is>
      </c>
      <c r="E375" t="n">
        <v>1054</v>
      </c>
      <c r="F375" t="n">
        <v>0</v>
      </c>
      <c r="G375" t="n">
        <v>1054</v>
      </c>
    </row>
    <row r="376">
      <c r="A376" t="inlineStr">
        <is>
          <t>43000</t>
        </is>
      </c>
      <c r="B376" t="inlineStr">
        <is>
          <t>043000 Werkstatteinrichtung</t>
        </is>
      </c>
      <c r="C376" t="inlineStr">
        <is>
          <t>bilanz_anlagevermoegen</t>
        </is>
      </c>
      <c r="D376" t="inlineStr">
        <is>
          <t>AKTIVA</t>
        </is>
      </c>
      <c r="E376" t="n">
        <v>10192</v>
      </c>
      <c r="F376" t="n">
        <v>0</v>
      </c>
      <c r="G376" t="n">
        <v>10192</v>
      </c>
    </row>
    <row r="377">
      <c r="A377" t="inlineStr">
        <is>
          <t>44000</t>
        </is>
      </c>
      <c r="B377" t="inlineStr">
        <is>
          <t>044000 Werkzeuge</t>
        </is>
      </c>
      <c r="C377" t="inlineStr">
        <is>
          <t>bilanz_anlagevermoegen</t>
        </is>
      </c>
      <c r="D377" t="inlineStr">
        <is>
          <t>AKTIVA</t>
        </is>
      </c>
      <c r="E377" t="n">
        <v>11747</v>
      </c>
      <c r="F377" t="n">
        <v>0</v>
      </c>
      <c r="G377" t="n">
        <v>11747</v>
      </c>
    </row>
    <row r="378">
      <c r="A378" t="inlineStr">
        <is>
          <t>45000</t>
        </is>
      </c>
      <c r="B378" t="inlineStr">
        <is>
          <t>045000 Container,Pressen und Behälter</t>
        </is>
      </c>
      <c r="C378" t="inlineStr">
        <is>
          <t>bilanz_anlagevermoegen</t>
        </is>
      </c>
      <c r="D378" t="inlineStr">
        <is>
          <t>AKTIVA</t>
        </is>
      </c>
      <c r="E378" t="n">
        <v>7257</v>
      </c>
      <c r="F378" t="n">
        <v>0</v>
      </c>
      <c r="G378" t="n">
        <v>7257</v>
      </c>
    </row>
    <row r="379">
      <c r="A379" t="inlineStr">
        <is>
          <t>48000</t>
        </is>
      </c>
      <c r="B379" t="inlineStr">
        <is>
          <t>048000 Betriebsausstattung GWG</t>
        </is>
      </c>
      <c r="C379" t="inlineStr">
        <is>
          <t>bilanz_anlagevermoegen</t>
        </is>
      </c>
      <c r="D379" t="inlineStr">
        <is>
          <t>AKTIVA</t>
        </is>
      </c>
      <c r="E379" t="n">
        <v>10161</v>
      </c>
      <c r="F379" t="n">
        <v>0</v>
      </c>
      <c r="G379" t="n">
        <v>10161</v>
      </c>
    </row>
    <row r="380">
      <c r="A380" t="inlineStr">
        <is>
          <t>48100</t>
        </is>
      </c>
      <c r="B380" t="inlineStr">
        <is>
          <t>048100 Geschäftsausstattung GWG</t>
        </is>
      </c>
      <c r="C380" t="inlineStr">
        <is>
          <t>bilanz_anlagevermoegen</t>
        </is>
      </c>
      <c r="D380" t="inlineStr">
        <is>
          <t>AKTIVA</t>
        </is>
      </c>
      <c r="E380" t="n">
        <v>9576</v>
      </c>
      <c r="F380" t="n">
        <v>0</v>
      </c>
      <c r="G380" t="n">
        <v>9576</v>
      </c>
    </row>
    <row r="381">
      <c r="A381" t="inlineStr">
        <is>
          <t>499200</t>
        </is>
      </c>
      <c r="B381" t="inlineStr">
        <is>
          <t>499200 Kalk. Zinsen</t>
        </is>
      </c>
      <c r="C381" t="inlineStr">
        <is>
          <t>bilanz_abgrenzung</t>
        </is>
      </c>
      <c r="D381" t="inlineStr">
        <is>
          <t>PASSIVA</t>
        </is>
      </c>
      <c r="E381" t="n">
        <v>14873</v>
      </c>
      <c r="F381" t="n">
        <v>12968</v>
      </c>
      <c r="G381" t="n">
        <v>1905</v>
      </c>
    </row>
    <row r="382">
      <c r="A382" t="inlineStr">
        <is>
          <t>499300</t>
        </is>
      </c>
      <c r="B382" t="inlineStr">
        <is>
          <t>499300 Kalk. Abschreibungen</t>
        </is>
      </c>
      <c r="C382" t="inlineStr">
        <is>
          <t>bilanz_abgrenzung</t>
        </is>
      </c>
      <c r="D382" t="inlineStr">
        <is>
          <t>PASSIVA</t>
        </is>
      </c>
      <c r="E382" t="n">
        <v>73755.92</v>
      </c>
      <c r="F382" t="n">
        <v>64651.92</v>
      </c>
      <c r="G382" t="n">
        <v>9104</v>
      </c>
    </row>
    <row r="383">
      <c r="A383" t="inlineStr">
        <is>
          <t>49951</t>
        </is>
      </c>
      <c r="B383" t="inlineStr">
        <is>
          <t>049951 Bestände unfertige Erzeugnisse</t>
        </is>
      </c>
      <c r="C383" t="inlineStr">
        <is>
          <t>bilanz_bestand</t>
        </is>
      </c>
      <c r="D383" t="inlineStr">
        <is>
          <t>AKTIVA</t>
        </is>
      </c>
      <c r="E383" t="n">
        <v>11278895.04</v>
      </c>
      <c r="F383" t="n">
        <v>3886319.32</v>
      </c>
      <c r="G383" t="n">
        <v>7392575.72</v>
      </c>
    </row>
    <row r="384">
      <c r="A384" t="inlineStr">
        <is>
          <t>49972</t>
        </is>
      </c>
      <c r="B384" t="inlineStr">
        <is>
          <t>049972 Erhaltene Anzahlungen auf Vorräte</t>
        </is>
      </c>
      <c r="C384" t="inlineStr">
        <is>
          <t>bilanz_anzahlungen</t>
        </is>
      </c>
      <c r="D384" t="inlineStr">
        <is>
          <t>PASSIVA</t>
        </is>
      </c>
      <c r="E384" t="n">
        <v>-8995448.880000001</v>
      </c>
      <c r="F384" t="n">
        <v>-2999838.81</v>
      </c>
      <c r="G384" t="n">
        <v>-5995610.07</v>
      </c>
    </row>
    <row r="385">
      <c r="A385" t="inlineStr">
        <is>
          <t>49999</t>
        </is>
      </c>
      <c r="B385" t="inlineStr">
        <is>
          <t>049999 Anlagenverrechnungskonto</t>
        </is>
      </c>
      <c r="C385" t="inlineStr">
        <is>
          <t>bilanz_abgrenzung</t>
        </is>
      </c>
      <c r="E385" t="n">
        <v>763.4299999999999</v>
      </c>
      <c r="F385" t="n">
        <v>0</v>
      </c>
      <c r="G385" t="n">
        <v>763.4299999999999</v>
      </c>
    </row>
    <row r="386">
      <c r="A386" t="inlineStr">
        <is>
          <t>599131</t>
        </is>
      </c>
      <c r="B386" t="inlineStr">
        <is>
          <t>599131 Gegenkonto Abgrenzung Berufsgenossenschaft</t>
        </is>
      </c>
      <c r="C386" t="inlineStr">
        <is>
          <t>bilanz_abgrenzung</t>
        </is>
      </c>
      <c r="D386" t="inlineStr">
        <is>
          <t>PASSIVA</t>
        </is>
      </c>
      <c r="E386" t="n">
        <v>-42350</v>
      </c>
      <c r="F386" t="n">
        <v>-42350</v>
      </c>
      <c r="G386" t="n">
        <v>0</v>
      </c>
    </row>
    <row r="387">
      <c r="A387" t="inlineStr">
        <is>
          <t>599136</t>
        </is>
      </c>
      <c r="B387" t="inlineStr">
        <is>
          <t>599136 Gegenkonto Abgrenzung variable Vergütung</t>
        </is>
      </c>
      <c r="C387" t="inlineStr">
        <is>
          <t>bilanz_abgrenzung</t>
        </is>
      </c>
      <c r="D387" t="inlineStr">
        <is>
          <t>PASSIVA</t>
        </is>
      </c>
      <c r="E387" t="n">
        <v>-185038</v>
      </c>
      <c r="F387" t="n">
        <v>-185038</v>
      </c>
      <c r="G387" t="n">
        <v>0</v>
      </c>
    </row>
    <row r="388">
      <c r="A388" t="inlineStr">
        <is>
          <t>599992</t>
        </is>
      </c>
      <c r="B388" t="inlineStr">
        <is>
          <t>599992 Gegenkonto Kostenabgrenzungen (Rückstell.)</t>
        </is>
      </c>
      <c r="C388" t="inlineStr">
        <is>
          <t>bilanz_rueckstellungen</t>
        </is>
      </c>
      <c r="D388" t="inlineStr">
        <is>
          <t>PASSIVA</t>
        </is>
      </c>
      <c r="E388" t="n">
        <v>-57000</v>
      </c>
      <c r="F388" t="n">
        <v>-57000</v>
      </c>
      <c r="G388" t="n">
        <v>0</v>
      </c>
    </row>
    <row r="389">
      <c r="A389" t="inlineStr">
        <is>
          <t>599994</t>
        </is>
      </c>
      <c r="B389" t="inlineStr">
        <is>
          <t>599994 Gegenkonto aus Kostenabgrenzung Verb. L&amp;L</t>
        </is>
      </c>
      <c r="C389" t="inlineStr">
        <is>
          <t>bilanz_verbindlichkeiten</t>
        </is>
      </c>
      <c r="D389" t="inlineStr">
        <is>
          <t>PASSIVA</t>
        </is>
      </c>
      <c r="E389" t="n">
        <v>-3708.88</v>
      </c>
      <c r="F389" t="n">
        <v>-357773.88</v>
      </c>
      <c r="G389" t="n">
        <v>354065</v>
      </c>
    </row>
    <row r="390">
      <c r="A390" t="inlineStr">
        <is>
          <t>80000</t>
        </is>
      </c>
      <c r="B390" t="inlineStr">
        <is>
          <t>080000 Gezeichnetes Kapital</t>
        </is>
      </c>
      <c r="C390" t="inlineStr">
        <is>
          <t>bilanz_eigenkapital</t>
        </is>
      </c>
      <c r="D390" t="inlineStr">
        <is>
          <t>PASSIVA</t>
        </is>
      </c>
      <c r="E390" t="n">
        <v>-1023000</v>
      </c>
      <c r="F390" t="n">
        <v>0</v>
      </c>
      <c r="G390" t="n">
        <v>-1023000</v>
      </c>
    </row>
    <row r="391">
      <c r="A391" t="inlineStr">
        <is>
          <t>84000</t>
        </is>
      </c>
      <c r="B391" t="inlineStr">
        <is>
          <t>084000 Kapitalrücklage</t>
        </is>
      </c>
      <c r="C391" t="inlineStr">
        <is>
          <t>bilanz_eigenkapital</t>
        </is>
      </c>
      <c r="D391" t="inlineStr">
        <is>
          <t>PASSIVA</t>
        </is>
      </c>
      <c r="E391" t="n">
        <v>-1033875.64</v>
      </c>
      <c r="F391" t="n">
        <v>0</v>
      </c>
      <c r="G391" t="n">
        <v>-1033875.64</v>
      </c>
    </row>
    <row r="392">
      <c r="A392" t="inlineStr">
        <is>
          <t>85500</t>
        </is>
      </c>
      <c r="B392" t="inlineStr">
        <is>
          <t>085500 Andere Gewinnrücklagen</t>
        </is>
      </c>
      <c r="C392" t="inlineStr">
        <is>
          <t>bilanz_eigenkapital</t>
        </is>
      </c>
      <c r="D392" t="inlineStr">
        <is>
          <t>PASSIVA</t>
        </is>
      </c>
      <c r="E392" t="n">
        <v>-193745.56</v>
      </c>
      <c r="F392" t="n">
        <v>0</v>
      </c>
      <c r="G392" t="n">
        <v>-193745.56</v>
      </c>
    </row>
    <row r="393">
      <c r="A393" t="inlineStr">
        <is>
          <t>86800</t>
        </is>
      </c>
      <c r="B393" t="inlineStr">
        <is>
          <t>086800 Gewinn- oder Verlustvortrag</t>
        </is>
      </c>
      <c r="C393" t="inlineStr">
        <is>
          <t>bilanz_abgrenzung</t>
        </is>
      </c>
      <c r="D393" t="inlineStr">
        <is>
          <t>PASSIVA</t>
        </is>
      </c>
      <c r="E393" t="n">
        <v>-3874379.85</v>
      </c>
      <c r="F393" t="n">
        <v>0</v>
      </c>
      <c r="G393" t="n">
        <v>-3874379.85</v>
      </c>
    </row>
    <row r="394">
      <c r="A394" t="inlineStr">
        <is>
          <t>86801</t>
        </is>
      </c>
      <c r="B394" t="inlineStr">
        <is>
          <t>086801 Gewinn- oder Verlustvortrag (HGB nur FW Bew.)</t>
        </is>
      </c>
      <c r="C394" t="inlineStr">
        <is>
          <t>bilanz_abgrenzung</t>
        </is>
      </c>
      <c r="D394" t="inlineStr">
        <is>
          <t>PASSIVA</t>
        </is>
      </c>
      <c r="E394" t="n">
        <v>2702877.8</v>
      </c>
      <c r="F394" t="n">
        <v>0</v>
      </c>
      <c r="G394" t="n">
        <v>2702877.8</v>
      </c>
    </row>
    <row r="395">
      <c r="A395" t="inlineStr">
        <is>
          <t>900051</t>
        </is>
      </c>
      <c r="B395" t="inlineStr">
        <is>
          <t>900051 Kautionen (Korrekturkonto)</t>
        </is>
      </c>
      <c r="C395" t="inlineStr">
        <is>
          <t>bilanz_abgrenzung</t>
        </is>
      </c>
      <c r="E395" t="n">
        <v>0</v>
      </c>
      <c r="F395" t="n">
        <v>0</v>
      </c>
      <c r="G395" t="n">
        <v>0</v>
      </c>
    </row>
    <row r="396">
      <c r="A396" t="inlineStr">
        <is>
          <t>900052</t>
        </is>
      </c>
      <c r="B396" t="inlineStr">
        <is>
          <t>900052 Kautionen (RLZ &gt;1 Jahr)</t>
        </is>
      </c>
      <c r="C396" t="inlineStr">
        <is>
          <t>bilanz_abgrenzung</t>
        </is>
      </c>
      <c r="E396" t="n">
        <v>0</v>
      </c>
      <c r="F396" t="n">
        <v>0</v>
      </c>
      <c r="G396" t="n">
        <v>0</v>
      </c>
    </row>
    <row r="397">
      <c r="A397" t="inlineStr">
        <is>
          <t>900061</t>
        </is>
      </c>
      <c r="B397" t="inlineStr">
        <is>
          <t>900061 Verbind.aus L+L (Korrekturkto)</t>
        </is>
      </c>
      <c r="C397" t="inlineStr">
        <is>
          <t>bilanz_abgrenzung</t>
        </is>
      </c>
      <c r="E397" t="n">
        <v>0</v>
      </c>
      <c r="F397" t="n">
        <v>-1181.41</v>
      </c>
      <c r="G397" t="n">
        <v>1181.41</v>
      </c>
    </row>
    <row r="398">
      <c r="A398" t="inlineStr">
        <is>
          <t>900065</t>
        </is>
      </c>
      <c r="B398" t="inlineStr">
        <is>
          <t>900065 Verbind.verb.Unternehmen (Korrekturkto)</t>
        </is>
      </c>
      <c r="C398" t="inlineStr">
        <is>
          <t>bilanz_abgrenzung</t>
        </is>
      </c>
      <c r="E398" t="n">
        <v>0</v>
      </c>
      <c r="F398" t="n">
        <v>343774.94</v>
      </c>
      <c r="G398" t="n">
        <v>-343774.94</v>
      </c>
    </row>
    <row r="399">
      <c r="A399" t="inlineStr">
        <is>
          <t>900088</t>
        </is>
      </c>
      <c r="B399" t="inlineStr">
        <is>
          <t>900088 And. Sonst. Verbindlichkeiten (Korrekturkto)</t>
        </is>
      </c>
      <c r="C399" t="inlineStr">
        <is>
          <t>bilanz_abgrenzung</t>
        </is>
      </c>
      <c r="E399" t="n">
        <v>0</v>
      </c>
      <c r="F399" t="n">
        <v>59943.4</v>
      </c>
      <c r="G399" t="n">
        <v>-59943.4</v>
      </c>
    </row>
    <row r="400">
      <c r="A400" t="inlineStr">
        <is>
          <t>900400</t>
        </is>
      </c>
      <c r="B400" t="inlineStr">
        <is>
          <t>900400 Debitorische Kreditoren (Verb.a.L+L)</t>
        </is>
      </c>
      <c r="C400" t="inlineStr">
        <is>
          <t>bilanz_abgrenzung</t>
        </is>
      </c>
      <c r="E400" t="n">
        <v>0</v>
      </c>
      <c r="F400" t="n">
        <v>1181.41</v>
      </c>
      <c r="G400" t="n">
        <v>-1181.41</v>
      </c>
    </row>
    <row r="401">
      <c r="A401" t="inlineStr">
        <is>
          <t>900410</t>
        </is>
      </c>
      <c r="B401" t="inlineStr">
        <is>
          <t>900410 Debitorische Kreditoren (Verb.a.verb.Untern.)</t>
        </is>
      </c>
      <c r="C401" t="inlineStr">
        <is>
          <t>bilanz_abgrenzung</t>
        </is>
      </c>
      <c r="E401" t="n">
        <v>0</v>
      </c>
      <c r="F401" t="n">
        <v>-343774.94</v>
      </c>
      <c r="G401" t="n">
        <v>343774.94</v>
      </c>
    </row>
    <row r="402">
      <c r="A402" t="inlineStr">
        <is>
          <t>900460</t>
        </is>
      </c>
      <c r="B402" t="inlineStr">
        <is>
          <t>900460 Debitorische Kreditoren (Verb. nicht L+L)</t>
        </is>
      </c>
      <c r="C402" t="inlineStr">
        <is>
          <t>bilanz_abgrenzung</t>
        </is>
      </c>
      <c r="E402" t="n">
        <v>0</v>
      </c>
      <c r="F402" t="n">
        <v>992.0599999999999</v>
      </c>
      <c r="G402" t="n">
        <v>-992.0599999999999</v>
      </c>
    </row>
    <row r="403">
      <c r="A403" t="inlineStr">
        <is>
          <t>95510</t>
        </is>
      </c>
      <c r="B403" t="inlineStr">
        <is>
          <t>095510 Gewerbesteuerrückstellung</t>
        </is>
      </c>
      <c r="C403" t="inlineStr">
        <is>
          <t>bilanz_steuern</t>
        </is>
      </c>
      <c r="D403" t="inlineStr">
        <is>
          <t>PASSIVA</t>
        </is>
      </c>
      <c r="E403" t="n">
        <v>-250.8</v>
      </c>
      <c r="F403" t="n">
        <v>1014.3</v>
      </c>
      <c r="G403" t="n">
        <v>-1265.1</v>
      </c>
    </row>
    <row r="404">
      <c r="A404" t="inlineStr">
        <is>
          <t>95520</t>
        </is>
      </c>
      <c r="B404" t="inlineStr">
        <is>
          <t>095520 Körperschaftsteuerrückstellung inkl. SolZ</t>
        </is>
      </c>
      <c r="C404" t="inlineStr">
        <is>
          <t>bilanz_abgrenzung</t>
        </is>
      </c>
      <c r="E404" t="n">
        <v>0</v>
      </c>
      <c r="F404" t="n">
        <v>1645.8</v>
      </c>
      <c r="G404" t="n">
        <v>-1645.8</v>
      </c>
    </row>
    <row r="405">
      <c r="A405" t="inlineStr">
        <is>
          <t>97030</t>
        </is>
      </c>
      <c r="B405" t="inlineStr">
        <is>
          <t>097030 Rückstellungen für ausstehende Rechnungen/Leistg.</t>
        </is>
      </c>
      <c r="C405" t="inlineStr">
        <is>
          <t>bilanz_abgrenzung</t>
        </is>
      </c>
      <c r="E405" t="n">
        <v>0</v>
      </c>
      <c r="F405" t="n">
        <v>88700</v>
      </c>
      <c r="G405" t="n">
        <v>-88700</v>
      </c>
    </row>
    <row r="406">
      <c r="A406" t="inlineStr">
        <is>
          <t>97035</t>
        </is>
      </c>
      <c r="B406" t="inlineStr">
        <is>
          <t>097035 Rückst. f. Jahresabschluss/Rechtsberatung</t>
        </is>
      </c>
      <c r="C406" t="inlineStr">
        <is>
          <t>bilanz_abgrenzung</t>
        </is>
      </c>
      <c r="D406" t="inlineStr">
        <is>
          <t>PASSIVA</t>
        </is>
      </c>
      <c r="E406" t="n">
        <v>-11182</v>
      </c>
      <c r="F406" t="n">
        <v>22148</v>
      </c>
      <c r="G406" t="n">
        <v>-33330</v>
      </c>
    </row>
    <row r="407">
      <c r="A407" t="inlineStr">
        <is>
          <t>97200</t>
        </is>
      </c>
      <c r="B407" t="inlineStr">
        <is>
          <t>097200 Rückstellung Berufsgenossenschaft</t>
        </is>
      </c>
      <c r="C407" t="inlineStr">
        <is>
          <t>bilanz_rueckstellungen</t>
        </is>
      </c>
      <c r="D407" t="inlineStr">
        <is>
          <t>PASSIVA</t>
        </is>
      </c>
      <c r="E407" t="n">
        <v>-287.8</v>
      </c>
      <c r="F407" t="n">
        <v>67462.2</v>
      </c>
      <c r="G407" t="n">
        <v>-67750</v>
      </c>
    </row>
    <row r="408">
      <c r="A408" t="inlineStr">
        <is>
          <t>97201</t>
        </is>
      </c>
      <c r="B408" t="inlineStr">
        <is>
          <t>097201 Rückstellung Schwerbehindertenabgabe</t>
        </is>
      </c>
      <c r="C408" t="inlineStr">
        <is>
          <t>bilanz_abgrenzung</t>
        </is>
      </c>
      <c r="E408" t="n">
        <v>0</v>
      </c>
      <c r="F408" t="n">
        <v>700</v>
      </c>
      <c r="G408" t="n">
        <v>-700</v>
      </c>
    </row>
    <row r="409">
      <c r="A409" t="inlineStr">
        <is>
          <t>97202</t>
        </is>
      </c>
      <c r="B409" t="inlineStr">
        <is>
          <t>097202 Rückstellung Urlaubsverpflichtungen</t>
        </is>
      </c>
      <c r="C409" t="inlineStr">
        <is>
          <t>bilanz_rueckstellungen</t>
        </is>
      </c>
      <c r="D409" t="inlineStr">
        <is>
          <t>PASSIVA</t>
        </is>
      </c>
      <c r="E409" t="n">
        <v>-108635.41</v>
      </c>
      <c r="F409" t="n">
        <v>0</v>
      </c>
      <c r="G409" t="n">
        <v>-108635.41</v>
      </c>
    </row>
    <row r="410">
      <c r="A410" t="inlineStr">
        <is>
          <t>97207</t>
        </is>
      </c>
      <c r="B410" t="inlineStr">
        <is>
          <t>097207 Rückstellung Variable Vergütung</t>
        </is>
      </c>
      <c r="C410" t="inlineStr">
        <is>
          <t>bilanz_rueckstellungen</t>
        </is>
      </c>
      <c r="D410" t="inlineStr">
        <is>
          <t>PASSIVA</t>
        </is>
      </c>
      <c r="E410" t="n">
        <v>-66505.64999999999</v>
      </c>
      <c r="F410" t="n">
        <v>49115.05</v>
      </c>
      <c r="G410" t="n">
        <v>-115620.7</v>
      </c>
    </row>
    <row r="411">
      <c r="A411" t="inlineStr">
        <is>
          <t>97209</t>
        </is>
      </c>
      <c r="B411" t="inlineStr">
        <is>
          <t>097209 Rückstellung Überstunden/Mehrarbeit</t>
        </is>
      </c>
      <c r="C411" t="inlineStr">
        <is>
          <t>bilanz_rueckstellungen</t>
        </is>
      </c>
      <c r="D411" t="inlineStr">
        <is>
          <t>PASSIVA</t>
        </is>
      </c>
      <c r="E411" t="n">
        <v>-75406.8</v>
      </c>
      <c r="F411" t="n">
        <v>0</v>
      </c>
      <c r="G411" t="n">
        <v>-75406.8</v>
      </c>
    </row>
    <row r="412">
      <c r="A412" t="inlineStr">
        <is>
          <t>97300</t>
        </is>
      </c>
      <c r="B412" t="inlineStr">
        <is>
          <t>097300 Rückstellung für Zinsen auf Steuernachzahlungen</t>
        </is>
      </c>
      <c r="C412" t="inlineStr">
        <is>
          <t>bilanz_steuern</t>
        </is>
      </c>
      <c r="D412" t="inlineStr">
        <is>
          <t>PASSIVA</t>
        </is>
      </c>
      <c r="E412" t="n">
        <v>-29.56</v>
      </c>
      <c r="F412" t="n">
        <v>128.18</v>
      </c>
      <c r="G412" t="n">
        <v>-157.74</v>
      </c>
    </row>
    <row r="413">
      <c r="A413" t="inlineStr">
        <is>
          <t>98002</t>
        </is>
      </c>
      <c r="B413" t="inlineStr">
        <is>
          <t>098002 ARAP Kfz-Steuer</t>
        </is>
      </c>
      <c r="C413" t="inlineStr">
        <is>
          <t>bilanz_steuern</t>
        </is>
      </c>
      <c r="D413" t="inlineStr">
        <is>
          <t>AKTIVA</t>
        </is>
      </c>
      <c r="E413" t="n">
        <v>3859.63</v>
      </c>
      <c r="F413" t="n">
        <v>-2604.84</v>
      </c>
      <c r="G413" t="n">
        <v>6464.47</v>
      </c>
    </row>
    <row r="414">
      <c r="A414" t="inlineStr">
        <is>
          <t>98004</t>
        </is>
      </c>
      <c r="B414" t="inlineStr">
        <is>
          <t>098004 ARAP sonstige Versicherungen</t>
        </is>
      </c>
      <c r="C414" t="inlineStr">
        <is>
          <t>bilanz_anlagevermoegen</t>
        </is>
      </c>
      <c r="D414" t="inlineStr">
        <is>
          <t>AKTIVA</t>
        </is>
      </c>
      <c r="E414" t="n">
        <v>89.54000000000001</v>
      </c>
      <c r="F414" t="n">
        <v>32.27</v>
      </c>
      <c r="G414" t="n">
        <v>57.27</v>
      </c>
    </row>
    <row r="415">
      <c r="A415" t="inlineStr">
        <is>
          <t>98006</t>
        </is>
      </c>
      <c r="B415" t="inlineStr">
        <is>
          <t>098006 ARAP OP-verwaltet</t>
        </is>
      </c>
      <c r="C415" t="inlineStr">
        <is>
          <t>bilanz_anlagevermoegen</t>
        </is>
      </c>
      <c r="D415" t="inlineStr">
        <is>
          <t>AKTIVA</t>
        </is>
      </c>
      <c r="E415" t="n">
        <v>5829.32</v>
      </c>
      <c r="F415" t="n">
        <v>604.89</v>
      </c>
      <c r="G415" t="n">
        <v>5224.43</v>
      </c>
    </row>
    <row r="416">
      <c r="A416" t="inlineStr">
        <is>
          <t>99800</t>
        </is>
      </c>
      <c r="B416" t="inlineStr">
        <is>
          <t>099800 EWB auf Forderungen</t>
        </is>
      </c>
      <c r="C416" t="inlineStr">
        <is>
          <t>bilanz_forderungen</t>
        </is>
      </c>
      <c r="D416" t="inlineStr">
        <is>
          <t>AKTIVA</t>
        </is>
      </c>
      <c r="E416" t="n">
        <v>-324796.86</v>
      </c>
      <c r="F416" t="n">
        <v>0</v>
      </c>
      <c r="G416" t="n">
        <v>-324796.86</v>
      </c>
    </row>
    <row r="417">
      <c r="A417" t="inlineStr">
        <is>
          <t>999920</t>
        </is>
      </c>
      <c r="B417" t="inlineStr">
        <is>
          <t>999920 Übernahme-Konto offene Posten Debitoren</t>
        </is>
      </c>
      <c r="C417" t="inlineStr">
        <is>
          <t>bilanz_abgrenzung</t>
        </is>
      </c>
      <c r="D417" t="inlineStr">
        <is>
          <t>PASSIVA</t>
        </is>
      </c>
      <c r="E417" t="n">
        <v>7519</v>
      </c>
      <c r="F417" t="n">
        <v>0</v>
      </c>
      <c r="G417" t="n">
        <v>7519</v>
      </c>
    </row>
    <row r="418">
      <c r="A418" t="inlineStr">
        <is>
          <t>999930</t>
        </is>
      </c>
      <c r="B418" t="inlineStr">
        <is>
          <t>999930 Übernahme-Konto offene Posten Kreditoren</t>
        </is>
      </c>
      <c r="C418" t="inlineStr">
        <is>
          <t>bilanz_darlehen</t>
        </is>
      </c>
      <c r="D418" t="inlineStr">
        <is>
          <t>PASSIVA</t>
        </is>
      </c>
      <c r="E418" t="n">
        <v>-7519</v>
      </c>
      <c r="F418" t="n">
        <v>0</v>
      </c>
      <c r="G418" t="n">
        <v>-7519</v>
      </c>
    </row>
    <row r="419">
      <c r="A419" t="inlineStr">
        <is>
          <t>F008600</t>
        </is>
      </c>
      <c r="B419" t="inlineStr">
        <is>
          <t>F008600 Nutzungsrechte Grund und Boden</t>
        </is>
      </c>
      <c r="E419" t="n">
        <v>350020.25</v>
      </c>
      <c r="F419" t="n">
        <v>0</v>
      </c>
      <c r="G419" t="n">
        <v>350020.25</v>
      </c>
    </row>
    <row r="420">
      <c r="A420" t="inlineStr">
        <is>
          <t>F009100</t>
        </is>
      </c>
      <c r="B420" t="inlineStr">
        <is>
          <t>F009100 Nutzungsrechte Gebaeude</t>
        </is>
      </c>
      <c r="E420" t="n">
        <v>226519.48</v>
      </c>
      <c r="F420" t="n">
        <v>0</v>
      </c>
      <c r="G420" t="n">
        <v>226519.48</v>
      </c>
    </row>
    <row r="421">
      <c r="A421" t="inlineStr">
        <is>
          <t>F033000</t>
        </is>
      </c>
      <c r="B421" t="inlineStr">
        <is>
          <t>F033000 Nutzungsrechte Fahrzeuge</t>
        </is>
      </c>
      <c r="E421" t="n">
        <v>577216.4</v>
      </c>
      <c r="F421" t="n">
        <v>0</v>
      </c>
      <c r="G421" t="n">
        <v>577216.4</v>
      </c>
    </row>
    <row r="422">
      <c r="A422" t="inlineStr">
        <is>
          <t>F049002</t>
        </is>
      </c>
      <c r="B422" t="inlineStr">
        <is>
          <t>F049002 Nutzungsrechte sonstige BGA</t>
        </is>
      </c>
      <c r="E422" t="n">
        <v>139153.41</v>
      </c>
      <c r="F422" t="n">
        <v>0</v>
      </c>
      <c r="G422" t="n">
        <v>139153.41</v>
      </c>
    </row>
    <row r="423">
      <c r="A423" t="inlineStr">
        <is>
          <t>F049951</t>
        </is>
      </c>
      <c r="B423" t="inlineStr">
        <is>
          <t>F049951 Bestände unfertige Erzeugnisse</t>
        </is>
      </c>
      <c r="E423" t="n">
        <v>-3770560.69</v>
      </c>
      <c r="F423" t="n">
        <v>0</v>
      </c>
      <c r="G423" t="n">
        <v>-3770560.69</v>
      </c>
    </row>
    <row r="424">
      <c r="A424" t="inlineStr">
        <is>
          <t>F049956</t>
        </is>
      </c>
      <c r="B424" t="inlineStr">
        <is>
          <t>F049956 WB Bestände unfertige Erzeugnisse</t>
        </is>
      </c>
      <c r="E424" t="n">
        <v>1612745.46</v>
      </c>
      <c r="F424" t="n">
        <v>0</v>
      </c>
      <c r="G424" t="n">
        <v>1612745.46</v>
      </c>
    </row>
    <row r="425">
      <c r="A425" t="inlineStr">
        <is>
          <t>F085500</t>
        </is>
      </c>
      <c r="B425" t="inlineStr">
        <is>
          <t>F085500 Andere Gewinnrücklagen</t>
        </is>
      </c>
      <c r="E425" t="n">
        <v>-173000</v>
      </c>
      <c r="F425" t="n">
        <v>0</v>
      </c>
      <c r="G425" t="n">
        <v>-173000</v>
      </c>
    </row>
    <row r="426">
      <c r="A426" t="inlineStr">
        <is>
          <t>F086800</t>
        </is>
      </c>
      <c r="B426" t="inlineStr">
        <is>
          <t>F086800 Gewinn- oder Verlustvortrag (IFRS)</t>
        </is>
      </c>
      <c r="E426" t="n">
        <v>2699066.61</v>
      </c>
      <c r="F426" t="n">
        <v>0</v>
      </c>
      <c r="G426" t="n">
        <v>2699066.61</v>
      </c>
    </row>
    <row r="427">
      <c r="A427" t="inlineStr">
        <is>
          <t>F095550</t>
        </is>
      </c>
      <c r="B427" t="inlineStr">
        <is>
          <t>F095550 Rückstellung latente Steuern &gt; 1 Jahr</t>
        </is>
      </c>
      <c r="E427" t="n">
        <v>-509383</v>
      </c>
      <c r="F427" t="n">
        <v>0</v>
      </c>
      <c r="G427" t="n">
        <v>-509383</v>
      </c>
    </row>
    <row r="428">
      <c r="A428" t="inlineStr">
        <is>
          <t>F098100</t>
        </is>
      </c>
      <c r="B428" t="inlineStr">
        <is>
          <t>F098100 Akt. Latente Steuern</t>
        </is>
      </c>
      <c r="E428" t="n">
        <v>644443</v>
      </c>
      <c r="F428" t="n">
        <v>0</v>
      </c>
      <c r="G428" t="n">
        <v>644443</v>
      </c>
    </row>
    <row r="429">
      <c r="A429" t="inlineStr">
        <is>
          <t>F098110</t>
        </is>
      </c>
      <c r="B429" t="inlineStr">
        <is>
          <t>F098110 Aktive latente Steuern auf Verlustvorträge</t>
        </is>
      </c>
      <c r="E429" t="n">
        <v>105330</v>
      </c>
      <c r="F429" t="n">
        <v>0</v>
      </c>
      <c r="G429" t="n">
        <v>105330</v>
      </c>
    </row>
    <row r="430">
      <c r="A430" t="inlineStr">
        <is>
          <t>F099610</t>
        </is>
      </c>
      <c r="B430" t="inlineStr">
        <is>
          <t>F099610 ECL auf Vertragsvermögenswerte</t>
        </is>
      </c>
      <c r="E430" t="n">
        <v>-19038.19</v>
      </c>
      <c r="F430" t="n">
        <v>0</v>
      </c>
      <c r="G430" t="n">
        <v>-19038.19</v>
      </c>
    </row>
    <row r="431">
      <c r="A431" t="inlineStr">
        <is>
          <t>F153905</t>
        </is>
      </c>
      <c r="B431" t="inlineStr">
        <is>
          <t>F153905 Forderungen aus POC-Aufträgen &lt; 1 Jahr</t>
        </is>
      </c>
      <c r="E431" t="n">
        <v>1797400</v>
      </c>
      <c r="F431" t="n">
        <v>0</v>
      </c>
      <c r="G431" t="n">
        <v>1797400</v>
      </c>
    </row>
    <row r="432">
      <c r="A432" t="inlineStr">
        <is>
          <t>F170202</t>
        </is>
      </c>
      <c r="B432" t="inlineStr">
        <is>
          <t>F170202 Verbindlichkeiten aus Leasing RLZ &lt; 1 Jahr</t>
        </is>
      </c>
      <c r="E432" t="n">
        <v>-1252734.93</v>
      </c>
      <c r="F432" t="n">
        <v>0</v>
      </c>
      <c r="G432" t="n">
        <v>-1252734.93</v>
      </c>
    </row>
    <row r="433">
      <c r="A433" t="inlineStr">
        <is>
          <t>F170593</t>
        </is>
      </c>
      <c r="B433" t="inlineStr">
        <is>
          <t>F170593 Verbindlichkeiten aus POC-Aufträgen &lt; 1 Jahr</t>
        </is>
      </c>
      <c r="E433" t="n">
        <v>-84700</v>
      </c>
      <c r="F433" t="n">
        <v>0</v>
      </c>
      <c r="G433" t="n">
        <v>-84700</v>
      </c>
    </row>
    <row r="434">
      <c r="A434" t="inlineStr">
        <is>
          <t>F900026</t>
        </is>
      </c>
      <c r="B434" t="inlineStr">
        <is>
          <t>F900026 Forderungen L+L ( RLZ &gt; 1Jahr )</t>
        </is>
      </c>
      <c r="E434" t="n">
        <v>360400</v>
      </c>
      <c r="F434" t="n">
        <v>0</v>
      </c>
      <c r="G434" t="n">
        <v>360400</v>
      </c>
    </row>
    <row r="435">
      <c r="A435" t="inlineStr">
        <is>
          <t>F900108</t>
        </is>
      </c>
      <c r="B435" t="inlineStr">
        <is>
          <t>F900108 Mietkaufverbindlichkeiten (Korrekturkonto)</t>
        </is>
      </c>
      <c r="E435" t="n">
        <v>844597.14</v>
      </c>
      <c r="F435" t="n">
        <v>0</v>
      </c>
      <c r="G435" t="n">
        <v>844597.14</v>
      </c>
    </row>
    <row r="436">
      <c r="A436" t="inlineStr">
        <is>
          <t>F900109</t>
        </is>
      </c>
      <c r="B436" t="inlineStr">
        <is>
          <t>F900109 Mietkaufverbindlichkeiten  (RLZ 1-5 Jahre)</t>
        </is>
      </c>
      <c r="E436" t="n">
        <v>-668169.13</v>
      </c>
      <c r="F436" t="n">
        <v>0</v>
      </c>
      <c r="G436" t="n">
        <v>-668169.13</v>
      </c>
    </row>
    <row r="437">
      <c r="A437" t="inlineStr">
        <is>
          <t>F900110</t>
        </is>
      </c>
      <c r="B437" t="inlineStr">
        <is>
          <t>F900110 Mietkaufverbindlichkeiten (RLZ &gt; 5 Jahre)</t>
        </is>
      </c>
      <c r="E437" t="n">
        <v>-176428.01</v>
      </c>
      <c r="F437" t="n">
        <v>0</v>
      </c>
      <c r="G437" t="n">
        <v>-176428.01</v>
      </c>
    </row>
    <row r="438">
      <c r="A438" t="inlineStr">
        <is>
          <t>F999910</t>
        </is>
      </c>
      <c r="B438" t="inlineStr">
        <is>
          <t>F999910 Übernahmekonto Salden Sachkonten</t>
        </is>
      </c>
      <c r="E438" t="n">
        <v>-2702877.8</v>
      </c>
      <c r="F438" t="n">
        <v>0</v>
      </c>
      <c r="G438" t="n">
        <v>-2702877.8</v>
      </c>
    </row>
    <row r="442">
      <c r="A442" t="inlineStr">
        <is>
          <t>v_forecast_auftrag</t>
        </is>
      </c>
    </row>
    <row r="443">
      <c r="A443" t="inlineStr">
        <is>
          <t>auftrag</t>
        </is>
      </c>
      <c r="B443" t="inlineStr">
        <is>
          <t>auftragname</t>
        </is>
      </c>
      <c r="C443" t="inlineStr">
        <is>
          <t>region</t>
        </is>
      </c>
      <c r="D443" t="inlineStr">
        <is>
          <t>umsatz_plan</t>
        </is>
      </c>
      <c r="E443" t="inlineStr">
        <is>
          <t>kosten_plan</t>
        </is>
      </c>
      <c r="F443" t="inlineStr">
        <is>
          <t>umsatz_ist</t>
        </is>
      </c>
      <c r="G443" t="inlineStr">
        <is>
          <t>kosten_ist</t>
        </is>
      </c>
      <c r="H443" t="inlineStr">
        <is>
          <t>umsatz_restplan</t>
        </is>
      </c>
      <c r="I443" t="inlineStr">
        <is>
          <t>kosten_restplan</t>
        </is>
      </c>
      <c r="J443" t="inlineStr">
        <is>
          <t>umsatz_erwartet</t>
        </is>
      </c>
      <c r="K443" t="inlineStr">
        <is>
          <t>kosten_erwartet</t>
        </is>
      </c>
      <c r="L443" t="inlineStr">
        <is>
          <t>ba_plan</t>
        </is>
      </c>
      <c r="M443" t="inlineStr">
        <is>
          <t>ba_restplan</t>
        </is>
      </c>
      <c r="N443" t="inlineStr">
        <is>
          <t>ba_ist</t>
        </is>
      </c>
      <c r="O443" t="inlineStr">
        <is>
          <t>ba_erwartet</t>
        </is>
      </c>
      <c r="P443" t="inlineStr">
        <is>
          <t>jahr</t>
        </is>
      </c>
    </row>
    <row r="444">
      <c r="A444" t="inlineStr">
        <is>
          <t>P4102157208</t>
        </is>
      </c>
      <c r="B444" t="inlineStr">
        <is>
          <t>Waggonverschrottung</t>
        </is>
      </c>
      <c r="C444" t="inlineStr">
        <is>
          <t>West</t>
        </is>
      </c>
      <c r="D444" t="n">
        <v>31733.63</v>
      </c>
      <c r="E444" t="n">
        <v>-50805.14</v>
      </c>
      <c r="F444" t="n">
        <v>24855.15</v>
      </c>
      <c r="G444" t="n">
        <v>-13515.52</v>
      </c>
      <c r="H444" t="n">
        <v>0</v>
      </c>
      <c r="I444" t="n">
        <v>0</v>
      </c>
      <c r="J444" t="n">
        <v>24855.15</v>
      </c>
      <c r="K444" t="n">
        <v>-13515.52</v>
      </c>
      <c r="L444" t="n">
        <v>0</v>
      </c>
      <c r="M444" t="n">
        <v>0</v>
      </c>
      <c r="N444" t="n">
        <v>-10000</v>
      </c>
      <c r="O444" t="n">
        <v>-10000</v>
      </c>
      <c r="P444" t="n">
        <v>2026</v>
      </c>
    </row>
    <row r="445">
      <c r="A445" t="inlineStr">
        <is>
          <t>P4102157411</t>
        </is>
      </c>
      <c r="B445" t="inlineStr">
        <is>
          <t>ARGE RB Chemiepark Krefeld</t>
        </is>
      </c>
      <c r="C445" t="inlineStr">
        <is>
          <t>West</t>
        </is>
      </c>
      <c r="D445" t="n">
        <v>0</v>
      </c>
      <c r="E445" t="n">
        <v>0</v>
      </c>
      <c r="F445" t="n">
        <v>45582.42</v>
      </c>
      <c r="G445" t="n">
        <v>0</v>
      </c>
      <c r="H445" t="n">
        <v>0</v>
      </c>
      <c r="I445" t="n">
        <v>0</v>
      </c>
      <c r="J445" t="n">
        <v>45582.42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2026</v>
      </c>
    </row>
    <row r="446">
      <c r="A446" t="inlineStr">
        <is>
          <t>P4102157414</t>
        </is>
      </c>
      <c r="B446" t="inlineStr">
        <is>
          <t>Krandemontage</t>
        </is>
      </c>
      <c r="C446" t="inlineStr">
        <is>
          <t>West</t>
        </is>
      </c>
      <c r="D446" t="n">
        <v>0</v>
      </c>
      <c r="E446" t="n">
        <v>0</v>
      </c>
      <c r="F446" t="n">
        <v>414976.03</v>
      </c>
      <c r="G446" t="n">
        <v>-100883.26</v>
      </c>
      <c r="H446" t="n">
        <v>0</v>
      </c>
      <c r="I446" t="n">
        <v>0</v>
      </c>
      <c r="J446" t="n">
        <v>414976.03</v>
      </c>
      <c r="K446" t="n">
        <v>-100883.26</v>
      </c>
      <c r="L446" t="n">
        <v>0</v>
      </c>
      <c r="M446" t="n">
        <v>0</v>
      </c>
      <c r="N446" t="n">
        <v>-279004.22</v>
      </c>
      <c r="O446" t="n">
        <v>-279004.22</v>
      </c>
      <c r="P446" t="n">
        <v>2026</v>
      </c>
    </row>
    <row r="447">
      <c r="A447" t="inlineStr">
        <is>
          <t>P4102157420</t>
        </is>
      </c>
      <c r="B447" t="inlineStr">
        <is>
          <t>ARGE RB GWA+SGA 4</t>
        </is>
      </c>
      <c r="C447" t="inlineStr">
        <is>
          <t>West</t>
        </is>
      </c>
      <c r="D447" t="n">
        <v>0</v>
      </c>
      <c r="E447" t="n">
        <v>0</v>
      </c>
      <c r="F447" t="n">
        <v>0</v>
      </c>
      <c r="G447" t="n">
        <v>-1084.64</v>
      </c>
      <c r="H447" t="n">
        <v>0</v>
      </c>
      <c r="I447" t="n">
        <v>0</v>
      </c>
      <c r="J447" t="n">
        <v>0</v>
      </c>
      <c r="K447" t="n">
        <v>-1084.64</v>
      </c>
      <c r="L447" t="n">
        <v>0</v>
      </c>
      <c r="M447" t="n">
        <v>0</v>
      </c>
      <c r="N447" t="n">
        <v>0</v>
      </c>
      <c r="O447" t="n">
        <v>0</v>
      </c>
      <c r="P447" t="n">
        <v>2026</v>
      </c>
    </row>
    <row r="448">
      <c r="A448" t="inlineStr">
        <is>
          <t>P4102157429</t>
        </is>
      </c>
      <c r="B448" t="inlineStr">
        <is>
          <t>Covestro - Rückbau LEV O13</t>
        </is>
      </c>
      <c r="C448" t="inlineStr">
        <is>
          <t>West</t>
        </is>
      </c>
      <c r="D448" t="n">
        <v>442000</v>
      </c>
      <c r="E448" t="n">
        <v>-350000</v>
      </c>
      <c r="F448" t="n">
        <v>0</v>
      </c>
      <c r="G448" t="n">
        <v>24.2</v>
      </c>
      <c r="H448" t="n">
        <v>442000</v>
      </c>
      <c r="I448" t="n">
        <v>-350000</v>
      </c>
      <c r="J448" t="n">
        <v>442000</v>
      </c>
      <c r="K448" t="n">
        <v>-349975.8</v>
      </c>
      <c r="L448" t="n">
        <v>0</v>
      </c>
      <c r="M448" t="n">
        <v>0</v>
      </c>
      <c r="N448" t="n">
        <v>59.31</v>
      </c>
      <c r="O448" t="n">
        <v>59.31</v>
      </c>
      <c r="P448" t="n">
        <v>2026</v>
      </c>
    </row>
    <row r="449">
      <c r="A449" t="inlineStr">
        <is>
          <t>P4102157431</t>
        </is>
      </c>
      <c r="B449" t="inlineStr">
        <is>
          <t>RB drei Sandfilter</t>
        </is>
      </c>
      <c r="C449" t="inlineStr">
        <is>
          <t>West</t>
        </is>
      </c>
      <c r="D449" t="n">
        <v>3800</v>
      </c>
      <c r="E449" t="n">
        <v>-3413.76</v>
      </c>
      <c r="F449" t="n">
        <v>19000</v>
      </c>
      <c r="G449" t="n">
        <v>0</v>
      </c>
      <c r="H449" t="n">
        <v>0</v>
      </c>
      <c r="I449" t="n">
        <v>0</v>
      </c>
      <c r="J449" t="n">
        <v>19000</v>
      </c>
      <c r="K449" t="n">
        <v>0</v>
      </c>
      <c r="L449" t="n">
        <v>0</v>
      </c>
      <c r="M449" t="n">
        <v>0</v>
      </c>
      <c r="N449" t="n">
        <v>-24683.12</v>
      </c>
      <c r="O449" t="n">
        <v>-24683.12</v>
      </c>
      <c r="P449" t="n">
        <v>2026</v>
      </c>
    </row>
    <row r="450">
      <c r="A450" t="inlineStr">
        <is>
          <t>P4102157436</t>
        </is>
      </c>
      <c r="B450" t="inlineStr">
        <is>
          <t>Sanierung Kompensatoren</t>
        </is>
      </c>
      <c r="C450" t="inlineStr">
        <is>
          <t>West</t>
        </is>
      </c>
      <c r="D450" t="n">
        <v>15236.37</v>
      </c>
      <c r="E450" t="n">
        <v>-9779.84</v>
      </c>
      <c r="F450" t="n">
        <v>49999</v>
      </c>
      <c r="G450" t="n">
        <v>0</v>
      </c>
      <c r="H450" t="n">
        <v>0</v>
      </c>
      <c r="I450" t="n">
        <v>0</v>
      </c>
      <c r="J450" t="n">
        <v>49999</v>
      </c>
      <c r="K450" t="n">
        <v>0</v>
      </c>
      <c r="L450" t="n">
        <v>0</v>
      </c>
      <c r="M450" t="n">
        <v>0</v>
      </c>
      <c r="N450" t="n">
        <v>-44762.43</v>
      </c>
      <c r="O450" t="n">
        <v>-44762.43</v>
      </c>
      <c r="P450" t="n">
        <v>2026</v>
      </c>
    </row>
    <row r="451">
      <c r="A451" t="inlineStr">
        <is>
          <t>P4102157439</t>
        </is>
      </c>
      <c r="B451" t="inlineStr">
        <is>
          <t>RB Sperrmüllschereefeld</t>
        </is>
      </c>
      <c r="C451" t="inlineStr">
        <is>
          <t>West</t>
        </is>
      </c>
      <c r="D451" t="n">
        <v>0</v>
      </c>
      <c r="E451" t="n">
        <v>0</v>
      </c>
      <c r="F451" t="n">
        <v>37284</v>
      </c>
      <c r="G451" t="n">
        <v>0</v>
      </c>
      <c r="H451" t="n">
        <v>0</v>
      </c>
      <c r="I451" t="n">
        <v>0</v>
      </c>
      <c r="J451" t="n">
        <v>37284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2026</v>
      </c>
    </row>
    <row r="452">
      <c r="A452" t="inlineStr">
        <is>
          <t>P4102157440</t>
        </is>
      </c>
      <c r="B452" t="inlineStr">
        <is>
          <t>tkse RB 2025</t>
        </is>
      </c>
      <c r="C452" t="inlineStr">
        <is>
          <t>West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2026</v>
      </c>
    </row>
    <row r="453">
      <c r="A453" t="inlineStr">
        <is>
          <t>P4102157442</t>
        </is>
      </c>
      <c r="B453" t="inlineStr">
        <is>
          <t>RB Leitstand Flämmaschine</t>
        </is>
      </c>
      <c r="C453" t="inlineStr">
        <is>
          <t>West</t>
        </is>
      </c>
      <c r="D453" t="n">
        <v>35000</v>
      </c>
      <c r="E453" t="n">
        <v>0</v>
      </c>
      <c r="F453" t="n">
        <v>48086.9</v>
      </c>
      <c r="G453" t="n">
        <v>-31274.13</v>
      </c>
      <c r="H453" t="n">
        <v>0</v>
      </c>
      <c r="I453" t="n">
        <v>0</v>
      </c>
      <c r="J453" t="n">
        <v>48086.9</v>
      </c>
      <c r="K453" t="n">
        <v>-31274.13</v>
      </c>
      <c r="L453" t="n">
        <v>0</v>
      </c>
      <c r="M453" t="n">
        <v>0</v>
      </c>
      <c r="N453" t="n">
        <v>0</v>
      </c>
      <c r="O453" t="n">
        <v>0</v>
      </c>
      <c r="P453" t="n">
        <v>2026</v>
      </c>
    </row>
    <row r="454">
      <c r="A454" t="inlineStr">
        <is>
          <t>P4102157443</t>
        </is>
      </c>
      <c r="B454" t="inlineStr">
        <is>
          <t>Medice Arzneim. RB 2 Tanks</t>
        </is>
      </c>
      <c r="C454" t="inlineStr">
        <is>
          <t>West</t>
        </is>
      </c>
      <c r="D454" t="n">
        <v>0</v>
      </c>
      <c r="E454" t="n">
        <v>0</v>
      </c>
      <c r="F454" t="n">
        <v>21000</v>
      </c>
      <c r="G454" t="n">
        <v>0</v>
      </c>
      <c r="H454" t="n">
        <v>0</v>
      </c>
      <c r="I454" t="n">
        <v>0</v>
      </c>
      <c r="J454" t="n">
        <v>21000</v>
      </c>
      <c r="K454" t="n">
        <v>0</v>
      </c>
      <c r="L454" t="n">
        <v>0</v>
      </c>
      <c r="M454" t="n">
        <v>0</v>
      </c>
      <c r="N454" t="n">
        <v>-13730.16</v>
      </c>
      <c r="O454" t="n">
        <v>-13730.16</v>
      </c>
      <c r="P454" t="n">
        <v>2026</v>
      </c>
    </row>
    <row r="455">
      <c r="A455" t="inlineStr">
        <is>
          <t>P4102157445</t>
        </is>
      </c>
      <c r="B455" t="inlineStr">
        <is>
          <t>RB 2 Stahlwände Lüra Halle</t>
        </is>
      </c>
      <c r="C455" t="inlineStr">
        <is>
          <t>West</t>
        </is>
      </c>
      <c r="D455" t="n">
        <v>0</v>
      </c>
      <c r="E455" t="n">
        <v>0</v>
      </c>
      <c r="F455" t="n">
        <v>0</v>
      </c>
      <c r="G455" t="n">
        <v>-189.05</v>
      </c>
      <c r="H455" t="n">
        <v>0</v>
      </c>
      <c r="I455" t="n">
        <v>0</v>
      </c>
      <c r="J455" t="n">
        <v>0</v>
      </c>
      <c r="K455" t="n">
        <v>-189.05</v>
      </c>
      <c r="L455" t="n">
        <v>0</v>
      </c>
      <c r="M455" t="n">
        <v>0</v>
      </c>
      <c r="N455" t="n">
        <v>0</v>
      </c>
      <c r="O455" t="n">
        <v>0</v>
      </c>
      <c r="P455" t="n">
        <v>2026</v>
      </c>
    </row>
    <row r="456">
      <c r="A456" t="inlineStr">
        <is>
          <t>P4102157447</t>
        </is>
      </c>
      <c r="B456" t="inlineStr">
        <is>
          <t>Hkm Demontage DN 500</t>
        </is>
      </c>
      <c r="C456" t="inlineStr">
        <is>
          <t>West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2026</v>
      </c>
    </row>
    <row r="457">
      <c r="A457" t="inlineStr">
        <is>
          <t>P4102157449</t>
        </is>
      </c>
      <c r="B457" t="inlineStr">
        <is>
          <t>RB Kessel KW Lausward</t>
        </is>
      </c>
      <c r="C457" t="inlineStr">
        <is>
          <t>West</t>
        </is>
      </c>
      <c r="D457" t="n">
        <v>258576.22</v>
      </c>
      <c r="E457" t="n">
        <v>-231770.49</v>
      </c>
      <c r="F457" t="n">
        <v>827176.51</v>
      </c>
      <c r="G457" t="n">
        <v>-137348.38</v>
      </c>
      <c r="H457" t="n">
        <v>0</v>
      </c>
      <c r="I457" t="n">
        <v>0</v>
      </c>
      <c r="J457" t="n">
        <v>827176.51</v>
      </c>
      <c r="K457" t="n">
        <v>-137348.38</v>
      </c>
      <c r="L457" t="n">
        <v>0</v>
      </c>
      <c r="M457" t="n">
        <v>0</v>
      </c>
      <c r="N457" t="n">
        <v>-578657.23</v>
      </c>
      <c r="O457" t="n">
        <v>-578657.23</v>
      </c>
      <c r="P457" t="n">
        <v>2026</v>
      </c>
    </row>
    <row r="458">
      <c r="A458" t="inlineStr">
        <is>
          <t>P4102157450</t>
        </is>
      </c>
      <c r="B458" t="inlineStr">
        <is>
          <t>Verschr. Brennkammer BA-301 Oxygen</t>
        </is>
      </c>
      <c r="C458" t="inlineStr">
        <is>
          <t>West</t>
        </is>
      </c>
      <c r="D458" t="n">
        <v>0</v>
      </c>
      <c r="E458" t="n">
        <v>0</v>
      </c>
      <c r="F458" t="n">
        <v>0</v>
      </c>
      <c r="G458" t="n">
        <v>-6.1</v>
      </c>
      <c r="H458" t="n">
        <v>0</v>
      </c>
      <c r="I458" t="n">
        <v>0</v>
      </c>
      <c r="J458" t="n">
        <v>0</v>
      </c>
      <c r="K458" t="n">
        <v>-6.1</v>
      </c>
      <c r="L458" t="n">
        <v>0</v>
      </c>
      <c r="M458" t="n">
        <v>0</v>
      </c>
      <c r="N458" t="n">
        <v>0</v>
      </c>
      <c r="O458" t="n">
        <v>0</v>
      </c>
      <c r="P458" t="n">
        <v>2026</v>
      </c>
    </row>
    <row r="459">
      <c r="A459" t="inlineStr">
        <is>
          <t>P4102157451</t>
        </is>
      </c>
      <c r="B459" t="inlineStr">
        <is>
          <t>Sanierung Campus Golzheim</t>
        </is>
      </c>
      <c r="C459" t="inlineStr">
        <is>
          <t>West</t>
        </is>
      </c>
      <c r="D459" t="n">
        <v>75000</v>
      </c>
      <c r="E459" t="n">
        <v>-71250</v>
      </c>
      <c r="F459" t="n">
        <v>40150.9</v>
      </c>
      <c r="G459" t="n">
        <v>-1893113.68</v>
      </c>
      <c r="H459" t="n">
        <v>0</v>
      </c>
      <c r="I459" t="n">
        <v>0</v>
      </c>
      <c r="J459" t="n">
        <v>40150.9</v>
      </c>
      <c r="K459" t="n">
        <v>-1893113.68</v>
      </c>
      <c r="L459" t="n">
        <v>0</v>
      </c>
      <c r="M459" t="n">
        <v>0</v>
      </c>
      <c r="N459" t="n">
        <v>2134210.44</v>
      </c>
      <c r="O459" t="n">
        <v>2134210.44</v>
      </c>
      <c r="P459" t="n">
        <v>2026</v>
      </c>
    </row>
    <row r="460">
      <c r="A460" t="inlineStr">
        <is>
          <t>P4102157452</t>
        </is>
      </c>
      <c r="B460" t="inlineStr">
        <is>
          <t>RB Cont.anlage TKSE Gelände</t>
        </is>
      </c>
      <c r="C460" t="inlineStr">
        <is>
          <t>West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-2847.73</v>
      </c>
      <c r="O460" t="n">
        <v>-2847.73</v>
      </c>
      <c r="P460" t="n">
        <v>2026</v>
      </c>
    </row>
    <row r="461">
      <c r="A461" t="inlineStr">
        <is>
          <t>P4102157453</t>
        </is>
      </c>
      <c r="B461" t="inlineStr">
        <is>
          <t>Wbw 4 Hallenrückbau</t>
        </is>
      </c>
      <c r="C461" t="inlineStr">
        <is>
          <t>West</t>
        </is>
      </c>
      <c r="D461" t="n">
        <v>0</v>
      </c>
      <c r="E461" t="n">
        <v>0</v>
      </c>
      <c r="F461" t="n">
        <v>1176663.57</v>
      </c>
      <c r="G461" t="n">
        <v>-699485.9</v>
      </c>
      <c r="H461" t="n">
        <v>0</v>
      </c>
      <c r="I461" t="n">
        <v>0</v>
      </c>
      <c r="J461" t="n">
        <v>1176663.57</v>
      </c>
      <c r="K461" t="n">
        <v>-699485.9</v>
      </c>
      <c r="L461" t="n">
        <v>0</v>
      </c>
      <c r="M461" t="n">
        <v>0</v>
      </c>
      <c r="N461" t="n">
        <v>-0.01</v>
      </c>
      <c r="O461" t="n">
        <v>-0.01</v>
      </c>
      <c r="P461" t="n">
        <v>2026</v>
      </c>
    </row>
    <row r="462">
      <c r="A462" t="inlineStr">
        <is>
          <t>P4102157455</t>
        </is>
      </c>
      <c r="B462" t="inlineStr">
        <is>
          <t>Currenta San.+RB G22 Los 1+2 Anm.fehlt</t>
        </is>
      </c>
      <c r="C462" t="inlineStr">
        <is>
          <t>West</t>
        </is>
      </c>
      <c r="D462" t="n">
        <v>5462009.53</v>
      </c>
      <c r="E462" t="n">
        <v>-6564310.17</v>
      </c>
      <c r="F462" t="n">
        <v>0</v>
      </c>
      <c r="G462" t="n">
        <v>-3255042.73</v>
      </c>
      <c r="H462" t="n">
        <v>2223000</v>
      </c>
      <c r="I462" t="n">
        <v>-2114000</v>
      </c>
      <c r="J462" t="n">
        <v>2223000</v>
      </c>
      <c r="K462" t="n">
        <v>-5369042.73</v>
      </c>
      <c r="L462" t="n">
        <v>0</v>
      </c>
      <c r="M462" t="n">
        <v>0</v>
      </c>
      <c r="N462" t="n">
        <v>3166169.81</v>
      </c>
      <c r="O462" t="n">
        <v>3166169.81</v>
      </c>
      <c r="P462" t="n">
        <v>2026</v>
      </c>
    </row>
    <row r="463">
      <c r="A463" t="inlineStr">
        <is>
          <t>P4102157456</t>
        </is>
      </c>
      <c r="B463" t="inlineStr">
        <is>
          <t>RB und Entsorgung Fundament Schleifbank</t>
        </is>
      </c>
      <c r="C463" t="inlineStr">
        <is>
          <t>West</t>
        </is>
      </c>
      <c r="D463" t="n">
        <v>0</v>
      </c>
      <c r="E463" t="n">
        <v>0</v>
      </c>
      <c r="F463" t="n">
        <v>103280</v>
      </c>
      <c r="G463" t="n">
        <v>-69993.84</v>
      </c>
      <c r="H463" t="n">
        <v>0</v>
      </c>
      <c r="I463" t="n">
        <v>0</v>
      </c>
      <c r="J463" t="n">
        <v>103280</v>
      </c>
      <c r="K463" t="n">
        <v>-69993.84</v>
      </c>
      <c r="L463" t="n">
        <v>0</v>
      </c>
      <c r="M463" t="n">
        <v>0</v>
      </c>
      <c r="N463" t="n">
        <v>0</v>
      </c>
      <c r="O463" t="n">
        <v>0</v>
      </c>
      <c r="P463" t="n">
        <v>2026</v>
      </c>
    </row>
    <row r="464">
      <c r="A464" t="inlineStr">
        <is>
          <t>P4102157457</t>
        </is>
      </c>
      <c r="B464" t="inlineStr">
        <is>
          <t>tkse RB 2026</t>
        </is>
      </c>
      <c r="C464" t="inlineStr">
        <is>
          <t>West</t>
        </is>
      </c>
      <c r="D464" t="n">
        <v>85000</v>
      </c>
      <c r="E464" t="n">
        <v>-80000</v>
      </c>
      <c r="F464" t="n">
        <v>322730.1</v>
      </c>
      <c r="G464" t="n">
        <v>-146134.19</v>
      </c>
      <c r="H464" t="n">
        <v>85000</v>
      </c>
      <c r="I464" t="n">
        <v>-80000</v>
      </c>
      <c r="J464" t="n">
        <v>407730.1</v>
      </c>
      <c r="K464" t="n">
        <v>-226134.19</v>
      </c>
      <c r="L464" t="n">
        <v>0</v>
      </c>
      <c r="M464" t="n">
        <v>0</v>
      </c>
      <c r="N464" t="n">
        <v>0</v>
      </c>
      <c r="O464" t="n">
        <v>0</v>
      </c>
      <c r="P464" t="n">
        <v>2026</v>
      </c>
    </row>
    <row r="465">
      <c r="A465" t="inlineStr">
        <is>
          <t>P4102157458</t>
        </is>
      </c>
      <c r="B465" t="inlineStr">
        <is>
          <t>Kleinaufträge Region West 2026</t>
        </is>
      </c>
      <c r="C465" t="inlineStr">
        <is>
          <t>West</t>
        </is>
      </c>
      <c r="D465" t="n">
        <v>0</v>
      </c>
      <c r="E465" t="n">
        <v>0</v>
      </c>
      <c r="F465" t="n">
        <v>27473.13</v>
      </c>
      <c r="G465" t="n">
        <v>-4953.57</v>
      </c>
      <c r="H465" t="n">
        <v>0</v>
      </c>
      <c r="I465" t="n">
        <v>0</v>
      </c>
      <c r="J465" t="n">
        <v>27473.13</v>
      </c>
      <c r="K465" t="n">
        <v>-4953.57</v>
      </c>
      <c r="L465" t="n">
        <v>0</v>
      </c>
      <c r="M465" t="n">
        <v>0</v>
      </c>
      <c r="N465" t="n">
        <v>0</v>
      </c>
      <c r="O465" t="n">
        <v>0</v>
      </c>
      <c r="P465" t="n">
        <v>2026</v>
      </c>
    </row>
    <row r="466">
      <c r="A466" t="inlineStr">
        <is>
          <t>P4102157459</t>
        </is>
      </c>
      <c r="B466" t="inlineStr">
        <is>
          <t>RB alte Beizanlage</t>
        </is>
      </c>
      <c r="C466" t="inlineStr">
        <is>
          <t>West</t>
        </is>
      </c>
      <c r="D466" t="n">
        <v>0</v>
      </c>
      <c r="E466" t="n">
        <v>0</v>
      </c>
      <c r="F466" t="n">
        <v>32538</v>
      </c>
      <c r="G466" t="n">
        <v>-15918.45</v>
      </c>
      <c r="H466" t="n">
        <v>0</v>
      </c>
      <c r="I466" t="n">
        <v>0</v>
      </c>
      <c r="J466" t="n">
        <v>32538</v>
      </c>
      <c r="K466" t="n">
        <v>-15918.45</v>
      </c>
      <c r="L466" t="n">
        <v>0</v>
      </c>
      <c r="M466" t="n">
        <v>0</v>
      </c>
      <c r="N466" t="n">
        <v>0</v>
      </c>
      <c r="O466" t="n">
        <v>0</v>
      </c>
      <c r="P466" t="n">
        <v>2026</v>
      </c>
    </row>
    <row r="467">
      <c r="A467" t="inlineStr">
        <is>
          <t>P4102157461</t>
        </is>
      </c>
      <c r="B467" t="inlineStr">
        <is>
          <t>Brücke D 1 Seitenteile</t>
        </is>
      </c>
      <c r="C467" t="inlineStr">
        <is>
          <t>West</t>
        </is>
      </c>
      <c r="D467" t="n">
        <v>0</v>
      </c>
      <c r="E467" t="n">
        <v>0</v>
      </c>
      <c r="F467" t="n">
        <v>37000</v>
      </c>
      <c r="G467" t="n">
        <v>-22614.95</v>
      </c>
      <c r="H467" t="n">
        <v>0</v>
      </c>
      <c r="I467" t="n">
        <v>0</v>
      </c>
      <c r="J467" t="n">
        <v>37000</v>
      </c>
      <c r="K467" t="n">
        <v>-22614.95</v>
      </c>
      <c r="L467" t="n">
        <v>0</v>
      </c>
      <c r="M467" t="n">
        <v>0</v>
      </c>
      <c r="N467" t="n">
        <v>0</v>
      </c>
      <c r="O467" t="n">
        <v>0</v>
      </c>
      <c r="P467" t="n">
        <v>2026</v>
      </c>
    </row>
    <row r="468">
      <c r="A468" t="inlineStr">
        <is>
          <t>P4102157462</t>
        </is>
      </c>
      <c r="B468" t="inlineStr">
        <is>
          <t>Waggonverschrottung 2026</t>
        </is>
      </c>
      <c r="C468" t="inlineStr">
        <is>
          <t>West</t>
        </is>
      </c>
      <c r="D468" t="n">
        <v>0</v>
      </c>
      <c r="E468" t="n">
        <v>0</v>
      </c>
      <c r="F468" t="n">
        <v>27918.14</v>
      </c>
      <c r="G468" t="n">
        <v>-30897.53</v>
      </c>
      <c r="H468" t="n">
        <v>0</v>
      </c>
      <c r="I468" t="n">
        <v>0</v>
      </c>
      <c r="J468" t="n">
        <v>27918.14</v>
      </c>
      <c r="K468" t="n">
        <v>-30897.53</v>
      </c>
      <c r="L468" t="n">
        <v>0</v>
      </c>
      <c r="M468" t="n">
        <v>0</v>
      </c>
      <c r="N468" t="n">
        <v>0</v>
      </c>
      <c r="O468" t="n">
        <v>0</v>
      </c>
      <c r="P468" t="n">
        <v>2026</v>
      </c>
    </row>
    <row r="469">
      <c r="A469" t="inlineStr">
        <is>
          <t>P4102157463</t>
        </is>
      </c>
      <c r="B469" t="inlineStr">
        <is>
          <t>RB Maschinenhaus Bl. B+C</t>
        </is>
      </c>
      <c r="C469" t="inlineStr">
        <is>
          <t>West</t>
        </is>
      </c>
      <c r="D469" t="n">
        <v>1046994</v>
      </c>
      <c r="E469" t="n">
        <v>-807500</v>
      </c>
      <c r="F469" t="n">
        <v>546993.5699999999</v>
      </c>
      <c r="G469" t="n">
        <v>-876166.21</v>
      </c>
      <c r="H469" t="n">
        <v>546994</v>
      </c>
      <c r="I469" t="n">
        <v>-350000</v>
      </c>
      <c r="J469" t="n">
        <v>1093987.57</v>
      </c>
      <c r="K469" t="n">
        <v>-1226166.21</v>
      </c>
      <c r="L469" t="n">
        <v>0</v>
      </c>
      <c r="M469" t="n">
        <v>0</v>
      </c>
      <c r="N469" t="n">
        <v>327267.27</v>
      </c>
      <c r="O469" t="n">
        <v>327267.27</v>
      </c>
      <c r="P469" t="n">
        <v>2026</v>
      </c>
    </row>
    <row r="470">
      <c r="A470" t="inlineStr">
        <is>
          <t>P4102157464</t>
        </is>
      </c>
      <c r="B470" t="inlineStr">
        <is>
          <t>Asbest Schadstoffsanierung C 601</t>
        </is>
      </c>
      <c r="C470" t="inlineStr">
        <is>
          <t>West</t>
        </is>
      </c>
      <c r="D470" t="n">
        <v>0</v>
      </c>
      <c r="E470" t="n">
        <v>0</v>
      </c>
      <c r="F470" t="n">
        <v>23745</v>
      </c>
      <c r="G470" t="n">
        <v>-15967</v>
      </c>
      <c r="H470" t="n">
        <v>0</v>
      </c>
      <c r="I470" t="n">
        <v>0</v>
      </c>
      <c r="J470" t="n">
        <v>23745</v>
      </c>
      <c r="K470" t="n">
        <v>-15967</v>
      </c>
      <c r="L470" t="n">
        <v>0</v>
      </c>
      <c r="M470" t="n">
        <v>0</v>
      </c>
      <c r="N470" t="n">
        <v>0</v>
      </c>
      <c r="O470" t="n">
        <v>0</v>
      </c>
      <c r="P470" t="n">
        <v>2026</v>
      </c>
    </row>
    <row r="471">
      <c r="A471" t="inlineStr">
        <is>
          <t>P4102157465</t>
        </is>
      </c>
      <c r="B471" t="inlineStr">
        <is>
          <t>Reinigungsarbeiten Block B</t>
        </is>
      </c>
      <c r="C471" t="inlineStr">
        <is>
          <t>West</t>
        </is>
      </c>
      <c r="D471" t="n">
        <v>0</v>
      </c>
      <c r="E471" t="n">
        <v>0</v>
      </c>
      <c r="F471" t="n">
        <v>16000</v>
      </c>
      <c r="G471" t="n">
        <v>-8117.03</v>
      </c>
      <c r="H471" t="n">
        <v>0</v>
      </c>
      <c r="I471" t="n">
        <v>0</v>
      </c>
      <c r="J471" t="n">
        <v>16000</v>
      </c>
      <c r="K471" t="n">
        <v>-8117.03</v>
      </c>
      <c r="L471" t="n">
        <v>0</v>
      </c>
      <c r="M471" t="n">
        <v>0</v>
      </c>
      <c r="N471" t="n">
        <v>0</v>
      </c>
      <c r="O471" t="n">
        <v>0</v>
      </c>
      <c r="P471" t="n">
        <v>2026</v>
      </c>
    </row>
    <row r="472">
      <c r="A472" t="inlineStr">
        <is>
          <t>P4102157466</t>
        </is>
      </c>
      <c r="B472" t="inlineStr">
        <is>
          <t>Verschrottung Anlagenteile</t>
        </is>
      </c>
      <c r="C472" t="inlineStr">
        <is>
          <t>West</t>
        </is>
      </c>
      <c r="D472" t="n">
        <v>0</v>
      </c>
      <c r="E472" t="n">
        <v>0</v>
      </c>
      <c r="F472" t="n">
        <v>15250</v>
      </c>
      <c r="G472" t="n">
        <v>-8192.09</v>
      </c>
      <c r="H472" t="n">
        <v>0</v>
      </c>
      <c r="I472" t="n">
        <v>0</v>
      </c>
      <c r="J472" t="n">
        <v>15250</v>
      </c>
      <c r="K472" t="n">
        <v>-8192.09</v>
      </c>
      <c r="L472" t="n">
        <v>0</v>
      </c>
      <c r="M472" t="n">
        <v>0</v>
      </c>
      <c r="N472" t="n">
        <v>0</v>
      </c>
      <c r="O472" t="n">
        <v>0</v>
      </c>
      <c r="P472" t="n">
        <v>2026</v>
      </c>
    </row>
    <row r="473">
      <c r="A473" t="inlineStr">
        <is>
          <t>P4102157467</t>
        </is>
      </c>
      <c r="B473" t="inlineStr">
        <is>
          <t>Plakoma - Dem. Roheisenfähren</t>
        </is>
      </c>
      <c r="C473" t="inlineStr">
        <is>
          <t>West</t>
        </is>
      </c>
      <c r="D473" t="n">
        <v>230000</v>
      </c>
      <c r="E473" t="n">
        <v>-184000</v>
      </c>
      <c r="F473" t="n">
        <v>220000</v>
      </c>
      <c r="G473" t="n">
        <v>-40000</v>
      </c>
      <c r="H473" t="n">
        <v>230000</v>
      </c>
      <c r="I473" t="n">
        <v>-184000</v>
      </c>
      <c r="J473" t="n">
        <v>450000</v>
      </c>
      <c r="K473" t="n">
        <v>-224000</v>
      </c>
      <c r="L473" t="n">
        <v>0</v>
      </c>
      <c r="M473" t="n">
        <v>0</v>
      </c>
      <c r="N473" t="n">
        <v>0</v>
      </c>
      <c r="O473" t="n">
        <v>0</v>
      </c>
      <c r="P473" t="n">
        <v>2026</v>
      </c>
    </row>
    <row r="474">
      <c r="A474" t="inlineStr">
        <is>
          <t>P4102157468</t>
        </is>
      </c>
      <c r="B474" t="inlineStr">
        <is>
          <t>Verschr. Kondensattank Kokerei Schwelger</t>
        </is>
      </c>
      <c r="C474" t="inlineStr">
        <is>
          <t>West</t>
        </is>
      </c>
      <c r="D474" t="n">
        <v>0</v>
      </c>
      <c r="E474" t="n">
        <v>0</v>
      </c>
      <c r="F474" t="n">
        <v>0</v>
      </c>
      <c r="G474" t="n">
        <v>-31262.12</v>
      </c>
      <c r="H474" t="n">
        <v>0</v>
      </c>
      <c r="I474" t="n">
        <v>0</v>
      </c>
      <c r="J474" t="n">
        <v>0</v>
      </c>
      <c r="K474" t="n">
        <v>-31262.12</v>
      </c>
      <c r="L474" t="n">
        <v>0</v>
      </c>
      <c r="M474" t="n">
        <v>0</v>
      </c>
      <c r="N474" t="n">
        <v>0</v>
      </c>
      <c r="O474" t="n">
        <v>0</v>
      </c>
      <c r="P474" t="n">
        <v>2026</v>
      </c>
    </row>
    <row r="475">
      <c r="A475" t="inlineStr">
        <is>
          <t>P4102157469</t>
        </is>
      </c>
      <c r="B475" t="inlineStr">
        <is>
          <t>Anmeldung fehlt</t>
        </is>
      </c>
      <c r="C475" t="inlineStr">
        <is>
          <t>West</t>
        </is>
      </c>
      <c r="D475" t="n">
        <v>18500</v>
      </c>
      <c r="E475" t="n">
        <v>-17575</v>
      </c>
      <c r="F475" t="n">
        <v>0</v>
      </c>
      <c r="G475" t="n">
        <v>-3228.29</v>
      </c>
      <c r="H475" t="n">
        <v>0</v>
      </c>
      <c r="I475" t="n">
        <v>0</v>
      </c>
      <c r="J475" t="n">
        <v>0</v>
      </c>
      <c r="K475" t="n">
        <v>-3228.29</v>
      </c>
      <c r="L475" t="n">
        <v>0</v>
      </c>
      <c r="M475" t="n">
        <v>0</v>
      </c>
      <c r="N475" t="n">
        <v>0</v>
      </c>
      <c r="O475" t="n">
        <v>0</v>
      </c>
      <c r="P475" t="n">
        <v>2026</v>
      </c>
    </row>
    <row r="476">
      <c r="A476" t="inlineStr">
        <is>
          <t>P4102307304</t>
        </is>
      </c>
      <c r="B476" t="inlineStr">
        <is>
          <t>HKW Süd</t>
        </is>
      </c>
      <c r="C476" t="inlineStr">
        <is>
          <t>Süd-West</t>
        </is>
      </c>
      <c r="D476" t="n">
        <v>0</v>
      </c>
      <c r="E476" t="n">
        <v>0</v>
      </c>
      <c r="F476" t="n">
        <v>0</v>
      </c>
      <c r="G476" t="n">
        <v>-1337.87</v>
      </c>
      <c r="H476" t="n">
        <v>0</v>
      </c>
      <c r="I476" t="n">
        <v>0</v>
      </c>
      <c r="J476" t="n">
        <v>0</v>
      </c>
      <c r="K476" t="n">
        <v>-1337.87</v>
      </c>
      <c r="L476" t="n">
        <v>0</v>
      </c>
      <c r="M476" t="n">
        <v>0</v>
      </c>
      <c r="N476" t="n">
        <v>124.87</v>
      </c>
      <c r="O476" t="n">
        <v>124.87</v>
      </c>
      <c r="P476" t="n">
        <v>2026</v>
      </c>
    </row>
    <row r="477">
      <c r="A477" t="inlineStr">
        <is>
          <t>P4102307306</t>
        </is>
      </c>
      <c r="B477" t="inlineStr">
        <is>
          <t>RB Halle Karlsruhe</t>
        </is>
      </c>
      <c r="C477" t="inlineStr">
        <is>
          <t>Süd-West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-7000</v>
      </c>
      <c r="O477" t="n">
        <v>-7000</v>
      </c>
      <c r="P477" t="n">
        <v>2026</v>
      </c>
    </row>
    <row r="478">
      <c r="A478" t="inlineStr">
        <is>
          <t>P4102307366</t>
        </is>
      </c>
      <c r="B478" t="inlineStr">
        <is>
          <t>EnBW UW Niederbühl</t>
        </is>
      </c>
      <c r="C478" t="inlineStr">
        <is>
          <t>Süd-West</t>
        </is>
      </c>
      <c r="D478" t="n">
        <v>66000</v>
      </c>
      <c r="E478" t="n">
        <v>0</v>
      </c>
      <c r="F478" t="n">
        <v>0</v>
      </c>
      <c r="G478" t="n">
        <v>0</v>
      </c>
      <c r="H478" t="n">
        <v>66000</v>
      </c>
      <c r="I478" t="n">
        <v>0</v>
      </c>
      <c r="J478" t="n">
        <v>66000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2026</v>
      </c>
    </row>
    <row r="479">
      <c r="A479" t="inlineStr">
        <is>
          <t>P4102307411</t>
        </is>
      </c>
      <c r="B479" t="inlineStr">
        <is>
          <t>BASF G 521</t>
        </is>
      </c>
      <c r="C479" t="inlineStr">
        <is>
          <t>Süd-West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2026</v>
      </c>
    </row>
    <row r="480">
      <c r="A480" t="inlineStr">
        <is>
          <t>P4102307416</t>
        </is>
      </c>
      <c r="B480" t="inlineStr">
        <is>
          <t>BASF O 405 Ammoniak</t>
        </is>
      </c>
      <c r="C480" t="inlineStr">
        <is>
          <t>Süd-West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-25780.46</v>
      </c>
      <c r="O480" t="n">
        <v>-25780.46</v>
      </c>
      <c r="P480" t="n">
        <v>2026</v>
      </c>
    </row>
    <row r="481">
      <c r="A481" t="inlineStr">
        <is>
          <t>P4102307422</t>
        </is>
      </c>
      <c r="B481" t="inlineStr">
        <is>
          <t>BASF M 950</t>
        </is>
      </c>
      <c r="C481" t="inlineStr">
        <is>
          <t>Süd-West</t>
        </is>
      </c>
      <c r="D481" t="n">
        <v>0</v>
      </c>
      <c r="E481" t="n">
        <v>0</v>
      </c>
      <c r="F481" t="n">
        <v>1613.33</v>
      </c>
      <c r="G481" t="n">
        <v>-17995.46</v>
      </c>
      <c r="H481" t="n">
        <v>0</v>
      </c>
      <c r="I481" t="n">
        <v>0</v>
      </c>
      <c r="J481" t="n">
        <v>1613.33</v>
      </c>
      <c r="K481" t="n">
        <v>-17995.46</v>
      </c>
      <c r="L481" t="n">
        <v>0</v>
      </c>
      <c r="M481" t="n">
        <v>0</v>
      </c>
      <c r="N481" t="n">
        <v>-10353.48</v>
      </c>
      <c r="O481" t="n">
        <v>-10353.48</v>
      </c>
      <c r="P481" t="n">
        <v>2026</v>
      </c>
    </row>
    <row r="482">
      <c r="A482" t="inlineStr">
        <is>
          <t>P4102307423</t>
        </is>
      </c>
      <c r="B482" t="inlineStr">
        <is>
          <t>BASF F 712</t>
        </is>
      </c>
      <c r="C482" t="inlineStr">
        <is>
          <t>Süd-West</t>
        </is>
      </c>
      <c r="D482" t="n">
        <v>0</v>
      </c>
      <c r="E482" t="n">
        <v>0</v>
      </c>
      <c r="F482" t="n">
        <v>29755.02</v>
      </c>
      <c r="G482" t="n">
        <v>-31000</v>
      </c>
      <c r="H482" t="n">
        <v>0</v>
      </c>
      <c r="I482" t="n">
        <v>0</v>
      </c>
      <c r="J482" t="n">
        <v>29755.02</v>
      </c>
      <c r="K482" t="n">
        <v>-31000</v>
      </c>
      <c r="L482" t="n">
        <v>0</v>
      </c>
      <c r="M482" t="n">
        <v>0</v>
      </c>
      <c r="N482" t="n">
        <v>0</v>
      </c>
      <c r="O482" t="n">
        <v>0</v>
      </c>
      <c r="P482" t="n">
        <v>2026</v>
      </c>
    </row>
    <row r="483">
      <c r="A483" t="inlineStr">
        <is>
          <t>P4102307424</t>
        </is>
      </c>
      <c r="B483" t="inlineStr">
        <is>
          <t>BASF P 703</t>
        </is>
      </c>
      <c r="C483" t="inlineStr">
        <is>
          <t>Süd-West</t>
        </is>
      </c>
      <c r="D483" t="n">
        <v>0</v>
      </c>
      <c r="E483" t="n">
        <v>0</v>
      </c>
      <c r="F483" t="n">
        <v>0</v>
      </c>
      <c r="G483" t="n">
        <v>-166.84</v>
      </c>
      <c r="H483" t="n">
        <v>0</v>
      </c>
      <c r="I483" t="n">
        <v>0</v>
      </c>
      <c r="J483" t="n">
        <v>0</v>
      </c>
      <c r="K483" t="n">
        <v>-166.84</v>
      </c>
      <c r="L483" t="n">
        <v>0</v>
      </c>
      <c r="M483" t="n">
        <v>0</v>
      </c>
      <c r="N483" t="n">
        <v>0</v>
      </c>
      <c r="O483" t="n">
        <v>0</v>
      </c>
      <c r="P483" t="n">
        <v>2026</v>
      </c>
    </row>
    <row r="484">
      <c r="A484" t="inlineStr">
        <is>
          <t>P4102307426</t>
        </is>
      </c>
      <c r="B484" t="inlineStr">
        <is>
          <t>BASF Z 300</t>
        </is>
      </c>
      <c r="C484" t="inlineStr">
        <is>
          <t>Süd-West</t>
        </is>
      </c>
      <c r="D484" t="n">
        <v>10000</v>
      </c>
      <c r="E484" t="n">
        <v>0</v>
      </c>
      <c r="F484" t="n">
        <v>40236.26</v>
      </c>
      <c r="G484" t="n">
        <v>-31447.44</v>
      </c>
      <c r="H484" t="n">
        <v>10000</v>
      </c>
      <c r="I484" t="n">
        <v>0</v>
      </c>
      <c r="J484" t="n">
        <v>50236.26</v>
      </c>
      <c r="K484" t="n">
        <v>-31447.44</v>
      </c>
      <c r="L484" t="n">
        <v>0</v>
      </c>
      <c r="M484" t="n">
        <v>0</v>
      </c>
      <c r="N484" t="n">
        <v>0</v>
      </c>
      <c r="O484" t="n">
        <v>0</v>
      </c>
      <c r="P484" t="n">
        <v>2026</v>
      </c>
    </row>
    <row r="485">
      <c r="A485" t="inlineStr">
        <is>
          <t>P4102307427</t>
        </is>
      </c>
      <c r="B485" t="inlineStr">
        <is>
          <t>BASF N 720</t>
        </is>
      </c>
      <c r="C485" t="inlineStr">
        <is>
          <t>Süd-West</t>
        </is>
      </c>
      <c r="D485" t="n">
        <v>200000</v>
      </c>
      <c r="E485" t="n">
        <v>-95000</v>
      </c>
      <c r="F485" t="n">
        <v>40570.44</v>
      </c>
      <c r="G485" t="n">
        <v>-63381.2</v>
      </c>
      <c r="H485" t="n">
        <v>100000</v>
      </c>
      <c r="I485" t="n">
        <v>-95000</v>
      </c>
      <c r="J485" t="n">
        <v>140570.44</v>
      </c>
      <c r="K485" t="n">
        <v>-158381.2</v>
      </c>
      <c r="L485" t="n">
        <v>0</v>
      </c>
      <c r="M485" t="n">
        <v>0</v>
      </c>
      <c r="N485" t="n">
        <v>0</v>
      </c>
      <c r="O485" t="n">
        <v>0</v>
      </c>
      <c r="P485" t="n">
        <v>2026</v>
      </c>
    </row>
    <row r="486">
      <c r="A486" t="inlineStr">
        <is>
          <t>P4102307428</t>
        </is>
      </c>
      <c r="B486" t="inlineStr">
        <is>
          <t>BASF O 405</t>
        </is>
      </c>
      <c r="C486" t="inlineStr">
        <is>
          <t>Süd-West</t>
        </is>
      </c>
      <c r="D486" t="n">
        <v>79000</v>
      </c>
      <c r="E486" t="n">
        <v>-58800</v>
      </c>
      <c r="F486" t="n">
        <v>149536.25</v>
      </c>
      <c r="G486" t="n">
        <v>-7367.86</v>
      </c>
      <c r="H486" t="n">
        <v>49000</v>
      </c>
      <c r="I486" t="n">
        <v>-29400</v>
      </c>
      <c r="J486" t="n">
        <v>198536.25</v>
      </c>
      <c r="K486" t="n">
        <v>-36767.86</v>
      </c>
      <c r="L486" t="n">
        <v>0</v>
      </c>
      <c r="M486" t="n">
        <v>0</v>
      </c>
      <c r="N486" t="n">
        <v>0</v>
      </c>
      <c r="O486" t="n">
        <v>0</v>
      </c>
      <c r="P486" t="n">
        <v>2026</v>
      </c>
    </row>
    <row r="487">
      <c r="A487" t="inlineStr">
        <is>
          <t>P4102307429</t>
        </is>
      </c>
      <c r="B487" t="inlineStr">
        <is>
          <t>BASF C 509</t>
        </is>
      </c>
      <c r="C487" t="inlineStr">
        <is>
          <t>Süd-West</t>
        </is>
      </c>
      <c r="D487" t="n">
        <v>14000</v>
      </c>
      <c r="E487" t="n">
        <v>0</v>
      </c>
      <c r="F487" t="n">
        <v>47313.87</v>
      </c>
      <c r="G487" t="n">
        <v>-11295.81</v>
      </c>
      <c r="H487" t="n">
        <v>0</v>
      </c>
      <c r="I487" t="n">
        <v>0</v>
      </c>
      <c r="J487" t="n">
        <v>47313.87</v>
      </c>
      <c r="K487" t="n">
        <v>-11295.81</v>
      </c>
      <c r="L487" t="n">
        <v>0</v>
      </c>
      <c r="M487" t="n">
        <v>0</v>
      </c>
      <c r="N487" t="n">
        <v>0</v>
      </c>
      <c r="O487" t="n">
        <v>0</v>
      </c>
      <c r="P487" t="n">
        <v>2026</v>
      </c>
    </row>
    <row r="488">
      <c r="A488" t="inlineStr">
        <is>
          <t>P4102307430</t>
        </is>
      </c>
      <c r="B488" t="inlineStr">
        <is>
          <t>BASF E 701</t>
        </is>
      </c>
      <c r="C488" t="inlineStr">
        <is>
          <t>Süd-West</t>
        </is>
      </c>
      <c r="D488" t="n">
        <v>10000</v>
      </c>
      <c r="E488" t="n">
        <v>0</v>
      </c>
      <c r="F488" t="n">
        <v>42425.11</v>
      </c>
      <c r="G488" t="n">
        <v>-19891.85</v>
      </c>
      <c r="H488" t="n">
        <v>0</v>
      </c>
      <c r="I488" t="n">
        <v>0</v>
      </c>
      <c r="J488" t="n">
        <v>42425.11</v>
      </c>
      <c r="K488" t="n">
        <v>-19891.85</v>
      </c>
      <c r="L488" t="n">
        <v>0</v>
      </c>
      <c r="M488" t="n">
        <v>0</v>
      </c>
      <c r="N488" t="n">
        <v>0</v>
      </c>
      <c r="O488" t="n">
        <v>0</v>
      </c>
      <c r="P488" t="n">
        <v>2026</v>
      </c>
    </row>
    <row r="489">
      <c r="A489" t="inlineStr">
        <is>
          <t>P4102307431</t>
        </is>
      </c>
      <c r="B489" t="inlineStr">
        <is>
          <t>HNVG Bauph. II Gaswerk</t>
        </is>
      </c>
      <c r="C489" t="inlineStr">
        <is>
          <t>Süd-West</t>
        </is>
      </c>
      <c r="D489" t="n">
        <v>0</v>
      </c>
      <c r="E489" t="n">
        <v>0</v>
      </c>
      <c r="F489" t="n">
        <v>97490.11</v>
      </c>
      <c r="G489" t="n">
        <v>0</v>
      </c>
      <c r="H489" t="n">
        <v>0</v>
      </c>
      <c r="I489" t="n">
        <v>0</v>
      </c>
      <c r="J489" t="n">
        <v>97490.11</v>
      </c>
      <c r="K489" t="n">
        <v>0</v>
      </c>
      <c r="L489" t="n">
        <v>0</v>
      </c>
      <c r="M489" t="n">
        <v>0</v>
      </c>
      <c r="N489" t="n">
        <v>-83199.77</v>
      </c>
      <c r="O489" t="n">
        <v>-83199.77</v>
      </c>
      <c r="P489" t="n">
        <v>2026</v>
      </c>
    </row>
    <row r="490">
      <c r="A490" t="inlineStr">
        <is>
          <t>P4102307432</t>
        </is>
      </c>
      <c r="B490" t="inlineStr">
        <is>
          <t>HNVG - Bauph. III Gaswerk</t>
        </is>
      </c>
      <c r="C490" t="inlineStr">
        <is>
          <t>Süd-West</t>
        </is>
      </c>
      <c r="D490" t="n">
        <v>0</v>
      </c>
      <c r="E490" t="n">
        <v>0</v>
      </c>
      <c r="F490" t="n">
        <v>85258.00999999999</v>
      </c>
      <c r="G490" t="n">
        <v>-30600</v>
      </c>
      <c r="H490" t="n">
        <v>0</v>
      </c>
      <c r="I490" t="n">
        <v>0</v>
      </c>
      <c r="J490" t="n">
        <v>85258.00999999999</v>
      </c>
      <c r="K490" t="n">
        <v>-30600</v>
      </c>
      <c r="L490" t="n">
        <v>0</v>
      </c>
      <c r="M490" t="n">
        <v>0</v>
      </c>
      <c r="N490" t="n">
        <v>-39732.85</v>
      </c>
      <c r="O490" t="n">
        <v>-39732.85</v>
      </c>
      <c r="P490" t="n">
        <v>2026</v>
      </c>
    </row>
    <row r="491">
      <c r="A491" t="inlineStr">
        <is>
          <t>P4102307433</t>
        </is>
      </c>
      <c r="B491" t="inlineStr">
        <is>
          <t>BASF U 505 Blauer Block</t>
        </is>
      </c>
      <c r="C491" t="inlineStr">
        <is>
          <t>Süd-West</t>
        </is>
      </c>
      <c r="D491" t="n">
        <v>380000</v>
      </c>
      <c r="E491" t="n">
        <v>-129000</v>
      </c>
      <c r="F491" t="n">
        <v>845320.52</v>
      </c>
      <c r="G491" t="n">
        <v>-825817.55</v>
      </c>
      <c r="H491" t="n">
        <v>200000</v>
      </c>
      <c r="I491" t="n">
        <v>-120000</v>
      </c>
      <c r="J491" t="n">
        <v>1045320.52</v>
      </c>
      <c r="K491" t="n">
        <v>-945817.55</v>
      </c>
      <c r="L491" t="n">
        <v>0</v>
      </c>
      <c r="M491" t="n">
        <v>0</v>
      </c>
      <c r="N491" t="n">
        <v>0</v>
      </c>
      <c r="O491" t="n">
        <v>0</v>
      </c>
      <c r="P491" t="n">
        <v>2026</v>
      </c>
    </row>
    <row r="492">
      <c r="A492" t="inlineStr">
        <is>
          <t>P4102307434</t>
        </is>
      </c>
      <c r="B492" t="inlineStr">
        <is>
          <t>BASF S 304</t>
        </is>
      </c>
      <c r="C492" t="inlineStr">
        <is>
          <t>Süd-West</t>
        </is>
      </c>
      <c r="D492" t="n">
        <v>0</v>
      </c>
      <c r="E492" t="n">
        <v>0</v>
      </c>
      <c r="F492" t="n">
        <v>60554.04</v>
      </c>
      <c r="G492" t="n">
        <v>-22058.42</v>
      </c>
      <c r="H492" t="n">
        <v>0</v>
      </c>
      <c r="I492" t="n">
        <v>0</v>
      </c>
      <c r="J492" t="n">
        <v>60554.04</v>
      </c>
      <c r="K492" t="n">
        <v>-22058.42</v>
      </c>
      <c r="L492" t="n">
        <v>0</v>
      </c>
      <c r="M492" t="n">
        <v>0</v>
      </c>
      <c r="N492" t="n">
        <v>-46621</v>
      </c>
      <c r="O492" t="n">
        <v>-46621</v>
      </c>
      <c r="P492" t="n">
        <v>2026</v>
      </c>
    </row>
    <row r="493">
      <c r="A493" t="inlineStr">
        <is>
          <t>P4102307435</t>
        </is>
      </c>
      <c r="B493" t="inlineStr">
        <is>
          <t>ENBW - KW Walheim</t>
        </is>
      </c>
      <c r="C493" t="inlineStr">
        <is>
          <t>Süd-West</t>
        </is>
      </c>
      <c r="D493" t="n">
        <v>0</v>
      </c>
      <c r="E493" t="n">
        <v>0</v>
      </c>
      <c r="F493" t="n">
        <v>240770.35</v>
      </c>
      <c r="G493" t="n">
        <v>-142710.2</v>
      </c>
      <c r="H493" t="n">
        <v>0</v>
      </c>
      <c r="I493" t="n">
        <v>0</v>
      </c>
      <c r="J493" t="n">
        <v>240770.35</v>
      </c>
      <c r="K493" t="n">
        <v>-142710.2</v>
      </c>
      <c r="L493" t="n">
        <v>0</v>
      </c>
      <c r="M493" t="n">
        <v>0</v>
      </c>
      <c r="N493" t="n">
        <v>-168400.34</v>
      </c>
      <c r="O493" t="n">
        <v>-168400.34</v>
      </c>
      <c r="P493" t="n">
        <v>2026</v>
      </c>
    </row>
    <row r="494">
      <c r="A494" t="inlineStr">
        <is>
          <t>P4102307436</t>
        </is>
      </c>
      <c r="B494" t="inlineStr">
        <is>
          <t>BASF O 914 - O 915</t>
        </is>
      </c>
      <c r="C494" t="inlineStr">
        <is>
          <t>Süd-West</t>
        </is>
      </c>
      <c r="D494" t="n">
        <v>0</v>
      </c>
      <c r="E494" t="n">
        <v>0</v>
      </c>
      <c r="F494" t="n">
        <v>51822.08</v>
      </c>
      <c r="G494" t="n">
        <v>-56256.37</v>
      </c>
      <c r="H494" t="n">
        <v>0</v>
      </c>
      <c r="I494" t="n">
        <v>0</v>
      </c>
      <c r="J494" t="n">
        <v>51822.08</v>
      </c>
      <c r="K494" t="n">
        <v>-56256.37</v>
      </c>
      <c r="L494" t="n">
        <v>0</v>
      </c>
      <c r="M494" t="n">
        <v>0</v>
      </c>
      <c r="N494" t="n">
        <v>5723.3</v>
      </c>
      <c r="O494" t="n">
        <v>5723.3</v>
      </c>
      <c r="P494" t="n">
        <v>2026</v>
      </c>
    </row>
    <row r="495">
      <c r="A495" t="inlineStr">
        <is>
          <t>P4102307437</t>
        </is>
      </c>
      <c r="B495" t="inlineStr">
        <is>
          <t>ENBW - KW Walheim, Permutit-Anlage</t>
        </is>
      </c>
      <c r="C495" t="inlineStr">
        <is>
          <t>Süd-West</t>
        </is>
      </c>
      <c r="D495" t="n">
        <v>0</v>
      </c>
      <c r="E495" t="n">
        <v>0</v>
      </c>
      <c r="F495" t="n">
        <v>66801.86</v>
      </c>
      <c r="G495" t="n">
        <v>-188.19</v>
      </c>
      <c r="H495" t="n">
        <v>0</v>
      </c>
      <c r="I495" t="n">
        <v>0</v>
      </c>
      <c r="J495" t="n">
        <v>66801.86</v>
      </c>
      <c r="K495" t="n">
        <v>-188.19</v>
      </c>
      <c r="L495" t="n">
        <v>0</v>
      </c>
      <c r="M495" t="n">
        <v>0</v>
      </c>
      <c r="N495" t="n">
        <v>-66752</v>
      </c>
      <c r="O495" t="n">
        <v>-66752</v>
      </c>
      <c r="P495" t="n">
        <v>2026</v>
      </c>
    </row>
    <row r="496">
      <c r="A496" t="inlineStr">
        <is>
          <t>P4102307438</t>
        </is>
      </c>
      <c r="B496" t="inlineStr">
        <is>
          <t>Netze BW- UW Bruchsal</t>
        </is>
      </c>
      <c r="C496" t="inlineStr">
        <is>
          <t>Süd-West</t>
        </is>
      </c>
      <c r="D496" t="n">
        <v>81000</v>
      </c>
      <c r="E496" t="n">
        <v>-70227</v>
      </c>
      <c r="F496" t="n">
        <v>20108.3</v>
      </c>
      <c r="G496" t="n">
        <v>-65980.50999999999</v>
      </c>
      <c r="H496" t="n">
        <v>81000</v>
      </c>
      <c r="I496" t="n">
        <v>-70227</v>
      </c>
      <c r="J496" t="n">
        <v>101108.3</v>
      </c>
      <c r="K496" t="n">
        <v>-136207.51</v>
      </c>
      <c r="L496" t="n">
        <v>0</v>
      </c>
      <c r="M496" t="n">
        <v>0</v>
      </c>
      <c r="N496" t="n">
        <v>66878.32000000001</v>
      </c>
      <c r="O496" t="n">
        <v>66878.32000000001</v>
      </c>
      <c r="P496" t="n">
        <v>2026</v>
      </c>
    </row>
    <row r="497">
      <c r="A497" t="inlineStr">
        <is>
          <t>P4102307439</t>
        </is>
      </c>
      <c r="B497" t="inlineStr">
        <is>
          <t>BASF U 405 Teil 1</t>
        </is>
      </c>
      <c r="C497" t="inlineStr">
        <is>
          <t>Süd-West</t>
        </is>
      </c>
      <c r="D497" t="n">
        <v>94000</v>
      </c>
      <c r="E497" t="n">
        <v>-50000</v>
      </c>
      <c r="F497" t="n">
        <v>73270.25</v>
      </c>
      <c r="G497" t="n">
        <v>-104560.54</v>
      </c>
      <c r="H497" t="n">
        <v>94000</v>
      </c>
      <c r="I497" t="n">
        <v>-50000</v>
      </c>
      <c r="J497" t="n">
        <v>167270.25</v>
      </c>
      <c r="K497" t="n">
        <v>-154560.54</v>
      </c>
      <c r="L497" t="n">
        <v>0</v>
      </c>
      <c r="M497" t="n">
        <v>0</v>
      </c>
      <c r="N497" t="n">
        <v>0</v>
      </c>
      <c r="O497" t="n">
        <v>0</v>
      </c>
      <c r="P497" t="n">
        <v>2026</v>
      </c>
    </row>
    <row r="498">
      <c r="A498" t="inlineStr">
        <is>
          <t>P4102307440</t>
        </is>
      </c>
      <c r="B498" t="inlineStr">
        <is>
          <t>BASF  L 605</t>
        </is>
      </c>
      <c r="C498" t="inlineStr">
        <is>
          <t>Süd-West</t>
        </is>
      </c>
      <c r="D498" t="n">
        <v>0</v>
      </c>
      <c r="E498" t="n">
        <v>0</v>
      </c>
      <c r="F498" t="n">
        <v>249898.21</v>
      </c>
      <c r="G498" t="n">
        <v>-161600.06</v>
      </c>
      <c r="H498" t="n">
        <v>0</v>
      </c>
      <c r="I498" t="n">
        <v>0</v>
      </c>
      <c r="J498" t="n">
        <v>249898.21</v>
      </c>
      <c r="K498" t="n">
        <v>-161600.06</v>
      </c>
      <c r="L498" t="n">
        <v>0</v>
      </c>
      <c r="M498" t="n">
        <v>0</v>
      </c>
      <c r="N498" t="n">
        <v>0</v>
      </c>
      <c r="O498" t="n">
        <v>0</v>
      </c>
      <c r="P498" t="n">
        <v>2026</v>
      </c>
    </row>
    <row r="499">
      <c r="A499" t="inlineStr">
        <is>
          <t>P4102307441</t>
        </is>
      </c>
      <c r="B499" t="inlineStr">
        <is>
          <t>BASF  E 301</t>
        </is>
      </c>
      <c r="C499" t="inlineStr">
        <is>
          <t>Süd-West</t>
        </is>
      </c>
      <c r="D499" t="n">
        <v>0</v>
      </c>
      <c r="E499" t="n">
        <v>0</v>
      </c>
      <c r="F499" t="n">
        <v>50827.6</v>
      </c>
      <c r="G499" t="n">
        <v>-16165.48</v>
      </c>
      <c r="H499" t="n">
        <v>0</v>
      </c>
      <c r="I499" t="n">
        <v>0</v>
      </c>
      <c r="J499" t="n">
        <v>50827.6</v>
      </c>
      <c r="K499" t="n">
        <v>-16165.48</v>
      </c>
      <c r="L499" t="n">
        <v>0</v>
      </c>
      <c r="M499" t="n">
        <v>0</v>
      </c>
      <c r="N499" t="n">
        <v>0</v>
      </c>
      <c r="O499" t="n">
        <v>0</v>
      </c>
      <c r="P499" t="n">
        <v>2026</v>
      </c>
    </row>
    <row r="500">
      <c r="A500" t="inlineStr">
        <is>
          <t>P4102307442</t>
        </is>
      </c>
      <c r="B500" t="inlineStr">
        <is>
          <t>Leingarten Schwimmhalle 1</t>
        </is>
      </c>
      <c r="C500" t="inlineStr">
        <is>
          <t>Süd-West</t>
        </is>
      </c>
      <c r="D500" t="n">
        <v>35000</v>
      </c>
      <c r="E500" t="n">
        <v>0</v>
      </c>
      <c r="F500" t="n">
        <v>9232.4</v>
      </c>
      <c r="G500" t="n">
        <v>-68659.09</v>
      </c>
      <c r="H500" t="n">
        <v>0</v>
      </c>
      <c r="I500" t="n">
        <v>0</v>
      </c>
      <c r="J500" t="n">
        <v>9232.4</v>
      </c>
      <c r="K500" t="n">
        <v>-68659.09</v>
      </c>
      <c r="L500" t="n">
        <v>0</v>
      </c>
      <c r="M500" t="n">
        <v>0</v>
      </c>
      <c r="N500" t="n">
        <v>77704.58</v>
      </c>
      <c r="O500" t="n">
        <v>77704.58</v>
      </c>
      <c r="P500" t="n">
        <v>2026</v>
      </c>
    </row>
    <row r="501">
      <c r="A501" t="inlineStr">
        <is>
          <t>P4102307443</t>
        </is>
      </c>
      <c r="B501" t="inlineStr">
        <is>
          <t>Leingarten Schwimmhalle 2</t>
        </is>
      </c>
      <c r="C501" t="inlineStr">
        <is>
          <t>Süd-West</t>
        </is>
      </c>
      <c r="D501" t="n">
        <v>193000</v>
      </c>
      <c r="E501" t="n">
        <v>-182000</v>
      </c>
      <c r="F501" t="n">
        <v>121773.65</v>
      </c>
      <c r="G501" t="n">
        <v>-144088.97</v>
      </c>
      <c r="H501" t="n">
        <v>193000</v>
      </c>
      <c r="I501" t="n">
        <v>-182000</v>
      </c>
      <c r="J501" t="n">
        <v>314773.65</v>
      </c>
      <c r="K501" t="n">
        <v>-326088.97</v>
      </c>
      <c r="L501" t="n">
        <v>0</v>
      </c>
      <c r="M501" t="n">
        <v>0</v>
      </c>
      <c r="N501" t="n">
        <v>59730.99</v>
      </c>
      <c r="O501" t="n">
        <v>59730.99</v>
      </c>
      <c r="P501" t="n">
        <v>2026</v>
      </c>
    </row>
    <row r="502">
      <c r="A502" t="inlineStr">
        <is>
          <t>P4102307444</t>
        </is>
      </c>
      <c r="B502" t="inlineStr">
        <is>
          <t>BASF  N 416-O 405</t>
        </is>
      </c>
      <c r="C502" t="inlineStr">
        <is>
          <t>Süd-West</t>
        </is>
      </c>
      <c r="D502" t="n">
        <v>633000</v>
      </c>
      <c r="E502" t="n">
        <v>-614010</v>
      </c>
      <c r="F502" t="n">
        <v>119850.06</v>
      </c>
      <c r="G502" t="n">
        <v>-228386.29</v>
      </c>
      <c r="H502" t="n">
        <v>566000</v>
      </c>
      <c r="I502" t="n">
        <v>-549020</v>
      </c>
      <c r="J502" t="n">
        <v>685850.0600000001</v>
      </c>
      <c r="K502" t="n">
        <v>-777406.29</v>
      </c>
      <c r="L502" t="n">
        <v>0</v>
      </c>
      <c r="M502" t="n">
        <v>0</v>
      </c>
      <c r="N502" t="n">
        <v>0</v>
      </c>
      <c r="O502" t="n">
        <v>0</v>
      </c>
      <c r="P502" t="n">
        <v>2026</v>
      </c>
    </row>
    <row r="503">
      <c r="A503" t="inlineStr">
        <is>
          <t>P4102307445</t>
        </is>
      </c>
      <c r="B503" t="inlineStr">
        <is>
          <t>BASF A 030</t>
        </is>
      </c>
      <c r="C503" t="inlineStr">
        <is>
          <t>Süd-West</t>
        </is>
      </c>
      <c r="D503" t="n">
        <v>68000</v>
      </c>
      <c r="E503" t="n">
        <v>-41600</v>
      </c>
      <c r="F503" t="n">
        <v>0</v>
      </c>
      <c r="G503" t="n">
        <v>0</v>
      </c>
      <c r="H503" t="n">
        <v>68000</v>
      </c>
      <c r="I503" t="n">
        <v>-41600</v>
      </c>
      <c r="J503" t="n">
        <v>68000</v>
      </c>
      <c r="K503" t="n">
        <v>-41600</v>
      </c>
      <c r="L503" t="n">
        <v>0</v>
      </c>
      <c r="M503" t="n">
        <v>0</v>
      </c>
      <c r="N503" t="n">
        <v>0</v>
      </c>
      <c r="O503" t="n">
        <v>0</v>
      </c>
      <c r="P503" t="n">
        <v>2026</v>
      </c>
    </row>
    <row r="504">
      <c r="A504" t="inlineStr">
        <is>
          <t>P4102307446</t>
        </is>
      </c>
      <c r="B504" t="inlineStr">
        <is>
          <t>Schwimmhalle Leingarten</t>
        </is>
      </c>
      <c r="C504" t="inlineStr">
        <is>
          <t>Süd-West</t>
        </is>
      </c>
      <c r="D504" t="n">
        <v>45000</v>
      </c>
      <c r="E504" t="n">
        <v>-34000</v>
      </c>
      <c r="F504" t="n">
        <v>0</v>
      </c>
      <c r="G504" t="n">
        <v>0</v>
      </c>
      <c r="H504" t="n">
        <v>45000</v>
      </c>
      <c r="I504" t="n">
        <v>-34000</v>
      </c>
      <c r="J504" t="n">
        <v>45000</v>
      </c>
      <c r="K504" t="n">
        <v>-34000</v>
      </c>
      <c r="L504" t="n">
        <v>0</v>
      </c>
      <c r="M504" t="n">
        <v>0</v>
      </c>
      <c r="N504" t="n">
        <v>0</v>
      </c>
      <c r="O504" t="n">
        <v>0</v>
      </c>
      <c r="P504" t="n">
        <v>2026</v>
      </c>
    </row>
    <row r="505">
      <c r="A505" t="inlineStr">
        <is>
          <t>P4102307447</t>
        </is>
      </c>
      <c r="B505" t="inlineStr">
        <is>
          <t>BASF C 317</t>
        </is>
      </c>
      <c r="C505" t="inlineStr">
        <is>
          <t>Süd-West</t>
        </is>
      </c>
      <c r="D505" t="n">
        <v>29000</v>
      </c>
      <c r="E505" t="n">
        <v>-15000</v>
      </c>
      <c r="F505" t="n">
        <v>60444.44</v>
      </c>
      <c r="G505" t="n">
        <v>-46837.81</v>
      </c>
      <c r="H505" t="n">
        <v>0</v>
      </c>
      <c r="I505" t="n">
        <v>0</v>
      </c>
      <c r="J505" t="n">
        <v>60444.44</v>
      </c>
      <c r="K505" t="n">
        <v>-46837.81</v>
      </c>
      <c r="L505" t="n">
        <v>0</v>
      </c>
      <c r="M505" t="n">
        <v>0</v>
      </c>
      <c r="N505" t="n">
        <v>0</v>
      </c>
      <c r="O505" t="n">
        <v>0</v>
      </c>
      <c r="P505" t="n">
        <v>2026</v>
      </c>
    </row>
    <row r="506">
      <c r="A506" t="inlineStr">
        <is>
          <t>P4102307448</t>
        </is>
      </c>
      <c r="B506" t="inlineStr">
        <is>
          <t>Kopf SynGas - Klärschlammvergasung</t>
        </is>
      </c>
      <c r="C506" t="inlineStr">
        <is>
          <t>Süd-West</t>
        </is>
      </c>
      <c r="D506" t="n">
        <v>90000</v>
      </c>
      <c r="E506" t="n">
        <v>-84000</v>
      </c>
      <c r="F506" t="n">
        <v>9829.799999999999</v>
      </c>
      <c r="G506" t="n">
        <v>-9695.459999999999</v>
      </c>
      <c r="H506" t="n">
        <v>90000</v>
      </c>
      <c r="I506" t="n">
        <v>-84000</v>
      </c>
      <c r="J506" t="n">
        <v>99829.8</v>
      </c>
      <c r="K506" t="n">
        <v>-93695.46000000001</v>
      </c>
      <c r="L506" t="n">
        <v>0</v>
      </c>
      <c r="M506" t="n">
        <v>0</v>
      </c>
      <c r="N506" t="n">
        <v>0</v>
      </c>
      <c r="O506" t="n">
        <v>0</v>
      </c>
      <c r="P506" t="n">
        <v>2026</v>
      </c>
    </row>
    <row r="507">
      <c r="A507" t="inlineStr">
        <is>
          <t>P4102307449</t>
        </is>
      </c>
      <c r="B507" t="inlineStr">
        <is>
          <t>BASF S 607</t>
        </is>
      </c>
      <c r="C507" t="inlineStr">
        <is>
          <t>Süd-West</t>
        </is>
      </c>
      <c r="D507" t="n">
        <v>320000</v>
      </c>
      <c r="E507" t="n">
        <v>-257500</v>
      </c>
      <c r="F507" t="n">
        <v>43996.66</v>
      </c>
      <c r="G507" t="n">
        <v>-38919.52</v>
      </c>
      <c r="H507" t="n">
        <v>298000</v>
      </c>
      <c r="I507" t="n">
        <v>-240000</v>
      </c>
      <c r="J507" t="n">
        <v>341996.66</v>
      </c>
      <c r="K507" t="n">
        <v>-278919.52</v>
      </c>
      <c r="L507" t="n">
        <v>0</v>
      </c>
      <c r="M507" t="n">
        <v>0</v>
      </c>
      <c r="N507" t="n">
        <v>0</v>
      </c>
      <c r="O507" t="n">
        <v>0</v>
      </c>
      <c r="P507" t="n">
        <v>2026</v>
      </c>
    </row>
    <row r="508">
      <c r="A508" t="inlineStr">
        <is>
          <t>P4102307450</t>
        </is>
      </c>
      <c r="B508" t="inlineStr">
        <is>
          <t>Z500-4 Helion</t>
        </is>
      </c>
      <c r="C508" t="inlineStr">
        <is>
          <t>Süd-West</t>
        </is>
      </c>
      <c r="D508" t="n">
        <v>120000</v>
      </c>
      <c r="E508" t="n">
        <v>-120000</v>
      </c>
      <c r="F508" t="n">
        <v>132500</v>
      </c>
      <c r="G508" t="n">
        <v>-116621.75</v>
      </c>
      <c r="H508" t="n">
        <v>120000</v>
      </c>
      <c r="I508" t="n">
        <v>-120000</v>
      </c>
      <c r="J508" t="n">
        <v>252500</v>
      </c>
      <c r="K508" t="n">
        <v>-236621.75</v>
      </c>
      <c r="L508" t="n">
        <v>0</v>
      </c>
      <c r="M508" t="n">
        <v>0</v>
      </c>
      <c r="N508" t="n">
        <v>0</v>
      </c>
      <c r="O508" t="n">
        <v>0</v>
      </c>
      <c r="P508" t="n">
        <v>2026</v>
      </c>
    </row>
    <row r="509">
      <c r="A509" t="inlineStr">
        <is>
          <t>P4102309044</t>
        </is>
      </c>
      <c r="B509" t="inlineStr">
        <is>
          <t>RB BASF 2022</t>
        </is>
      </c>
      <c r="C509" t="inlineStr">
        <is>
          <t>Süd-West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-6447.83</v>
      </c>
      <c r="O509" t="n">
        <v>-6447.83</v>
      </c>
      <c r="P509" t="n">
        <v>2026</v>
      </c>
    </row>
    <row r="510">
      <c r="A510" t="inlineStr">
        <is>
          <t>P4102309045</t>
        </is>
      </c>
      <c r="B510" t="inlineStr">
        <is>
          <t>BASF Sonstige Kleinmaßnahmen</t>
        </is>
      </c>
      <c r="C510" t="inlineStr">
        <is>
          <t>Süd-West</t>
        </is>
      </c>
      <c r="D510" t="n">
        <v>0</v>
      </c>
      <c r="E510" t="n">
        <v>0</v>
      </c>
      <c r="F510" t="n">
        <v>133273.51</v>
      </c>
      <c r="G510" t="n">
        <v>-96408.7</v>
      </c>
      <c r="H510" t="n">
        <v>0</v>
      </c>
      <c r="I510" t="n">
        <v>0</v>
      </c>
      <c r="J510" t="n">
        <v>133273.51</v>
      </c>
      <c r="K510" t="n">
        <v>-96408.7</v>
      </c>
      <c r="L510" t="n">
        <v>0</v>
      </c>
      <c r="M510" t="n">
        <v>0</v>
      </c>
      <c r="N510" t="n">
        <v>0</v>
      </c>
      <c r="O510" t="n">
        <v>0</v>
      </c>
      <c r="P510" t="n">
        <v>2026</v>
      </c>
    </row>
    <row r="511">
      <c r="A511" t="inlineStr">
        <is>
          <t>P4102309046</t>
        </is>
      </c>
      <c r="B511" t="inlineStr">
        <is>
          <t>Sonstige Kleinmaßnahmen</t>
        </is>
      </c>
      <c r="C511" t="inlineStr">
        <is>
          <t>Süd-West</t>
        </is>
      </c>
      <c r="D511" t="n">
        <v>0</v>
      </c>
      <c r="E511" t="n">
        <v>0</v>
      </c>
      <c r="F511" t="n">
        <v>24410.59</v>
      </c>
      <c r="G511" t="n">
        <v>-15778</v>
      </c>
      <c r="H511" t="n">
        <v>0</v>
      </c>
      <c r="I511" t="n">
        <v>0</v>
      </c>
      <c r="J511" t="n">
        <v>24410.59</v>
      </c>
      <c r="K511" t="n">
        <v>-15778</v>
      </c>
      <c r="L511" t="n">
        <v>0</v>
      </c>
      <c r="M511" t="n">
        <v>0</v>
      </c>
      <c r="N511" t="n">
        <v>0</v>
      </c>
      <c r="O511" t="n">
        <v>0</v>
      </c>
      <c r="P511" t="n">
        <v>2026</v>
      </c>
    </row>
    <row r="512">
      <c r="A512" t="inlineStr">
        <is>
          <t>P4102602023</t>
        </is>
      </c>
      <c r="B512" t="inlineStr">
        <is>
          <t>nachlaufende Kosten</t>
        </is>
      </c>
      <c r="C512" t="inlineStr">
        <is>
          <t>Ost</t>
        </is>
      </c>
      <c r="D512" t="n">
        <v>0</v>
      </c>
      <c r="E512" t="n">
        <v>0</v>
      </c>
      <c r="F512" t="n">
        <v>0</v>
      </c>
      <c r="G512" t="n">
        <v>-5293.57</v>
      </c>
      <c r="H512" t="n">
        <v>0</v>
      </c>
      <c r="I512" t="n">
        <v>0</v>
      </c>
      <c r="J512" t="n">
        <v>0</v>
      </c>
      <c r="K512" t="n">
        <v>-5293.57</v>
      </c>
      <c r="L512" t="n">
        <v>0</v>
      </c>
      <c r="M512" t="n">
        <v>0</v>
      </c>
      <c r="N512" t="n">
        <v>0</v>
      </c>
      <c r="O512" t="n">
        <v>0</v>
      </c>
      <c r="P512" t="n">
        <v>2026</v>
      </c>
    </row>
    <row r="513">
      <c r="A513" t="inlineStr">
        <is>
          <t>P4102604612</t>
        </is>
      </c>
      <c r="B513" t="inlineStr">
        <is>
          <t>Recyclingplatz Boxberg</t>
        </is>
      </c>
      <c r="C513" t="inlineStr">
        <is>
          <t>Ost</t>
        </is>
      </c>
      <c r="D513" t="n">
        <v>0</v>
      </c>
      <c r="E513" t="n">
        <v>0</v>
      </c>
      <c r="F513" t="n">
        <v>1055.73</v>
      </c>
      <c r="G513" t="n">
        <v>-9771.620000000001</v>
      </c>
      <c r="H513" t="n">
        <v>0</v>
      </c>
      <c r="I513" t="n">
        <v>0</v>
      </c>
      <c r="J513" t="n">
        <v>1055.73</v>
      </c>
      <c r="K513" t="n">
        <v>-9771.620000000001</v>
      </c>
      <c r="L513" t="n">
        <v>0</v>
      </c>
      <c r="M513" t="n">
        <v>0</v>
      </c>
      <c r="N513" t="n">
        <v>0</v>
      </c>
      <c r="O513" t="n">
        <v>0</v>
      </c>
      <c r="P513" t="n">
        <v>2026</v>
      </c>
    </row>
    <row r="514">
      <c r="A514" t="inlineStr">
        <is>
          <t>P4102607989</t>
        </is>
      </c>
      <c r="B514" t="inlineStr">
        <is>
          <t>Kleinaufträge</t>
        </is>
      </c>
      <c r="C514" t="inlineStr">
        <is>
          <t>Ost</t>
        </is>
      </c>
      <c r="D514" t="n">
        <v>0</v>
      </c>
      <c r="E514" t="n">
        <v>0</v>
      </c>
      <c r="F514" t="n">
        <v>113903.69</v>
      </c>
      <c r="G514" t="n">
        <v>-32842.94</v>
      </c>
      <c r="H514" t="n">
        <v>0</v>
      </c>
      <c r="I514" t="n">
        <v>0</v>
      </c>
      <c r="J514" t="n">
        <v>113903.69</v>
      </c>
      <c r="K514" t="n">
        <v>-32842.94</v>
      </c>
      <c r="L514" t="n">
        <v>0</v>
      </c>
      <c r="M514" t="n">
        <v>0</v>
      </c>
      <c r="N514" t="n">
        <v>0</v>
      </c>
      <c r="O514" t="n">
        <v>0</v>
      </c>
      <c r="P514" t="n">
        <v>2026</v>
      </c>
    </row>
    <row r="515">
      <c r="A515" t="inlineStr">
        <is>
          <t>P4102608224</t>
        </is>
      </c>
      <c r="B515" t="inlineStr">
        <is>
          <t>RB Turbinen Hirschfelde</t>
        </is>
      </c>
      <c r="C515" t="inlineStr">
        <is>
          <t>Ost</t>
        </is>
      </c>
      <c r="D515" t="n">
        <v>0</v>
      </c>
      <c r="E515" t="n">
        <v>0</v>
      </c>
      <c r="F515" t="n">
        <v>0</v>
      </c>
      <c r="G515" t="n">
        <v>-1758.75</v>
      </c>
      <c r="H515" t="n">
        <v>0</v>
      </c>
      <c r="I515" t="n">
        <v>0</v>
      </c>
      <c r="J515" t="n">
        <v>0</v>
      </c>
      <c r="K515" t="n">
        <v>-1758.75</v>
      </c>
      <c r="L515" t="n">
        <v>0</v>
      </c>
      <c r="M515" t="n">
        <v>0</v>
      </c>
      <c r="N515" t="n">
        <v>1969.8</v>
      </c>
      <c r="O515" t="n">
        <v>1969.8</v>
      </c>
      <c r="P515" t="n">
        <v>2026</v>
      </c>
    </row>
    <row r="516">
      <c r="A516" t="inlineStr">
        <is>
          <t>P4102608226</t>
        </is>
      </c>
      <c r="B516" t="inlineStr">
        <is>
          <t>RB Kohlebunker Lübbenau</t>
        </is>
      </c>
      <c r="C516" t="inlineStr">
        <is>
          <t>Ost</t>
        </is>
      </c>
      <c r="D516" t="n">
        <v>72000</v>
      </c>
      <c r="E516" t="n">
        <v>-45000</v>
      </c>
      <c r="F516" t="n">
        <v>0</v>
      </c>
      <c r="G516" t="n">
        <v>-400.43</v>
      </c>
      <c r="H516" t="n">
        <v>57000</v>
      </c>
      <c r="I516" t="n">
        <v>-45000</v>
      </c>
      <c r="J516" t="n">
        <v>57000</v>
      </c>
      <c r="K516" t="n">
        <v>-45400.43</v>
      </c>
      <c r="L516" t="n">
        <v>0</v>
      </c>
      <c r="M516" t="n">
        <v>0</v>
      </c>
      <c r="N516" t="n">
        <v>0</v>
      </c>
      <c r="O516" t="n">
        <v>0</v>
      </c>
      <c r="P516" t="n">
        <v>2026</v>
      </c>
    </row>
    <row r="517">
      <c r="A517" t="inlineStr">
        <is>
          <t>P4102608232</t>
        </is>
      </c>
      <c r="B517" t="inlineStr">
        <is>
          <t>Seilbaggerarbeiten Platz der Republik</t>
        </is>
      </c>
      <c r="C517" t="inlineStr">
        <is>
          <t>Ost</t>
        </is>
      </c>
      <c r="D517" t="n">
        <v>0</v>
      </c>
      <c r="E517" t="n">
        <v>0</v>
      </c>
      <c r="F517" t="n">
        <v>6059.53</v>
      </c>
      <c r="G517" t="n">
        <v>0</v>
      </c>
      <c r="H517" t="n">
        <v>0</v>
      </c>
      <c r="I517" t="n">
        <v>0</v>
      </c>
      <c r="J517" t="n">
        <v>6059.53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2026</v>
      </c>
    </row>
    <row r="518">
      <c r="A518" t="inlineStr">
        <is>
          <t>P4102608246</t>
        </is>
      </c>
      <c r="B518" t="inlineStr">
        <is>
          <t>RB Kohlebunker/Brücke Lübbenau</t>
        </is>
      </c>
      <c r="C518" t="inlineStr">
        <is>
          <t>Ost</t>
        </is>
      </c>
      <c r="D518" t="n">
        <v>910000</v>
      </c>
      <c r="E518" t="n">
        <v>-195000</v>
      </c>
      <c r="F518" t="n">
        <v>71914.57000000001</v>
      </c>
      <c r="G518" t="n">
        <v>-472333.29</v>
      </c>
      <c r="H518" t="n">
        <v>760000</v>
      </c>
      <c r="I518" t="n">
        <v>-195000</v>
      </c>
      <c r="J518" t="n">
        <v>831914.5699999999</v>
      </c>
      <c r="K518" t="n">
        <v>-667333.29</v>
      </c>
      <c r="L518" t="n">
        <v>0</v>
      </c>
      <c r="M518" t="n">
        <v>0</v>
      </c>
      <c r="N518" t="n">
        <v>854549.58</v>
      </c>
      <c r="O518" t="n">
        <v>854549.58</v>
      </c>
      <c r="P518" t="n">
        <v>2026</v>
      </c>
    </row>
    <row r="519">
      <c r="A519" t="inlineStr">
        <is>
          <t>P4102608258</t>
        </is>
      </c>
      <c r="B519" t="inlineStr">
        <is>
          <t>BTU Dachsanierung Halle 3b</t>
        </is>
      </c>
      <c r="C519" t="inlineStr">
        <is>
          <t>Ost</t>
        </is>
      </c>
      <c r="D519" t="n">
        <v>0</v>
      </c>
      <c r="E519" t="n">
        <v>0</v>
      </c>
      <c r="F519" t="n">
        <v>125327.66</v>
      </c>
      <c r="G519" t="n">
        <v>0</v>
      </c>
      <c r="H519" t="n">
        <v>0</v>
      </c>
      <c r="I519" t="n">
        <v>0</v>
      </c>
      <c r="J519" t="n">
        <v>125327.66</v>
      </c>
      <c r="K519" t="n">
        <v>0</v>
      </c>
      <c r="L519" t="n">
        <v>0</v>
      </c>
      <c r="M519" t="n">
        <v>0</v>
      </c>
      <c r="N519" t="n">
        <v>-44321.39</v>
      </c>
      <c r="O519" t="n">
        <v>-44321.39</v>
      </c>
      <c r="P519" t="n">
        <v>2026</v>
      </c>
    </row>
    <row r="520">
      <c r="A520" t="inlineStr">
        <is>
          <t>P4102608260</t>
        </is>
      </c>
      <c r="B520" t="inlineStr">
        <is>
          <t>RB Floorflexplatten Berlin</t>
        </is>
      </c>
      <c r="C520" t="inlineStr">
        <is>
          <t>Ost</t>
        </is>
      </c>
      <c r="D520" t="n">
        <v>7000</v>
      </c>
      <c r="E520" t="n">
        <v>0</v>
      </c>
      <c r="F520" t="n">
        <v>36649.67</v>
      </c>
      <c r="G520" t="n">
        <v>-27469.51</v>
      </c>
      <c r="H520" t="n">
        <v>0</v>
      </c>
      <c r="I520" t="n">
        <v>0</v>
      </c>
      <c r="J520" t="n">
        <v>36649.67</v>
      </c>
      <c r="K520" t="n">
        <v>-27469.51</v>
      </c>
      <c r="L520" t="n">
        <v>0</v>
      </c>
      <c r="M520" t="n">
        <v>0</v>
      </c>
      <c r="N520" t="n">
        <v>0</v>
      </c>
      <c r="O520" t="n">
        <v>0</v>
      </c>
      <c r="P520" t="n">
        <v>2026</v>
      </c>
    </row>
    <row r="521">
      <c r="A521" t="inlineStr">
        <is>
          <t>P4102608263</t>
        </is>
      </c>
      <c r="B521" t="inlineStr">
        <is>
          <t>RB Föderbrücke AFB 60</t>
        </is>
      </c>
      <c r="C521" t="inlineStr">
        <is>
          <t>Ost</t>
        </is>
      </c>
      <c r="D521" t="n">
        <v>666800</v>
      </c>
      <c r="E521" t="n">
        <v>-573760</v>
      </c>
      <c r="F521" t="n">
        <v>4111658.58</v>
      </c>
      <c r="G521" t="n">
        <v>-2410704.88</v>
      </c>
      <c r="H521" t="n">
        <v>390400</v>
      </c>
      <c r="I521" t="n">
        <v>-325000</v>
      </c>
      <c r="J521" t="n">
        <v>4502058.58</v>
      </c>
      <c r="K521" t="n">
        <v>-2735704.88</v>
      </c>
      <c r="L521" t="n">
        <v>0</v>
      </c>
      <c r="M521" t="n">
        <v>0</v>
      </c>
      <c r="N521" t="n">
        <v>-870769.6</v>
      </c>
      <c r="O521" t="n">
        <v>-870769.6</v>
      </c>
      <c r="P521" t="n">
        <v>2026</v>
      </c>
    </row>
    <row r="522">
      <c r="A522" t="inlineStr">
        <is>
          <t>P4102608264</t>
        </is>
      </c>
      <c r="B522" t="inlineStr">
        <is>
          <t>Mastrückbau Mainflingen</t>
        </is>
      </c>
      <c r="C522" t="inlineStr">
        <is>
          <t>Ost</t>
        </is>
      </c>
      <c r="D522" t="n">
        <v>0</v>
      </c>
      <c r="E522" t="n">
        <v>0</v>
      </c>
      <c r="F522" t="n">
        <v>0</v>
      </c>
      <c r="G522" t="n">
        <v>-583.34</v>
      </c>
      <c r="H522" t="n">
        <v>0</v>
      </c>
      <c r="I522" t="n">
        <v>0</v>
      </c>
      <c r="J522" t="n">
        <v>0</v>
      </c>
      <c r="K522" t="n">
        <v>-583.34</v>
      </c>
      <c r="L522" t="n">
        <v>0</v>
      </c>
      <c r="M522" t="n">
        <v>0</v>
      </c>
      <c r="N522" t="n">
        <v>0</v>
      </c>
      <c r="O522" t="n">
        <v>0</v>
      </c>
      <c r="P522" t="n">
        <v>2026</v>
      </c>
    </row>
    <row r="523">
      <c r="A523" t="inlineStr">
        <is>
          <t>P4102608265</t>
        </is>
      </c>
      <c r="B523" t="inlineStr">
        <is>
          <t>RB Gebäude Grüneberg</t>
        </is>
      </c>
      <c r="C523" t="inlineStr">
        <is>
          <t>Ost</t>
        </is>
      </c>
      <c r="D523" t="n">
        <v>0</v>
      </c>
      <c r="E523" t="n">
        <v>0</v>
      </c>
      <c r="F523" t="n">
        <v>0</v>
      </c>
      <c r="G523" t="n">
        <v>-3096.72</v>
      </c>
      <c r="H523" t="n">
        <v>0</v>
      </c>
      <c r="I523" t="n">
        <v>0</v>
      </c>
      <c r="J523" t="n">
        <v>0</v>
      </c>
      <c r="K523" t="n">
        <v>-3096.72</v>
      </c>
      <c r="L523" t="n">
        <v>0</v>
      </c>
      <c r="M523" t="n">
        <v>0</v>
      </c>
      <c r="N523" t="n">
        <v>0</v>
      </c>
      <c r="O523" t="n">
        <v>0</v>
      </c>
      <c r="P523" t="n">
        <v>2026</v>
      </c>
    </row>
    <row r="524">
      <c r="A524" t="inlineStr">
        <is>
          <t>P4102608266</t>
        </is>
      </c>
      <c r="B524" t="inlineStr">
        <is>
          <t>RB Kurmark- Kaserne Storkow</t>
        </is>
      </c>
      <c r="C524" t="inlineStr">
        <is>
          <t>Ost</t>
        </is>
      </c>
      <c r="D524" t="n">
        <v>0</v>
      </c>
      <c r="E524" t="n">
        <v>0</v>
      </c>
      <c r="F524" t="n">
        <v>-591.8099999999999</v>
      </c>
      <c r="G524" t="n">
        <v>-279.03</v>
      </c>
      <c r="H524" t="n">
        <v>0</v>
      </c>
      <c r="I524" t="n">
        <v>0</v>
      </c>
      <c r="J524" t="n">
        <v>-591.8099999999999</v>
      </c>
      <c r="K524" t="n">
        <v>-279.03</v>
      </c>
      <c r="L524" t="n">
        <v>0</v>
      </c>
      <c r="M524" t="n">
        <v>0</v>
      </c>
      <c r="N524" t="n">
        <v>0</v>
      </c>
      <c r="O524" t="n">
        <v>0</v>
      </c>
      <c r="P524" t="n">
        <v>2026</v>
      </c>
    </row>
    <row r="525">
      <c r="A525" t="inlineStr">
        <is>
          <t>P4102608267</t>
        </is>
      </c>
      <c r="B525" t="inlineStr">
        <is>
          <t>Sprengarbeiten FLJS</t>
        </is>
      </c>
      <c r="C525" t="inlineStr">
        <is>
          <t>Ost</t>
        </is>
      </c>
      <c r="D525" t="n">
        <v>0</v>
      </c>
      <c r="E525" t="n">
        <v>0</v>
      </c>
      <c r="F525" t="n">
        <v>28224.24</v>
      </c>
      <c r="G525" t="n">
        <v>-20068.44</v>
      </c>
      <c r="H525" t="n">
        <v>0</v>
      </c>
      <c r="I525" t="n">
        <v>0</v>
      </c>
      <c r="J525" t="n">
        <v>28224.24</v>
      </c>
      <c r="K525" t="n">
        <v>-20068.44</v>
      </c>
      <c r="L525" t="n">
        <v>0</v>
      </c>
      <c r="M525" t="n">
        <v>0</v>
      </c>
      <c r="N525" t="n">
        <v>0</v>
      </c>
      <c r="O525" t="n">
        <v>0</v>
      </c>
      <c r="P525" t="n">
        <v>2026</v>
      </c>
    </row>
    <row r="526">
      <c r="A526" t="inlineStr">
        <is>
          <t>P4102608268</t>
        </is>
      </c>
      <c r="B526" t="inlineStr">
        <is>
          <t>Gutenbergstrasse Potsdam</t>
        </is>
      </c>
      <c r="C526" t="inlineStr">
        <is>
          <t>Ost</t>
        </is>
      </c>
      <c r="D526" t="n">
        <v>0</v>
      </c>
      <c r="E526" t="n">
        <v>0</v>
      </c>
      <c r="F526" t="n">
        <v>5542.71</v>
      </c>
      <c r="G526" t="n">
        <v>-556.45</v>
      </c>
      <c r="H526" t="n">
        <v>0</v>
      </c>
      <c r="I526" t="n">
        <v>0</v>
      </c>
      <c r="J526" t="n">
        <v>5542.71</v>
      </c>
      <c r="K526" t="n">
        <v>-556.45</v>
      </c>
      <c r="L526" t="n">
        <v>0</v>
      </c>
      <c r="M526" t="n">
        <v>0</v>
      </c>
      <c r="N526" t="n">
        <v>0</v>
      </c>
      <c r="O526" t="n">
        <v>0</v>
      </c>
      <c r="P526" t="n">
        <v>2026</v>
      </c>
    </row>
    <row r="527">
      <c r="A527" t="inlineStr">
        <is>
          <t>P4102608270</t>
        </is>
      </c>
      <c r="B527" t="inlineStr">
        <is>
          <t>Baggergestellung LH 956 Jänschwalde</t>
        </is>
      </c>
      <c r="C527" t="inlineStr">
        <is>
          <t>Ost</t>
        </is>
      </c>
      <c r="D527" t="n">
        <v>20700</v>
      </c>
      <c r="E527" t="n">
        <v>-8000</v>
      </c>
      <c r="F527" t="n">
        <v>120358.55</v>
      </c>
      <c r="G527" t="n">
        <v>-22672.84</v>
      </c>
      <c r="H527" t="n">
        <v>10000</v>
      </c>
      <c r="I527" t="n">
        <v>-8000</v>
      </c>
      <c r="J527" t="n">
        <v>130358.55</v>
      </c>
      <c r="K527" t="n">
        <v>-30672.84</v>
      </c>
      <c r="L527" t="n">
        <v>0</v>
      </c>
      <c r="M527" t="n">
        <v>0</v>
      </c>
      <c r="N527" t="n">
        <v>0</v>
      </c>
      <c r="O527" t="n">
        <v>0</v>
      </c>
      <c r="P527" t="n">
        <v>2026</v>
      </c>
    </row>
    <row r="528">
      <c r="A528" t="inlineStr">
        <is>
          <t>P4102608271</t>
        </is>
      </c>
      <c r="B528" t="inlineStr">
        <is>
          <t>Seilbagger Tagebau Jänschwalde</t>
        </is>
      </c>
      <c r="C528" t="inlineStr">
        <is>
          <t>Ost</t>
        </is>
      </c>
      <c r="D528" t="n">
        <v>27500</v>
      </c>
      <c r="E528" t="n">
        <v>-6000</v>
      </c>
      <c r="F528" t="n">
        <v>194470.4</v>
      </c>
      <c r="G528" t="n">
        <v>-17848.96</v>
      </c>
      <c r="H528" t="n">
        <v>9000</v>
      </c>
      <c r="I528" t="n">
        <v>-6000</v>
      </c>
      <c r="J528" t="n">
        <v>203470.4</v>
      </c>
      <c r="K528" t="n">
        <v>-23848.96</v>
      </c>
      <c r="L528" t="n">
        <v>0</v>
      </c>
      <c r="M528" t="n">
        <v>0</v>
      </c>
      <c r="N528" t="n">
        <v>0</v>
      </c>
      <c r="O528" t="n">
        <v>0</v>
      </c>
      <c r="P528" t="n">
        <v>2026</v>
      </c>
    </row>
    <row r="529">
      <c r="A529" t="inlineStr">
        <is>
          <t>P4102608275</t>
        </is>
      </c>
      <c r="B529" t="inlineStr">
        <is>
          <t>An der Spreewaldbahn lübben</t>
        </is>
      </c>
      <c r="C529" t="inlineStr">
        <is>
          <t>Ost</t>
        </is>
      </c>
      <c r="D529" t="n">
        <v>0</v>
      </c>
      <c r="E529" t="n">
        <v>0</v>
      </c>
      <c r="F529" t="n">
        <v>25652.08</v>
      </c>
      <c r="G529" t="n">
        <v>-9699</v>
      </c>
      <c r="H529" t="n">
        <v>0</v>
      </c>
      <c r="I529" t="n">
        <v>0</v>
      </c>
      <c r="J529" t="n">
        <v>25652.08</v>
      </c>
      <c r="K529" t="n">
        <v>-9699</v>
      </c>
      <c r="L529" t="n">
        <v>0</v>
      </c>
      <c r="M529" t="n">
        <v>0</v>
      </c>
      <c r="N529" t="n">
        <v>0</v>
      </c>
      <c r="O529" t="n">
        <v>0</v>
      </c>
      <c r="P529" t="n">
        <v>2026</v>
      </c>
    </row>
    <row r="530">
      <c r="A530" t="inlineStr">
        <is>
          <t>P4102652023</t>
        </is>
      </c>
      <c r="B530" t="inlineStr">
        <is>
          <t>Nachlaufende Kosten</t>
        </is>
      </c>
      <c r="C530" t="inlineStr">
        <is>
          <t>Berlin</t>
        </is>
      </c>
      <c r="D530" t="n">
        <v>0</v>
      </c>
      <c r="E530" t="n">
        <v>0</v>
      </c>
      <c r="F530" t="n">
        <v>0</v>
      </c>
      <c r="G530" t="n">
        <v>-100</v>
      </c>
      <c r="H530" t="n">
        <v>0</v>
      </c>
      <c r="I530" t="n">
        <v>0</v>
      </c>
      <c r="J530" t="n">
        <v>0</v>
      </c>
      <c r="K530" t="n">
        <v>-100</v>
      </c>
      <c r="L530" t="n">
        <v>0</v>
      </c>
      <c r="M530" t="n">
        <v>0</v>
      </c>
      <c r="N530" t="n">
        <v>0</v>
      </c>
      <c r="O530" t="n">
        <v>0</v>
      </c>
      <c r="P530" t="n">
        <v>2026</v>
      </c>
    </row>
    <row r="531">
      <c r="A531" t="inlineStr">
        <is>
          <t>P4102657982</t>
        </is>
      </c>
      <c r="B531" t="inlineStr">
        <is>
          <t>Kleinaufträge</t>
        </is>
      </c>
      <c r="C531" t="inlineStr">
        <is>
          <t>Berlin</t>
        </is>
      </c>
      <c r="D531" t="n">
        <v>8250</v>
      </c>
      <c r="E531" t="n">
        <v>0</v>
      </c>
      <c r="F531" t="n">
        <v>8250</v>
      </c>
      <c r="G531" t="n">
        <v>0</v>
      </c>
      <c r="H531" t="n">
        <v>8250</v>
      </c>
      <c r="I531" t="n">
        <v>0</v>
      </c>
      <c r="J531" t="n">
        <v>16500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2026</v>
      </c>
    </row>
    <row r="532">
      <c r="A532" t="inlineStr">
        <is>
          <t>P4102658225</t>
        </is>
      </c>
      <c r="B532" t="inlineStr">
        <is>
          <t>B1 Brandenburg Potsdamer Straße</t>
        </is>
      </c>
      <c r="C532" t="inlineStr">
        <is>
          <t>Berlin</t>
        </is>
      </c>
      <c r="D532" t="n">
        <v>0</v>
      </c>
      <c r="E532" t="n">
        <v>0</v>
      </c>
      <c r="F532" t="n">
        <v>-59785.46</v>
      </c>
      <c r="G532" t="n">
        <v>-3.3</v>
      </c>
      <c r="H532" t="n">
        <v>0</v>
      </c>
      <c r="I532" t="n">
        <v>0</v>
      </c>
      <c r="J532" t="n">
        <v>-59785.46</v>
      </c>
      <c r="K532" t="n">
        <v>-3.3</v>
      </c>
      <c r="L532" t="n">
        <v>0</v>
      </c>
      <c r="M532" t="n">
        <v>0</v>
      </c>
      <c r="N532" t="n">
        <v>0</v>
      </c>
      <c r="O532" t="n">
        <v>0</v>
      </c>
      <c r="P532" t="n">
        <v>2026</v>
      </c>
    </row>
    <row r="533">
      <c r="A533" t="inlineStr">
        <is>
          <t>P4102658228</t>
        </is>
      </c>
      <c r="B533" t="inlineStr">
        <is>
          <t>ENB EÜ Wollankstraße</t>
        </is>
      </c>
      <c r="C533" t="inlineStr">
        <is>
          <t>Berlin</t>
        </is>
      </c>
      <c r="D533" t="n">
        <v>0</v>
      </c>
      <c r="E533" t="n">
        <v>0</v>
      </c>
      <c r="F533" t="n">
        <v>0</v>
      </c>
      <c r="G533" t="n">
        <v>-424.37</v>
      </c>
      <c r="H533" t="n">
        <v>0</v>
      </c>
      <c r="I533" t="n">
        <v>0</v>
      </c>
      <c r="J533" t="n">
        <v>0</v>
      </c>
      <c r="K533" t="n">
        <v>-424.37</v>
      </c>
      <c r="L533" t="n">
        <v>0</v>
      </c>
      <c r="M533" t="n">
        <v>0</v>
      </c>
      <c r="N533" t="n">
        <v>475.29</v>
      </c>
      <c r="O533" t="n">
        <v>475.29</v>
      </c>
      <c r="P533" t="n">
        <v>2026</v>
      </c>
    </row>
    <row r="534">
      <c r="A534" t="inlineStr">
        <is>
          <t>P4102658229</t>
        </is>
      </c>
      <c r="B534" t="inlineStr">
        <is>
          <t>Markgrafenbrücke Berlin</t>
        </is>
      </c>
      <c r="C534" t="inlineStr">
        <is>
          <t>Berlin</t>
        </is>
      </c>
      <c r="D534" t="n">
        <v>0</v>
      </c>
      <c r="E534" t="n">
        <v>0</v>
      </c>
      <c r="F534" t="n">
        <v>9697.700000000001</v>
      </c>
      <c r="G534" t="n">
        <v>-392074.26</v>
      </c>
      <c r="H534" t="n">
        <v>0</v>
      </c>
      <c r="I534" t="n">
        <v>0</v>
      </c>
      <c r="J534" t="n">
        <v>9697.700000000001</v>
      </c>
      <c r="K534" t="n">
        <v>-392074.26</v>
      </c>
      <c r="L534" t="n">
        <v>0</v>
      </c>
      <c r="M534" t="n">
        <v>0</v>
      </c>
      <c r="N534" t="n">
        <v>406981.1</v>
      </c>
      <c r="O534" t="n">
        <v>406981.1</v>
      </c>
      <c r="P534" t="n">
        <v>2026</v>
      </c>
    </row>
    <row r="535">
      <c r="A535" t="inlineStr">
        <is>
          <t>P4102658235</t>
        </is>
      </c>
      <c r="B535" t="inlineStr">
        <is>
          <t>ENB Neue Fahlenbergbrücke</t>
        </is>
      </c>
      <c r="C535" t="inlineStr">
        <is>
          <t>Berlin</t>
        </is>
      </c>
      <c r="D535" t="n">
        <v>2103.77</v>
      </c>
      <c r="E535" t="n">
        <v>-9270.58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2026</v>
      </c>
    </row>
    <row r="536">
      <c r="A536" t="inlineStr">
        <is>
          <t>P4102658250</t>
        </is>
      </c>
      <c r="B536" t="inlineStr">
        <is>
          <t>Parkallee Velten, Brücke Stichkanal</t>
        </is>
      </c>
      <c r="C536" t="inlineStr">
        <is>
          <t>Berlin</t>
        </is>
      </c>
      <c r="D536" t="n">
        <v>0</v>
      </c>
      <c r="E536" t="n">
        <v>0</v>
      </c>
      <c r="F536" t="n">
        <v>-39809.7</v>
      </c>
      <c r="G536" t="n">
        <v>8.970000000000001</v>
      </c>
      <c r="H536" t="n">
        <v>0</v>
      </c>
      <c r="I536" t="n">
        <v>0</v>
      </c>
      <c r="J536" t="n">
        <v>-39809.7</v>
      </c>
      <c r="K536" t="n">
        <v>8.970000000000001</v>
      </c>
      <c r="L536" t="n">
        <v>0</v>
      </c>
      <c r="M536" t="n">
        <v>0</v>
      </c>
      <c r="N536" t="n">
        <v>0</v>
      </c>
      <c r="O536" t="n">
        <v>0</v>
      </c>
      <c r="P536" t="n">
        <v>2026</v>
      </c>
    </row>
    <row r="537">
      <c r="A537" t="inlineStr">
        <is>
          <t>P4102658254</t>
        </is>
      </c>
      <c r="B537" t="inlineStr">
        <is>
          <t>EÜ Langendreerstraße Bochum</t>
        </is>
      </c>
      <c r="C537" t="inlineStr">
        <is>
          <t>Berlin</t>
        </is>
      </c>
      <c r="D537" t="n">
        <v>0</v>
      </c>
      <c r="E537" t="n">
        <v>0</v>
      </c>
      <c r="F537" t="n">
        <v>0</v>
      </c>
      <c r="G537" t="n">
        <v>0.15</v>
      </c>
      <c r="H537" t="n">
        <v>0</v>
      </c>
      <c r="I537" t="n">
        <v>0</v>
      </c>
      <c r="J537" t="n">
        <v>0</v>
      </c>
      <c r="K537" t="n">
        <v>0.15</v>
      </c>
      <c r="L537" t="n">
        <v>0</v>
      </c>
      <c r="M537" t="n">
        <v>0</v>
      </c>
      <c r="N537" t="n">
        <v>0</v>
      </c>
      <c r="O537" t="n">
        <v>0</v>
      </c>
      <c r="P537" t="n">
        <v>2026</v>
      </c>
    </row>
    <row r="538">
      <c r="A538" t="inlineStr">
        <is>
          <t>P4102658256</t>
        </is>
      </c>
      <c r="B538" t="inlineStr">
        <is>
          <t>Schleuse Wolfswinkel</t>
        </is>
      </c>
      <c r="C538" t="inlineStr">
        <is>
          <t>Berlin</t>
        </is>
      </c>
      <c r="D538" t="n">
        <v>0</v>
      </c>
      <c r="E538" t="n">
        <v>0</v>
      </c>
      <c r="F538" t="n">
        <v>302672.02</v>
      </c>
      <c r="G538" t="n">
        <v>-59955.88</v>
      </c>
      <c r="H538" t="n">
        <v>0</v>
      </c>
      <c r="I538" t="n">
        <v>0</v>
      </c>
      <c r="J538" t="n">
        <v>302672.02</v>
      </c>
      <c r="K538" t="n">
        <v>-59955.88</v>
      </c>
      <c r="L538" t="n">
        <v>0</v>
      </c>
      <c r="M538" t="n">
        <v>0</v>
      </c>
      <c r="N538" t="n">
        <v>-70767.05</v>
      </c>
      <c r="O538" t="n">
        <v>-70767.05</v>
      </c>
      <c r="P538" t="n">
        <v>2026</v>
      </c>
    </row>
    <row r="539">
      <c r="A539" t="inlineStr">
        <is>
          <t>P4102658257</t>
        </is>
      </c>
      <c r="B539" t="inlineStr">
        <is>
          <t>Brücke An der Wuhlheide - Notunterstützu</t>
        </is>
      </c>
      <c r="C539" t="inlineStr">
        <is>
          <t>Berlin</t>
        </is>
      </c>
      <c r="D539" t="n">
        <v>100000</v>
      </c>
      <c r="E539" t="n">
        <v>-92000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2026</v>
      </c>
    </row>
    <row r="540">
      <c r="A540" t="inlineStr">
        <is>
          <t>P4102658259</t>
        </is>
      </c>
      <c r="B540" t="inlineStr">
        <is>
          <t>ENB Eisenbahnbrücke Güsen</t>
        </is>
      </c>
      <c r="C540" t="inlineStr">
        <is>
          <t>Berlin</t>
        </is>
      </c>
      <c r="D540" t="n">
        <v>117000</v>
      </c>
      <c r="E540" t="n">
        <v>-87800</v>
      </c>
      <c r="F540" t="n">
        <v>42491.68</v>
      </c>
      <c r="G540" t="n">
        <v>-67801.53999999999</v>
      </c>
      <c r="H540" t="n">
        <v>17000</v>
      </c>
      <c r="I540" t="n">
        <v>0</v>
      </c>
      <c r="J540" t="n">
        <v>59491.68</v>
      </c>
      <c r="K540" t="n">
        <v>-67801.53999999999</v>
      </c>
      <c r="L540" t="n">
        <v>0</v>
      </c>
      <c r="M540" t="n">
        <v>0</v>
      </c>
      <c r="N540" t="n">
        <v>117116.98</v>
      </c>
      <c r="O540" t="n">
        <v>117116.98</v>
      </c>
      <c r="P540" t="n">
        <v>2026</v>
      </c>
    </row>
    <row r="541">
      <c r="A541" t="inlineStr">
        <is>
          <t>P4102658269</t>
        </is>
      </c>
      <c r="B541" t="inlineStr">
        <is>
          <t>B102 OD Jüterbog Alte Nuthe</t>
        </is>
      </c>
      <c r="C541" t="inlineStr">
        <is>
          <t>Berlin</t>
        </is>
      </c>
      <c r="D541" t="n">
        <v>0</v>
      </c>
      <c r="E541" t="n">
        <v>0</v>
      </c>
      <c r="F541" t="n">
        <v>16030.23</v>
      </c>
      <c r="G541" t="n">
        <v>-2708.05</v>
      </c>
      <c r="H541" t="n">
        <v>0</v>
      </c>
      <c r="I541" t="n">
        <v>0</v>
      </c>
      <c r="J541" t="n">
        <v>16030.23</v>
      </c>
      <c r="K541" t="n">
        <v>-2708.05</v>
      </c>
      <c r="L541" t="n">
        <v>0</v>
      </c>
      <c r="M541" t="n">
        <v>0</v>
      </c>
      <c r="N541" t="n">
        <v>0</v>
      </c>
      <c r="O541" t="n">
        <v>0</v>
      </c>
      <c r="P541" t="n">
        <v>2026</v>
      </c>
    </row>
    <row r="542">
      <c r="A542" t="inlineStr">
        <is>
          <t>P4102658272</t>
        </is>
      </c>
      <c r="B542" t="inlineStr">
        <is>
          <t>Beräumung Herzberger Straße</t>
        </is>
      </c>
      <c r="C542" t="inlineStr">
        <is>
          <t>Berlin</t>
        </is>
      </c>
      <c r="D542" t="n">
        <v>0</v>
      </c>
      <c r="E542" t="n">
        <v>0</v>
      </c>
      <c r="F542" t="n">
        <v>36922.66</v>
      </c>
      <c r="G542" t="n">
        <v>-15708.54</v>
      </c>
      <c r="H542" t="n">
        <v>0</v>
      </c>
      <c r="I542" t="n">
        <v>0</v>
      </c>
      <c r="J542" t="n">
        <v>36922.66</v>
      </c>
      <c r="K542" t="n">
        <v>-15708.54</v>
      </c>
      <c r="L542" t="n">
        <v>0</v>
      </c>
      <c r="M542" t="n">
        <v>0</v>
      </c>
      <c r="N542" t="n">
        <v>0</v>
      </c>
      <c r="O542" t="n">
        <v>0</v>
      </c>
      <c r="P542" t="n">
        <v>2026</v>
      </c>
    </row>
    <row r="543">
      <c r="A543" t="inlineStr">
        <is>
          <t>P4102658276</t>
        </is>
      </c>
      <c r="B543" t="inlineStr">
        <is>
          <t>EÜ Braunsbedra</t>
        </is>
      </c>
      <c r="C543" t="inlineStr">
        <is>
          <t>Berlin</t>
        </is>
      </c>
      <c r="D543" t="n">
        <v>27300</v>
      </c>
      <c r="E543" t="n">
        <v>-10000</v>
      </c>
      <c r="F543" t="n">
        <v>27313.05</v>
      </c>
      <c r="G543" t="n">
        <v>-39057.45</v>
      </c>
      <c r="H543" t="n">
        <v>27300</v>
      </c>
      <c r="I543" t="n">
        <v>-10000</v>
      </c>
      <c r="J543" t="n">
        <v>54613.05</v>
      </c>
      <c r="K543" t="n">
        <v>-49057.45</v>
      </c>
      <c r="L543" t="n">
        <v>0</v>
      </c>
      <c r="M543" t="n">
        <v>0</v>
      </c>
      <c r="N543" t="n">
        <v>83713.49000000001</v>
      </c>
      <c r="O543" t="n">
        <v>83713.49000000001</v>
      </c>
      <c r="P543" t="n">
        <v>2026</v>
      </c>
    </row>
    <row r="544">
      <c r="A544" t="inlineStr">
        <is>
          <t>W4102154411</t>
        </is>
      </c>
      <c r="B544" t="inlineStr">
        <is>
          <t>Vetrieb Region West</t>
        </is>
      </c>
      <c r="C544" t="inlineStr">
        <is>
          <t>West</t>
        </is>
      </c>
      <c r="D544" t="n">
        <v>0</v>
      </c>
      <c r="E544" t="n">
        <v>0</v>
      </c>
      <c r="F544" t="n">
        <v>0</v>
      </c>
      <c r="G544" t="n">
        <v>-101754.9</v>
      </c>
      <c r="H544" t="n">
        <v>0</v>
      </c>
      <c r="I544" t="n">
        <v>0</v>
      </c>
      <c r="J544" t="n">
        <v>0</v>
      </c>
      <c r="K544" t="n">
        <v>-101754.9</v>
      </c>
      <c r="L544" t="n">
        <v>0</v>
      </c>
      <c r="M544" t="n">
        <v>0</v>
      </c>
      <c r="N544" t="n">
        <v>0</v>
      </c>
      <c r="O544" t="n">
        <v>0</v>
      </c>
      <c r="P544" t="n">
        <v>2026</v>
      </c>
    </row>
    <row r="545">
      <c r="A545" t="inlineStr">
        <is>
          <t>W4102154501</t>
        </is>
      </c>
      <c r="B545" t="inlineStr">
        <is>
          <t>Gehalt BL Region West</t>
        </is>
      </c>
      <c r="C545" t="inlineStr">
        <is>
          <t>West</t>
        </is>
      </c>
      <c r="D545" t="n">
        <v>0</v>
      </c>
      <c r="E545" t="n">
        <v>0</v>
      </c>
      <c r="F545" t="n">
        <v>0</v>
      </c>
      <c r="G545" t="n">
        <v>-8664</v>
      </c>
      <c r="H545" t="n">
        <v>0</v>
      </c>
      <c r="I545" t="n">
        <v>0</v>
      </c>
      <c r="J545" t="n">
        <v>0</v>
      </c>
      <c r="K545" t="n">
        <v>-8664</v>
      </c>
      <c r="L545" t="n">
        <v>0</v>
      </c>
      <c r="M545" t="n">
        <v>0</v>
      </c>
      <c r="N545" t="n">
        <v>0</v>
      </c>
      <c r="O545" t="n">
        <v>0</v>
      </c>
      <c r="P545" t="n">
        <v>2026</v>
      </c>
    </row>
    <row r="546">
      <c r="A546" t="inlineStr">
        <is>
          <t>W4102154611</t>
        </is>
      </c>
      <c r="B546" t="inlineStr">
        <is>
          <t>Werkstatt Region West</t>
        </is>
      </c>
      <c r="C546" t="inlineStr">
        <is>
          <t>West</t>
        </is>
      </c>
      <c r="D546" t="n">
        <v>0</v>
      </c>
      <c r="E546" t="n">
        <v>0</v>
      </c>
      <c r="F546" t="n">
        <v>0</v>
      </c>
      <c r="G546" t="n">
        <v>-16506.24</v>
      </c>
      <c r="H546" t="n">
        <v>0</v>
      </c>
      <c r="I546" t="n">
        <v>0</v>
      </c>
      <c r="J546" t="n">
        <v>0</v>
      </c>
      <c r="K546" t="n">
        <v>-16506.24</v>
      </c>
      <c r="L546" t="n">
        <v>0</v>
      </c>
      <c r="M546" t="n">
        <v>0</v>
      </c>
      <c r="N546" t="n">
        <v>0</v>
      </c>
      <c r="O546" t="n">
        <v>0</v>
      </c>
      <c r="P546" t="n">
        <v>2026</v>
      </c>
    </row>
    <row r="547">
      <c r="A547" t="inlineStr">
        <is>
          <t>W4102154953</t>
        </is>
      </c>
      <c r="B547" t="inlineStr">
        <is>
          <t>CB-AA 140 Hr. Kraft</t>
        </is>
      </c>
      <c r="C547" t="inlineStr">
        <is>
          <t>West</t>
        </is>
      </c>
      <c r="D547" t="n">
        <v>0</v>
      </c>
      <c r="E547" t="n">
        <v>0</v>
      </c>
      <c r="F547" t="n">
        <v>0</v>
      </c>
      <c r="G547" t="n">
        <v>-1342.17</v>
      </c>
      <c r="H547" t="n">
        <v>0</v>
      </c>
      <c r="I547" t="n">
        <v>0</v>
      </c>
      <c r="J547" t="n">
        <v>0</v>
      </c>
      <c r="K547" t="n">
        <v>-1342.17</v>
      </c>
      <c r="L547" t="n">
        <v>0</v>
      </c>
      <c r="M547" t="n">
        <v>0</v>
      </c>
      <c r="N547" t="n">
        <v>0</v>
      </c>
      <c r="O547" t="n">
        <v>0</v>
      </c>
      <c r="P547" t="n">
        <v>2026</v>
      </c>
    </row>
    <row r="548">
      <c r="A548" t="inlineStr">
        <is>
          <t>W4102154961</t>
        </is>
      </c>
      <c r="B548" t="inlineStr">
        <is>
          <t>DO-AW 251 Ludwigs</t>
        </is>
      </c>
      <c r="C548" t="inlineStr">
        <is>
          <t>West</t>
        </is>
      </c>
      <c r="D548" t="n">
        <v>0</v>
      </c>
      <c r="E548" t="n">
        <v>0</v>
      </c>
      <c r="F548" t="n">
        <v>0</v>
      </c>
      <c r="G548" t="n">
        <v>-7075.24</v>
      </c>
      <c r="H548" t="n">
        <v>0</v>
      </c>
      <c r="I548" t="n">
        <v>0</v>
      </c>
      <c r="J548" t="n">
        <v>0</v>
      </c>
      <c r="K548" t="n">
        <v>-7075.24</v>
      </c>
      <c r="L548" t="n">
        <v>0</v>
      </c>
      <c r="M548" t="n">
        <v>0</v>
      </c>
      <c r="N548" t="n">
        <v>0</v>
      </c>
      <c r="O548" t="n">
        <v>0</v>
      </c>
      <c r="P548" t="n">
        <v>2026</v>
      </c>
    </row>
    <row r="549">
      <c r="A549" t="inlineStr">
        <is>
          <t>W4102154964</t>
        </is>
      </c>
      <c r="B549" t="inlineStr">
        <is>
          <t>PKW Schalk CB - TV 93</t>
        </is>
      </c>
      <c r="C549" t="inlineStr">
        <is>
          <t>West</t>
        </is>
      </c>
      <c r="D549" t="n">
        <v>0</v>
      </c>
      <c r="E549" t="n">
        <v>0</v>
      </c>
      <c r="F549" t="n">
        <v>0</v>
      </c>
      <c r="G549" t="n">
        <v>-10291.6</v>
      </c>
      <c r="H549" t="n">
        <v>0</v>
      </c>
      <c r="I549" t="n">
        <v>0</v>
      </c>
      <c r="J549" t="n">
        <v>0</v>
      </c>
      <c r="K549" t="n">
        <v>-10291.6</v>
      </c>
      <c r="L549" t="n">
        <v>0</v>
      </c>
      <c r="M549" t="n">
        <v>0</v>
      </c>
      <c r="N549" t="n">
        <v>0</v>
      </c>
      <c r="O549" t="n">
        <v>0</v>
      </c>
      <c r="P549" t="n">
        <v>2026</v>
      </c>
    </row>
    <row r="550">
      <c r="A550" t="inlineStr">
        <is>
          <t>W4102154966</t>
        </is>
      </c>
      <c r="B550" t="inlineStr">
        <is>
          <t>PKW Kilinc</t>
        </is>
      </c>
      <c r="C550" t="inlineStr">
        <is>
          <t>West</t>
        </is>
      </c>
      <c r="D550" t="n">
        <v>0</v>
      </c>
      <c r="E550" t="n">
        <v>0</v>
      </c>
      <c r="F550" t="n">
        <v>0</v>
      </c>
      <c r="G550" t="n">
        <v>-10045.97</v>
      </c>
      <c r="H550" t="n">
        <v>0</v>
      </c>
      <c r="I550" t="n">
        <v>0</v>
      </c>
      <c r="J550" t="n">
        <v>0</v>
      </c>
      <c r="K550" t="n">
        <v>-10045.97</v>
      </c>
      <c r="L550" t="n">
        <v>0</v>
      </c>
      <c r="M550" t="n">
        <v>0</v>
      </c>
      <c r="N550" t="n">
        <v>0</v>
      </c>
      <c r="O550" t="n">
        <v>0</v>
      </c>
      <c r="P550" t="n">
        <v>2026</v>
      </c>
    </row>
    <row r="551">
      <c r="A551" t="inlineStr">
        <is>
          <t>W4102154967</t>
        </is>
      </c>
      <c r="B551" t="inlineStr">
        <is>
          <t>CB - VT 585  Hr. Büskens</t>
        </is>
      </c>
      <c r="C551" t="inlineStr">
        <is>
          <t>West</t>
        </is>
      </c>
      <c r="D551" t="n">
        <v>0</v>
      </c>
      <c r="E551" t="n">
        <v>0</v>
      </c>
      <c r="F551" t="n">
        <v>0</v>
      </c>
      <c r="G551" t="n">
        <v>-13211</v>
      </c>
      <c r="H551" t="n">
        <v>0</v>
      </c>
      <c r="I551" t="n">
        <v>0</v>
      </c>
      <c r="J551" t="n">
        <v>0</v>
      </c>
      <c r="K551" t="n">
        <v>-13211</v>
      </c>
      <c r="L551" t="n">
        <v>0</v>
      </c>
      <c r="M551" t="n">
        <v>0</v>
      </c>
      <c r="N551" t="n">
        <v>0</v>
      </c>
      <c r="O551" t="n">
        <v>0</v>
      </c>
      <c r="P551" t="n">
        <v>2026</v>
      </c>
    </row>
    <row r="552">
      <c r="A552" t="inlineStr">
        <is>
          <t>W4102154968</t>
        </is>
      </c>
      <c r="B552" t="inlineStr">
        <is>
          <t>06-07/26 Mietwagen Hr. Lanzar</t>
        </is>
      </c>
      <c r="C552" t="inlineStr">
        <is>
          <t>West</t>
        </is>
      </c>
      <c r="D552" t="n">
        <v>0</v>
      </c>
      <c r="E552" t="n">
        <v>0</v>
      </c>
      <c r="F552" t="n">
        <v>0</v>
      </c>
      <c r="G552" t="n">
        <v>-1698.87</v>
      </c>
      <c r="H552" t="n">
        <v>0</v>
      </c>
      <c r="I552" t="n">
        <v>0</v>
      </c>
      <c r="J552" t="n">
        <v>0</v>
      </c>
      <c r="K552" t="n">
        <v>-1698.87</v>
      </c>
      <c r="L552" t="n">
        <v>0</v>
      </c>
      <c r="M552" t="n">
        <v>0</v>
      </c>
      <c r="N552" t="n">
        <v>0</v>
      </c>
      <c r="O552" t="n">
        <v>0</v>
      </c>
      <c r="P552" t="n">
        <v>2026</v>
      </c>
    </row>
    <row r="553">
      <c r="A553" t="inlineStr">
        <is>
          <t>W4102157414</t>
        </is>
      </c>
      <c r="B553" t="inlineStr">
        <is>
          <t>Krandemontage</t>
        </is>
      </c>
      <c r="C553" t="inlineStr">
        <is>
          <t>West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2026</v>
      </c>
    </row>
    <row r="554">
      <c r="A554" t="inlineStr">
        <is>
          <t>W4102304411</t>
        </is>
      </c>
      <c r="B554" t="inlineStr">
        <is>
          <t>Vetrieb Region Sued-West</t>
        </is>
      </c>
      <c r="C554" t="inlineStr">
        <is>
          <t>Süd-West</t>
        </is>
      </c>
      <c r="D554" t="n">
        <v>0</v>
      </c>
      <c r="E554" t="n">
        <v>0</v>
      </c>
      <c r="F554" t="n">
        <v>0</v>
      </c>
      <c r="G554" t="n">
        <v>-94648.47</v>
      </c>
      <c r="H554" t="n">
        <v>0</v>
      </c>
      <c r="I554" t="n">
        <v>0</v>
      </c>
      <c r="J554" t="n">
        <v>0</v>
      </c>
      <c r="K554" t="n">
        <v>-94648.47</v>
      </c>
      <c r="L554" t="n">
        <v>0</v>
      </c>
      <c r="M554" t="n">
        <v>0</v>
      </c>
      <c r="N554" t="n">
        <v>0</v>
      </c>
      <c r="O554" t="n">
        <v>0</v>
      </c>
      <c r="P554" t="n">
        <v>2026</v>
      </c>
    </row>
    <row r="555">
      <c r="A555" t="inlineStr">
        <is>
          <t>W4102304412</t>
        </is>
      </c>
      <c r="B555" t="inlineStr">
        <is>
          <t>Fremdfirmenstuetzupunkt</t>
        </is>
      </c>
      <c r="C555" t="inlineStr">
        <is>
          <t>Süd-West</t>
        </is>
      </c>
      <c r="D555" t="n">
        <v>0</v>
      </c>
      <c r="E555" t="n">
        <v>0</v>
      </c>
      <c r="F555" t="n">
        <v>0</v>
      </c>
      <c r="G555" t="n">
        <v>-2488</v>
      </c>
      <c r="H555" t="n">
        <v>0</v>
      </c>
      <c r="I555" t="n">
        <v>0</v>
      </c>
      <c r="J555" t="n">
        <v>0</v>
      </c>
      <c r="K555" t="n">
        <v>-2488</v>
      </c>
      <c r="L555" t="n">
        <v>0</v>
      </c>
      <c r="M555" t="n">
        <v>0</v>
      </c>
      <c r="N555" t="n">
        <v>0</v>
      </c>
      <c r="O555" t="n">
        <v>0</v>
      </c>
      <c r="P555" t="n">
        <v>2026</v>
      </c>
    </row>
    <row r="556">
      <c r="A556" t="inlineStr">
        <is>
          <t>W4102304611</t>
        </is>
      </c>
      <c r="B556" t="inlineStr">
        <is>
          <t>Lager Region Sued-West</t>
        </is>
      </c>
      <c r="C556" t="inlineStr">
        <is>
          <t>Süd-West</t>
        </is>
      </c>
      <c r="D556" t="n">
        <v>0</v>
      </c>
      <c r="E556" t="n">
        <v>0</v>
      </c>
      <c r="F556" t="n">
        <v>0</v>
      </c>
      <c r="G556" t="n">
        <v>-88828.60000000001</v>
      </c>
      <c r="H556" t="n">
        <v>0</v>
      </c>
      <c r="I556" t="n">
        <v>0</v>
      </c>
      <c r="J556" t="n">
        <v>0</v>
      </c>
      <c r="K556" t="n">
        <v>-88828.60000000001</v>
      </c>
      <c r="L556" t="n">
        <v>0</v>
      </c>
      <c r="M556" t="n">
        <v>0</v>
      </c>
      <c r="N556" t="n">
        <v>0</v>
      </c>
      <c r="O556" t="n">
        <v>0</v>
      </c>
      <c r="P556" t="n">
        <v>2026</v>
      </c>
    </row>
    <row r="557">
      <c r="A557" t="inlineStr">
        <is>
          <t>W4102304943</t>
        </is>
      </c>
      <c r="B557" t="inlineStr">
        <is>
          <t>CB - TV 90 Hr. Flamme</t>
        </is>
      </c>
      <c r="C557" t="inlineStr">
        <is>
          <t>Süd-West</t>
        </is>
      </c>
      <c r="D557" t="n">
        <v>0</v>
      </c>
      <c r="E557" t="n">
        <v>0</v>
      </c>
      <c r="F557" t="n">
        <v>0</v>
      </c>
      <c r="G557" t="n">
        <v>-11735.18</v>
      </c>
      <c r="H557" t="n">
        <v>0</v>
      </c>
      <c r="I557" t="n">
        <v>0</v>
      </c>
      <c r="J557" t="n">
        <v>0</v>
      </c>
      <c r="K557" t="n">
        <v>-11735.18</v>
      </c>
      <c r="L557" t="n">
        <v>0</v>
      </c>
      <c r="M557" t="n">
        <v>0</v>
      </c>
      <c r="N557" t="n">
        <v>0</v>
      </c>
      <c r="O557" t="n">
        <v>0</v>
      </c>
      <c r="P557" t="n">
        <v>2026</v>
      </c>
    </row>
    <row r="558">
      <c r="A558" t="inlineStr">
        <is>
          <t>W4102304946</t>
        </is>
      </c>
      <c r="B558" t="inlineStr">
        <is>
          <t>CB-AA 552 Sesjunin</t>
        </is>
      </c>
      <c r="C558" t="inlineStr">
        <is>
          <t>Süd-West</t>
        </is>
      </c>
      <c r="D558" t="n">
        <v>0</v>
      </c>
      <c r="E558" t="n">
        <v>0</v>
      </c>
      <c r="F558" t="n">
        <v>0</v>
      </c>
      <c r="G558" t="n">
        <v>-5317.15</v>
      </c>
      <c r="H558" t="n">
        <v>0</v>
      </c>
      <c r="I558" t="n">
        <v>0</v>
      </c>
      <c r="J558" t="n">
        <v>0</v>
      </c>
      <c r="K558" t="n">
        <v>-5317.15</v>
      </c>
      <c r="L558" t="n">
        <v>0</v>
      </c>
      <c r="M558" t="n">
        <v>0</v>
      </c>
      <c r="N558" t="n">
        <v>0</v>
      </c>
      <c r="O558" t="n">
        <v>0</v>
      </c>
      <c r="P558" t="n">
        <v>2026</v>
      </c>
    </row>
    <row r="559">
      <c r="A559" t="inlineStr">
        <is>
          <t>W4102304947</t>
        </is>
      </c>
      <c r="B559" t="inlineStr">
        <is>
          <t>CB-AB 644 Passat Herr Yavuz</t>
        </is>
      </c>
      <c r="C559" t="inlineStr">
        <is>
          <t>Süd-West</t>
        </is>
      </c>
      <c r="D559" t="n">
        <v>0</v>
      </c>
      <c r="E559" t="n">
        <v>0</v>
      </c>
      <c r="F559" t="n">
        <v>0</v>
      </c>
      <c r="G559" t="n">
        <v>-30</v>
      </c>
      <c r="H559" t="n">
        <v>0</v>
      </c>
      <c r="I559" t="n">
        <v>0</v>
      </c>
      <c r="J559" t="n">
        <v>0</v>
      </c>
      <c r="K559" t="n">
        <v>-30</v>
      </c>
      <c r="L559" t="n">
        <v>0</v>
      </c>
      <c r="M559" t="n">
        <v>0</v>
      </c>
      <c r="N559" t="n">
        <v>0</v>
      </c>
      <c r="O559" t="n">
        <v>0</v>
      </c>
      <c r="P559" t="n">
        <v>2026</v>
      </c>
    </row>
    <row r="560">
      <c r="A560" t="inlineStr">
        <is>
          <t>W4102307411</t>
        </is>
      </c>
      <c r="B560" t="inlineStr">
        <is>
          <t>BASF - G 521</t>
        </is>
      </c>
      <c r="C560" t="inlineStr">
        <is>
          <t>Süd-West</t>
        </is>
      </c>
      <c r="D560" t="n">
        <v>0</v>
      </c>
      <c r="E560" t="n">
        <v>0</v>
      </c>
      <c r="F560" t="n">
        <v>0</v>
      </c>
      <c r="G560" t="n">
        <v>-580</v>
      </c>
      <c r="H560" t="n">
        <v>0</v>
      </c>
      <c r="I560" t="n">
        <v>0</v>
      </c>
      <c r="J560" t="n">
        <v>0</v>
      </c>
      <c r="K560" t="n">
        <v>-580</v>
      </c>
      <c r="L560" t="n">
        <v>0</v>
      </c>
      <c r="M560" t="n">
        <v>0</v>
      </c>
      <c r="N560" t="n">
        <v>0</v>
      </c>
      <c r="O560" t="n">
        <v>0</v>
      </c>
      <c r="P560" t="n">
        <v>2026</v>
      </c>
    </row>
    <row r="561">
      <c r="A561" t="inlineStr">
        <is>
          <t>W4102504101</t>
        </is>
      </c>
      <c r="B561" t="inlineStr">
        <is>
          <t>Kaufm. Geschäftsfüh.</t>
        </is>
      </c>
      <c r="C561" t="inlineStr">
        <is>
          <t>Verwaltung</t>
        </is>
      </c>
      <c r="D561" t="n">
        <v>0</v>
      </c>
      <c r="E561" t="n">
        <v>0</v>
      </c>
      <c r="F561" t="n">
        <v>0</v>
      </c>
      <c r="G561" t="n">
        <v>-7</v>
      </c>
      <c r="H561" t="n">
        <v>0</v>
      </c>
      <c r="I561" t="n">
        <v>0</v>
      </c>
      <c r="J561" t="n">
        <v>0</v>
      </c>
      <c r="K561" t="n">
        <v>-7</v>
      </c>
      <c r="L561" t="n">
        <v>0</v>
      </c>
      <c r="M561" t="n">
        <v>0</v>
      </c>
      <c r="N561" t="n">
        <v>0</v>
      </c>
      <c r="O561" t="n">
        <v>0</v>
      </c>
      <c r="P561" t="n">
        <v>2026</v>
      </c>
    </row>
    <row r="562">
      <c r="A562" t="inlineStr">
        <is>
          <t>W4102504102</t>
        </is>
      </c>
      <c r="B562" t="inlineStr">
        <is>
          <t>Techn. Geschäftsfüh.</t>
        </is>
      </c>
      <c r="C562" t="inlineStr">
        <is>
          <t>Verwaltung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2026</v>
      </c>
    </row>
    <row r="563">
      <c r="A563" t="inlineStr">
        <is>
          <t>W4102504104</t>
        </is>
      </c>
      <c r="B563" t="inlineStr">
        <is>
          <t>Dienstleistungsverrechn.</t>
        </is>
      </c>
      <c r="C563" t="inlineStr">
        <is>
          <t>Verwaltung</t>
        </is>
      </c>
      <c r="D563" t="n">
        <v>0</v>
      </c>
      <c r="E563" t="n">
        <v>-16100</v>
      </c>
      <c r="F563" t="n">
        <v>0</v>
      </c>
      <c r="G563" t="n">
        <v>-48751</v>
      </c>
      <c r="H563" t="n">
        <v>0</v>
      </c>
      <c r="I563" t="n">
        <v>-16100</v>
      </c>
      <c r="J563" t="n">
        <v>0</v>
      </c>
      <c r="K563" t="n">
        <v>-64851</v>
      </c>
      <c r="L563" t="n">
        <v>0</v>
      </c>
      <c r="M563" t="n">
        <v>0</v>
      </c>
      <c r="N563" t="n">
        <v>0</v>
      </c>
      <c r="O563" t="n">
        <v>0</v>
      </c>
      <c r="P563" t="n">
        <v>2026</v>
      </c>
    </row>
    <row r="564">
      <c r="A564" t="inlineStr">
        <is>
          <t>W4102504106</t>
        </is>
      </c>
      <c r="B564" t="inlineStr">
        <is>
          <t>Geschäftsfüh.</t>
        </is>
      </c>
      <c r="C564" t="inlineStr">
        <is>
          <t>Verwaltung</t>
        </is>
      </c>
      <c r="D564" t="n">
        <v>0</v>
      </c>
      <c r="E564" t="n">
        <v>-2000</v>
      </c>
      <c r="F564" t="n">
        <v>0</v>
      </c>
      <c r="G564" t="n">
        <v>-6447.58</v>
      </c>
      <c r="H564" t="n">
        <v>0</v>
      </c>
      <c r="I564" t="n">
        <v>-2000</v>
      </c>
      <c r="J564" t="n">
        <v>0</v>
      </c>
      <c r="K564" t="n">
        <v>-8447.58</v>
      </c>
      <c r="L564" t="n">
        <v>0</v>
      </c>
      <c r="M564" t="n">
        <v>0</v>
      </c>
      <c r="N564" t="n">
        <v>0</v>
      </c>
      <c r="O564" t="n">
        <v>0</v>
      </c>
      <c r="P564" t="n">
        <v>2026</v>
      </c>
    </row>
    <row r="565">
      <c r="A565" t="inlineStr">
        <is>
          <t>W4102504107</t>
        </is>
      </c>
      <c r="B565" t="inlineStr">
        <is>
          <t>Geschäftsfüh. Hr Kay</t>
        </is>
      </c>
      <c r="C565" t="inlineStr">
        <is>
          <t>Verwaltung</t>
        </is>
      </c>
      <c r="D565" t="n">
        <v>0</v>
      </c>
      <c r="E565" t="n">
        <v>0</v>
      </c>
      <c r="F565" t="n">
        <v>0</v>
      </c>
      <c r="G565" t="n">
        <v>-685.6799999999999</v>
      </c>
      <c r="H565" t="n">
        <v>0</v>
      </c>
      <c r="I565" t="n">
        <v>0</v>
      </c>
      <c r="J565" t="n">
        <v>0</v>
      </c>
      <c r="K565" t="n">
        <v>-685.6799999999999</v>
      </c>
      <c r="L565" t="n">
        <v>0</v>
      </c>
      <c r="M565" t="n">
        <v>0</v>
      </c>
      <c r="N565" t="n">
        <v>0</v>
      </c>
      <c r="O565" t="n">
        <v>0</v>
      </c>
      <c r="P565" t="n">
        <v>2026</v>
      </c>
    </row>
    <row r="566">
      <c r="A566" t="inlineStr">
        <is>
          <t>W4102504108</t>
        </is>
      </c>
      <c r="B566" t="inlineStr">
        <is>
          <t>Geschäftsführer Hr. Kenski</t>
        </is>
      </c>
      <c r="C566" t="inlineStr">
        <is>
          <t>Verwaltung</t>
        </is>
      </c>
      <c r="D566" t="n">
        <v>0</v>
      </c>
      <c r="E566" t="n">
        <v>-2000</v>
      </c>
      <c r="F566" t="n">
        <v>0</v>
      </c>
      <c r="G566" t="n">
        <v>-4155.7</v>
      </c>
      <c r="H566" t="n">
        <v>0</v>
      </c>
      <c r="I566" t="n">
        <v>-2000</v>
      </c>
      <c r="J566" t="n">
        <v>0</v>
      </c>
      <c r="K566" t="n">
        <v>-6155.7</v>
      </c>
      <c r="L566" t="n">
        <v>0</v>
      </c>
      <c r="M566" t="n">
        <v>0</v>
      </c>
      <c r="N566" t="n">
        <v>0</v>
      </c>
      <c r="O566" t="n">
        <v>0</v>
      </c>
      <c r="P566" t="n">
        <v>2026</v>
      </c>
    </row>
    <row r="567">
      <c r="A567" t="inlineStr">
        <is>
          <t>W4102504109</t>
        </is>
      </c>
      <c r="B567" t="inlineStr">
        <is>
          <t>Geschäftsführerin Frau Langosch</t>
        </is>
      </c>
      <c r="C567" t="inlineStr">
        <is>
          <t>Verwaltung</t>
        </is>
      </c>
      <c r="D567" t="n">
        <v>0</v>
      </c>
      <c r="E567" t="n">
        <v>0</v>
      </c>
      <c r="F567" t="n">
        <v>0</v>
      </c>
      <c r="G567" t="n">
        <v>-4555.48</v>
      </c>
      <c r="H567" t="n">
        <v>0</v>
      </c>
      <c r="I567" t="n">
        <v>0</v>
      </c>
      <c r="J567" t="n">
        <v>0</v>
      </c>
      <c r="K567" t="n">
        <v>-4555.48</v>
      </c>
      <c r="L567" t="n">
        <v>0</v>
      </c>
      <c r="M567" t="n">
        <v>0</v>
      </c>
      <c r="N567" t="n">
        <v>0</v>
      </c>
      <c r="O567" t="n">
        <v>0</v>
      </c>
      <c r="P567" t="n">
        <v>2026</v>
      </c>
    </row>
    <row r="568">
      <c r="A568" t="inlineStr">
        <is>
          <t>W4102504211</t>
        </is>
      </c>
      <c r="B568" t="inlineStr">
        <is>
          <t>Rechnungsw./Finanzen</t>
        </is>
      </c>
      <c r="C568" t="inlineStr">
        <is>
          <t>Verwaltung</t>
        </is>
      </c>
      <c r="D568" t="n">
        <v>0</v>
      </c>
      <c r="E568" t="n">
        <v>-400</v>
      </c>
      <c r="F568" t="n">
        <v>0</v>
      </c>
      <c r="G568" t="n">
        <v>-252.87</v>
      </c>
      <c r="H568" t="n">
        <v>0</v>
      </c>
      <c r="I568" t="n">
        <v>-400</v>
      </c>
      <c r="J568" t="n">
        <v>0</v>
      </c>
      <c r="K568" t="n">
        <v>-652.87</v>
      </c>
      <c r="L568" t="n">
        <v>0</v>
      </c>
      <c r="M568" t="n">
        <v>0</v>
      </c>
      <c r="N568" t="n">
        <v>0</v>
      </c>
      <c r="O568" t="n">
        <v>0</v>
      </c>
      <c r="P568" t="n">
        <v>2026</v>
      </c>
    </row>
    <row r="569">
      <c r="A569" t="inlineStr">
        <is>
          <t>W4102504221</t>
        </is>
      </c>
      <c r="B569" t="inlineStr">
        <is>
          <t>Übriges Personal</t>
        </is>
      </c>
      <c r="C569" t="inlineStr">
        <is>
          <t>Verwaltung</t>
        </is>
      </c>
      <c r="D569" t="n">
        <v>0</v>
      </c>
      <c r="E569" t="n">
        <v>-500</v>
      </c>
      <c r="F569" t="n">
        <v>0</v>
      </c>
      <c r="G569" t="n">
        <v>-2695.76</v>
      </c>
      <c r="H569" t="n">
        <v>0</v>
      </c>
      <c r="I569" t="n">
        <v>-500</v>
      </c>
      <c r="J569" t="n">
        <v>0</v>
      </c>
      <c r="K569" t="n">
        <v>-3195.76</v>
      </c>
      <c r="L569" t="n">
        <v>0</v>
      </c>
      <c r="M569" t="n">
        <v>0</v>
      </c>
      <c r="N569" t="n">
        <v>0</v>
      </c>
      <c r="O569" t="n">
        <v>0</v>
      </c>
      <c r="P569" t="n">
        <v>2026</v>
      </c>
    </row>
    <row r="570">
      <c r="A570" t="inlineStr">
        <is>
          <t>W4102504222</t>
        </is>
      </c>
      <c r="B570" t="inlineStr">
        <is>
          <t>Sonstige Sachkosten</t>
        </is>
      </c>
      <c r="C570" t="inlineStr">
        <is>
          <t>Verwaltung</t>
        </is>
      </c>
      <c r="D570" t="n">
        <v>0</v>
      </c>
      <c r="E570" t="n">
        <v>-170000</v>
      </c>
      <c r="F570" t="n">
        <v>0</v>
      </c>
      <c r="G570" t="n">
        <v>-385636.12</v>
      </c>
      <c r="H570" t="n">
        <v>0</v>
      </c>
      <c r="I570" t="n">
        <v>-170000</v>
      </c>
      <c r="J570" t="n">
        <v>0</v>
      </c>
      <c r="K570" t="n">
        <v>-555636.12</v>
      </c>
      <c r="L570" t="n">
        <v>0</v>
      </c>
      <c r="M570" t="n">
        <v>0</v>
      </c>
      <c r="N570" t="n">
        <v>0</v>
      </c>
      <c r="O570" t="n">
        <v>0</v>
      </c>
      <c r="P570" t="n">
        <v>2026</v>
      </c>
    </row>
    <row r="571">
      <c r="A571" t="inlineStr">
        <is>
          <t>W4102504262</t>
        </is>
      </c>
      <c r="B571" t="inlineStr">
        <is>
          <t>Zentrale EDV</t>
        </is>
      </c>
      <c r="C571" t="inlineStr">
        <is>
          <t>Verwaltung</t>
        </is>
      </c>
      <c r="D571" t="n">
        <v>0</v>
      </c>
      <c r="E571" t="n">
        <v>-22000</v>
      </c>
      <c r="F571" t="n">
        <v>0</v>
      </c>
      <c r="G571" t="n">
        <v>-65966.71000000001</v>
      </c>
      <c r="H571" t="n">
        <v>0</v>
      </c>
      <c r="I571" t="n">
        <v>-22000</v>
      </c>
      <c r="J571" t="n">
        <v>0</v>
      </c>
      <c r="K571" t="n">
        <v>-87966.71000000001</v>
      </c>
      <c r="L571" t="n">
        <v>0</v>
      </c>
      <c r="M571" t="n">
        <v>0</v>
      </c>
      <c r="N571" t="n">
        <v>0</v>
      </c>
      <c r="O571" t="n">
        <v>0</v>
      </c>
      <c r="P571" t="n">
        <v>2026</v>
      </c>
    </row>
    <row r="572">
      <c r="A572" t="inlineStr">
        <is>
          <t>W4102504941</t>
        </is>
      </c>
      <c r="B572" t="inlineStr">
        <is>
          <t>Betriebsrat</t>
        </is>
      </c>
      <c r="C572" t="inlineStr">
        <is>
          <t>Verwaltung</t>
        </is>
      </c>
      <c r="D572" t="n">
        <v>0</v>
      </c>
      <c r="E572" t="n">
        <v>-400</v>
      </c>
      <c r="F572" t="n">
        <v>0</v>
      </c>
      <c r="G572" t="n">
        <v>-590.37</v>
      </c>
      <c r="H572" t="n">
        <v>0</v>
      </c>
      <c r="I572" t="n">
        <v>-400</v>
      </c>
      <c r="J572" t="n">
        <v>0</v>
      </c>
      <c r="K572" t="n">
        <v>-990.37</v>
      </c>
      <c r="L572" t="n">
        <v>0</v>
      </c>
      <c r="M572" t="n">
        <v>0</v>
      </c>
      <c r="N572" t="n">
        <v>0</v>
      </c>
      <c r="O572" t="n">
        <v>0</v>
      </c>
      <c r="P572" t="n">
        <v>2026</v>
      </c>
    </row>
    <row r="573">
      <c r="A573" t="inlineStr">
        <is>
          <t>W4102504951</t>
        </is>
      </c>
      <c r="B573" t="inlineStr">
        <is>
          <t>Steuern</t>
        </is>
      </c>
      <c r="C573" t="inlineStr">
        <is>
          <t>Verwaltung</t>
        </is>
      </c>
      <c r="D573" t="n">
        <v>0</v>
      </c>
      <c r="E573" t="n">
        <v>0</v>
      </c>
      <c r="F573" t="n">
        <v>0</v>
      </c>
      <c r="G573" t="n">
        <v>-10.5</v>
      </c>
      <c r="H573" t="n">
        <v>0</v>
      </c>
      <c r="I573" t="n">
        <v>0</v>
      </c>
      <c r="J573" t="n">
        <v>0</v>
      </c>
      <c r="K573" t="n">
        <v>-10.5</v>
      </c>
      <c r="L573" t="n">
        <v>0</v>
      </c>
      <c r="M573" t="n">
        <v>0</v>
      </c>
      <c r="N573" t="n">
        <v>0</v>
      </c>
      <c r="O573" t="n">
        <v>0</v>
      </c>
      <c r="P573" t="n">
        <v>2026</v>
      </c>
    </row>
    <row r="574">
      <c r="A574" t="inlineStr">
        <is>
          <t>W4102504967</t>
        </is>
      </c>
      <c r="B574" t="inlineStr">
        <is>
          <t>CB-VT 476 Krull</t>
        </is>
      </c>
      <c r="C574" t="inlineStr">
        <is>
          <t>Verwaltung</t>
        </is>
      </c>
      <c r="D574" t="n">
        <v>0</v>
      </c>
      <c r="E574" t="n">
        <v>0</v>
      </c>
      <c r="F574" t="n">
        <v>0</v>
      </c>
      <c r="G574" t="n">
        <v>112.3</v>
      </c>
      <c r="H574" t="n">
        <v>0</v>
      </c>
      <c r="I574" t="n">
        <v>0</v>
      </c>
      <c r="J574" t="n">
        <v>0</v>
      </c>
      <c r="K574" t="n">
        <v>112.3</v>
      </c>
      <c r="L574" t="n">
        <v>0</v>
      </c>
      <c r="M574" t="n">
        <v>0</v>
      </c>
      <c r="N574" t="n">
        <v>0</v>
      </c>
      <c r="O574" t="n">
        <v>0</v>
      </c>
      <c r="P574" t="n">
        <v>2026</v>
      </c>
    </row>
    <row r="575">
      <c r="A575" t="inlineStr">
        <is>
          <t>W4102504971</t>
        </is>
      </c>
      <c r="B575" t="inlineStr">
        <is>
          <t>CB-CR 107 Werban</t>
        </is>
      </c>
      <c r="C575" t="inlineStr">
        <is>
          <t>Verwaltung</t>
        </is>
      </c>
      <c r="D575" t="n">
        <v>0</v>
      </c>
      <c r="E575" t="n">
        <v>-1600</v>
      </c>
      <c r="F575" t="n">
        <v>0</v>
      </c>
      <c r="G575" t="n">
        <v>-3939.21</v>
      </c>
      <c r="H575" t="n">
        <v>0</v>
      </c>
      <c r="I575" t="n">
        <v>-1600</v>
      </c>
      <c r="J575" t="n">
        <v>0</v>
      </c>
      <c r="K575" t="n">
        <v>-5539.21</v>
      </c>
      <c r="L575" t="n">
        <v>0</v>
      </c>
      <c r="M575" t="n">
        <v>0</v>
      </c>
      <c r="N575" t="n">
        <v>0</v>
      </c>
      <c r="O575" t="n">
        <v>0</v>
      </c>
      <c r="P575" t="n">
        <v>2026</v>
      </c>
    </row>
    <row r="576">
      <c r="A576" t="inlineStr">
        <is>
          <t>W4102504973</t>
        </is>
      </c>
      <c r="B576" t="inlineStr">
        <is>
          <t>CB- TV 300E Hr. Kemper Mercedes</t>
        </is>
      </c>
      <c r="C576" t="inlineStr">
        <is>
          <t>Verwaltung</t>
        </is>
      </c>
      <c r="D576" t="n">
        <v>0</v>
      </c>
      <c r="E576" t="n">
        <v>-5400</v>
      </c>
      <c r="F576" t="n">
        <v>0</v>
      </c>
      <c r="G576" t="n">
        <v>-14513.68</v>
      </c>
      <c r="H576" t="n">
        <v>0</v>
      </c>
      <c r="I576" t="n">
        <v>-5400</v>
      </c>
      <c r="J576" t="n">
        <v>0</v>
      </c>
      <c r="K576" t="n">
        <v>-19913.68</v>
      </c>
      <c r="L576" t="n">
        <v>0</v>
      </c>
      <c r="M576" t="n">
        <v>0</v>
      </c>
      <c r="N576" t="n">
        <v>0</v>
      </c>
      <c r="O576" t="n">
        <v>0</v>
      </c>
      <c r="P576" t="n">
        <v>2026</v>
      </c>
    </row>
    <row r="577">
      <c r="A577" t="inlineStr">
        <is>
          <t>W4102504974</t>
        </is>
      </c>
      <c r="B577" t="inlineStr">
        <is>
          <t>CB-TV 55E Volvo Herr Kay</t>
        </is>
      </c>
      <c r="C577" t="inlineStr">
        <is>
          <t>Verwaltung</t>
        </is>
      </c>
      <c r="D577" t="n">
        <v>0</v>
      </c>
      <c r="E577" t="n">
        <v>0</v>
      </c>
      <c r="F577" t="n">
        <v>0</v>
      </c>
      <c r="G577" t="n">
        <v>-11348.78</v>
      </c>
      <c r="H577" t="n">
        <v>0</v>
      </c>
      <c r="I577" t="n">
        <v>0</v>
      </c>
      <c r="J577" t="n">
        <v>0</v>
      </c>
      <c r="K577" t="n">
        <v>-11348.78</v>
      </c>
      <c r="L577" t="n">
        <v>0</v>
      </c>
      <c r="M577" t="n">
        <v>0</v>
      </c>
      <c r="N577" t="n">
        <v>0</v>
      </c>
      <c r="O577" t="n">
        <v>0</v>
      </c>
      <c r="P577" t="n">
        <v>2026</v>
      </c>
    </row>
    <row r="578">
      <c r="A578" t="inlineStr">
        <is>
          <t>W4102504975</t>
        </is>
      </c>
      <c r="B578" t="inlineStr">
        <is>
          <t>PKW Frau Noack</t>
        </is>
      </c>
      <c r="C578" t="inlineStr">
        <is>
          <t>Verwaltung</t>
        </is>
      </c>
      <c r="D578" t="n">
        <v>0</v>
      </c>
      <c r="E578" t="n">
        <v>-5400</v>
      </c>
      <c r="F578" t="n">
        <v>0</v>
      </c>
      <c r="G578" t="n">
        <v>-7633.76</v>
      </c>
      <c r="H578" t="n">
        <v>0</v>
      </c>
      <c r="I578" t="n">
        <v>-5400</v>
      </c>
      <c r="J578" t="n">
        <v>0</v>
      </c>
      <c r="K578" t="n">
        <v>-13033.76</v>
      </c>
      <c r="L578" t="n">
        <v>0</v>
      </c>
      <c r="M578" t="n">
        <v>0</v>
      </c>
      <c r="N578" t="n">
        <v>0</v>
      </c>
      <c r="O578" t="n">
        <v>0</v>
      </c>
      <c r="P578" t="n">
        <v>2026</v>
      </c>
    </row>
    <row r="579">
      <c r="A579" t="inlineStr">
        <is>
          <t>W4102504976</t>
        </is>
      </c>
      <c r="B579" t="inlineStr">
        <is>
          <t>CB-TV 104 Skoda Superb - Herr Kenski</t>
        </is>
      </c>
      <c r="C579" t="inlineStr">
        <is>
          <t>Verwaltung</t>
        </is>
      </c>
      <c r="D579" t="n">
        <v>0</v>
      </c>
      <c r="E579" t="n">
        <v>-5400</v>
      </c>
      <c r="F579" t="n">
        <v>0</v>
      </c>
      <c r="G579" t="n">
        <v>-5379.28</v>
      </c>
      <c r="H579" t="n">
        <v>0</v>
      </c>
      <c r="I579" t="n">
        <v>-5400</v>
      </c>
      <c r="J579" t="n">
        <v>0</v>
      </c>
      <c r="K579" t="n">
        <v>-10779.28</v>
      </c>
      <c r="L579" t="n">
        <v>0</v>
      </c>
      <c r="M579" t="n">
        <v>0</v>
      </c>
      <c r="N579" t="n">
        <v>0</v>
      </c>
      <c r="O579" t="n">
        <v>0</v>
      </c>
      <c r="P579" t="n">
        <v>2026</v>
      </c>
    </row>
    <row r="580">
      <c r="A580" t="inlineStr">
        <is>
          <t>W4102602023</t>
        </is>
      </c>
      <c r="B580" t="inlineStr">
        <is>
          <t>nachlaufende Kosten</t>
        </is>
      </c>
      <c r="C580" t="inlineStr">
        <is>
          <t>Ost</t>
        </is>
      </c>
      <c r="D580" t="n">
        <v>0</v>
      </c>
      <c r="E580" t="n">
        <v>0</v>
      </c>
      <c r="F580" t="n">
        <v>0</v>
      </c>
      <c r="G580" t="n">
        <v>-761.1</v>
      </c>
      <c r="H580" t="n">
        <v>0</v>
      </c>
      <c r="I580" t="n">
        <v>0</v>
      </c>
      <c r="J580" t="n">
        <v>0</v>
      </c>
      <c r="K580" t="n">
        <v>-761.1</v>
      </c>
      <c r="L580" t="n">
        <v>0</v>
      </c>
      <c r="M580" t="n">
        <v>0</v>
      </c>
      <c r="N580" t="n">
        <v>0</v>
      </c>
      <c r="O580" t="n">
        <v>0</v>
      </c>
      <c r="P580" t="n">
        <v>2026</v>
      </c>
    </row>
    <row r="581">
      <c r="A581" t="inlineStr">
        <is>
          <t>W4102604411</t>
        </is>
      </c>
      <c r="B581" t="inlineStr">
        <is>
          <t>Vertrieb Region Ost</t>
        </is>
      </c>
      <c r="C581" t="inlineStr">
        <is>
          <t>Ost</t>
        </is>
      </c>
      <c r="D581" t="n">
        <v>0</v>
      </c>
      <c r="E581" t="n">
        <v>0</v>
      </c>
      <c r="F581" t="n">
        <v>0</v>
      </c>
      <c r="G581" t="n">
        <v>-92999.39999999999</v>
      </c>
      <c r="H581" t="n">
        <v>0</v>
      </c>
      <c r="I581" t="n">
        <v>0</v>
      </c>
      <c r="J581" t="n">
        <v>0</v>
      </c>
      <c r="K581" t="n">
        <v>-92999.39999999999</v>
      </c>
      <c r="L581" t="n">
        <v>0</v>
      </c>
      <c r="M581" t="n">
        <v>0</v>
      </c>
      <c r="N581" t="n">
        <v>0</v>
      </c>
      <c r="O581" t="n">
        <v>0</v>
      </c>
      <c r="P581" t="n">
        <v>2026</v>
      </c>
    </row>
    <row r="582">
      <c r="A582" t="inlineStr">
        <is>
          <t>W4102604414</t>
        </is>
      </c>
      <c r="B582" t="inlineStr">
        <is>
          <t>Halle Boxberg</t>
        </is>
      </c>
      <c r="C582" t="inlineStr">
        <is>
          <t>Ost</t>
        </is>
      </c>
      <c r="D582" t="n">
        <v>0</v>
      </c>
      <c r="E582" t="n">
        <v>0</v>
      </c>
      <c r="F582" t="n">
        <v>11272.5</v>
      </c>
      <c r="G582" t="n">
        <v>-9792.09</v>
      </c>
      <c r="H582" t="n">
        <v>0</v>
      </c>
      <c r="I582" t="n">
        <v>0</v>
      </c>
      <c r="J582" t="n">
        <v>11272.5</v>
      </c>
      <c r="K582" t="n">
        <v>-9792.09</v>
      </c>
      <c r="L582" t="n">
        <v>0</v>
      </c>
      <c r="M582" t="n">
        <v>0</v>
      </c>
      <c r="N582" t="n">
        <v>0</v>
      </c>
      <c r="O582" t="n">
        <v>0</v>
      </c>
      <c r="P582" t="n">
        <v>2026</v>
      </c>
    </row>
    <row r="583">
      <c r="A583" t="inlineStr">
        <is>
          <t>W4102604611</t>
        </is>
      </c>
      <c r="B583" t="inlineStr">
        <is>
          <t>Lager Regon Sued</t>
        </is>
      </c>
      <c r="C583" t="inlineStr">
        <is>
          <t>Ost</t>
        </is>
      </c>
      <c r="D583" t="n">
        <v>0</v>
      </c>
      <c r="E583" t="n">
        <v>0</v>
      </c>
      <c r="F583" t="n">
        <v>0</v>
      </c>
      <c r="G583" t="n">
        <v>-15481.18</v>
      </c>
      <c r="H583" t="n">
        <v>0</v>
      </c>
      <c r="I583" t="n">
        <v>0</v>
      </c>
      <c r="J583" t="n">
        <v>0</v>
      </c>
      <c r="K583" t="n">
        <v>-15481.18</v>
      </c>
      <c r="L583" t="n">
        <v>0</v>
      </c>
      <c r="M583" t="n">
        <v>0</v>
      </c>
      <c r="N583" t="n">
        <v>0</v>
      </c>
      <c r="O583" t="n">
        <v>0</v>
      </c>
      <c r="P583" t="n">
        <v>2026</v>
      </c>
    </row>
    <row r="584">
      <c r="A584" t="inlineStr">
        <is>
          <t>W4102604612</t>
        </is>
      </c>
      <c r="B584" t="inlineStr">
        <is>
          <t>Recyclingplatz Boxberg</t>
        </is>
      </c>
      <c r="C584" t="inlineStr">
        <is>
          <t>Ost</t>
        </is>
      </c>
      <c r="D584" t="n">
        <v>0</v>
      </c>
      <c r="E584" t="n">
        <v>0</v>
      </c>
      <c r="F584" t="n">
        <v>11153.42</v>
      </c>
      <c r="G584" t="n">
        <v>-365.72</v>
      </c>
      <c r="H584" t="n">
        <v>0</v>
      </c>
      <c r="I584" t="n">
        <v>0</v>
      </c>
      <c r="J584" t="n">
        <v>11153.42</v>
      </c>
      <c r="K584" t="n">
        <v>-365.72</v>
      </c>
      <c r="L584" t="n">
        <v>0</v>
      </c>
      <c r="M584" t="n">
        <v>0</v>
      </c>
      <c r="N584" t="n">
        <v>0</v>
      </c>
      <c r="O584" t="n">
        <v>0</v>
      </c>
      <c r="P584" t="n">
        <v>2026</v>
      </c>
    </row>
    <row r="585">
      <c r="A585" t="inlineStr">
        <is>
          <t>W4102604938</t>
        </is>
      </c>
      <c r="B585" t="inlineStr">
        <is>
          <t>CB-AA 501 Spindler</t>
        </is>
      </c>
      <c r="C585" t="inlineStr">
        <is>
          <t>Ost</t>
        </is>
      </c>
      <c r="D585" t="n">
        <v>0</v>
      </c>
      <c r="E585" t="n">
        <v>0</v>
      </c>
      <c r="F585" t="n">
        <v>0</v>
      </c>
      <c r="G585" t="n">
        <v>-9673.93</v>
      </c>
      <c r="H585" t="n">
        <v>0</v>
      </c>
      <c r="I585" t="n">
        <v>0</v>
      </c>
      <c r="J585" t="n">
        <v>0</v>
      </c>
      <c r="K585" t="n">
        <v>-9673.93</v>
      </c>
      <c r="L585" t="n">
        <v>0</v>
      </c>
      <c r="M585" t="n">
        <v>0</v>
      </c>
      <c r="N585" t="n">
        <v>0</v>
      </c>
      <c r="O585" t="n">
        <v>0</v>
      </c>
      <c r="P585" t="n">
        <v>2026</v>
      </c>
    </row>
    <row r="586">
      <c r="A586" t="inlineStr">
        <is>
          <t>W4102604940</t>
        </is>
      </c>
      <c r="B586" t="inlineStr">
        <is>
          <t>CB-VT 475 Heilmann</t>
        </is>
      </c>
      <c r="C586" t="inlineStr">
        <is>
          <t>Ost</t>
        </is>
      </c>
      <c r="D586" t="n">
        <v>0</v>
      </c>
      <c r="E586" t="n">
        <v>0</v>
      </c>
      <c r="F586" t="n">
        <v>0</v>
      </c>
      <c r="G586" t="n">
        <v>-4628.19</v>
      </c>
      <c r="H586" t="n">
        <v>0</v>
      </c>
      <c r="I586" t="n">
        <v>0</v>
      </c>
      <c r="J586" t="n">
        <v>0</v>
      </c>
      <c r="K586" t="n">
        <v>-4628.19</v>
      </c>
      <c r="L586" t="n">
        <v>0</v>
      </c>
      <c r="M586" t="n">
        <v>0</v>
      </c>
      <c r="N586" t="n">
        <v>0</v>
      </c>
      <c r="O586" t="n">
        <v>0</v>
      </c>
      <c r="P586" t="n">
        <v>2026</v>
      </c>
    </row>
    <row r="587">
      <c r="A587" t="inlineStr">
        <is>
          <t>W4102604941</t>
        </is>
      </c>
      <c r="B587" t="inlineStr">
        <is>
          <t>CB-TV 22E Tayron Hr Lorenz</t>
        </is>
      </c>
      <c r="C587" t="inlineStr">
        <is>
          <t>Ost</t>
        </is>
      </c>
      <c r="D587" t="n">
        <v>0</v>
      </c>
      <c r="E587" t="n">
        <v>0</v>
      </c>
      <c r="F587" t="n">
        <v>0</v>
      </c>
      <c r="G587" t="n">
        <v>-15276.38</v>
      </c>
      <c r="H587" t="n">
        <v>0</v>
      </c>
      <c r="I587" t="n">
        <v>0</v>
      </c>
      <c r="J587" t="n">
        <v>0</v>
      </c>
      <c r="K587" t="n">
        <v>-15276.38</v>
      </c>
      <c r="L587" t="n">
        <v>0</v>
      </c>
      <c r="M587" t="n">
        <v>0</v>
      </c>
      <c r="N587" t="n">
        <v>0</v>
      </c>
      <c r="O587" t="n">
        <v>0</v>
      </c>
      <c r="P587" t="n">
        <v>2026</v>
      </c>
    </row>
    <row r="588">
      <c r="A588" t="inlineStr">
        <is>
          <t>W4102604949</t>
        </is>
      </c>
      <c r="B588" t="inlineStr">
        <is>
          <t>CB - VT 686 Passat Fr. Kolber</t>
        </is>
      </c>
      <c r="C588" t="inlineStr">
        <is>
          <t>Ost</t>
        </is>
      </c>
      <c r="D588" t="n">
        <v>0</v>
      </c>
      <c r="E588" t="n">
        <v>0</v>
      </c>
      <c r="F588" t="n">
        <v>0</v>
      </c>
      <c r="G588" t="n">
        <v>-6913.67</v>
      </c>
      <c r="H588" t="n">
        <v>0</v>
      </c>
      <c r="I588" t="n">
        <v>0</v>
      </c>
      <c r="J588" t="n">
        <v>0</v>
      </c>
      <c r="K588" t="n">
        <v>-6913.67</v>
      </c>
      <c r="L588" t="n">
        <v>0</v>
      </c>
      <c r="M588" t="n">
        <v>0</v>
      </c>
      <c r="N588" t="n">
        <v>0</v>
      </c>
      <c r="O588" t="n">
        <v>0</v>
      </c>
      <c r="P588" t="n">
        <v>2026</v>
      </c>
    </row>
    <row r="589">
      <c r="A589" t="inlineStr">
        <is>
          <t>W4102604950</t>
        </is>
      </c>
      <c r="B589" t="inlineStr">
        <is>
          <t>CB-TV 97 Hr. Mühlberg</t>
        </is>
      </c>
      <c r="C589" t="inlineStr">
        <is>
          <t>Ost</t>
        </is>
      </c>
      <c r="D589" t="n">
        <v>0</v>
      </c>
      <c r="E589" t="n">
        <v>0</v>
      </c>
      <c r="F589" t="n">
        <v>0</v>
      </c>
      <c r="G589" t="n">
        <v>-8323.5</v>
      </c>
      <c r="H589" t="n">
        <v>0</v>
      </c>
      <c r="I589" t="n">
        <v>0</v>
      </c>
      <c r="J589" t="n">
        <v>0</v>
      </c>
      <c r="K589" t="n">
        <v>-8323.5</v>
      </c>
      <c r="L589" t="n">
        <v>0</v>
      </c>
      <c r="M589" t="n">
        <v>0</v>
      </c>
      <c r="N589" t="n">
        <v>0</v>
      </c>
      <c r="O589" t="n">
        <v>0</v>
      </c>
      <c r="P589" t="n">
        <v>2026</v>
      </c>
    </row>
    <row r="590">
      <c r="A590" t="inlineStr">
        <is>
          <t>W4102604951</t>
        </is>
      </c>
      <c r="B590" t="inlineStr">
        <is>
          <t>PKW Herr Tymczy</t>
        </is>
      </c>
      <c r="C590" t="inlineStr">
        <is>
          <t>Ost</t>
        </is>
      </c>
      <c r="D590" t="n">
        <v>0</v>
      </c>
      <c r="E590" t="n">
        <v>0</v>
      </c>
      <c r="F590" t="n">
        <v>0</v>
      </c>
      <c r="G590" t="n">
        <v>-2396.61</v>
      </c>
      <c r="H590" t="n">
        <v>0</v>
      </c>
      <c r="I590" t="n">
        <v>0</v>
      </c>
      <c r="J590" t="n">
        <v>0</v>
      </c>
      <c r="K590" t="n">
        <v>-2396.61</v>
      </c>
      <c r="L590" t="n">
        <v>0</v>
      </c>
      <c r="M590" t="n">
        <v>0</v>
      </c>
      <c r="N590" t="n">
        <v>0</v>
      </c>
      <c r="O590" t="n">
        <v>0</v>
      </c>
      <c r="P590" t="n">
        <v>2026</v>
      </c>
    </row>
    <row r="591">
      <c r="A591" t="inlineStr">
        <is>
          <t>W4102608246</t>
        </is>
      </c>
      <c r="B591" t="inlineStr">
        <is>
          <t>RB Kohlebunker/Brücke Lübbenau</t>
        </is>
      </c>
      <c r="C591" t="inlineStr">
        <is>
          <t>Ost</t>
        </is>
      </c>
      <c r="D591" t="n">
        <v>0</v>
      </c>
      <c r="E591" t="n">
        <v>0</v>
      </c>
      <c r="F591" t="n">
        <v>0</v>
      </c>
      <c r="G591" t="n">
        <v>-7875</v>
      </c>
      <c r="H591" t="n">
        <v>0</v>
      </c>
      <c r="I591" t="n">
        <v>0</v>
      </c>
      <c r="J591" t="n">
        <v>0</v>
      </c>
      <c r="K591" t="n">
        <v>-7875</v>
      </c>
      <c r="L591" t="n">
        <v>0</v>
      </c>
      <c r="M591" t="n">
        <v>0</v>
      </c>
      <c r="N591" t="n">
        <v>0</v>
      </c>
      <c r="O591" t="n">
        <v>0</v>
      </c>
      <c r="P591" t="n">
        <v>2026</v>
      </c>
    </row>
    <row r="592">
      <c r="A592" t="inlineStr">
        <is>
          <t>W4102651216</t>
        </is>
      </c>
      <c r="B592" t="inlineStr">
        <is>
          <t>Bagger CAT 326 07 FLN</t>
        </is>
      </c>
      <c r="C592" t="inlineStr">
        <is>
          <t>Berlin</t>
        </is>
      </c>
      <c r="D592" t="n">
        <v>0</v>
      </c>
      <c r="E592" t="n">
        <v>0</v>
      </c>
      <c r="F592" t="n">
        <v>0</v>
      </c>
      <c r="G592" t="n">
        <v>-2570</v>
      </c>
      <c r="H592" t="n">
        <v>0</v>
      </c>
      <c r="I592" t="n">
        <v>0</v>
      </c>
      <c r="J592" t="n">
        <v>0</v>
      </c>
      <c r="K592" t="n">
        <v>-2570</v>
      </c>
      <c r="L592" t="n">
        <v>0</v>
      </c>
      <c r="M592" t="n">
        <v>0</v>
      </c>
      <c r="N592" t="n">
        <v>0</v>
      </c>
      <c r="O592" t="n">
        <v>0</v>
      </c>
      <c r="P592" t="n">
        <v>2026</v>
      </c>
    </row>
    <row r="593">
      <c r="A593" t="inlineStr">
        <is>
          <t>W4102652709</t>
        </is>
      </c>
      <c r="B593" t="inlineStr">
        <is>
          <t>CB-TV 96 Remault Kangoo</t>
        </is>
      </c>
      <c r="C593" t="inlineStr">
        <is>
          <t>Berlin</t>
        </is>
      </c>
      <c r="D593" t="n">
        <v>0</v>
      </c>
      <c r="E593" t="n">
        <v>0</v>
      </c>
      <c r="F593" t="n">
        <v>0</v>
      </c>
      <c r="G593" t="n">
        <v>-778.71</v>
      </c>
      <c r="H593" t="n">
        <v>0</v>
      </c>
      <c r="I593" t="n">
        <v>0</v>
      </c>
      <c r="J593" t="n">
        <v>0</v>
      </c>
      <c r="K593" t="n">
        <v>-778.71</v>
      </c>
      <c r="L593" t="n">
        <v>0</v>
      </c>
      <c r="M593" t="n">
        <v>0</v>
      </c>
      <c r="N593" t="n">
        <v>0</v>
      </c>
      <c r="O593" t="n">
        <v>0</v>
      </c>
      <c r="P593" t="n">
        <v>2026</v>
      </c>
    </row>
    <row r="594">
      <c r="A594" t="inlineStr">
        <is>
          <t>W4102654411</t>
        </is>
      </c>
      <c r="B594" t="inlineStr">
        <is>
          <t>VVK Berlin</t>
        </is>
      </c>
      <c r="C594" t="inlineStr">
        <is>
          <t>Berlin</t>
        </is>
      </c>
      <c r="D594" t="n">
        <v>0</v>
      </c>
      <c r="E594" t="n">
        <v>0</v>
      </c>
      <c r="F594" t="n">
        <v>0</v>
      </c>
      <c r="G594" t="n">
        <v>-34906.06</v>
      </c>
      <c r="H594" t="n">
        <v>0</v>
      </c>
      <c r="I594" t="n">
        <v>0</v>
      </c>
      <c r="J594" t="n">
        <v>0</v>
      </c>
      <c r="K594" t="n">
        <v>-34906.06</v>
      </c>
      <c r="L594" t="n">
        <v>0</v>
      </c>
      <c r="M594" t="n">
        <v>0</v>
      </c>
      <c r="N594" t="n">
        <v>0</v>
      </c>
      <c r="O594" t="n">
        <v>0</v>
      </c>
      <c r="P594" t="n">
        <v>2026</v>
      </c>
    </row>
    <row r="595">
      <c r="A595" t="inlineStr">
        <is>
          <t>W4102654611</t>
        </is>
      </c>
      <c r="B595" t="inlineStr">
        <is>
          <t>Lager Region Berlin</t>
        </is>
      </c>
      <c r="C595" t="inlineStr">
        <is>
          <t>Berlin</t>
        </is>
      </c>
      <c r="D595" t="n">
        <v>0</v>
      </c>
      <c r="E595" t="n">
        <v>0</v>
      </c>
      <c r="F595" t="n">
        <v>0</v>
      </c>
      <c r="G595" t="n">
        <v>-54513.8</v>
      </c>
      <c r="H595" t="n">
        <v>0</v>
      </c>
      <c r="I595" t="n">
        <v>0</v>
      </c>
      <c r="J595" t="n">
        <v>0</v>
      </c>
      <c r="K595" t="n">
        <v>-54513.8</v>
      </c>
      <c r="L595" t="n">
        <v>0</v>
      </c>
      <c r="M595" t="n">
        <v>0</v>
      </c>
      <c r="N595" t="n">
        <v>0</v>
      </c>
      <c r="O595" t="n">
        <v>0</v>
      </c>
      <c r="P595" t="n">
        <v>2026</v>
      </c>
    </row>
    <row r="596">
      <c r="A596" t="inlineStr">
        <is>
          <t>W4102654945</t>
        </is>
      </c>
      <c r="B596" t="inlineStr">
        <is>
          <t>CB- TV 300E Hr. Kemper Mercedes</t>
        </is>
      </c>
      <c r="C596" t="inlineStr">
        <is>
          <t>Berlin</t>
        </is>
      </c>
      <c r="D596" t="n">
        <v>0</v>
      </c>
      <c r="E596" t="n">
        <v>0</v>
      </c>
      <c r="F596" t="n">
        <v>0</v>
      </c>
      <c r="G596" t="n">
        <v>-15640.24</v>
      </c>
      <c r="H596" t="n">
        <v>0</v>
      </c>
      <c r="I596" t="n">
        <v>0</v>
      </c>
      <c r="J596" t="n">
        <v>0</v>
      </c>
      <c r="K596" t="n">
        <v>-15640.24</v>
      </c>
      <c r="L596" t="n">
        <v>0</v>
      </c>
      <c r="M596" t="n">
        <v>0</v>
      </c>
      <c r="N596" t="n">
        <v>0</v>
      </c>
      <c r="O596" t="n">
        <v>0</v>
      </c>
      <c r="P596" t="n">
        <v>2026</v>
      </c>
    </row>
    <row r="597">
      <c r="A597" t="inlineStr">
        <is>
          <t>W4102654946</t>
        </is>
      </c>
      <c r="B597" t="inlineStr">
        <is>
          <t>CB-TV 65 Hr Braun</t>
        </is>
      </c>
      <c r="C597" t="inlineStr">
        <is>
          <t>Berlin</t>
        </is>
      </c>
      <c r="D597" t="n">
        <v>0</v>
      </c>
      <c r="E597" t="n">
        <v>0</v>
      </c>
      <c r="F597" t="n">
        <v>0</v>
      </c>
      <c r="G597" t="n">
        <v>-6616.91</v>
      </c>
      <c r="H597" t="n">
        <v>0</v>
      </c>
      <c r="I597" t="n">
        <v>0</v>
      </c>
      <c r="J597" t="n">
        <v>0</v>
      </c>
      <c r="K597" t="n">
        <v>-6616.91</v>
      </c>
      <c r="L597" t="n">
        <v>0</v>
      </c>
      <c r="M597" t="n">
        <v>0</v>
      </c>
      <c r="N597" t="n">
        <v>0</v>
      </c>
      <c r="O597" t="n">
        <v>0</v>
      </c>
      <c r="P597" t="n">
        <v>2026</v>
      </c>
    </row>
    <row r="598">
      <c r="A598" t="inlineStr">
        <is>
          <t>W4102654947</t>
        </is>
      </c>
      <c r="B598" t="inlineStr">
        <is>
          <t>CB-TV 200 Hr. Adil</t>
        </is>
      </c>
      <c r="C598" t="inlineStr">
        <is>
          <t>Berlin</t>
        </is>
      </c>
      <c r="D598" t="n">
        <v>0</v>
      </c>
      <c r="E598" t="n">
        <v>0</v>
      </c>
      <c r="F598" t="n">
        <v>0</v>
      </c>
      <c r="G598" t="n">
        <v>-3949</v>
      </c>
      <c r="H598" t="n">
        <v>0</v>
      </c>
      <c r="I598" t="n">
        <v>0</v>
      </c>
      <c r="J598" t="n">
        <v>0</v>
      </c>
      <c r="K598" t="n">
        <v>-3949</v>
      </c>
      <c r="L598" t="n">
        <v>0</v>
      </c>
      <c r="M598" t="n">
        <v>0</v>
      </c>
      <c r="N598" t="n">
        <v>0</v>
      </c>
      <c r="O598" t="n">
        <v>0</v>
      </c>
      <c r="P598" t="n">
        <v>2026</v>
      </c>
    </row>
    <row r="599">
      <c r="D599" t="n">
        <v>0</v>
      </c>
      <c r="E599" t="n">
        <v>0</v>
      </c>
      <c r="F599" t="n">
        <v>-128.47</v>
      </c>
      <c r="G599" t="n">
        <v>-3256845.05</v>
      </c>
      <c r="H599" t="n">
        <v>0</v>
      </c>
      <c r="I599" t="n">
        <v>0</v>
      </c>
      <c r="J599" t="n">
        <v>-128.47</v>
      </c>
      <c r="K599" t="n">
        <v>-3256845.05</v>
      </c>
      <c r="L599" t="n">
        <v>0</v>
      </c>
      <c r="M599" t="n">
        <v>0</v>
      </c>
      <c r="N599" t="n">
        <v>0</v>
      </c>
      <c r="O599" t="n">
        <v>0</v>
      </c>
      <c r="P599" t="n">
        <v>2026</v>
      </c>
    </row>
    <row r="600">
      <c r="A600" t="inlineStr">
        <is>
          <t>W4102304949</t>
        </is>
      </c>
      <c r="D600" t="n">
        <v>0</v>
      </c>
      <c r="E600" t="n">
        <v>0</v>
      </c>
      <c r="F600" t="n">
        <v>0</v>
      </c>
      <c r="G600" t="n">
        <v>-1187.54</v>
      </c>
      <c r="H600" t="n">
        <v>0</v>
      </c>
      <c r="I600" t="n">
        <v>0</v>
      </c>
      <c r="J600" t="n">
        <v>0</v>
      </c>
      <c r="K600" t="n">
        <v>-1187.54</v>
      </c>
      <c r="L600" t="n">
        <v>0</v>
      </c>
      <c r="M600" t="n">
        <v>0</v>
      </c>
      <c r="N600" t="n">
        <v>0</v>
      </c>
      <c r="O600" t="n">
        <v>0</v>
      </c>
      <c r="P600" t="n">
        <v>2026</v>
      </c>
    </row>
    <row r="601">
      <c r="A601" t="inlineStr">
        <is>
          <t>W4102604613</t>
        </is>
      </c>
      <c r="D601" t="n">
        <v>0</v>
      </c>
      <c r="E601" t="n">
        <v>0</v>
      </c>
      <c r="F601" t="n">
        <v>0</v>
      </c>
      <c r="G601" t="n">
        <v>-2192.04</v>
      </c>
      <c r="H601" t="n">
        <v>0</v>
      </c>
      <c r="I601" t="n">
        <v>0</v>
      </c>
      <c r="J601" t="n">
        <v>0</v>
      </c>
      <c r="K601" t="n">
        <v>-2192.04</v>
      </c>
      <c r="L601" t="n">
        <v>0</v>
      </c>
      <c r="M601" t="n">
        <v>0</v>
      </c>
      <c r="N601" t="n">
        <v>0</v>
      </c>
      <c r="O601" t="n">
        <v>0</v>
      </c>
      <c r="P601" t="n">
        <v>2026</v>
      </c>
    </row>
    <row r="602">
      <c r="A602" t="inlineStr">
        <is>
          <t>W4102607081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2026</v>
      </c>
    </row>
    <row r="603">
      <c r="A603" t="inlineStr">
        <is>
          <t>W4102504978</t>
        </is>
      </c>
      <c r="D603" t="n">
        <v>0</v>
      </c>
      <c r="E603" t="n">
        <v>0</v>
      </c>
      <c r="F603" t="n">
        <v>0</v>
      </c>
      <c r="G603" t="n">
        <v>-1002.99</v>
      </c>
      <c r="H603" t="n">
        <v>0</v>
      </c>
      <c r="I603" t="n">
        <v>0</v>
      </c>
      <c r="J603" t="n">
        <v>0</v>
      </c>
      <c r="K603" t="n">
        <v>-1002.99</v>
      </c>
      <c r="L603" t="n">
        <v>0</v>
      </c>
      <c r="M603" t="n">
        <v>0</v>
      </c>
      <c r="N603" t="n">
        <v>0</v>
      </c>
      <c r="O603" t="n">
        <v>0</v>
      </c>
      <c r="P603" t="n">
        <v>2026</v>
      </c>
    </row>
    <row r="604">
      <c r="A604" t="inlineStr">
        <is>
          <t>P4102307452</t>
        </is>
      </c>
      <c r="D604" t="n">
        <v>0</v>
      </c>
      <c r="E604" t="n">
        <v>0</v>
      </c>
      <c r="F604" t="n">
        <v>0</v>
      </c>
      <c r="G604" t="n">
        <v>-349.4</v>
      </c>
      <c r="H604" t="n">
        <v>0</v>
      </c>
      <c r="I604" t="n">
        <v>0</v>
      </c>
      <c r="J604" t="n">
        <v>0</v>
      </c>
      <c r="K604" t="n">
        <v>-349.4</v>
      </c>
      <c r="L604" t="n">
        <v>0</v>
      </c>
      <c r="M604" t="n">
        <v>0</v>
      </c>
      <c r="N604" t="n">
        <v>0</v>
      </c>
      <c r="O604" t="n">
        <v>0</v>
      </c>
      <c r="P604" t="n">
        <v>2026</v>
      </c>
    </row>
    <row r="605">
      <c r="A605" t="inlineStr">
        <is>
          <t>W4102309045</t>
        </is>
      </c>
      <c r="D605" t="n">
        <v>0</v>
      </c>
      <c r="E605" t="n">
        <v>0</v>
      </c>
      <c r="F605" t="n">
        <v>0</v>
      </c>
      <c r="G605" t="n">
        <v>-77.84999999999999</v>
      </c>
      <c r="H605" t="n">
        <v>0</v>
      </c>
      <c r="I605" t="n">
        <v>0</v>
      </c>
      <c r="J605" t="n">
        <v>0</v>
      </c>
      <c r="K605" t="n">
        <v>-77.84999999999999</v>
      </c>
      <c r="L605" t="n">
        <v>0</v>
      </c>
      <c r="M605" t="n">
        <v>0</v>
      </c>
      <c r="N605" t="n">
        <v>0</v>
      </c>
      <c r="O605" t="n">
        <v>0</v>
      </c>
      <c r="P605" t="n">
        <v>2026</v>
      </c>
    </row>
    <row r="606">
      <c r="A606" t="inlineStr">
        <is>
          <t>W4102604501</t>
        </is>
      </c>
      <c r="D606" t="n">
        <v>0</v>
      </c>
      <c r="E606" t="n">
        <v>0</v>
      </c>
      <c r="F606" t="n">
        <v>0</v>
      </c>
      <c r="G606" t="n">
        <v>-33.46</v>
      </c>
      <c r="H606" t="n">
        <v>0</v>
      </c>
      <c r="I606" t="n">
        <v>0</v>
      </c>
      <c r="J606" t="n">
        <v>0</v>
      </c>
      <c r="K606" t="n">
        <v>-33.46</v>
      </c>
      <c r="L606" t="n">
        <v>0</v>
      </c>
      <c r="M606" t="n">
        <v>0</v>
      </c>
      <c r="N606" t="n">
        <v>0</v>
      </c>
      <c r="O606" t="n">
        <v>0</v>
      </c>
      <c r="P606" t="n">
        <v>2026</v>
      </c>
    </row>
    <row r="607">
      <c r="A607" t="inlineStr">
        <is>
          <t>W4102304948</t>
        </is>
      </c>
      <c r="D607" t="n">
        <v>0</v>
      </c>
      <c r="E607" t="n">
        <v>0</v>
      </c>
      <c r="F607" t="n">
        <v>0</v>
      </c>
      <c r="G607" t="n">
        <v>-180.18</v>
      </c>
      <c r="H607" t="n">
        <v>0</v>
      </c>
      <c r="I607" t="n">
        <v>0</v>
      </c>
      <c r="J607" t="n">
        <v>0</v>
      </c>
      <c r="K607" t="n">
        <v>-180.18</v>
      </c>
      <c r="L607" t="n">
        <v>0</v>
      </c>
      <c r="M607" t="n">
        <v>0</v>
      </c>
      <c r="N607" t="n">
        <v>0</v>
      </c>
      <c r="O607" t="n">
        <v>0</v>
      </c>
      <c r="P607" t="n">
        <v>2026</v>
      </c>
    </row>
    <row r="608">
      <c r="A608" t="inlineStr">
        <is>
          <t>P4102608277</t>
        </is>
      </c>
      <c r="D608" t="n">
        <v>0</v>
      </c>
      <c r="E608" t="n">
        <v>0</v>
      </c>
      <c r="F608" t="n">
        <v>9367.07</v>
      </c>
      <c r="G608" t="n">
        <v>-5289.44</v>
      </c>
      <c r="H608" t="n">
        <v>0</v>
      </c>
      <c r="I608" t="n">
        <v>0</v>
      </c>
      <c r="J608" t="n">
        <v>9367.07</v>
      </c>
      <c r="K608" t="n">
        <v>-5289.44</v>
      </c>
      <c r="L608" t="n">
        <v>0</v>
      </c>
      <c r="M608" t="n">
        <v>0</v>
      </c>
      <c r="N608" t="n">
        <v>0</v>
      </c>
      <c r="O608" t="n">
        <v>0</v>
      </c>
      <c r="P608" t="n">
        <v>2026</v>
      </c>
    </row>
    <row r="609">
      <c r="A609" t="inlineStr">
        <is>
          <t>W4102307366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2026</v>
      </c>
    </row>
    <row r="610">
      <c r="A610" t="inlineStr">
        <is>
          <t>P4102607081</t>
        </is>
      </c>
      <c r="D610" t="n">
        <v>0</v>
      </c>
      <c r="E610" t="n">
        <v>0</v>
      </c>
      <c r="F610" t="n">
        <v>0</v>
      </c>
      <c r="G610" t="n">
        <v>-177.57</v>
      </c>
      <c r="H610" t="n">
        <v>0</v>
      </c>
      <c r="I610" t="n">
        <v>0</v>
      </c>
      <c r="J610" t="n">
        <v>0</v>
      </c>
      <c r="K610" t="n">
        <v>-177.57</v>
      </c>
      <c r="L610" t="n">
        <v>0</v>
      </c>
      <c r="M610" t="n">
        <v>0</v>
      </c>
      <c r="N610" t="n">
        <v>0</v>
      </c>
      <c r="O610" t="n">
        <v>0</v>
      </c>
      <c r="P610" t="n">
        <v>2026</v>
      </c>
    </row>
    <row r="611">
      <c r="A611" t="inlineStr">
        <is>
          <t>P4102307451</t>
        </is>
      </c>
      <c r="D611" t="n">
        <v>0</v>
      </c>
      <c r="E611" t="n">
        <v>0</v>
      </c>
      <c r="F611" t="n">
        <v>0</v>
      </c>
      <c r="G611" t="n">
        <v>-2162</v>
      </c>
      <c r="H611" t="n">
        <v>0</v>
      </c>
      <c r="I611" t="n">
        <v>0</v>
      </c>
      <c r="J611" t="n">
        <v>0</v>
      </c>
      <c r="K611" t="n">
        <v>-2162</v>
      </c>
      <c r="L611" t="n">
        <v>0</v>
      </c>
      <c r="M611" t="n">
        <v>0</v>
      </c>
      <c r="N611" t="n">
        <v>0</v>
      </c>
      <c r="O611" t="n">
        <v>0</v>
      </c>
      <c r="P611" t="n">
        <v>2026</v>
      </c>
    </row>
    <row r="612">
      <c r="A612" t="inlineStr">
        <is>
          <t>P4102157472</t>
        </is>
      </c>
      <c r="D612" t="n">
        <v>0</v>
      </c>
      <c r="E612" t="n">
        <v>0</v>
      </c>
      <c r="F612" t="n">
        <v>13000</v>
      </c>
      <c r="G612" t="n">
        <v>-6383.76</v>
      </c>
      <c r="H612" t="n">
        <v>0</v>
      </c>
      <c r="I612" t="n">
        <v>0</v>
      </c>
      <c r="J612" t="n">
        <v>13000</v>
      </c>
      <c r="K612" t="n">
        <v>-6383.76</v>
      </c>
      <c r="L612" t="n">
        <v>0</v>
      </c>
      <c r="M612" t="n">
        <v>0</v>
      </c>
      <c r="N612" t="n">
        <v>0</v>
      </c>
      <c r="O612" t="n">
        <v>0</v>
      </c>
      <c r="P612" t="n">
        <v>2026</v>
      </c>
    </row>
    <row r="613">
      <c r="A613" t="inlineStr">
        <is>
          <t>P4102608278</t>
        </is>
      </c>
      <c r="D613" t="n">
        <v>0</v>
      </c>
      <c r="E613" t="n">
        <v>0</v>
      </c>
      <c r="F613" t="n">
        <v>0</v>
      </c>
      <c r="G613" t="n">
        <v>-1010</v>
      </c>
      <c r="H613" t="n">
        <v>0</v>
      </c>
      <c r="I613" t="n">
        <v>0</v>
      </c>
      <c r="J613" t="n">
        <v>0</v>
      </c>
      <c r="K613" t="n">
        <v>-1010</v>
      </c>
      <c r="L613" t="n">
        <v>0</v>
      </c>
      <c r="M613" t="n">
        <v>0</v>
      </c>
      <c r="N613" t="n">
        <v>0</v>
      </c>
      <c r="O613" t="n">
        <v>0</v>
      </c>
      <c r="P613" t="n">
        <v>2026</v>
      </c>
    </row>
    <row r="614">
      <c r="A614" t="inlineStr">
        <is>
          <t>W4102307414</t>
        </is>
      </c>
      <c r="D614" t="n">
        <v>0</v>
      </c>
      <c r="E614" t="n">
        <v>0</v>
      </c>
      <c r="F614" t="n">
        <v>0</v>
      </c>
      <c r="G614" t="n">
        <v>-65.02</v>
      </c>
      <c r="H614" t="n">
        <v>0</v>
      </c>
      <c r="I614" t="n">
        <v>0</v>
      </c>
      <c r="J614" t="n">
        <v>0</v>
      </c>
      <c r="K614" t="n">
        <v>-65.02</v>
      </c>
      <c r="L614" t="n">
        <v>0</v>
      </c>
      <c r="M614" t="n">
        <v>0</v>
      </c>
      <c r="N614" t="n">
        <v>0</v>
      </c>
      <c r="O614" t="n">
        <v>0</v>
      </c>
      <c r="P614" t="n">
        <v>2026</v>
      </c>
    </row>
    <row r="615">
      <c r="A615" t="inlineStr">
        <is>
          <t>P4102157470</t>
        </is>
      </c>
      <c r="D615" t="n">
        <v>0</v>
      </c>
      <c r="E615" t="n">
        <v>0</v>
      </c>
      <c r="F615" t="n">
        <v>40500</v>
      </c>
      <c r="G615" t="n">
        <v>-21238.51</v>
      </c>
      <c r="H615" t="n">
        <v>0</v>
      </c>
      <c r="I615" t="n">
        <v>0</v>
      </c>
      <c r="J615" t="n">
        <v>40500</v>
      </c>
      <c r="K615" t="n">
        <v>-21238.51</v>
      </c>
      <c r="L615" t="n">
        <v>0</v>
      </c>
      <c r="M615" t="n">
        <v>0</v>
      </c>
      <c r="N615" t="n">
        <v>0</v>
      </c>
      <c r="O615" t="n">
        <v>0</v>
      </c>
      <c r="P615" t="n">
        <v>2026</v>
      </c>
    </row>
    <row r="616">
      <c r="A616" t="inlineStr">
        <is>
          <t>W4102504110</t>
        </is>
      </c>
      <c r="D616" t="n">
        <v>0</v>
      </c>
      <c r="E616" t="n">
        <v>0</v>
      </c>
      <c r="F616" t="n">
        <v>0</v>
      </c>
      <c r="G616" t="n">
        <v>-79.34</v>
      </c>
      <c r="H616" t="n">
        <v>0</v>
      </c>
      <c r="I616" t="n">
        <v>0</v>
      </c>
      <c r="J616" t="n">
        <v>0</v>
      </c>
      <c r="K616" t="n">
        <v>-79.34</v>
      </c>
      <c r="L616" t="n">
        <v>0</v>
      </c>
      <c r="M616" t="n">
        <v>0</v>
      </c>
      <c r="N616" t="n">
        <v>0</v>
      </c>
      <c r="O616" t="n">
        <v>0</v>
      </c>
      <c r="P616" t="n">
        <v>2026</v>
      </c>
    </row>
    <row r="617">
      <c r="A617" t="inlineStr">
        <is>
          <t>W4102504977</t>
        </is>
      </c>
      <c r="D617" t="n">
        <v>0</v>
      </c>
      <c r="E617" t="n">
        <v>0</v>
      </c>
      <c r="F617" t="n">
        <v>0</v>
      </c>
      <c r="G617" t="n">
        <v>-3282.09</v>
      </c>
      <c r="H617" t="n">
        <v>0</v>
      </c>
      <c r="I617" t="n">
        <v>0</v>
      </c>
      <c r="J617" t="n">
        <v>0</v>
      </c>
      <c r="K617" t="n">
        <v>-3282.09</v>
      </c>
      <c r="L617" t="n">
        <v>0</v>
      </c>
      <c r="M617" t="n">
        <v>0</v>
      </c>
      <c r="N617" t="n">
        <v>0</v>
      </c>
      <c r="O617" t="n">
        <v>0</v>
      </c>
      <c r="P617" t="n">
        <v>2026</v>
      </c>
    </row>
    <row r="621">
      <c r="A621" t="inlineStr">
        <is>
          <t>v_kontenplan_abweichung</t>
        </is>
      </c>
    </row>
    <row r="622">
      <c r="A622" t="inlineStr">
        <is>
          <t>Keine Datensätze</t>
        </is>
      </c>
    </row>
    <row r="627">
      <c r="A627" t="inlineStr">
        <is>
          <t>sap_bilanz_072026</t>
        </is>
      </c>
    </row>
    <row r="628">
      <c r="A628" t="inlineStr">
        <is>
          <t>typ</t>
        </is>
      </c>
      <c r="B628" t="inlineStr">
        <is>
          <t>pos</t>
        </is>
      </c>
      <c r="C628" t="inlineStr">
        <is>
          <t>text</t>
        </is>
      </c>
      <c r="D628" t="inlineStr">
        <is>
          <t>saldo</t>
        </is>
      </c>
      <c r="E628" t="inlineStr">
        <is>
          <t>stufe</t>
        </is>
      </c>
      <c r="F628" t="inlineStr">
        <is>
          <t>order</t>
        </is>
      </c>
      <c r="G628" t="inlineStr">
        <is>
          <t>summe</t>
        </is>
      </c>
      <c r="H628" t="inlineStr">
        <is>
          <t>konto</t>
        </is>
      </c>
    </row>
    <row r="629">
      <c r="A629" t="inlineStr">
        <is>
          <t>P</t>
        </is>
      </c>
      <c r="B629" t="inlineStr">
        <is>
          <t>0010000000</t>
        </is>
      </c>
      <c r="C629" t="inlineStr">
        <is>
          <t>A K T I V A</t>
        </is>
      </c>
      <c r="D629" t="n">
        <v>0</v>
      </c>
      <c r="E629" t="n">
        <v>2</v>
      </c>
      <c r="F629" t="n">
        <v>1</v>
      </c>
      <c r="G629" t="b">
        <v>0</v>
      </c>
    </row>
    <row r="630">
      <c r="A630" t="inlineStr">
        <is>
          <t>P</t>
        </is>
      </c>
      <c r="B630" t="inlineStr">
        <is>
          <t>0010300000</t>
        </is>
      </c>
      <c r="C630" t="inlineStr">
        <is>
          <t>Anlagevermoegen</t>
        </is>
      </c>
      <c r="D630" t="n">
        <v>0</v>
      </c>
      <c r="E630" t="n">
        <v>3</v>
      </c>
      <c r="F630" t="n">
        <v>2</v>
      </c>
      <c r="G630" t="b">
        <v>0</v>
      </c>
    </row>
    <row r="631">
      <c r="A631" t="inlineStr">
        <is>
          <t>P</t>
        </is>
      </c>
      <c r="B631" t="inlineStr">
        <is>
          <t>0010320000</t>
        </is>
      </c>
      <c r="C631" t="inlineStr">
        <is>
          <t>Sachanlagen</t>
        </is>
      </c>
      <c r="D631" t="n">
        <v>0</v>
      </c>
      <c r="E631" t="n">
        <v>4</v>
      </c>
      <c r="F631" t="n">
        <v>3</v>
      </c>
      <c r="G631" t="b">
        <v>0</v>
      </c>
    </row>
    <row r="632">
      <c r="A632" t="inlineStr">
        <is>
          <t>P</t>
        </is>
      </c>
      <c r="B632" t="inlineStr">
        <is>
          <t>0010320200</t>
        </is>
      </c>
      <c r="C632" t="inlineStr">
        <is>
          <t>Technische Anlagen und Maschinen</t>
        </is>
      </c>
      <c r="D632" t="n">
        <v>0</v>
      </c>
      <c r="E632" t="n">
        <v>6</v>
      </c>
      <c r="F632" t="n">
        <v>4</v>
      </c>
      <c r="G632" t="b">
        <v>0</v>
      </c>
    </row>
    <row r="633">
      <c r="A633" t="inlineStr">
        <is>
          <t>K</t>
        </is>
      </c>
      <c r="B633" t="inlineStr">
        <is>
          <t>0010320200</t>
        </is>
      </c>
      <c r="C633" t="inlineStr">
        <is>
          <t>021000 Maschinen</t>
        </is>
      </c>
      <c r="D633" t="n">
        <v>9130</v>
      </c>
      <c r="E633" t="n">
        <v>7</v>
      </c>
      <c r="F633" t="n">
        <v>5</v>
      </c>
      <c r="H633" t="inlineStr">
        <is>
          <t>21000</t>
        </is>
      </c>
    </row>
    <row r="634">
      <c r="A634" t="inlineStr">
        <is>
          <t>K</t>
        </is>
      </c>
      <c r="B634" t="inlineStr">
        <is>
          <t>0010320200</t>
        </is>
      </c>
      <c r="C634" t="inlineStr">
        <is>
          <t>026000 Transportanlagen u.ä.</t>
        </is>
      </c>
      <c r="D634" t="n">
        <v>14286</v>
      </c>
      <c r="E634" t="n">
        <v>7</v>
      </c>
      <c r="F634" t="n">
        <v>6</v>
      </c>
      <c r="H634" t="inlineStr">
        <is>
          <t>26000</t>
        </is>
      </c>
    </row>
    <row r="635">
      <c r="A635" t="inlineStr">
        <is>
          <t>K</t>
        </is>
      </c>
      <c r="B635" t="inlineStr">
        <is>
          <t>0010320200</t>
        </is>
      </c>
      <c r="C635" t="inlineStr">
        <is>
          <t>028000 Betriebsvorrichtungen</t>
        </is>
      </c>
      <c r="D635" t="n">
        <v>3852</v>
      </c>
      <c r="E635" t="n">
        <v>7</v>
      </c>
      <c r="F635" t="n">
        <v>7</v>
      </c>
      <c r="H635" t="inlineStr">
        <is>
          <t>28000</t>
        </is>
      </c>
    </row>
    <row r="636">
      <c r="A636" t="inlineStr">
        <is>
          <t>P</t>
        </is>
      </c>
      <c r="B636" t="inlineStr">
        <is>
          <t>0010320200</t>
        </is>
      </c>
      <c r="C636" t="inlineStr">
        <is>
          <t>Summe Technische Anlagen und Maschinen</t>
        </is>
      </c>
      <c r="D636" t="n">
        <v>27268</v>
      </c>
      <c r="E636" t="n">
        <v>6</v>
      </c>
      <c r="F636" t="n">
        <v>8</v>
      </c>
      <c r="G636" t="b">
        <v>1</v>
      </c>
    </row>
    <row r="637">
      <c r="A637" t="inlineStr">
        <is>
          <t>P</t>
        </is>
      </c>
      <c r="B637" t="inlineStr">
        <is>
          <t>0010320300</t>
        </is>
      </c>
      <c r="C637" t="inlineStr">
        <is>
          <t>Andere Anlagen, Betriebs- und Geschaefts-</t>
        </is>
      </c>
      <c r="D637" t="n">
        <v>0</v>
      </c>
      <c r="E637" t="n">
        <v>5</v>
      </c>
      <c r="F637" t="n">
        <v>9</v>
      </c>
      <c r="G637" t="b">
        <v>0</v>
      </c>
    </row>
    <row r="638">
      <c r="A638" t="inlineStr">
        <is>
          <t>P</t>
        </is>
      </c>
      <c r="B638" t="inlineStr">
        <is>
          <t>0010320300</t>
        </is>
      </c>
      <c r="C638" t="inlineStr">
        <is>
          <t>ausstattung</t>
        </is>
      </c>
      <c r="D638" t="n">
        <v>0</v>
      </c>
      <c r="E638" t="n">
        <v>5</v>
      </c>
      <c r="F638" t="n">
        <v>10</v>
      </c>
      <c r="G638" t="b">
        <v>0</v>
      </c>
    </row>
    <row r="639">
      <c r="A639" t="inlineStr">
        <is>
          <t>P</t>
        </is>
      </c>
      <c r="B639" t="inlineStr">
        <is>
          <t>0010320310</t>
        </is>
      </c>
      <c r="C639" t="inlineStr">
        <is>
          <t>Fahrzeuge</t>
        </is>
      </c>
      <c r="D639" t="n">
        <v>0</v>
      </c>
      <c r="E639" t="n">
        <v>6</v>
      </c>
      <c r="F639" t="n">
        <v>11</v>
      </c>
      <c r="G639" t="b">
        <v>0</v>
      </c>
    </row>
    <row r="640">
      <c r="A640" t="inlineStr">
        <is>
          <t>K</t>
        </is>
      </c>
      <c r="B640" t="inlineStr">
        <is>
          <t>0010320310</t>
        </is>
      </c>
      <c r="C640" t="inlineStr">
        <is>
          <t>032000 PKW</t>
        </is>
      </c>
      <c r="D640" t="n">
        <v>6686</v>
      </c>
      <c r="E640" t="n">
        <v>7</v>
      </c>
      <c r="F640" t="n">
        <v>12</v>
      </c>
      <c r="H640" t="inlineStr">
        <is>
          <t>32000</t>
        </is>
      </c>
    </row>
    <row r="641">
      <c r="A641" t="inlineStr">
        <is>
          <t>K</t>
        </is>
      </c>
      <c r="B641" t="inlineStr">
        <is>
          <t>0010320310</t>
        </is>
      </c>
      <c r="C641" t="inlineStr">
        <is>
          <t>035000 LKW</t>
        </is>
      </c>
      <c r="D641" t="n">
        <v>7044</v>
      </c>
      <c r="E641" t="n">
        <v>7</v>
      </c>
      <c r="F641" t="n">
        <v>13</v>
      </c>
      <c r="H641" t="inlineStr">
        <is>
          <t>35000</t>
        </is>
      </c>
    </row>
    <row r="642">
      <c r="A642" t="inlineStr">
        <is>
          <t>K</t>
        </is>
      </c>
      <c r="B642" t="inlineStr">
        <is>
          <t>0010320310</t>
        </is>
      </c>
      <c r="C642" t="inlineStr">
        <is>
          <t>036000 Schneefahrzeuge</t>
        </is>
      </c>
      <c r="D642" t="n">
        <v>32878</v>
      </c>
      <c r="E642" t="n">
        <v>7</v>
      </c>
      <c r="F642" t="n">
        <v>14</v>
      </c>
      <c r="H642" t="inlineStr">
        <is>
          <t>36000</t>
        </is>
      </c>
    </row>
    <row r="643">
      <c r="A643" t="inlineStr">
        <is>
          <t>K</t>
        </is>
      </c>
      <c r="B643" t="inlineStr">
        <is>
          <t>0010320310</t>
        </is>
      </c>
      <c r="C643" t="inlineStr">
        <is>
          <t>038000 Sonstige Transportmittel</t>
        </is>
      </c>
      <c r="D643" t="n">
        <v>197992</v>
      </c>
      <c r="E643" t="n">
        <v>7</v>
      </c>
      <c r="F643" t="n">
        <v>15</v>
      </c>
      <c r="H643" t="inlineStr">
        <is>
          <t>38000</t>
        </is>
      </c>
    </row>
    <row r="644">
      <c r="A644" t="inlineStr">
        <is>
          <t>P</t>
        </is>
      </c>
      <c r="B644" t="inlineStr">
        <is>
          <t>0010320320</t>
        </is>
      </c>
      <c r="C644" t="inlineStr">
        <is>
          <t>Behaelter</t>
        </is>
      </c>
      <c r="D644" t="n">
        <v>0</v>
      </c>
      <c r="E644" t="n">
        <v>6</v>
      </c>
      <c r="F644" t="n">
        <v>16</v>
      </c>
      <c r="G644" t="b">
        <v>0</v>
      </c>
    </row>
    <row r="645">
      <c r="A645" t="inlineStr">
        <is>
          <t>K</t>
        </is>
      </c>
      <c r="B645" t="inlineStr">
        <is>
          <t>0010320320</t>
        </is>
      </c>
      <c r="C645" t="inlineStr">
        <is>
          <t>045000 Container,Pressen und Behälter</t>
        </is>
      </c>
      <c r="D645" t="n">
        <v>7480</v>
      </c>
      <c r="E645" t="n">
        <v>7</v>
      </c>
      <c r="F645" t="n">
        <v>17</v>
      </c>
      <c r="H645" t="inlineStr">
        <is>
          <t>45000</t>
        </is>
      </c>
    </row>
    <row r="646">
      <c r="A646" t="inlineStr">
        <is>
          <t>P</t>
        </is>
      </c>
      <c r="B646" t="inlineStr">
        <is>
          <t>0010320330</t>
        </is>
      </c>
      <c r="C646" t="inlineStr">
        <is>
          <t>And. Anlagen / sonst. BGA</t>
        </is>
      </c>
      <c r="D646" t="n">
        <v>0</v>
      </c>
      <c r="E646" t="n">
        <v>6</v>
      </c>
      <c r="F646" t="n">
        <v>18</v>
      </c>
      <c r="G646" t="b">
        <v>0</v>
      </c>
    </row>
    <row r="647">
      <c r="A647" t="inlineStr">
        <is>
          <t>K</t>
        </is>
      </c>
      <c r="B647" t="inlineStr">
        <is>
          <t>0010320330</t>
        </is>
      </c>
      <c r="C647" t="inlineStr">
        <is>
          <t>040000 Betriebsausstattung</t>
        </is>
      </c>
      <c r="D647" t="n">
        <v>119354</v>
      </c>
      <c r="E647" t="n">
        <v>7</v>
      </c>
      <c r="F647" t="n">
        <v>19</v>
      </c>
      <c r="H647" t="inlineStr">
        <is>
          <t>40000</t>
        </is>
      </c>
    </row>
    <row r="648">
      <c r="A648" t="inlineStr">
        <is>
          <t>K</t>
        </is>
      </c>
      <c r="B648" t="inlineStr">
        <is>
          <t>0010320330</t>
        </is>
      </c>
      <c r="C648" t="inlineStr">
        <is>
          <t>041000 Geschäftsausstattung/ EDV</t>
        </is>
      </c>
      <c r="D648" t="n">
        <v>6590</v>
      </c>
      <c r="E648" t="n">
        <v>7</v>
      </c>
      <c r="F648" t="n">
        <v>20</v>
      </c>
      <c r="H648" t="inlineStr">
        <is>
          <t>41000</t>
        </is>
      </c>
    </row>
    <row r="649">
      <c r="A649" t="inlineStr">
        <is>
          <t>K</t>
        </is>
      </c>
      <c r="B649" t="inlineStr">
        <is>
          <t>0010320330</t>
        </is>
      </c>
      <c r="C649" t="inlineStr">
        <is>
          <t>042000 Büroeinrichtung</t>
        </is>
      </c>
      <c r="D649" t="n">
        <v>1061</v>
      </c>
      <c r="E649" t="n">
        <v>7</v>
      </c>
      <c r="F649" t="n">
        <v>21</v>
      </c>
      <c r="H649" t="inlineStr">
        <is>
          <t>42000</t>
        </is>
      </c>
    </row>
    <row r="650">
      <c r="A650" t="inlineStr">
        <is>
          <t>K</t>
        </is>
      </c>
      <c r="B650" t="inlineStr">
        <is>
          <t>0010320330</t>
        </is>
      </c>
      <c r="C650" t="inlineStr">
        <is>
          <t>043000 Werkstatteinrichtung</t>
        </is>
      </c>
      <c r="D650" t="n">
        <v>10297</v>
      </c>
      <c r="E650" t="n">
        <v>7</v>
      </c>
      <c r="F650" t="n">
        <v>22</v>
      </c>
      <c r="H650" t="inlineStr">
        <is>
          <t>43000</t>
        </is>
      </c>
    </row>
    <row r="651">
      <c r="A651" t="inlineStr">
        <is>
          <t>K</t>
        </is>
      </c>
      <c r="B651" t="inlineStr">
        <is>
          <t>0010320330</t>
        </is>
      </c>
      <c r="C651" t="inlineStr">
        <is>
          <t>044000 Werkzeuge</t>
        </is>
      </c>
      <c r="D651" t="n">
        <v>11853</v>
      </c>
      <c r="E651" t="n">
        <v>7</v>
      </c>
      <c r="F651" t="n">
        <v>23</v>
      </c>
      <c r="H651" t="inlineStr">
        <is>
          <t>44000</t>
        </is>
      </c>
    </row>
    <row r="652">
      <c r="A652" t="inlineStr">
        <is>
          <t>K</t>
        </is>
      </c>
      <c r="B652" t="inlineStr">
        <is>
          <t>0010320330</t>
        </is>
      </c>
      <c r="C652" t="inlineStr">
        <is>
          <t>048000 Betriebsausstattung GWG</t>
        </is>
      </c>
      <c r="D652" t="n">
        <v>10279</v>
      </c>
      <c r="E652" t="n">
        <v>7</v>
      </c>
      <c r="F652" t="n">
        <v>24</v>
      </c>
      <c r="H652" t="inlineStr">
        <is>
          <t>48000</t>
        </is>
      </c>
    </row>
    <row r="653">
      <c r="A653" t="inlineStr">
        <is>
          <t>K</t>
        </is>
      </c>
      <c r="B653" t="inlineStr">
        <is>
          <t>0010320330</t>
        </is>
      </c>
      <c r="C653" t="inlineStr">
        <is>
          <t>048100 Geschäftsausstattung GWG</t>
        </is>
      </c>
      <c r="D653" t="n">
        <v>9856</v>
      </c>
      <c r="E653" t="n">
        <v>7</v>
      </c>
      <c r="F653" t="n">
        <v>25</v>
      </c>
      <c r="H653" t="inlineStr">
        <is>
          <t>48100</t>
        </is>
      </c>
    </row>
    <row r="654">
      <c r="A654" t="inlineStr">
        <is>
          <t>P</t>
        </is>
      </c>
      <c r="B654" t="inlineStr">
        <is>
          <t>0010320300</t>
        </is>
      </c>
      <c r="C654" t="inlineStr">
        <is>
          <t>Summe Andere Anlagen, Betriebs- und</t>
        </is>
      </c>
      <c r="D654" t="n">
        <v>421370</v>
      </c>
      <c r="E654" t="n">
        <v>5</v>
      </c>
      <c r="F654" t="n">
        <v>26</v>
      </c>
      <c r="G654" t="b">
        <v>1</v>
      </c>
    </row>
    <row r="655">
      <c r="A655" t="inlineStr">
        <is>
          <t>P</t>
        </is>
      </c>
      <c r="B655" t="inlineStr">
        <is>
          <t>0010320300</t>
        </is>
      </c>
      <c r="C655" t="inlineStr">
        <is>
          <t>Geschaeftsstattung</t>
        </is>
      </c>
      <c r="D655" t="n">
        <v>0</v>
      </c>
      <c r="E655" t="n">
        <v>5</v>
      </c>
      <c r="F655" t="n">
        <v>27</v>
      </c>
      <c r="G655" t="b">
        <v>0</v>
      </c>
    </row>
    <row r="656">
      <c r="A656" t="inlineStr">
        <is>
          <t>P</t>
        </is>
      </c>
      <c r="B656" t="inlineStr">
        <is>
          <t>0010320000</t>
        </is>
      </c>
      <c r="C656" t="inlineStr">
        <is>
          <t>Summe Sachanlagen</t>
        </is>
      </c>
      <c r="D656" t="n">
        <v>448638</v>
      </c>
      <c r="E656" t="n">
        <v>4</v>
      </c>
      <c r="F656" t="n">
        <v>28</v>
      </c>
      <c r="G656" t="b">
        <v>1</v>
      </c>
    </row>
    <row r="657">
      <c r="A657" t="inlineStr">
        <is>
          <t>P</t>
        </is>
      </c>
      <c r="B657" t="inlineStr">
        <is>
          <t>0010300000</t>
        </is>
      </c>
      <c r="C657" t="inlineStr">
        <is>
          <t>Summe Anlagevermoegen</t>
        </is>
      </c>
      <c r="D657" t="n">
        <v>448638</v>
      </c>
      <c r="E657" t="n">
        <v>3</v>
      </c>
      <c r="F657" t="n">
        <v>29</v>
      </c>
      <c r="G657" t="b">
        <v>1</v>
      </c>
    </row>
    <row r="658">
      <c r="A658" t="inlineStr">
        <is>
          <t>P</t>
        </is>
      </c>
      <c r="B658" t="inlineStr">
        <is>
          <t>0010400000</t>
        </is>
      </c>
      <c r="C658" t="inlineStr">
        <is>
          <t>Umlaufvermoegen</t>
        </is>
      </c>
      <c r="D658" t="n">
        <v>0</v>
      </c>
      <c r="E658" t="n">
        <v>3</v>
      </c>
      <c r="F658" t="n">
        <v>30</v>
      </c>
      <c r="G658" t="b">
        <v>0</v>
      </c>
    </row>
    <row r="659">
      <c r="A659" t="inlineStr">
        <is>
          <t>P</t>
        </is>
      </c>
      <c r="B659" t="inlineStr">
        <is>
          <t>0010410000</t>
        </is>
      </c>
      <c r="C659" t="inlineStr">
        <is>
          <t>Vorraete</t>
        </is>
      </c>
      <c r="D659" t="n">
        <v>0</v>
      </c>
      <c r="E659" t="n">
        <v>4</v>
      </c>
      <c r="F659" t="n">
        <v>31</v>
      </c>
      <c r="G659" t="b">
        <v>0</v>
      </c>
    </row>
    <row r="660">
      <c r="A660" t="inlineStr">
        <is>
          <t>P</t>
        </is>
      </c>
      <c r="B660" t="inlineStr">
        <is>
          <t>0010410100</t>
        </is>
      </c>
      <c r="C660" t="inlineStr">
        <is>
          <t>Roh-,Hilfs- und Betriebsstoffe</t>
        </is>
      </c>
      <c r="D660" t="n">
        <v>0</v>
      </c>
      <c r="E660" t="n">
        <v>5</v>
      </c>
      <c r="F660" t="n">
        <v>32</v>
      </c>
      <c r="G660" t="b">
        <v>0</v>
      </c>
    </row>
    <row r="661">
      <c r="A661" t="inlineStr">
        <is>
          <t>K</t>
        </is>
      </c>
      <c r="B661" t="inlineStr">
        <is>
          <t>0010410100</t>
        </is>
      </c>
      <c r="C661" t="inlineStr">
        <is>
          <t>380950 Bestände Ersatzteile</t>
        </is>
      </c>
      <c r="D661" t="n">
        <v>49055.01</v>
      </c>
      <c r="E661" t="n">
        <v>6</v>
      </c>
      <c r="F661" t="n">
        <v>33</v>
      </c>
      <c r="H661" t="inlineStr">
        <is>
          <t>380950</t>
        </is>
      </c>
    </row>
    <row r="662">
      <c r="A662" t="inlineStr">
        <is>
          <t>P</t>
        </is>
      </c>
      <c r="B662" t="inlineStr">
        <is>
          <t>0010410200</t>
        </is>
      </c>
      <c r="C662" t="inlineStr">
        <is>
          <t>Unfertige Erzeugnisse, unfertige Leistungen</t>
        </is>
      </c>
      <c r="D662" t="n">
        <v>0</v>
      </c>
      <c r="E662" t="n">
        <v>5</v>
      </c>
      <c r="F662" t="n">
        <v>34</v>
      </c>
      <c r="G662" t="b">
        <v>0</v>
      </c>
    </row>
    <row r="663">
      <c r="A663" t="inlineStr">
        <is>
          <t>K</t>
        </is>
      </c>
      <c r="B663" t="inlineStr">
        <is>
          <t>0010410200</t>
        </is>
      </c>
      <c r="C663" t="inlineStr">
        <is>
          <t>049951 Bestände unfertige Erzeugnisse</t>
        </is>
      </c>
      <c r="D663" t="n">
        <v>11278895.04</v>
      </c>
      <c r="E663" t="n">
        <v>6</v>
      </c>
      <c r="F663" t="n">
        <v>35</v>
      </c>
      <c r="H663" t="inlineStr">
        <is>
          <t>49951</t>
        </is>
      </c>
    </row>
    <row r="664">
      <c r="A664" t="inlineStr">
        <is>
          <t>P</t>
        </is>
      </c>
      <c r="B664" t="inlineStr">
        <is>
          <t>0010410500</t>
        </is>
      </c>
      <c r="C664" t="inlineStr">
        <is>
          <t>Erhaltene Anzahlungen auf Bestellungen</t>
        </is>
      </c>
      <c r="D664" t="n">
        <v>0</v>
      </c>
      <c r="E664" t="n">
        <v>5</v>
      </c>
      <c r="F664" t="n">
        <v>36</v>
      </c>
      <c r="G664" t="b">
        <v>0</v>
      </c>
    </row>
    <row r="665">
      <c r="A665" t="inlineStr">
        <is>
          <t>K</t>
        </is>
      </c>
      <c r="B665" t="inlineStr">
        <is>
          <t>0010410500</t>
        </is>
      </c>
      <c r="C665" t="inlineStr">
        <is>
          <t>049972 Erhaltene Anzahlungen auf Vorräte</t>
        </is>
      </c>
      <c r="D665" t="n">
        <v>-8995448.880000001</v>
      </c>
      <c r="E665" t="n">
        <v>6</v>
      </c>
      <c r="F665" t="n">
        <v>37</v>
      </c>
      <c r="H665" t="inlineStr">
        <is>
          <t>49972</t>
        </is>
      </c>
    </row>
    <row r="666">
      <c r="A666" t="inlineStr">
        <is>
          <t>P</t>
        </is>
      </c>
      <c r="B666" t="inlineStr">
        <is>
          <t>0010410000</t>
        </is>
      </c>
      <c r="C666" t="inlineStr">
        <is>
          <t>Summe Vorraete</t>
        </is>
      </c>
      <c r="D666" t="n">
        <v>2332501.17</v>
      </c>
      <c r="E666" t="n">
        <v>4</v>
      </c>
      <c r="F666" t="n">
        <v>38</v>
      </c>
      <c r="G666" t="b">
        <v>1</v>
      </c>
    </row>
    <row r="667">
      <c r="A667" t="inlineStr">
        <is>
          <t>P</t>
        </is>
      </c>
      <c r="B667" t="inlineStr">
        <is>
          <t>0010420000</t>
        </is>
      </c>
      <c r="C667" t="inlineStr">
        <is>
          <t>Ford. / Sonst. VgG</t>
        </is>
      </c>
      <c r="D667" t="n">
        <v>0</v>
      </c>
      <c r="E667" t="n">
        <v>4</v>
      </c>
      <c r="F667" t="n">
        <v>39</v>
      </c>
      <c r="G667" t="b">
        <v>0</v>
      </c>
    </row>
    <row r="668">
      <c r="A668" t="inlineStr">
        <is>
          <t>P</t>
        </is>
      </c>
      <c r="B668" t="inlineStr">
        <is>
          <t>0010420100</t>
        </is>
      </c>
      <c r="C668" t="inlineStr">
        <is>
          <t>Ford. L+L</t>
        </is>
      </c>
      <c r="D668" t="n">
        <v>0</v>
      </c>
      <c r="E668" t="n">
        <v>5</v>
      </c>
      <c r="F668" t="n">
        <v>40</v>
      </c>
      <c r="G668" t="b">
        <v>0</v>
      </c>
    </row>
    <row r="669">
      <c r="A669" t="inlineStr">
        <is>
          <t>P</t>
        </is>
      </c>
      <c r="B669" t="inlineStr">
        <is>
          <t>0010420110</t>
        </is>
      </c>
      <c r="C669" t="inlineStr">
        <is>
          <t>Ford. L+L Nominalwert (RLZ&lt;1J)  ab 102015</t>
        </is>
      </c>
      <c r="D669" t="n">
        <v>0</v>
      </c>
      <c r="E669" t="n">
        <v>6</v>
      </c>
      <c r="F669" t="n">
        <v>41</v>
      </c>
      <c r="G669" t="b">
        <v>0</v>
      </c>
    </row>
    <row r="670">
      <c r="A670" t="inlineStr">
        <is>
          <t>K</t>
        </is>
      </c>
      <c r="B670" t="inlineStr">
        <is>
          <t>0010420110</t>
        </is>
      </c>
      <c r="C670" t="inlineStr">
        <is>
          <t>140000 Forderungen aus L+L</t>
        </is>
      </c>
      <c r="D670" t="n">
        <v>3803177.95</v>
      </c>
      <c r="E670" t="n">
        <v>7</v>
      </c>
      <c r="F670" t="n">
        <v>42</v>
      </c>
      <c r="H670" t="inlineStr">
        <is>
          <t>140000</t>
        </is>
      </c>
    </row>
    <row r="671">
      <c r="A671" t="inlineStr">
        <is>
          <t>K</t>
        </is>
      </c>
      <c r="B671" t="inlineStr">
        <is>
          <t>0010420110</t>
        </is>
      </c>
      <c r="C671" t="inlineStr">
        <is>
          <t>140600 Nachbuchung Ford.L/L</t>
        </is>
      </c>
      <c r="D671" t="n">
        <v>-1476386.65</v>
      </c>
      <c r="E671" t="n">
        <v>7</v>
      </c>
      <c r="F671" t="n">
        <v>43</v>
      </c>
      <c r="H671" t="inlineStr">
        <is>
          <t>140600</t>
        </is>
      </c>
    </row>
    <row r="672">
      <c r="A672" t="inlineStr">
        <is>
          <t>P</t>
        </is>
      </c>
      <c r="B672" t="inlineStr">
        <is>
          <t>0010420111</t>
        </is>
      </c>
      <c r="C672" t="inlineStr">
        <is>
          <t>EWB auf Forderungen L+L (RLZ &lt; 1J) ab 102015</t>
        </is>
      </c>
      <c r="D672" t="n">
        <v>0</v>
      </c>
      <c r="E672" t="n">
        <v>6</v>
      </c>
      <c r="F672" t="n">
        <v>44</v>
      </c>
      <c r="G672" t="b">
        <v>0</v>
      </c>
    </row>
    <row r="673">
      <c r="A673" t="inlineStr">
        <is>
          <t>K</t>
        </is>
      </c>
      <c r="B673" t="inlineStr">
        <is>
          <t>0010420111</t>
        </is>
      </c>
      <c r="C673" t="inlineStr">
        <is>
          <t>099800 EWB auf Forderungen</t>
        </is>
      </c>
      <c r="D673" t="n">
        <v>-324796.86</v>
      </c>
      <c r="E673" t="n">
        <v>7</v>
      </c>
      <c r="F673" t="n">
        <v>45</v>
      </c>
      <c r="H673" t="inlineStr">
        <is>
          <t>99800</t>
        </is>
      </c>
    </row>
    <row r="674">
      <c r="A674" t="inlineStr">
        <is>
          <t>P</t>
        </is>
      </c>
      <c r="B674" t="inlineStr">
        <is>
          <t>0010420113</t>
        </is>
      </c>
      <c r="C674" t="inlineStr">
        <is>
          <t>Veräußerte Ford.Factoring(RLZ &lt; 1J)ab 102015</t>
        </is>
      </c>
      <c r="D674" t="n">
        <v>0</v>
      </c>
      <c r="E674" t="n">
        <v>6</v>
      </c>
      <c r="F674" t="n">
        <v>46</v>
      </c>
      <c r="G674" t="b">
        <v>0</v>
      </c>
    </row>
    <row r="675">
      <c r="A675" t="inlineStr">
        <is>
          <t>K</t>
        </is>
      </c>
      <c r="B675" t="inlineStr">
        <is>
          <t>0010420113</t>
        </is>
      </c>
      <c r="C675" t="inlineStr">
        <is>
          <t>140712 Korrekturkto. Ford. L+L (Factoring)</t>
        </is>
      </c>
      <c r="D675" t="n">
        <v>-914157.73</v>
      </c>
      <c r="E675" t="n">
        <v>7</v>
      </c>
      <c r="F675" t="n">
        <v>47</v>
      </c>
      <c r="H675" t="inlineStr">
        <is>
          <t>140712</t>
        </is>
      </c>
    </row>
    <row r="676">
      <c r="A676" t="inlineStr">
        <is>
          <t>K</t>
        </is>
      </c>
      <c r="B676" t="inlineStr">
        <is>
          <t>0010420130</t>
        </is>
      </c>
      <c r="C676" t="inlineStr">
        <is>
          <t>799995 Gegenkonto aus Erlösabgrenzung Ford L&amp;L</t>
        </is>
      </c>
      <c r="D676" t="n">
        <v>571904.61</v>
      </c>
      <c r="E676" t="n">
        <v>7</v>
      </c>
      <c r="F676" t="n">
        <v>48</v>
      </c>
      <c r="H676" t="inlineStr">
        <is>
          <t>799995</t>
        </is>
      </c>
    </row>
    <row r="677">
      <c r="A677" t="inlineStr">
        <is>
          <t>P</t>
        </is>
      </c>
      <c r="B677" t="inlineStr">
        <is>
          <t>0010420100</t>
        </is>
      </c>
      <c r="C677" t="inlineStr">
        <is>
          <t>Summe Ford. L+L</t>
        </is>
      </c>
      <c r="D677" t="n">
        <v>1659741.32</v>
      </c>
      <c r="E677" t="n">
        <v>5</v>
      </c>
      <c r="F677" t="n">
        <v>49</v>
      </c>
      <c r="G677" t="b">
        <v>1</v>
      </c>
    </row>
    <row r="678">
      <c r="A678" t="inlineStr">
        <is>
          <t>P</t>
        </is>
      </c>
      <c r="B678" t="inlineStr">
        <is>
          <t>0010420200</t>
        </is>
      </c>
      <c r="C678" t="inlineStr">
        <is>
          <t>Ford. verbund.</t>
        </is>
      </c>
      <c r="D678" t="n">
        <v>0</v>
      </c>
      <c r="E678" t="n">
        <v>5</v>
      </c>
      <c r="F678" t="n">
        <v>50</v>
      </c>
      <c r="G678" t="b">
        <v>0</v>
      </c>
    </row>
    <row r="679">
      <c r="A679" t="inlineStr">
        <is>
          <t>P</t>
        </is>
      </c>
      <c r="B679" t="inlineStr">
        <is>
          <t>0010420210</t>
        </is>
      </c>
      <c r="C679" t="inlineStr">
        <is>
          <t>Ford.verb. L+L</t>
        </is>
      </c>
      <c r="D679" t="n">
        <v>0</v>
      </c>
      <c r="E679" t="n">
        <v>6</v>
      </c>
      <c r="F679" t="n">
        <v>51</v>
      </c>
      <c r="G679" t="b">
        <v>0</v>
      </c>
    </row>
    <row r="680">
      <c r="A680" t="inlineStr">
        <is>
          <t>K</t>
        </is>
      </c>
      <c r="B680" t="inlineStr">
        <is>
          <t>0010420211</t>
        </is>
      </c>
      <c r="C680" t="inlineStr">
        <is>
          <t>140010 Ford. gegen verbundene Unternehmen</t>
        </is>
      </c>
      <c r="D680" t="n">
        <v>19786.24</v>
      </c>
      <c r="E680" t="n">
        <v>8</v>
      </c>
      <c r="F680" t="n">
        <v>52</v>
      </c>
      <c r="H680" t="inlineStr">
        <is>
          <t>140010</t>
        </is>
      </c>
    </row>
    <row r="681">
      <c r="A681" t="inlineStr">
        <is>
          <t>K</t>
        </is>
      </c>
      <c r="B681" t="inlineStr">
        <is>
          <t>0010420211</t>
        </is>
      </c>
      <c r="C681" t="inlineStr">
        <is>
          <t>900410 Debitorische Kreditoren (Verb.a.verb.Untern.)</t>
        </is>
      </c>
      <c r="D681" t="n">
        <v>5484.01</v>
      </c>
      <c r="E681" t="n">
        <v>8</v>
      </c>
      <c r="F681" t="n">
        <v>53</v>
      </c>
      <c r="H681" t="inlineStr">
        <is>
          <t>900410</t>
        </is>
      </c>
    </row>
    <row r="682">
      <c r="A682" t="inlineStr">
        <is>
          <t>K</t>
        </is>
      </c>
      <c r="B682" t="inlineStr">
        <is>
          <t>0010420236</t>
        </is>
      </c>
      <c r="C682" t="inlineStr">
        <is>
          <t>140016 Forderungen gegen verbundene Unternehmen Zinsen</t>
        </is>
      </c>
      <c r="D682" t="n">
        <v>199.78</v>
      </c>
      <c r="E682" t="n">
        <v>8</v>
      </c>
      <c r="F682" t="n">
        <v>54</v>
      </c>
      <c r="H682" t="inlineStr">
        <is>
          <t>140016</t>
        </is>
      </c>
    </row>
    <row r="683">
      <c r="A683" t="inlineStr">
        <is>
          <t>P</t>
        </is>
      </c>
      <c r="B683" t="inlineStr">
        <is>
          <t>0010420200</t>
        </is>
      </c>
      <c r="C683" t="inlineStr">
        <is>
          <t>Summe Ford. verbund.</t>
        </is>
      </c>
      <c r="D683" t="n">
        <v>25470.03</v>
      </c>
      <c r="E683" t="n">
        <v>5</v>
      </c>
      <c r="F683" t="n">
        <v>55</v>
      </c>
      <c r="G683" t="b">
        <v>1</v>
      </c>
    </row>
    <row r="684">
      <c r="A684" t="inlineStr">
        <is>
          <t>P</t>
        </is>
      </c>
      <c r="B684" t="inlineStr">
        <is>
          <t>0010421000</t>
        </is>
      </c>
      <c r="C684" t="inlineStr">
        <is>
          <t>Sonst. VermögensG.</t>
        </is>
      </c>
      <c r="D684" t="n">
        <v>0</v>
      </c>
      <c r="E684" t="n">
        <v>5</v>
      </c>
      <c r="F684" t="n">
        <v>56</v>
      </c>
      <c r="G684" t="b">
        <v>0</v>
      </c>
    </row>
    <row r="685">
      <c r="A685" t="inlineStr">
        <is>
          <t>P</t>
        </is>
      </c>
      <c r="B685" t="inlineStr">
        <is>
          <t>0010421100</t>
        </is>
      </c>
      <c r="C685" t="inlineStr">
        <is>
          <t>sonst. Steuerford.</t>
        </is>
      </c>
      <c r="D685" t="n">
        <v>0</v>
      </c>
      <c r="E685" t="n">
        <v>7</v>
      </c>
      <c r="F685" t="n">
        <v>57</v>
      </c>
      <c r="G685" t="b">
        <v>0</v>
      </c>
    </row>
    <row r="686">
      <c r="A686" t="inlineStr">
        <is>
          <t>P</t>
        </is>
      </c>
      <c r="B686" t="inlineStr">
        <is>
          <t>0010421110</t>
        </is>
      </c>
      <c r="C686" t="inlineStr">
        <is>
          <t>sonst. Steuerford. (RLZ &lt;1J)</t>
        </is>
      </c>
      <c r="D686" t="n">
        <v>0</v>
      </c>
      <c r="E686" t="n">
        <v>8</v>
      </c>
      <c r="F686" t="n">
        <v>58</v>
      </c>
      <c r="G686" t="b">
        <v>0</v>
      </c>
    </row>
    <row r="687">
      <c r="A687" t="inlineStr">
        <is>
          <t>K</t>
        </is>
      </c>
      <c r="B687" t="inlineStr">
        <is>
          <t>0010421110</t>
        </is>
      </c>
      <c r="C687" t="inlineStr">
        <is>
          <t>154900 Vorsteuer im Folgejahr/in Folgeperiode abziehbar</t>
        </is>
      </c>
      <c r="D687" t="n">
        <v>17235.59</v>
      </c>
      <c r="E687" t="n">
        <v>9</v>
      </c>
      <c r="F687" t="n">
        <v>59</v>
      </c>
      <c r="H687" t="inlineStr">
        <is>
          <t>154900</t>
        </is>
      </c>
    </row>
    <row r="688">
      <c r="A688" t="inlineStr">
        <is>
          <t>K</t>
        </is>
      </c>
      <c r="B688" t="inlineStr">
        <is>
          <t>0010421110</t>
        </is>
      </c>
      <c r="C688" t="inlineStr">
        <is>
          <t>157040 Vorsteuer Vergütung Ausland</t>
        </is>
      </c>
      <c r="D688" t="n">
        <v>1520.88</v>
      </c>
      <c r="E688" t="n">
        <v>9</v>
      </c>
      <c r="F688" t="n">
        <v>60</v>
      </c>
      <c r="H688" t="inlineStr">
        <is>
          <t>157040</t>
        </is>
      </c>
    </row>
    <row r="689">
      <c r="A689" t="inlineStr">
        <is>
          <t>K</t>
        </is>
      </c>
      <c r="B689" t="inlineStr">
        <is>
          <t>0010421151</t>
        </is>
      </c>
      <c r="C689" t="inlineStr">
        <is>
          <t>154500 Ford./Verb. aus Steuern vom Einkommen und Ertrag</t>
        </is>
      </c>
      <c r="D689" t="n">
        <v>462030.15</v>
      </c>
      <c r="E689" t="n">
        <v>9</v>
      </c>
      <c r="F689" t="n">
        <v>61</v>
      </c>
      <c r="H689" t="inlineStr">
        <is>
          <t>154500</t>
        </is>
      </c>
    </row>
    <row r="690">
      <c r="A690" t="inlineStr">
        <is>
          <t>K</t>
        </is>
      </c>
      <c r="B690" t="inlineStr">
        <is>
          <t>0010421251</t>
        </is>
      </c>
      <c r="C690" t="inlineStr">
        <is>
          <t>900400 Debitorische Kreditoren (Verb.a.L+L)</t>
        </is>
      </c>
      <c r="D690" t="n">
        <v>1442.52</v>
      </c>
      <c r="E690" t="n">
        <v>8</v>
      </c>
      <c r="F690" t="n">
        <v>62</v>
      </c>
      <c r="H690" t="inlineStr">
        <is>
          <t>900400</t>
        </is>
      </c>
    </row>
    <row r="691">
      <c r="A691" t="inlineStr">
        <is>
          <t>K</t>
        </is>
      </c>
      <c r="B691" t="inlineStr">
        <is>
          <t>0010421251</t>
        </is>
      </c>
      <c r="C691" t="inlineStr">
        <is>
          <t>900460 Debitorische Kreditoren (Verb. nicht L+L)</t>
        </is>
      </c>
      <c r="D691" t="n">
        <v>2282.06</v>
      </c>
      <c r="E691" t="n">
        <v>8</v>
      </c>
      <c r="F691" t="n">
        <v>63</v>
      </c>
      <c r="H691" t="inlineStr">
        <is>
          <t>900460</t>
        </is>
      </c>
    </row>
    <row r="692">
      <c r="A692" t="inlineStr">
        <is>
          <t>K</t>
        </is>
      </c>
      <c r="B692" t="inlineStr">
        <is>
          <t>0010421271</t>
        </is>
      </c>
      <c r="C692" t="inlineStr">
        <is>
          <t>155011 Forderungen Zinsen auf Steuererstattungen</t>
        </is>
      </c>
      <c r="D692" t="n">
        <v>33.55</v>
      </c>
      <c r="E692" t="n">
        <v>8</v>
      </c>
      <c r="F692" t="n">
        <v>64</v>
      </c>
      <c r="H692" t="inlineStr">
        <is>
          <t>155011</t>
        </is>
      </c>
    </row>
    <row r="693">
      <c r="A693" t="inlineStr">
        <is>
          <t>P</t>
        </is>
      </c>
      <c r="B693" t="inlineStr">
        <is>
          <t>0010421300</t>
        </is>
      </c>
      <c r="C693" t="inlineStr">
        <is>
          <t>And. sonst. VermögensG.</t>
        </is>
      </c>
      <c r="D693" t="n">
        <v>0</v>
      </c>
      <c r="E693" t="n">
        <v>6</v>
      </c>
      <c r="F693" t="n">
        <v>65</v>
      </c>
      <c r="G693" t="b">
        <v>0</v>
      </c>
    </row>
    <row r="694">
      <c r="A694" t="inlineStr">
        <is>
          <t>P</t>
        </is>
      </c>
      <c r="B694" t="inlineStr">
        <is>
          <t>0010421310</t>
        </is>
      </c>
      <c r="C694" t="inlineStr">
        <is>
          <t>And. sonst. VG (RLZ &lt;1J)</t>
        </is>
      </c>
      <c r="D694" t="n">
        <v>0</v>
      </c>
      <c r="E694" t="n">
        <v>7</v>
      </c>
      <c r="F694" t="n">
        <v>66</v>
      </c>
      <c r="G694" t="b">
        <v>0</v>
      </c>
    </row>
    <row r="695">
      <c r="A695" t="inlineStr">
        <is>
          <t>K</t>
        </is>
      </c>
      <c r="B695" t="inlineStr">
        <is>
          <t>0010421310</t>
        </is>
      </c>
      <c r="C695" t="inlineStr">
        <is>
          <t>150000 Sonstige Forderungen</t>
        </is>
      </c>
      <c r="D695" t="n">
        <v>1300000</v>
      </c>
      <c r="E695" t="n">
        <v>8</v>
      </c>
      <c r="F695" t="n">
        <v>67</v>
      </c>
      <c r="H695" t="inlineStr">
        <is>
          <t>150000</t>
        </is>
      </c>
    </row>
    <row r="696">
      <c r="A696" t="inlineStr">
        <is>
          <t>K</t>
        </is>
      </c>
      <c r="B696" t="inlineStr">
        <is>
          <t>0010421310</t>
        </is>
      </c>
      <c r="C696" t="inlineStr">
        <is>
          <t>150110 Sicherheitseinbehalte (Debitoren)</t>
        </is>
      </c>
      <c r="D696" t="n">
        <v>100818.65</v>
      </c>
      <c r="E696" t="n">
        <v>8</v>
      </c>
      <c r="F696" t="n">
        <v>68</v>
      </c>
      <c r="H696" t="inlineStr">
        <is>
          <t>150110</t>
        </is>
      </c>
    </row>
    <row r="697">
      <c r="A697" t="inlineStr">
        <is>
          <t>K</t>
        </is>
      </c>
      <c r="B697" t="inlineStr">
        <is>
          <t>0010421310</t>
        </is>
      </c>
      <c r="C697" t="inlineStr">
        <is>
          <t>152500 gegebene Kautionen</t>
        </is>
      </c>
      <c r="D697" t="n">
        <v>3460</v>
      </c>
      <c r="E697" t="n">
        <v>8</v>
      </c>
      <c r="F697" t="n">
        <v>69</v>
      </c>
      <c r="H697" t="inlineStr">
        <is>
          <t>152500</t>
        </is>
      </c>
    </row>
    <row r="698">
      <c r="A698" t="inlineStr">
        <is>
          <t>K</t>
        </is>
      </c>
      <c r="B698" t="inlineStr">
        <is>
          <t>0010421310</t>
        </is>
      </c>
      <c r="C698" t="inlineStr">
        <is>
          <t>153000 Forderungen gegen Personal</t>
        </is>
      </c>
      <c r="D698" t="n">
        <v>4318.25</v>
      </c>
      <c r="E698" t="n">
        <v>8</v>
      </c>
      <c r="F698" t="n">
        <v>70</v>
      </c>
      <c r="H698" t="inlineStr">
        <is>
          <t>153000</t>
        </is>
      </c>
    </row>
    <row r="699">
      <c r="A699" t="inlineStr">
        <is>
          <t>K</t>
        </is>
      </c>
      <c r="B699" t="inlineStr">
        <is>
          <t>0010421310</t>
        </is>
      </c>
      <c r="C699" t="inlineStr">
        <is>
          <t>174020 Verbindlichkeiten Pfändung</t>
        </is>
      </c>
      <c r="D699" t="n">
        <v>124.61</v>
      </c>
      <c r="E699" t="n">
        <v>8</v>
      </c>
      <c r="F699" t="n">
        <v>71</v>
      </c>
      <c r="H699" t="inlineStr">
        <is>
          <t>174020</t>
        </is>
      </c>
    </row>
    <row r="700">
      <c r="A700" t="inlineStr">
        <is>
          <t>K</t>
        </is>
      </c>
      <c r="B700" t="inlineStr">
        <is>
          <t>0010421310</t>
        </is>
      </c>
      <c r="C700" t="inlineStr">
        <is>
          <t>174030 Verbindlichkeiten Direktversicherung</t>
        </is>
      </c>
      <c r="D700" t="n">
        <v>3188.68</v>
      </c>
      <c r="E700" t="n">
        <v>8</v>
      </c>
      <c r="F700" t="n">
        <v>72</v>
      </c>
      <c r="H700" t="inlineStr">
        <is>
          <t>174030</t>
        </is>
      </c>
    </row>
    <row r="701">
      <c r="A701" t="inlineStr">
        <is>
          <t>K</t>
        </is>
      </c>
      <c r="B701" t="inlineStr">
        <is>
          <t>0010421310</t>
        </is>
      </c>
      <c r="C701" t="inlineStr">
        <is>
          <t>199901 Verrechnung Lieferantenskonti (Nettoverfahren)</t>
        </is>
      </c>
      <c r="D701" t="n">
        <v>82.73999999999999</v>
      </c>
      <c r="E701" t="n">
        <v>8</v>
      </c>
      <c r="F701" t="n">
        <v>73</v>
      </c>
      <c r="H701" t="inlineStr">
        <is>
          <t>199901</t>
        </is>
      </c>
    </row>
    <row r="702">
      <c r="A702" t="inlineStr">
        <is>
          <t>K</t>
        </is>
      </c>
      <c r="B702" t="inlineStr">
        <is>
          <t>0010421310</t>
        </is>
      </c>
      <c r="C702" t="inlineStr">
        <is>
          <t>900051 Kautionen (Korrekturkonto)</t>
        </is>
      </c>
      <c r="D702" t="n">
        <v>-960</v>
      </c>
      <c r="E702" t="n">
        <v>8</v>
      </c>
      <c r="F702" t="n">
        <v>74</v>
      </c>
      <c r="H702" t="inlineStr">
        <is>
          <t>900051</t>
        </is>
      </c>
    </row>
    <row r="703">
      <c r="A703" t="inlineStr">
        <is>
          <t>P</t>
        </is>
      </c>
      <c r="B703" t="inlineStr">
        <is>
          <t>0010421320</t>
        </is>
      </c>
      <c r="C703" t="inlineStr">
        <is>
          <t>And. sonst. VG (RLZ &gt;1J)</t>
        </is>
      </c>
      <c r="D703" t="n">
        <v>0</v>
      </c>
      <c r="E703" t="n">
        <v>7</v>
      </c>
      <c r="F703" t="n">
        <v>75</v>
      </c>
      <c r="G703" t="b">
        <v>0</v>
      </c>
    </row>
    <row r="704">
      <c r="A704" t="inlineStr">
        <is>
          <t>K</t>
        </is>
      </c>
      <c r="B704" t="inlineStr">
        <is>
          <t>0010421320</t>
        </is>
      </c>
      <c r="C704" t="inlineStr">
        <is>
          <t>900052 Kautionen (RLZ &gt;1 Jahr)</t>
        </is>
      </c>
      <c r="D704" t="n">
        <v>960</v>
      </c>
      <c r="E704" t="n">
        <v>8</v>
      </c>
      <c r="F704" t="n">
        <v>76</v>
      </c>
      <c r="H704" t="inlineStr">
        <is>
          <t>900052</t>
        </is>
      </c>
    </row>
    <row r="705">
      <c r="A705" t="inlineStr">
        <is>
          <t>K</t>
        </is>
      </c>
      <c r="B705" t="inlineStr">
        <is>
          <t>0010421309</t>
        </is>
      </c>
      <c r="C705" t="inlineStr">
        <is>
          <t>150719 Sicherheitseinbehalte (Factoring)</t>
        </is>
      </c>
      <c r="D705" t="n">
        <v>374829.42</v>
      </c>
      <c r="E705" t="n">
        <v>7</v>
      </c>
      <c r="F705" t="n">
        <v>77</v>
      </c>
      <c r="H705" t="inlineStr">
        <is>
          <t>150719</t>
        </is>
      </c>
    </row>
    <row r="706">
      <c r="A706" t="inlineStr">
        <is>
          <t>P</t>
        </is>
      </c>
      <c r="B706" t="inlineStr">
        <is>
          <t>0010421000</t>
        </is>
      </c>
      <c r="C706" t="inlineStr">
        <is>
          <t>Summe Sonst. VermögensG.</t>
        </is>
      </c>
      <c r="D706" t="n">
        <v>2271367.1</v>
      </c>
      <c r="E706" t="n">
        <v>5</v>
      </c>
      <c r="F706" t="n">
        <v>78</v>
      </c>
      <c r="G706" t="b">
        <v>1</v>
      </c>
    </row>
    <row r="707">
      <c r="A707" t="inlineStr">
        <is>
          <t>P</t>
        </is>
      </c>
      <c r="B707" t="inlineStr">
        <is>
          <t>0010420000</t>
        </is>
      </c>
      <c r="C707" t="inlineStr">
        <is>
          <t>Summe Ford. / Sonst. VgG</t>
        </is>
      </c>
      <c r="D707" t="n">
        <v>3956578.45</v>
      </c>
      <c r="E707" t="n">
        <v>4</v>
      </c>
      <c r="F707" t="n">
        <v>79</v>
      </c>
      <c r="G707" t="b">
        <v>1</v>
      </c>
    </row>
    <row r="708">
      <c r="A708" t="inlineStr">
        <is>
          <t>P</t>
        </is>
      </c>
      <c r="B708" t="inlineStr">
        <is>
          <t>0010440000</t>
        </is>
      </c>
      <c r="C708" t="inlineStr">
        <is>
          <t>Schecks, Kassenbestand, Bundesbank- und Post-</t>
        </is>
      </c>
      <c r="D708" t="n">
        <v>0</v>
      </c>
      <c r="E708" t="n">
        <v>4</v>
      </c>
      <c r="F708" t="n">
        <v>80</v>
      </c>
      <c r="G708" t="b">
        <v>0</v>
      </c>
    </row>
    <row r="709">
      <c r="A709" t="inlineStr">
        <is>
          <t>P</t>
        </is>
      </c>
      <c r="B709" t="inlineStr">
        <is>
          <t>0010440000</t>
        </is>
      </c>
      <c r="C709" t="inlineStr">
        <is>
          <t>giroguthaben, Guthaben bei Kreditinstituten</t>
        </is>
      </c>
      <c r="D709" t="n">
        <v>0</v>
      </c>
      <c r="E709" t="n">
        <v>4</v>
      </c>
      <c r="F709" t="n">
        <v>81</v>
      </c>
      <c r="G709" t="b">
        <v>0</v>
      </c>
    </row>
    <row r="710">
      <c r="A710" t="inlineStr">
        <is>
          <t>P</t>
        </is>
      </c>
      <c r="B710" t="inlineStr">
        <is>
          <t>0010440010</t>
        </is>
      </c>
      <c r="C710" t="inlineStr">
        <is>
          <t>Kasse</t>
        </is>
      </c>
      <c r="D710" t="n">
        <v>0</v>
      </c>
      <c r="E710" t="n">
        <v>5</v>
      </c>
      <c r="F710" t="n">
        <v>82</v>
      </c>
      <c r="G710" t="b">
        <v>0</v>
      </c>
    </row>
    <row r="711">
      <c r="A711" t="inlineStr">
        <is>
          <t>K</t>
        </is>
      </c>
      <c r="B711" t="inlineStr">
        <is>
          <t>0010440010</t>
        </is>
      </c>
      <c r="C711" t="inlineStr">
        <is>
          <t>100000 Kasse I</t>
        </is>
      </c>
      <c r="D711" t="n">
        <v>4585.14</v>
      </c>
      <c r="E711" t="n">
        <v>6</v>
      </c>
      <c r="F711" t="n">
        <v>83</v>
      </c>
      <c r="H711" t="inlineStr">
        <is>
          <t>100000</t>
        </is>
      </c>
    </row>
    <row r="712">
      <c r="A712" t="inlineStr">
        <is>
          <t>K</t>
        </is>
      </c>
      <c r="B712" t="inlineStr">
        <is>
          <t>0010440010</t>
        </is>
      </c>
      <c r="C712" t="inlineStr">
        <is>
          <t>100090 Kasse X</t>
        </is>
      </c>
      <c r="D712" t="n">
        <v>467.45</v>
      </c>
      <c r="E712" t="n">
        <v>6</v>
      </c>
      <c r="F712" t="n">
        <v>84</v>
      </c>
      <c r="H712" t="inlineStr">
        <is>
          <t>100090</t>
        </is>
      </c>
    </row>
    <row r="713">
      <c r="A713" t="inlineStr">
        <is>
          <t>K</t>
        </is>
      </c>
      <c r="B713" t="inlineStr">
        <is>
          <t>0010440010</t>
        </is>
      </c>
      <c r="C713" t="inlineStr">
        <is>
          <t>100091 Kasse XI</t>
        </is>
      </c>
      <c r="D713" t="n">
        <v>154.04</v>
      </c>
      <c r="E713" t="n">
        <v>6</v>
      </c>
      <c r="F713" t="n">
        <v>85</v>
      </c>
      <c r="H713" t="inlineStr">
        <is>
          <t>100091</t>
        </is>
      </c>
    </row>
    <row r="714">
      <c r="A714" t="inlineStr">
        <is>
          <t>K</t>
        </is>
      </c>
      <c r="B714" t="inlineStr">
        <is>
          <t>0010440010</t>
        </is>
      </c>
      <c r="C714" t="inlineStr">
        <is>
          <t>100092 Kasse XII</t>
        </is>
      </c>
      <c r="D714" t="n">
        <v>906.47</v>
      </c>
      <c r="E714" t="n">
        <v>6</v>
      </c>
      <c r="F714" t="n">
        <v>86</v>
      </c>
      <c r="H714" t="inlineStr">
        <is>
          <t>100092</t>
        </is>
      </c>
    </row>
    <row r="715">
      <c r="A715" t="inlineStr">
        <is>
          <t>P</t>
        </is>
      </c>
      <c r="B715" t="inlineStr">
        <is>
          <t>0010440000</t>
        </is>
      </c>
      <c r="C715" t="inlineStr">
        <is>
          <t>Summe Schecks, Kassenbestand, Bankguthaben</t>
        </is>
      </c>
      <c r="D715" t="n">
        <v>6113.1</v>
      </c>
      <c r="E715" t="n">
        <v>4</v>
      </c>
      <c r="F715" t="n">
        <v>87</v>
      </c>
      <c r="G715" t="b">
        <v>1</v>
      </c>
    </row>
    <row r="716">
      <c r="A716" t="inlineStr">
        <is>
          <t>P</t>
        </is>
      </c>
      <c r="B716" t="inlineStr">
        <is>
          <t>0010400000</t>
        </is>
      </c>
      <c r="C716" t="inlineStr">
        <is>
          <t>Summe Umlaufvermoegen</t>
        </is>
      </c>
      <c r="D716" t="n">
        <v>6295192.72</v>
      </c>
      <c r="E716" t="n">
        <v>3</v>
      </c>
      <c r="F716" t="n">
        <v>88</v>
      </c>
      <c r="G716" t="b">
        <v>1</v>
      </c>
    </row>
    <row r="717">
      <c r="A717" t="inlineStr">
        <is>
          <t>P</t>
        </is>
      </c>
      <c r="B717" t="inlineStr">
        <is>
          <t>0010600000</t>
        </is>
      </c>
      <c r="C717" t="inlineStr">
        <is>
          <t>ARAP</t>
        </is>
      </c>
      <c r="D717" t="n">
        <v>0</v>
      </c>
      <c r="E717" t="n">
        <v>3</v>
      </c>
      <c r="F717" t="n">
        <v>89</v>
      </c>
      <c r="G717" t="b">
        <v>0</v>
      </c>
    </row>
    <row r="718">
      <c r="A718" t="inlineStr">
        <is>
          <t>P</t>
        </is>
      </c>
      <c r="B718" t="inlineStr">
        <is>
          <t>0010630000</t>
        </is>
      </c>
      <c r="C718" t="inlineStr">
        <is>
          <t>ARAP Sonstige</t>
        </is>
      </c>
      <c r="D718" t="n">
        <v>0</v>
      </c>
      <c r="E718" t="n">
        <v>4</v>
      </c>
      <c r="F718" t="n">
        <v>90</v>
      </c>
      <c r="G718" t="b">
        <v>0</v>
      </c>
    </row>
    <row r="719">
      <c r="A719" t="inlineStr">
        <is>
          <t>K</t>
        </is>
      </c>
      <c r="B719" t="inlineStr">
        <is>
          <t>0010630000</t>
        </is>
      </c>
      <c r="C719" t="inlineStr">
        <is>
          <t>098002 ARAP Kfz-Steuer</t>
        </is>
      </c>
      <c r="D719" t="n">
        <v>3480.42</v>
      </c>
      <c r="E719" t="n">
        <v>5</v>
      </c>
      <c r="F719" t="n">
        <v>91</v>
      </c>
      <c r="H719" t="inlineStr">
        <is>
          <t>98002</t>
        </is>
      </c>
    </row>
    <row r="720">
      <c r="A720" t="inlineStr">
        <is>
          <t>K</t>
        </is>
      </c>
      <c r="B720" t="inlineStr">
        <is>
          <t>0010630000</t>
        </is>
      </c>
      <c r="C720" t="inlineStr">
        <is>
          <t>098004 ARAP sonstige Versicherungen</t>
        </is>
      </c>
      <c r="D720" t="n">
        <v>94.75</v>
      </c>
      <c r="E720" t="n">
        <v>5</v>
      </c>
      <c r="F720" t="n">
        <v>92</v>
      </c>
      <c r="H720" t="inlineStr">
        <is>
          <t>98004</t>
        </is>
      </c>
    </row>
    <row r="721">
      <c r="A721" t="inlineStr">
        <is>
          <t>K</t>
        </is>
      </c>
      <c r="B721" t="inlineStr">
        <is>
          <t>0010630000</t>
        </is>
      </c>
      <c r="C721" t="inlineStr">
        <is>
          <t>098006 ARAP OP-verwaltet</t>
        </is>
      </c>
      <c r="D721" t="n">
        <v>5788.83</v>
      </c>
      <c r="E721" t="n">
        <v>5</v>
      </c>
      <c r="F721" t="n">
        <v>93</v>
      </c>
      <c r="H721" t="inlineStr">
        <is>
          <t>98006</t>
        </is>
      </c>
    </row>
    <row r="722">
      <c r="A722" t="inlineStr">
        <is>
          <t>P</t>
        </is>
      </c>
      <c r="B722" t="inlineStr">
        <is>
          <t>0010600000</t>
        </is>
      </c>
      <c r="C722" t="inlineStr">
        <is>
          <t>Summe ARAP</t>
        </is>
      </c>
      <c r="D722" t="n">
        <v>9364</v>
      </c>
      <c r="E722" t="n">
        <v>3</v>
      </c>
      <c r="F722" t="n">
        <v>94</v>
      </c>
      <c r="G722" t="b">
        <v>1</v>
      </c>
    </row>
    <row r="723">
      <c r="A723" t="inlineStr">
        <is>
          <t>P</t>
        </is>
      </c>
      <c r="B723" t="inlineStr">
        <is>
          <t>0010000000</t>
        </is>
      </c>
      <c r="C723" t="inlineStr">
        <is>
          <t>Summe      A K T I V A</t>
        </is>
      </c>
      <c r="D723" t="n">
        <v>6753194.72</v>
      </c>
      <c r="E723" t="n">
        <v>2</v>
      </c>
      <c r="F723" t="n">
        <v>95</v>
      </c>
      <c r="G723" t="b">
        <v>1</v>
      </c>
    </row>
    <row r="724">
      <c r="A724" t="inlineStr">
        <is>
          <t>P</t>
        </is>
      </c>
      <c r="B724" t="inlineStr">
        <is>
          <t>0020000000</t>
        </is>
      </c>
      <c r="C724" t="inlineStr">
        <is>
          <t>P A S S I V A</t>
        </is>
      </c>
      <c r="D724" t="n">
        <v>0</v>
      </c>
      <c r="E724" t="n">
        <v>2</v>
      </c>
      <c r="F724" t="n">
        <v>96</v>
      </c>
      <c r="G724" t="b">
        <v>0</v>
      </c>
    </row>
    <row r="725">
      <c r="A725" t="inlineStr">
        <is>
          <t>P</t>
        </is>
      </c>
      <c r="B725" t="inlineStr">
        <is>
          <t>0020100000</t>
        </is>
      </c>
      <c r="C725" t="inlineStr">
        <is>
          <t>Eigenkapital</t>
        </is>
      </c>
      <c r="D725" t="n">
        <v>0</v>
      </c>
      <c r="E725" t="n">
        <v>3</v>
      </c>
      <c r="F725" t="n">
        <v>97</v>
      </c>
      <c r="G725" t="b">
        <v>0</v>
      </c>
    </row>
    <row r="726">
      <c r="A726" t="inlineStr">
        <is>
          <t>P</t>
        </is>
      </c>
      <c r="B726" t="inlineStr">
        <is>
          <t>0020110000</t>
        </is>
      </c>
      <c r="C726" t="inlineStr">
        <is>
          <t>Gezeichnetes Kapital / Kommanditkapital</t>
        </is>
      </c>
      <c r="D726" t="n">
        <v>0</v>
      </c>
      <c r="E726" t="n">
        <v>4</v>
      </c>
      <c r="F726" t="n">
        <v>98</v>
      </c>
      <c r="G726" t="b">
        <v>0</v>
      </c>
    </row>
    <row r="727">
      <c r="A727" t="inlineStr">
        <is>
          <t>K</t>
        </is>
      </c>
      <c r="B727" t="inlineStr">
        <is>
          <t>0020110000</t>
        </is>
      </c>
      <c r="C727" t="inlineStr">
        <is>
          <t>080000 Gezeichnetes Kapital</t>
        </is>
      </c>
      <c r="D727" t="n">
        <v>-1023000</v>
      </c>
      <c r="E727" t="n">
        <v>5</v>
      </c>
      <c r="F727" t="n">
        <v>99</v>
      </c>
      <c r="H727" t="inlineStr">
        <is>
          <t>80000</t>
        </is>
      </c>
    </row>
    <row r="728">
      <c r="A728" t="inlineStr">
        <is>
          <t>P</t>
        </is>
      </c>
      <c r="B728" t="inlineStr">
        <is>
          <t>0020130000</t>
        </is>
      </c>
      <c r="C728" t="inlineStr">
        <is>
          <t>Kapitalruecklagen</t>
        </is>
      </c>
      <c r="D728" t="n">
        <v>0</v>
      </c>
      <c r="E728" t="n">
        <v>4</v>
      </c>
      <c r="F728" t="n">
        <v>100</v>
      </c>
      <c r="G728" t="b">
        <v>0</v>
      </c>
    </row>
    <row r="729">
      <c r="A729" t="inlineStr">
        <is>
          <t>K</t>
        </is>
      </c>
      <c r="B729" t="inlineStr">
        <is>
          <t>0020130000</t>
        </is>
      </c>
      <c r="C729" t="inlineStr">
        <is>
          <t>084000 Kapitalrücklage</t>
        </is>
      </c>
      <c r="D729" t="n">
        <v>-1033875.64</v>
      </c>
      <c r="E729" t="n">
        <v>5</v>
      </c>
      <c r="F729" t="n">
        <v>101</v>
      </c>
      <c r="H729" t="inlineStr">
        <is>
          <t>84000</t>
        </is>
      </c>
    </row>
    <row r="730">
      <c r="A730" t="inlineStr">
        <is>
          <t>P</t>
        </is>
      </c>
      <c r="B730" t="inlineStr">
        <is>
          <t>0020140000</t>
        </is>
      </c>
      <c r="C730" t="inlineStr">
        <is>
          <t>Gewinnrücklagen</t>
        </is>
      </c>
      <c r="D730" t="n">
        <v>0</v>
      </c>
      <c r="E730" t="n">
        <v>4</v>
      </c>
      <c r="F730" t="n">
        <v>102</v>
      </c>
      <c r="G730" t="b">
        <v>0</v>
      </c>
    </row>
    <row r="731">
      <c r="A731" t="inlineStr">
        <is>
          <t>P</t>
        </is>
      </c>
      <c r="B731" t="inlineStr">
        <is>
          <t>0020140400</t>
        </is>
      </c>
      <c r="C731" t="inlineStr">
        <is>
          <t>Andere Gewinnrücklagen</t>
        </is>
      </c>
      <c r="D731" t="n">
        <v>0</v>
      </c>
      <c r="E731" t="n">
        <v>5</v>
      </c>
      <c r="F731" t="n">
        <v>103</v>
      </c>
      <c r="G731" t="b">
        <v>0</v>
      </c>
    </row>
    <row r="732">
      <c r="A732" t="inlineStr">
        <is>
          <t>K</t>
        </is>
      </c>
      <c r="B732" t="inlineStr">
        <is>
          <t>0020140400</t>
        </is>
      </c>
      <c r="C732" t="inlineStr">
        <is>
          <t>085500 Andere Gewinnrücklagen</t>
        </is>
      </c>
      <c r="D732" t="n">
        <v>-193745.56</v>
      </c>
      <c r="E732" t="n">
        <v>6</v>
      </c>
      <c r="F732" t="n">
        <v>104</v>
      </c>
      <c r="H732" t="inlineStr">
        <is>
          <t>85500</t>
        </is>
      </c>
    </row>
    <row r="733">
      <c r="A733" t="inlineStr">
        <is>
          <t>P</t>
        </is>
      </c>
      <c r="B733" t="inlineStr">
        <is>
          <t>0020162100</t>
        </is>
      </c>
      <c r="C733" t="inlineStr">
        <is>
          <t>Bilanzgewinn</t>
        </is>
      </c>
      <c r="D733" t="n">
        <v>-813322.73</v>
      </c>
      <c r="E733" t="n">
        <v>4</v>
      </c>
      <c r="F733" t="n">
        <v>105</v>
      </c>
      <c r="G733" t="b">
        <v>0</v>
      </c>
    </row>
    <row r="734">
      <c r="A734" t="inlineStr">
        <is>
          <t>P</t>
        </is>
      </c>
      <c r="B734" t="inlineStr">
        <is>
          <t>0020100000</t>
        </is>
      </c>
      <c r="C734" t="inlineStr">
        <is>
          <t>Summe Eigenkapital</t>
        </is>
      </c>
      <c r="D734" t="n">
        <v>-3063943.93</v>
      </c>
      <c r="E734" t="n">
        <v>3</v>
      </c>
      <c r="F734" t="n">
        <v>106</v>
      </c>
      <c r="G734" t="b">
        <v>1</v>
      </c>
    </row>
    <row r="735">
      <c r="A735" t="inlineStr">
        <is>
          <t>P</t>
        </is>
      </c>
      <c r="B735" t="inlineStr">
        <is>
          <t>0020300000</t>
        </is>
      </c>
      <c r="C735" t="inlineStr">
        <is>
          <t>Rueckstellungen</t>
        </is>
      </c>
      <c r="D735" t="n">
        <v>0</v>
      </c>
      <c r="E735" t="n">
        <v>3</v>
      </c>
      <c r="F735" t="n">
        <v>107</v>
      </c>
      <c r="G735" t="b">
        <v>0</v>
      </c>
    </row>
    <row r="736">
      <c r="A736" t="inlineStr">
        <is>
          <t>K</t>
        </is>
      </c>
      <c r="B736" t="inlineStr">
        <is>
          <t>0020330010</t>
        </is>
      </c>
      <c r="C736" t="inlineStr">
        <is>
          <t>095510 Gewerbesteuerrückstellung</t>
        </is>
      </c>
      <c r="D736" t="n">
        <v>-250.8</v>
      </c>
      <c r="E736" t="n">
        <v>6</v>
      </c>
      <c r="F736" t="n">
        <v>108</v>
      </c>
      <c r="H736" t="inlineStr">
        <is>
          <t>95510</t>
        </is>
      </c>
    </row>
    <row r="737">
      <c r="A737" t="inlineStr">
        <is>
          <t>P</t>
        </is>
      </c>
      <c r="B737" t="inlineStr">
        <is>
          <t>0020340000</t>
        </is>
      </c>
      <c r="C737" t="inlineStr">
        <is>
          <t>Sonstige Rueckstellungen</t>
        </is>
      </c>
      <c r="D737" t="n">
        <v>0</v>
      </c>
      <c r="E737" t="n">
        <v>4</v>
      </c>
      <c r="F737" t="n">
        <v>109</v>
      </c>
      <c r="G737" t="b">
        <v>0</v>
      </c>
    </row>
    <row r="738">
      <c r="A738" t="inlineStr">
        <is>
          <t>K</t>
        </is>
      </c>
      <c r="B738" t="inlineStr">
        <is>
          <t>0020340102</t>
        </is>
      </c>
      <c r="C738" t="inlineStr">
        <is>
          <t>097207 Rückstellung Variable Vergütung</t>
        </is>
      </c>
      <c r="D738" t="n">
        <v>-66505.64999999999</v>
      </c>
      <c r="E738" t="n">
        <v>7</v>
      </c>
      <c r="F738" t="n">
        <v>110</v>
      </c>
      <c r="H738" t="inlineStr">
        <is>
          <t>97207</t>
        </is>
      </c>
    </row>
    <row r="739">
      <c r="A739" t="inlineStr">
        <is>
          <t>K</t>
        </is>
      </c>
      <c r="B739" t="inlineStr">
        <is>
          <t>0020340102</t>
        </is>
      </c>
      <c r="C739" t="inlineStr">
        <is>
          <t>599136 Gegenkonto Abgrenzung variable Vergütung</t>
        </is>
      </c>
      <c r="D739" t="n">
        <v>-185038</v>
      </c>
      <c r="E739" t="n">
        <v>7</v>
      </c>
      <c r="F739" t="n">
        <v>111</v>
      </c>
      <c r="H739" t="inlineStr">
        <is>
          <t>599136</t>
        </is>
      </c>
    </row>
    <row r="740">
      <c r="A740" t="inlineStr">
        <is>
          <t>K</t>
        </is>
      </c>
      <c r="B740" t="inlineStr">
        <is>
          <t>0020340104</t>
        </is>
      </c>
      <c r="C740" t="inlineStr">
        <is>
          <t>097202 Rückstellung Urlaubsverpflichtungen</t>
        </is>
      </c>
      <c r="D740" t="n">
        <v>-108635.41</v>
      </c>
      <c r="E740" t="n">
        <v>7</v>
      </c>
      <c r="F740" t="n">
        <v>112</v>
      </c>
      <c r="H740" t="inlineStr">
        <is>
          <t>97202</t>
        </is>
      </c>
    </row>
    <row r="741">
      <c r="A741" t="inlineStr">
        <is>
          <t>K</t>
        </is>
      </c>
      <c r="B741" t="inlineStr">
        <is>
          <t>0020340105</t>
        </is>
      </c>
      <c r="C741" t="inlineStr">
        <is>
          <t>097209 Rückstellung Überstunden/Mehrarbeit</t>
        </is>
      </c>
      <c r="D741" t="n">
        <v>-75406.8</v>
      </c>
      <c r="E741" t="n">
        <v>7</v>
      </c>
      <c r="F741" t="n">
        <v>113</v>
      </c>
      <c r="H741" t="inlineStr">
        <is>
          <t>97209</t>
        </is>
      </c>
    </row>
    <row r="742">
      <c r="A742" t="inlineStr">
        <is>
          <t>K</t>
        </is>
      </c>
      <c r="B742" t="inlineStr">
        <is>
          <t>0020340109</t>
        </is>
      </c>
      <c r="C742" t="inlineStr">
        <is>
          <t>097200 Rückstellung Berufsgenossenschaft</t>
        </is>
      </c>
      <c r="D742" t="n">
        <v>-287.8</v>
      </c>
      <c r="E742" t="n">
        <v>7</v>
      </c>
      <c r="F742" t="n">
        <v>114</v>
      </c>
      <c r="H742" t="inlineStr">
        <is>
          <t>97200</t>
        </is>
      </c>
    </row>
    <row r="743">
      <c r="A743" t="inlineStr">
        <is>
          <t>K</t>
        </is>
      </c>
      <c r="B743" t="inlineStr">
        <is>
          <t>0020340109</t>
        </is>
      </c>
      <c r="C743" t="inlineStr">
        <is>
          <t>599131 Gegenkonto Abgrenzung Berufsgenossenschaft</t>
        </is>
      </c>
      <c r="D743" t="n">
        <v>-42350</v>
      </c>
      <c r="E743" t="n">
        <v>7</v>
      </c>
      <c r="F743" t="n">
        <v>115</v>
      </c>
      <c r="H743" t="inlineStr">
        <is>
          <t>599131</t>
        </is>
      </c>
    </row>
    <row r="744">
      <c r="A744" t="inlineStr">
        <is>
          <t>P</t>
        </is>
      </c>
      <c r="B744" t="inlineStr">
        <is>
          <t>0020340200</t>
        </is>
      </c>
      <c r="C744" t="inlineStr">
        <is>
          <t>Uebrige Rueckstellungen</t>
        </is>
      </c>
      <c r="D744" t="n">
        <v>0</v>
      </c>
      <c r="E744" t="n">
        <v>5</v>
      </c>
      <c r="F744" t="n">
        <v>116</v>
      </c>
      <c r="G744" t="b">
        <v>0</v>
      </c>
    </row>
    <row r="745">
      <c r="A745" t="inlineStr">
        <is>
          <t>K</t>
        </is>
      </c>
      <c r="B745" t="inlineStr">
        <is>
          <t>0020340250</t>
        </is>
      </c>
      <c r="C745" t="inlineStr">
        <is>
          <t>097035 Rückst. f. Jahresabschluss/Rechtsberatung</t>
        </is>
      </c>
      <c r="D745" t="n">
        <v>-11182</v>
      </c>
      <c r="E745" t="n">
        <v>7</v>
      </c>
      <c r="F745" t="n">
        <v>117</v>
      </c>
      <c r="H745" t="inlineStr">
        <is>
          <t>97035</t>
        </is>
      </c>
    </row>
    <row r="746">
      <c r="A746" t="inlineStr">
        <is>
          <t>K</t>
        </is>
      </c>
      <c r="B746" t="inlineStr">
        <is>
          <t>0020340265</t>
        </is>
      </c>
      <c r="C746" t="inlineStr">
        <is>
          <t>097300 Rückstellung für Zinsen auf Steuernachzahlungen</t>
        </is>
      </c>
      <c r="D746" t="n">
        <v>-29.56</v>
      </c>
      <c r="E746" t="n">
        <v>7</v>
      </c>
      <c r="F746" t="n">
        <v>118</v>
      </c>
      <c r="H746" t="inlineStr">
        <is>
          <t>97300</t>
        </is>
      </c>
    </row>
    <row r="747">
      <c r="A747" t="inlineStr">
        <is>
          <t>K</t>
        </is>
      </c>
      <c r="B747" t="inlineStr">
        <is>
          <t>0020340270</t>
        </is>
      </c>
      <c r="C747" t="inlineStr">
        <is>
          <t>599992 Gegenkonto Kostenabgrenzungen (Rückstell.)</t>
        </is>
      </c>
      <c r="D747" t="n">
        <v>-57000</v>
      </c>
      <c r="E747" t="n">
        <v>7</v>
      </c>
      <c r="F747" t="n">
        <v>119</v>
      </c>
      <c r="H747" t="inlineStr">
        <is>
          <t>599992</t>
        </is>
      </c>
    </row>
    <row r="748">
      <c r="A748" t="inlineStr">
        <is>
          <t>P</t>
        </is>
      </c>
      <c r="B748" t="inlineStr">
        <is>
          <t>0020300000</t>
        </is>
      </c>
      <c r="C748" t="inlineStr">
        <is>
          <t>Summe Rueckstellungen</t>
        </is>
      </c>
      <c r="D748" t="n">
        <v>-546686.02</v>
      </c>
      <c r="E748" t="n">
        <v>3</v>
      </c>
      <c r="F748" t="n">
        <v>120</v>
      </c>
      <c r="G748" t="b">
        <v>1</v>
      </c>
    </row>
    <row r="749">
      <c r="A749" t="inlineStr">
        <is>
          <t>P</t>
        </is>
      </c>
      <c r="B749" t="inlineStr">
        <is>
          <t>0020400000</t>
        </is>
      </c>
      <c r="C749" t="inlineStr">
        <is>
          <t>Verbindlichkeiten</t>
        </is>
      </c>
      <c r="D749" t="n">
        <v>0</v>
      </c>
      <c r="E749" t="n">
        <v>3</v>
      </c>
      <c r="F749" t="n">
        <v>121</v>
      </c>
      <c r="G749" t="b">
        <v>0</v>
      </c>
    </row>
    <row r="750">
      <c r="A750" t="inlineStr">
        <is>
          <t>P</t>
        </is>
      </c>
      <c r="B750" t="inlineStr">
        <is>
          <t>0020440000</t>
        </is>
      </c>
      <c r="C750" t="inlineStr">
        <is>
          <t>Verbindlk. L+L</t>
        </is>
      </c>
      <c r="D750" t="n">
        <v>0</v>
      </c>
      <c r="E750" t="n">
        <v>4</v>
      </c>
      <c r="F750" t="n">
        <v>122</v>
      </c>
      <c r="G750" t="b">
        <v>0</v>
      </c>
    </row>
    <row r="751">
      <c r="A751" t="inlineStr">
        <is>
          <t>P</t>
        </is>
      </c>
      <c r="B751" t="inlineStr">
        <is>
          <t>0020440100</t>
        </is>
      </c>
      <c r="C751" t="inlineStr">
        <is>
          <t>Verblk. L+L (RLZ &lt;1J)</t>
        </is>
      </c>
      <c r="D751" t="n">
        <v>0</v>
      </c>
      <c r="E751" t="n">
        <v>5</v>
      </c>
      <c r="F751" t="n">
        <v>123</v>
      </c>
      <c r="G751" t="b">
        <v>0</v>
      </c>
    </row>
    <row r="752">
      <c r="A752" t="inlineStr">
        <is>
          <t>K</t>
        </is>
      </c>
      <c r="B752" t="inlineStr">
        <is>
          <t>0020440100</t>
        </is>
      </c>
      <c r="C752" t="inlineStr">
        <is>
          <t>160000 Verbindlichkeiten aus Lieferungen und Leistungen</t>
        </is>
      </c>
      <c r="D752" t="n">
        <v>-1044596.61</v>
      </c>
      <c r="E752" t="n">
        <v>6</v>
      </c>
      <c r="F752" t="n">
        <v>124</v>
      </c>
      <c r="H752" t="inlineStr">
        <is>
          <t>160000</t>
        </is>
      </c>
    </row>
    <row r="753">
      <c r="A753" t="inlineStr">
        <is>
          <t>K</t>
        </is>
      </c>
      <c r="B753" t="inlineStr">
        <is>
          <t>0020440100</t>
        </is>
      </c>
      <c r="C753" t="inlineStr">
        <is>
          <t>900061 Verbind.aus L+L (Korrekturkto)</t>
        </is>
      </c>
      <c r="D753" t="n">
        <v>-1442.52</v>
      </c>
      <c r="E753" t="n">
        <v>6</v>
      </c>
      <c r="F753" t="n">
        <v>125</v>
      </c>
      <c r="H753" t="inlineStr">
        <is>
          <t>900061</t>
        </is>
      </c>
    </row>
    <row r="754">
      <c r="A754" t="inlineStr">
        <is>
          <t>K</t>
        </is>
      </c>
      <c r="B754" t="inlineStr">
        <is>
          <t>0020440400</t>
        </is>
      </c>
      <c r="C754" t="inlineStr">
        <is>
          <t>599994 Gegenkonto aus Kostenabgrenzung Verb. L&amp;L</t>
        </is>
      </c>
      <c r="D754" t="n">
        <v>-357773.88</v>
      </c>
      <c r="E754" t="n">
        <v>6</v>
      </c>
      <c r="F754" t="n">
        <v>126</v>
      </c>
      <c r="H754" t="inlineStr">
        <is>
          <t>599994</t>
        </is>
      </c>
    </row>
    <row r="755">
      <c r="A755" t="inlineStr">
        <is>
          <t>P</t>
        </is>
      </c>
      <c r="B755" t="inlineStr">
        <is>
          <t>0020440000</t>
        </is>
      </c>
      <c r="C755" t="inlineStr">
        <is>
          <t>Summe Verbindlk. L+L</t>
        </is>
      </c>
      <c r="D755" t="n">
        <v>-1403813.01</v>
      </c>
      <c r="E755" t="n">
        <v>4</v>
      </c>
      <c r="F755" t="n">
        <v>127</v>
      </c>
      <c r="G755" t="b">
        <v>1</v>
      </c>
    </row>
    <row r="756">
      <c r="A756" t="inlineStr">
        <is>
          <t>P</t>
        </is>
      </c>
      <c r="B756" t="inlineStr">
        <is>
          <t>0020460000</t>
        </is>
      </c>
      <c r="C756" t="inlineStr">
        <is>
          <t>Verblk. verbund.</t>
        </is>
      </c>
      <c r="D756" t="n">
        <v>0</v>
      </c>
      <c r="E756" t="n">
        <v>4</v>
      </c>
      <c r="F756" t="n">
        <v>128</v>
      </c>
      <c r="G756" t="b">
        <v>0</v>
      </c>
    </row>
    <row r="757">
      <c r="A757" t="inlineStr">
        <is>
          <t>P</t>
        </is>
      </c>
      <c r="B757" t="inlineStr">
        <is>
          <t>0020460100</t>
        </is>
      </c>
      <c r="C757" t="inlineStr">
        <is>
          <t>Verb. verbund. L+L</t>
        </is>
      </c>
      <c r="D757" t="n">
        <v>0</v>
      </c>
      <c r="E757" t="n">
        <v>5</v>
      </c>
      <c r="F757" t="n">
        <v>129</v>
      </c>
      <c r="G757" t="b">
        <v>0</v>
      </c>
    </row>
    <row r="758">
      <c r="A758" t="inlineStr">
        <is>
          <t>K</t>
        </is>
      </c>
      <c r="B758" t="inlineStr">
        <is>
          <t>0020460110</t>
        </is>
      </c>
      <c r="C758" t="inlineStr">
        <is>
          <t>160010 Verbindlichkeiten gegenüber verbundenen Unternehme</t>
        </is>
      </c>
      <c r="D758" t="n">
        <v>-571.9</v>
      </c>
      <c r="E758" t="n">
        <v>7</v>
      </c>
      <c r="F758" t="n">
        <v>130</v>
      </c>
      <c r="H758" t="inlineStr">
        <is>
          <t>160010</t>
        </is>
      </c>
    </row>
    <row r="759">
      <c r="A759" t="inlineStr">
        <is>
          <t>K</t>
        </is>
      </c>
      <c r="B759" t="inlineStr">
        <is>
          <t>0020460110</t>
        </is>
      </c>
      <c r="C759" t="inlineStr">
        <is>
          <t>900065 Verbind.verb.Unternehmen (Korrekturkto)</t>
        </is>
      </c>
      <c r="D759" t="n">
        <v>-5484.01</v>
      </c>
      <c r="E759" t="n">
        <v>7</v>
      </c>
      <c r="F759" t="n">
        <v>131</v>
      </c>
      <c r="H759" t="inlineStr">
        <is>
          <t>900065</t>
        </is>
      </c>
    </row>
    <row r="760">
      <c r="A760" t="inlineStr">
        <is>
          <t>P</t>
        </is>
      </c>
      <c r="B760" t="inlineStr">
        <is>
          <t>0020460200</t>
        </is>
      </c>
      <c r="C760" t="inlineStr">
        <is>
          <t>Verb. verbund. Transfer</t>
        </is>
      </c>
      <c r="D760" t="n">
        <v>0</v>
      </c>
      <c r="E760" t="n">
        <v>5</v>
      </c>
      <c r="F760" t="n">
        <v>132</v>
      </c>
      <c r="G760" t="b">
        <v>0</v>
      </c>
    </row>
    <row r="761">
      <c r="A761" t="inlineStr">
        <is>
          <t>K</t>
        </is>
      </c>
      <c r="B761" t="inlineStr">
        <is>
          <t>0020460210</t>
        </is>
      </c>
      <c r="C761" t="inlineStr">
        <is>
          <t>111409 CashPool ALBA  plc &amp; Co. KG (5002) vU</t>
        </is>
      </c>
      <c r="D761" t="n">
        <v>-919229.04</v>
      </c>
      <c r="E761" t="n">
        <v>7</v>
      </c>
      <c r="F761" t="n">
        <v>133</v>
      </c>
      <c r="H761" t="inlineStr">
        <is>
          <t>111409</t>
        </is>
      </c>
    </row>
    <row r="762">
      <c r="A762" t="inlineStr">
        <is>
          <t>P</t>
        </is>
      </c>
      <c r="B762" t="inlineStr">
        <is>
          <t>0020460300</t>
        </is>
      </c>
      <c r="C762" t="inlineStr">
        <is>
          <t>Verb. verbund. Sonst.</t>
        </is>
      </c>
      <c r="D762" t="n">
        <v>0</v>
      </c>
      <c r="E762" t="n">
        <v>5</v>
      </c>
      <c r="F762" t="n">
        <v>134</v>
      </c>
      <c r="G762" t="b">
        <v>0</v>
      </c>
    </row>
    <row r="763">
      <c r="A763" t="inlineStr">
        <is>
          <t>K</t>
        </is>
      </c>
      <c r="B763" t="inlineStr">
        <is>
          <t>0020460310</t>
        </is>
      </c>
      <c r="C763" t="inlineStr">
        <is>
          <t>191529 V-Kto. ALBA SE (4000)</t>
        </is>
      </c>
      <c r="D763" t="n">
        <v>-956.1</v>
      </c>
      <c r="E763" t="n">
        <v>7</v>
      </c>
      <c r="F763" t="n">
        <v>135</v>
      </c>
      <c r="H763" t="inlineStr">
        <is>
          <t>191529</t>
        </is>
      </c>
    </row>
    <row r="764">
      <c r="A764" t="inlineStr">
        <is>
          <t>K</t>
        </is>
      </c>
      <c r="B764" t="inlineStr">
        <is>
          <t>0020460310</t>
        </is>
      </c>
      <c r="C764" t="inlineStr">
        <is>
          <t>194406 V-Kto 2 ALBA KG (5002)</t>
        </is>
      </c>
      <c r="D764" t="n">
        <v>-21765.48</v>
      </c>
      <c r="E764" t="n">
        <v>7</v>
      </c>
      <c r="F764" t="n">
        <v>136</v>
      </c>
      <c r="H764" t="inlineStr">
        <is>
          <t>194406</t>
        </is>
      </c>
    </row>
    <row r="765">
      <c r="A765" t="inlineStr">
        <is>
          <t>K</t>
        </is>
      </c>
      <c r="B765" t="inlineStr">
        <is>
          <t>0020460351</t>
        </is>
      </c>
      <c r="C765" t="inlineStr">
        <is>
          <t>160016 Verb. gegenüber verbundenen Unternehmen Zinsen</t>
        </is>
      </c>
      <c r="D765" t="n">
        <v>-46083.32</v>
      </c>
      <c r="E765" t="n">
        <v>7</v>
      </c>
      <c r="F765" t="n">
        <v>137</v>
      </c>
      <c r="H765" t="inlineStr">
        <is>
          <t>160016</t>
        </is>
      </c>
    </row>
    <row r="766">
      <c r="A766" t="inlineStr">
        <is>
          <t>P</t>
        </is>
      </c>
      <c r="B766" t="inlineStr">
        <is>
          <t>0020460000</t>
        </is>
      </c>
      <c r="C766" t="inlineStr">
        <is>
          <t>Summe Verblk. verbund.</t>
        </is>
      </c>
      <c r="D766" t="n">
        <v>-994089.85</v>
      </c>
      <c r="E766" t="n">
        <v>4</v>
      </c>
      <c r="F766" t="n">
        <v>138</v>
      </c>
      <c r="G766" t="b">
        <v>1</v>
      </c>
    </row>
    <row r="767">
      <c r="A767" t="inlineStr">
        <is>
          <t>P</t>
        </is>
      </c>
      <c r="B767" t="inlineStr">
        <is>
          <t>0020490000</t>
        </is>
      </c>
      <c r="C767" t="inlineStr">
        <is>
          <t>Sonst. Verbindlichkeiten</t>
        </is>
      </c>
      <c r="D767" t="n">
        <v>0</v>
      </c>
      <c r="E767" t="n">
        <v>4</v>
      </c>
      <c r="F767" t="n">
        <v>139</v>
      </c>
      <c r="G767" t="b">
        <v>0</v>
      </c>
    </row>
    <row r="768">
      <c r="A768" t="inlineStr">
        <is>
          <t>P</t>
        </is>
      </c>
      <c r="B768" t="inlineStr">
        <is>
          <t>0020490100</t>
        </is>
      </c>
      <c r="C768" t="inlineStr">
        <is>
          <t>Verblk. sonst. Steuern</t>
        </is>
      </c>
      <c r="D768" t="n">
        <v>0</v>
      </c>
      <c r="E768" t="n">
        <v>6</v>
      </c>
      <c r="F768" t="n">
        <v>140</v>
      </c>
      <c r="G768" t="b">
        <v>0</v>
      </c>
    </row>
    <row r="769">
      <c r="A769" t="inlineStr">
        <is>
          <t>P</t>
        </is>
      </c>
      <c r="B769" t="inlineStr">
        <is>
          <t>0020490110</t>
        </is>
      </c>
      <c r="C769" t="inlineStr">
        <is>
          <t>Verblk. sonst. Steuern (RLZ &lt;1J)</t>
        </is>
      </c>
      <c r="D769" t="n">
        <v>0</v>
      </c>
      <c r="E769" t="n">
        <v>7</v>
      </c>
      <c r="F769" t="n">
        <v>141</v>
      </c>
      <c r="G769" t="b">
        <v>0</v>
      </c>
    </row>
    <row r="770">
      <c r="A770" t="inlineStr">
        <is>
          <t>K</t>
        </is>
      </c>
      <c r="B770" t="inlineStr">
        <is>
          <t>0020490110</t>
        </is>
      </c>
      <c r="C770" t="inlineStr">
        <is>
          <t>157000 Vorsteuer</t>
        </is>
      </c>
      <c r="D770" t="n">
        <v>950674.26</v>
      </c>
      <c r="E770" t="n">
        <v>8</v>
      </c>
      <c r="F770" t="n">
        <v>142</v>
      </c>
      <c r="H770" t="inlineStr">
        <is>
          <t>157000</t>
        </is>
      </c>
    </row>
    <row r="771">
      <c r="A771" t="inlineStr">
        <is>
          <t>K</t>
        </is>
      </c>
      <c r="B771" t="inlineStr">
        <is>
          <t>0020490110</t>
        </is>
      </c>
      <c r="C771" t="inlineStr">
        <is>
          <t>157010 Vorsteuer (Altteile)</t>
        </is>
      </c>
      <c r="D771" t="n">
        <v>12.9</v>
      </c>
      <c r="E771" t="n">
        <v>8</v>
      </c>
      <c r="F771" t="n">
        <v>143</v>
      </c>
      <c r="H771" t="inlineStr">
        <is>
          <t>157010</t>
        </is>
      </c>
    </row>
    <row r="772">
      <c r="A772" t="inlineStr">
        <is>
          <t>K</t>
        </is>
      </c>
      <c r="B772" t="inlineStr">
        <is>
          <t>0020490110</t>
        </is>
      </c>
      <c r="C772" t="inlineStr">
        <is>
          <t>157030 Erwerbsteuer (Eingang)</t>
        </is>
      </c>
      <c r="D772" t="n">
        <v>1210498.3</v>
      </c>
      <c r="E772" t="n">
        <v>8</v>
      </c>
      <c r="F772" t="n">
        <v>144</v>
      </c>
      <c r="H772" t="inlineStr">
        <is>
          <t>157030</t>
        </is>
      </c>
    </row>
    <row r="773">
      <c r="A773" t="inlineStr">
        <is>
          <t>K</t>
        </is>
      </c>
      <c r="B773" t="inlineStr">
        <is>
          <t>0020490110</t>
        </is>
      </c>
      <c r="C773" t="inlineStr">
        <is>
          <t>174100 Verbindlichkeiten aus Lohn-u.Kirchensteuer</t>
        </is>
      </c>
      <c r="D773" t="n">
        <v>-44456.19</v>
      </c>
      <c r="E773" t="n">
        <v>8</v>
      </c>
      <c r="F773" t="n">
        <v>145</v>
      </c>
      <c r="H773" t="inlineStr">
        <is>
          <t>174100</t>
        </is>
      </c>
    </row>
    <row r="774">
      <c r="A774" t="inlineStr">
        <is>
          <t>K</t>
        </is>
      </c>
      <c r="B774" t="inlineStr">
        <is>
          <t>0020490110</t>
        </is>
      </c>
      <c r="C774" t="inlineStr">
        <is>
          <t>177000 Ausgangssteuer</t>
        </is>
      </c>
      <c r="D774" t="n">
        <v>-2036685.24</v>
      </c>
      <c r="E774" t="n">
        <v>8</v>
      </c>
      <c r="F774" t="n">
        <v>146</v>
      </c>
      <c r="H774" t="inlineStr">
        <is>
          <t>177000</t>
        </is>
      </c>
    </row>
    <row r="775">
      <c r="A775" t="inlineStr">
        <is>
          <t>K</t>
        </is>
      </c>
      <c r="B775" t="inlineStr">
        <is>
          <t>0020490110</t>
        </is>
      </c>
      <c r="C775" t="inlineStr">
        <is>
          <t>177060 Erwerbsteuer Ausgang</t>
        </is>
      </c>
      <c r="D775" t="n">
        <v>-1210498.3</v>
      </c>
      <c r="E775" t="n">
        <v>8</v>
      </c>
      <c r="F775" t="n">
        <v>147</v>
      </c>
      <c r="H775" t="inlineStr">
        <is>
          <t>177060</t>
        </is>
      </c>
    </row>
    <row r="776">
      <c r="A776" t="inlineStr">
        <is>
          <t>K</t>
        </is>
      </c>
      <c r="B776" t="inlineStr">
        <is>
          <t>0020490110</t>
        </is>
      </c>
      <c r="C776" t="inlineStr">
        <is>
          <t>178890 USt Zahllast Organträger</t>
        </is>
      </c>
      <c r="D776" t="n">
        <v>-19885.45</v>
      </c>
      <c r="E776" t="n">
        <v>8</v>
      </c>
      <c r="F776" t="n">
        <v>148</v>
      </c>
      <c r="H776" t="inlineStr">
        <is>
          <t>178890</t>
        </is>
      </c>
    </row>
    <row r="777">
      <c r="A777" t="inlineStr">
        <is>
          <t>K</t>
        </is>
      </c>
      <c r="B777" t="inlineStr">
        <is>
          <t>0020490110</t>
        </is>
      </c>
      <c r="C777" t="inlineStr">
        <is>
          <t>178901 Zahllast laufendes Jahr Finanzamt</t>
        </is>
      </c>
      <c r="D777" t="n">
        <v>834678.45</v>
      </c>
      <c r="E777" t="n">
        <v>8</v>
      </c>
      <c r="F777" t="n">
        <v>149</v>
      </c>
      <c r="H777" t="inlineStr">
        <is>
          <t>178901</t>
        </is>
      </c>
    </row>
    <row r="778">
      <c r="A778" t="inlineStr">
        <is>
          <t>K</t>
        </is>
      </c>
      <c r="B778" t="inlineStr">
        <is>
          <t>0020490110</t>
        </is>
      </c>
      <c r="C778" t="inlineStr">
        <is>
          <t>900091 Verbindlichk. sonstige Steuern (Korrekturkonto)</t>
        </is>
      </c>
      <c r="D778" t="n">
        <v>-60935.46</v>
      </c>
      <c r="E778" t="n">
        <v>8</v>
      </c>
      <c r="F778" t="n">
        <v>150</v>
      </c>
      <c r="H778" t="inlineStr">
        <is>
          <t>900091</t>
        </is>
      </c>
    </row>
    <row r="779">
      <c r="A779" t="inlineStr">
        <is>
          <t>P</t>
        </is>
      </c>
      <c r="B779" t="inlineStr">
        <is>
          <t>0020491000</t>
        </is>
      </c>
      <c r="C779" t="inlineStr">
        <is>
          <t>And. Sonst. Verbindlk.</t>
        </is>
      </c>
      <c r="D779" t="n">
        <v>0</v>
      </c>
      <c r="E779" t="n">
        <v>5</v>
      </c>
      <c r="F779" t="n">
        <v>151</v>
      </c>
      <c r="G779" t="b">
        <v>0</v>
      </c>
    </row>
    <row r="780">
      <c r="A780" t="inlineStr">
        <is>
          <t>P</t>
        </is>
      </c>
      <c r="B780" t="inlineStr">
        <is>
          <t>0020491100</t>
        </is>
      </c>
      <c r="C780" t="inlineStr">
        <is>
          <t>Verb. Lohn und Gehalt</t>
        </is>
      </c>
      <c r="D780" t="n">
        <v>0</v>
      </c>
      <c r="E780" t="n">
        <v>6</v>
      </c>
      <c r="F780" t="n">
        <v>152</v>
      </c>
      <c r="G780" t="b">
        <v>0</v>
      </c>
    </row>
    <row r="781">
      <c r="A781" t="inlineStr">
        <is>
          <t>K</t>
        </is>
      </c>
      <c r="B781" t="inlineStr">
        <is>
          <t>0020491110</t>
        </is>
      </c>
      <c r="C781" t="inlineStr">
        <is>
          <t>174000 Verbindlichkeiten aus Lohn und Gehalt</t>
        </is>
      </c>
      <c r="D781" t="n">
        <v>-2345.49</v>
      </c>
      <c r="E781" t="n">
        <v>8</v>
      </c>
      <c r="F781" t="n">
        <v>153</v>
      </c>
      <c r="H781" t="inlineStr">
        <is>
          <t>174000</t>
        </is>
      </c>
    </row>
    <row r="782">
      <c r="A782" t="inlineStr">
        <is>
          <t>P</t>
        </is>
      </c>
      <c r="B782" t="inlineStr">
        <is>
          <t>0020491200</t>
        </is>
      </c>
      <c r="C782" t="inlineStr">
        <is>
          <t>Uebr.and.sonst.Verb.</t>
        </is>
      </c>
      <c r="D782" t="n">
        <v>0</v>
      </c>
      <c r="E782" t="n">
        <v>6</v>
      </c>
      <c r="F782" t="n">
        <v>154</v>
      </c>
      <c r="G782" t="b">
        <v>0</v>
      </c>
    </row>
    <row r="783">
      <c r="A783" t="inlineStr">
        <is>
          <t>K</t>
        </is>
      </c>
      <c r="B783" t="inlineStr">
        <is>
          <t>0020491210</t>
        </is>
      </c>
      <c r="C783" t="inlineStr">
        <is>
          <t>160050 Verbindlichkeiten nicht L+L</t>
        </is>
      </c>
      <c r="D783" t="n">
        <v>-69636.07000000001</v>
      </c>
      <c r="E783" t="n">
        <v>8</v>
      </c>
      <c r="F783" t="n">
        <v>155</v>
      </c>
      <c r="H783" t="inlineStr">
        <is>
          <t>160050</t>
        </is>
      </c>
    </row>
    <row r="784">
      <c r="A784" t="inlineStr">
        <is>
          <t>K</t>
        </is>
      </c>
      <c r="B784" t="inlineStr">
        <is>
          <t>0020491210</t>
        </is>
      </c>
      <c r="C784" t="inlineStr">
        <is>
          <t>173200 Erhaltene Kautionen</t>
        </is>
      </c>
      <c r="D784" t="n">
        <v>-280</v>
      </c>
      <c r="E784" t="n">
        <v>8</v>
      </c>
      <c r="F784" t="n">
        <v>156</v>
      </c>
      <c r="H784" t="inlineStr">
        <is>
          <t>173200</t>
        </is>
      </c>
    </row>
    <row r="785">
      <c r="A785" t="inlineStr">
        <is>
          <t>K</t>
        </is>
      </c>
      <c r="B785" t="inlineStr">
        <is>
          <t>0020491210</t>
        </is>
      </c>
      <c r="C785" t="inlineStr">
        <is>
          <t>174040 Verbindlichkeiten gegen Mitarbeiter</t>
        </is>
      </c>
      <c r="D785" t="n">
        <v>0.39</v>
      </c>
      <c r="E785" t="n">
        <v>8</v>
      </c>
      <c r="F785" t="n">
        <v>157</v>
      </c>
      <c r="H785" t="inlineStr">
        <is>
          <t>174040</t>
        </is>
      </c>
    </row>
    <row r="786">
      <c r="A786" t="inlineStr">
        <is>
          <t>K</t>
        </is>
      </c>
      <c r="B786" t="inlineStr">
        <is>
          <t>0020491210</t>
        </is>
      </c>
      <c r="C786" t="inlineStr">
        <is>
          <t>900088 And. Sonst. Verbindlichkeiten (Korrekturkto)</t>
        </is>
      </c>
      <c r="D786" t="n">
        <v>58653.4</v>
      </c>
      <c r="E786" t="n">
        <v>8</v>
      </c>
      <c r="F786" t="n">
        <v>158</v>
      </c>
      <c r="H786" t="inlineStr">
        <is>
          <t>900088</t>
        </is>
      </c>
    </row>
    <row r="787">
      <c r="A787" t="inlineStr">
        <is>
          <t>K</t>
        </is>
      </c>
      <c r="B787" t="inlineStr">
        <is>
          <t>0020491511</t>
        </is>
      </c>
      <c r="C787" t="inlineStr">
        <is>
          <t>150720 Forderungen/Verbindlichkeiten BNP (Factoring)</t>
        </is>
      </c>
      <c r="D787" t="n">
        <v>-350961.98</v>
      </c>
      <c r="E787" t="n">
        <v>8</v>
      </c>
      <c r="F787" t="n">
        <v>159</v>
      </c>
      <c r="H787" t="inlineStr">
        <is>
          <t>150720</t>
        </is>
      </c>
    </row>
    <row r="788">
      <c r="A788" t="inlineStr">
        <is>
          <t>K</t>
        </is>
      </c>
      <c r="B788" t="inlineStr">
        <is>
          <t>0020491541</t>
        </is>
      </c>
      <c r="C788" t="inlineStr">
        <is>
          <t>166055 Verbindlichkeiten Nicht LuL (BNP Zinsen)</t>
        </is>
      </c>
      <c r="D788" t="n">
        <v>-3495.43</v>
      </c>
      <c r="E788" t="n">
        <v>8</v>
      </c>
      <c r="F788" t="n">
        <v>160</v>
      </c>
      <c r="H788" t="inlineStr">
        <is>
          <t>166055</t>
        </is>
      </c>
    </row>
    <row r="789">
      <c r="A789" t="inlineStr">
        <is>
          <t>P</t>
        </is>
      </c>
      <c r="B789" t="inlineStr">
        <is>
          <t>0020491000</t>
        </is>
      </c>
      <c r="C789" t="inlineStr">
        <is>
          <t>Summe And. Sonst. Verbindlk.</t>
        </is>
      </c>
      <c r="D789" t="n">
        <v>-368065.18</v>
      </c>
      <c r="E789" t="n">
        <v>5</v>
      </c>
      <c r="F789" t="n">
        <v>161</v>
      </c>
      <c r="G789" t="b">
        <v>1</v>
      </c>
    </row>
    <row r="790">
      <c r="A790" t="inlineStr">
        <is>
          <t>P</t>
        </is>
      </c>
      <c r="B790" t="inlineStr">
        <is>
          <t>0020490000</t>
        </is>
      </c>
      <c r="C790" t="inlineStr">
        <is>
          <t>Summe Sonst. Verbindlichkeiten</t>
        </is>
      </c>
      <c r="D790" t="n">
        <v>-744661.91</v>
      </c>
      <c r="E790" t="n">
        <v>4</v>
      </c>
      <c r="F790" t="n">
        <v>162</v>
      </c>
      <c r="G790" t="b">
        <v>1</v>
      </c>
    </row>
    <row r="791">
      <c r="A791" t="inlineStr">
        <is>
          <t>P</t>
        </is>
      </c>
      <c r="B791" t="inlineStr">
        <is>
          <t>0020400000</t>
        </is>
      </c>
      <c r="C791" t="inlineStr">
        <is>
          <t>Summe Verbindlichkeiten</t>
        </is>
      </c>
      <c r="D791" t="n">
        <v>-3142564.77</v>
      </c>
      <c r="E791" t="n">
        <v>3</v>
      </c>
      <c r="F791" t="n">
        <v>163</v>
      </c>
      <c r="G791" t="b">
        <v>1</v>
      </c>
    </row>
    <row r="792">
      <c r="A792" t="inlineStr">
        <is>
          <t>P</t>
        </is>
      </c>
      <c r="B792" t="inlineStr">
        <is>
          <t>0020500000</t>
        </is>
      </c>
      <c r="C792" t="inlineStr">
        <is>
          <t>PRAP ohne Abgrenz.</t>
        </is>
      </c>
      <c r="D792" t="n">
        <v>0</v>
      </c>
      <c r="E792" t="n">
        <v>4</v>
      </c>
      <c r="F792" t="n">
        <v>164</v>
      </c>
      <c r="G792" t="b">
        <v>0</v>
      </c>
    </row>
    <row r="793">
      <c r="A793" t="inlineStr">
        <is>
          <t>K</t>
        </is>
      </c>
      <c r="B793" t="inlineStr">
        <is>
          <t>0020500000</t>
        </is>
      </c>
      <c r="C793" t="inlineStr">
        <is>
          <t>289200 Verr. kalk. Zinsen</t>
        </is>
      </c>
      <c r="D793" t="n">
        <v>-12968</v>
      </c>
      <c r="E793" t="n">
        <v>5</v>
      </c>
      <c r="F793" t="n">
        <v>165</v>
      </c>
      <c r="H793" t="inlineStr">
        <is>
          <t>289200</t>
        </is>
      </c>
    </row>
    <row r="794">
      <c r="A794" t="inlineStr">
        <is>
          <t>K</t>
        </is>
      </c>
      <c r="B794" t="inlineStr">
        <is>
          <t>0020500000</t>
        </is>
      </c>
      <c r="C794" t="inlineStr">
        <is>
          <t>289300 Verr. kalk. Abschreibungen</t>
        </is>
      </c>
      <c r="D794" t="n">
        <v>-64651.92</v>
      </c>
      <c r="E794" t="n">
        <v>5</v>
      </c>
      <c r="F794" t="n">
        <v>166</v>
      </c>
      <c r="H794" t="inlineStr">
        <is>
          <t>289300</t>
        </is>
      </c>
    </row>
    <row r="795">
      <c r="A795" t="inlineStr">
        <is>
          <t>K</t>
        </is>
      </c>
      <c r="B795" t="inlineStr">
        <is>
          <t>0020500000</t>
        </is>
      </c>
      <c r="C795" t="inlineStr">
        <is>
          <t>499200 Kalk. Zinsen</t>
        </is>
      </c>
      <c r="D795" t="n">
        <v>12968</v>
      </c>
      <c r="E795" t="n">
        <v>5</v>
      </c>
      <c r="F795" t="n">
        <v>167</v>
      </c>
      <c r="H795" t="inlineStr">
        <is>
          <t>499200</t>
        </is>
      </c>
    </row>
    <row r="796">
      <c r="A796" t="inlineStr">
        <is>
          <t>K</t>
        </is>
      </c>
      <c r="B796" t="inlineStr">
        <is>
          <t>0020500000</t>
        </is>
      </c>
      <c r="C796" t="inlineStr">
        <is>
          <t>499300 Kalk. Abschreibungen</t>
        </is>
      </c>
      <c r="D796" t="n">
        <v>64651.92</v>
      </c>
      <c r="E796" t="n">
        <v>5</v>
      </c>
      <c r="F796" t="n">
        <v>168</v>
      </c>
      <c r="H796" t="inlineStr">
        <is>
          <t>499300</t>
        </is>
      </c>
    </row>
    <row r="797">
      <c r="A797" t="inlineStr">
        <is>
          <t>P</t>
        </is>
      </c>
      <c r="B797" t="inlineStr">
        <is>
          <t>0020000000</t>
        </is>
      </c>
      <c r="C797" t="inlineStr">
        <is>
          <t>Summe      P A S S I V A</t>
        </is>
      </c>
      <c r="D797" t="n">
        <v>-6753194.72</v>
      </c>
      <c r="E797" t="n">
        <v>2</v>
      </c>
      <c r="F797" t="n">
        <v>169</v>
      </c>
      <c r="G797" t="b">
        <v>1</v>
      </c>
    </row>
    <row r="801">
      <c r="A801" t="inlineStr">
        <is>
          <t>sap_guv_072026</t>
        </is>
      </c>
    </row>
    <row r="802">
      <c r="A802" t="inlineStr">
        <is>
          <t>typ</t>
        </is>
      </c>
      <c r="B802" t="inlineStr">
        <is>
          <t>pos</t>
        </is>
      </c>
      <c r="C802" t="inlineStr">
        <is>
          <t>text</t>
        </is>
      </c>
      <c r="D802" t="inlineStr">
        <is>
          <t>saldo</t>
        </is>
      </c>
      <c r="E802" t="inlineStr">
        <is>
          <t>stufe</t>
        </is>
      </c>
      <c r="F802" t="inlineStr">
        <is>
          <t>order</t>
        </is>
      </c>
      <c r="G802" t="inlineStr">
        <is>
          <t>summe</t>
        </is>
      </c>
      <c r="H802" t="inlineStr">
        <is>
          <t>konto</t>
        </is>
      </c>
    </row>
    <row r="803">
      <c r="A803" t="inlineStr">
        <is>
          <t>P</t>
        </is>
      </c>
      <c r="B803" t="inlineStr">
        <is>
          <t>0030100000</t>
        </is>
      </c>
      <c r="C803" t="inlineStr">
        <is>
          <t>Umsatzerloese</t>
        </is>
      </c>
      <c r="D803" t="n">
        <v>0</v>
      </c>
      <c r="E803" t="n">
        <v>5</v>
      </c>
      <c r="F803" t="n">
        <v>1</v>
      </c>
      <c r="G803" t="b">
        <v>0</v>
      </c>
    </row>
    <row r="804">
      <c r="A804" t="inlineStr">
        <is>
          <t>P</t>
        </is>
      </c>
      <c r="B804" t="inlineStr">
        <is>
          <t>0030110100</t>
        </is>
      </c>
      <c r="C804" t="inlineStr">
        <is>
          <t>Umsatzerloese Deutschland</t>
        </is>
      </c>
      <c r="D804" t="n">
        <v>0</v>
      </c>
      <c r="E804" t="n">
        <v>6</v>
      </c>
      <c r="F804" t="n">
        <v>2</v>
      </c>
      <c r="G804" t="b">
        <v>0</v>
      </c>
    </row>
    <row r="805">
      <c r="A805" t="inlineStr">
        <is>
          <t>P</t>
        </is>
      </c>
      <c r="B805" t="inlineStr">
        <is>
          <t>0030110119</t>
        </is>
      </c>
      <c r="C805" t="inlineStr">
        <is>
          <t>Erl. sonst. DL Deutschland</t>
        </is>
      </c>
      <c r="D805" t="n">
        <v>0</v>
      </c>
      <c r="E805" t="n">
        <v>7</v>
      </c>
      <c r="F805" t="n">
        <v>3</v>
      </c>
      <c r="G805" t="b">
        <v>0</v>
      </c>
    </row>
    <row r="806">
      <c r="A806" t="inlineStr">
        <is>
          <t>P</t>
        </is>
      </c>
      <c r="B806" t="inlineStr">
        <is>
          <t>0030110120</t>
        </is>
      </c>
      <c r="C806" t="inlineStr">
        <is>
          <t>Erl. sonst. DL Deutschland</t>
        </is>
      </c>
      <c r="D806" t="n">
        <v>0</v>
      </c>
      <c r="E806" t="n">
        <v>8</v>
      </c>
      <c r="F806" t="n">
        <v>4</v>
      </c>
      <c r="G806" t="b">
        <v>0</v>
      </c>
    </row>
    <row r="807">
      <c r="A807" t="inlineStr">
        <is>
          <t>K</t>
        </is>
      </c>
      <c r="B807" t="inlineStr">
        <is>
          <t>0030110120</t>
        </is>
      </c>
      <c r="C807" t="inlineStr">
        <is>
          <t>830510 Erlöse Abrisse/Demontagen</t>
        </is>
      </c>
      <c r="D807" t="n">
        <v>-10281965.04</v>
      </c>
      <c r="E807" t="n">
        <v>9</v>
      </c>
      <c r="F807" t="n">
        <v>5</v>
      </c>
      <c r="H807" t="inlineStr">
        <is>
          <t>830510</t>
        </is>
      </c>
    </row>
    <row r="808">
      <c r="A808" t="inlineStr">
        <is>
          <t>P</t>
        </is>
      </c>
      <c r="B808" t="inlineStr">
        <is>
          <t>0030110120</t>
        </is>
      </c>
      <c r="C808" t="inlineStr">
        <is>
          <t>Summe Erl. sonst. DL Deutschland</t>
        </is>
      </c>
      <c r="D808" t="n">
        <v>-10281965.04</v>
      </c>
      <c r="E808" t="n">
        <v>8</v>
      </c>
      <c r="F808" t="n">
        <v>6</v>
      </c>
      <c r="G808" t="b">
        <v>1</v>
      </c>
    </row>
    <row r="809">
      <c r="A809" t="inlineStr">
        <is>
          <t>P</t>
        </is>
      </c>
      <c r="B809" t="inlineStr">
        <is>
          <t>0030110119</t>
        </is>
      </c>
      <c r="C809" t="inlineStr">
        <is>
          <t>Summe Erl. sonst. DL Deutschland</t>
        </is>
      </c>
      <c r="D809" t="n">
        <v>-10281965.04</v>
      </c>
      <c r="E809" t="n">
        <v>7</v>
      </c>
      <c r="F809" t="n">
        <v>7</v>
      </c>
      <c r="G809" t="b">
        <v>1</v>
      </c>
    </row>
    <row r="810">
      <c r="A810" t="inlineStr">
        <is>
          <t>P</t>
        </is>
      </c>
      <c r="B810" t="inlineStr">
        <is>
          <t>0030110130</t>
        </is>
      </c>
      <c r="C810" t="inlineStr">
        <is>
          <t>Erl. Waren Dt.</t>
        </is>
      </c>
      <c r="D810" t="n">
        <v>0</v>
      </c>
      <c r="E810" t="n">
        <v>7</v>
      </c>
      <c r="F810" t="n">
        <v>8</v>
      </c>
      <c r="G810" t="b">
        <v>0</v>
      </c>
    </row>
    <row r="811">
      <c r="A811" t="inlineStr">
        <is>
          <t>K</t>
        </is>
      </c>
      <c r="B811" t="inlineStr">
        <is>
          <t>0030110130</t>
        </is>
      </c>
      <c r="C811" t="inlineStr">
        <is>
          <t>840040 Erlöse Verkauf HW Schrott</t>
        </is>
      </c>
      <c r="D811" t="n">
        <v>-197087.29</v>
      </c>
      <c r="E811" t="n">
        <v>8</v>
      </c>
      <c r="F811" t="n">
        <v>9</v>
      </c>
      <c r="H811" t="inlineStr">
        <is>
          <t>840040</t>
        </is>
      </c>
    </row>
    <row r="812">
      <c r="A812" t="inlineStr">
        <is>
          <t>P</t>
        </is>
      </c>
      <c r="B812" t="inlineStr">
        <is>
          <t>0030110130</t>
        </is>
      </c>
      <c r="C812" t="inlineStr">
        <is>
          <t>Summe Erl. Waren Dt.</t>
        </is>
      </c>
      <c r="D812" t="n">
        <v>-197087.29</v>
      </c>
      <c r="E812" t="n">
        <v>7</v>
      </c>
      <c r="F812" t="n">
        <v>10</v>
      </c>
      <c r="G812" t="b">
        <v>1</v>
      </c>
    </row>
    <row r="813">
      <c r="A813" t="inlineStr">
        <is>
          <t>P</t>
        </is>
      </c>
      <c r="B813" t="inlineStr">
        <is>
          <t>0030110100</t>
        </is>
      </c>
      <c r="C813" t="inlineStr">
        <is>
          <t>Summe Umsatzerloese Deutschland</t>
        </is>
      </c>
      <c r="D813" t="n">
        <v>-10479052.33</v>
      </c>
      <c r="E813" t="n">
        <v>6</v>
      </c>
      <c r="F813" t="n">
        <v>11</v>
      </c>
      <c r="G813" t="b">
        <v>1</v>
      </c>
    </row>
    <row r="814">
      <c r="A814" t="inlineStr">
        <is>
          <t>P</t>
        </is>
      </c>
      <c r="B814" t="inlineStr">
        <is>
          <t>0030120000</t>
        </is>
      </c>
      <c r="C814" t="inlineStr">
        <is>
          <t>Erloesschmaelerungen</t>
        </is>
      </c>
      <c r="D814" t="n">
        <v>0</v>
      </c>
      <c r="E814" t="n">
        <v>6</v>
      </c>
      <c r="F814" t="n">
        <v>12</v>
      </c>
      <c r="G814" t="b">
        <v>0</v>
      </c>
    </row>
    <row r="815">
      <c r="A815" t="inlineStr">
        <is>
          <t>K</t>
        </is>
      </c>
      <c r="B815" t="inlineStr">
        <is>
          <t>0030120000</t>
        </is>
      </c>
      <c r="C815" t="inlineStr">
        <is>
          <t>890100 Gewährte Skonti</t>
        </is>
      </c>
      <c r="D815" t="n">
        <v>28801.48</v>
      </c>
      <c r="E815" t="n">
        <v>7</v>
      </c>
      <c r="F815" t="n">
        <v>13</v>
      </c>
      <c r="H815" t="inlineStr">
        <is>
          <t>890100</t>
        </is>
      </c>
    </row>
    <row r="816">
      <c r="A816" t="inlineStr">
        <is>
          <t>P</t>
        </is>
      </c>
      <c r="B816" t="inlineStr">
        <is>
          <t>0030100000</t>
        </is>
      </c>
      <c r="C816" t="inlineStr">
        <is>
          <t>Summe Umsatzerloese</t>
        </is>
      </c>
      <c r="D816" t="n">
        <v>-10450250.85</v>
      </c>
      <c r="E816" t="n">
        <v>5</v>
      </c>
      <c r="F816" t="n">
        <v>14</v>
      </c>
      <c r="G816" t="b">
        <v>1</v>
      </c>
    </row>
    <row r="817">
      <c r="A817" t="inlineStr">
        <is>
          <t>P</t>
        </is>
      </c>
      <c r="B817" t="inlineStr">
        <is>
          <t>0030200000</t>
        </is>
      </c>
      <c r="C817" t="inlineStr">
        <is>
          <t>Bestandsveraend. UE und FE</t>
        </is>
      </c>
      <c r="D817" t="n">
        <v>0</v>
      </c>
      <c r="E817" t="n">
        <v>5</v>
      </c>
      <c r="F817" t="n">
        <v>15</v>
      </c>
      <c r="G817" t="b">
        <v>0</v>
      </c>
    </row>
    <row r="818">
      <c r="A818" t="inlineStr">
        <is>
          <t>K</t>
        </is>
      </c>
      <c r="B818" t="inlineStr">
        <is>
          <t>0030200000</t>
        </is>
      </c>
      <c r="C818" t="inlineStr">
        <is>
          <t>392000 Bestandsveränderungen unfertige Erzeugnisse</t>
        </is>
      </c>
      <c r="D818" t="n">
        <v>-3886319.32</v>
      </c>
      <c r="E818" t="n">
        <v>6</v>
      </c>
      <c r="F818" t="n">
        <v>16</v>
      </c>
      <c r="H818" t="inlineStr">
        <is>
          <t>392000</t>
        </is>
      </c>
    </row>
    <row r="819">
      <c r="A819" t="inlineStr">
        <is>
          <t>P</t>
        </is>
      </c>
      <c r="B819" t="inlineStr">
        <is>
          <t>0030400000</t>
        </is>
      </c>
      <c r="C819" t="inlineStr">
        <is>
          <t>Sonst. betriebl. Ertraege</t>
        </is>
      </c>
      <c r="D819" t="n">
        <v>0</v>
      </c>
      <c r="E819" t="n">
        <v>5</v>
      </c>
      <c r="F819" t="n">
        <v>17</v>
      </c>
      <c r="G819" t="b">
        <v>0</v>
      </c>
    </row>
    <row r="820">
      <c r="A820" t="inlineStr">
        <is>
          <t>P</t>
        </is>
      </c>
      <c r="B820" t="inlineStr">
        <is>
          <t>0030410000</t>
        </is>
      </c>
      <c r="C820" t="inlineStr">
        <is>
          <t>Neutrale Ertraege</t>
        </is>
      </c>
      <c r="D820" t="n">
        <v>0</v>
      </c>
      <c r="E820" t="n">
        <v>6</v>
      </c>
      <c r="F820" t="n">
        <v>18</v>
      </c>
      <c r="G820" t="b">
        <v>0</v>
      </c>
    </row>
    <row r="821">
      <c r="A821" t="inlineStr">
        <is>
          <t>P</t>
        </is>
      </c>
      <c r="B821" t="inlineStr">
        <is>
          <t>0030410100</t>
        </is>
      </c>
      <c r="C821" t="inlineStr">
        <is>
          <t>Buchgewinne</t>
        </is>
      </c>
      <c r="D821" t="n">
        <v>0</v>
      </c>
      <c r="E821" t="n">
        <v>7</v>
      </c>
      <c r="F821" t="n">
        <v>19</v>
      </c>
      <c r="G821" t="b">
        <v>0</v>
      </c>
    </row>
    <row r="822">
      <c r="A822" t="inlineStr">
        <is>
          <t>K</t>
        </is>
      </c>
      <c r="B822" t="inlineStr">
        <is>
          <t>0030410100</t>
        </is>
      </c>
      <c r="C822" t="inlineStr">
        <is>
          <t>231500 Mehrerlös bei Anlagenabgang</t>
        </is>
      </c>
      <c r="D822" t="n">
        <v>-7000</v>
      </c>
      <c r="E822" t="n">
        <v>8</v>
      </c>
      <c r="F822" t="n">
        <v>20</v>
      </c>
      <c r="H822" t="inlineStr">
        <is>
          <t>231500</t>
        </is>
      </c>
    </row>
    <row r="823">
      <c r="A823" t="inlineStr">
        <is>
          <t>P</t>
        </is>
      </c>
      <c r="B823" t="inlineStr">
        <is>
          <t>0030410140</t>
        </is>
      </c>
      <c r="C823" t="inlineStr">
        <is>
          <t>Ertr. Auflös. Rueckstellungen</t>
        </is>
      </c>
      <c r="D823" t="n">
        <v>0</v>
      </c>
      <c r="E823" t="n">
        <v>7</v>
      </c>
      <c r="F823" t="n">
        <v>21</v>
      </c>
      <c r="G823" t="b">
        <v>0</v>
      </c>
    </row>
    <row r="824">
      <c r="A824" t="inlineStr">
        <is>
          <t>K</t>
        </is>
      </c>
      <c r="B824" t="inlineStr">
        <is>
          <t>0030410140</t>
        </is>
      </c>
      <c r="C824" t="inlineStr">
        <is>
          <t>273500 Erträge Auflösung von Rückstellungen (accruals)</t>
        </is>
      </c>
      <c r="D824" t="n">
        <v>-324</v>
      </c>
      <c r="E824" t="n">
        <v>8</v>
      </c>
      <c r="F824" t="n">
        <v>22</v>
      </c>
      <c r="H824" t="inlineStr">
        <is>
          <t>273500</t>
        </is>
      </c>
    </row>
    <row r="825">
      <c r="A825" t="inlineStr">
        <is>
          <t>P</t>
        </is>
      </c>
      <c r="B825" t="inlineStr">
        <is>
          <t>0030410160</t>
        </is>
      </c>
      <c r="C825" t="inlineStr">
        <is>
          <t>Periodenfr. Ertraege</t>
        </is>
      </c>
      <c r="D825" t="n">
        <v>0</v>
      </c>
      <c r="E825" t="n">
        <v>7</v>
      </c>
      <c r="F825" t="n">
        <v>23</v>
      </c>
      <c r="G825" t="b">
        <v>0</v>
      </c>
    </row>
    <row r="826">
      <c r="A826" t="inlineStr">
        <is>
          <t>K</t>
        </is>
      </c>
      <c r="B826" t="inlineStr">
        <is>
          <t>0030410160</t>
        </is>
      </c>
      <c r="C826" t="inlineStr">
        <is>
          <t>251000 Sonstige periodenfremde Erträge</t>
        </is>
      </c>
      <c r="D826" t="n">
        <v>-9822.950000000001</v>
      </c>
      <c r="E826" t="n">
        <v>8</v>
      </c>
      <c r="F826" t="n">
        <v>24</v>
      </c>
      <c r="H826" t="inlineStr">
        <is>
          <t>251000</t>
        </is>
      </c>
    </row>
    <row r="827">
      <c r="A827" t="inlineStr">
        <is>
          <t>P</t>
        </is>
      </c>
      <c r="B827" t="inlineStr">
        <is>
          <t>0030410190</t>
        </is>
      </c>
      <c r="C827" t="inlineStr">
        <is>
          <t>Uebrige neutrale Ertraege</t>
        </is>
      </c>
      <c r="D827" t="n">
        <v>0</v>
      </c>
      <c r="E827" t="n">
        <v>7</v>
      </c>
      <c r="F827" t="n">
        <v>25</v>
      </c>
      <c r="G827" t="b">
        <v>0</v>
      </c>
    </row>
    <row r="828">
      <c r="A828" t="inlineStr">
        <is>
          <t>K</t>
        </is>
      </c>
      <c r="B828" t="inlineStr">
        <is>
          <t>0030410190</t>
        </is>
      </c>
      <c r="C828" t="inlineStr">
        <is>
          <t>272000 Verrechnete Erlöse aus Anlagenverkauf</t>
        </is>
      </c>
      <c r="D828" t="n">
        <v>7000</v>
      </c>
      <c r="E828" t="n">
        <v>8</v>
      </c>
      <c r="F828" t="n">
        <v>26</v>
      </c>
      <c r="H828" t="inlineStr">
        <is>
          <t>272000</t>
        </is>
      </c>
    </row>
    <row r="829">
      <c r="A829" t="inlineStr">
        <is>
          <t>K</t>
        </is>
      </c>
      <c r="B829" t="inlineStr">
        <is>
          <t>0030410190</t>
        </is>
      </c>
      <c r="C829" t="inlineStr">
        <is>
          <t>890010 Erlöse Anlagenverkäufe</t>
        </is>
      </c>
      <c r="D829" t="n">
        <v>-7000</v>
      </c>
      <c r="E829" t="n">
        <v>8</v>
      </c>
      <c r="F829" t="n">
        <v>27</v>
      </c>
      <c r="H829" t="inlineStr">
        <is>
          <t>890010</t>
        </is>
      </c>
    </row>
    <row r="830">
      <c r="A830" t="inlineStr">
        <is>
          <t>P</t>
        </is>
      </c>
      <c r="B830" t="inlineStr">
        <is>
          <t>0030410000</t>
        </is>
      </c>
      <c r="C830" t="inlineStr">
        <is>
          <t>Summe neutrale Ertraege</t>
        </is>
      </c>
      <c r="D830" t="n">
        <v>-17146.95</v>
      </c>
      <c r="E830" t="n">
        <v>6</v>
      </c>
      <c r="F830" t="n">
        <v>28</v>
      </c>
      <c r="G830" t="b">
        <v>1</v>
      </c>
    </row>
    <row r="831">
      <c r="A831" t="inlineStr">
        <is>
          <t>P</t>
        </is>
      </c>
      <c r="B831" t="inlineStr">
        <is>
          <t>0030430000</t>
        </is>
      </c>
      <c r="C831" t="inlineStr">
        <is>
          <t>Andere sonstige betriebliche Ertraege</t>
        </is>
      </c>
      <c r="D831" t="n">
        <v>0</v>
      </c>
      <c r="E831" t="n">
        <v>6</v>
      </c>
      <c r="F831" t="n">
        <v>29</v>
      </c>
      <c r="G831" t="b">
        <v>0</v>
      </c>
    </row>
    <row r="832">
      <c r="A832" t="inlineStr">
        <is>
          <t>P</t>
        </is>
      </c>
      <c r="B832" t="inlineStr">
        <is>
          <t>0030430110</t>
        </is>
      </c>
      <c r="C832" t="inlineStr">
        <is>
          <t>Ertrag KFZ-Nutzung</t>
        </is>
      </c>
      <c r="D832" t="n">
        <v>0</v>
      </c>
      <c r="E832" t="n">
        <v>7</v>
      </c>
      <c r="F832" t="n">
        <v>30</v>
      </c>
      <c r="G832" t="b">
        <v>0</v>
      </c>
    </row>
    <row r="833">
      <c r="A833" t="inlineStr">
        <is>
          <t>K</t>
        </is>
      </c>
      <c r="B833" t="inlineStr">
        <is>
          <t>0030430110</t>
        </is>
      </c>
      <c r="C833" t="inlineStr">
        <is>
          <t>890200 Erlöse selbstgenutzte Fahrzeuge</t>
        </is>
      </c>
      <c r="D833" t="n">
        <v>-63720.71</v>
      </c>
      <c r="E833" t="n">
        <v>8</v>
      </c>
      <c r="F833" t="n">
        <v>31</v>
      </c>
      <c r="H833" t="inlineStr">
        <is>
          <t>890200</t>
        </is>
      </c>
    </row>
    <row r="834">
      <c r="A834" t="inlineStr">
        <is>
          <t>P</t>
        </is>
      </c>
      <c r="B834" t="inlineStr">
        <is>
          <t>0030430130</t>
        </is>
      </c>
      <c r="C834" t="inlineStr">
        <is>
          <t>Versicherungsentschaedigungen</t>
        </is>
      </c>
      <c r="D834" t="n">
        <v>0</v>
      </c>
      <c r="E834" t="n">
        <v>7</v>
      </c>
      <c r="F834" t="n">
        <v>32</v>
      </c>
      <c r="G834" t="b">
        <v>0</v>
      </c>
    </row>
    <row r="835">
      <c r="A835" t="inlineStr">
        <is>
          <t>K</t>
        </is>
      </c>
      <c r="B835" t="inlineStr">
        <is>
          <t>0030430130</t>
        </is>
      </c>
      <c r="C835" t="inlineStr">
        <is>
          <t>274200 Versicherungsentschädigungen</t>
        </is>
      </c>
      <c r="D835" t="n">
        <v>-66803.06</v>
      </c>
      <c r="E835" t="n">
        <v>8</v>
      </c>
      <c r="F835" t="n">
        <v>33</v>
      </c>
      <c r="H835" t="inlineStr">
        <is>
          <t>274200</t>
        </is>
      </c>
    </row>
    <row r="836">
      <c r="A836" t="inlineStr">
        <is>
          <t>P</t>
        </is>
      </c>
      <c r="B836" t="inlineStr">
        <is>
          <t>0030430140</t>
        </is>
      </c>
      <c r="C836" t="inlineStr">
        <is>
          <t>Ertrag weiterber. Kosten</t>
        </is>
      </c>
      <c r="D836" t="n">
        <v>0</v>
      </c>
      <c r="E836" t="n">
        <v>7</v>
      </c>
      <c r="F836" t="n">
        <v>34</v>
      </c>
      <c r="G836" t="b">
        <v>0</v>
      </c>
    </row>
    <row r="837">
      <c r="A837" t="inlineStr">
        <is>
          <t>K</t>
        </is>
      </c>
      <c r="B837" t="inlineStr">
        <is>
          <t>0030430140</t>
        </is>
      </c>
      <c r="C837" t="inlineStr">
        <is>
          <t>860000 Erlöse weiterberechnete Fremdkosten</t>
        </is>
      </c>
      <c r="D837" t="n">
        <v>-15061.05</v>
      </c>
      <c r="E837" t="n">
        <v>8</v>
      </c>
      <c r="F837" t="n">
        <v>35</v>
      </c>
      <c r="H837" t="inlineStr">
        <is>
          <t>860000</t>
        </is>
      </c>
    </row>
    <row r="838">
      <c r="A838" t="inlineStr">
        <is>
          <t>P</t>
        </is>
      </c>
      <c r="B838" t="inlineStr">
        <is>
          <t>0030430190</t>
        </is>
      </c>
      <c r="C838" t="inlineStr">
        <is>
          <t>Uebr. and. sonst. betriebl. Ertraege</t>
        </is>
      </c>
      <c r="D838" t="n">
        <v>0</v>
      </c>
      <c r="E838" t="n">
        <v>7</v>
      </c>
      <c r="F838" t="n">
        <v>36</v>
      </c>
      <c r="G838" t="b">
        <v>0</v>
      </c>
    </row>
    <row r="839">
      <c r="A839" t="inlineStr">
        <is>
          <t>K</t>
        </is>
      </c>
      <c r="B839" t="inlineStr">
        <is>
          <t>0030430190</t>
        </is>
      </c>
      <c r="C839" t="inlineStr">
        <is>
          <t>252000 andere sonst.betriebl. Erträge</t>
        </is>
      </c>
      <c r="D839" t="n">
        <v>-25.4</v>
      </c>
      <c r="E839" t="n">
        <v>8</v>
      </c>
      <c r="F839" t="n">
        <v>37</v>
      </c>
      <c r="H839" t="inlineStr">
        <is>
          <t>252000</t>
        </is>
      </c>
    </row>
    <row r="840">
      <c r="A840" t="inlineStr">
        <is>
          <t>K</t>
        </is>
      </c>
      <c r="B840" t="inlineStr">
        <is>
          <t>0030430190</t>
        </is>
      </c>
      <c r="C840" t="inlineStr">
        <is>
          <t>287090 Erträge Mahngebühren</t>
        </is>
      </c>
      <c r="D840" t="n">
        <v>-10</v>
      </c>
      <c r="E840" t="n">
        <v>8</v>
      </c>
      <c r="F840" t="n">
        <v>38</v>
      </c>
      <c r="H840" t="inlineStr">
        <is>
          <t>287090</t>
        </is>
      </c>
    </row>
    <row r="841">
      <c r="A841" t="inlineStr">
        <is>
          <t>K</t>
        </is>
      </c>
      <c r="B841" t="inlineStr">
        <is>
          <t>0030430190</t>
        </is>
      </c>
      <c r="C841" t="inlineStr">
        <is>
          <t>890800 Erlöse Zahlungsdifferenzen Debitoren</t>
        </is>
      </c>
      <c r="D841" t="n">
        <v>-0.18</v>
      </c>
      <c r="E841" t="n">
        <v>8</v>
      </c>
      <c r="F841" t="n">
        <v>39</v>
      </c>
      <c r="H841" t="inlineStr">
        <is>
          <t>890800</t>
        </is>
      </c>
    </row>
    <row r="842">
      <c r="A842" t="inlineStr">
        <is>
          <t>P</t>
        </is>
      </c>
      <c r="B842" t="inlineStr">
        <is>
          <t>0030430000</t>
        </is>
      </c>
      <c r="C842" t="inlineStr">
        <is>
          <t>Summe Andere sonstige betriebliche Ertraege</t>
        </is>
      </c>
      <c r="D842" t="n">
        <v>-145620.4</v>
      </c>
      <c r="E842" t="n">
        <v>6</v>
      </c>
      <c r="F842" t="n">
        <v>40</v>
      </c>
      <c r="G842" t="b">
        <v>1</v>
      </c>
    </row>
    <row r="843">
      <c r="A843" t="inlineStr">
        <is>
          <t>P</t>
        </is>
      </c>
      <c r="B843" t="inlineStr">
        <is>
          <t>0030400000</t>
        </is>
      </c>
      <c r="C843" t="inlineStr">
        <is>
          <t>Summe Sonst. betriebl. Ertraege</t>
        </is>
      </c>
      <c r="D843" t="n">
        <v>-162767.35</v>
      </c>
      <c r="E843" t="n">
        <v>5</v>
      </c>
      <c r="F843" t="n">
        <v>41</v>
      </c>
      <c r="G843" t="b">
        <v>1</v>
      </c>
    </row>
    <row r="844">
      <c r="A844" t="inlineStr">
        <is>
          <t>P</t>
        </is>
      </c>
      <c r="B844" t="inlineStr">
        <is>
          <t>0030500000</t>
        </is>
      </c>
      <c r="C844" t="inlineStr">
        <is>
          <t>Materialaufwand</t>
        </is>
      </c>
      <c r="D844" t="n">
        <v>0</v>
      </c>
      <c r="E844" t="n">
        <v>5</v>
      </c>
      <c r="F844" t="n">
        <v>42</v>
      </c>
      <c r="G844" t="b">
        <v>0</v>
      </c>
    </row>
    <row r="845">
      <c r="A845" t="inlineStr">
        <is>
          <t>P</t>
        </is>
      </c>
      <c r="B845" t="inlineStr">
        <is>
          <t>0030510000</t>
        </is>
      </c>
      <c r="C845" t="inlineStr">
        <is>
          <t>Aufwendungen fuer Roh-, Hilfs- und</t>
        </is>
      </c>
      <c r="D845" t="n">
        <v>0</v>
      </c>
      <c r="E845" t="n">
        <v>6</v>
      </c>
      <c r="F845" t="n">
        <v>43</v>
      </c>
      <c r="G845" t="b">
        <v>0</v>
      </c>
    </row>
    <row r="846">
      <c r="A846" t="inlineStr">
        <is>
          <t>P</t>
        </is>
      </c>
      <c r="B846" t="inlineStr">
        <is>
          <t>0030510000</t>
        </is>
      </c>
      <c r="C846" t="inlineStr">
        <is>
          <t>Betriebsstoffe sowie fuer bezogene Waren</t>
        </is>
      </c>
      <c r="D846" t="n">
        <v>0</v>
      </c>
      <c r="E846" t="n">
        <v>6</v>
      </c>
      <c r="F846" t="n">
        <v>44</v>
      </c>
      <c r="G846" t="b">
        <v>0</v>
      </c>
    </row>
    <row r="847">
      <c r="A847" t="inlineStr">
        <is>
          <t>P</t>
        </is>
      </c>
      <c r="B847" t="inlineStr">
        <is>
          <t>0030510099</t>
        </is>
      </c>
      <c r="C847" t="inlineStr">
        <is>
          <t>Ankauf Rohstoffe</t>
        </is>
      </c>
      <c r="D847" t="n">
        <v>0</v>
      </c>
      <c r="E847" t="n">
        <v>7</v>
      </c>
      <c r="F847" t="n">
        <v>45</v>
      </c>
      <c r="G847" t="b">
        <v>0</v>
      </c>
    </row>
    <row r="848">
      <c r="A848" t="inlineStr">
        <is>
          <t>P</t>
        </is>
      </c>
      <c r="B848" t="inlineStr">
        <is>
          <t>0030510100</t>
        </is>
      </c>
      <c r="C848" t="inlineStr">
        <is>
          <t>Ankauf Rohstoffe</t>
        </is>
      </c>
      <c r="D848" t="n">
        <v>0</v>
      </c>
      <c r="E848" t="n">
        <v>8</v>
      </c>
      <c r="F848" t="n">
        <v>46</v>
      </c>
      <c r="G848" t="b">
        <v>0</v>
      </c>
    </row>
    <row r="849">
      <c r="A849" t="inlineStr">
        <is>
          <t>K</t>
        </is>
      </c>
      <c r="B849" t="inlineStr">
        <is>
          <t>0030510100</t>
        </is>
      </c>
      <c r="C849" t="inlineStr">
        <is>
          <t>300075 Materialaufwand Abbruch u. Rückbau</t>
        </is>
      </c>
      <c r="D849" t="n">
        <v>168.52</v>
      </c>
      <c r="E849" t="n">
        <v>9</v>
      </c>
      <c r="F849" t="n">
        <v>47</v>
      </c>
      <c r="H849" t="inlineStr">
        <is>
          <t>300075</t>
        </is>
      </c>
    </row>
    <row r="850">
      <c r="A850" t="inlineStr">
        <is>
          <t>P</t>
        </is>
      </c>
      <c r="B850" t="inlineStr">
        <is>
          <t>0030510200</t>
        </is>
      </c>
      <c r="C850" t="inlineStr">
        <is>
          <t>Aufw. Heizmat. Strom Gas Wasser</t>
        </is>
      </c>
      <c r="D850" t="n">
        <v>0</v>
      </c>
      <c r="E850" t="n">
        <v>8</v>
      </c>
      <c r="F850" t="n">
        <v>48</v>
      </c>
      <c r="G850" t="b">
        <v>0</v>
      </c>
    </row>
    <row r="851">
      <c r="A851" t="inlineStr">
        <is>
          <t>K</t>
        </is>
      </c>
      <c r="B851" t="inlineStr">
        <is>
          <t>0030510200</t>
        </is>
      </c>
      <c r="C851" t="inlineStr">
        <is>
          <t>310040 Gas (vornehmlich industr. Anlagen)</t>
        </is>
      </c>
      <c r="D851" t="n">
        <v>3091.07</v>
      </c>
      <c r="E851" t="n">
        <v>9</v>
      </c>
      <c r="F851" t="n">
        <v>49</v>
      </c>
      <c r="H851" t="inlineStr">
        <is>
          <t>310040</t>
        </is>
      </c>
    </row>
    <row r="852">
      <c r="A852" t="inlineStr">
        <is>
          <t>P</t>
        </is>
      </c>
      <c r="B852" t="inlineStr">
        <is>
          <t>0030510900</t>
        </is>
      </c>
      <c r="C852" t="inlineStr">
        <is>
          <t>Aufw. sonst. Hilfs-u.Betriebstsoffe</t>
        </is>
      </c>
      <c r="D852" t="n">
        <v>0</v>
      </c>
      <c r="E852" t="n">
        <v>7</v>
      </c>
      <c r="F852" t="n">
        <v>50</v>
      </c>
      <c r="G852" t="b">
        <v>0</v>
      </c>
    </row>
    <row r="853">
      <c r="A853" t="inlineStr">
        <is>
          <t>K</t>
        </is>
      </c>
      <c r="B853" t="inlineStr">
        <is>
          <t>0030510900</t>
        </is>
      </c>
      <c r="C853" t="inlineStr">
        <is>
          <t>310010 Reinigungsmaterial</t>
        </is>
      </c>
      <c r="D853" t="n">
        <v>25.22</v>
      </c>
      <c r="E853" t="n">
        <v>8</v>
      </c>
      <c r="F853" t="n">
        <v>51</v>
      </c>
      <c r="H853" t="inlineStr">
        <is>
          <t>310010</t>
        </is>
      </c>
    </row>
    <row r="854">
      <c r="A854" t="inlineStr">
        <is>
          <t>K</t>
        </is>
      </c>
      <c r="B854" t="inlineStr">
        <is>
          <t>0030510900</t>
        </is>
      </c>
      <c r="C854" t="inlineStr">
        <is>
          <t>310080 Technische Gase</t>
        </is>
      </c>
      <c r="D854" t="n">
        <v>3975.85</v>
      </c>
      <c r="E854" t="n">
        <v>8</v>
      </c>
      <c r="F854" t="n">
        <v>52</v>
      </c>
      <c r="H854" t="inlineStr">
        <is>
          <t>310080</t>
        </is>
      </c>
    </row>
    <row r="855">
      <c r="A855" t="inlineStr">
        <is>
          <t>K</t>
        </is>
      </c>
      <c r="B855" t="inlineStr">
        <is>
          <t>0030510900</t>
        </is>
      </c>
      <c r="C855" t="inlineStr">
        <is>
          <t>310900 Sonstige Hilfs- und Betriebsstoffe</t>
        </is>
      </c>
      <c r="D855" t="n">
        <v>5250</v>
      </c>
      <c r="E855" t="n">
        <v>8</v>
      </c>
      <c r="F855" t="n">
        <v>53</v>
      </c>
      <c r="H855" t="inlineStr">
        <is>
          <t>310900</t>
        </is>
      </c>
    </row>
    <row r="856">
      <c r="A856" t="inlineStr">
        <is>
          <t>K</t>
        </is>
      </c>
      <c r="B856" t="inlineStr">
        <is>
          <t>0030510900</t>
        </is>
      </c>
      <c r="C856" t="inlineStr">
        <is>
          <t>330900 Erhaltene Skonti</t>
        </is>
      </c>
      <c r="D856" t="n">
        <v>-73624.50999999999</v>
      </c>
      <c r="E856" t="n">
        <v>8</v>
      </c>
      <c r="F856" t="n">
        <v>54</v>
      </c>
      <c r="H856" t="inlineStr">
        <is>
          <t>330900</t>
        </is>
      </c>
    </row>
    <row r="857">
      <c r="A857" t="inlineStr">
        <is>
          <t>P</t>
        </is>
      </c>
      <c r="B857" t="inlineStr">
        <is>
          <t>0030510000</t>
        </is>
      </c>
      <c r="C857" t="inlineStr">
        <is>
          <t>Summe fuer Aufwendungen fuer Roh-, Hilfs- und</t>
        </is>
      </c>
      <c r="D857" t="n">
        <v>-61113.85</v>
      </c>
      <c r="E857" t="n">
        <v>6</v>
      </c>
      <c r="F857" t="n">
        <v>55</v>
      </c>
      <c r="G857" t="b">
        <v>1</v>
      </c>
    </row>
    <row r="858">
      <c r="A858" t="inlineStr">
        <is>
          <t>P</t>
        </is>
      </c>
      <c r="B858" t="inlineStr">
        <is>
          <t>0030510000</t>
        </is>
      </c>
      <c r="C858" t="inlineStr">
        <is>
          <t>Betriebsstoffe sowie fuer bezogene Waren</t>
        </is>
      </c>
      <c r="D858" t="n">
        <v>0</v>
      </c>
      <c r="E858" t="n">
        <v>6</v>
      </c>
      <c r="F858" t="n">
        <v>56</v>
      </c>
      <c r="G858" t="b">
        <v>0</v>
      </c>
    </row>
    <row r="859">
      <c r="A859" t="inlineStr">
        <is>
          <t>P</t>
        </is>
      </c>
      <c r="B859" t="inlineStr">
        <is>
          <t>0030520000</t>
        </is>
      </c>
      <c r="C859" t="inlineStr">
        <is>
          <t>Aufwend. f. bezog. Leistg.</t>
        </is>
      </c>
      <c r="D859" t="n">
        <v>0</v>
      </c>
      <c r="E859" t="n">
        <v>6</v>
      </c>
      <c r="F859" t="n">
        <v>57</v>
      </c>
      <c r="G859" t="b">
        <v>0</v>
      </c>
    </row>
    <row r="860">
      <c r="A860" t="inlineStr">
        <is>
          <t>P</t>
        </is>
      </c>
      <c r="B860" t="inlineStr">
        <is>
          <t>0030520130</t>
        </is>
      </c>
      <c r="C860" t="inlineStr">
        <is>
          <t>Fremdleistg. Personal</t>
        </is>
      </c>
      <c r="D860" t="n">
        <v>0</v>
      </c>
      <c r="E860" t="n">
        <v>8</v>
      </c>
      <c r="F860" t="n">
        <v>58</v>
      </c>
      <c r="G860" t="b">
        <v>0</v>
      </c>
    </row>
    <row r="861">
      <c r="A861" t="inlineStr">
        <is>
          <t>K</t>
        </is>
      </c>
      <c r="B861" t="inlineStr">
        <is>
          <t>0030520130</t>
        </is>
      </c>
      <c r="C861" t="inlineStr">
        <is>
          <t>340030 Fremdleistungen Personal</t>
        </is>
      </c>
      <c r="D861" t="n">
        <v>17138.62</v>
      </c>
      <c r="E861" t="n">
        <v>9</v>
      </c>
      <c r="F861" t="n">
        <v>59</v>
      </c>
      <c r="H861" t="inlineStr">
        <is>
          <t>340030</t>
        </is>
      </c>
    </row>
    <row r="862">
      <c r="A862" t="inlineStr">
        <is>
          <t>P</t>
        </is>
      </c>
      <c r="B862" t="inlineStr">
        <is>
          <t>0030520190</t>
        </is>
      </c>
      <c r="C862" t="inlineStr">
        <is>
          <t>Uebrige bezog. Leistg.</t>
        </is>
      </c>
      <c r="D862" t="n">
        <v>0</v>
      </c>
      <c r="E862" t="n">
        <v>7</v>
      </c>
      <c r="F862" t="n">
        <v>60</v>
      </c>
      <c r="G862" t="b">
        <v>0</v>
      </c>
    </row>
    <row r="863">
      <c r="A863" t="inlineStr">
        <is>
          <t>K</t>
        </is>
      </c>
      <c r="B863" t="inlineStr">
        <is>
          <t>0030520190</t>
        </is>
      </c>
      <c r="C863" t="inlineStr">
        <is>
          <t>340050 Fremdleistungen Wartung/Pflege</t>
        </is>
      </c>
      <c r="D863" t="n">
        <v>10292258.62</v>
      </c>
      <c r="E863" t="n">
        <v>8</v>
      </c>
      <c r="F863" t="n">
        <v>61</v>
      </c>
      <c r="H863" t="inlineStr">
        <is>
          <t>340050</t>
        </is>
      </c>
    </row>
    <row r="864">
      <c r="A864" t="inlineStr">
        <is>
          <t>K</t>
        </is>
      </c>
      <c r="B864" t="inlineStr">
        <is>
          <t>0030520190</t>
        </is>
      </c>
      <c r="C864" t="inlineStr">
        <is>
          <t>340600 Bezogene Leistung periodenfremd</t>
        </is>
      </c>
      <c r="D864" t="n">
        <v>9914.389999999999</v>
      </c>
      <c r="E864" t="n">
        <v>8</v>
      </c>
      <c r="F864" t="n">
        <v>62</v>
      </c>
      <c r="H864" t="inlineStr">
        <is>
          <t>340600</t>
        </is>
      </c>
    </row>
    <row r="865">
      <c r="A865" t="inlineStr">
        <is>
          <t>P</t>
        </is>
      </c>
      <c r="B865" t="inlineStr">
        <is>
          <t>0030520000</t>
        </is>
      </c>
      <c r="C865" t="inlineStr">
        <is>
          <t>Summe Aufwend. f. bezog. Leistg.</t>
        </is>
      </c>
      <c r="D865" t="n">
        <v>10319311.63</v>
      </c>
      <c r="E865" t="n">
        <v>6</v>
      </c>
      <c r="F865" t="n">
        <v>63</v>
      </c>
      <c r="G865" t="b">
        <v>1</v>
      </c>
    </row>
    <row r="866">
      <c r="A866" t="inlineStr">
        <is>
          <t>P</t>
        </is>
      </c>
      <c r="B866" t="inlineStr">
        <is>
          <t>0030500000</t>
        </is>
      </c>
      <c r="C866" t="inlineStr">
        <is>
          <t>Summe Materialaufwand</t>
        </is>
      </c>
      <c r="D866" t="n">
        <v>10258197.78</v>
      </c>
      <c r="E866" t="n">
        <v>5</v>
      </c>
      <c r="F866" t="n">
        <v>64</v>
      </c>
      <c r="G866" t="b">
        <v>1</v>
      </c>
    </row>
    <row r="867">
      <c r="A867" t="inlineStr">
        <is>
          <t>P</t>
        </is>
      </c>
      <c r="B867" t="inlineStr">
        <is>
          <t>0030600000</t>
        </is>
      </c>
      <c r="C867" t="inlineStr">
        <is>
          <t>Personalaufwand</t>
        </is>
      </c>
      <c r="D867" t="n">
        <v>0</v>
      </c>
      <c r="E867" t="n">
        <v>5</v>
      </c>
      <c r="F867" t="n">
        <v>65</v>
      </c>
      <c r="G867" t="b">
        <v>0</v>
      </c>
    </row>
    <row r="868">
      <c r="A868" t="inlineStr">
        <is>
          <t>P</t>
        </is>
      </c>
      <c r="B868" t="inlineStr">
        <is>
          <t>0030610000</t>
        </is>
      </c>
      <c r="C868" t="inlineStr">
        <is>
          <t>Loehne und Gehaelter</t>
        </is>
      </c>
      <c r="D868" t="n">
        <v>0</v>
      </c>
      <c r="E868" t="n">
        <v>6</v>
      </c>
      <c r="F868" t="n">
        <v>66</v>
      </c>
      <c r="G868" t="b">
        <v>0</v>
      </c>
    </row>
    <row r="869">
      <c r="A869" t="inlineStr">
        <is>
          <t>P</t>
        </is>
      </c>
      <c r="B869" t="inlineStr">
        <is>
          <t>0030610100</t>
        </is>
      </c>
      <c r="C869" t="inlineStr">
        <is>
          <t>Loehne und Gehaelter</t>
        </is>
      </c>
      <c r="D869" t="n">
        <v>0</v>
      </c>
      <c r="E869" t="n">
        <v>7</v>
      </c>
      <c r="F869" t="n">
        <v>67</v>
      </c>
      <c r="G869" t="b">
        <v>0</v>
      </c>
    </row>
    <row r="870">
      <c r="A870" t="inlineStr">
        <is>
          <t>K</t>
        </is>
      </c>
      <c r="B870" t="inlineStr">
        <is>
          <t>0030610100</t>
        </is>
      </c>
      <c r="C870" t="inlineStr">
        <is>
          <t>410000 Löhne</t>
        </is>
      </c>
      <c r="D870" t="n">
        <v>800798.88</v>
      </c>
      <c r="E870" t="n">
        <v>8</v>
      </c>
      <c r="F870" t="n">
        <v>68</v>
      </c>
      <c r="H870" t="inlineStr">
        <is>
          <t>410000</t>
        </is>
      </c>
    </row>
    <row r="871">
      <c r="A871" t="inlineStr">
        <is>
          <t>K</t>
        </is>
      </c>
      <c r="B871" t="inlineStr">
        <is>
          <t>0030610100</t>
        </is>
      </c>
      <c r="C871" t="inlineStr">
        <is>
          <t>410050 Überstunden Lohnempfänger</t>
        </is>
      </c>
      <c r="D871" t="n">
        <v>46797.77</v>
      </c>
      <c r="E871" t="n">
        <v>8</v>
      </c>
      <c r="F871" t="n">
        <v>69</v>
      </c>
      <c r="H871" t="inlineStr">
        <is>
          <t>410050</t>
        </is>
      </c>
    </row>
    <row r="872">
      <c r="A872" t="inlineStr">
        <is>
          <t>K</t>
        </is>
      </c>
      <c r="B872" t="inlineStr">
        <is>
          <t>0030610100</t>
        </is>
      </c>
      <c r="C872" t="inlineStr">
        <is>
          <t>410060 Aushilfen gewerbl. (Lohnübernahme)</t>
        </is>
      </c>
      <c r="D872" t="n">
        <v>10639.9</v>
      </c>
      <c r="E872" t="n">
        <v>8</v>
      </c>
      <c r="F872" t="n">
        <v>70</v>
      </c>
      <c r="H872" t="inlineStr">
        <is>
          <t>410060</t>
        </is>
      </c>
    </row>
    <row r="873">
      <c r="A873" t="inlineStr">
        <is>
          <t>K</t>
        </is>
      </c>
      <c r="B873" t="inlineStr">
        <is>
          <t>0030610100</t>
        </is>
      </c>
      <c r="C873" t="inlineStr">
        <is>
          <t>410100 Gehalt</t>
        </is>
      </c>
      <c r="D873" t="n">
        <v>959338.67</v>
      </c>
      <c r="E873" t="n">
        <v>8</v>
      </c>
      <c r="F873" t="n">
        <v>71</v>
      </c>
      <c r="H873" t="inlineStr">
        <is>
          <t>410100</t>
        </is>
      </c>
    </row>
    <row r="874">
      <c r="A874" t="inlineStr">
        <is>
          <t>K</t>
        </is>
      </c>
      <c r="B874" t="inlineStr">
        <is>
          <t>0030610100</t>
        </is>
      </c>
      <c r="C874" t="inlineStr">
        <is>
          <t>410160 Aushilfen Angestellte (Lohnübernahme)</t>
        </is>
      </c>
      <c r="D874" t="n">
        <v>9420.200000000001</v>
      </c>
      <c r="E874" t="n">
        <v>8</v>
      </c>
      <c r="F874" t="n">
        <v>72</v>
      </c>
      <c r="H874" t="inlineStr">
        <is>
          <t>410160</t>
        </is>
      </c>
    </row>
    <row r="875">
      <c r="A875" t="inlineStr">
        <is>
          <t>K</t>
        </is>
      </c>
      <c r="B875" t="inlineStr">
        <is>
          <t>0030610100</t>
        </is>
      </c>
      <c r="C875" t="inlineStr">
        <is>
          <t>411030 Arbeitgeberzuschuß VWL</t>
        </is>
      </c>
      <c r="D875" t="n">
        <v>2076.12</v>
      </c>
      <c r="E875" t="n">
        <v>8</v>
      </c>
      <c r="F875" t="n">
        <v>73</v>
      </c>
      <c r="H875" t="inlineStr">
        <is>
          <t>411030</t>
        </is>
      </c>
    </row>
    <row r="876">
      <c r="A876" t="inlineStr">
        <is>
          <t>P</t>
        </is>
      </c>
      <c r="B876" t="inlineStr">
        <is>
          <t>0030610110</t>
        </is>
      </c>
      <c r="C876" t="inlineStr">
        <is>
          <t>Sonderzahl. und Praemien</t>
        </is>
      </c>
      <c r="D876" t="n">
        <v>0</v>
      </c>
      <c r="E876" t="n">
        <v>7</v>
      </c>
      <c r="F876" t="n">
        <v>74</v>
      </c>
      <c r="G876" t="b">
        <v>0</v>
      </c>
    </row>
    <row r="877">
      <c r="A877" t="inlineStr">
        <is>
          <t>K</t>
        </is>
      </c>
      <c r="B877" t="inlineStr">
        <is>
          <t>0030610110</t>
        </is>
      </c>
      <c r="C877" t="inlineStr">
        <is>
          <t>410030 Sonderzahlungen und Prämien Lohnempfänger</t>
        </is>
      </c>
      <c r="D877" t="n">
        <v>129.28</v>
      </c>
      <c r="E877" t="n">
        <v>8</v>
      </c>
      <c r="F877" t="n">
        <v>75</v>
      </c>
      <c r="H877" t="inlineStr">
        <is>
          <t>410030</t>
        </is>
      </c>
    </row>
    <row r="878">
      <c r="A878" t="inlineStr">
        <is>
          <t>K</t>
        </is>
      </c>
      <c r="B878" t="inlineStr">
        <is>
          <t>0030610110</t>
        </is>
      </c>
      <c r="C878" t="inlineStr">
        <is>
          <t>410130 Sonderzahlungen und Prämien Gehaltsempfänger</t>
        </is>
      </c>
      <c r="D878" t="n">
        <v>217663</v>
      </c>
      <c r="E878" t="n">
        <v>8</v>
      </c>
      <c r="F878" t="n">
        <v>76</v>
      </c>
      <c r="H878" t="inlineStr">
        <is>
          <t>410130</t>
        </is>
      </c>
    </row>
    <row r="879">
      <c r="A879" t="inlineStr">
        <is>
          <t>P</t>
        </is>
      </c>
      <c r="B879" t="inlineStr">
        <is>
          <t>0030610120</t>
        </is>
      </c>
      <c r="C879" t="inlineStr">
        <is>
          <t>Uebrige Lohn- und Gehaltszahlungen</t>
        </is>
      </c>
      <c r="D879" t="n">
        <v>0</v>
      </c>
      <c r="E879" t="n">
        <v>7</v>
      </c>
      <c r="F879" t="n">
        <v>77</v>
      </c>
      <c r="G879" t="b">
        <v>0</v>
      </c>
    </row>
    <row r="880">
      <c r="A880" t="inlineStr">
        <is>
          <t>K</t>
        </is>
      </c>
      <c r="B880" t="inlineStr">
        <is>
          <t>0030610120</t>
        </is>
      </c>
      <c r="C880" t="inlineStr">
        <is>
          <t>410010 Lohnfortzahlung</t>
        </is>
      </c>
      <c r="D880" t="n">
        <v>58865.71</v>
      </c>
      <c r="E880" t="n">
        <v>8</v>
      </c>
      <c r="F880" t="n">
        <v>78</v>
      </c>
      <c r="H880" t="inlineStr">
        <is>
          <t>410010</t>
        </is>
      </c>
    </row>
    <row r="881">
      <c r="A881" t="inlineStr">
        <is>
          <t>K</t>
        </is>
      </c>
      <c r="B881" t="inlineStr">
        <is>
          <t>0030610120</t>
        </is>
      </c>
      <c r="C881" t="inlineStr">
        <is>
          <t>410110 Gehaltsfortzahlung</t>
        </is>
      </c>
      <c r="D881" t="n">
        <v>25197.01</v>
      </c>
      <c r="E881" t="n">
        <v>8</v>
      </c>
      <c r="F881" t="n">
        <v>79</v>
      </c>
      <c r="H881" t="inlineStr">
        <is>
          <t>410110</t>
        </is>
      </c>
    </row>
    <row r="882">
      <c r="A882" t="inlineStr">
        <is>
          <t>K</t>
        </is>
      </c>
      <c r="B882" t="inlineStr">
        <is>
          <t>0030610120</t>
        </is>
      </c>
      <c r="C882" t="inlineStr">
        <is>
          <t>411910 Lohnzuschüsse (Lohnübernahme)</t>
        </is>
      </c>
      <c r="D882" t="n">
        <v>86131.82000000001</v>
      </c>
      <c r="E882" t="n">
        <v>8</v>
      </c>
      <c r="F882" t="n">
        <v>80</v>
      </c>
      <c r="H882" t="inlineStr">
        <is>
          <t>411910</t>
        </is>
      </c>
    </row>
    <row r="883">
      <c r="A883" t="inlineStr">
        <is>
          <t>P</t>
        </is>
      </c>
      <c r="B883" t="inlineStr">
        <is>
          <t>0030610000</t>
        </is>
      </c>
      <c r="C883" t="inlineStr">
        <is>
          <t>Summe Loehne und Gehaelter</t>
        </is>
      </c>
      <c r="D883" t="n">
        <v>2217058.36</v>
      </c>
      <c r="E883" t="n">
        <v>6</v>
      </c>
      <c r="F883" t="n">
        <v>81</v>
      </c>
      <c r="G883" t="b">
        <v>1</v>
      </c>
    </row>
    <row r="884">
      <c r="A884" t="inlineStr">
        <is>
          <t>P</t>
        </is>
      </c>
      <c r="B884" t="inlineStr">
        <is>
          <t>0030620000</t>
        </is>
      </c>
      <c r="C884" t="inlineStr">
        <is>
          <t>Soz. Abgaben / Aufw. F. Unterstützung</t>
        </is>
      </c>
      <c r="D884" t="n">
        <v>0</v>
      </c>
      <c r="E884" t="n">
        <v>6</v>
      </c>
      <c r="F884" t="n">
        <v>82</v>
      </c>
      <c r="G884" t="b">
        <v>0</v>
      </c>
    </row>
    <row r="885">
      <c r="A885" t="inlineStr">
        <is>
          <t>P</t>
        </is>
      </c>
      <c r="B885" t="inlineStr">
        <is>
          <t>0030620100</t>
        </is>
      </c>
      <c r="C885" t="inlineStr">
        <is>
          <t>Soziale Abgaben</t>
        </is>
      </c>
      <c r="D885" t="n">
        <v>0</v>
      </c>
      <c r="E885" t="n">
        <v>7</v>
      </c>
      <c r="F885" t="n">
        <v>83</v>
      </c>
      <c r="G885" t="b">
        <v>0</v>
      </c>
    </row>
    <row r="886">
      <c r="A886" t="inlineStr">
        <is>
          <t>K</t>
        </is>
      </c>
      <c r="B886" t="inlineStr">
        <is>
          <t>0030620100</t>
        </is>
      </c>
      <c r="C886" t="inlineStr">
        <is>
          <t>411010 Beiträge Berufsgenossenschaft</t>
        </is>
      </c>
      <c r="D886" t="n">
        <v>42350</v>
      </c>
      <c r="E886" t="n">
        <v>8</v>
      </c>
      <c r="F886" t="n">
        <v>84</v>
      </c>
      <c r="H886" t="inlineStr">
        <is>
          <t>411010</t>
        </is>
      </c>
    </row>
    <row r="887">
      <c r="A887" t="inlineStr">
        <is>
          <t>K</t>
        </is>
      </c>
      <c r="B887" t="inlineStr">
        <is>
          <t>0030620100</t>
        </is>
      </c>
      <c r="C887" t="inlineStr">
        <is>
          <t>411020 Sozialabgaben</t>
        </is>
      </c>
      <c r="D887" t="n">
        <v>223167.14</v>
      </c>
      <c r="E887" t="n">
        <v>8</v>
      </c>
      <c r="F887" t="n">
        <v>85</v>
      </c>
      <c r="H887" t="inlineStr">
        <is>
          <t>411020</t>
        </is>
      </c>
    </row>
    <row r="888">
      <c r="A888" t="inlineStr">
        <is>
          <t>K</t>
        </is>
      </c>
      <c r="B888" t="inlineStr">
        <is>
          <t>0030620100</t>
        </is>
      </c>
      <c r="C888" t="inlineStr">
        <is>
          <t>411021 Arbeitgeberanteil zur gesetzl. RentenVersicherung</t>
        </is>
      </c>
      <c r="D888" t="n">
        <v>181787.43</v>
      </c>
      <c r="E888" t="n">
        <v>8</v>
      </c>
      <c r="F888" t="n">
        <v>86</v>
      </c>
      <c r="H888" t="inlineStr">
        <is>
          <t>411021</t>
        </is>
      </c>
    </row>
    <row r="889">
      <c r="A889" t="inlineStr">
        <is>
          <t>P</t>
        </is>
      </c>
      <c r="B889" t="inlineStr">
        <is>
          <t>0030620200</t>
        </is>
      </c>
      <c r="C889" t="inlineStr">
        <is>
          <t>Aufw. f. Altersversorgung u. Unterst.</t>
        </is>
      </c>
      <c r="D889" t="n">
        <v>0</v>
      </c>
      <c r="E889" t="n">
        <v>7</v>
      </c>
      <c r="F889" t="n">
        <v>87</v>
      </c>
      <c r="G889" t="b">
        <v>0</v>
      </c>
    </row>
    <row r="890">
      <c r="A890" t="inlineStr">
        <is>
          <t>K</t>
        </is>
      </c>
      <c r="B890" t="inlineStr">
        <is>
          <t>0030620200</t>
        </is>
      </c>
      <c r="C890" t="inlineStr">
        <is>
          <t>411000 Altersversorgung und Unterstützung</t>
        </is>
      </c>
      <c r="D890" t="n">
        <v>6736.2</v>
      </c>
      <c r="E890" t="n">
        <v>8</v>
      </c>
      <c r="F890" t="n">
        <v>88</v>
      </c>
      <c r="H890" t="inlineStr">
        <is>
          <t>411000</t>
        </is>
      </c>
    </row>
    <row r="891">
      <c r="A891" t="inlineStr">
        <is>
          <t>P</t>
        </is>
      </c>
      <c r="B891" t="inlineStr">
        <is>
          <t>0030620000</t>
        </is>
      </c>
      <c r="C891" t="inlineStr">
        <is>
          <t>Summe Soz. Abgaben / Aufw. F. Unterstützung</t>
        </is>
      </c>
      <c r="D891" t="n">
        <v>454040.77</v>
      </c>
      <c r="E891" t="n">
        <v>6</v>
      </c>
      <c r="F891" t="n">
        <v>89</v>
      </c>
      <c r="G891" t="b">
        <v>1</v>
      </c>
    </row>
    <row r="892">
      <c r="A892" t="inlineStr">
        <is>
          <t>P</t>
        </is>
      </c>
      <c r="B892" t="inlineStr">
        <is>
          <t>0030600000</t>
        </is>
      </c>
      <c r="C892" t="inlineStr">
        <is>
          <t>Summe Personalaufwand</t>
        </is>
      </c>
      <c r="D892" t="n">
        <v>2671099.13</v>
      </c>
      <c r="E892" t="n">
        <v>5</v>
      </c>
      <c r="F892" t="n">
        <v>90</v>
      </c>
      <c r="G892" t="b">
        <v>1</v>
      </c>
    </row>
    <row r="893">
      <c r="A893" t="inlineStr">
        <is>
          <t>P</t>
        </is>
      </c>
      <c r="B893" t="inlineStr">
        <is>
          <t>0030700000</t>
        </is>
      </c>
      <c r="C893" t="inlineStr">
        <is>
          <t>Abschreibungen</t>
        </is>
      </c>
      <c r="D893" t="n">
        <v>0</v>
      </c>
      <c r="E893" t="n">
        <v>5</v>
      </c>
      <c r="F893" t="n">
        <v>91</v>
      </c>
      <c r="G893" t="b">
        <v>0</v>
      </c>
    </row>
    <row r="894">
      <c r="A894" t="inlineStr">
        <is>
          <t>P</t>
        </is>
      </c>
      <c r="B894" t="inlineStr">
        <is>
          <t>0030710000</t>
        </is>
      </c>
      <c r="C894" t="inlineStr">
        <is>
          <t>Abschreibungen auf Anlagevermögen</t>
        </is>
      </c>
      <c r="D894" t="n">
        <v>0</v>
      </c>
      <c r="E894" t="n">
        <v>6</v>
      </c>
      <c r="F894" t="n">
        <v>92</v>
      </c>
      <c r="G894" t="b">
        <v>0</v>
      </c>
    </row>
    <row r="895">
      <c r="A895" t="inlineStr">
        <is>
          <t>P</t>
        </is>
      </c>
      <c r="B895" t="inlineStr">
        <is>
          <t>0030710100</t>
        </is>
      </c>
      <c r="C895" t="inlineStr">
        <is>
          <t>planm. Abschreibung AV</t>
        </is>
      </c>
      <c r="D895" t="n">
        <v>0</v>
      </c>
      <c r="E895" t="n">
        <v>7</v>
      </c>
      <c r="F895" t="n">
        <v>93</v>
      </c>
      <c r="G895" t="b">
        <v>0</v>
      </c>
    </row>
    <row r="896">
      <c r="A896" t="inlineStr">
        <is>
          <t>K</t>
        </is>
      </c>
      <c r="B896" t="inlineStr">
        <is>
          <t>0030710100</t>
        </is>
      </c>
      <c r="C896" t="inlineStr">
        <is>
          <t>480100 Normalabschreibung auf Anlagen</t>
        </is>
      </c>
      <c r="D896" t="n">
        <v>64264.03</v>
      </c>
      <c r="E896" t="n">
        <v>8</v>
      </c>
      <c r="F896" t="n">
        <v>94</v>
      </c>
      <c r="H896" t="inlineStr">
        <is>
          <t>480100</t>
        </is>
      </c>
    </row>
    <row r="897">
      <c r="A897" t="inlineStr">
        <is>
          <t>K</t>
        </is>
      </c>
      <c r="B897" t="inlineStr">
        <is>
          <t>0030710100</t>
        </is>
      </c>
      <c r="C897" t="inlineStr">
        <is>
          <t>480110 Abschreibungen auf Anlagen (GWG)</t>
        </is>
      </c>
      <c r="D897" t="n">
        <v>2302.89</v>
      </c>
      <c r="E897" t="n">
        <v>8</v>
      </c>
      <c r="F897" t="n">
        <v>95</v>
      </c>
      <c r="H897" t="inlineStr">
        <is>
          <t>480110</t>
        </is>
      </c>
    </row>
    <row r="898">
      <c r="A898" t="inlineStr">
        <is>
          <t>P</t>
        </is>
      </c>
      <c r="B898" t="inlineStr">
        <is>
          <t>0030700000</t>
        </is>
      </c>
      <c r="C898" t="inlineStr">
        <is>
          <t>Summe Abschreibungen</t>
        </is>
      </c>
      <c r="D898" t="n">
        <v>66566.92</v>
      </c>
      <c r="E898" t="n">
        <v>5</v>
      </c>
      <c r="F898" t="n">
        <v>96</v>
      </c>
      <c r="G898" t="b">
        <v>1</v>
      </c>
    </row>
    <row r="899">
      <c r="A899" t="inlineStr">
        <is>
          <t>P</t>
        </is>
      </c>
      <c r="B899" t="inlineStr">
        <is>
          <t>0030800000</t>
        </is>
      </c>
      <c r="C899" t="inlineStr">
        <is>
          <t>Sonst. betriebl. Aufwendungen</t>
        </is>
      </c>
      <c r="D899" t="n">
        <v>0</v>
      </c>
      <c r="E899" t="n">
        <v>5</v>
      </c>
      <c r="F899" t="n">
        <v>97</v>
      </c>
      <c r="G899" t="b">
        <v>0</v>
      </c>
    </row>
    <row r="900">
      <c r="A900" t="inlineStr">
        <is>
          <t>P</t>
        </is>
      </c>
      <c r="B900" t="inlineStr">
        <is>
          <t>0030810499</t>
        </is>
      </c>
      <c r="C900" t="inlineStr">
        <is>
          <t>Vertriebskosten</t>
        </is>
      </c>
      <c r="D900" t="n">
        <v>0</v>
      </c>
      <c r="E900" t="n">
        <v>6</v>
      </c>
      <c r="F900" t="n">
        <v>98</v>
      </c>
      <c r="G900" t="b">
        <v>0</v>
      </c>
    </row>
    <row r="901">
      <c r="A901" t="inlineStr">
        <is>
          <t>P</t>
        </is>
      </c>
      <c r="B901" t="inlineStr">
        <is>
          <t>0030810500</t>
        </is>
      </c>
      <c r="C901" t="inlineStr">
        <is>
          <t>Vertriebskosten</t>
        </is>
      </c>
      <c r="D901" t="n">
        <v>0</v>
      </c>
      <c r="E901" t="n">
        <v>7</v>
      </c>
      <c r="F901" t="n">
        <v>99</v>
      </c>
      <c r="G901" t="b">
        <v>0</v>
      </c>
    </row>
    <row r="902">
      <c r="A902" t="inlineStr">
        <is>
          <t>K</t>
        </is>
      </c>
      <c r="B902" t="inlineStr">
        <is>
          <t>0030810500</t>
        </is>
      </c>
      <c r="C902" t="inlineStr">
        <is>
          <t>450010 Reisekosten Betriebsangehörige</t>
        </is>
      </c>
      <c r="D902" t="n">
        <v>13998.4</v>
      </c>
      <c r="E902" t="n">
        <v>8</v>
      </c>
      <c r="F902" t="n">
        <v>100</v>
      </c>
      <c r="H902" t="inlineStr">
        <is>
          <t>450010</t>
        </is>
      </c>
    </row>
    <row r="903">
      <c r="A903" t="inlineStr">
        <is>
          <t>K</t>
        </is>
      </c>
      <c r="B903" t="inlineStr">
        <is>
          <t>0030810500</t>
        </is>
      </c>
      <c r="C903" t="inlineStr">
        <is>
          <t>450011 Verpfl.mehraufwand (pauschal)</t>
        </is>
      </c>
      <c r="D903" t="n">
        <v>1652</v>
      </c>
      <c r="E903" t="n">
        <v>8</v>
      </c>
      <c r="F903" t="n">
        <v>101</v>
      </c>
      <c r="H903" t="inlineStr">
        <is>
          <t>450011</t>
        </is>
      </c>
    </row>
    <row r="904">
      <c r="A904" t="inlineStr">
        <is>
          <t>K</t>
        </is>
      </c>
      <c r="B904" t="inlineStr">
        <is>
          <t>0030810500</t>
        </is>
      </c>
      <c r="C904" t="inlineStr">
        <is>
          <t>450012 Kilometergeld (pauschal)</t>
        </is>
      </c>
      <c r="D904" t="n">
        <v>2335.36</v>
      </c>
      <c r="E904" t="n">
        <v>8</v>
      </c>
      <c r="F904" t="n">
        <v>102</v>
      </c>
      <c r="H904" t="inlineStr">
        <is>
          <t>450012</t>
        </is>
      </c>
    </row>
    <row r="905">
      <c r="A905" t="inlineStr">
        <is>
          <t>K</t>
        </is>
      </c>
      <c r="B905" t="inlineStr">
        <is>
          <t>0030810500</t>
        </is>
      </c>
      <c r="C905" t="inlineStr">
        <is>
          <t>450013 Kürzung Verpfleg.mehraufwand</t>
        </is>
      </c>
      <c r="D905" t="n">
        <v>-61.6</v>
      </c>
      <c r="E905" t="n">
        <v>8</v>
      </c>
      <c r="F905" t="n">
        <v>103</v>
      </c>
      <c r="H905" t="inlineStr">
        <is>
          <t>450013</t>
        </is>
      </c>
    </row>
    <row r="906">
      <c r="A906" t="inlineStr">
        <is>
          <t>K</t>
        </is>
      </c>
      <c r="B906" t="inlineStr">
        <is>
          <t>0030810500</t>
        </is>
      </c>
      <c r="C906" t="inlineStr">
        <is>
          <t>450020 Reisekosten Betriebsfremde</t>
        </is>
      </c>
      <c r="D906" t="n">
        <v>329.5</v>
      </c>
      <c r="E906" t="n">
        <v>8</v>
      </c>
      <c r="F906" t="n">
        <v>104</v>
      </c>
      <c r="H906" t="inlineStr">
        <is>
          <t>450020</t>
        </is>
      </c>
    </row>
    <row r="907">
      <c r="A907" t="inlineStr">
        <is>
          <t>K</t>
        </is>
      </c>
      <c r="B907" t="inlineStr">
        <is>
          <t>0030810500</t>
        </is>
      </c>
      <c r="C907" t="inlineStr">
        <is>
          <t>450030 Bewirtung zu 100 % abzugsfähig</t>
        </is>
      </c>
      <c r="D907" t="n">
        <v>5381.15</v>
      </c>
      <c r="E907" t="n">
        <v>8</v>
      </c>
      <c r="F907" t="n">
        <v>105</v>
      </c>
      <c r="H907" t="inlineStr">
        <is>
          <t>450030</t>
        </is>
      </c>
    </row>
    <row r="908">
      <c r="A908" t="inlineStr">
        <is>
          <t>K</t>
        </is>
      </c>
      <c r="B908" t="inlineStr">
        <is>
          <t>0030810500</t>
        </is>
      </c>
      <c r="C908" t="inlineStr">
        <is>
          <t>450039 Bewirtung zu 70 % abzugsfähig</t>
        </is>
      </c>
      <c r="D908" t="n">
        <v>4122.47</v>
      </c>
      <c r="E908" t="n">
        <v>8</v>
      </c>
      <c r="F908" t="n">
        <v>106</v>
      </c>
      <c r="H908" t="inlineStr">
        <is>
          <t>450039</t>
        </is>
      </c>
    </row>
    <row r="909">
      <c r="A909" t="inlineStr">
        <is>
          <t>K</t>
        </is>
      </c>
      <c r="B909" t="inlineStr">
        <is>
          <t>0030810500</t>
        </is>
      </c>
      <c r="C909" t="inlineStr">
        <is>
          <t>450050 Allgemeine Repräsentationskosten</t>
        </is>
      </c>
      <c r="D909" t="n">
        <v>2205.42</v>
      </c>
      <c r="E909" t="n">
        <v>8</v>
      </c>
      <c r="F909" t="n">
        <v>107</v>
      </c>
      <c r="H909" t="inlineStr">
        <is>
          <t>450050</t>
        </is>
      </c>
    </row>
    <row r="910">
      <c r="A910" t="inlineStr">
        <is>
          <t>K</t>
        </is>
      </c>
      <c r="B910" t="inlineStr">
        <is>
          <t>0030810500</t>
        </is>
      </c>
      <c r="C910" t="inlineStr">
        <is>
          <t>450061 Geschenke Zuwend. &lt; Wertgrenze Dritte/Arbeitnehmer</t>
        </is>
      </c>
      <c r="D910" t="n">
        <v>101.74</v>
      </c>
      <c r="E910" t="n">
        <v>8</v>
      </c>
      <c r="F910" t="n">
        <v>108</v>
      </c>
      <c r="H910" t="inlineStr">
        <is>
          <t>450061</t>
        </is>
      </c>
    </row>
    <row r="911">
      <c r="A911" t="inlineStr">
        <is>
          <t>K</t>
        </is>
      </c>
      <c r="B911" t="inlineStr">
        <is>
          <t>0030810500</t>
        </is>
      </c>
      <c r="C911" t="inlineStr">
        <is>
          <t>450080 Werbung</t>
        </is>
      </c>
      <c r="D911" t="n">
        <v>5284.64</v>
      </c>
      <c r="E911" t="n">
        <v>8</v>
      </c>
      <c r="F911" t="n">
        <v>109</v>
      </c>
      <c r="H911" t="inlineStr">
        <is>
          <t>450080</t>
        </is>
      </c>
    </row>
    <row r="912">
      <c r="A912" t="inlineStr">
        <is>
          <t>K</t>
        </is>
      </c>
      <c r="B912" t="inlineStr">
        <is>
          <t>0030810500</t>
        </is>
      </c>
      <c r="C912" t="inlineStr">
        <is>
          <t>450081 Sponsoring</t>
        </is>
      </c>
      <c r="D912" t="n">
        <v>2000</v>
      </c>
      <c r="E912" t="n">
        <v>8</v>
      </c>
      <c r="F912" t="n">
        <v>110</v>
      </c>
      <c r="H912" t="inlineStr">
        <is>
          <t>450081</t>
        </is>
      </c>
    </row>
    <row r="913">
      <c r="A913" t="inlineStr">
        <is>
          <t>K</t>
        </is>
      </c>
      <c r="B913" t="inlineStr">
        <is>
          <t>0030810500</t>
        </is>
      </c>
      <c r="C913" t="inlineStr">
        <is>
          <t>450120 Spesen (Lohnübernahme ohne VSt.)</t>
        </is>
      </c>
      <c r="D913" t="n">
        <v>58388</v>
      </c>
      <c r="E913" t="n">
        <v>8</v>
      </c>
      <c r="F913" t="n">
        <v>111</v>
      </c>
      <c r="H913" t="inlineStr">
        <is>
          <t>450120</t>
        </is>
      </c>
    </row>
    <row r="914">
      <c r="A914" t="inlineStr">
        <is>
          <t>K</t>
        </is>
      </c>
      <c r="B914" t="inlineStr">
        <is>
          <t>0030810500</t>
        </is>
      </c>
      <c r="C914" t="inlineStr">
        <is>
          <t>460200 Beiträge Fachtagungen</t>
        </is>
      </c>
      <c r="D914" t="n">
        <v>8550</v>
      </c>
      <c r="E914" t="n">
        <v>8</v>
      </c>
      <c r="F914" t="n">
        <v>112</v>
      </c>
      <c r="H914" t="inlineStr">
        <is>
          <t>460200</t>
        </is>
      </c>
    </row>
    <row r="915">
      <c r="A915" t="inlineStr">
        <is>
          <t>P</t>
        </is>
      </c>
      <c r="B915" t="inlineStr">
        <is>
          <t>0030810599</t>
        </is>
      </c>
      <c r="C915" t="inlineStr">
        <is>
          <t>Verwaltungskosten</t>
        </is>
      </c>
      <c r="D915" t="n">
        <v>0</v>
      </c>
      <c r="E915" t="n">
        <v>6</v>
      </c>
      <c r="F915" t="n">
        <v>113</v>
      </c>
      <c r="G915" t="b">
        <v>0</v>
      </c>
    </row>
    <row r="916">
      <c r="A916" t="inlineStr">
        <is>
          <t>P</t>
        </is>
      </c>
      <c r="B916" t="inlineStr">
        <is>
          <t>0030810600</t>
        </is>
      </c>
      <c r="C916" t="inlineStr">
        <is>
          <t>Verwaltungskosten</t>
        </is>
      </c>
      <c r="D916" t="n">
        <v>0</v>
      </c>
      <c r="E916" t="n">
        <v>7</v>
      </c>
      <c r="F916" t="n">
        <v>114</v>
      </c>
      <c r="G916" t="b">
        <v>0</v>
      </c>
    </row>
    <row r="917">
      <c r="A917" t="inlineStr">
        <is>
          <t>K</t>
        </is>
      </c>
      <c r="B917" t="inlineStr">
        <is>
          <t>0030810600</t>
        </is>
      </c>
      <c r="C917" t="inlineStr">
        <is>
          <t>420400 Instandhaltung Geschäftsausstattung</t>
        </is>
      </c>
      <c r="D917" t="n">
        <v>6826.95</v>
      </c>
      <c r="E917" t="n">
        <v>8</v>
      </c>
      <c r="F917" t="n">
        <v>115</v>
      </c>
      <c r="H917" t="inlineStr">
        <is>
          <t>420400</t>
        </is>
      </c>
    </row>
    <row r="918">
      <c r="A918" t="inlineStr">
        <is>
          <t>K</t>
        </is>
      </c>
      <c r="B918" t="inlineStr">
        <is>
          <t>0030810600</t>
        </is>
      </c>
      <c r="C918" t="inlineStr">
        <is>
          <t>460010 Büromaterial</t>
        </is>
      </c>
      <c r="D918" t="n">
        <v>6451.87</v>
      </c>
      <c r="E918" t="n">
        <v>8</v>
      </c>
      <c r="F918" t="n">
        <v>116</v>
      </c>
      <c r="H918" t="inlineStr">
        <is>
          <t>460010</t>
        </is>
      </c>
    </row>
    <row r="919">
      <c r="A919" t="inlineStr">
        <is>
          <t>K</t>
        </is>
      </c>
      <c r="B919" t="inlineStr">
        <is>
          <t>0030810600</t>
        </is>
      </c>
      <c r="C919" t="inlineStr">
        <is>
          <t>460020 Zeitungen, Zeitschrift.und Bücher</t>
        </is>
      </c>
      <c r="D919" t="n">
        <v>1681.8</v>
      </c>
      <c r="E919" t="n">
        <v>8</v>
      </c>
      <c r="F919" t="n">
        <v>117</v>
      </c>
      <c r="H919" t="inlineStr">
        <is>
          <t>460020</t>
        </is>
      </c>
    </row>
    <row r="920">
      <c r="A920" t="inlineStr">
        <is>
          <t>K</t>
        </is>
      </c>
      <c r="B920" t="inlineStr">
        <is>
          <t>0030810600</t>
        </is>
      </c>
      <c r="C920" t="inlineStr">
        <is>
          <t>460030 Telekommunikation</t>
        </is>
      </c>
      <c r="D920" t="n">
        <v>11840.72</v>
      </c>
      <c r="E920" t="n">
        <v>8</v>
      </c>
      <c r="F920" t="n">
        <v>118</v>
      </c>
      <c r="H920" t="inlineStr">
        <is>
          <t>460030</t>
        </is>
      </c>
    </row>
    <row r="921">
      <c r="A921" t="inlineStr">
        <is>
          <t>K</t>
        </is>
      </c>
      <c r="B921" t="inlineStr">
        <is>
          <t>0030810600</t>
        </is>
      </c>
      <c r="C921" t="inlineStr">
        <is>
          <t>460040 Portogebühren</t>
        </is>
      </c>
      <c r="D921" t="n">
        <v>1663.86</v>
      </c>
      <c r="E921" t="n">
        <v>8</v>
      </c>
      <c r="F921" t="n">
        <v>119</v>
      </c>
      <c r="H921" t="inlineStr">
        <is>
          <t>460040</t>
        </is>
      </c>
    </row>
    <row r="922">
      <c r="A922" t="inlineStr">
        <is>
          <t>K</t>
        </is>
      </c>
      <c r="B922" t="inlineStr">
        <is>
          <t>0030810600</t>
        </is>
      </c>
      <c r="C922" t="inlineStr">
        <is>
          <t>460050 Kosten des Geldverkehrs</t>
        </is>
      </c>
      <c r="D922" t="n">
        <v>391.03</v>
      </c>
      <c r="E922" t="n">
        <v>8</v>
      </c>
      <c r="F922" t="n">
        <v>120</v>
      </c>
      <c r="H922" t="inlineStr">
        <is>
          <t>460050</t>
        </is>
      </c>
    </row>
    <row r="923">
      <c r="A923" t="inlineStr">
        <is>
          <t>K</t>
        </is>
      </c>
      <c r="B923" t="inlineStr">
        <is>
          <t>0030810600</t>
        </is>
      </c>
      <c r="C923" t="inlineStr">
        <is>
          <t>460080 Pflichtbeiträge zu Verbänden</t>
        </is>
      </c>
      <c r="D923" t="n">
        <v>5469.19</v>
      </c>
      <c r="E923" t="n">
        <v>8</v>
      </c>
      <c r="F923" t="n">
        <v>121</v>
      </c>
      <c r="H923" t="inlineStr">
        <is>
          <t>460080</t>
        </is>
      </c>
    </row>
    <row r="924">
      <c r="A924" t="inlineStr">
        <is>
          <t>K</t>
        </is>
      </c>
      <c r="B924" t="inlineStr">
        <is>
          <t>0030810600</t>
        </is>
      </c>
      <c r="C924" t="inlineStr">
        <is>
          <t>460081 Beiträge zu sonstigen Vereinigungen</t>
        </is>
      </c>
      <c r="D924" t="n">
        <v>1600</v>
      </c>
      <c r="E924" t="n">
        <v>8</v>
      </c>
      <c r="F924" t="n">
        <v>122</v>
      </c>
      <c r="H924" t="inlineStr">
        <is>
          <t>460081</t>
        </is>
      </c>
    </row>
    <row r="925">
      <c r="A925" t="inlineStr">
        <is>
          <t>K</t>
        </is>
      </c>
      <c r="B925" t="inlineStr">
        <is>
          <t>0030810600</t>
        </is>
      </c>
      <c r="C925" t="inlineStr">
        <is>
          <t>460090 Schreib- und Verwaltungsgebühren an Behörden</t>
        </is>
      </c>
      <c r="D925" t="n">
        <v>1073.6</v>
      </c>
      <c r="E925" t="n">
        <v>8</v>
      </c>
      <c r="F925" t="n">
        <v>123</v>
      </c>
      <c r="H925" t="inlineStr">
        <is>
          <t>460090</t>
        </is>
      </c>
    </row>
    <row r="926">
      <c r="A926" t="inlineStr">
        <is>
          <t>K</t>
        </is>
      </c>
      <c r="B926" t="inlineStr">
        <is>
          <t>0030810600</t>
        </is>
      </c>
      <c r="C926" t="inlineStr">
        <is>
          <t>460900 Sonstige Verwaltungskosten</t>
        </is>
      </c>
      <c r="D926" t="n">
        <v>26407.92</v>
      </c>
      <c r="E926" t="n">
        <v>8</v>
      </c>
      <c r="F926" t="n">
        <v>124</v>
      </c>
      <c r="H926" t="inlineStr">
        <is>
          <t>460900</t>
        </is>
      </c>
    </row>
    <row r="927">
      <c r="A927" t="inlineStr">
        <is>
          <t>K</t>
        </is>
      </c>
      <c r="B927" t="inlineStr">
        <is>
          <t>0030810600</t>
        </is>
      </c>
      <c r="C927" t="inlineStr">
        <is>
          <t>470030 Beratungskosten Allgemeine Verwaltung</t>
        </is>
      </c>
      <c r="D927" t="n">
        <v>3472.1</v>
      </c>
      <c r="E927" t="n">
        <v>8</v>
      </c>
      <c r="F927" t="n">
        <v>125</v>
      </c>
      <c r="H927" t="inlineStr">
        <is>
          <t>470030</t>
        </is>
      </c>
    </row>
    <row r="928">
      <c r="A928" t="inlineStr">
        <is>
          <t>K</t>
        </is>
      </c>
      <c r="B928" t="inlineStr">
        <is>
          <t>0030810604</t>
        </is>
      </c>
      <c r="C928" t="inlineStr">
        <is>
          <t>470010 Anwalts- und Gerichtskosten</t>
        </is>
      </c>
      <c r="D928" t="n">
        <v>21650.98</v>
      </c>
      <c r="E928" t="n">
        <v>8</v>
      </c>
      <c r="F928" t="n">
        <v>126</v>
      </c>
      <c r="H928" t="inlineStr">
        <is>
          <t>470010</t>
        </is>
      </c>
    </row>
    <row r="929">
      <c r="A929" t="inlineStr">
        <is>
          <t>K</t>
        </is>
      </c>
      <c r="B929" t="inlineStr">
        <is>
          <t>0030810604</t>
        </is>
      </c>
      <c r="C929" t="inlineStr">
        <is>
          <t>470020 kaufm. Beratung und Buchführung</t>
        </is>
      </c>
      <c r="D929" t="n">
        <v>81996</v>
      </c>
      <c r="E929" t="n">
        <v>8</v>
      </c>
      <c r="F929" t="n">
        <v>127</v>
      </c>
      <c r="H929" t="inlineStr">
        <is>
          <t>470020</t>
        </is>
      </c>
    </row>
    <row r="930">
      <c r="A930" t="inlineStr">
        <is>
          <t>K</t>
        </is>
      </c>
      <c r="B930" t="inlineStr">
        <is>
          <t>0030810604</t>
        </is>
      </c>
      <c r="C930" t="inlineStr">
        <is>
          <t>470025 Steuerberatungskosten</t>
        </is>
      </c>
      <c r="D930" t="n">
        <v>54022.7</v>
      </c>
      <c r="E930" t="n">
        <v>8</v>
      </c>
      <c r="F930" t="n">
        <v>128</v>
      </c>
      <c r="H930" t="inlineStr">
        <is>
          <t>470025</t>
        </is>
      </c>
    </row>
    <row r="931">
      <c r="A931" t="inlineStr">
        <is>
          <t>K</t>
        </is>
      </c>
      <c r="B931" t="inlineStr">
        <is>
          <t>0030810605</t>
        </is>
      </c>
      <c r="C931" t="inlineStr">
        <is>
          <t>411050 Personalversicherung</t>
        </is>
      </c>
      <c r="D931" t="n">
        <v>600.15</v>
      </c>
      <c r="E931" t="n">
        <v>8</v>
      </c>
      <c r="F931" t="n">
        <v>129</v>
      </c>
      <c r="H931" t="inlineStr">
        <is>
          <t>411050</t>
        </is>
      </c>
    </row>
    <row r="932">
      <c r="A932" t="inlineStr">
        <is>
          <t>K</t>
        </is>
      </c>
      <c r="B932" t="inlineStr">
        <is>
          <t>0030810605</t>
        </is>
      </c>
      <c r="C932" t="inlineStr">
        <is>
          <t>430120 Sonstige Versicherungen</t>
        </is>
      </c>
      <c r="D932" t="n">
        <v>68624.16</v>
      </c>
      <c r="E932" t="n">
        <v>8</v>
      </c>
      <c r="F932" t="n">
        <v>130</v>
      </c>
      <c r="H932" t="inlineStr">
        <is>
          <t>430120</t>
        </is>
      </c>
    </row>
    <row r="933">
      <c r="A933" t="inlineStr">
        <is>
          <t>K</t>
        </is>
      </c>
      <c r="B933" t="inlineStr">
        <is>
          <t>0030810605</t>
        </is>
      </c>
      <c r="C933" t="inlineStr">
        <is>
          <t>430121 Warenkreditversicherung</t>
        </is>
      </c>
      <c r="D933" t="n">
        <v>25781.2</v>
      </c>
      <c r="E933" t="n">
        <v>8</v>
      </c>
      <c r="F933" t="n">
        <v>131</v>
      </c>
      <c r="H933" t="inlineStr">
        <is>
          <t>430121</t>
        </is>
      </c>
    </row>
    <row r="934">
      <c r="A934" t="inlineStr">
        <is>
          <t>K</t>
        </is>
      </c>
      <c r="B934" t="inlineStr">
        <is>
          <t>0030810609</t>
        </is>
      </c>
      <c r="C934" t="inlineStr">
        <is>
          <t>470036 Aufwendungen Umlage zentrale Verwaltung</t>
        </is>
      </c>
      <c r="D934" t="n">
        <v>24956</v>
      </c>
      <c r="E934" t="n">
        <v>8</v>
      </c>
      <c r="F934" t="n">
        <v>132</v>
      </c>
      <c r="H934" t="inlineStr">
        <is>
          <t>470036</t>
        </is>
      </c>
    </row>
    <row r="935">
      <c r="A935" t="inlineStr">
        <is>
          <t>K</t>
        </is>
      </c>
      <c r="B935" t="inlineStr">
        <is>
          <t>0030810611</t>
        </is>
      </c>
      <c r="C935" t="inlineStr">
        <is>
          <t>460060 Kosten EDV</t>
        </is>
      </c>
      <c r="D935" t="n">
        <v>64734.46</v>
      </c>
      <c r="E935" t="n">
        <v>8</v>
      </c>
      <c r="F935" t="n">
        <v>133</v>
      </c>
      <c r="H935" t="inlineStr">
        <is>
          <t>460060</t>
        </is>
      </c>
    </row>
    <row r="936">
      <c r="A936" t="inlineStr">
        <is>
          <t>K</t>
        </is>
      </c>
      <c r="B936" t="inlineStr">
        <is>
          <t>0030810611</t>
        </is>
      </c>
      <c r="C936" t="inlineStr">
        <is>
          <t>460065 IT Lizenzgebühren</t>
        </is>
      </c>
      <c r="D936" t="n">
        <v>18705.37</v>
      </c>
      <c r="E936" t="n">
        <v>8</v>
      </c>
      <c r="F936" t="n">
        <v>134</v>
      </c>
      <c r="H936" t="inlineStr">
        <is>
          <t>460065</t>
        </is>
      </c>
    </row>
    <row r="937">
      <c r="A937" t="inlineStr">
        <is>
          <t>P</t>
        </is>
      </c>
      <c r="B937" t="inlineStr">
        <is>
          <t>0030810000</t>
        </is>
      </c>
      <c r="C937" t="inlineStr">
        <is>
          <t>Betriebskosten</t>
        </is>
      </c>
      <c r="D937" t="n">
        <v>0</v>
      </c>
      <c r="E937" t="n">
        <v>6</v>
      </c>
      <c r="F937" t="n">
        <v>135</v>
      </c>
      <c r="G937" t="b">
        <v>0</v>
      </c>
    </row>
    <row r="938">
      <c r="A938" t="inlineStr">
        <is>
          <t>P</t>
        </is>
      </c>
      <c r="B938" t="inlineStr">
        <is>
          <t>0030810099</t>
        </is>
      </c>
      <c r="C938" t="inlineStr">
        <is>
          <t>Raumkosten</t>
        </is>
      </c>
      <c r="D938" t="n">
        <v>0</v>
      </c>
      <c r="E938" t="n">
        <v>7</v>
      </c>
      <c r="F938" t="n">
        <v>136</v>
      </c>
      <c r="G938" t="b">
        <v>0</v>
      </c>
    </row>
    <row r="939">
      <c r="A939" t="inlineStr">
        <is>
          <t>P</t>
        </is>
      </c>
      <c r="B939" t="inlineStr">
        <is>
          <t>0030810100</t>
        </is>
      </c>
      <c r="C939" t="inlineStr">
        <is>
          <t>Raumkosten</t>
        </is>
      </c>
      <c r="D939" t="n">
        <v>0</v>
      </c>
      <c r="E939" t="n">
        <v>8</v>
      </c>
      <c r="F939" t="n">
        <v>137</v>
      </c>
      <c r="G939" t="b">
        <v>0</v>
      </c>
    </row>
    <row r="940">
      <c r="A940" t="inlineStr">
        <is>
          <t>K</t>
        </is>
      </c>
      <c r="B940" t="inlineStr">
        <is>
          <t>0030810100</t>
        </is>
      </c>
      <c r="C940" t="inlineStr">
        <is>
          <t>420012 Sonstige Kosten Grundstücke und Gebäude</t>
        </is>
      </c>
      <c r="D940" t="n">
        <v>21696.98</v>
      </c>
      <c r="E940" t="n">
        <v>9</v>
      </c>
      <c r="F940" t="n">
        <v>138</v>
      </c>
      <c r="H940" t="inlineStr">
        <is>
          <t>420012</t>
        </is>
      </c>
    </row>
    <row r="941">
      <c r="A941" t="inlineStr">
        <is>
          <t>K</t>
        </is>
      </c>
      <c r="B941" t="inlineStr">
        <is>
          <t>0030810100</t>
        </is>
      </c>
      <c r="C941" t="inlineStr">
        <is>
          <t>420015 Instandhaltungskosten fremde  Gebäude</t>
        </is>
      </c>
      <c r="D941" t="n">
        <v>8113.26</v>
      </c>
      <c r="E941" t="n">
        <v>9</v>
      </c>
      <c r="F941" t="n">
        <v>139</v>
      </c>
      <c r="H941" t="inlineStr">
        <is>
          <t>420015</t>
        </is>
      </c>
    </row>
    <row r="942">
      <c r="A942" t="inlineStr">
        <is>
          <t>K</t>
        </is>
      </c>
      <c r="B942" t="inlineStr">
        <is>
          <t>0030810100</t>
        </is>
      </c>
      <c r="C942" t="inlineStr">
        <is>
          <t>420021 Raumpflege eigene Gebäude</t>
        </is>
      </c>
      <c r="D942" t="n">
        <v>1607.94</v>
      </c>
      <c r="E942" t="n">
        <v>9</v>
      </c>
      <c r="F942" t="n">
        <v>140</v>
      </c>
      <c r="H942" t="inlineStr">
        <is>
          <t>420021</t>
        </is>
      </c>
    </row>
    <row r="943">
      <c r="A943" t="inlineStr">
        <is>
          <t>K</t>
        </is>
      </c>
      <c r="B943" t="inlineStr">
        <is>
          <t>0030810100</t>
        </is>
      </c>
      <c r="C943" t="inlineStr">
        <is>
          <t>420022 Raumpflege fremde Gebäude</t>
        </is>
      </c>
      <c r="D943" t="n">
        <v>15721.76</v>
      </c>
      <c r="E943" t="n">
        <v>9</v>
      </c>
      <c r="F943" t="n">
        <v>141</v>
      </c>
      <c r="H943" t="inlineStr">
        <is>
          <t>420022</t>
        </is>
      </c>
    </row>
    <row r="944">
      <c r="A944" t="inlineStr">
        <is>
          <t>K</t>
        </is>
      </c>
      <c r="B944" t="inlineStr">
        <is>
          <t>0030810100</t>
        </is>
      </c>
      <c r="C944" t="inlineStr">
        <is>
          <t>420030 Aufwand Energie</t>
        </is>
      </c>
      <c r="D944" t="n">
        <v>5270.14</v>
      </c>
      <c r="E944" t="n">
        <v>9</v>
      </c>
      <c r="F944" t="n">
        <v>142</v>
      </c>
      <c r="H944" t="inlineStr">
        <is>
          <t>420030</t>
        </is>
      </c>
    </row>
    <row r="945">
      <c r="A945" t="inlineStr">
        <is>
          <t>K</t>
        </is>
      </c>
      <c r="B945" t="inlineStr">
        <is>
          <t>0030810100</t>
        </is>
      </c>
      <c r="C945" t="inlineStr">
        <is>
          <t>420040 Aufwand Wasser</t>
        </is>
      </c>
      <c r="D945" t="n">
        <v>363.89</v>
      </c>
      <c r="E945" t="n">
        <v>9</v>
      </c>
      <c r="F945" t="n">
        <v>143</v>
      </c>
      <c r="H945" t="inlineStr">
        <is>
          <t>420040</t>
        </is>
      </c>
    </row>
    <row r="946">
      <c r="A946" t="inlineStr">
        <is>
          <t>K</t>
        </is>
      </c>
      <c r="B946" t="inlineStr">
        <is>
          <t>0030810100</t>
        </is>
      </c>
      <c r="C946" t="inlineStr">
        <is>
          <t>420060 Aufwand eigene Entsorgung</t>
        </is>
      </c>
      <c r="D946" t="n">
        <v>3235.07</v>
      </c>
      <c r="E946" t="n">
        <v>9</v>
      </c>
      <c r="F946" t="n">
        <v>144</v>
      </c>
      <c r="H946" t="inlineStr">
        <is>
          <t>420060</t>
        </is>
      </c>
    </row>
    <row r="947">
      <c r="A947" t="inlineStr">
        <is>
          <t>K</t>
        </is>
      </c>
      <c r="B947" t="inlineStr">
        <is>
          <t>0030810103</t>
        </is>
      </c>
      <c r="C947" t="inlineStr">
        <is>
          <t>431010 Mieten Räume</t>
        </is>
      </c>
      <c r="D947" t="n">
        <v>63951.15</v>
      </c>
      <c r="E947" t="n">
        <v>9</v>
      </c>
      <c r="F947" t="n">
        <v>145</v>
      </c>
      <c r="H947" t="inlineStr">
        <is>
          <t>431010</t>
        </is>
      </c>
    </row>
    <row r="948">
      <c r="A948" t="inlineStr">
        <is>
          <t>K</t>
        </is>
      </c>
      <c r="B948" t="inlineStr">
        <is>
          <t>0030810103</t>
        </is>
      </c>
      <c r="C948" t="inlineStr">
        <is>
          <t>431020 Mieten Plätze</t>
        </is>
      </c>
      <c r="D948" t="n">
        <v>32726.33</v>
      </c>
      <c r="E948" t="n">
        <v>9</v>
      </c>
      <c r="F948" t="n">
        <v>146</v>
      </c>
      <c r="H948" t="inlineStr">
        <is>
          <t>431020</t>
        </is>
      </c>
    </row>
    <row r="949">
      <c r="A949" t="inlineStr">
        <is>
          <t>K</t>
        </is>
      </c>
      <c r="B949" t="inlineStr">
        <is>
          <t>0030810103</t>
        </is>
      </c>
      <c r="C949" t="inlineStr">
        <is>
          <t>431090 Sonstige Mieten</t>
        </is>
      </c>
      <c r="D949" t="n">
        <v>213.72</v>
      </c>
      <c r="E949" t="n">
        <v>9</v>
      </c>
      <c r="F949" t="n">
        <v>147</v>
      </c>
      <c r="H949" t="inlineStr">
        <is>
          <t>431090</t>
        </is>
      </c>
    </row>
    <row r="950">
      <c r="A950" t="inlineStr">
        <is>
          <t>P</t>
        </is>
      </c>
      <c r="B950" t="inlineStr">
        <is>
          <t>0030810199</t>
        </is>
      </c>
      <c r="C950" t="inlineStr">
        <is>
          <t>Behaelterkosten</t>
        </is>
      </c>
      <c r="D950" t="n">
        <v>0</v>
      </c>
      <c r="E950" t="n">
        <v>7</v>
      </c>
      <c r="F950" t="n">
        <v>148</v>
      </c>
      <c r="G950" t="b">
        <v>0</v>
      </c>
    </row>
    <row r="951">
      <c r="A951" t="inlineStr">
        <is>
          <t>P</t>
        </is>
      </c>
      <c r="B951" t="inlineStr">
        <is>
          <t>0030810200</t>
        </is>
      </c>
      <c r="C951" t="inlineStr">
        <is>
          <t>Behaelterkosten</t>
        </is>
      </c>
      <c r="D951" t="n">
        <v>0</v>
      </c>
      <c r="E951" t="n">
        <v>8</v>
      </c>
      <c r="F951" t="n">
        <v>149</v>
      </c>
      <c r="G951" t="b">
        <v>0</v>
      </c>
    </row>
    <row r="952">
      <c r="A952" t="inlineStr">
        <is>
          <t>K</t>
        </is>
      </c>
      <c r="B952" t="inlineStr">
        <is>
          <t>0030810200</t>
        </is>
      </c>
      <c r="C952" t="inlineStr">
        <is>
          <t>420500 Instandhaltung Behälter</t>
        </is>
      </c>
      <c r="D952" t="n">
        <v>1200</v>
      </c>
      <c r="E952" t="n">
        <v>9</v>
      </c>
      <c r="F952" t="n">
        <v>150</v>
      </c>
      <c r="H952" t="inlineStr">
        <is>
          <t>420500</t>
        </is>
      </c>
    </row>
    <row r="953">
      <c r="A953" t="inlineStr">
        <is>
          <t>K</t>
        </is>
      </c>
      <c r="B953" t="inlineStr">
        <is>
          <t>0030810203</t>
        </is>
      </c>
      <c r="C953" t="inlineStr">
        <is>
          <t>431041 Miete Behälter</t>
        </is>
      </c>
      <c r="D953" t="n">
        <v>1200.93</v>
      </c>
      <c r="E953" t="n">
        <v>9</v>
      </c>
      <c r="F953" t="n">
        <v>151</v>
      </c>
      <c r="H953" t="inlineStr">
        <is>
          <t>431041</t>
        </is>
      </c>
    </row>
    <row r="954">
      <c r="A954" t="inlineStr">
        <is>
          <t>P</t>
        </is>
      </c>
      <c r="B954" t="inlineStr">
        <is>
          <t>0030810300</t>
        </is>
      </c>
      <c r="C954" t="inlineStr">
        <is>
          <t>Fuhrparkkosten</t>
        </is>
      </c>
      <c r="D954" t="n">
        <v>0</v>
      </c>
      <c r="E954" t="n">
        <v>7</v>
      </c>
      <c r="F954" t="n">
        <v>152</v>
      </c>
      <c r="G954" t="b">
        <v>0</v>
      </c>
    </row>
    <row r="955">
      <c r="A955" t="inlineStr">
        <is>
          <t>P</t>
        </is>
      </c>
      <c r="B955" t="inlineStr">
        <is>
          <t>0030810310</t>
        </is>
      </c>
      <c r="C955" t="inlineStr">
        <is>
          <t>Treibstoffe, Oele und Fette</t>
        </is>
      </c>
      <c r="D955" t="n">
        <v>0</v>
      </c>
      <c r="E955" t="n">
        <v>8</v>
      </c>
      <c r="F955" t="n">
        <v>153</v>
      </c>
      <c r="G955" t="b">
        <v>0</v>
      </c>
    </row>
    <row r="956">
      <c r="A956" t="inlineStr">
        <is>
          <t>K</t>
        </is>
      </c>
      <c r="B956" t="inlineStr">
        <is>
          <t>0030810310</t>
        </is>
      </c>
      <c r="C956" t="inlineStr">
        <is>
          <t>401000 Aufwand Diesel</t>
        </is>
      </c>
      <c r="D956" t="n">
        <v>246304.11</v>
      </c>
      <c r="E956" t="n">
        <v>9</v>
      </c>
      <c r="F956" t="n">
        <v>154</v>
      </c>
      <c r="H956" t="inlineStr">
        <is>
          <t>401000</t>
        </is>
      </c>
    </row>
    <row r="957">
      <c r="A957" t="inlineStr">
        <is>
          <t>K</t>
        </is>
      </c>
      <c r="B957" t="inlineStr">
        <is>
          <t>0030810310</t>
        </is>
      </c>
      <c r="C957" t="inlineStr">
        <is>
          <t>401010 Benzin/Super</t>
        </is>
      </c>
      <c r="D957" t="n">
        <v>42.03</v>
      </c>
      <c r="E957" t="n">
        <v>9</v>
      </c>
      <c r="F957" t="n">
        <v>155</v>
      </c>
      <c r="H957" t="inlineStr">
        <is>
          <t>401010</t>
        </is>
      </c>
    </row>
    <row r="958">
      <c r="A958" t="inlineStr">
        <is>
          <t>K</t>
        </is>
      </c>
      <c r="B958" t="inlineStr">
        <is>
          <t>0030810310</t>
        </is>
      </c>
      <c r="C958" t="inlineStr">
        <is>
          <t>401015 Alternative Antriebe (u.a. Strom, Wasserstoff)</t>
        </is>
      </c>
      <c r="D958" t="n">
        <v>856.1900000000001</v>
      </c>
      <c r="E958" t="n">
        <v>9</v>
      </c>
      <c r="F958" t="n">
        <v>156</v>
      </c>
      <c r="H958" t="inlineStr">
        <is>
          <t>401015</t>
        </is>
      </c>
    </row>
    <row r="959">
      <c r="A959" t="inlineStr">
        <is>
          <t>K</t>
        </is>
      </c>
      <c r="B959" t="inlineStr">
        <is>
          <t>0030810310</t>
        </is>
      </c>
      <c r="C959" t="inlineStr">
        <is>
          <t>401020 Öle und Fette</t>
        </is>
      </c>
      <c r="D959" t="n">
        <v>318.68</v>
      </c>
      <c r="E959" t="n">
        <v>9</v>
      </c>
      <c r="F959" t="n">
        <v>157</v>
      </c>
      <c r="H959" t="inlineStr">
        <is>
          <t>401020</t>
        </is>
      </c>
    </row>
    <row r="960">
      <c r="A960" t="inlineStr">
        <is>
          <t>P</t>
        </is>
      </c>
      <c r="B960" t="inlineStr">
        <is>
          <t>0030810320</t>
        </is>
      </c>
      <c r="C960" t="inlineStr">
        <is>
          <t>Instandhaltung Fuhrpark</t>
        </is>
      </c>
      <c r="D960" t="n">
        <v>0</v>
      </c>
      <c r="E960" t="n">
        <v>8</v>
      </c>
      <c r="F960" t="n">
        <v>158</v>
      </c>
      <c r="G960" t="b">
        <v>0</v>
      </c>
    </row>
    <row r="961">
      <c r="A961" t="inlineStr">
        <is>
          <t>K</t>
        </is>
      </c>
      <c r="B961" t="inlineStr">
        <is>
          <t>0030810320</t>
        </is>
      </c>
      <c r="C961" t="inlineStr">
        <is>
          <t>400010 Instandhaltung Lastkraftwagen</t>
        </is>
      </c>
      <c r="D961" t="n">
        <v>7365.72</v>
      </c>
      <c r="E961" t="n">
        <v>9</v>
      </c>
      <c r="F961" t="n">
        <v>159</v>
      </c>
      <c r="H961" t="inlineStr">
        <is>
          <t>400010</t>
        </is>
      </c>
    </row>
    <row r="962">
      <c r="A962" t="inlineStr">
        <is>
          <t>K</t>
        </is>
      </c>
      <c r="B962" t="inlineStr">
        <is>
          <t>0030810320</t>
        </is>
      </c>
      <c r="C962" t="inlineStr">
        <is>
          <t>400011 Reifenkosten</t>
        </is>
      </c>
      <c r="D962" t="n">
        <v>5543.35</v>
      </c>
      <c r="E962" t="n">
        <v>9</v>
      </c>
      <c r="F962" t="n">
        <v>160</v>
      </c>
      <c r="H962" t="inlineStr">
        <is>
          <t>400011</t>
        </is>
      </c>
    </row>
    <row r="963">
      <c r="A963" t="inlineStr">
        <is>
          <t>K</t>
        </is>
      </c>
      <c r="B963" t="inlineStr">
        <is>
          <t>0030810320</t>
        </is>
      </c>
      <c r="C963" t="inlineStr">
        <is>
          <t>400020 Instandhaltung Personenkraftwagen</t>
        </is>
      </c>
      <c r="D963" t="n">
        <v>4628.98</v>
      </c>
      <c r="E963" t="n">
        <v>9</v>
      </c>
      <c r="F963" t="n">
        <v>161</v>
      </c>
      <c r="H963" t="inlineStr">
        <is>
          <t>400020</t>
        </is>
      </c>
    </row>
    <row r="964">
      <c r="A964" t="inlineStr">
        <is>
          <t>K</t>
        </is>
      </c>
      <c r="B964" t="inlineStr">
        <is>
          <t>0030810320</t>
        </is>
      </c>
      <c r="C964" t="inlineStr">
        <is>
          <t>400030 Instandhaltung selbstfahrende Arbeitsmaschinen</t>
        </is>
      </c>
      <c r="D964" t="n">
        <v>59316.42</v>
      </c>
      <c r="E964" t="n">
        <v>9</v>
      </c>
      <c r="F964" t="n">
        <v>162</v>
      </c>
      <c r="H964" t="inlineStr">
        <is>
          <t>400030</t>
        </is>
      </c>
    </row>
    <row r="965">
      <c r="A965" t="inlineStr">
        <is>
          <t>K</t>
        </is>
      </c>
      <c r="B965" t="inlineStr">
        <is>
          <t>0030810320</t>
        </is>
      </c>
      <c r="C965" t="inlineStr">
        <is>
          <t>400035 Instandhaltung Miet-und Leasingfahrzeuge</t>
        </is>
      </c>
      <c r="D965" t="n">
        <v>88090.8</v>
      </c>
      <c r="E965" t="n">
        <v>9</v>
      </c>
      <c r="F965" t="n">
        <v>163</v>
      </c>
      <c r="H965" t="inlineStr">
        <is>
          <t>400035</t>
        </is>
      </c>
    </row>
    <row r="966">
      <c r="A966" t="inlineStr">
        <is>
          <t>K</t>
        </is>
      </c>
      <c r="B966" t="inlineStr">
        <is>
          <t>0030810320</t>
        </is>
      </c>
      <c r="C966" t="inlineStr">
        <is>
          <t>400040 DEKRA / TÜV / sonstige Gebühren Fuhrpark</t>
        </is>
      </c>
      <c r="D966" t="n">
        <v>2691.74</v>
      </c>
      <c r="E966" t="n">
        <v>9</v>
      </c>
      <c r="F966" t="n">
        <v>164</v>
      </c>
      <c r="H966" t="inlineStr">
        <is>
          <t>400040</t>
        </is>
      </c>
    </row>
    <row r="967">
      <c r="A967" t="inlineStr">
        <is>
          <t>K</t>
        </is>
      </c>
      <c r="B967" t="inlineStr">
        <is>
          <t>0030810331</t>
        </is>
      </c>
      <c r="C967" t="inlineStr">
        <is>
          <t>400122 Leasing PKW</t>
        </is>
      </c>
      <c r="D967" t="n">
        <v>112990.09</v>
      </c>
      <c r="E967" t="n">
        <v>9</v>
      </c>
      <c r="F967" t="n">
        <v>165</v>
      </c>
      <c r="H967" t="inlineStr">
        <is>
          <t>400122</t>
        </is>
      </c>
    </row>
    <row r="968">
      <c r="A968" t="inlineStr">
        <is>
          <t>K</t>
        </is>
      </c>
      <c r="B968" t="inlineStr">
        <is>
          <t>0030810332</t>
        </is>
      </c>
      <c r="C968" t="inlineStr">
        <is>
          <t>400112 Leasing LKW</t>
        </is>
      </c>
      <c r="D968" t="n">
        <v>38720.29</v>
      </c>
      <c r="E968" t="n">
        <v>9</v>
      </c>
      <c r="F968" t="n">
        <v>166</v>
      </c>
      <c r="H968" t="inlineStr">
        <is>
          <t>400112</t>
        </is>
      </c>
    </row>
    <row r="969">
      <c r="A969" t="inlineStr">
        <is>
          <t>K</t>
        </is>
      </c>
      <c r="B969" t="inlineStr">
        <is>
          <t>0030810333</t>
        </is>
      </c>
      <c r="C969" t="inlineStr">
        <is>
          <t>400121 Anmietung PKW</t>
        </is>
      </c>
      <c r="D969" t="n">
        <v>14488.4</v>
      </c>
      <c r="E969" t="n">
        <v>9</v>
      </c>
      <c r="F969" t="n">
        <v>167</v>
      </c>
      <c r="H969" t="inlineStr">
        <is>
          <t>400121</t>
        </is>
      </c>
    </row>
    <row r="970">
      <c r="A970" t="inlineStr">
        <is>
          <t>K</t>
        </is>
      </c>
      <c r="B970" t="inlineStr">
        <is>
          <t>0030810334</t>
        </is>
      </c>
      <c r="C970" t="inlineStr">
        <is>
          <t>400111 Anmietung LKW</t>
        </is>
      </c>
      <c r="D970" t="n">
        <v>3038</v>
      </c>
      <c r="E970" t="n">
        <v>9</v>
      </c>
      <c r="F970" t="n">
        <v>168</v>
      </c>
      <c r="H970" t="inlineStr">
        <is>
          <t>400111</t>
        </is>
      </c>
    </row>
    <row r="971">
      <c r="A971" t="inlineStr">
        <is>
          <t>K</t>
        </is>
      </c>
      <c r="B971" t="inlineStr">
        <is>
          <t>0030810334</t>
        </is>
      </c>
      <c r="C971" t="inlineStr">
        <is>
          <t>400131 Anmietung selbstfahrende Arbeitsmaschinen</t>
        </is>
      </c>
      <c r="D971" t="n">
        <v>220223.97</v>
      </c>
      <c r="E971" t="n">
        <v>9</v>
      </c>
      <c r="F971" t="n">
        <v>169</v>
      </c>
      <c r="H971" t="inlineStr">
        <is>
          <t>400131</t>
        </is>
      </c>
    </row>
    <row r="972">
      <c r="A972" t="inlineStr">
        <is>
          <t>K</t>
        </is>
      </c>
      <c r="B972" t="inlineStr">
        <is>
          <t>0030810339</t>
        </is>
      </c>
      <c r="C972" t="inlineStr">
        <is>
          <t>401040 Kfz-Versicherungen</t>
        </is>
      </c>
      <c r="D972" t="n">
        <v>28590.69</v>
      </c>
      <c r="E972" t="n">
        <v>9</v>
      </c>
      <c r="F972" t="n">
        <v>170</v>
      </c>
      <c r="H972" t="inlineStr">
        <is>
          <t>401040</t>
        </is>
      </c>
    </row>
    <row r="973">
      <c r="A973" t="inlineStr">
        <is>
          <t>K</t>
        </is>
      </c>
      <c r="B973" t="inlineStr">
        <is>
          <t>0030810339</t>
        </is>
      </c>
      <c r="C973" t="inlineStr">
        <is>
          <t>401050 Autobahngebühren LKW</t>
        </is>
      </c>
      <c r="D973" t="n">
        <v>6039.51</v>
      </c>
      <c r="E973" t="n">
        <v>9</v>
      </c>
      <c r="F973" t="n">
        <v>171</v>
      </c>
      <c r="H973" t="inlineStr">
        <is>
          <t>401050</t>
        </is>
      </c>
    </row>
    <row r="974">
      <c r="A974" t="inlineStr">
        <is>
          <t>P</t>
        </is>
      </c>
      <c r="B974" t="inlineStr">
        <is>
          <t>0030810300</t>
        </is>
      </c>
      <c r="C974" t="inlineStr">
        <is>
          <t>Summe Fuhrparkkosten</t>
        </is>
      </c>
      <c r="D974" t="n">
        <v>839248.97</v>
      </c>
      <c r="E974" t="n">
        <v>7</v>
      </c>
      <c r="F974" t="n">
        <v>172</v>
      </c>
      <c r="G974" t="b">
        <v>1</v>
      </c>
    </row>
    <row r="975">
      <c r="A975" t="inlineStr">
        <is>
          <t>P</t>
        </is>
      </c>
      <c r="B975" t="inlineStr">
        <is>
          <t>0030810399</t>
        </is>
      </c>
      <c r="C975" t="inlineStr">
        <is>
          <t>Instandh. Betriebsausst./masch. Anla.</t>
        </is>
      </c>
      <c r="D975" t="n">
        <v>0</v>
      </c>
      <c r="E975" t="n">
        <v>7</v>
      </c>
      <c r="F975" t="n">
        <v>173</v>
      </c>
      <c r="G975" t="b">
        <v>0</v>
      </c>
    </row>
    <row r="976">
      <c r="A976" t="inlineStr">
        <is>
          <t>P</t>
        </is>
      </c>
      <c r="B976" t="inlineStr">
        <is>
          <t>0030810400</t>
        </is>
      </c>
      <c r="C976" t="inlineStr">
        <is>
          <t>Instandh. Betriebsausst./masch. Anla.</t>
        </is>
      </c>
      <c r="D976" t="n">
        <v>0</v>
      </c>
      <c r="E976" t="n">
        <v>8</v>
      </c>
      <c r="F976" t="n">
        <v>174</v>
      </c>
      <c r="G976" t="b">
        <v>0</v>
      </c>
    </row>
    <row r="977">
      <c r="A977" t="inlineStr">
        <is>
          <t>K</t>
        </is>
      </c>
      <c r="B977" t="inlineStr">
        <is>
          <t>0030810400</t>
        </is>
      </c>
      <c r="C977" t="inlineStr">
        <is>
          <t>420100 Instandhaltung Betriebsausstattung</t>
        </is>
      </c>
      <c r="D977" t="n">
        <v>8333.33</v>
      </c>
      <c r="E977" t="n">
        <v>9</v>
      </c>
      <c r="F977" t="n">
        <v>175</v>
      </c>
      <c r="H977" t="inlineStr">
        <is>
          <t>420100</t>
        </is>
      </c>
    </row>
    <row r="978">
      <c r="A978" t="inlineStr">
        <is>
          <t>K</t>
        </is>
      </c>
      <c r="B978" t="inlineStr">
        <is>
          <t>0030810400</t>
        </is>
      </c>
      <c r="C978" t="inlineStr">
        <is>
          <t>420450 Instandh./Reparatur/Wartung Miet- u. Leasinggeräte</t>
        </is>
      </c>
      <c r="D978" t="n">
        <v>1978.7</v>
      </c>
      <c r="E978" t="n">
        <v>9</v>
      </c>
      <c r="F978" t="n">
        <v>176</v>
      </c>
      <c r="H978" t="inlineStr">
        <is>
          <t>420450</t>
        </is>
      </c>
    </row>
    <row r="979">
      <c r="A979" t="inlineStr">
        <is>
          <t>K</t>
        </is>
      </c>
      <c r="B979" t="inlineStr">
        <is>
          <t>0030810400</t>
        </is>
      </c>
      <c r="C979" t="inlineStr">
        <is>
          <t>420600 Werkstattbedarf (Kleinwerkzeuge b.100,-DM u.ä.)</t>
        </is>
      </c>
      <c r="D979" t="n">
        <v>15215.55</v>
      </c>
      <c r="E979" t="n">
        <v>9</v>
      </c>
      <c r="F979" t="n">
        <v>177</v>
      </c>
      <c r="H979" t="inlineStr">
        <is>
          <t>420600</t>
        </is>
      </c>
    </row>
    <row r="980">
      <c r="A980" t="inlineStr">
        <is>
          <t>K</t>
        </is>
      </c>
      <c r="B980" t="inlineStr">
        <is>
          <t>0030810400</t>
        </is>
      </c>
      <c r="C980" t="inlineStr">
        <is>
          <t>420700 Verbrauch Hilfs- u. Betriebsstoffe</t>
        </is>
      </c>
      <c r="D980" t="n">
        <v>25586.41</v>
      </c>
      <c r="E980" t="n">
        <v>9</v>
      </c>
      <c r="F980" t="n">
        <v>178</v>
      </c>
      <c r="H980" t="inlineStr">
        <is>
          <t>420700</t>
        </is>
      </c>
    </row>
    <row r="981">
      <c r="A981" t="inlineStr">
        <is>
          <t>P</t>
        </is>
      </c>
      <c r="B981" t="inlineStr">
        <is>
          <t>0030810700</t>
        </is>
      </c>
      <c r="C981" t="inlineStr">
        <is>
          <t>And.sonst. betriebl. Aufwendungen</t>
        </is>
      </c>
      <c r="D981" t="n">
        <v>0</v>
      </c>
      <c r="E981" t="n">
        <v>6</v>
      </c>
      <c r="F981" t="n">
        <v>179</v>
      </c>
      <c r="G981" t="b">
        <v>0</v>
      </c>
    </row>
    <row r="982">
      <c r="A982" t="inlineStr">
        <is>
          <t>P</t>
        </is>
      </c>
      <c r="B982" t="inlineStr">
        <is>
          <t>0030810710</t>
        </is>
      </c>
      <c r="C982" t="inlineStr">
        <is>
          <t>sonst. Betriebl. Aufwendungen</t>
        </is>
      </c>
      <c r="D982" t="n">
        <v>0</v>
      </c>
      <c r="E982" t="n">
        <v>7</v>
      </c>
      <c r="F982" t="n">
        <v>180</v>
      </c>
      <c r="G982" t="b">
        <v>0</v>
      </c>
    </row>
    <row r="983">
      <c r="A983" t="inlineStr">
        <is>
          <t>K</t>
        </is>
      </c>
      <c r="B983" t="inlineStr">
        <is>
          <t>0030810710</t>
        </is>
      </c>
      <c r="C983" t="inlineStr">
        <is>
          <t>286900 andere sonstige betriebliche Aufwendungen</t>
        </is>
      </c>
      <c r="D983" t="n">
        <v>0.5600000000000001</v>
      </c>
      <c r="E983" t="n">
        <v>8</v>
      </c>
      <c r="F983" t="n">
        <v>181</v>
      </c>
      <c r="H983" t="inlineStr">
        <is>
          <t>286900</t>
        </is>
      </c>
    </row>
    <row r="984">
      <c r="A984" t="inlineStr">
        <is>
          <t>K</t>
        </is>
      </c>
      <c r="B984" t="inlineStr">
        <is>
          <t>0030810710</t>
        </is>
      </c>
      <c r="C984" t="inlineStr">
        <is>
          <t>430110 Aufwendungen für Versicherungsschäden</t>
        </is>
      </c>
      <c r="D984" t="n">
        <v>9046.530000000001</v>
      </c>
      <c r="E984" t="n">
        <v>8</v>
      </c>
      <c r="F984" t="n">
        <v>182</v>
      </c>
      <c r="H984" t="inlineStr">
        <is>
          <t>430110</t>
        </is>
      </c>
    </row>
    <row r="985">
      <c r="A985" t="inlineStr">
        <is>
          <t>K</t>
        </is>
      </c>
      <c r="B985" t="inlineStr">
        <is>
          <t>0030810710</t>
        </is>
      </c>
      <c r="C985" t="inlineStr">
        <is>
          <t>440050 Transportkosten (außerhalb Recy)</t>
        </is>
      </c>
      <c r="D985" t="n">
        <v>1436.13</v>
      </c>
      <c r="E985" t="n">
        <v>8</v>
      </c>
      <c r="F985" t="n">
        <v>183</v>
      </c>
      <c r="H985" t="inlineStr">
        <is>
          <t>440050</t>
        </is>
      </c>
    </row>
    <row r="986">
      <c r="A986" t="inlineStr">
        <is>
          <t>P</t>
        </is>
      </c>
      <c r="B986" t="inlineStr">
        <is>
          <t>0030810720</t>
        </is>
      </c>
      <c r="C986" t="inlineStr">
        <is>
          <t>sonstige Personalkosten</t>
        </is>
      </c>
      <c r="D986" t="n">
        <v>0</v>
      </c>
      <c r="E986" t="n">
        <v>7</v>
      </c>
      <c r="F986" t="n">
        <v>184</v>
      </c>
      <c r="G986" t="b">
        <v>0</v>
      </c>
    </row>
    <row r="987">
      <c r="A987" t="inlineStr">
        <is>
          <t>K</t>
        </is>
      </c>
      <c r="B987" t="inlineStr">
        <is>
          <t>0030810720</t>
        </is>
      </c>
      <c r="C987" t="inlineStr">
        <is>
          <t>411070 Personalwerbung</t>
        </is>
      </c>
      <c r="D987" t="n">
        <v>17033.15</v>
      </c>
      <c r="E987" t="n">
        <v>8</v>
      </c>
      <c r="F987" t="n">
        <v>185</v>
      </c>
      <c r="H987" t="inlineStr">
        <is>
          <t>411070</t>
        </is>
      </c>
    </row>
    <row r="988">
      <c r="A988" t="inlineStr">
        <is>
          <t>K</t>
        </is>
      </c>
      <c r="B988" t="inlineStr">
        <is>
          <t>0030810720</t>
        </is>
      </c>
      <c r="C988" t="inlineStr">
        <is>
          <t>411090 Schulung und Ausbildung</t>
        </is>
      </c>
      <c r="D988" t="n">
        <v>15242.8</v>
      </c>
      <c r="E988" t="n">
        <v>8</v>
      </c>
      <c r="F988" t="n">
        <v>186</v>
      </c>
      <c r="H988" t="inlineStr">
        <is>
          <t>411090</t>
        </is>
      </c>
    </row>
    <row r="989">
      <c r="A989" t="inlineStr">
        <is>
          <t>K</t>
        </is>
      </c>
      <c r="B989" t="inlineStr">
        <is>
          <t>0030810720</t>
        </is>
      </c>
      <c r="C989" t="inlineStr">
        <is>
          <t>411100 Arbeitskleidung und Arbeitschutzbedarf</t>
        </is>
      </c>
      <c r="D989" t="n">
        <v>42265.27</v>
      </c>
      <c r="E989" t="n">
        <v>8</v>
      </c>
      <c r="F989" t="n">
        <v>187</v>
      </c>
      <c r="H989" t="inlineStr">
        <is>
          <t>411100</t>
        </is>
      </c>
    </row>
    <row r="990">
      <c r="A990" t="inlineStr">
        <is>
          <t>K</t>
        </is>
      </c>
      <c r="B990" t="inlineStr">
        <is>
          <t>0030810720</t>
        </is>
      </c>
      <c r="C990" t="inlineStr">
        <is>
          <t>411900 Sonstige Personalkosten</t>
        </is>
      </c>
      <c r="D990" t="n">
        <v>10113.29</v>
      </c>
      <c r="E990" t="n">
        <v>8</v>
      </c>
      <c r="F990" t="n">
        <v>188</v>
      </c>
      <c r="H990" t="inlineStr">
        <is>
          <t>411900</t>
        </is>
      </c>
    </row>
    <row r="991">
      <c r="A991" t="inlineStr">
        <is>
          <t>P</t>
        </is>
      </c>
      <c r="B991" t="inlineStr">
        <is>
          <t>0030810700</t>
        </is>
      </c>
      <c r="C991" t="inlineStr">
        <is>
          <t>Summe And.sonst. betriebl. Aufwendungen</t>
        </is>
      </c>
      <c r="D991" t="n">
        <v>95137.73</v>
      </c>
      <c r="E991" t="n">
        <v>6</v>
      </c>
      <c r="F991" t="n">
        <v>189</v>
      </c>
      <c r="G991" t="b">
        <v>1</v>
      </c>
    </row>
    <row r="992">
      <c r="A992" t="inlineStr">
        <is>
          <t>P</t>
        </is>
      </c>
      <c r="B992" t="inlineStr">
        <is>
          <t>0030810800</t>
        </is>
      </c>
      <c r="C992" t="inlineStr">
        <is>
          <t>Neutrale Aufwendungen</t>
        </is>
      </c>
      <c r="D992" t="n">
        <v>0</v>
      </c>
      <c r="E992" t="n">
        <v>6</v>
      </c>
      <c r="F992" t="n">
        <v>190</v>
      </c>
      <c r="G992" t="b">
        <v>0</v>
      </c>
    </row>
    <row r="993">
      <c r="A993" t="inlineStr">
        <is>
          <t>P</t>
        </is>
      </c>
      <c r="B993" t="inlineStr">
        <is>
          <t>0030810850</t>
        </is>
      </c>
      <c r="C993" t="inlineStr">
        <is>
          <t>periodenfremde Aufwendungen</t>
        </is>
      </c>
      <c r="D993" t="n">
        <v>0</v>
      </c>
      <c r="E993" t="n">
        <v>7</v>
      </c>
      <c r="F993" t="n">
        <v>191</v>
      </c>
      <c r="G993" t="b">
        <v>0</v>
      </c>
    </row>
    <row r="994">
      <c r="A994" t="inlineStr">
        <is>
          <t>K</t>
        </is>
      </c>
      <c r="B994" t="inlineStr">
        <is>
          <t>0030810850</t>
        </is>
      </c>
      <c r="C994" t="inlineStr">
        <is>
          <t>201000 Sonstige periodenfremde Aufwendungen</t>
        </is>
      </c>
      <c r="D994" t="n">
        <v>65318.25</v>
      </c>
      <c r="E994" t="n">
        <v>8</v>
      </c>
      <c r="F994" t="n">
        <v>192</v>
      </c>
      <c r="H994" t="inlineStr">
        <is>
          <t>201000</t>
        </is>
      </c>
    </row>
    <row r="995">
      <c r="A995" t="inlineStr">
        <is>
          <t>P</t>
        </is>
      </c>
      <c r="B995" t="inlineStr">
        <is>
          <t>0030810800</t>
        </is>
      </c>
      <c r="C995" t="inlineStr">
        <is>
          <t>Summe neutrale Aufwendungen</t>
        </is>
      </c>
      <c r="D995" t="n">
        <v>65318.25</v>
      </c>
      <c r="E995" t="n">
        <v>6</v>
      </c>
      <c r="F995" t="n">
        <v>193</v>
      </c>
      <c r="G995" t="b">
        <v>1</v>
      </c>
    </row>
    <row r="996">
      <c r="A996" t="inlineStr">
        <is>
          <t>P</t>
        </is>
      </c>
      <c r="B996" t="inlineStr">
        <is>
          <t>0030800000</t>
        </is>
      </c>
      <c r="C996" t="inlineStr">
        <is>
          <t>Summe Sonst. betriebl. Aufwendungen</t>
        </is>
      </c>
      <c r="D996" t="n">
        <v>1738357.25</v>
      </c>
      <c r="E996" t="n">
        <v>5</v>
      </c>
      <c r="F996" t="n">
        <v>194</v>
      </c>
      <c r="G996" t="b">
        <v>1</v>
      </c>
    </row>
    <row r="997">
      <c r="A997" t="inlineStr">
        <is>
          <t>P</t>
        </is>
      </c>
      <c r="B997" t="inlineStr">
        <is>
          <t>0040100000</t>
        </is>
      </c>
      <c r="C997" t="inlineStr">
        <is>
          <t>Finanzergebnis</t>
        </is>
      </c>
      <c r="D997" t="n">
        <v>0</v>
      </c>
      <c r="E997" t="n">
        <v>5</v>
      </c>
      <c r="F997" t="n">
        <v>195</v>
      </c>
      <c r="G997" t="b">
        <v>0</v>
      </c>
    </row>
    <row r="998">
      <c r="A998" t="inlineStr">
        <is>
          <t>P</t>
        </is>
      </c>
      <c r="B998" t="inlineStr">
        <is>
          <t>0040140000</t>
        </is>
      </c>
      <c r="C998" t="inlineStr">
        <is>
          <t>Sonstige Zinsen u.ä. Ertraege</t>
        </is>
      </c>
      <c r="D998" t="n">
        <v>0</v>
      </c>
      <c r="E998" t="n">
        <v>6</v>
      </c>
      <c r="F998" t="n">
        <v>196</v>
      </c>
      <c r="G998" t="b">
        <v>0</v>
      </c>
    </row>
    <row r="999">
      <c r="A999" t="inlineStr">
        <is>
          <t>K</t>
        </is>
      </c>
      <c r="B999" t="inlineStr">
        <is>
          <t>0040140130</t>
        </is>
      </c>
      <c r="C999" t="inlineStr">
        <is>
          <t>287095 Erträge Zinsen Debitoren</t>
        </is>
      </c>
      <c r="D999" t="n">
        <v>-0.88</v>
      </c>
      <c r="E999" t="n">
        <v>9</v>
      </c>
      <c r="F999" t="n">
        <v>197</v>
      </c>
      <c r="H999" t="inlineStr">
        <is>
          <t>287095</t>
        </is>
      </c>
    </row>
    <row r="1000">
      <c r="A1000" t="inlineStr">
        <is>
          <t>K</t>
        </is>
      </c>
      <c r="B1000" t="inlineStr">
        <is>
          <t>0040140102</t>
        </is>
      </c>
      <c r="C1000" t="inlineStr">
        <is>
          <t>265001 Zinsen auf Steuererstattungen</t>
        </is>
      </c>
      <c r="D1000" t="n">
        <v>-1343.86</v>
      </c>
      <c r="E1000" t="n">
        <v>8</v>
      </c>
      <c r="F1000" t="n">
        <v>198</v>
      </c>
      <c r="H1000" t="inlineStr">
        <is>
          <t>265001</t>
        </is>
      </c>
    </row>
    <row r="1001">
      <c r="A1001" t="inlineStr">
        <is>
          <t>P</t>
        </is>
      </c>
      <c r="B1001" t="inlineStr">
        <is>
          <t>0040140200</t>
        </is>
      </c>
      <c r="C1001" t="inlineStr">
        <is>
          <t>Zinserträge verbunde</t>
        </is>
      </c>
      <c r="D1001" t="n">
        <v>0</v>
      </c>
      <c r="E1001" t="n">
        <v>7</v>
      </c>
      <c r="F1001" t="n">
        <v>199</v>
      </c>
      <c r="G1001" t="b">
        <v>0</v>
      </c>
    </row>
    <row r="1002">
      <c r="A1002" t="inlineStr">
        <is>
          <t>K</t>
        </is>
      </c>
      <c r="B1002" t="inlineStr">
        <is>
          <t>0040140200</t>
        </is>
      </c>
      <c r="C1002" t="inlineStr">
        <is>
          <t>265900 Sonstige Zinsen und ähnl. Erträge verb.Unternehmen</t>
        </is>
      </c>
      <c r="D1002" t="n">
        <v>-192.77</v>
      </c>
      <c r="E1002" t="n">
        <v>8</v>
      </c>
      <c r="F1002" t="n">
        <v>200</v>
      </c>
      <c r="H1002" t="inlineStr">
        <is>
          <t>265900</t>
        </is>
      </c>
    </row>
    <row r="1003">
      <c r="A1003" t="inlineStr">
        <is>
          <t>P</t>
        </is>
      </c>
      <c r="B1003" t="inlineStr">
        <is>
          <t>0040170000</t>
        </is>
      </c>
      <c r="C1003" t="inlineStr">
        <is>
          <t>Zinsen u.ä. Aufwendungen</t>
        </is>
      </c>
      <c r="D1003" t="n">
        <v>0</v>
      </c>
      <c r="E1003" t="n">
        <v>6</v>
      </c>
      <c r="F1003" t="n">
        <v>201</v>
      </c>
      <c r="G1003" t="b">
        <v>0</v>
      </c>
    </row>
    <row r="1004">
      <c r="A1004" t="inlineStr">
        <is>
          <t>K</t>
        </is>
      </c>
      <c r="B1004" t="inlineStr">
        <is>
          <t>0040170160</t>
        </is>
      </c>
      <c r="C1004" t="inlineStr">
        <is>
          <t>213101 Zinsen Factoring</t>
        </is>
      </c>
      <c r="D1004" t="n">
        <v>24231.56</v>
      </c>
      <c r="E1004" t="n">
        <v>9</v>
      </c>
      <c r="F1004" t="n">
        <v>202</v>
      </c>
      <c r="H1004" t="inlineStr">
        <is>
          <t>213101</t>
        </is>
      </c>
    </row>
    <row r="1005">
      <c r="A1005" t="inlineStr">
        <is>
          <t>K</t>
        </is>
      </c>
      <c r="B1005" t="inlineStr">
        <is>
          <t>0040170170</t>
        </is>
      </c>
      <c r="C1005" t="inlineStr">
        <is>
          <t>213200 Avalgebühren und -provisionen</t>
        </is>
      </c>
      <c r="D1005" t="n">
        <v>5819.12</v>
      </c>
      <c r="E1005" t="n">
        <v>9</v>
      </c>
      <c r="F1005" t="n">
        <v>203</v>
      </c>
      <c r="H1005" t="inlineStr">
        <is>
          <t>213200</t>
        </is>
      </c>
    </row>
    <row r="1006">
      <c r="A1006" t="inlineStr">
        <is>
          <t>K</t>
        </is>
      </c>
      <c r="B1006" t="inlineStr">
        <is>
          <t>0040170190</t>
        </is>
      </c>
      <c r="C1006" t="inlineStr">
        <is>
          <t>210000 Übrige Zinsen und ähnliche Aufwendungen</t>
        </is>
      </c>
      <c r="D1006" t="n">
        <v>13.36</v>
      </c>
      <c r="E1006" t="n">
        <v>9</v>
      </c>
      <c r="F1006" t="n">
        <v>204</v>
      </c>
      <c r="H1006" t="inlineStr">
        <is>
          <t>210000</t>
        </is>
      </c>
    </row>
    <row r="1007">
      <c r="A1007" t="inlineStr">
        <is>
          <t>K</t>
        </is>
      </c>
      <c r="B1007" t="inlineStr">
        <is>
          <t>0040170102</t>
        </is>
      </c>
      <c r="C1007" t="inlineStr">
        <is>
          <t>210001 Zinsen und Nebenleistungen auf Steuerzahlungen</t>
        </is>
      </c>
      <c r="D1007" t="n">
        <v>196.95</v>
      </c>
      <c r="E1007" t="n">
        <v>8</v>
      </c>
      <c r="F1007" t="n">
        <v>205</v>
      </c>
      <c r="H1007" t="inlineStr">
        <is>
          <t>210001</t>
        </is>
      </c>
    </row>
    <row r="1008">
      <c r="A1008" t="inlineStr">
        <is>
          <t>P</t>
        </is>
      </c>
      <c r="B1008" t="inlineStr">
        <is>
          <t>0040170200</t>
        </is>
      </c>
      <c r="C1008" t="inlineStr">
        <is>
          <t>Zinsaufwand verbundene</t>
        </is>
      </c>
      <c r="D1008" t="n">
        <v>0</v>
      </c>
      <c r="E1008" t="n">
        <v>7</v>
      </c>
      <c r="F1008" t="n">
        <v>206</v>
      </c>
      <c r="G1008" t="b">
        <v>0</v>
      </c>
    </row>
    <row r="1009">
      <c r="A1009" t="inlineStr">
        <is>
          <t>K</t>
        </is>
      </c>
      <c r="B1009" t="inlineStr">
        <is>
          <t>0040170200</t>
        </is>
      </c>
      <c r="C1009" t="inlineStr">
        <is>
          <t>210900 Zinsaufwendungen an verbundene Unternehmen</t>
        </is>
      </c>
      <c r="D1009" t="n">
        <v>38738.8</v>
      </c>
      <c r="E1009" t="n">
        <v>8</v>
      </c>
      <c r="F1009" t="n">
        <v>207</v>
      </c>
      <c r="H1009" t="inlineStr">
        <is>
          <t>210900</t>
        </is>
      </c>
    </row>
    <row r="1010">
      <c r="A1010" t="inlineStr">
        <is>
          <t>P</t>
        </is>
      </c>
      <c r="B1010" t="inlineStr">
        <is>
          <t>0040100000</t>
        </is>
      </c>
      <c r="C1010" t="inlineStr">
        <is>
          <t>Summe Finanzergebnis</t>
        </is>
      </c>
      <c r="D1010" t="n">
        <v>67462.28</v>
      </c>
      <c r="E1010" t="n">
        <v>5</v>
      </c>
      <c r="F1010" t="n">
        <v>208</v>
      </c>
      <c r="G1010" t="b">
        <v>1</v>
      </c>
    </row>
    <row r="1011">
      <c r="A1011" t="inlineStr">
        <is>
          <t>P</t>
        </is>
      </c>
      <c r="B1011" t="inlineStr">
        <is>
          <t>0040180000</t>
        </is>
      </c>
      <c r="C1011" t="inlineStr">
        <is>
          <t>Ergeb. der gewoehnlichen Geschaeftstaetigk.</t>
        </is>
      </c>
      <c r="D1011" t="n">
        <v>302345.84</v>
      </c>
      <c r="E1011" t="n">
        <v>4</v>
      </c>
      <c r="F1011" t="n">
        <v>209</v>
      </c>
      <c r="G1011" t="b">
        <v>0</v>
      </c>
    </row>
    <row r="1012">
      <c r="A1012" t="inlineStr">
        <is>
          <t>P</t>
        </is>
      </c>
      <c r="B1012" t="inlineStr">
        <is>
          <t>0060100000</t>
        </is>
      </c>
      <c r="C1012" t="inlineStr">
        <is>
          <t>Steuern</t>
        </is>
      </c>
      <c r="D1012" t="n">
        <v>0</v>
      </c>
      <c r="E1012" t="n">
        <v>4</v>
      </c>
      <c r="F1012" t="n">
        <v>210</v>
      </c>
      <c r="G1012" t="b">
        <v>0</v>
      </c>
    </row>
    <row r="1013">
      <c r="A1013" t="inlineStr">
        <is>
          <t>K</t>
        </is>
      </c>
      <c r="B1013" t="inlineStr">
        <is>
          <t>0060110010</t>
        </is>
      </c>
      <c r="C1013" t="inlineStr">
        <is>
          <t>277100 Steuernachzahl. E + E Vorjahre</t>
        </is>
      </c>
      <c r="D1013" t="n">
        <v>66530.2</v>
      </c>
      <c r="E1013" t="n">
        <v>6</v>
      </c>
      <c r="F1013" t="n">
        <v>211</v>
      </c>
      <c r="H1013" t="inlineStr">
        <is>
          <t>277100</t>
        </is>
      </c>
    </row>
    <row r="1014">
      <c r="A1014" t="inlineStr">
        <is>
          <t>K</t>
        </is>
      </c>
      <c r="B1014" t="inlineStr">
        <is>
          <t>0060110010</t>
        </is>
      </c>
      <c r="C1014" t="inlineStr">
        <is>
          <t>278100 Steuererstattung E + E Vorjahre</t>
        </is>
      </c>
      <c r="D1014" t="n">
        <v>-13413.67</v>
      </c>
      <c r="E1014" t="n">
        <v>6</v>
      </c>
      <c r="F1014" t="n">
        <v>212</v>
      </c>
      <c r="H1014" t="inlineStr">
        <is>
          <t>278100</t>
        </is>
      </c>
    </row>
    <row r="1015">
      <c r="A1015" t="inlineStr">
        <is>
          <t>P</t>
        </is>
      </c>
      <c r="B1015" t="inlineStr">
        <is>
          <t>0060129999</t>
        </is>
      </c>
      <c r="C1015" t="inlineStr">
        <is>
          <t>Sonstige Steuern</t>
        </is>
      </c>
      <c r="D1015" t="n">
        <v>0</v>
      </c>
      <c r="E1015" t="n">
        <v>5</v>
      </c>
      <c r="F1015" t="n">
        <v>213</v>
      </c>
      <c r="G1015" t="b">
        <v>0</v>
      </c>
    </row>
    <row r="1016">
      <c r="A1016" t="inlineStr">
        <is>
          <t>P</t>
        </is>
      </c>
      <c r="B1016" t="inlineStr">
        <is>
          <t>0060130000</t>
        </is>
      </c>
      <c r="C1016" t="inlineStr">
        <is>
          <t>Sonstige Steuern</t>
        </is>
      </c>
      <c r="D1016" t="n">
        <v>0</v>
      </c>
      <c r="E1016" t="n">
        <v>6</v>
      </c>
      <c r="F1016" t="n">
        <v>214</v>
      </c>
      <c r="G1016" t="b">
        <v>0</v>
      </c>
    </row>
    <row r="1017">
      <c r="A1017" t="inlineStr">
        <is>
          <t>K</t>
        </is>
      </c>
      <c r="B1017" t="inlineStr">
        <is>
          <t>0060130000</t>
        </is>
      </c>
      <c r="C1017" t="inlineStr">
        <is>
          <t>401030 Kfz-Steuern</t>
        </is>
      </c>
      <c r="D1017" t="n">
        <v>10670.15</v>
      </c>
      <c r="E1017" t="n">
        <v>7</v>
      </c>
      <c r="F1017" t="n">
        <v>215</v>
      </c>
      <c r="H1017" t="inlineStr">
        <is>
          <t>401030</t>
        </is>
      </c>
    </row>
    <row r="1018">
      <c r="A1018" t="inlineStr">
        <is>
          <t>K</t>
        </is>
      </c>
      <c r="B1018" t="inlineStr">
        <is>
          <t>0060130000</t>
        </is>
      </c>
      <c r="C1018" t="inlineStr">
        <is>
          <t>430010 Vermögensteuer, Grundsteuer u.a.</t>
        </is>
      </c>
      <c r="D1018" t="n">
        <v>296.18</v>
      </c>
      <c r="E1018" t="n">
        <v>7</v>
      </c>
      <c r="F1018" t="n">
        <v>216</v>
      </c>
      <c r="H1018" t="inlineStr">
        <is>
          <t>430010</t>
        </is>
      </c>
    </row>
    <row r="1019">
      <c r="A1019" t="inlineStr">
        <is>
          <t>K</t>
        </is>
      </c>
      <c r="B1019" t="inlineStr">
        <is>
          <t>0060130000</t>
        </is>
      </c>
      <c r="C1019" t="inlineStr">
        <is>
          <t>430040 Sonstige Steuern</t>
        </is>
      </c>
      <c r="D1019" t="n">
        <v>-8249.379999999999</v>
      </c>
      <c r="E1019" t="n">
        <v>7</v>
      </c>
      <c r="F1019" t="n">
        <v>217</v>
      </c>
      <c r="H1019" t="inlineStr">
        <is>
          <t>430040</t>
        </is>
      </c>
    </row>
    <row r="1020">
      <c r="A1020" t="inlineStr">
        <is>
          <t>P</t>
        </is>
      </c>
      <c r="B1020" t="inlineStr">
        <is>
          <t>0060100000</t>
        </is>
      </c>
      <c r="C1020" t="inlineStr">
        <is>
          <t>Summe Steuern</t>
        </is>
      </c>
      <c r="D1020" t="n">
        <v>55833.48</v>
      </c>
      <c r="E1020" t="n">
        <v>4</v>
      </c>
      <c r="F1020" t="n">
        <v>218</v>
      </c>
      <c r="G1020" t="b">
        <v>1</v>
      </c>
    </row>
    <row r="1021">
      <c r="A1021" t="inlineStr">
        <is>
          <t>P</t>
        </is>
      </c>
      <c r="B1021" t="inlineStr">
        <is>
          <t>0060200000</t>
        </is>
      </c>
      <c r="C1021" t="inlineStr">
        <is>
          <t>Jahresueberschuß / Jahresfehlbetrag</t>
        </is>
      </c>
      <c r="D1021" t="n">
        <v>358179.32</v>
      </c>
      <c r="E1021" t="n">
        <v>3</v>
      </c>
      <c r="F1021" t="n">
        <v>219</v>
      </c>
      <c r="G1021" t="b">
        <v>0</v>
      </c>
    </row>
    <row r="1022">
      <c r="A1022" t="inlineStr">
        <is>
          <t>P</t>
        </is>
      </c>
      <c r="B1022" t="inlineStr">
        <is>
          <t>0070000000</t>
        </is>
      </c>
      <c r="C1022" t="inlineStr">
        <is>
          <t>Ergebnis-Verwendung</t>
        </is>
      </c>
      <c r="D1022" t="n">
        <v>0</v>
      </c>
      <c r="E1022" t="n">
        <v>3</v>
      </c>
      <c r="F1022" t="n">
        <v>220</v>
      </c>
      <c r="G1022" t="b">
        <v>0</v>
      </c>
    </row>
    <row r="1023">
      <c r="A1023" t="inlineStr">
        <is>
          <t>P</t>
        </is>
      </c>
      <c r="B1023" t="inlineStr">
        <is>
          <t>0070400000</t>
        </is>
      </c>
      <c r="C1023" t="inlineStr">
        <is>
          <t>Gewinnvortrag aus dem Vorjahr</t>
        </is>
      </c>
      <c r="D1023" t="n">
        <v>0</v>
      </c>
      <c r="E1023" t="n">
        <v>4</v>
      </c>
      <c r="F1023" t="n">
        <v>221</v>
      </c>
      <c r="G1023" t="b">
        <v>0</v>
      </c>
    </row>
    <row r="1024">
      <c r="A1024" t="inlineStr">
        <is>
          <t>K</t>
        </is>
      </c>
      <c r="B1024" t="inlineStr">
        <is>
          <t>0070400000</t>
        </is>
      </c>
      <c r="C1024" t="inlineStr">
        <is>
          <t>086800 Gewinn- oder Verlustvortrag</t>
        </is>
      </c>
      <c r="D1024" t="n">
        <v>-3874379.85</v>
      </c>
      <c r="E1024" t="n">
        <v>5</v>
      </c>
      <c r="F1024" t="n">
        <v>222</v>
      </c>
      <c r="H1024" t="inlineStr">
        <is>
          <t>86800</t>
        </is>
      </c>
    </row>
    <row r="1025">
      <c r="A1025" t="inlineStr">
        <is>
          <t>K</t>
        </is>
      </c>
      <c r="B1025" t="inlineStr">
        <is>
          <t>0070400000</t>
        </is>
      </c>
      <c r="C1025" t="inlineStr">
        <is>
          <t>086801 Gewinn- oder Verlustvortrag (HGB nur FW Bew.)</t>
        </is>
      </c>
      <c r="D1025" t="n">
        <v>2702877.8</v>
      </c>
      <c r="E1025" t="n">
        <v>5</v>
      </c>
      <c r="F1025" t="n">
        <v>223</v>
      </c>
      <c r="H1025" t="inlineStr">
        <is>
          <t>86801</t>
        </is>
      </c>
    </row>
    <row r="1026">
      <c r="A1026" t="inlineStr">
        <is>
          <t>P</t>
        </is>
      </c>
      <c r="B1026" t="inlineStr">
        <is>
          <t>0090000000</t>
        </is>
      </c>
      <c r="C1026" t="inlineStr">
        <is>
          <t>Anhang</t>
        </is>
      </c>
      <c r="D1026" t="n">
        <v>0</v>
      </c>
      <c r="E1026" t="n">
        <v>2</v>
      </c>
      <c r="F1026" t="n">
        <v>224</v>
      </c>
      <c r="G1026" t="b">
        <v>0</v>
      </c>
    </row>
    <row r="1027">
      <c r="A1027" t="inlineStr">
        <is>
          <t>P</t>
        </is>
      </c>
      <c r="B1027" t="inlineStr">
        <is>
          <t>0091300000</t>
        </is>
      </c>
      <c r="C1027" t="inlineStr">
        <is>
          <t>Konten, die Saldo Null ausweisen muessen</t>
        </is>
      </c>
      <c r="D1027" t="n">
        <v>0</v>
      </c>
      <c r="E1027" t="n">
        <v>3</v>
      </c>
      <c r="F1027" t="n">
        <v>225</v>
      </c>
      <c r="G1027" t="b">
        <v>0</v>
      </c>
    </row>
    <row r="1028">
      <c r="A1028" t="inlineStr">
        <is>
          <t>K</t>
        </is>
      </c>
      <c r="B1028" t="inlineStr">
        <is>
          <t>0091300000</t>
        </is>
      </c>
      <c r="C1028" t="inlineStr">
        <is>
          <t>999920 Übernahme-Konto offene Posten Debitoren</t>
        </is>
      </c>
      <c r="D1028" t="n">
        <v>7519</v>
      </c>
      <c r="E1028" t="n">
        <v>4</v>
      </c>
      <c r="F1028" t="n">
        <v>226</v>
      </c>
      <c r="H1028" t="inlineStr">
        <is>
          <t>999920</t>
        </is>
      </c>
    </row>
    <row r="1029">
      <c r="A1029" t="inlineStr">
        <is>
          <t>K</t>
        </is>
      </c>
      <c r="B1029" t="inlineStr">
        <is>
          <t>0091300000</t>
        </is>
      </c>
      <c r="C1029" t="inlineStr">
        <is>
          <t>999930 Übernahme-Konto offene Posten Kreditoren</t>
        </is>
      </c>
      <c r="D1029" t="n">
        <v>-7519</v>
      </c>
      <c r="E1029" t="n">
        <v>4</v>
      </c>
      <c r="F1029" t="n">
        <v>227</v>
      </c>
      <c r="H1029" t="inlineStr">
        <is>
          <t>999930</t>
        </is>
      </c>
    </row>
    <row r="1030">
      <c r="A1030" t="inlineStr">
        <is>
          <t>P</t>
        </is>
      </c>
      <c r="B1030" t="inlineStr">
        <is>
          <t>0091300020</t>
        </is>
      </c>
      <c r="C1030" t="inlineStr">
        <is>
          <t>IFRS Konten</t>
        </is>
      </c>
      <c r="D1030" t="n">
        <v>0</v>
      </c>
      <c r="E1030" t="n">
        <v>3</v>
      </c>
      <c r="F1030" t="n">
        <v>228</v>
      </c>
      <c r="G1030" t="b">
        <v>0</v>
      </c>
    </row>
    <row r="1031">
      <c r="A1031" t="inlineStr">
        <is>
          <t>K</t>
        </is>
      </c>
      <c r="B1031" t="inlineStr">
        <is>
          <t>0091300020</t>
        </is>
      </c>
      <c r="C1031" t="inlineStr">
        <is>
          <t>F008600 Nutzungsrechte Grund und Boden</t>
        </is>
      </c>
      <c r="D1031" t="n">
        <v>350020.25</v>
      </c>
      <c r="E1031" t="n">
        <v>4</v>
      </c>
      <c r="F1031" t="n">
        <v>229</v>
      </c>
      <c r="H1031" t="inlineStr">
        <is>
          <t>F008600</t>
        </is>
      </c>
    </row>
    <row r="1032">
      <c r="A1032" t="inlineStr">
        <is>
          <t>K</t>
        </is>
      </c>
      <c r="B1032" t="inlineStr">
        <is>
          <t>0091300020</t>
        </is>
      </c>
      <c r="C1032" t="inlineStr">
        <is>
          <t>F009100 Nutzungsrechte Gebaeude</t>
        </is>
      </c>
      <c r="D1032" t="n">
        <v>226519.48</v>
      </c>
      <c r="E1032" t="n">
        <v>4</v>
      </c>
      <c r="F1032" t="n">
        <v>230</v>
      </c>
      <c r="H1032" t="inlineStr">
        <is>
          <t>F009100</t>
        </is>
      </c>
    </row>
    <row r="1033">
      <c r="A1033" t="inlineStr">
        <is>
          <t>K</t>
        </is>
      </c>
      <c r="B1033" t="inlineStr">
        <is>
          <t>0091300020</t>
        </is>
      </c>
      <c r="C1033" t="inlineStr">
        <is>
          <t>F033000 Nutzungsrechte Fahrzeuge</t>
        </is>
      </c>
      <c r="D1033" t="n">
        <v>577216.4</v>
      </c>
      <c r="E1033" t="n">
        <v>4</v>
      </c>
      <c r="F1033" t="n">
        <v>231</v>
      </c>
      <c r="H1033" t="inlineStr">
        <is>
          <t>F033000</t>
        </is>
      </c>
    </row>
    <row r="1034">
      <c r="A1034" t="inlineStr">
        <is>
          <t>K</t>
        </is>
      </c>
      <c r="B1034" t="inlineStr">
        <is>
          <t>0091300020</t>
        </is>
      </c>
      <c r="C1034" t="inlineStr">
        <is>
          <t>F049002 Nutzungsrechte sonstige BGA</t>
        </is>
      </c>
      <c r="D1034" t="n">
        <v>139153.41</v>
      </c>
      <c r="E1034" t="n">
        <v>4</v>
      </c>
      <c r="F1034" t="n">
        <v>232</v>
      </c>
      <c r="H1034" t="inlineStr">
        <is>
          <t>F049002</t>
        </is>
      </c>
    </row>
    <row r="1035">
      <c r="A1035" t="inlineStr">
        <is>
          <t>K</t>
        </is>
      </c>
      <c r="B1035" t="inlineStr">
        <is>
          <t>0091300020</t>
        </is>
      </c>
      <c r="C1035" t="inlineStr">
        <is>
          <t>F049951 Bestände unfertige Erzeugnisse</t>
        </is>
      </c>
      <c r="D1035" t="n">
        <v>-3770560.69</v>
      </c>
      <c r="E1035" t="n">
        <v>4</v>
      </c>
      <c r="F1035" t="n">
        <v>233</v>
      </c>
      <c r="H1035" t="inlineStr">
        <is>
          <t>F049951</t>
        </is>
      </c>
    </row>
    <row r="1036">
      <c r="A1036" t="inlineStr">
        <is>
          <t>K</t>
        </is>
      </c>
      <c r="B1036" t="inlineStr">
        <is>
          <t>0091300020</t>
        </is>
      </c>
      <c r="C1036" t="inlineStr">
        <is>
          <t>F049956 WB Bestände unfertige Erzeugnisse</t>
        </is>
      </c>
      <c r="D1036" t="n">
        <v>1612745.46</v>
      </c>
      <c r="E1036" t="n">
        <v>4</v>
      </c>
      <c r="F1036" t="n">
        <v>234</v>
      </c>
      <c r="H1036" t="inlineStr">
        <is>
          <t>F049956</t>
        </is>
      </c>
    </row>
    <row r="1037">
      <c r="A1037" t="inlineStr">
        <is>
          <t>K</t>
        </is>
      </c>
      <c r="B1037" t="inlineStr">
        <is>
          <t>0091300020</t>
        </is>
      </c>
      <c r="C1037" t="inlineStr">
        <is>
          <t>F085500 Andere Gewinnrücklagen</t>
        </is>
      </c>
      <c r="D1037" t="n">
        <v>-173000</v>
      </c>
      <c r="E1037" t="n">
        <v>4</v>
      </c>
      <c r="F1037" t="n">
        <v>235</v>
      </c>
      <c r="H1037" t="inlineStr">
        <is>
          <t>F085500</t>
        </is>
      </c>
    </row>
    <row r="1038">
      <c r="A1038" t="inlineStr">
        <is>
          <t>K</t>
        </is>
      </c>
      <c r="B1038" t="inlineStr">
        <is>
          <t>0091300020</t>
        </is>
      </c>
      <c r="C1038" t="inlineStr">
        <is>
          <t>F086800 Gewinn- oder Verlustvortrag (IFRS)</t>
        </is>
      </c>
      <c r="D1038" t="n">
        <v>2699066.61</v>
      </c>
      <c r="E1038" t="n">
        <v>4</v>
      </c>
      <c r="F1038" t="n">
        <v>236</v>
      </c>
      <c r="H1038" t="inlineStr">
        <is>
          <t>F086800</t>
        </is>
      </c>
    </row>
    <row r="1039">
      <c r="A1039" t="inlineStr">
        <is>
          <t>K</t>
        </is>
      </c>
      <c r="B1039" t="inlineStr">
        <is>
          <t>0091300020</t>
        </is>
      </c>
      <c r="C1039" t="inlineStr">
        <is>
          <t>F095550 Rückstellung latente Steuern &gt; 1 Jahr</t>
        </is>
      </c>
      <c r="D1039" t="n">
        <v>-509383</v>
      </c>
      <c r="E1039" t="n">
        <v>4</v>
      </c>
      <c r="F1039" t="n">
        <v>237</v>
      </c>
      <c r="H1039" t="inlineStr">
        <is>
          <t>F095550</t>
        </is>
      </c>
    </row>
    <row r="1040">
      <c r="A1040" t="inlineStr">
        <is>
          <t>K</t>
        </is>
      </c>
      <c r="B1040" t="inlineStr">
        <is>
          <t>0091300020</t>
        </is>
      </c>
      <c r="C1040" t="inlineStr">
        <is>
          <t>F098100 Akt. Latente Steuern</t>
        </is>
      </c>
      <c r="D1040" t="n">
        <v>644443</v>
      </c>
      <c r="E1040" t="n">
        <v>4</v>
      </c>
      <c r="F1040" t="n">
        <v>238</v>
      </c>
      <c r="H1040" t="inlineStr">
        <is>
          <t>F098100</t>
        </is>
      </c>
    </row>
    <row r="1041">
      <c r="A1041" t="inlineStr">
        <is>
          <t>K</t>
        </is>
      </c>
      <c r="B1041" t="inlineStr">
        <is>
          <t>0091300020</t>
        </is>
      </c>
      <c r="C1041" t="inlineStr">
        <is>
          <t>F098110 Aktive latente Steuern auf Verlustvorträge</t>
        </is>
      </c>
      <c r="D1041" t="n">
        <v>105330</v>
      </c>
      <c r="E1041" t="n">
        <v>4</v>
      </c>
      <c r="F1041" t="n">
        <v>239</v>
      </c>
      <c r="H1041" t="inlineStr">
        <is>
          <t>F098110</t>
        </is>
      </c>
    </row>
    <row r="1042">
      <c r="A1042" t="inlineStr">
        <is>
          <t>K</t>
        </is>
      </c>
      <c r="B1042" t="inlineStr">
        <is>
          <t>0091300020</t>
        </is>
      </c>
      <c r="C1042" t="inlineStr">
        <is>
          <t>F099610 ECL auf Vertragsvermögenswerte</t>
        </is>
      </c>
      <c r="D1042" t="n">
        <v>-19038.19</v>
      </c>
      <c r="E1042" t="n">
        <v>4</v>
      </c>
      <c r="F1042" t="n">
        <v>240</v>
      </c>
      <c r="H1042" t="inlineStr">
        <is>
          <t>F099610</t>
        </is>
      </c>
    </row>
    <row r="1043">
      <c r="A1043" t="inlineStr">
        <is>
          <t>K</t>
        </is>
      </c>
      <c r="B1043" t="inlineStr">
        <is>
          <t>0091300020</t>
        </is>
      </c>
      <c r="C1043" t="inlineStr">
        <is>
          <t>F153905 Forderungen aus POC-Aufträgen &lt; 1 Jahr</t>
        </is>
      </c>
      <c r="D1043" t="n">
        <v>1797400</v>
      </c>
      <c r="E1043" t="n">
        <v>4</v>
      </c>
      <c r="F1043" t="n">
        <v>241</v>
      </c>
      <c r="H1043" t="inlineStr">
        <is>
          <t>F153905</t>
        </is>
      </c>
    </row>
    <row r="1044">
      <c r="A1044" t="inlineStr">
        <is>
          <t>K</t>
        </is>
      </c>
      <c r="B1044" t="inlineStr">
        <is>
          <t>0091300020</t>
        </is>
      </c>
      <c r="C1044" t="inlineStr">
        <is>
          <t>F170202 Verbindlichkeiten aus Leasing RLZ &lt; 1 Jahr</t>
        </is>
      </c>
      <c r="D1044" t="n">
        <v>-1252734.93</v>
      </c>
      <c r="E1044" t="n">
        <v>4</v>
      </c>
      <c r="F1044" t="n">
        <v>242</v>
      </c>
      <c r="H1044" t="inlineStr">
        <is>
          <t>F170202</t>
        </is>
      </c>
    </row>
    <row r="1045">
      <c r="A1045" t="inlineStr">
        <is>
          <t>K</t>
        </is>
      </c>
      <c r="B1045" t="inlineStr">
        <is>
          <t>0091300020</t>
        </is>
      </c>
      <c r="C1045" t="inlineStr">
        <is>
          <t>F170593 Verbindlichkeiten aus POC-Aufträgen &lt; 1 Jahr</t>
        </is>
      </c>
      <c r="D1045" t="n">
        <v>-84700</v>
      </c>
      <c r="E1045" t="n">
        <v>4</v>
      </c>
      <c r="F1045" t="n">
        <v>243</v>
      </c>
      <c r="H1045" t="inlineStr">
        <is>
          <t>F170593</t>
        </is>
      </c>
    </row>
    <row r="1046">
      <c r="A1046" t="inlineStr">
        <is>
          <t>K</t>
        </is>
      </c>
      <c r="B1046" t="inlineStr">
        <is>
          <t>0091300020</t>
        </is>
      </c>
      <c r="C1046" t="inlineStr">
        <is>
          <t>F900026 Forderungen L+L ( RLZ &gt; 1Jahr )</t>
        </is>
      </c>
      <c r="D1046" t="n">
        <v>360400</v>
      </c>
      <c r="E1046" t="n">
        <v>4</v>
      </c>
      <c r="F1046" t="n">
        <v>244</v>
      </c>
      <c r="H1046" t="inlineStr">
        <is>
          <t>F900026</t>
        </is>
      </c>
    </row>
    <row r="1047">
      <c r="A1047" t="inlineStr">
        <is>
          <t>K</t>
        </is>
      </c>
      <c r="B1047" t="inlineStr">
        <is>
          <t>0091300020</t>
        </is>
      </c>
      <c r="C1047" t="inlineStr">
        <is>
          <t>F900108 Mietkaufverbindlichkeiten (Korrekturkonto)</t>
        </is>
      </c>
      <c r="D1047" t="n">
        <v>844597.14</v>
      </c>
      <c r="E1047" t="n">
        <v>4</v>
      </c>
      <c r="F1047" t="n">
        <v>245</v>
      </c>
      <c r="H1047" t="inlineStr">
        <is>
          <t>F900108</t>
        </is>
      </c>
    </row>
    <row r="1048">
      <c r="A1048" t="inlineStr">
        <is>
          <t>K</t>
        </is>
      </c>
      <c r="B1048" t="inlineStr">
        <is>
          <t>0091300020</t>
        </is>
      </c>
      <c r="C1048" t="inlineStr">
        <is>
          <t>F900109 Mietkaufverbindlichkeiten  (RLZ 1-5 Jahre)</t>
        </is>
      </c>
      <c r="D1048" t="n">
        <v>-668169.13</v>
      </c>
      <c r="E1048" t="n">
        <v>4</v>
      </c>
      <c r="F1048" t="n">
        <v>246</v>
      </c>
      <c r="H1048" t="inlineStr">
        <is>
          <t>F900109</t>
        </is>
      </c>
    </row>
    <row r="1049">
      <c r="A1049" t="inlineStr">
        <is>
          <t>K</t>
        </is>
      </c>
      <c r="B1049" t="inlineStr">
        <is>
          <t>0091300020</t>
        </is>
      </c>
      <c r="C1049" t="inlineStr">
        <is>
          <t>F900110 Mietkaufverbindlichkeiten (RLZ &gt; 5 Jahre)</t>
        </is>
      </c>
      <c r="D1049" t="n">
        <v>-176428.01</v>
      </c>
      <c r="E1049" t="n">
        <v>4</v>
      </c>
      <c r="F1049" t="n">
        <v>247</v>
      </c>
      <c r="H1049" t="inlineStr">
        <is>
          <t>F900110</t>
        </is>
      </c>
    </row>
    <row r="1050">
      <c r="A1050" t="inlineStr">
        <is>
          <t>K</t>
        </is>
      </c>
      <c r="B1050" t="inlineStr">
        <is>
          <t>0091300020</t>
        </is>
      </c>
      <c r="C1050" t="inlineStr">
        <is>
          <t>F999910 Übernahmekonto Salden Sachkonten</t>
        </is>
      </c>
      <c r="D1050" t="n">
        <v>-2702877.8</v>
      </c>
      <c r="E1050" t="n">
        <v>4</v>
      </c>
      <c r="F1050" t="n">
        <v>248</v>
      </c>
      <c r="H1050" t="inlineStr">
        <is>
          <t>F999910</t>
        </is>
      </c>
    </row>
    <row r="1051">
      <c r="A1051" t="inlineStr">
        <is>
          <t>P</t>
        </is>
      </c>
      <c r="B1051" t="inlineStr">
        <is>
          <t>0091300020</t>
        </is>
      </c>
      <c r="C1051" t="inlineStr">
        <is>
          <t>Summe IFRS Konten</t>
        </is>
      </c>
      <c r="D1051" t="n">
        <v>0</v>
      </c>
      <c r="E1051" t="n">
        <v>3</v>
      </c>
      <c r="F1051" t="n">
        <v>249</v>
      </c>
      <c r="G1051" t="b">
        <v>1</v>
      </c>
    </row>
    <row r="1052">
      <c r="A1052" t="inlineStr">
        <is>
          <t>P</t>
        </is>
      </c>
      <c r="B1052" t="inlineStr">
        <is>
          <t>0090000000</t>
        </is>
      </c>
      <c r="C1052" t="inlineStr">
        <is>
          <t>Summe Anhang</t>
        </is>
      </c>
      <c r="D1052" t="n">
        <v>0</v>
      </c>
      <c r="E1052" t="n">
        <v>2</v>
      </c>
      <c r="F1052" t="n">
        <v>250</v>
      </c>
      <c r="G1052" t="b">
        <v>1</v>
      </c>
    </row>
    <row r="1056">
      <c r="A1056" t="inlineStr">
        <is>
          <t>v_monat_ampel</t>
        </is>
      </c>
    </row>
    <row r="1057">
      <c r="A1057" t="inlineStr">
        <is>
          <t>jahr</t>
        </is>
      </c>
      <c r="B1057" t="inlineStr">
        <is>
          <t>monat</t>
        </is>
      </c>
      <c r="C1057" t="inlineStr">
        <is>
          <t>belege</t>
        </is>
      </c>
      <c r="D1057" t="inlineStr">
        <is>
          <t>fuellgrad</t>
        </is>
      </c>
      <c r="E1057" t="inlineStr">
        <is>
          <t>lohn_gebucht</t>
        </is>
      </c>
      <c r="F1057" t="inlineStr">
        <is>
          <t>co_gebucht</t>
        </is>
      </c>
      <c r="G1057" t="inlineStr">
        <is>
          <t>freigabe</t>
        </is>
      </c>
      <c r="H1057" t="inlineStr">
        <is>
          <t>belastbar_effektiv</t>
        </is>
      </c>
      <c r="I1057" t="inlineStr">
        <is>
          <t>umsatz</t>
        </is>
      </c>
      <c r="J1057" t="inlineStr">
        <is>
          <t>bestand</t>
        </is>
      </c>
      <c r="K1057" t="inlineStr">
        <is>
          <t>personal</t>
        </is>
      </c>
      <c r="L1057" t="inlineStr">
        <is>
          <t>ergebnis</t>
        </is>
      </c>
      <c r="M1057" t="inlineStr">
        <is>
          <t>sap_bericht</t>
        </is>
      </c>
      <c r="N1057" t="inlineStr">
        <is>
          <t>abweichend</t>
        </is>
      </c>
      <c r="O1057" t="inlineStr">
        <is>
          <t>max_differenz</t>
        </is>
      </c>
      <c r="P1057" t="inlineStr">
        <is>
          <t>ampel</t>
        </is>
      </c>
      <c r="Q1057" t="inlineStr">
        <is>
          <t>hinweis</t>
        </is>
      </c>
      <c r="R1057" t="inlineStr">
        <is>
          <t>quelle</t>
        </is>
      </c>
      <c r="S1057" t="inlineStr">
        <is>
          <t>belege_journal</t>
        </is>
      </c>
      <c r="T1057" t="inlineStr">
        <is>
          <t>belege_fi</t>
        </is>
      </c>
      <c r="U1057" t="inlineStr">
        <is>
          <t>belege_sap</t>
        </is>
      </c>
    </row>
    <row r="1058">
      <c r="A1058" t="n">
        <v>2026</v>
      </c>
      <c r="B1058" t="n">
        <v>1</v>
      </c>
      <c r="C1058" t="n">
        <v>4079</v>
      </c>
      <c r="D1058" t="n">
        <v>83</v>
      </c>
      <c r="E1058" t="b">
        <v>1</v>
      </c>
      <c r="F1058" t="b">
        <v>1</v>
      </c>
      <c r="G1058" t="b">
        <v>1</v>
      </c>
      <c r="H1058" t="b">
        <v>1</v>
      </c>
      <c r="I1058" t="n">
        <v>639565.45</v>
      </c>
      <c r="J1058" t="n">
        <v>1280847.26</v>
      </c>
      <c r="K1058" t="n">
        <v>-338608.8</v>
      </c>
      <c r="L1058" t="n">
        <v>274732.25</v>
      </c>
      <c r="M1058" t="b">
        <v>1</v>
      </c>
      <c r="N1058" t="n">
        <v>2</v>
      </c>
      <c r="O1058" t="n">
        <v>23951.51</v>
      </c>
      <c r="P1058" t="inlineStr">
        <is>
          <t>GELB</t>
        </is>
      </c>
      <c r="Q1058" t="inlineStr">
        <is>
          <t>manuell freigegeben · 2 Gruppe/n weichen ab (max 24 T€)</t>
        </is>
      </c>
      <c r="R1058" t="inlineStr">
        <is>
          <t>CO</t>
        </is>
      </c>
      <c r="S1058" t="n">
        <v>1454</v>
      </c>
      <c r="T1058" t="n">
        <v>4079</v>
      </c>
      <c r="U1058" t="n">
        <v>2029</v>
      </c>
    </row>
    <row r="1059">
      <c r="A1059" t="n">
        <v>2026</v>
      </c>
      <c r="B1059" t="n">
        <v>2</v>
      </c>
      <c r="C1059" t="n">
        <v>4768</v>
      </c>
      <c r="D1059" t="n">
        <v>97</v>
      </c>
      <c r="E1059" t="b">
        <v>1</v>
      </c>
      <c r="F1059" t="b">
        <v>1</v>
      </c>
      <c r="G1059" t="b">
        <v>1</v>
      </c>
      <c r="H1059" t="b">
        <v>1</v>
      </c>
      <c r="I1059" t="n">
        <v>2777244.65</v>
      </c>
      <c r="J1059" t="n">
        <v>-200176.92</v>
      </c>
      <c r="K1059" t="n">
        <v>-363244</v>
      </c>
      <c r="L1059" t="n">
        <v>298238.23</v>
      </c>
      <c r="M1059" t="b">
        <v>1</v>
      </c>
      <c r="N1059" t="n">
        <v>2</v>
      </c>
      <c r="O1059" t="n">
        <v>48702.63</v>
      </c>
      <c r="P1059" t="inlineStr">
        <is>
          <t>GELB</t>
        </is>
      </c>
      <c r="Q1059" t="inlineStr">
        <is>
          <t>manuell freigegeben · 2 Gruppe/n weichen ab (max 49 T€)</t>
        </is>
      </c>
      <c r="R1059" t="inlineStr">
        <is>
          <t>CO</t>
        </is>
      </c>
      <c r="S1059" t="n">
        <v>1847</v>
      </c>
      <c r="T1059" t="n">
        <v>4768</v>
      </c>
      <c r="U1059" t="n">
        <v>2483</v>
      </c>
    </row>
    <row r="1060">
      <c r="A1060" t="n">
        <v>2026</v>
      </c>
      <c r="B1060" t="n">
        <v>3</v>
      </c>
      <c r="C1060" t="n">
        <v>5430</v>
      </c>
      <c r="D1060" t="n">
        <v>111</v>
      </c>
      <c r="E1060" t="b">
        <v>1</v>
      </c>
      <c r="F1060" t="b">
        <v>1</v>
      </c>
      <c r="G1060" t="b">
        <v>1</v>
      </c>
      <c r="H1060" t="b">
        <v>1</v>
      </c>
      <c r="I1060" t="n">
        <v>1213541.38</v>
      </c>
      <c r="J1060" t="n">
        <v>1198671.49</v>
      </c>
      <c r="K1060" t="n">
        <v>-383792.43</v>
      </c>
      <c r="L1060" t="n">
        <v>-8831.02</v>
      </c>
      <c r="M1060" t="b">
        <v>1</v>
      </c>
      <c r="N1060" t="n">
        <v>2</v>
      </c>
      <c r="O1060" t="n">
        <v>74192.06</v>
      </c>
      <c r="P1060" t="inlineStr">
        <is>
          <t>GELB</t>
        </is>
      </c>
      <c r="Q1060" t="inlineStr">
        <is>
          <t>manuell freigegeben · 2 Gruppe/n weichen ab (max 74 T€)</t>
        </is>
      </c>
      <c r="R1060" t="inlineStr">
        <is>
          <t>CO</t>
        </is>
      </c>
      <c r="S1060" t="n">
        <v>2085</v>
      </c>
      <c r="T1060" t="n">
        <v>5430</v>
      </c>
      <c r="U1060" t="n">
        <v>2844</v>
      </c>
    </row>
    <row r="1061">
      <c r="A1061" t="n">
        <v>2026</v>
      </c>
      <c r="B1061" t="n">
        <v>4</v>
      </c>
      <c r="C1061" t="n">
        <v>5281</v>
      </c>
      <c r="D1061" t="n">
        <v>108</v>
      </c>
      <c r="E1061" t="b">
        <v>1</v>
      </c>
      <c r="F1061" t="b">
        <v>1</v>
      </c>
      <c r="G1061" t="b">
        <v>1</v>
      </c>
      <c r="H1061" t="b">
        <v>1</v>
      </c>
      <c r="I1061" t="n">
        <v>678343.59</v>
      </c>
      <c r="J1061" t="n">
        <v>1261219.89</v>
      </c>
      <c r="K1061" t="n">
        <v>-383705.5</v>
      </c>
      <c r="L1061" t="n">
        <v>-202827.31</v>
      </c>
      <c r="M1061" t="b">
        <v>1</v>
      </c>
      <c r="N1061" t="n">
        <v>2</v>
      </c>
      <c r="O1061" t="n">
        <v>100746.67</v>
      </c>
      <c r="P1061" t="inlineStr">
        <is>
          <t>GELB</t>
        </is>
      </c>
      <c r="Q1061" t="inlineStr">
        <is>
          <t>manuell freigegeben · 2 Gruppe/n weichen ab (max 101 T€)</t>
        </is>
      </c>
      <c r="R1061" t="inlineStr">
        <is>
          <t>CO</t>
        </is>
      </c>
      <c r="S1061" t="n">
        <v>2054</v>
      </c>
      <c r="T1061" t="n">
        <v>5281</v>
      </c>
      <c r="U1061" t="n">
        <v>2674</v>
      </c>
    </row>
    <row r="1062">
      <c r="A1062" t="n">
        <v>2026</v>
      </c>
      <c r="B1062" t="n">
        <v>5</v>
      </c>
      <c r="C1062" t="n">
        <v>4878</v>
      </c>
      <c r="D1062" t="n">
        <v>99</v>
      </c>
      <c r="E1062" t="b">
        <v>1</v>
      </c>
      <c r="F1062" t="b">
        <v>1</v>
      </c>
      <c r="G1062" t="b">
        <v>1</v>
      </c>
      <c r="H1062" t="b">
        <v>1</v>
      </c>
      <c r="I1062" t="n">
        <v>1347585.48</v>
      </c>
      <c r="J1062" t="n">
        <v>-263604.09</v>
      </c>
      <c r="K1062" t="n">
        <v>-432453.34</v>
      </c>
      <c r="L1062" t="n">
        <v>-169050.97</v>
      </c>
      <c r="M1062" t="b">
        <v>1</v>
      </c>
      <c r="N1062" t="n">
        <v>2</v>
      </c>
      <c r="O1062" t="n">
        <v>130151.66</v>
      </c>
      <c r="P1062" t="inlineStr">
        <is>
          <t>GELB</t>
        </is>
      </c>
      <c r="Q1062" t="inlineStr">
        <is>
          <t>manuell freigegeben · 2 Gruppe/n weichen ab (max 130 T€)</t>
        </is>
      </c>
      <c r="R1062" t="inlineStr">
        <is>
          <t>CO</t>
        </is>
      </c>
      <c r="S1062" t="n">
        <v>1912</v>
      </c>
      <c r="T1062" t="n">
        <v>4878</v>
      </c>
      <c r="U1062" t="n">
        <v>2476</v>
      </c>
    </row>
    <row r="1063">
      <c r="A1063" t="n">
        <v>2026</v>
      </c>
      <c r="B1063" t="n">
        <v>6</v>
      </c>
      <c r="C1063" t="n">
        <v>5044</v>
      </c>
      <c r="D1063" t="n">
        <v>103</v>
      </c>
      <c r="E1063" t="b">
        <v>1</v>
      </c>
      <c r="F1063" t="b">
        <v>1</v>
      </c>
      <c r="G1063" t="b">
        <v>1</v>
      </c>
      <c r="H1063" t="b">
        <v>1</v>
      </c>
      <c r="I1063" t="n">
        <v>2470042.1</v>
      </c>
      <c r="J1063" t="n">
        <v>314645.23</v>
      </c>
      <c r="K1063" t="n">
        <v>-378900.06</v>
      </c>
      <c r="L1063" t="n">
        <v>36677.58</v>
      </c>
      <c r="M1063" t="b">
        <v>1</v>
      </c>
      <c r="N1063" t="n">
        <v>2</v>
      </c>
      <c r="O1063" t="n">
        <v>155194.77</v>
      </c>
      <c r="P1063" t="inlineStr">
        <is>
          <t>GELB</t>
        </is>
      </c>
      <c r="Q1063" t="inlineStr">
        <is>
          <t>manuell freigegeben · 2 Gruppe/n weichen ab (max 155 T€)</t>
        </is>
      </c>
      <c r="R1063" t="inlineStr">
        <is>
          <t>CO</t>
        </is>
      </c>
      <c r="S1063" t="n">
        <v>2057</v>
      </c>
      <c r="T1063" t="n">
        <v>5044</v>
      </c>
      <c r="U1063" t="n">
        <v>2517</v>
      </c>
    </row>
    <row r="1064">
      <c r="A1064" t="n">
        <v>2026</v>
      </c>
      <c r="B1064" t="n">
        <v>7</v>
      </c>
      <c r="C1064" t="n">
        <v>5450</v>
      </c>
      <c r="D1064" t="n">
        <v>111</v>
      </c>
      <c r="E1064" t="b">
        <v>1</v>
      </c>
      <c r="F1064" t="b">
        <v>1</v>
      </c>
      <c r="G1064" t="b">
        <v>1</v>
      </c>
      <c r="H1064" t="b">
        <v>1</v>
      </c>
      <c r="I1064" t="n">
        <v>1323928.2</v>
      </c>
      <c r="J1064" t="n">
        <v>294716.46</v>
      </c>
      <c r="K1064" t="n">
        <v>-390395</v>
      </c>
      <c r="L1064" t="n">
        <v>-531284.6</v>
      </c>
      <c r="M1064" t="b">
        <v>1</v>
      </c>
      <c r="N1064" t="n">
        <v>0</v>
      </c>
      <c r="O1064" t="n">
        <v>0</v>
      </c>
      <c r="P1064" t="inlineStr">
        <is>
          <t>GRUEN</t>
        </is>
      </c>
      <c r="Q1064" t="inlineStr">
        <is>
          <t>manuell freigegeben · SAP-Abgleich stimmt</t>
        </is>
      </c>
      <c r="R1064" t="inlineStr">
        <is>
          <t>CO</t>
        </is>
      </c>
      <c r="S1064" t="n">
        <v>1982</v>
      </c>
      <c r="T1064" t="n">
        <v>5450</v>
      </c>
      <c r="U1064" t="n">
        <v>2773</v>
      </c>
    </row>
    <row r="1065">
      <c r="A1065" t="n">
        <v>2026</v>
      </c>
      <c r="B1065" t="n">
        <v>8</v>
      </c>
      <c r="C1065" t="n">
        <v>4907</v>
      </c>
      <c r="D1065" t="n">
        <v>100</v>
      </c>
      <c r="E1065" t="b">
        <v>1</v>
      </c>
      <c r="F1065" t="b">
        <v>1</v>
      </c>
      <c r="G1065" t="b">
        <v>1</v>
      </c>
      <c r="H1065" t="b">
        <v>1</v>
      </c>
      <c r="I1065" t="n">
        <v>854339.84</v>
      </c>
      <c r="J1065" t="n">
        <v>1022525.14</v>
      </c>
      <c r="K1065" t="n">
        <v>-399129.54</v>
      </c>
      <c r="L1065" t="n">
        <v>-158285.49</v>
      </c>
      <c r="M1065" t="b">
        <v>1</v>
      </c>
      <c r="N1065" t="n">
        <v>4</v>
      </c>
      <c r="O1065" t="n">
        <v>127500</v>
      </c>
      <c r="P1065" t="inlineStr">
        <is>
          <t>GELB</t>
        </is>
      </c>
      <c r="Q1065" t="inlineStr">
        <is>
          <t>GuV aus FI-Konten (CO-Export unvollständig – Projektsicht wartet) · manuell freigegeben · 4 Gruppe/n weichen ab (max 128 T€)</t>
        </is>
      </c>
      <c r="R1065" t="inlineStr">
        <is>
          <t>FI</t>
        </is>
      </c>
      <c r="S1065" t="n">
        <v>1114</v>
      </c>
      <c r="T1065" t="n">
        <v>4907</v>
      </c>
      <c r="U1065" t="n">
        <v>468</v>
      </c>
    </row>
    <row r="1066">
      <c r="A1066" t="n">
        <v>2026</v>
      </c>
      <c r="B1066" t="n">
        <v>9</v>
      </c>
      <c r="C1066" t="n">
        <v>3575</v>
      </c>
      <c r="D1066" t="n">
        <v>73</v>
      </c>
      <c r="E1066" t="b">
        <v>1</v>
      </c>
      <c r="F1066" t="b">
        <v>1</v>
      </c>
      <c r="H1066" t="b">
        <v>0</v>
      </c>
      <c r="I1066" t="n">
        <v>885382.71</v>
      </c>
      <c r="K1066" t="n">
        <v>-356776.51</v>
      </c>
      <c r="L1066" t="n">
        <v>-1141051.22</v>
      </c>
      <c r="M1066" t="b">
        <v>0</v>
      </c>
      <c r="P1066" t="inlineStr">
        <is>
          <t>GELB</t>
        </is>
      </c>
      <c r="Q1066" t="inlineStr">
        <is>
          <t>FI geladen, Monat bleibt Forecast bis zur Freigabe · SAP-Bericht nicht geladen</t>
        </is>
      </c>
      <c r="R1066" t="inlineStr">
        <is>
          <t>FI</t>
        </is>
      </c>
      <c r="S1066" t="n">
        <v>839</v>
      </c>
      <c r="T1066" t="n">
        <v>3575</v>
      </c>
      <c r="U1066" t="n">
        <v>320</v>
      </c>
    </row>
    <row r="1070">
      <c r="A1070" t="inlineStr">
        <is>
          <t>v_guv_abgleich_sap</t>
        </is>
      </c>
    </row>
    <row r="1071">
      <c r="A1071" t="inlineStr">
        <is>
          <t>jahr</t>
        </is>
      </c>
      <c r="B1071" t="inlineStr">
        <is>
          <t>periode</t>
        </is>
      </c>
      <c r="C1071" t="inlineStr">
        <is>
          <t>sortierung</t>
        </is>
      </c>
      <c r="D1071" t="inlineStr">
        <is>
          <t>guv_gruppe</t>
        </is>
      </c>
      <c r="E1071" t="inlineStr">
        <is>
          <t>sap_monat</t>
        </is>
      </c>
      <c r="F1071" t="inlineStr">
        <is>
          <t>staffel_monat</t>
        </is>
      </c>
      <c r="G1071" t="inlineStr">
        <is>
          <t>differenz</t>
        </is>
      </c>
      <c r="H1071" t="inlineStr">
        <is>
          <t>sap_ytd</t>
        </is>
      </c>
      <c r="I1071" t="inlineStr">
        <is>
          <t>staffel_ytd</t>
        </is>
      </c>
      <c r="J1071" t="inlineStr">
        <is>
          <t>stimmt</t>
        </is>
      </c>
    </row>
    <row r="1072">
      <c r="A1072" t="n">
        <v>2026</v>
      </c>
      <c r="B1072" t="n">
        <v>1</v>
      </c>
      <c r="C1072" t="n">
        <v>10</v>
      </c>
      <c r="D1072" t="inlineStr">
        <is>
          <t>1 Umsatzerlöse</t>
        </is>
      </c>
      <c r="F1072" t="n">
        <v>639565.45</v>
      </c>
      <c r="G1072" t="n">
        <v>0</v>
      </c>
      <c r="H1072" t="n">
        <v>639565.45</v>
      </c>
      <c r="I1072" t="n">
        <v>639565.45</v>
      </c>
      <c r="J1072" t="b">
        <v>1</v>
      </c>
    </row>
    <row r="1073">
      <c r="A1073" t="n">
        <v>2026</v>
      </c>
      <c r="B1073" t="n">
        <v>1</v>
      </c>
      <c r="C1073" t="n">
        <v>20</v>
      </c>
      <c r="D1073" t="inlineStr">
        <is>
          <t>2 Bestandsveränderungen</t>
        </is>
      </c>
      <c r="F1073" t="n">
        <v>1280847.26</v>
      </c>
      <c r="G1073" t="n">
        <v>0</v>
      </c>
      <c r="H1073" t="n">
        <v>1280847.26</v>
      </c>
      <c r="I1073" t="n">
        <v>1280847.26</v>
      </c>
      <c r="J1073" t="b">
        <v>1</v>
      </c>
    </row>
    <row r="1074">
      <c r="A1074" t="n">
        <v>2026</v>
      </c>
      <c r="B1074" t="n">
        <v>1</v>
      </c>
      <c r="C1074" t="n">
        <v>30</v>
      </c>
      <c r="D1074" t="inlineStr">
        <is>
          <t>3 Sonstige betriebliche Erträge</t>
        </is>
      </c>
      <c r="F1074" t="n">
        <v>12030.21</v>
      </c>
      <c r="G1074" t="n">
        <v>0</v>
      </c>
      <c r="H1074" t="n">
        <v>12030.21</v>
      </c>
      <c r="I1074" t="n">
        <v>12030.21</v>
      </c>
      <c r="J1074" t="b">
        <v>1</v>
      </c>
    </row>
    <row r="1075">
      <c r="A1075" t="n">
        <v>2026</v>
      </c>
      <c r="B1075" t="n">
        <v>1</v>
      </c>
      <c r="C1075" t="n">
        <v>40</v>
      </c>
      <c r="D1075" t="inlineStr">
        <is>
          <t>4 Materialaufwand</t>
        </is>
      </c>
      <c r="F1075" t="n">
        <v>-1080421</v>
      </c>
      <c r="G1075" t="n">
        <v>0</v>
      </c>
      <c r="H1075" t="n">
        <v>-1080421</v>
      </c>
      <c r="I1075" t="n">
        <v>-1080421</v>
      </c>
      <c r="J1075" t="b">
        <v>1</v>
      </c>
    </row>
    <row r="1076">
      <c r="A1076" t="n">
        <v>2026</v>
      </c>
      <c r="B1076" t="n">
        <v>1</v>
      </c>
      <c r="C1076" t="n">
        <v>50</v>
      </c>
      <c r="D1076" t="inlineStr">
        <is>
          <t>5 Personalaufwand</t>
        </is>
      </c>
      <c r="F1076" t="n">
        <v>-338608.8</v>
      </c>
      <c r="G1076" t="n">
        <v>-23951.51</v>
      </c>
      <c r="H1076" t="n">
        <v>-314657.29</v>
      </c>
      <c r="I1076" t="n">
        <v>-338608.8</v>
      </c>
      <c r="J1076" t="b">
        <v>0</v>
      </c>
    </row>
    <row r="1077">
      <c r="A1077" t="n">
        <v>2026</v>
      </c>
      <c r="B1077" t="n">
        <v>1</v>
      </c>
      <c r="C1077" t="n">
        <v>60</v>
      </c>
      <c r="D1077" t="inlineStr">
        <is>
          <t>6 Abschreibungen</t>
        </is>
      </c>
      <c r="F1077" t="n">
        <v>-9645.450000000001</v>
      </c>
      <c r="G1077" t="n">
        <v>0</v>
      </c>
      <c r="H1077" t="n">
        <v>-9645.450000000001</v>
      </c>
      <c r="I1077" t="n">
        <v>-9645.450000000001</v>
      </c>
      <c r="J1077" t="b">
        <v>1</v>
      </c>
    </row>
    <row r="1078">
      <c r="A1078" t="n">
        <v>2026</v>
      </c>
      <c r="B1078" t="n">
        <v>1</v>
      </c>
      <c r="C1078" t="n">
        <v>70</v>
      </c>
      <c r="D1078" t="inlineStr">
        <is>
          <t>7 Sonstige betriebliche Aufwendungen</t>
        </is>
      </c>
      <c r="F1078" t="n">
        <v>-223180.95</v>
      </c>
      <c r="G1078" t="n">
        <v>-2360.48</v>
      </c>
      <c r="H1078" t="n">
        <v>-220820.47</v>
      </c>
      <c r="I1078" t="n">
        <v>-223180.95</v>
      </c>
      <c r="J1078" t="b">
        <v>0</v>
      </c>
    </row>
    <row r="1079">
      <c r="A1079" t="n">
        <v>2026</v>
      </c>
      <c r="B1079" t="n">
        <v>1</v>
      </c>
      <c r="C1079" t="n">
        <v>80</v>
      </c>
      <c r="D1079" t="inlineStr">
        <is>
          <t>8 Finanzergebnis</t>
        </is>
      </c>
      <c r="F1079" t="n">
        <v>-5854.47</v>
      </c>
      <c r="G1079" t="n">
        <v>0</v>
      </c>
      <c r="H1079" t="n">
        <v>-5854.47</v>
      </c>
      <c r="I1079" t="n">
        <v>-5854.47</v>
      </c>
      <c r="J1079" t="b">
        <v>1</v>
      </c>
    </row>
    <row r="1080">
      <c r="A1080" t="n">
        <v>2026</v>
      </c>
      <c r="B1080" t="n">
        <v>2</v>
      </c>
      <c r="C1080" t="n">
        <v>10</v>
      </c>
      <c r="D1080" t="inlineStr">
        <is>
          <t>1 Umsatzerlöse</t>
        </is>
      </c>
      <c r="E1080" t="n">
        <v>2777244.65</v>
      </c>
      <c r="F1080" t="n">
        <v>2777244.65</v>
      </c>
      <c r="G1080" t="n">
        <v>0</v>
      </c>
      <c r="H1080" t="n">
        <v>3416810.1</v>
      </c>
      <c r="I1080" t="n">
        <v>3416810.1</v>
      </c>
      <c r="J1080" t="b">
        <v>1</v>
      </c>
    </row>
    <row r="1081">
      <c r="A1081" t="n">
        <v>2026</v>
      </c>
      <c r="B1081" t="n">
        <v>2</v>
      </c>
      <c r="C1081" t="n">
        <v>20</v>
      </c>
      <c r="D1081" t="inlineStr">
        <is>
          <t>2 Bestandsveränderungen</t>
        </is>
      </c>
      <c r="E1081" t="n">
        <v>-200176.92</v>
      </c>
      <c r="F1081" t="n">
        <v>-200176.92</v>
      </c>
      <c r="G1081" t="n">
        <v>0</v>
      </c>
      <c r="H1081" t="n">
        <v>1080670.34</v>
      </c>
      <c r="I1081" t="n">
        <v>1080670.34</v>
      </c>
      <c r="J1081" t="b">
        <v>1</v>
      </c>
    </row>
    <row r="1082">
      <c r="A1082" t="n">
        <v>2026</v>
      </c>
      <c r="B1082" t="n">
        <v>2</v>
      </c>
      <c r="C1082" t="n">
        <v>30</v>
      </c>
      <c r="D1082" t="inlineStr">
        <is>
          <t>3 Sonstige betriebliche Erträge</t>
        </is>
      </c>
      <c r="E1082" t="n">
        <v>22190.76</v>
      </c>
      <c r="F1082" t="n">
        <v>22190.76</v>
      </c>
      <c r="G1082" t="n">
        <v>0</v>
      </c>
      <c r="H1082" t="n">
        <v>34220.97</v>
      </c>
      <c r="I1082" t="n">
        <v>34220.97</v>
      </c>
      <c r="J1082" t="b">
        <v>1</v>
      </c>
    </row>
    <row r="1083">
      <c r="A1083" t="n">
        <v>2026</v>
      </c>
      <c r="B1083" t="n">
        <v>2</v>
      </c>
      <c r="C1083" t="n">
        <v>40</v>
      </c>
      <c r="D1083" t="inlineStr">
        <is>
          <t>4 Materialaufwand</t>
        </is>
      </c>
      <c r="E1083" t="n">
        <v>-1706242.27</v>
      </c>
      <c r="F1083" t="n">
        <v>-1706242.27</v>
      </c>
      <c r="G1083" t="n">
        <v>0</v>
      </c>
      <c r="H1083" t="n">
        <v>-2786663.27</v>
      </c>
      <c r="I1083" t="n">
        <v>-2786663.27</v>
      </c>
      <c r="J1083" t="b">
        <v>1</v>
      </c>
    </row>
    <row r="1084">
      <c r="A1084" t="n">
        <v>2026</v>
      </c>
      <c r="B1084" t="n">
        <v>2</v>
      </c>
      <c r="C1084" t="n">
        <v>50</v>
      </c>
      <c r="D1084" t="inlineStr">
        <is>
          <t>5 Personalaufwand</t>
        </is>
      </c>
      <c r="E1084" t="n">
        <v>-338492.88</v>
      </c>
      <c r="F1084" t="n">
        <v>-363244</v>
      </c>
      <c r="G1084" t="n">
        <v>-48702.63</v>
      </c>
      <c r="H1084" t="n">
        <v>-653150.17</v>
      </c>
      <c r="I1084" t="n">
        <v>-701852.8</v>
      </c>
      <c r="J1084" t="b">
        <v>0</v>
      </c>
    </row>
    <row r="1085">
      <c r="A1085" t="n">
        <v>2026</v>
      </c>
      <c r="B1085" t="n">
        <v>2</v>
      </c>
      <c r="C1085" t="n">
        <v>60</v>
      </c>
      <c r="D1085" t="inlineStr">
        <is>
          <t>6 Abschreibungen</t>
        </is>
      </c>
      <c r="E1085" t="n">
        <v>-9711.51</v>
      </c>
      <c r="F1085" t="n">
        <v>-9711.51</v>
      </c>
      <c r="G1085" t="n">
        <v>0</v>
      </c>
      <c r="H1085" t="n">
        <v>-19356.96</v>
      </c>
      <c r="I1085" t="n">
        <v>-19356.96</v>
      </c>
      <c r="J1085" t="b">
        <v>1</v>
      </c>
    </row>
    <row r="1086">
      <c r="A1086" t="n">
        <v>2026</v>
      </c>
      <c r="B1086" t="n">
        <v>2</v>
      </c>
      <c r="C1086" t="n">
        <v>70</v>
      </c>
      <c r="D1086" t="inlineStr">
        <is>
          <t>7 Sonstige betriebliche Aufwendungen</t>
        </is>
      </c>
      <c r="E1086" t="n">
        <v>-212416.03</v>
      </c>
      <c r="F1086" t="n">
        <v>-214918.93</v>
      </c>
      <c r="G1086" t="n">
        <v>-4863.38</v>
      </c>
      <c r="H1086" t="n">
        <v>-433236.5</v>
      </c>
      <c r="I1086" t="n">
        <v>-438099.88</v>
      </c>
      <c r="J1086" t="b">
        <v>0</v>
      </c>
    </row>
    <row r="1087">
      <c r="A1087" t="n">
        <v>2026</v>
      </c>
      <c r="B1087" t="n">
        <v>2</v>
      </c>
      <c r="C1087" t="n">
        <v>80</v>
      </c>
      <c r="D1087" t="inlineStr">
        <is>
          <t>8 Finanzergebnis</t>
        </is>
      </c>
      <c r="E1087" t="n">
        <v>-6903.55</v>
      </c>
      <c r="F1087" t="n">
        <v>-6903.55</v>
      </c>
      <c r="G1087" t="n">
        <v>0</v>
      </c>
      <c r="H1087" t="n">
        <v>-12758.02</v>
      </c>
      <c r="I1087" t="n">
        <v>-12758.02</v>
      </c>
      <c r="J1087" t="b">
        <v>1</v>
      </c>
    </row>
    <row r="1088">
      <c r="A1088" t="n">
        <v>2026</v>
      </c>
      <c r="B1088" t="n">
        <v>3</v>
      </c>
      <c r="C1088" t="n">
        <v>10</v>
      </c>
      <c r="D1088" t="inlineStr">
        <is>
          <t>1 Umsatzerlöse</t>
        </is>
      </c>
      <c r="E1088" t="n">
        <v>1213541.38</v>
      </c>
      <c r="F1088" t="n">
        <v>1213541.38</v>
      </c>
      <c r="G1088" t="n">
        <v>0</v>
      </c>
      <c r="H1088" t="n">
        <v>4630351.48</v>
      </c>
      <c r="I1088" t="n">
        <v>4630351.48</v>
      </c>
      <c r="J1088" t="b">
        <v>1</v>
      </c>
    </row>
    <row r="1089">
      <c r="A1089" t="n">
        <v>2026</v>
      </c>
      <c r="B1089" t="n">
        <v>3</v>
      </c>
      <c r="C1089" t="n">
        <v>20</v>
      </c>
      <c r="D1089" t="inlineStr">
        <is>
          <t>2 Bestandsveränderungen</t>
        </is>
      </c>
      <c r="E1089" t="n">
        <v>1198671.49</v>
      </c>
      <c r="F1089" t="n">
        <v>1198671.49</v>
      </c>
      <c r="G1089" t="n">
        <v>0</v>
      </c>
      <c r="H1089" t="n">
        <v>2279341.83</v>
      </c>
      <c r="I1089" t="n">
        <v>2279341.83</v>
      </c>
      <c r="J1089" t="b">
        <v>1</v>
      </c>
    </row>
    <row r="1090">
      <c r="A1090" t="n">
        <v>2026</v>
      </c>
      <c r="B1090" t="n">
        <v>3</v>
      </c>
      <c r="C1090" t="n">
        <v>30</v>
      </c>
      <c r="D1090" t="inlineStr">
        <is>
          <t>3 Sonstige betriebliche Erträge</t>
        </is>
      </c>
      <c r="E1090" t="n">
        <v>15409.39</v>
      </c>
      <c r="F1090" t="n">
        <v>15409.39</v>
      </c>
      <c r="G1090" t="n">
        <v>0</v>
      </c>
      <c r="H1090" t="n">
        <v>49630.36</v>
      </c>
      <c r="I1090" t="n">
        <v>49630.36</v>
      </c>
      <c r="J1090" t="b">
        <v>1</v>
      </c>
    </row>
    <row r="1091">
      <c r="A1091" t="n">
        <v>2026</v>
      </c>
      <c r="B1091" t="n">
        <v>3</v>
      </c>
      <c r="C1091" t="n">
        <v>40</v>
      </c>
      <c r="D1091" t="inlineStr">
        <is>
          <t>4 Materialaufwand</t>
        </is>
      </c>
      <c r="E1091" t="n">
        <v>-1746548.03</v>
      </c>
      <c r="F1091" t="n">
        <v>-1746548.03</v>
      </c>
      <c r="G1091" t="n">
        <v>0</v>
      </c>
      <c r="H1091" t="n">
        <v>-4533211.3</v>
      </c>
      <c r="I1091" t="n">
        <v>-4533211.3</v>
      </c>
      <c r="J1091" t="b">
        <v>1</v>
      </c>
    </row>
    <row r="1092">
      <c r="A1092" t="n">
        <v>2026</v>
      </c>
      <c r="B1092" t="n">
        <v>3</v>
      </c>
      <c r="C1092" t="n">
        <v>50</v>
      </c>
      <c r="D1092" t="inlineStr">
        <is>
          <t>5 Personalaufwand</t>
        </is>
      </c>
      <c r="E1092" t="n">
        <v>-358303</v>
      </c>
      <c r="F1092" t="n">
        <v>-383792.43</v>
      </c>
      <c r="G1092" t="n">
        <v>-74192.06</v>
      </c>
      <c r="H1092" t="n">
        <v>-1011453.17</v>
      </c>
      <c r="I1092" t="n">
        <v>-1085645.23</v>
      </c>
      <c r="J1092" t="b">
        <v>0</v>
      </c>
    </row>
    <row r="1093">
      <c r="A1093" t="n">
        <v>2026</v>
      </c>
      <c r="B1093" t="n">
        <v>3</v>
      </c>
      <c r="C1093" t="n">
        <v>60</v>
      </c>
      <c r="D1093" t="inlineStr">
        <is>
          <t>6 Abschreibungen</t>
        </is>
      </c>
      <c r="E1093" t="n">
        <v>-9824.139999999999</v>
      </c>
      <c r="F1093" t="n">
        <v>-9824.139999999999</v>
      </c>
      <c r="G1093" t="n">
        <v>0</v>
      </c>
      <c r="H1093" t="n">
        <v>-29181.1</v>
      </c>
      <c r="I1093" t="n">
        <v>-29181.1</v>
      </c>
      <c r="J1093" t="b">
        <v>1</v>
      </c>
    </row>
    <row r="1094">
      <c r="A1094" t="n">
        <v>2026</v>
      </c>
      <c r="B1094" t="n">
        <v>3</v>
      </c>
      <c r="C1094" t="n">
        <v>70</v>
      </c>
      <c r="D1094" t="inlineStr">
        <is>
          <t>7 Sonstige betriebliche Aufwendungen</t>
        </is>
      </c>
      <c r="E1094" t="n">
        <v>-283572.46</v>
      </c>
      <c r="F1094" t="n">
        <v>-286856.5</v>
      </c>
      <c r="G1094" t="n">
        <v>-8147.42</v>
      </c>
      <c r="H1094" t="n">
        <v>-716808.96</v>
      </c>
      <c r="I1094" t="n">
        <v>-724956.38</v>
      </c>
      <c r="J1094" t="b">
        <v>0</v>
      </c>
    </row>
    <row r="1095">
      <c r="A1095" t="n">
        <v>2026</v>
      </c>
      <c r="B1095" t="n">
        <v>3</v>
      </c>
      <c r="C1095" t="n">
        <v>80</v>
      </c>
      <c r="D1095" t="inlineStr">
        <is>
          <t>8 Finanzergebnis</t>
        </is>
      </c>
      <c r="E1095" t="n">
        <v>-9432.18</v>
      </c>
      <c r="F1095" t="n">
        <v>-9432.18</v>
      </c>
      <c r="G1095" t="n">
        <v>0</v>
      </c>
      <c r="H1095" t="n">
        <v>-22190.2</v>
      </c>
      <c r="I1095" t="n">
        <v>-22190.2</v>
      </c>
      <c r="J1095" t="b">
        <v>1</v>
      </c>
    </row>
    <row r="1096">
      <c r="A1096" t="n">
        <v>2026</v>
      </c>
      <c r="B1096" t="n">
        <v>4</v>
      </c>
      <c r="C1096" t="n">
        <v>10</v>
      </c>
      <c r="D1096" t="inlineStr">
        <is>
          <t>1 Umsatzerlöse</t>
        </is>
      </c>
      <c r="E1096" t="n">
        <v>678343.59</v>
      </c>
      <c r="F1096" t="n">
        <v>678343.59</v>
      </c>
      <c r="G1096" t="n">
        <v>0</v>
      </c>
      <c r="H1096" t="n">
        <v>5308695.07</v>
      </c>
      <c r="I1096" t="n">
        <v>5308695.07</v>
      </c>
      <c r="J1096" t="b">
        <v>1</v>
      </c>
    </row>
    <row r="1097">
      <c r="A1097" t="n">
        <v>2026</v>
      </c>
      <c r="B1097" t="n">
        <v>4</v>
      </c>
      <c r="C1097" t="n">
        <v>20</v>
      </c>
      <c r="D1097" t="inlineStr">
        <is>
          <t>2 Bestandsveränderungen</t>
        </is>
      </c>
      <c r="E1097" t="n">
        <v>1261219.89</v>
      </c>
      <c r="F1097" t="n">
        <v>1261219.89</v>
      </c>
      <c r="G1097" t="n">
        <v>0</v>
      </c>
      <c r="H1097" t="n">
        <v>3540561.72</v>
      </c>
      <c r="I1097" t="n">
        <v>3540561.72</v>
      </c>
      <c r="J1097" t="b">
        <v>1</v>
      </c>
    </row>
    <row r="1098">
      <c r="A1098" t="n">
        <v>2026</v>
      </c>
      <c r="B1098" t="n">
        <v>4</v>
      </c>
      <c r="C1098" t="n">
        <v>30</v>
      </c>
      <c r="D1098" t="inlineStr">
        <is>
          <t>3 Sonstige betriebliche Erträge</t>
        </is>
      </c>
      <c r="E1098" t="n">
        <v>56063.55</v>
      </c>
      <c r="F1098" t="n">
        <v>56063.55</v>
      </c>
      <c r="G1098" t="n">
        <v>0</v>
      </c>
      <c r="H1098" t="n">
        <v>105693.91</v>
      </c>
      <c r="I1098" t="n">
        <v>105693.91</v>
      </c>
      <c r="J1098" t="b">
        <v>1</v>
      </c>
    </row>
    <row r="1099">
      <c r="A1099" t="n">
        <v>2026</v>
      </c>
      <c r="B1099" t="n">
        <v>4</v>
      </c>
      <c r="C1099" t="n">
        <v>40</v>
      </c>
      <c r="D1099" t="inlineStr">
        <is>
          <t>4 Materialaufwand</t>
        </is>
      </c>
      <c r="E1099" t="n">
        <v>-1520583.11</v>
      </c>
      <c r="F1099" t="n">
        <v>-1520583.11</v>
      </c>
      <c r="G1099" t="n">
        <v>0</v>
      </c>
      <c r="H1099" t="n">
        <v>-6053794.41</v>
      </c>
      <c r="I1099" t="n">
        <v>-6053794.41</v>
      </c>
      <c r="J1099" t="b">
        <v>1</v>
      </c>
    </row>
    <row r="1100">
      <c r="A1100" t="n">
        <v>2026</v>
      </c>
      <c r="B1100" t="n">
        <v>4</v>
      </c>
      <c r="C1100" t="n">
        <v>50</v>
      </c>
      <c r="D1100" t="inlineStr">
        <is>
          <t>5 Personalaufwand</t>
        </is>
      </c>
      <c r="E1100" t="n">
        <v>-357150.89</v>
      </c>
      <c r="F1100" t="n">
        <v>-383705.5</v>
      </c>
      <c r="G1100" t="n">
        <v>-100746.67</v>
      </c>
      <c r="H1100" t="n">
        <v>-1368604.06</v>
      </c>
      <c r="I1100" t="n">
        <v>-1469350.73</v>
      </c>
      <c r="J1100" t="b">
        <v>0</v>
      </c>
    </row>
    <row r="1101">
      <c r="A1101" t="n">
        <v>2026</v>
      </c>
      <c r="B1101" t="n">
        <v>4</v>
      </c>
      <c r="C1101" t="n">
        <v>60</v>
      </c>
      <c r="D1101" t="inlineStr">
        <is>
          <t>6 Abschreibungen</t>
        </is>
      </c>
      <c r="E1101" t="n">
        <v>-9599.860000000001</v>
      </c>
      <c r="F1101" t="n">
        <v>-9599.860000000001</v>
      </c>
      <c r="G1101" t="n">
        <v>0</v>
      </c>
      <c r="H1101" t="n">
        <v>-38780.96</v>
      </c>
      <c r="I1101" t="n">
        <v>-38780.96</v>
      </c>
      <c r="J1101" t="b">
        <v>1</v>
      </c>
    </row>
    <row r="1102">
      <c r="A1102" t="n">
        <v>2026</v>
      </c>
      <c r="B1102" t="n">
        <v>4</v>
      </c>
      <c r="C1102" t="n">
        <v>70</v>
      </c>
      <c r="D1102" t="inlineStr">
        <is>
          <t>7 Sonstige betriebliche Aufwendungen</t>
        </is>
      </c>
      <c r="E1102" t="n">
        <v>-264828.91</v>
      </c>
      <c r="F1102" t="n">
        <v>-275785.95</v>
      </c>
      <c r="G1102" t="n">
        <v>-19104.46</v>
      </c>
      <c r="H1102" t="n">
        <v>-981637.87</v>
      </c>
      <c r="I1102" t="n">
        <v>-1000742.33</v>
      </c>
      <c r="J1102" t="b">
        <v>0</v>
      </c>
    </row>
    <row r="1103">
      <c r="A1103" t="n">
        <v>2026</v>
      </c>
      <c r="B1103" t="n">
        <v>4</v>
      </c>
      <c r="C1103" t="n">
        <v>80</v>
      </c>
      <c r="D1103" t="inlineStr">
        <is>
          <t>8 Finanzergebnis</t>
        </is>
      </c>
      <c r="E1103" t="n">
        <v>-8779.92</v>
      </c>
      <c r="F1103" t="n">
        <v>-8779.92</v>
      </c>
      <c r="G1103" t="n">
        <v>0</v>
      </c>
      <c r="H1103" t="n">
        <v>-30970.12</v>
      </c>
      <c r="I1103" t="n">
        <v>-30970.12</v>
      </c>
      <c r="J1103" t="b">
        <v>1</v>
      </c>
    </row>
    <row r="1104">
      <c r="A1104" t="n">
        <v>2026</v>
      </c>
      <c r="B1104" t="n">
        <v>5</v>
      </c>
      <c r="C1104" t="n">
        <v>10</v>
      </c>
      <c r="D1104" t="inlineStr">
        <is>
          <t>1 Umsatzerlöse</t>
        </is>
      </c>
      <c r="E1104" t="n">
        <v>1347585.48</v>
      </c>
      <c r="F1104" t="n">
        <v>1347585.48</v>
      </c>
      <c r="G1104" t="n">
        <v>0</v>
      </c>
      <c r="H1104" t="n">
        <v>6656280.55</v>
      </c>
      <c r="I1104" t="n">
        <v>6656280.55</v>
      </c>
      <c r="J1104" t="b">
        <v>1</v>
      </c>
    </row>
    <row r="1105">
      <c r="A1105" t="n">
        <v>2026</v>
      </c>
      <c r="B1105" t="n">
        <v>5</v>
      </c>
      <c r="C1105" t="n">
        <v>20</v>
      </c>
      <c r="D1105" t="inlineStr">
        <is>
          <t>2 Bestandsveränderungen</t>
        </is>
      </c>
      <c r="E1105" t="n">
        <v>-263604.09</v>
      </c>
      <c r="F1105" t="n">
        <v>-263604.09</v>
      </c>
      <c r="G1105" t="n">
        <v>0</v>
      </c>
      <c r="H1105" t="n">
        <v>3276957.63</v>
      </c>
      <c r="I1105" t="n">
        <v>3276957.63</v>
      </c>
      <c r="J1105" t="b">
        <v>1</v>
      </c>
    </row>
    <row r="1106">
      <c r="A1106" t="n">
        <v>2026</v>
      </c>
      <c r="B1106" t="n">
        <v>5</v>
      </c>
      <c r="C1106" t="n">
        <v>30</v>
      </c>
      <c r="D1106" t="inlineStr">
        <is>
          <t>3 Sonstige betriebliche Erträge</t>
        </is>
      </c>
      <c r="E1106" t="n">
        <v>24678.87</v>
      </c>
      <c r="F1106" t="n">
        <v>24678.87</v>
      </c>
      <c r="G1106" t="n">
        <v>0</v>
      </c>
      <c r="H1106" t="n">
        <v>130372.78</v>
      </c>
      <c r="I1106" t="n">
        <v>130372.78</v>
      </c>
      <c r="J1106" t="b">
        <v>1</v>
      </c>
    </row>
    <row r="1107">
      <c r="A1107" t="n">
        <v>2026</v>
      </c>
      <c r="B1107" t="n">
        <v>5</v>
      </c>
      <c r="C1107" t="n">
        <v>40</v>
      </c>
      <c r="D1107" t="inlineStr">
        <is>
          <t>4 Materialaufwand</t>
        </is>
      </c>
      <c r="E1107" t="n">
        <v>-582901.1800000001</v>
      </c>
      <c r="F1107" t="n">
        <v>-582901.1800000001</v>
      </c>
      <c r="G1107" t="n">
        <v>0</v>
      </c>
      <c r="H1107" t="n">
        <v>-6636695.59</v>
      </c>
      <c r="I1107" t="n">
        <v>-6636695.59</v>
      </c>
      <c r="J1107" t="b">
        <v>1</v>
      </c>
    </row>
    <row r="1108">
      <c r="A1108" t="n">
        <v>2026</v>
      </c>
      <c r="B1108" t="n">
        <v>5</v>
      </c>
      <c r="C1108" t="n">
        <v>50</v>
      </c>
      <c r="D1108" t="inlineStr">
        <is>
          <t>5 Personalaufwand</t>
        </is>
      </c>
      <c r="E1108" t="n">
        <v>-403048.35</v>
      </c>
      <c r="F1108" t="n">
        <v>-432453.34</v>
      </c>
      <c r="G1108" t="n">
        <v>-130151.66</v>
      </c>
      <c r="H1108" t="n">
        <v>-1771652.41</v>
      </c>
      <c r="I1108" t="n">
        <v>-1901804.07</v>
      </c>
      <c r="J1108" t="b">
        <v>0</v>
      </c>
    </row>
    <row r="1109">
      <c r="A1109" t="n">
        <v>2026</v>
      </c>
      <c r="B1109" t="n">
        <v>5</v>
      </c>
      <c r="C1109" t="n">
        <v>60</v>
      </c>
      <c r="D1109" t="inlineStr">
        <is>
          <t>6 Abschreibungen</t>
        </is>
      </c>
      <c r="E1109" t="n">
        <v>-9655.030000000001</v>
      </c>
      <c r="F1109" t="n">
        <v>-9655.030000000001</v>
      </c>
      <c r="G1109" t="n">
        <v>0</v>
      </c>
      <c r="H1109" t="n">
        <v>-48435.99</v>
      </c>
      <c r="I1109" t="n">
        <v>-48435.99</v>
      </c>
      <c r="J1109" t="b">
        <v>1</v>
      </c>
    </row>
    <row r="1110">
      <c r="A1110" t="n">
        <v>2026</v>
      </c>
      <c r="B1110" t="n">
        <v>5</v>
      </c>
      <c r="C1110" t="n">
        <v>70</v>
      </c>
      <c r="D1110" t="inlineStr">
        <is>
          <t>7 Sonstige betriebliche Aufwendungen</t>
        </is>
      </c>
      <c r="E1110" t="n">
        <v>-234086.27</v>
      </c>
      <c r="F1110" t="n">
        <v>-237116.93</v>
      </c>
      <c r="G1110" t="n">
        <v>-22135.12</v>
      </c>
      <c r="H1110" t="n">
        <v>-1215724.14</v>
      </c>
      <c r="I1110" t="n">
        <v>-1237859.26</v>
      </c>
      <c r="J1110" t="b">
        <v>0</v>
      </c>
    </row>
    <row r="1111">
      <c r="A1111" t="n">
        <v>2026</v>
      </c>
      <c r="B1111" t="n">
        <v>5</v>
      </c>
      <c r="C1111" t="n">
        <v>80</v>
      </c>
      <c r="D1111" t="inlineStr">
        <is>
          <t>8 Finanzergebnis</t>
        </is>
      </c>
      <c r="E1111" t="n">
        <v>-15584.75</v>
      </c>
      <c r="F1111" t="n">
        <v>-15584.75</v>
      </c>
      <c r="G1111" t="n">
        <v>0</v>
      </c>
      <c r="H1111" t="n">
        <v>-46554.87</v>
      </c>
      <c r="I1111" t="n">
        <v>-46554.87</v>
      </c>
      <c r="J1111" t="b">
        <v>1</v>
      </c>
    </row>
    <row r="1112">
      <c r="A1112" t="n">
        <v>2026</v>
      </c>
      <c r="B1112" t="n">
        <v>6</v>
      </c>
      <c r="C1112" t="n">
        <v>10</v>
      </c>
      <c r="D1112" t="inlineStr">
        <is>
          <t>1 Umsatzerlöse</t>
        </is>
      </c>
      <c r="E1112" t="n">
        <v>2470042.1</v>
      </c>
      <c r="F1112" t="n">
        <v>2470042.1</v>
      </c>
      <c r="G1112" t="n">
        <v>0</v>
      </c>
      <c r="H1112" t="n">
        <v>9126322.65</v>
      </c>
      <c r="I1112" t="n">
        <v>9126322.65</v>
      </c>
      <c r="J1112" t="b">
        <v>1</v>
      </c>
    </row>
    <row r="1113">
      <c r="A1113" t="n">
        <v>2026</v>
      </c>
      <c r="B1113" t="n">
        <v>6</v>
      </c>
      <c r="C1113" t="n">
        <v>20</v>
      </c>
      <c r="D1113" t="inlineStr">
        <is>
          <t>2 Bestandsveränderungen</t>
        </is>
      </c>
      <c r="E1113" t="n">
        <v>314645.23</v>
      </c>
      <c r="F1113" t="n">
        <v>314645.23</v>
      </c>
      <c r="G1113" t="n">
        <v>0</v>
      </c>
      <c r="H1113" t="n">
        <v>3591602.86</v>
      </c>
      <c r="I1113" t="n">
        <v>3591602.86</v>
      </c>
      <c r="J1113" t="b">
        <v>1</v>
      </c>
    </row>
    <row r="1114">
      <c r="A1114" t="n">
        <v>2026</v>
      </c>
      <c r="B1114" t="n">
        <v>6</v>
      </c>
      <c r="C1114" t="n">
        <v>30</v>
      </c>
      <c r="D1114" t="inlineStr">
        <is>
          <t>3 Sonstige betriebliche Erträge</t>
        </is>
      </c>
      <c r="E1114" t="n">
        <v>17068.34</v>
      </c>
      <c r="F1114" t="n">
        <v>17068.34</v>
      </c>
      <c r="G1114" t="n">
        <v>0</v>
      </c>
      <c r="H1114" t="n">
        <v>147441.12</v>
      </c>
      <c r="I1114" t="n">
        <v>147441.12</v>
      </c>
      <c r="J1114" t="b">
        <v>1</v>
      </c>
    </row>
    <row r="1115">
      <c r="A1115" t="n">
        <v>2026</v>
      </c>
      <c r="B1115" t="n">
        <v>6</v>
      </c>
      <c r="C1115" t="n">
        <v>40</v>
      </c>
      <c r="D1115" t="inlineStr">
        <is>
          <t>4 Materialaufwand</t>
        </is>
      </c>
      <c r="E1115" t="n">
        <v>-2109049.83</v>
      </c>
      <c r="F1115" t="n">
        <v>-2109049.83</v>
      </c>
      <c r="G1115" t="n">
        <v>0</v>
      </c>
      <c r="H1115" t="n">
        <v>-8745745.42</v>
      </c>
      <c r="I1115" t="n">
        <v>-8745745.42</v>
      </c>
      <c r="J1115" t="b">
        <v>1</v>
      </c>
    </row>
    <row r="1116">
      <c r="A1116" t="n">
        <v>2026</v>
      </c>
      <c r="B1116" t="n">
        <v>6</v>
      </c>
      <c r="C1116" t="n">
        <v>50</v>
      </c>
      <c r="D1116" t="inlineStr">
        <is>
          <t>5 Personalaufwand</t>
        </is>
      </c>
      <c r="E1116" t="n">
        <v>-353856.95</v>
      </c>
      <c r="F1116" t="n">
        <v>-378900.06</v>
      </c>
      <c r="G1116" t="n">
        <v>-155194.77</v>
      </c>
      <c r="H1116" t="n">
        <v>-2125509.36</v>
      </c>
      <c r="I1116" t="n">
        <v>-2280704.13</v>
      </c>
      <c r="J1116" t="b">
        <v>0</v>
      </c>
    </row>
    <row r="1117">
      <c r="A1117" t="n">
        <v>2026</v>
      </c>
      <c r="B1117" t="n">
        <v>6</v>
      </c>
      <c r="C1117" t="n">
        <v>60</v>
      </c>
      <c r="D1117" t="inlineStr">
        <is>
          <t>6 Abschreibungen</t>
        </is>
      </c>
      <c r="E1117" t="n">
        <v>-9047.959999999999</v>
      </c>
      <c r="F1117" t="n">
        <v>-9047.959999999999</v>
      </c>
      <c r="G1117" t="n">
        <v>0</v>
      </c>
      <c r="H1117" t="n">
        <v>-57483.95</v>
      </c>
      <c r="I1117" t="n">
        <v>-57483.95</v>
      </c>
      <c r="J1117" t="b">
        <v>1</v>
      </c>
    </row>
    <row r="1118">
      <c r="A1118" t="n">
        <v>2026</v>
      </c>
      <c r="B1118" t="n">
        <v>6</v>
      </c>
      <c r="C1118" t="n">
        <v>70</v>
      </c>
      <c r="D1118" t="inlineStr">
        <is>
          <t>7 Sonstige betriebliche Aufwendungen</t>
        </is>
      </c>
      <c r="E1118" t="n">
        <v>-250482.55</v>
      </c>
      <c r="F1118" t="n">
        <v>-255251.92</v>
      </c>
      <c r="G1118" t="n">
        <v>-26904.49</v>
      </c>
      <c r="H1118" t="n">
        <v>-1466206.69</v>
      </c>
      <c r="I1118" t="n">
        <v>-1493111.18</v>
      </c>
      <c r="J1118" t="b">
        <v>0</v>
      </c>
    </row>
    <row r="1119">
      <c r="A1119" t="n">
        <v>2026</v>
      </c>
      <c r="B1119" t="n">
        <v>6</v>
      </c>
      <c r="C1119" t="n">
        <v>80</v>
      </c>
      <c r="D1119" t="inlineStr">
        <is>
          <t>8 Finanzergebnis</t>
        </is>
      </c>
      <c r="E1119" t="n">
        <v>-12828.32</v>
      </c>
      <c r="F1119" t="n">
        <v>-12828.32</v>
      </c>
      <c r="G1119" t="n">
        <v>0</v>
      </c>
      <c r="H1119" t="n">
        <v>-59383.19</v>
      </c>
      <c r="I1119" t="n">
        <v>-59383.19</v>
      </c>
      <c r="J1119" t="b">
        <v>1</v>
      </c>
    </row>
    <row r="1120">
      <c r="A1120" t="n">
        <v>2026</v>
      </c>
      <c r="B1120" t="n">
        <v>7</v>
      </c>
      <c r="C1120" t="n">
        <v>10</v>
      </c>
      <c r="D1120" t="inlineStr">
        <is>
          <t>1 Umsatzerlöse</t>
        </is>
      </c>
      <c r="E1120" t="n">
        <v>1323928.2</v>
      </c>
      <c r="F1120" t="n">
        <v>1323928.2</v>
      </c>
      <c r="G1120" t="n">
        <v>0</v>
      </c>
      <c r="H1120" t="n">
        <v>10450250.85</v>
      </c>
      <c r="I1120" t="n">
        <v>10450250.85</v>
      </c>
      <c r="J1120" t="b">
        <v>1</v>
      </c>
    </row>
    <row r="1121">
      <c r="A1121" t="n">
        <v>2026</v>
      </c>
      <c r="B1121" t="n">
        <v>7</v>
      </c>
      <c r="C1121" t="n">
        <v>20</v>
      </c>
      <c r="D1121" t="inlineStr">
        <is>
          <t>2 Bestandsveränderungen</t>
        </is>
      </c>
      <c r="E1121" t="n">
        <v>294716.46</v>
      </c>
      <c r="F1121" t="n">
        <v>294716.46</v>
      </c>
      <c r="G1121" t="n">
        <v>0</v>
      </c>
      <c r="H1121" t="n">
        <v>3886319.32</v>
      </c>
      <c r="I1121" t="n">
        <v>3886319.32</v>
      </c>
      <c r="J1121" t="b">
        <v>1</v>
      </c>
    </row>
    <row r="1122">
      <c r="A1122" t="n">
        <v>2026</v>
      </c>
      <c r="B1122" t="n">
        <v>7</v>
      </c>
      <c r="C1122" t="n">
        <v>30</v>
      </c>
      <c r="D1122" t="inlineStr">
        <is>
          <t>3 Sonstige betriebliche Erträge</t>
        </is>
      </c>
      <c r="E1122" t="n">
        <v>15326.23</v>
      </c>
      <c r="F1122" t="n">
        <v>15326.23</v>
      </c>
      <c r="G1122" t="n">
        <v>0</v>
      </c>
      <c r="H1122" t="n">
        <v>162767.35</v>
      </c>
      <c r="I1122" t="n">
        <v>162767.35</v>
      </c>
      <c r="J1122" t="b">
        <v>1</v>
      </c>
    </row>
    <row r="1123">
      <c r="A1123" t="n">
        <v>2026</v>
      </c>
      <c r="B1123" t="n">
        <v>7</v>
      </c>
      <c r="C1123" t="n">
        <v>40</v>
      </c>
      <c r="D1123" t="inlineStr">
        <is>
          <t>4 Materialaufwand</t>
        </is>
      </c>
      <c r="E1123" t="n">
        <v>-1512452.36</v>
      </c>
      <c r="F1123" t="n">
        <v>-1512452.36</v>
      </c>
      <c r="G1123" t="n">
        <v>0</v>
      </c>
      <c r="H1123" t="n">
        <v>-10258197.78</v>
      </c>
      <c r="I1123" t="n">
        <v>-10258197.78</v>
      </c>
      <c r="J1123" t="b">
        <v>1</v>
      </c>
    </row>
    <row r="1124">
      <c r="A1124" t="n">
        <v>2026</v>
      </c>
      <c r="B1124" t="n">
        <v>7</v>
      </c>
      <c r="C1124" t="n">
        <v>50</v>
      </c>
      <c r="D1124" t="inlineStr">
        <is>
          <t>5 Personalaufwand</t>
        </is>
      </c>
      <c r="E1124" t="n">
        <v>-545589.77</v>
      </c>
      <c r="F1124" t="n">
        <v>-390395</v>
      </c>
      <c r="G1124" t="n">
        <v>0</v>
      </c>
      <c r="H1124" t="n">
        <v>-2671099.13</v>
      </c>
      <c r="I1124" t="n">
        <v>-2671099.13</v>
      </c>
      <c r="J1124" t="b">
        <v>1</v>
      </c>
    </row>
    <row r="1125">
      <c r="A1125" t="n">
        <v>2026</v>
      </c>
      <c r="B1125" t="n">
        <v>7</v>
      </c>
      <c r="C1125" t="n">
        <v>60</v>
      </c>
      <c r="D1125" t="inlineStr">
        <is>
          <t>6 Abschreibungen</t>
        </is>
      </c>
      <c r="E1125" t="n">
        <v>-9082.969999999999</v>
      </c>
      <c r="F1125" t="n">
        <v>-9082.969999999999</v>
      </c>
      <c r="G1125" t="n">
        <v>0</v>
      </c>
      <c r="H1125" t="n">
        <v>-66566.92</v>
      </c>
      <c r="I1125" t="n">
        <v>-66566.92</v>
      </c>
      <c r="J1125" t="b">
        <v>1</v>
      </c>
    </row>
    <row r="1126">
      <c r="A1126" t="n">
        <v>2026</v>
      </c>
      <c r="B1126" t="n">
        <v>7</v>
      </c>
      <c r="C1126" t="n">
        <v>70</v>
      </c>
      <c r="D1126" t="inlineStr">
        <is>
          <t>7 Sonstige betriebliche Aufwendungen</t>
        </is>
      </c>
      <c r="E1126" t="n">
        <v>-272150.56</v>
      </c>
      <c r="F1126" t="n">
        <v>-245246.07</v>
      </c>
      <c r="G1126" t="n">
        <v>0</v>
      </c>
      <c r="H1126" t="n">
        <v>-1738357.25</v>
      </c>
      <c r="I1126" t="n">
        <v>-1738357.25</v>
      </c>
      <c r="J1126" t="b">
        <v>1</v>
      </c>
    </row>
    <row r="1127">
      <c r="A1127" t="n">
        <v>2026</v>
      </c>
      <c r="B1127" t="n">
        <v>7</v>
      </c>
      <c r="C1127" t="n">
        <v>80</v>
      </c>
      <c r="D1127" t="inlineStr">
        <is>
          <t>8 Finanzergebnis</t>
        </is>
      </c>
      <c r="E1127" t="n">
        <v>-8079.09</v>
      </c>
      <c r="F1127" t="n">
        <v>-8079.09</v>
      </c>
      <c r="G1127" t="n">
        <v>0</v>
      </c>
      <c r="H1127" t="n">
        <v>-67462.28</v>
      </c>
      <c r="I1127" t="n">
        <v>-67462.28</v>
      </c>
      <c r="J1127" t="b">
        <v>1</v>
      </c>
    </row>
    <row r="1128">
      <c r="A1128" t="n">
        <v>2026</v>
      </c>
      <c r="B1128" t="n">
        <v>8</v>
      </c>
      <c r="C1128" t="n">
        <v>10</v>
      </c>
      <c r="D1128" t="inlineStr">
        <is>
          <t>1 Umsatzerlöse</t>
        </is>
      </c>
      <c r="E1128" t="n">
        <v>776739.84</v>
      </c>
      <c r="F1128" t="n">
        <v>854339.84</v>
      </c>
      <c r="G1128" t="n">
        <v>77600</v>
      </c>
      <c r="H1128" t="n">
        <v>11226990.69</v>
      </c>
      <c r="I1128" t="n">
        <v>11304590.69</v>
      </c>
      <c r="J1128" t="b">
        <v>0</v>
      </c>
    </row>
    <row r="1129">
      <c r="A1129" t="n">
        <v>2026</v>
      </c>
      <c r="B1129" t="n">
        <v>8</v>
      </c>
      <c r="C1129" t="n">
        <v>20</v>
      </c>
      <c r="D1129" t="inlineStr">
        <is>
          <t>2 Bestandsveränderungen</t>
        </is>
      </c>
      <c r="E1129" t="n">
        <v>980398.13</v>
      </c>
      <c r="F1129" t="n">
        <v>1022525.14</v>
      </c>
      <c r="G1129" t="n">
        <v>42127.01</v>
      </c>
      <c r="H1129" t="n">
        <v>4866717.45</v>
      </c>
      <c r="I1129" t="n">
        <v>4908844.46</v>
      </c>
      <c r="J1129" t="b">
        <v>0</v>
      </c>
    </row>
    <row r="1130">
      <c r="A1130" t="n">
        <v>2026</v>
      </c>
      <c r="B1130" t="n">
        <v>8</v>
      </c>
      <c r="C1130" t="n">
        <v>30</v>
      </c>
      <c r="D1130" t="inlineStr">
        <is>
          <t>3 Sonstige betriebliche Erträge</t>
        </is>
      </c>
      <c r="E1130" t="n">
        <v>13477.03</v>
      </c>
      <c r="F1130" t="n">
        <v>14281.36</v>
      </c>
      <c r="G1130" t="n">
        <v>804.33</v>
      </c>
      <c r="H1130" t="n">
        <v>176244.38</v>
      </c>
      <c r="I1130" t="n">
        <v>177048.71</v>
      </c>
      <c r="J1130" t="b">
        <v>1</v>
      </c>
    </row>
    <row r="1131">
      <c r="A1131" t="n">
        <v>2026</v>
      </c>
      <c r="B1131" t="n">
        <v>8</v>
      </c>
      <c r="C1131" t="n">
        <v>40</v>
      </c>
      <c r="D1131" t="inlineStr">
        <is>
          <t>4 Materialaufwand</t>
        </is>
      </c>
      <c r="E1131" t="n">
        <v>-1564382.3</v>
      </c>
      <c r="F1131" t="n">
        <v>-1436882.3</v>
      </c>
      <c r="G1131" t="n">
        <v>127500</v>
      </c>
      <c r="H1131" t="n">
        <v>-11822580.08</v>
      </c>
      <c r="I1131" t="n">
        <v>-11695080.08</v>
      </c>
      <c r="J1131" t="b">
        <v>0</v>
      </c>
    </row>
    <row r="1132">
      <c r="A1132" t="n">
        <v>2026</v>
      </c>
      <c r="B1132" t="n">
        <v>8</v>
      </c>
      <c r="C1132" t="n">
        <v>50</v>
      </c>
      <c r="D1132" t="inlineStr">
        <is>
          <t>5 Personalaufwand</t>
        </is>
      </c>
      <c r="E1132" t="n">
        <v>-429864.59</v>
      </c>
      <c r="F1132" t="n">
        <v>-399129.54</v>
      </c>
      <c r="G1132" t="n">
        <v>30735.05</v>
      </c>
      <c r="H1132" t="n">
        <v>-3100963.72</v>
      </c>
      <c r="I1132" t="n">
        <v>-3070228.67</v>
      </c>
      <c r="J1132" t="b">
        <v>0</v>
      </c>
    </row>
    <row r="1133">
      <c r="A1133" t="n">
        <v>2026</v>
      </c>
      <c r="B1133" t="n">
        <v>8</v>
      </c>
      <c r="C1133" t="n">
        <v>60</v>
      </c>
      <c r="D1133" t="inlineStr">
        <is>
          <t>6 Abschreibungen</t>
        </is>
      </c>
      <c r="E1133" t="n">
        <v>-9109.85</v>
      </c>
      <c r="F1133" t="n">
        <v>-9109.85</v>
      </c>
      <c r="G1133" t="n">
        <v>0</v>
      </c>
      <c r="H1133" t="n">
        <v>-75676.77</v>
      </c>
      <c r="I1133" t="n">
        <v>-75676.77</v>
      </c>
      <c r="J1133" t="b">
        <v>1</v>
      </c>
    </row>
    <row r="1134">
      <c r="A1134" t="n">
        <v>2026</v>
      </c>
      <c r="B1134" t="n">
        <v>8</v>
      </c>
      <c r="C1134" t="n">
        <v>70</v>
      </c>
      <c r="D1134" t="inlineStr">
        <is>
          <t>7 Sonstige betriebliche Aufwendungen</t>
        </is>
      </c>
      <c r="E1134" t="n">
        <v>-191884.67</v>
      </c>
      <c r="F1134" t="n">
        <v>-191884.67</v>
      </c>
      <c r="G1134" t="n">
        <v>0</v>
      </c>
      <c r="H1134" t="n">
        <v>-1930241.92</v>
      </c>
      <c r="I1134" t="n">
        <v>-1930241.92</v>
      </c>
      <c r="J1134" t="b">
        <v>1</v>
      </c>
    </row>
    <row r="1135">
      <c r="A1135" t="n">
        <v>2026</v>
      </c>
      <c r="B1135" t="n">
        <v>8</v>
      </c>
      <c r="C1135" t="n">
        <v>80</v>
      </c>
      <c r="D1135" t="inlineStr">
        <is>
          <t>8 Finanzergebnis</t>
        </is>
      </c>
      <c r="E1135" t="n">
        <v>-12425.47</v>
      </c>
      <c r="F1135" t="n">
        <v>-12425.47</v>
      </c>
      <c r="G1135" t="n">
        <v>0</v>
      </c>
      <c r="H1135" t="n">
        <v>-79887.75</v>
      </c>
      <c r="I1135" t="n">
        <v>-79887.75</v>
      </c>
      <c r="J1135" t="b">
        <v>1</v>
      </c>
    </row>
    <row r="1139">
      <c r="A1139" t="inlineStr">
        <is>
          <t>v_abweichung_monat</t>
        </is>
      </c>
    </row>
    <row r="1140">
      <c r="A1140" t="inlineStr">
        <is>
          <t>jahr</t>
        </is>
      </c>
      <c r="B1140" t="inlineStr">
        <is>
          <t>monat</t>
        </is>
      </c>
      <c r="C1140" t="inlineStr">
        <is>
          <t>art</t>
        </is>
      </c>
      <c r="D1140" t="inlineStr">
        <is>
          <t>ebitda_plan</t>
        </is>
      </c>
      <c r="E1140" t="inlineStr">
        <is>
          <t>ebitda_wirklich</t>
        </is>
      </c>
      <c r="F1140" t="inlineStr">
        <is>
          <t>abweichung_gesamt</t>
        </is>
      </c>
      <c r="G1140" t="inlineStr">
        <is>
          <t>gl_plan</t>
        </is>
      </c>
      <c r="H1140" t="inlineStr">
        <is>
          <t>gl_wirklich</t>
        </is>
      </c>
      <c r="I1140" t="inlineStr">
        <is>
          <t>abweichung_leistung</t>
        </is>
      </c>
      <c r="J1140" t="inlineStr">
        <is>
          <t>umsatz</t>
        </is>
      </c>
      <c r="K1140" t="inlineStr">
        <is>
          <t>bestand</t>
        </is>
      </c>
      <c r="L1140" t="inlineStr">
        <is>
          <t>sbe</t>
        </is>
      </c>
      <c r="M1140" t="inlineStr">
        <is>
          <t>material</t>
        </is>
      </c>
      <c r="N1140" t="inlineStr">
        <is>
          <t>personal</t>
        </is>
      </c>
      <c r="O1140" t="inlineStr">
        <is>
          <t>sonstige</t>
        </is>
      </c>
      <c r="P1140" t="inlineStr">
        <is>
          <t>overhead</t>
        </is>
      </c>
      <c r="Q1140" t="inlineStr">
        <is>
          <t>bewertung</t>
        </is>
      </c>
    </row>
    <row r="1141">
      <c r="A1141" t="n">
        <v>2026</v>
      </c>
      <c r="B1141" t="n">
        <v>1</v>
      </c>
      <c r="C1141" t="inlineStr">
        <is>
          <t>IST</t>
        </is>
      </c>
      <c r="D1141" t="n">
        <v>76000</v>
      </c>
      <c r="E1141" t="n">
        <v>294942.37</v>
      </c>
      <c r="F1141" t="n">
        <v>218942.37</v>
      </c>
      <c r="G1141" t="n">
        <v>1416000</v>
      </c>
      <c r="H1141" t="n">
        <v>1920412.71</v>
      </c>
      <c r="I1141" t="n">
        <v>504412.71</v>
      </c>
      <c r="J1141" t="n">
        <v>639565.45</v>
      </c>
      <c r="K1141" t="n">
        <v>1280847.26</v>
      </c>
      <c r="L1141" t="n">
        <v>12030.21</v>
      </c>
      <c r="M1141" t="n">
        <v>-1080421</v>
      </c>
      <c r="N1141" t="n">
        <v>-338608.8</v>
      </c>
      <c r="O1141" t="n">
        <v>-223180.95</v>
      </c>
      <c r="P1141" t="n">
        <v>-89049</v>
      </c>
      <c r="Q1141" t="n">
        <v>0</v>
      </c>
    </row>
    <row r="1142">
      <c r="A1142" t="n">
        <v>2026</v>
      </c>
      <c r="B1142" t="n">
        <v>2</v>
      </c>
      <c r="C1142" t="inlineStr">
        <is>
          <t>IST</t>
        </is>
      </c>
      <c r="D1142" t="n">
        <v>25000</v>
      </c>
      <c r="E1142" t="n">
        <v>318570.76</v>
      </c>
      <c r="F1142" t="n">
        <v>293570.76</v>
      </c>
      <c r="G1142" t="n">
        <v>1348000</v>
      </c>
      <c r="H1142" t="n">
        <v>2577067.73</v>
      </c>
      <c r="I1142" t="n">
        <v>1229067.73</v>
      </c>
      <c r="J1142" t="n">
        <v>2777244.65</v>
      </c>
      <c r="K1142" t="n">
        <v>-200176.92</v>
      </c>
      <c r="L1142" t="n">
        <v>22190.76</v>
      </c>
      <c r="M1142" t="n">
        <v>-1706242.27</v>
      </c>
      <c r="N1142" t="n">
        <v>-363244</v>
      </c>
      <c r="O1142" t="n">
        <v>-214918.93</v>
      </c>
      <c r="P1142" t="n">
        <v>-104263</v>
      </c>
      <c r="Q1142" t="n">
        <v>0</v>
      </c>
    </row>
    <row r="1143">
      <c r="A1143" t="n">
        <v>2026</v>
      </c>
      <c r="B1143" t="n">
        <v>3</v>
      </c>
      <c r="C1143" t="inlineStr">
        <is>
          <t>IST</t>
        </is>
      </c>
      <c r="D1143" t="n">
        <v>127000</v>
      </c>
      <c r="E1143" t="n">
        <v>23595.18</v>
      </c>
      <c r="F1143" t="n">
        <v>-103404.82</v>
      </c>
      <c r="G1143" t="n">
        <v>1483000</v>
      </c>
      <c r="H1143" t="n">
        <v>2412212.87</v>
      </c>
      <c r="I1143" t="n">
        <v>929212.87</v>
      </c>
      <c r="J1143" t="n">
        <v>1213541.38</v>
      </c>
      <c r="K1143" t="n">
        <v>1198671.49</v>
      </c>
      <c r="L1143" t="n">
        <v>15409.39</v>
      </c>
      <c r="M1143" t="n">
        <v>-1746548.03</v>
      </c>
      <c r="N1143" t="n">
        <v>-383792.43</v>
      </c>
      <c r="O1143" t="n">
        <v>-286856.5</v>
      </c>
      <c r="P1143" t="n">
        <v>-151248</v>
      </c>
      <c r="Q1143" t="n">
        <v>0</v>
      </c>
    </row>
    <row r="1144">
      <c r="A1144" t="n">
        <v>2026</v>
      </c>
      <c r="B1144" t="n">
        <v>4</v>
      </c>
      <c r="C1144" t="inlineStr">
        <is>
          <t>IST</t>
        </is>
      </c>
      <c r="D1144" t="n">
        <v>24000</v>
      </c>
      <c r="E1144" t="n">
        <v>-179274.07</v>
      </c>
      <c r="F1144" t="n">
        <v>-203274.07</v>
      </c>
      <c r="G1144" t="n">
        <v>1348000</v>
      </c>
      <c r="H1144" t="n">
        <v>1939563.48</v>
      </c>
      <c r="I1144" t="n">
        <v>591563.48</v>
      </c>
      <c r="J1144" t="n">
        <v>678343.59</v>
      </c>
      <c r="K1144" t="n">
        <v>1261219.89</v>
      </c>
      <c r="L1144" t="n">
        <v>56063.55</v>
      </c>
      <c r="M1144" t="n">
        <v>-1520583.11</v>
      </c>
      <c r="N1144" t="n">
        <v>-383705.5</v>
      </c>
      <c r="O1144" t="n">
        <v>-275785.95</v>
      </c>
      <c r="P1144" t="n">
        <v>-152056</v>
      </c>
      <c r="Q1144" t="n">
        <v>0</v>
      </c>
    </row>
    <row r="1145">
      <c r="A1145" t="n">
        <v>2026</v>
      </c>
      <c r="B1145" t="n">
        <v>5</v>
      </c>
      <c r="C1145" t="inlineStr">
        <is>
          <t>IST</t>
        </is>
      </c>
      <c r="D1145" t="n">
        <v>-79000</v>
      </c>
      <c r="E1145" t="n">
        <v>-141241.9</v>
      </c>
      <c r="F1145" t="n">
        <v>-62241.9</v>
      </c>
      <c r="G1145" t="n">
        <v>1213000</v>
      </c>
      <c r="H1145" t="n">
        <v>1083981.39</v>
      </c>
      <c r="I1145" t="n">
        <v>-129018.61</v>
      </c>
      <c r="J1145" t="n">
        <v>1347585.48</v>
      </c>
      <c r="K1145" t="n">
        <v>-263604.09</v>
      </c>
      <c r="L1145" t="n">
        <v>24678.87</v>
      </c>
      <c r="M1145" t="n">
        <v>-582901.1800000001</v>
      </c>
      <c r="N1145" t="n">
        <v>-432453.34</v>
      </c>
      <c r="O1145" t="n">
        <v>-237116.93</v>
      </c>
      <c r="P1145" t="n">
        <v>-163062</v>
      </c>
      <c r="Q1145" t="n">
        <v>0</v>
      </c>
    </row>
    <row r="1146">
      <c r="A1146" t="n">
        <v>2026</v>
      </c>
      <c r="B1146" t="n">
        <v>6</v>
      </c>
      <c r="C1146" t="inlineStr">
        <is>
          <t>IST</t>
        </is>
      </c>
      <c r="D1146" t="n">
        <v>126000</v>
      </c>
      <c r="E1146" t="n">
        <v>58553.86</v>
      </c>
      <c r="F1146" t="n">
        <v>-67446.14</v>
      </c>
      <c r="G1146" t="n">
        <v>1483000</v>
      </c>
      <c r="H1146" t="n">
        <v>2784687.33</v>
      </c>
      <c r="I1146" t="n">
        <v>1301687.33</v>
      </c>
      <c r="J1146" t="n">
        <v>2470042.1</v>
      </c>
      <c r="K1146" t="n">
        <v>314645.23</v>
      </c>
      <c r="L1146" t="n">
        <v>17068.34</v>
      </c>
      <c r="M1146" t="n">
        <v>-2109049.83</v>
      </c>
      <c r="N1146" t="n">
        <v>-378900.06</v>
      </c>
      <c r="O1146" t="n">
        <v>-255251.92</v>
      </c>
      <c r="P1146" t="n">
        <v>-148642</v>
      </c>
      <c r="Q1146" t="n">
        <v>0</v>
      </c>
    </row>
    <row r="1147">
      <c r="A1147" t="n">
        <v>2026</v>
      </c>
      <c r="B1147" t="n">
        <v>7</v>
      </c>
      <c r="C1147" t="inlineStr">
        <is>
          <t>IST</t>
        </is>
      </c>
      <c r="D1147" t="n">
        <v>178000</v>
      </c>
      <c r="E1147" t="n">
        <v>-495291.54</v>
      </c>
      <c r="F1147" t="n">
        <v>-673291.54</v>
      </c>
      <c r="G1147" t="n">
        <v>1551000</v>
      </c>
      <c r="H1147" t="n">
        <v>1618644.66</v>
      </c>
      <c r="I1147" t="n">
        <v>67644.66</v>
      </c>
      <c r="J1147" t="n">
        <v>1323928.2</v>
      </c>
      <c r="K1147" t="n">
        <v>294716.46</v>
      </c>
      <c r="L1147" t="n">
        <v>15326.23</v>
      </c>
      <c r="M1147" t="n">
        <v>-1512452.36</v>
      </c>
      <c r="N1147" t="n">
        <v>-390395</v>
      </c>
      <c r="O1147" t="n">
        <v>-245246.07</v>
      </c>
      <c r="P1147" t="n">
        <v>-148641</v>
      </c>
      <c r="Q1147" t="n">
        <v>0</v>
      </c>
    </row>
    <row r="1148">
      <c r="A1148" t="n">
        <v>2026</v>
      </c>
      <c r="B1148" t="n">
        <v>8</v>
      </c>
      <c r="C1148" t="inlineStr">
        <is>
          <t>IST</t>
        </is>
      </c>
      <c r="D1148" t="n">
        <v>76000</v>
      </c>
      <c r="E1148" t="n">
        <v>-138242.37</v>
      </c>
      <c r="F1148" t="n">
        <v>-214242.37</v>
      </c>
      <c r="G1148" t="n">
        <v>1416000</v>
      </c>
      <c r="H1148" t="n">
        <v>1876864.98</v>
      </c>
      <c r="I1148" t="n">
        <v>460864.98</v>
      </c>
      <c r="J1148" t="n">
        <v>854339.84</v>
      </c>
      <c r="K1148" t="n">
        <v>1022525.14</v>
      </c>
      <c r="L1148" t="n">
        <v>14281.36</v>
      </c>
      <c r="M1148" t="n">
        <v>-1436882.3</v>
      </c>
      <c r="N1148" t="n">
        <v>-399129.54</v>
      </c>
      <c r="O1148" t="n">
        <v>-191884.67</v>
      </c>
      <c r="P1148" t="n">
        <v>-152558</v>
      </c>
      <c r="Q1148" t="n">
        <v>0</v>
      </c>
    </row>
    <row r="1149">
      <c r="A1149" t="n">
        <v>2026</v>
      </c>
      <c r="B1149" t="n">
        <v>9</v>
      </c>
      <c r="C1149" t="inlineStr">
        <is>
          <t>FC</t>
        </is>
      </c>
      <c r="D1149" t="n">
        <v>125000</v>
      </c>
      <c r="E1149" t="n">
        <v>309886</v>
      </c>
      <c r="F1149" t="n">
        <v>184886</v>
      </c>
      <c r="G1149" t="n">
        <v>1483000</v>
      </c>
      <c r="H1149" t="n">
        <v>2604944</v>
      </c>
      <c r="I1149" t="n">
        <v>1121944</v>
      </c>
      <c r="J1149" t="n">
        <v>2604944</v>
      </c>
      <c r="K1149" t="n">
        <v>0</v>
      </c>
      <c r="L1149" t="n">
        <v>325242.43</v>
      </c>
      <c r="M1149" t="n">
        <v>-1735737.84</v>
      </c>
      <c r="N1149" t="n">
        <v>-356776.51</v>
      </c>
      <c r="O1149" t="n">
        <v>-258426.01</v>
      </c>
      <c r="P1149" t="n">
        <v>-158558</v>
      </c>
      <c r="Q1149" t="n">
        <v>0</v>
      </c>
    </row>
    <row r="1150">
      <c r="A1150" t="n">
        <v>2026</v>
      </c>
      <c r="B1150" t="n">
        <v>10</v>
      </c>
      <c r="C1150" t="inlineStr">
        <is>
          <t>FC</t>
        </is>
      </c>
      <c r="D1150" t="n">
        <v>125000</v>
      </c>
      <c r="E1150" t="n">
        <v>118692</v>
      </c>
      <c r="F1150" t="n">
        <v>-6308</v>
      </c>
      <c r="G1150" t="n">
        <v>1483000</v>
      </c>
      <c r="H1150" t="n">
        <v>1333000</v>
      </c>
      <c r="I1150" t="n">
        <v>-150000</v>
      </c>
      <c r="J1150" t="n">
        <v>1333000</v>
      </c>
      <c r="K1150" t="n">
        <v>0</v>
      </c>
      <c r="P1150" t="n">
        <v>-142558</v>
      </c>
      <c r="Q1150" t="n">
        <v>0</v>
      </c>
    </row>
    <row r="1151">
      <c r="A1151" t="n">
        <v>2026</v>
      </c>
      <c r="B1151" t="n">
        <v>11</v>
      </c>
      <c r="C1151" t="inlineStr">
        <is>
          <t>FC</t>
        </is>
      </c>
      <c r="D1151" t="n">
        <v>73000</v>
      </c>
      <c r="E1151" t="n">
        <v>380092</v>
      </c>
      <c r="F1151" t="n">
        <v>307092</v>
      </c>
      <c r="G1151" t="n">
        <v>1416000</v>
      </c>
      <c r="H1151" t="n">
        <v>1775000</v>
      </c>
      <c r="I1151" t="n">
        <v>359000</v>
      </c>
      <c r="J1151" t="n">
        <v>1775000</v>
      </c>
      <c r="K1151" t="n">
        <v>0</v>
      </c>
      <c r="P1151" t="n">
        <v>-136558</v>
      </c>
      <c r="Q1151" t="n">
        <v>0</v>
      </c>
    </row>
    <row r="1152">
      <c r="A1152" t="n">
        <v>2026</v>
      </c>
      <c r="B1152" t="n">
        <v>12</v>
      </c>
      <c r="C1152" t="inlineStr">
        <is>
          <t>FC</t>
        </is>
      </c>
      <c r="D1152" t="n">
        <v>124000</v>
      </c>
      <c r="E1152" t="n">
        <v>-110405</v>
      </c>
      <c r="F1152" t="n">
        <v>-234405</v>
      </c>
      <c r="G1152" t="n">
        <v>1483000</v>
      </c>
      <c r="H1152" t="n">
        <v>1073000</v>
      </c>
      <c r="I1152" t="n">
        <v>-410000</v>
      </c>
      <c r="J1152" t="n">
        <v>1073000</v>
      </c>
      <c r="K1152" t="n">
        <v>0</v>
      </c>
      <c r="P1152" t="n">
        <v>-136558</v>
      </c>
      <c r="Q1152" t="n">
        <v>0</v>
      </c>
    </row>
    <row r="1156">
      <c r="A1156" t="inlineStr">
        <is>
          <t>v_plan_position_monat</t>
        </is>
      </c>
    </row>
    <row r="1157">
      <c r="A1157" t="inlineStr">
        <is>
          <t>jahr</t>
        </is>
      </c>
      <c r="B1157" t="inlineStr">
        <is>
          <t>monat</t>
        </is>
      </c>
      <c r="C1157" t="inlineStr">
        <is>
          <t>guv_position</t>
        </is>
      </c>
      <c r="D1157" t="inlineStr">
        <is>
          <t>kostenblock</t>
        </is>
      </c>
      <c r="E1157" t="inlineStr">
        <is>
          <t>plan_monat</t>
        </is>
      </c>
      <c r="F1157" t="inlineStr">
        <is>
          <t>jahr_wert</t>
        </is>
      </c>
    </row>
    <row r="1158">
      <c r="A1158" t="n">
        <v>2029</v>
      </c>
      <c r="B1158" t="n">
        <v>1</v>
      </c>
      <c r="C1158" t="inlineStr">
        <is>
          <t>Sonderz. Prämie</t>
        </is>
      </c>
      <c r="D1158" t="inlineStr">
        <is>
          <t>Personalaufwand</t>
        </is>
      </c>
      <c r="E1158" t="n">
        <v>23292.21</v>
      </c>
      <c r="F1158" t="n">
        <v>279506.56</v>
      </c>
    </row>
    <row r="1159">
      <c r="A1159" t="n">
        <v>2030</v>
      </c>
      <c r="B1159" t="n">
        <v>1</v>
      </c>
      <c r="C1159" t="inlineStr">
        <is>
          <t>sonst Personalk</t>
        </is>
      </c>
      <c r="D1159" t="inlineStr">
        <is>
          <t>Personalaufwand</t>
        </is>
      </c>
      <c r="E1159" t="n">
        <v>15558.93</v>
      </c>
      <c r="F1159" t="n">
        <v>186707.19</v>
      </c>
    </row>
    <row r="1160">
      <c r="A1160" t="n">
        <v>2031</v>
      </c>
      <c r="B1160" t="n">
        <v>1</v>
      </c>
      <c r="C1160" t="inlineStr">
        <is>
          <t>Ankauf Rohstoff</t>
        </is>
      </c>
      <c r="D1160" t="inlineStr">
        <is>
          <t>Vorleistungen</t>
        </is>
      </c>
      <c r="E1160" t="n">
        <v>1489.65</v>
      </c>
      <c r="F1160" t="n">
        <v>17875.76</v>
      </c>
    </row>
    <row r="1161">
      <c r="A1161" t="n">
        <v>2029</v>
      </c>
      <c r="B1161" t="n">
        <v>1</v>
      </c>
      <c r="C1161" t="inlineStr">
        <is>
          <t>Weiterber. Frem</t>
        </is>
      </c>
      <c r="D1161" t="inlineStr">
        <is>
          <t>Vorleistungen</t>
        </is>
      </c>
      <c r="E1161" t="n">
        <v>0</v>
      </c>
      <c r="F1161" t="n">
        <v>0</v>
      </c>
    </row>
    <row r="1162">
      <c r="A1162" t="n">
        <v>2031</v>
      </c>
      <c r="B1162" t="n">
        <v>1</v>
      </c>
      <c r="C1162" t="inlineStr">
        <is>
          <t>Sonstige Steuer</t>
        </is>
      </c>
      <c r="D1162" t="inlineStr">
        <is>
          <t>Fuhrparkkosten</t>
        </is>
      </c>
      <c r="E1162" t="n">
        <v>1890.32</v>
      </c>
      <c r="F1162" t="n">
        <v>22683.81</v>
      </c>
    </row>
    <row r="1163">
      <c r="A1163" t="n">
        <v>2030</v>
      </c>
      <c r="B1163" t="n">
        <v>1</v>
      </c>
      <c r="C1163" t="inlineStr">
        <is>
          <t>Bestandsveraend</t>
        </is>
      </c>
      <c r="D1163" t="inlineStr">
        <is>
          <t>Gesamtleistung</t>
        </is>
      </c>
      <c r="E1163" t="n">
        <v>0</v>
      </c>
      <c r="F1163" t="n">
        <v>0</v>
      </c>
    </row>
    <row r="1164">
      <c r="A1164" t="n">
        <v>2031</v>
      </c>
      <c r="B1164" t="n">
        <v>1</v>
      </c>
      <c r="C1164" t="inlineStr">
        <is>
          <t>Erl. so. DL Dt.</t>
        </is>
      </c>
      <c r="D1164" t="inlineStr">
        <is>
          <t>Gesamtleistung</t>
        </is>
      </c>
      <c r="E1164" t="n">
        <v>2428139.11</v>
      </c>
      <c r="F1164" t="n">
        <v>29137669.32</v>
      </c>
    </row>
    <row r="1165">
      <c r="A1165" t="n">
        <v>2030</v>
      </c>
      <c r="B1165" t="n">
        <v>1</v>
      </c>
      <c r="C1165" t="inlineStr">
        <is>
          <t>Sonstige Steuer</t>
        </is>
      </c>
      <c r="D1165" t="inlineStr">
        <is>
          <t>Fuhrparkkosten</t>
        </is>
      </c>
      <c r="E1165" t="n">
        <v>1783.32</v>
      </c>
      <c r="F1165" t="n">
        <v>21399.82</v>
      </c>
    </row>
    <row r="1166">
      <c r="A1166" t="n">
        <v>2030</v>
      </c>
      <c r="B1166" t="n">
        <v>1</v>
      </c>
      <c r="C1166" t="inlineStr">
        <is>
          <t>Sonderz. Prämie</t>
        </is>
      </c>
      <c r="D1166" t="inlineStr">
        <is>
          <t>Personalaufwand</t>
        </is>
      </c>
      <c r="E1166" t="n">
        <v>25004.1</v>
      </c>
      <c r="F1166" t="n">
        <v>300049.14</v>
      </c>
    </row>
    <row r="1167">
      <c r="A1167" t="n">
        <v>2029</v>
      </c>
      <c r="B1167" t="n">
        <v>1</v>
      </c>
      <c r="C1167" t="inlineStr">
        <is>
          <t>Soziale Abgaben</t>
        </is>
      </c>
      <c r="D1167" t="inlineStr">
        <is>
          <t>Personalaufwand</t>
        </is>
      </c>
      <c r="E1167" t="n">
        <v>94488.11</v>
      </c>
      <c r="F1167" t="n">
        <v>1133857.35</v>
      </c>
    </row>
    <row r="1168">
      <c r="A1168" t="n">
        <v>2031</v>
      </c>
      <c r="B1168" t="n">
        <v>1</v>
      </c>
      <c r="C1168" t="inlineStr">
        <is>
          <t>So. betr. Aufwa</t>
        </is>
      </c>
      <c r="D1168" t="inlineStr">
        <is>
          <t>Verwaltungskosten</t>
        </is>
      </c>
      <c r="E1168" t="n">
        <v>735.47</v>
      </c>
      <c r="F1168" t="n">
        <v>8825.639999999999</v>
      </c>
    </row>
    <row r="1169">
      <c r="A1169" t="n">
        <v>2027</v>
      </c>
      <c r="B1169" t="n">
        <v>1</v>
      </c>
      <c r="C1169" t="inlineStr">
        <is>
          <t>Lohn + Gehalt</t>
        </is>
      </c>
      <c r="D1169" t="inlineStr">
        <is>
          <t>Personalaufwand</t>
        </is>
      </c>
      <c r="E1169" t="n">
        <v>287946.36</v>
      </c>
      <c r="F1169" t="n">
        <v>3455356.33</v>
      </c>
    </row>
    <row r="1170">
      <c r="A1170" t="n">
        <v>2027</v>
      </c>
      <c r="B1170" t="n">
        <v>1</v>
      </c>
      <c r="C1170" t="inlineStr">
        <is>
          <t>So. betr. Aufwa</t>
        </is>
      </c>
      <c r="D1170" t="inlineStr">
        <is>
          <t>Verwaltungskosten</t>
        </is>
      </c>
      <c r="E1170" t="n">
        <v>653.45</v>
      </c>
      <c r="F1170" t="n">
        <v>7841.45</v>
      </c>
    </row>
    <row r="1171">
      <c r="A1171" t="n">
        <v>2028</v>
      </c>
      <c r="B1171" t="n">
        <v>1</v>
      </c>
      <c r="C1171" t="inlineStr">
        <is>
          <t>Ueb Lohn-Gehalt</t>
        </is>
      </c>
      <c r="D1171" t="inlineStr">
        <is>
          <t>Personalaufwand</t>
        </is>
      </c>
      <c r="E1171" t="n">
        <v>34332.83</v>
      </c>
      <c r="F1171" t="n">
        <v>411993.96</v>
      </c>
    </row>
    <row r="1172">
      <c r="A1172" t="n">
        <v>2027</v>
      </c>
      <c r="B1172" t="n">
        <v>1</v>
      </c>
      <c r="C1172" t="inlineStr">
        <is>
          <t>Verwaltungskost</t>
        </is>
      </c>
      <c r="D1172" t="inlineStr">
        <is>
          <t>Verwaltungskosten</t>
        </is>
      </c>
      <c r="E1172" t="n">
        <v>6691.47</v>
      </c>
      <c r="F1172" t="n">
        <v>80297.62</v>
      </c>
    </row>
    <row r="1173">
      <c r="A1173" t="n">
        <v>2030</v>
      </c>
      <c r="B1173" t="n">
        <v>1</v>
      </c>
      <c r="C1173" t="inlineStr">
        <is>
          <t>Aufw. Heizmat.</t>
        </is>
      </c>
      <c r="D1173" t="inlineStr">
        <is>
          <t>Vorleistungen</t>
        </is>
      </c>
      <c r="E1173" t="n">
        <v>230.4</v>
      </c>
      <c r="F1173" t="n">
        <v>2764.82</v>
      </c>
    </row>
    <row r="1174">
      <c r="A1174" t="n">
        <v>2027</v>
      </c>
      <c r="B1174" t="n">
        <v>1</v>
      </c>
      <c r="C1174" t="inlineStr">
        <is>
          <t>Versicherungskosten</t>
        </is>
      </c>
      <c r="D1174" t="inlineStr">
        <is>
          <t>Verwaltungskosten</t>
        </is>
      </c>
      <c r="E1174" t="n">
        <v>10789.61</v>
      </c>
      <c r="F1174" t="n">
        <v>129475.37</v>
      </c>
    </row>
    <row r="1175">
      <c r="A1175" t="n">
        <v>2031</v>
      </c>
      <c r="B1175" t="n">
        <v>1</v>
      </c>
      <c r="C1175" t="inlineStr">
        <is>
          <t>Instandh. BGA</t>
        </is>
      </c>
      <c r="D1175" t="inlineStr">
        <is>
          <t>Instandh. Betriebsausstattung</t>
        </is>
      </c>
      <c r="E1175" t="n">
        <v>5124.63</v>
      </c>
      <c r="F1175" t="n">
        <v>61495.58</v>
      </c>
    </row>
    <row r="1176">
      <c r="A1176" t="n">
        <v>2029</v>
      </c>
      <c r="B1176" t="n">
        <v>1</v>
      </c>
      <c r="C1176" t="inlineStr">
        <is>
          <t>Treibstoffe, Oe</t>
        </is>
      </c>
      <c r="D1176" t="inlineStr">
        <is>
          <t>Fuhrparkkosten</t>
        </is>
      </c>
      <c r="E1176" t="n">
        <v>32242.68</v>
      </c>
      <c r="F1176" t="n">
        <v>386912.19</v>
      </c>
    </row>
    <row r="1177">
      <c r="A1177" t="n">
        <v>2027</v>
      </c>
      <c r="B1177" t="n">
        <v>1</v>
      </c>
      <c r="C1177" t="inlineStr">
        <is>
          <t>Instandh. BGA</t>
        </is>
      </c>
      <c r="D1177" t="inlineStr">
        <is>
          <t>Instandh. Betriebsausstattung</t>
        </is>
      </c>
      <c r="E1177" t="n">
        <v>4216.05</v>
      </c>
      <c r="F1177" t="n">
        <v>50592.58</v>
      </c>
    </row>
    <row r="1178">
      <c r="A1178" t="n">
        <v>2029</v>
      </c>
      <c r="B1178" t="n">
        <v>1</v>
      </c>
      <c r="C1178" t="inlineStr">
        <is>
          <t>Ueb Lohn-Gehalt</t>
        </is>
      </c>
      <c r="D1178" t="inlineStr">
        <is>
          <t>Personalaufwand</t>
        </is>
      </c>
      <c r="E1178" t="n">
        <v>37989.9</v>
      </c>
      <c r="F1178" t="n">
        <v>455878.84</v>
      </c>
    </row>
    <row r="1179">
      <c r="A1179" t="n">
        <v>2031</v>
      </c>
      <c r="B1179" t="n">
        <v>1</v>
      </c>
      <c r="C1179" t="inlineStr">
        <is>
          <t>Erl. Waren Dt.</t>
        </is>
      </c>
      <c r="D1179" t="inlineStr">
        <is>
          <t>Gesamtleistung</t>
        </is>
      </c>
      <c r="E1179" t="n">
        <v>50865.59</v>
      </c>
      <c r="F1179" t="n">
        <v>610387.05</v>
      </c>
    </row>
    <row r="1180">
      <c r="A1180" t="n">
        <v>2027</v>
      </c>
      <c r="B1180" t="n">
        <v>1</v>
      </c>
      <c r="C1180" t="inlineStr">
        <is>
          <t>Fremdl. Persona</t>
        </is>
      </c>
      <c r="D1180" t="inlineStr">
        <is>
          <t>Vorleistungen</t>
        </is>
      </c>
      <c r="E1180" t="n">
        <v>61.31</v>
      </c>
      <c r="F1180" t="n">
        <v>735.66</v>
      </c>
    </row>
    <row r="1181">
      <c r="A1181" t="n">
        <v>2027</v>
      </c>
      <c r="B1181" t="n">
        <v>1</v>
      </c>
      <c r="C1181" t="inlineStr">
        <is>
          <t>Aufwand Umlage</t>
        </is>
      </c>
      <c r="D1181" t="inlineStr">
        <is>
          <t>Verwaltungskosten</t>
        </is>
      </c>
      <c r="E1181" t="n">
        <v>3383.24</v>
      </c>
      <c r="F1181" t="n">
        <v>40598.91</v>
      </c>
    </row>
    <row r="1182">
      <c r="A1182" t="n">
        <v>2031</v>
      </c>
      <c r="B1182" t="n">
        <v>1</v>
      </c>
      <c r="C1182" t="inlineStr">
        <is>
          <t>Ueb Lohn-Gehalt</t>
        </is>
      </c>
      <c r="D1182" t="inlineStr">
        <is>
          <t>Personalaufwand</t>
        </is>
      </c>
      <c r="E1182" t="n">
        <v>45675.82</v>
      </c>
      <c r="F1182" t="n">
        <v>548109.79</v>
      </c>
    </row>
    <row r="1183">
      <c r="A1183" t="n">
        <v>2027</v>
      </c>
      <c r="B1183" t="n">
        <v>1</v>
      </c>
      <c r="C1183" t="inlineStr">
        <is>
          <t>Rechts- u. Beratungs</t>
        </is>
      </c>
      <c r="D1183" t="inlineStr">
        <is>
          <t>Verwaltungskosten</t>
        </is>
      </c>
      <c r="E1183" t="n">
        <v>25635.99</v>
      </c>
      <c r="F1183" t="n">
        <v>307631.89</v>
      </c>
    </row>
    <row r="1184">
      <c r="A1184" t="n">
        <v>2028</v>
      </c>
      <c r="B1184" t="n">
        <v>1</v>
      </c>
      <c r="C1184" t="inlineStr">
        <is>
          <t>Verwaltungskost</t>
        </is>
      </c>
      <c r="D1184" t="inlineStr">
        <is>
          <t>Verwaltungskosten</t>
        </is>
      </c>
      <c r="E1184" t="n">
        <v>6892.21</v>
      </c>
      <c r="F1184" t="n">
        <v>82706.56</v>
      </c>
    </row>
    <row r="1185">
      <c r="A1185" t="n">
        <v>2028</v>
      </c>
      <c r="B1185" t="n">
        <v>1</v>
      </c>
      <c r="C1185" t="inlineStr">
        <is>
          <t>Ueb. bezog.Leis</t>
        </is>
      </c>
      <c r="D1185" t="inlineStr">
        <is>
          <t>Vorleistungen</t>
        </is>
      </c>
      <c r="E1185" t="n">
        <v>1342498.67</v>
      </c>
      <c r="F1185" t="n">
        <v>16109983.99</v>
      </c>
    </row>
    <row r="1186">
      <c r="A1186" t="n">
        <v>2028</v>
      </c>
      <c r="B1186" t="n">
        <v>1</v>
      </c>
      <c r="C1186" t="inlineStr">
        <is>
          <t>Ankauf Rohstoff</t>
        </is>
      </c>
      <c r="D1186" t="inlineStr">
        <is>
          <t>Vorleistungen</t>
        </is>
      </c>
      <c r="E1186" t="n">
        <v>1457.38</v>
      </c>
      <c r="F1186" t="n">
        <v>17488.61</v>
      </c>
    </row>
    <row r="1187">
      <c r="A1187" t="n">
        <v>2029</v>
      </c>
      <c r="B1187" t="n">
        <v>1</v>
      </c>
      <c r="C1187" t="inlineStr">
        <is>
          <t>Erloesschmaeler</t>
        </is>
      </c>
      <c r="D1187" t="inlineStr">
        <is>
          <t>Gesamtleistung</t>
        </is>
      </c>
      <c r="E1187" t="n">
        <v>-9048.01</v>
      </c>
      <c r="F1187" t="n">
        <v>-108576.08</v>
      </c>
    </row>
    <row r="1188">
      <c r="A1188" t="n">
        <v>2029</v>
      </c>
      <c r="B1188" t="n">
        <v>1</v>
      </c>
      <c r="C1188" t="inlineStr">
        <is>
          <t>Leasing PKW</t>
        </is>
      </c>
      <c r="D1188" t="inlineStr">
        <is>
          <t>Fuhrparkkosten</t>
        </is>
      </c>
      <c r="E1188" t="n">
        <v>24652.26</v>
      </c>
      <c r="F1188" t="n">
        <v>295827.14</v>
      </c>
    </row>
    <row r="1189">
      <c r="A1189" t="n">
        <v>2029</v>
      </c>
      <c r="B1189" t="n">
        <v>1</v>
      </c>
      <c r="C1189" t="inlineStr">
        <is>
          <t>Fremdl. Persona</t>
        </is>
      </c>
      <c r="D1189" t="inlineStr">
        <is>
          <t>Vorleistungen</t>
        </is>
      </c>
      <c r="E1189" t="n">
        <v>73.3</v>
      </c>
      <c r="F1189" t="n">
        <v>879.54</v>
      </c>
    </row>
    <row r="1190">
      <c r="A1190" t="n">
        <v>2028</v>
      </c>
      <c r="B1190" t="n">
        <v>1</v>
      </c>
      <c r="C1190" t="inlineStr">
        <is>
          <t>Aufwand Umlage</t>
        </is>
      </c>
      <c r="D1190" t="inlineStr">
        <is>
          <t>Verwaltungskosten</t>
        </is>
      </c>
      <c r="E1190" t="n">
        <v>3484.74</v>
      </c>
      <c r="F1190" t="n">
        <v>41816.88</v>
      </c>
    </row>
    <row r="1191">
      <c r="A1191" t="n">
        <v>2027</v>
      </c>
      <c r="B1191" t="n">
        <v>1</v>
      </c>
      <c r="C1191" t="inlineStr">
        <is>
          <t>Ankauf Rohstoff</t>
        </is>
      </c>
      <c r="D1191" t="inlineStr">
        <is>
          <t>Vorleistungen</t>
        </is>
      </c>
      <c r="E1191" t="n">
        <v>1408.24</v>
      </c>
      <c r="F1191" t="n">
        <v>16898.9</v>
      </c>
    </row>
    <row r="1192">
      <c r="A1192" t="n">
        <v>2030</v>
      </c>
      <c r="B1192" t="n">
        <v>1</v>
      </c>
      <c r="C1192" t="inlineStr">
        <is>
          <t>Erloesschmaeler</t>
        </is>
      </c>
      <c r="D1192" t="inlineStr">
        <is>
          <t>Gesamtleistung</t>
        </is>
      </c>
      <c r="E1192" t="n">
        <v>-9690.75</v>
      </c>
      <c r="F1192" t="n">
        <v>-116289.05</v>
      </c>
    </row>
    <row r="1193">
      <c r="A1193" t="n">
        <v>2029</v>
      </c>
      <c r="B1193" t="n">
        <v>1</v>
      </c>
      <c r="C1193" t="inlineStr">
        <is>
          <t>Sonst Fuhrparkkosten</t>
        </is>
      </c>
      <c r="D1193" t="inlineStr">
        <is>
          <t>Fuhrparkkosten</t>
        </is>
      </c>
      <c r="E1193" t="n">
        <v>5605.91</v>
      </c>
      <c r="F1193" t="n">
        <v>67270.89</v>
      </c>
    </row>
    <row r="1194">
      <c r="A1194" t="n">
        <v>2027</v>
      </c>
      <c r="B1194" t="n">
        <v>1</v>
      </c>
      <c r="C1194" t="inlineStr">
        <is>
          <t>Soziale Abgaben</t>
        </is>
      </c>
      <c r="D1194" t="inlineStr">
        <is>
          <t>Personalaufwand</t>
        </is>
      </c>
      <c r="E1194" t="n">
        <v>75903.69</v>
      </c>
      <c r="F1194" t="n">
        <v>910844.28</v>
      </c>
    </row>
    <row r="1195">
      <c r="A1195" t="n">
        <v>2031</v>
      </c>
      <c r="B1195" t="n">
        <v>1</v>
      </c>
      <c r="C1195" t="inlineStr">
        <is>
          <t>Erloesschmaeler</t>
        </is>
      </c>
      <c r="D1195" t="inlineStr">
        <is>
          <t>Gesamtleistung</t>
        </is>
      </c>
      <c r="E1195" t="n">
        <v>-10347.15</v>
      </c>
      <c r="F1195" t="n">
        <v>-124165.81</v>
      </c>
    </row>
    <row r="1196">
      <c r="A1196" t="n">
        <v>2029</v>
      </c>
      <c r="B1196" t="n">
        <v>1</v>
      </c>
      <c r="C1196" t="inlineStr">
        <is>
          <t>Ertr. weiterber</t>
        </is>
      </c>
      <c r="D1196" t="inlineStr">
        <is>
          <t>Gesamtleistung</t>
        </is>
      </c>
      <c r="E1196" t="n">
        <v>1036.39</v>
      </c>
      <c r="F1196" t="n">
        <v>12436.69</v>
      </c>
    </row>
    <row r="1197">
      <c r="A1197" t="n">
        <v>2027</v>
      </c>
      <c r="B1197" t="n">
        <v>1</v>
      </c>
      <c r="C1197" t="inlineStr">
        <is>
          <t>Sonderz. Prämie</t>
        </is>
      </c>
      <c r="D1197" t="inlineStr">
        <is>
          <t>Personalaufwand</t>
        </is>
      </c>
      <c r="E1197" t="n">
        <v>19636.08</v>
      </c>
      <c r="F1197" t="n">
        <v>235633</v>
      </c>
    </row>
    <row r="1198">
      <c r="A1198" t="n">
        <v>2027</v>
      </c>
      <c r="B1198" t="n">
        <v>1</v>
      </c>
      <c r="C1198" t="inlineStr">
        <is>
          <t>Miete Behälter</t>
        </is>
      </c>
      <c r="D1198" t="inlineStr">
        <is>
          <t>Instandh. Betriebsausstattung</t>
        </is>
      </c>
      <c r="E1198" t="n">
        <v>22.94</v>
      </c>
      <c r="F1198" t="n">
        <v>275.23</v>
      </c>
    </row>
    <row r="1199">
      <c r="A1199" t="n">
        <v>2031</v>
      </c>
      <c r="B1199" t="n">
        <v>1</v>
      </c>
      <c r="C1199" t="inlineStr">
        <is>
          <t>Versicherungskosten</t>
        </is>
      </c>
      <c r="D1199" t="inlineStr">
        <is>
          <t>Verwaltungskosten</t>
        </is>
      </c>
      <c r="E1199" t="n">
        <v>12143.81</v>
      </c>
      <c r="F1199" t="n">
        <v>145725.66</v>
      </c>
    </row>
    <row r="1200">
      <c r="A1200" t="n">
        <v>2029</v>
      </c>
      <c r="B1200" t="n">
        <v>1</v>
      </c>
      <c r="C1200" t="inlineStr">
        <is>
          <t>Rechts- u. Beratungs</t>
        </is>
      </c>
      <c r="D1200" t="inlineStr">
        <is>
          <t>Verwaltungskosten</t>
        </is>
      </c>
      <c r="E1200" t="n">
        <v>27197.22</v>
      </c>
      <c r="F1200" t="n">
        <v>326366.65</v>
      </c>
    </row>
    <row r="1201">
      <c r="A1201" t="n">
        <v>2028</v>
      </c>
      <c r="B1201" t="n">
        <v>1</v>
      </c>
      <c r="C1201" t="inlineStr">
        <is>
          <t>Instandh.Fuhrp</t>
        </is>
      </c>
      <c r="D1201" t="inlineStr">
        <is>
          <t>Fuhrparkkosten</t>
        </is>
      </c>
      <c r="E1201" t="n">
        <v>32180.39</v>
      </c>
      <c r="F1201" t="n">
        <v>386164.66</v>
      </c>
    </row>
    <row r="1202">
      <c r="A1202" t="n">
        <v>2030</v>
      </c>
      <c r="B1202" t="n">
        <v>1</v>
      </c>
      <c r="C1202" t="inlineStr">
        <is>
          <t>Miete Grdst/Gebäud</t>
        </is>
      </c>
      <c r="D1202" t="inlineStr">
        <is>
          <t>Raumkosten</t>
        </is>
      </c>
      <c r="E1202" t="n">
        <v>18603.32</v>
      </c>
      <c r="F1202" t="n">
        <v>223239.88</v>
      </c>
    </row>
    <row r="1203">
      <c r="A1203" t="n">
        <v>2027</v>
      </c>
      <c r="B1203" t="n">
        <v>1</v>
      </c>
      <c r="C1203" t="inlineStr">
        <is>
          <t>Ueb. bezog.Leis</t>
        </is>
      </c>
      <c r="D1203" t="inlineStr">
        <is>
          <t>Vorleistungen</t>
        </is>
      </c>
      <c r="E1203" t="n">
        <v>1319862.34</v>
      </c>
      <c r="F1203" t="n">
        <v>15838348.13</v>
      </c>
    </row>
    <row r="1204">
      <c r="A1204" t="n">
        <v>2029</v>
      </c>
      <c r="B1204" t="n">
        <v>1</v>
      </c>
      <c r="C1204" t="inlineStr">
        <is>
          <t>Erl. Waren Dt.</t>
        </is>
      </c>
      <c r="D1204" t="inlineStr">
        <is>
          <t>Gesamtleistung</t>
        </is>
      </c>
      <c r="E1204" t="n">
        <v>47334.08</v>
      </c>
      <c r="F1204" t="n">
        <v>568008.92</v>
      </c>
    </row>
    <row r="1205">
      <c r="A1205" t="n">
        <v>2031</v>
      </c>
      <c r="B1205" t="n">
        <v>1</v>
      </c>
      <c r="C1205" t="inlineStr">
        <is>
          <t>Treibstoffe, Oe</t>
        </is>
      </c>
      <c r="D1205" t="inlineStr">
        <is>
          <t>Fuhrparkkosten</t>
        </is>
      </c>
      <c r="E1205" t="n">
        <v>36227.88</v>
      </c>
      <c r="F1205" t="n">
        <v>434734.54</v>
      </c>
    </row>
    <row r="1206">
      <c r="A1206" t="n">
        <v>2029</v>
      </c>
      <c r="B1206" t="n">
        <v>1</v>
      </c>
      <c r="C1206" t="inlineStr">
        <is>
          <t>Miete Behälter</t>
        </is>
      </c>
      <c r="D1206" t="inlineStr">
        <is>
          <t>Instandh. Betriebsausstattung</t>
        </is>
      </c>
      <c r="E1206" t="n">
        <v>25.29</v>
      </c>
      <c r="F1206" t="n">
        <v>303.45</v>
      </c>
    </row>
    <row r="1207">
      <c r="A1207" t="n">
        <v>2030</v>
      </c>
      <c r="B1207" t="n">
        <v>1</v>
      </c>
      <c r="C1207" t="inlineStr">
        <is>
          <t>Instandh. BGA</t>
        </is>
      </c>
      <c r="D1207" t="inlineStr">
        <is>
          <t>Instandh. Betriebsausstattung</t>
        </is>
      </c>
      <c r="E1207" t="n">
        <v>4880.6</v>
      </c>
      <c r="F1207" t="n">
        <v>58567.23</v>
      </c>
    </row>
    <row r="1208">
      <c r="A1208" t="n">
        <v>2030</v>
      </c>
      <c r="B1208" t="n">
        <v>1</v>
      </c>
      <c r="C1208" t="inlineStr">
        <is>
          <t>Lohn + Gehalt</t>
        </is>
      </c>
      <c r="D1208" t="inlineStr">
        <is>
          <t>Personalaufwand</t>
        </is>
      </c>
      <c r="E1208" t="n">
        <v>392030.8</v>
      </c>
      <c r="F1208" t="n">
        <v>4704369.59</v>
      </c>
    </row>
    <row r="1209">
      <c r="A1209" t="n">
        <v>2027</v>
      </c>
      <c r="B1209" t="n">
        <v>1</v>
      </c>
      <c r="C1209" t="inlineStr">
        <is>
          <t>Bestandsveraend</t>
        </is>
      </c>
      <c r="D1209" t="inlineStr">
        <is>
          <t>Gesamtleistung</t>
        </is>
      </c>
      <c r="E1209" t="n">
        <v>0</v>
      </c>
      <c r="F1209" t="n">
        <v>0</v>
      </c>
    </row>
    <row r="1210">
      <c r="A1210" t="n">
        <v>2027</v>
      </c>
      <c r="B1210" t="n">
        <v>1</v>
      </c>
      <c r="C1210" t="inlineStr">
        <is>
          <t>Aufw. so. Hilfs</t>
        </is>
      </c>
      <c r="D1210" t="inlineStr">
        <is>
          <t>Vorleistungen</t>
        </is>
      </c>
      <c r="E1210" t="n">
        <v>-16362.04</v>
      </c>
      <c r="F1210" t="n">
        <v>-196344.47</v>
      </c>
    </row>
    <row r="1211">
      <c r="A1211" t="n">
        <v>2027</v>
      </c>
      <c r="B1211" t="n">
        <v>1</v>
      </c>
      <c r="C1211" t="inlineStr">
        <is>
          <t>Aufw. f. Alters</t>
        </is>
      </c>
      <c r="D1211" t="inlineStr">
        <is>
          <t>Personalaufwand</t>
        </is>
      </c>
      <c r="E1211" t="n">
        <v>1234.77</v>
      </c>
      <c r="F1211" t="n">
        <v>14817.29</v>
      </c>
    </row>
    <row r="1212">
      <c r="A1212" t="n">
        <v>2027</v>
      </c>
      <c r="B1212" t="n">
        <v>1</v>
      </c>
      <c r="C1212" t="inlineStr">
        <is>
          <t>Vertriebskosten</t>
        </is>
      </c>
      <c r="D1212" t="inlineStr">
        <is>
          <t>Vertriebskosten</t>
        </is>
      </c>
      <c r="E1212" t="n">
        <v>10833.33</v>
      </c>
      <c r="F1212" t="n">
        <v>130000</v>
      </c>
    </row>
    <row r="1213">
      <c r="A1213" t="n">
        <v>2027</v>
      </c>
      <c r="B1213" t="n">
        <v>1</v>
      </c>
      <c r="C1213" t="inlineStr">
        <is>
          <t>Ertrag KFZ-Nutz</t>
        </is>
      </c>
      <c r="D1213" t="inlineStr">
        <is>
          <t>Gesamtleistung</t>
        </is>
      </c>
      <c r="E1213" t="n">
        <v>8029.69</v>
      </c>
      <c r="F1213" t="n">
        <v>96356.3</v>
      </c>
    </row>
    <row r="1214">
      <c r="A1214" t="n">
        <v>2031</v>
      </c>
      <c r="B1214" t="n">
        <v>1</v>
      </c>
      <c r="C1214" t="inlineStr">
        <is>
          <t>Lohn + Gehalt</t>
        </is>
      </c>
      <c r="D1214" t="inlineStr">
        <is>
          <t>Personalaufwand</t>
        </is>
      </c>
      <c r="E1214" t="n">
        <v>428257.62</v>
      </c>
      <c r="F1214" t="n">
        <v>5139091.39</v>
      </c>
    </row>
    <row r="1215">
      <c r="A1215" t="n">
        <v>2031</v>
      </c>
      <c r="B1215" t="n">
        <v>1</v>
      </c>
      <c r="C1215" t="inlineStr">
        <is>
          <t>Soziale Abgaben</t>
        </is>
      </c>
      <c r="D1215" t="inlineStr">
        <is>
          <t>Personalaufwand</t>
        </is>
      </c>
      <c r="E1215" t="n">
        <v>113909.76</v>
      </c>
      <c r="F1215" t="n">
        <v>1366917.09</v>
      </c>
    </row>
    <row r="1216">
      <c r="A1216" t="n">
        <v>2031</v>
      </c>
      <c r="B1216" t="n">
        <v>1</v>
      </c>
      <c r="C1216" t="inlineStr">
        <is>
          <t>Sonst Fuhrparkkosten</t>
        </is>
      </c>
      <c r="D1216" t="inlineStr">
        <is>
          <t>Fuhrparkkosten</t>
        </is>
      </c>
      <c r="E1216" t="n">
        <v>6298.8</v>
      </c>
      <c r="F1216" t="n">
        <v>75585.56</v>
      </c>
    </row>
    <row r="1217">
      <c r="A1217" t="n">
        <v>2030</v>
      </c>
      <c r="B1217" t="n">
        <v>1</v>
      </c>
      <c r="C1217" t="inlineStr">
        <is>
          <t>Miete Behälter</t>
        </is>
      </c>
      <c r="D1217" t="inlineStr">
        <is>
          <t>Instandh. Betriebsausstattung</t>
        </is>
      </c>
      <c r="E1217" t="n">
        <v>26.55</v>
      </c>
      <c r="F1217" t="n">
        <v>318.62</v>
      </c>
    </row>
    <row r="1218">
      <c r="A1218" t="n">
        <v>2028</v>
      </c>
      <c r="B1218" t="n">
        <v>1</v>
      </c>
      <c r="C1218" t="inlineStr">
        <is>
          <t>Miete PKW</t>
        </is>
      </c>
      <c r="D1218" t="inlineStr">
        <is>
          <t>Fuhrparkkosten</t>
        </is>
      </c>
      <c r="E1218" t="n">
        <v>4890.62</v>
      </c>
      <c r="F1218" t="n">
        <v>58687.43</v>
      </c>
    </row>
    <row r="1219">
      <c r="A1219" t="n">
        <v>2030</v>
      </c>
      <c r="B1219" t="n">
        <v>1</v>
      </c>
      <c r="C1219" t="inlineStr">
        <is>
          <t>Aufwand Umlage</t>
        </is>
      </c>
      <c r="D1219" t="inlineStr">
        <is>
          <t>Verwaltungskosten</t>
        </is>
      </c>
      <c r="E1219" t="n">
        <v>3696.96</v>
      </c>
      <c r="F1219" t="n">
        <v>44363.53</v>
      </c>
    </row>
    <row r="1220">
      <c r="A1220" t="n">
        <v>2030</v>
      </c>
      <c r="B1220" t="n">
        <v>1</v>
      </c>
      <c r="C1220" t="inlineStr">
        <is>
          <t>So. betr. Aufwa</t>
        </is>
      </c>
      <c r="D1220" t="inlineStr">
        <is>
          <t>Verwaltungskosten</t>
        </is>
      </c>
      <c r="E1220" t="n">
        <v>714.05</v>
      </c>
      <c r="F1220" t="n">
        <v>8568.57</v>
      </c>
    </row>
    <row r="1221">
      <c r="A1221" t="n">
        <v>2029</v>
      </c>
      <c r="B1221" t="n">
        <v>1</v>
      </c>
      <c r="C1221" t="inlineStr">
        <is>
          <t>Versicherungskosten</t>
        </is>
      </c>
      <c r="D1221" t="inlineStr">
        <is>
          <t>Verwaltungskosten</t>
        </is>
      </c>
      <c r="E1221" t="n">
        <v>11446.7</v>
      </c>
      <c r="F1221" t="n">
        <v>137360.42</v>
      </c>
    </row>
    <row r="1222">
      <c r="A1222" t="n">
        <v>2027</v>
      </c>
      <c r="B1222" t="n">
        <v>1</v>
      </c>
      <c r="C1222" t="inlineStr">
        <is>
          <t>Sonstige Steuer</t>
        </is>
      </c>
      <c r="D1222" t="inlineStr">
        <is>
          <t>Fuhrparkkosten</t>
        </is>
      </c>
      <c r="E1222" t="n">
        <v>1497.31</v>
      </c>
      <c r="F1222" t="n">
        <v>17967.71</v>
      </c>
    </row>
    <row r="1223">
      <c r="A1223" t="n">
        <v>2031</v>
      </c>
      <c r="B1223" t="n">
        <v>1</v>
      </c>
      <c r="C1223" t="inlineStr">
        <is>
          <t>Leasing LKW</t>
        </is>
      </c>
      <c r="D1223" t="inlineStr">
        <is>
          <t>Fuhrparkkosten</t>
        </is>
      </c>
      <c r="E1223" t="n">
        <v>2910.36</v>
      </c>
      <c r="F1223" t="n">
        <v>34924.28</v>
      </c>
    </row>
    <row r="1224">
      <c r="A1224" t="n">
        <v>2029</v>
      </c>
      <c r="B1224" t="n">
        <v>1</v>
      </c>
      <c r="C1224" t="inlineStr">
        <is>
          <t>Leasing LKW</t>
        </is>
      </c>
      <c r="D1224" t="inlineStr">
        <is>
          <t>Fuhrparkkosten</t>
        </is>
      </c>
      <c r="E1224" t="n">
        <v>2590.21</v>
      </c>
      <c r="F1224" t="n">
        <v>31082.49</v>
      </c>
    </row>
    <row r="1225">
      <c r="A1225" t="n">
        <v>2027</v>
      </c>
      <c r="B1225" t="n">
        <v>1</v>
      </c>
      <c r="C1225" t="inlineStr">
        <is>
          <t>Instandh.Fuhrp</t>
        </is>
      </c>
      <c r="D1225" t="inlineStr">
        <is>
          <t>Fuhrparkkosten</t>
        </is>
      </c>
      <c r="E1225" t="n">
        <v>30358.86</v>
      </c>
      <c r="F1225" t="n">
        <v>364306.28</v>
      </c>
    </row>
    <row r="1226">
      <c r="A1226" t="n">
        <v>2029</v>
      </c>
      <c r="B1226" t="n">
        <v>1</v>
      </c>
      <c r="C1226" t="inlineStr">
        <is>
          <t>Vertriebskosten</t>
        </is>
      </c>
      <c r="D1226" t="inlineStr">
        <is>
          <t>Vertriebskosten</t>
        </is>
      </c>
      <c r="E1226" t="n">
        <v>11943.75</v>
      </c>
      <c r="F1226" t="n">
        <v>143325</v>
      </c>
    </row>
    <row r="1227">
      <c r="A1227" t="n">
        <v>2031</v>
      </c>
      <c r="B1227" t="n">
        <v>1</v>
      </c>
      <c r="C1227" t="inlineStr">
        <is>
          <t>Miete Grdst/Gebäud</t>
        </is>
      </c>
      <c r="D1227" t="inlineStr">
        <is>
          <t>Raumkosten</t>
        </is>
      </c>
      <c r="E1227" t="n">
        <v>18975.39</v>
      </c>
      <c r="F1227" t="n">
        <v>227704.65</v>
      </c>
    </row>
    <row r="1228">
      <c r="A1228" t="n">
        <v>2029</v>
      </c>
      <c r="B1228" t="n">
        <v>1</v>
      </c>
      <c r="C1228" t="inlineStr">
        <is>
          <t>Uebr.neutr. Ert</t>
        </is>
      </c>
      <c r="D1228" t="inlineStr">
        <is>
          <t>Gesamtleistung</t>
        </is>
      </c>
      <c r="E1228" t="n">
        <v>189.9</v>
      </c>
      <c r="F1228" t="n">
        <v>2278.85</v>
      </c>
    </row>
    <row r="1229">
      <c r="A1229" t="n">
        <v>2030</v>
      </c>
      <c r="B1229" t="n">
        <v>1</v>
      </c>
      <c r="C1229" t="inlineStr">
        <is>
          <t>Behaelterkosten</t>
        </is>
      </c>
      <c r="D1229" t="inlineStr">
        <is>
          <t>Instandh. Betriebsausstattung</t>
        </is>
      </c>
      <c r="E1229" t="n">
        <v>12.75</v>
      </c>
      <c r="F1229" t="n">
        <v>153.03</v>
      </c>
    </row>
    <row r="1230">
      <c r="A1230" t="n">
        <v>2029</v>
      </c>
      <c r="B1230" t="n">
        <v>1</v>
      </c>
      <c r="C1230" t="inlineStr">
        <is>
          <t>IT-Aufwendungen</t>
        </is>
      </c>
      <c r="D1230" t="inlineStr">
        <is>
          <t>Verwaltungskosten</t>
        </is>
      </c>
      <c r="E1230" t="n">
        <v>12302.44</v>
      </c>
      <c r="F1230" t="n">
        <v>147629.28</v>
      </c>
    </row>
    <row r="1231">
      <c r="A1231" t="n">
        <v>2028</v>
      </c>
      <c r="B1231" t="n">
        <v>1</v>
      </c>
      <c r="C1231" t="inlineStr">
        <is>
          <t>Instandh. BGA</t>
        </is>
      </c>
      <c r="D1231" t="inlineStr">
        <is>
          <t>Instandh. Betriebsausstattung</t>
        </is>
      </c>
      <c r="E1231" t="n">
        <v>4426.85</v>
      </c>
      <c r="F1231" t="n">
        <v>53122.2</v>
      </c>
    </row>
    <row r="1232">
      <c r="A1232" t="n">
        <v>2029</v>
      </c>
      <c r="B1232" t="n">
        <v>1</v>
      </c>
      <c r="C1232" t="inlineStr">
        <is>
          <t>Instandh.Fuhrp</t>
        </is>
      </c>
      <c r="D1232" t="inlineStr">
        <is>
          <t>Fuhrparkkosten</t>
        </is>
      </c>
      <c r="E1232" t="n">
        <v>34111.21</v>
      </c>
      <c r="F1232" t="n">
        <v>409334.56</v>
      </c>
    </row>
    <row r="1233">
      <c r="A1233" t="n">
        <v>2031</v>
      </c>
      <c r="B1233" t="n">
        <v>1</v>
      </c>
      <c r="C1233" t="inlineStr">
        <is>
          <t>Rechts- u. Beratungs</t>
        </is>
      </c>
      <c r="D1233" t="inlineStr">
        <is>
          <t>Verwaltungskosten</t>
        </is>
      </c>
      <c r="E1233" t="n">
        <v>28853.53</v>
      </c>
      <c r="F1233" t="n">
        <v>346242.38</v>
      </c>
    </row>
    <row r="1234">
      <c r="A1234" t="n">
        <v>2029</v>
      </c>
      <c r="B1234" t="n">
        <v>1</v>
      </c>
      <c r="C1234" t="inlineStr">
        <is>
          <t>Ertrag KFZ-Nutz</t>
        </is>
      </c>
      <c r="D1234" t="inlineStr">
        <is>
          <t>Gesamtleistung</t>
        </is>
      </c>
      <c r="E1234" t="n">
        <v>8815.82</v>
      </c>
      <c r="F1234" t="n">
        <v>105789.86</v>
      </c>
    </row>
    <row r="1235">
      <c r="A1235" t="n">
        <v>2030</v>
      </c>
      <c r="B1235" t="n">
        <v>1</v>
      </c>
      <c r="C1235" t="inlineStr">
        <is>
          <t>Ertr. weiterber</t>
        </is>
      </c>
      <c r="D1235" t="inlineStr">
        <is>
          <t>Gesamtleistung</t>
        </is>
      </c>
      <c r="E1235" t="n">
        <v>1104.47</v>
      </c>
      <c r="F1235" t="n">
        <v>13253.67</v>
      </c>
    </row>
    <row r="1236">
      <c r="A1236" t="n">
        <v>2028</v>
      </c>
      <c r="B1236" t="n">
        <v>1</v>
      </c>
      <c r="C1236" t="inlineStr">
        <is>
          <t>Leasing PKW</t>
        </is>
      </c>
      <c r="D1236" t="inlineStr">
        <is>
          <t>Fuhrparkkosten</t>
        </is>
      </c>
      <c r="E1236" t="n">
        <v>23256.85</v>
      </c>
      <c r="F1236" t="n">
        <v>279082.22</v>
      </c>
    </row>
    <row r="1237">
      <c r="A1237" t="n">
        <v>2028</v>
      </c>
      <c r="B1237" t="n">
        <v>1</v>
      </c>
      <c r="C1237" t="inlineStr">
        <is>
          <t>Treibstoffe, Oe</t>
        </is>
      </c>
      <c r="D1237" t="inlineStr">
        <is>
          <t>Fuhrparkkosten</t>
        </is>
      </c>
      <c r="E1237" t="n">
        <v>30417.62</v>
      </c>
      <c r="F1237" t="n">
        <v>365011.49</v>
      </c>
    </row>
    <row r="1238">
      <c r="A1238" t="n">
        <v>2029</v>
      </c>
      <c r="B1238" t="n">
        <v>1</v>
      </c>
      <c r="C1238" t="inlineStr">
        <is>
          <t>Miete PKW</t>
        </is>
      </c>
      <c r="D1238" t="inlineStr">
        <is>
          <t>Fuhrparkkosten</t>
        </is>
      </c>
      <c r="E1238" t="n">
        <v>5184.06</v>
      </c>
      <c r="F1238" t="n">
        <v>62208.67</v>
      </c>
    </row>
    <row r="1239">
      <c r="A1239" t="n">
        <v>2028</v>
      </c>
      <c r="B1239" t="n">
        <v>1</v>
      </c>
      <c r="C1239" t="inlineStr">
        <is>
          <t>Ertr. weiterber</t>
        </is>
      </c>
      <c r="D1239" t="inlineStr">
        <is>
          <t>Gesamtleistung</t>
        </is>
      </c>
      <c r="E1239" t="n">
        <v>980.91</v>
      </c>
      <c r="F1239" t="n">
        <v>11770.87</v>
      </c>
    </row>
    <row r="1240">
      <c r="A1240" t="n">
        <v>2029</v>
      </c>
      <c r="B1240" t="n">
        <v>1</v>
      </c>
      <c r="C1240" t="inlineStr">
        <is>
          <t>Instandh. BGA</t>
        </is>
      </c>
      <c r="D1240" t="inlineStr">
        <is>
          <t>Instandh. Betriebsausstattung</t>
        </is>
      </c>
      <c r="E1240" t="n">
        <v>4648.19</v>
      </c>
      <c r="F1240" t="n">
        <v>55778.31</v>
      </c>
    </row>
    <row r="1241">
      <c r="A1241" t="n">
        <v>2028</v>
      </c>
      <c r="B1241" t="n">
        <v>1</v>
      </c>
      <c r="C1241" t="inlineStr">
        <is>
          <t>Erl. so. DL Dt.</t>
        </is>
      </c>
      <c r="D1241" t="inlineStr">
        <is>
          <t>Gesamtleistung</t>
        </is>
      </c>
      <c r="E1241" t="n">
        <v>2095866.37</v>
      </c>
      <c r="F1241" t="n">
        <v>25150396.49</v>
      </c>
    </row>
    <row r="1242">
      <c r="A1242" t="n">
        <v>2028</v>
      </c>
      <c r="B1242" t="n">
        <v>1</v>
      </c>
      <c r="C1242" t="inlineStr">
        <is>
          <t>IT-Aufwendungen</t>
        </is>
      </c>
      <c r="D1242" t="inlineStr">
        <is>
          <t>Verwaltungskosten</t>
        </is>
      </c>
      <c r="E1242" t="n">
        <v>11944.12</v>
      </c>
      <c r="F1242" t="n">
        <v>143329.39</v>
      </c>
    </row>
    <row r="1243">
      <c r="A1243" t="n">
        <v>2029</v>
      </c>
      <c r="B1243" t="n">
        <v>1</v>
      </c>
      <c r="C1243" t="inlineStr">
        <is>
          <t>Ueb. bezog.Leis</t>
        </is>
      </c>
      <c r="D1243" t="inlineStr">
        <is>
          <t>Vorleistungen</t>
        </is>
      </c>
      <c r="E1243" t="n">
        <v>1364260.58</v>
      </c>
      <c r="F1243" t="n">
        <v>16371126.93</v>
      </c>
    </row>
    <row r="1244">
      <c r="A1244" t="n">
        <v>2031</v>
      </c>
      <c r="B1244" t="n">
        <v>1</v>
      </c>
      <c r="C1244" t="inlineStr">
        <is>
          <t>Sonderz. Prämie</t>
        </is>
      </c>
      <c r="D1244" t="inlineStr">
        <is>
          <t>Personalaufwand</t>
        </is>
      </c>
      <c r="E1244" t="n">
        <v>26838.18</v>
      </c>
      <c r="F1244" t="n">
        <v>322058.2</v>
      </c>
    </row>
    <row r="1245">
      <c r="A1245" t="n">
        <v>2029</v>
      </c>
      <c r="B1245" t="n">
        <v>1</v>
      </c>
      <c r="C1245" t="inlineStr">
        <is>
          <t>Verwaltungskost</t>
        </is>
      </c>
      <c r="D1245" t="inlineStr">
        <is>
          <t>Verwaltungskosten</t>
        </is>
      </c>
      <c r="E1245" t="n">
        <v>7098.98</v>
      </c>
      <c r="F1245" t="n">
        <v>85187.74000000001</v>
      </c>
    </row>
    <row r="1246">
      <c r="A1246" t="n">
        <v>2028</v>
      </c>
      <c r="B1246" t="n">
        <v>1</v>
      </c>
      <c r="C1246" t="inlineStr">
        <is>
          <t>Ertrag KFZ-Nutz</t>
        </is>
      </c>
      <c r="D1246" t="inlineStr">
        <is>
          <t>Gesamtleistung</t>
        </is>
      </c>
      <c r="E1246" t="n">
        <v>8405.780000000001</v>
      </c>
      <c r="F1246" t="n">
        <v>100869.3</v>
      </c>
    </row>
    <row r="1247">
      <c r="A1247" t="n">
        <v>2030</v>
      </c>
      <c r="B1247" t="n">
        <v>1</v>
      </c>
      <c r="C1247" t="inlineStr">
        <is>
          <t>Sonst Fuhrparkkosten</t>
        </is>
      </c>
      <c r="D1247" t="inlineStr">
        <is>
          <t>Fuhrparkkosten</t>
        </is>
      </c>
      <c r="E1247" t="n">
        <v>5942.26</v>
      </c>
      <c r="F1247" t="n">
        <v>71307.13</v>
      </c>
    </row>
    <row r="1248">
      <c r="A1248" t="n">
        <v>2028</v>
      </c>
      <c r="B1248" t="n">
        <v>1</v>
      </c>
      <c r="C1248" t="inlineStr">
        <is>
          <t>Rechts- u. Beratungs</t>
        </is>
      </c>
      <c r="D1248" t="inlineStr">
        <is>
          <t>Verwaltungskosten</t>
        </is>
      </c>
      <c r="E1248" t="n">
        <v>26405.07</v>
      </c>
      <c r="F1248" t="n">
        <v>316860.83</v>
      </c>
    </row>
    <row r="1249">
      <c r="A1249" t="n">
        <v>2027</v>
      </c>
      <c r="B1249" t="n">
        <v>1</v>
      </c>
      <c r="C1249" t="inlineStr">
        <is>
          <t>Leasing LKW</t>
        </is>
      </c>
      <c r="D1249" t="inlineStr">
        <is>
          <t>Fuhrparkkosten</t>
        </is>
      </c>
      <c r="E1249" t="n">
        <v>2305.28</v>
      </c>
      <c r="F1249" t="n">
        <v>27663.3</v>
      </c>
    </row>
    <row r="1250">
      <c r="A1250" t="n">
        <v>2031</v>
      </c>
      <c r="B1250" t="n">
        <v>1</v>
      </c>
      <c r="C1250" t="inlineStr">
        <is>
          <t>Fremdl. Fuhrlei</t>
        </is>
      </c>
      <c r="D1250" t="inlineStr">
        <is>
          <t>Vorleistungen</t>
        </is>
      </c>
      <c r="E1250" t="n">
        <v>374.24</v>
      </c>
      <c r="F1250" t="n">
        <v>4490.84</v>
      </c>
    </row>
    <row r="1251">
      <c r="A1251" t="n">
        <v>2029</v>
      </c>
      <c r="B1251" t="n">
        <v>1</v>
      </c>
      <c r="C1251" t="inlineStr">
        <is>
          <t>Fremdl. Fuhrlei</t>
        </is>
      </c>
      <c r="D1251" t="inlineStr">
        <is>
          <t>Vorleistungen</t>
        </is>
      </c>
      <c r="E1251" t="n">
        <v>362.07</v>
      </c>
      <c r="F1251" t="n">
        <v>4344.88</v>
      </c>
    </row>
    <row r="1252">
      <c r="A1252" t="n">
        <v>2028</v>
      </c>
      <c r="B1252" t="n">
        <v>1</v>
      </c>
      <c r="C1252" t="inlineStr">
        <is>
          <t>Vertriebskosten</t>
        </is>
      </c>
      <c r="D1252" t="inlineStr">
        <is>
          <t>Vertriebskosten</t>
        </is>
      </c>
      <c r="E1252" t="n">
        <v>11375</v>
      </c>
      <c r="F1252" t="n">
        <v>136500</v>
      </c>
    </row>
    <row r="1253">
      <c r="A1253" t="n">
        <v>2031</v>
      </c>
      <c r="B1253" t="n">
        <v>1</v>
      </c>
      <c r="C1253" t="inlineStr">
        <is>
          <t>Aufw. so. Hilfs</t>
        </is>
      </c>
      <c r="D1253" t="inlineStr">
        <is>
          <t>Vorleistungen</t>
        </is>
      </c>
      <c r="E1253" t="n">
        <v>-17544.22</v>
      </c>
      <c r="F1253" t="n">
        <v>-210530.6</v>
      </c>
    </row>
    <row r="1254">
      <c r="A1254" t="n">
        <v>2029</v>
      </c>
      <c r="B1254" t="n">
        <v>1</v>
      </c>
      <c r="C1254" t="inlineStr">
        <is>
          <t>Ankauf Rohstoff</t>
        </is>
      </c>
      <c r="D1254" t="inlineStr">
        <is>
          <t>Vorleistungen</t>
        </is>
      </c>
      <c r="E1254" t="n">
        <v>1473.64</v>
      </c>
      <c r="F1254" t="n">
        <v>17683.65</v>
      </c>
    </row>
    <row r="1255">
      <c r="A1255" t="n">
        <v>2028</v>
      </c>
      <c r="B1255" t="n">
        <v>1</v>
      </c>
      <c r="C1255" t="inlineStr">
        <is>
          <t>Sonstige Steuer</t>
        </is>
      </c>
      <c r="D1255" t="inlineStr">
        <is>
          <t>Fuhrparkkosten</t>
        </is>
      </c>
      <c r="E1255" t="n">
        <v>1587.15</v>
      </c>
      <c r="F1255" t="n">
        <v>19045.76</v>
      </c>
    </row>
    <row r="1256">
      <c r="A1256" t="n">
        <v>2030</v>
      </c>
      <c r="B1256" t="n">
        <v>1</v>
      </c>
      <c r="C1256" t="inlineStr">
        <is>
          <t>Weiterber. Frem</t>
        </is>
      </c>
      <c r="D1256" t="inlineStr">
        <is>
          <t>Vorleistungen</t>
        </is>
      </c>
      <c r="E1256" t="n">
        <v>0</v>
      </c>
      <c r="F1256" t="n">
        <v>0</v>
      </c>
    </row>
    <row r="1257">
      <c r="A1257" t="n">
        <v>2031</v>
      </c>
      <c r="B1257" t="n">
        <v>1</v>
      </c>
      <c r="C1257" t="inlineStr">
        <is>
          <t>Miete Behälter</t>
        </is>
      </c>
      <c r="D1257" t="inlineStr">
        <is>
          <t>Instandh. Betriebsausstattung</t>
        </is>
      </c>
      <c r="E1257" t="n">
        <v>27.88</v>
      </c>
      <c r="F1257" t="n">
        <v>334.55</v>
      </c>
    </row>
    <row r="1258">
      <c r="A1258" t="n">
        <v>2027</v>
      </c>
      <c r="B1258" t="n">
        <v>1</v>
      </c>
      <c r="C1258" t="inlineStr">
        <is>
          <t>Miete Grdst/Gebäud</t>
        </is>
      </c>
      <c r="D1258" t="inlineStr">
        <is>
          <t>Raumkosten</t>
        </is>
      </c>
      <c r="E1258" t="n">
        <v>15284.77</v>
      </c>
      <c r="F1258" t="n">
        <v>183417.26</v>
      </c>
    </row>
    <row r="1259">
      <c r="A1259" t="n">
        <v>2028</v>
      </c>
      <c r="B1259" t="n">
        <v>1</v>
      </c>
      <c r="C1259" t="inlineStr">
        <is>
          <t>Aufw. f. Alters</t>
        </is>
      </c>
      <c r="D1259" t="inlineStr">
        <is>
          <t>Personalaufwand</t>
        </is>
      </c>
      <c r="E1259" t="n">
        <v>1290.05</v>
      </c>
      <c r="F1259" t="n">
        <v>15480.56</v>
      </c>
    </row>
    <row r="1260">
      <c r="A1260" t="n">
        <v>2028</v>
      </c>
      <c r="B1260" t="n">
        <v>1</v>
      </c>
      <c r="C1260" t="inlineStr">
        <is>
          <t>Fremdl. Persona</t>
        </is>
      </c>
      <c r="D1260" t="inlineStr">
        <is>
          <t>Vorleistungen</t>
        </is>
      </c>
      <c r="E1260" t="n">
        <v>69.04000000000001</v>
      </c>
      <c r="F1260" t="n">
        <v>828.42</v>
      </c>
    </row>
    <row r="1261">
      <c r="A1261" t="n">
        <v>2030</v>
      </c>
      <c r="B1261" t="n">
        <v>1</v>
      </c>
      <c r="C1261" t="inlineStr">
        <is>
          <t>Vertriebskosten</t>
        </is>
      </c>
      <c r="D1261" t="inlineStr">
        <is>
          <t>Vertriebskosten</t>
        </is>
      </c>
      <c r="E1261" t="n">
        <v>12540.94</v>
      </c>
      <c r="F1261" t="n">
        <v>150491.26</v>
      </c>
    </row>
    <row r="1262">
      <c r="A1262" t="n">
        <v>2030</v>
      </c>
      <c r="B1262" t="n">
        <v>1</v>
      </c>
      <c r="C1262" t="inlineStr">
        <is>
          <t>Aufw. so. Hilfs</t>
        </is>
      </c>
      <c r="D1262" t="inlineStr">
        <is>
          <t>Vorleistungen</t>
        </is>
      </c>
      <c r="E1262" t="n">
        <v>-17197.35</v>
      </c>
      <c r="F1262" t="n">
        <v>-206368.2</v>
      </c>
    </row>
    <row r="1263">
      <c r="A1263" t="n">
        <v>2029</v>
      </c>
      <c r="B1263" t="n">
        <v>1</v>
      </c>
      <c r="C1263" t="inlineStr">
        <is>
          <t>Aufw. so. Hilfs</t>
        </is>
      </c>
      <c r="D1263" t="inlineStr">
        <is>
          <t>Vorleistungen</t>
        </is>
      </c>
      <c r="E1263" t="n">
        <v>-16834.66</v>
      </c>
      <c r="F1263" t="n">
        <v>-202015.88</v>
      </c>
    </row>
    <row r="1264">
      <c r="A1264" t="n">
        <v>2027</v>
      </c>
      <c r="B1264" t="n">
        <v>1</v>
      </c>
      <c r="C1264" t="inlineStr">
        <is>
          <t>Miete PKW</t>
        </is>
      </c>
      <c r="D1264" t="inlineStr">
        <is>
          <t>Fuhrparkkosten</t>
        </is>
      </c>
      <c r="E1264" t="n">
        <v>4613.79</v>
      </c>
      <c r="F1264" t="n">
        <v>55365.51</v>
      </c>
    </row>
    <row r="1265">
      <c r="A1265" t="n">
        <v>2030</v>
      </c>
      <c r="B1265" t="n">
        <v>1</v>
      </c>
      <c r="C1265" t="inlineStr">
        <is>
          <t>Fremdl. Fuhrlei</t>
        </is>
      </c>
      <c r="D1265" t="inlineStr">
        <is>
          <t>Vorleistungen</t>
        </is>
      </c>
      <c r="E1265" t="n">
        <v>368.3</v>
      </c>
      <c r="F1265" t="n">
        <v>4419.56</v>
      </c>
    </row>
    <row r="1266">
      <c r="A1266" t="n">
        <v>2030</v>
      </c>
      <c r="B1266" t="n">
        <v>1</v>
      </c>
      <c r="C1266" t="inlineStr">
        <is>
          <t>Miete PKW</t>
        </is>
      </c>
      <c r="D1266" t="inlineStr">
        <is>
          <t>Fuhrparkkosten</t>
        </is>
      </c>
      <c r="E1266" t="n">
        <v>5495.1</v>
      </c>
      <c r="F1266" t="n">
        <v>65941.19</v>
      </c>
    </row>
    <row r="1267">
      <c r="A1267" t="n">
        <v>2027</v>
      </c>
      <c r="B1267" t="n">
        <v>1</v>
      </c>
      <c r="C1267" t="inlineStr">
        <is>
          <t>Erl. Waren Dt.</t>
        </is>
      </c>
      <c r="D1267" t="inlineStr">
        <is>
          <t>Gesamtleistung</t>
        </is>
      </c>
      <c r="E1267" t="n">
        <v>42246.46</v>
      </c>
      <c r="F1267" t="n">
        <v>506957.51</v>
      </c>
    </row>
    <row r="1268">
      <c r="A1268" t="n">
        <v>2029</v>
      </c>
      <c r="B1268" t="n">
        <v>1</v>
      </c>
      <c r="C1268" t="inlineStr">
        <is>
          <t>Bestandsveraend</t>
        </is>
      </c>
      <c r="D1268" t="inlineStr">
        <is>
          <t>Gesamtleistung</t>
        </is>
      </c>
      <c r="E1268" t="n">
        <v>0</v>
      </c>
      <c r="F1268" t="n">
        <v>0</v>
      </c>
    </row>
    <row r="1269">
      <c r="A1269" t="n">
        <v>2031</v>
      </c>
      <c r="B1269" t="n">
        <v>1</v>
      </c>
      <c r="C1269" t="inlineStr">
        <is>
          <t>Leasing PKW</t>
        </is>
      </c>
      <c r="D1269" t="inlineStr">
        <is>
          <t>Fuhrparkkosten</t>
        </is>
      </c>
      <c r="E1269" t="n">
        <v>27699.28</v>
      </c>
      <c r="F1269" t="n">
        <v>332391.4</v>
      </c>
    </row>
    <row r="1270">
      <c r="A1270" t="n">
        <v>2029</v>
      </c>
      <c r="B1270" t="n">
        <v>1</v>
      </c>
      <c r="C1270" t="inlineStr">
        <is>
          <t>Behaelterkosten</t>
        </is>
      </c>
      <c r="D1270" t="inlineStr">
        <is>
          <t>Instandh. Betriebsausstattung</t>
        </is>
      </c>
      <c r="E1270" t="n">
        <v>12.15</v>
      </c>
      <c r="F1270" t="n">
        <v>145.74</v>
      </c>
    </row>
    <row r="1271">
      <c r="A1271" t="n">
        <v>2029</v>
      </c>
      <c r="B1271" t="n">
        <v>1</v>
      </c>
      <c r="C1271" t="inlineStr">
        <is>
          <t>Aufwand Umlage</t>
        </is>
      </c>
      <c r="D1271" t="inlineStr">
        <is>
          <t>Verwaltungskosten</t>
        </is>
      </c>
      <c r="E1271" t="n">
        <v>3589.28</v>
      </c>
      <c r="F1271" t="n">
        <v>43071.39</v>
      </c>
    </row>
    <row r="1272">
      <c r="A1272" t="n">
        <v>2030</v>
      </c>
      <c r="B1272" t="n">
        <v>1</v>
      </c>
      <c r="C1272" t="inlineStr">
        <is>
          <t>Instandh.Fuhrp</t>
        </is>
      </c>
      <c r="D1272" t="inlineStr">
        <is>
          <t>Fuhrparkkosten</t>
        </is>
      </c>
      <c r="E1272" t="n">
        <v>36157.89</v>
      </c>
      <c r="F1272" t="n">
        <v>433894.62</v>
      </c>
    </row>
    <row r="1273">
      <c r="A1273" t="n">
        <v>2028</v>
      </c>
      <c r="B1273" t="n">
        <v>1</v>
      </c>
      <c r="C1273" t="inlineStr">
        <is>
          <t>Sonderz. Prämie</t>
        </is>
      </c>
      <c r="D1273" t="inlineStr">
        <is>
          <t>Personalaufwand</t>
        </is>
      </c>
      <c r="E1273" t="n">
        <v>21386.26</v>
      </c>
      <c r="F1273" t="n">
        <v>256635.15</v>
      </c>
    </row>
    <row r="1274">
      <c r="A1274" t="n">
        <v>2029</v>
      </c>
      <c r="B1274" t="n">
        <v>1</v>
      </c>
      <c r="C1274" t="inlineStr">
        <is>
          <t>Aufw. f. Alters</t>
        </is>
      </c>
      <c r="D1274" t="inlineStr">
        <is>
          <t>Personalaufwand</t>
        </is>
      </c>
      <c r="E1274" t="n">
        <v>1366.43</v>
      </c>
      <c r="F1274" t="n">
        <v>16397.15</v>
      </c>
    </row>
    <row r="1275">
      <c r="A1275" t="n">
        <v>2027</v>
      </c>
      <c r="B1275" t="n">
        <v>1</v>
      </c>
      <c r="C1275" t="inlineStr">
        <is>
          <t>Ertr. weiterber</t>
        </is>
      </c>
      <c r="D1275" t="inlineStr">
        <is>
          <t>Gesamtleistung</t>
        </is>
      </c>
      <c r="E1275" t="n">
        <v>919.41</v>
      </c>
      <c r="F1275" t="n">
        <v>11032.96</v>
      </c>
    </row>
    <row r="1276">
      <c r="A1276" t="n">
        <v>2029</v>
      </c>
      <c r="B1276" t="n">
        <v>1</v>
      </c>
      <c r="C1276" t="inlineStr">
        <is>
          <t>So. betr. Aufwa</t>
        </is>
      </c>
      <c r="D1276" t="inlineStr">
        <is>
          <t>Verwaltungskosten</t>
        </is>
      </c>
      <c r="E1276" t="n">
        <v>693.25</v>
      </c>
      <c r="F1276" t="n">
        <v>8319.02</v>
      </c>
    </row>
    <row r="1277">
      <c r="A1277" t="n">
        <v>2031</v>
      </c>
      <c r="B1277" t="n">
        <v>1</v>
      </c>
      <c r="C1277" t="inlineStr">
        <is>
          <t>Ertr. weiterber</t>
        </is>
      </c>
      <c r="D1277" t="inlineStr">
        <is>
          <t>Gesamtleistung</t>
        </is>
      </c>
      <c r="E1277" t="n">
        <v>1173.93</v>
      </c>
      <c r="F1277" t="n">
        <v>14087.11</v>
      </c>
    </row>
    <row r="1278">
      <c r="A1278" t="n">
        <v>2031</v>
      </c>
      <c r="B1278" t="n">
        <v>1</v>
      </c>
      <c r="C1278" t="inlineStr">
        <is>
          <t>Ueb. bezog.Leis</t>
        </is>
      </c>
      <c r="D1278" t="inlineStr">
        <is>
          <t>Vorleistungen</t>
        </is>
      </c>
      <c r="E1278" t="n">
        <v>1404446.73</v>
      </c>
      <c r="F1278" t="n">
        <v>16853360.74</v>
      </c>
    </row>
    <row r="1279">
      <c r="A1279" t="n">
        <v>2027</v>
      </c>
      <c r="B1279" t="n">
        <v>1</v>
      </c>
      <c r="C1279" t="inlineStr">
        <is>
          <t>Fremdl. Fuhrlei</t>
        </is>
      </c>
      <c r="D1279" t="inlineStr">
        <is>
          <t>Vorleistungen</t>
        </is>
      </c>
      <c r="E1279" t="n">
        <v>371.09</v>
      </c>
      <c r="F1279" t="n">
        <v>4453.13</v>
      </c>
    </row>
    <row r="1280">
      <c r="A1280" t="n">
        <v>2027</v>
      </c>
      <c r="B1280" t="n">
        <v>1</v>
      </c>
      <c r="C1280" t="inlineStr">
        <is>
          <t>Behaelterkosten</t>
        </is>
      </c>
      <c r="D1280" t="inlineStr">
        <is>
          <t>Instandh. Betriebsausstattung</t>
        </is>
      </c>
      <c r="E1280" t="n">
        <v>11.02</v>
      </c>
      <c r="F1280" t="n">
        <v>132.19</v>
      </c>
    </row>
    <row r="1281">
      <c r="A1281" t="n">
        <v>2027</v>
      </c>
      <c r="B1281" t="n">
        <v>1</v>
      </c>
      <c r="C1281" t="inlineStr">
        <is>
          <t>Ueb Lohn-Gehalt</t>
        </is>
      </c>
      <c r="D1281" t="inlineStr">
        <is>
          <t>Personalaufwand</t>
        </is>
      </c>
      <c r="E1281" t="n">
        <v>30579.25</v>
      </c>
      <c r="F1281" t="n">
        <v>366951</v>
      </c>
    </row>
    <row r="1282">
      <c r="A1282" t="n">
        <v>2028</v>
      </c>
      <c r="B1282" t="n">
        <v>1</v>
      </c>
      <c r="C1282" t="inlineStr">
        <is>
          <t>Raumkosten</t>
        </is>
      </c>
      <c r="D1282" t="inlineStr">
        <is>
          <t>Raumkosten</t>
        </is>
      </c>
      <c r="E1282" t="n">
        <v>7023.98</v>
      </c>
      <c r="F1282" t="n">
        <v>84287.78</v>
      </c>
    </row>
    <row r="1283">
      <c r="A1283" t="n">
        <v>2031</v>
      </c>
      <c r="B1283" t="n">
        <v>1</v>
      </c>
      <c r="C1283" t="inlineStr">
        <is>
          <t>Bestandsveraend</t>
        </is>
      </c>
      <c r="D1283" t="inlineStr">
        <is>
          <t>Gesamtleistung</t>
        </is>
      </c>
      <c r="E1283" t="n">
        <v>0</v>
      </c>
      <c r="F1283" t="n">
        <v>0</v>
      </c>
    </row>
    <row r="1284">
      <c r="A1284" t="n">
        <v>2029</v>
      </c>
      <c r="B1284" t="n">
        <v>1</v>
      </c>
      <c r="C1284" t="inlineStr">
        <is>
          <t>Lohn + Gehalt</t>
        </is>
      </c>
      <c r="D1284" t="inlineStr">
        <is>
          <t>Personalaufwand</t>
        </is>
      </c>
      <c r="E1284" t="n">
        <v>356250.11</v>
      </c>
      <c r="F1284" t="n">
        <v>4275001.35</v>
      </c>
    </row>
    <row r="1285">
      <c r="A1285" t="n">
        <v>2029</v>
      </c>
      <c r="B1285" t="n">
        <v>1</v>
      </c>
      <c r="C1285" t="inlineStr">
        <is>
          <t>Aufw. Heizmat.</t>
        </is>
      </c>
      <c r="D1285" t="inlineStr">
        <is>
          <t>Vorleistungen</t>
        </is>
      </c>
      <c r="E1285" t="n">
        <v>245.07</v>
      </c>
      <c r="F1285" t="n">
        <v>2940.88</v>
      </c>
    </row>
    <row r="1286">
      <c r="A1286" t="n">
        <v>2031</v>
      </c>
      <c r="B1286" t="n">
        <v>1</v>
      </c>
      <c r="C1286" t="inlineStr">
        <is>
          <t>Verwaltungskost</t>
        </is>
      </c>
      <c r="D1286" t="inlineStr">
        <is>
          <t>Verwaltungskosten</t>
        </is>
      </c>
      <c r="E1286" t="n">
        <v>7531.31</v>
      </c>
      <c r="F1286" t="n">
        <v>90375.69</v>
      </c>
    </row>
    <row r="1287">
      <c r="A1287" t="n">
        <v>2028</v>
      </c>
      <c r="B1287" t="n">
        <v>1</v>
      </c>
      <c r="C1287" t="inlineStr">
        <is>
          <t>Erl. Waren Dt.</t>
        </is>
      </c>
      <c r="D1287" t="inlineStr">
        <is>
          <t>Gesamtleistung</t>
        </is>
      </c>
      <c r="E1287" t="n">
        <v>44950.49</v>
      </c>
      <c r="F1287" t="n">
        <v>539405.87</v>
      </c>
    </row>
    <row r="1288">
      <c r="A1288" t="n">
        <v>2030</v>
      </c>
      <c r="B1288" t="n">
        <v>1</v>
      </c>
      <c r="C1288" t="inlineStr">
        <is>
          <t>Uebr.neutr. Ert</t>
        </is>
      </c>
      <c r="D1288" t="inlineStr">
        <is>
          <t>Gesamtleistung</t>
        </is>
      </c>
      <c r="E1288" t="n">
        <v>207.38</v>
      </c>
      <c r="F1288" t="n">
        <v>2488.5</v>
      </c>
    </row>
    <row r="1289">
      <c r="A1289" t="n">
        <v>2030</v>
      </c>
      <c r="B1289" t="n">
        <v>1</v>
      </c>
      <c r="C1289" t="inlineStr">
        <is>
          <t>Raumkosten</t>
        </is>
      </c>
      <c r="D1289" t="inlineStr">
        <is>
          <t>Raumkosten</t>
        </is>
      </c>
      <c r="E1289" t="n">
        <v>7307.75</v>
      </c>
      <c r="F1289" t="n">
        <v>87693</v>
      </c>
    </row>
    <row r="1290">
      <c r="A1290" t="n">
        <v>2030</v>
      </c>
      <c r="B1290" t="n">
        <v>1</v>
      </c>
      <c r="C1290" t="inlineStr">
        <is>
          <t>Fremdl. Persona</t>
        </is>
      </c>
      <c r="D1290" t="inlineStr">
        <is>
          <t>Vorleistungen</t>
        </is>
      </c>
      <c r="E1290" t="n">
        <v>76.56999999999999</v>
      </c>
      <c r="F1290" t="n">
        <v>918.79</v>
      </c>
    </row>
    <row r="1291">
      <c r="A1291" t="n">
        <v>2027</v>
      </c>
      <c r="B1291" t="n">
        <v>1</v>
      </c>
      <c r="C1291" t="inlineStr">
        <is>
          <t>Leasing PKW</t>
        </is>
      </c>
      <c r="D1291" t="inlineStr">
        <is>
          <t>Fuhrparkkosten</t>
        </is>
      </c>
      <c r="E1291" t="n">
        <v>21940.43</v>
      </c>
      <c r="F1291" t="n">
        <v>263285.11</v>
      </c>
    </row>
    <row r="1292">
      <c r="A1292" t="n">
        <v>2030</v>
      </c>
      <c r="B1292" t="n">
        <v>1</v>
      </c>
      <c r="C1292" t="inlineStr">
        <is>
          <t>Ertrag KFZ-Nutz</t>
        </is>
      </c>
      <c r="D1292" t="inlineStr">
        <is>
          <t>Gesamtleistung</t>
        </is>
      </c>
      <c r="E1292" t="n">
        <v>9193.41</v>
      </c>
      <c r="F1292" t="n">
        <v>110320.94</v>
      </c>
    </row>
    <row r="1293">
      <c r="A1293" t="n">
        <v>2028</v>
      </c>
      <c r="B1293" t="n">
        <v>1</v>
      </c>
      <c r="C1293" t="inlineStr">
        <is>
          <t>Uebr.neutr. Ert</t>
        </is>
      </c>
      <c r="D1293" t="inlineStr">
        <is>
          <t>Gesamtleistung</t>
        </is>
      </c>
      <c r="E1293" t="n">
        <v>151.92</v>
      </c>
      <c r="F1293" t="n">
        <v>1823.08</v>
      </c>
    </row>
    <row r="1294">
      <c r="A1294" t="n">
        <v>2030</v>
      </c>
      <c r="B1294" t="n">
        <v>1</v>
      </c>
      <c r="C1294" t="inlineStr">
        <is>
          <t>Soziale Abgaben</t>
        </is>
      </c>
      <c r="D1294" t="inlineStr">
        <is>
          <t>Personalaufwand</t>
        </is>
      </c>
      <c r="E1294" t="n">
        <v>104141.87</v>
      </c>
      <c r="F1294" t="n">
        <v>1249702.47</v>
      </c>
    </row>
    <row r="1295">
      <c r="A1295" t="n">
        <v>2030</v>
      </c>
      <c r="B1295" t="n">
        <v>1</v>
      </c>
      <c r="C1295" t="inlineStr">
        <is>
          <t>Ankauf Rohstoff</t>
        </is>
      </c>
      <c r="D1295" t="inlineStr">
        <is>
          <t>Vorleistungen</t>
        </is>
      </c>
      <c r="E1295" t="n">
        <v>1483.55</v>
      </c>
      <c r="F1295" t="n">
        <v>17802.65</v>
      </c>
    </row>
    <row r="1296">
      <c r="A1296" t="n">
        <v>2031</v>
      </c>
      <c r="B1296" t="n">
        <v>1</v>
      </c>
      <c r="C1296" t="inlineStr">
        <is>
          <t>Aufw. Heizmat.</t>
        </is>
      </c>
      <c r="D1296" t="inlineStr">
        <is>
          <t>Vorleistungen</t>
        </is>
      </c>
      <c r="E1296" t="n">
        <v>216.16</v>
      </c>
      <c r="F1296" t="n">
        <v>2593.97</v>
      </c>
    </row>
    <row r="1297">
      <c r="A1297" t="n">
        <v>2030</v>
      </c>
      <c r="B1297" t="n">
        <v>1</v>
      </c>
      <c r="C1297" t="inlineStr">
        <is>
          <t>IT-Aufwendungen</t>
        </is>
      </c>
      <c r="D1297" t="inlineStr">
        <is>
          <t>Verwaltungskosten</t>
        </is>
      </c>
      <c r="E1297" t="n">
        <v>12671.51</v>
      </c>
      <c r="F1297" t="n">
        <v>152058.16</v>
      </c>
    </row>
    <row r="1298">
      <c r="A1298" t="n">
        <v>2027</v>
      </c>
      <c r="B1298" t="n">
        <v>1</v>
      </c>
      <c r="C1298" t="inlineStr">
        <is>
          <t>Treibstoffe, Oe</t>
        </is>
      </c>
      <c r="D1298" t="inlineStr">
        <is>
          <t>Fuhrparkkosten</t>
        </is>
      </c>
      <c r="E1298" t="n">
        <v>28695.87</v>
      </c>
      <c r="F1298" t="n">
        <v>344350.48</v>
      </c>
    </row>
    <row r="1299">
      <c r="A1299" t="n">
        <v>2028</v>
      </c>
      <c r="B1299" t="n">
        <v>1</v>
      </c>
      <c r="C1299" t="inlineStr">
        <is>
          <t>Aufw. Heizmat.</t>
        </is>
      </c>
      <c r="D1299" t="inlineStr">
        <is>
          <t>Vorleistungen</t>
        </is>
      </c>
      <c r="E1299" t="n">
        <v>260.43</v>
      </c>
      <c r="F1299" t="n">
        <v>3125.13</v>
      </c>
    </row>
    <row r="1300">
      <c r="A1300" t="n">
        <v>2031</v>
      </c>
      <c r="B1300" t="n">
        <v>1</v>
      </c>
      <c r="C1300" t="inlineStr">
        <is>
          <t>Ertrag KFZ-Nutz</t>
        </is>
      </c>
      <c r="D1300" t="inlineStr">
        <is>
          <t>Gesamtleistung</t>
        </is>
      </c>
      <c r="E1300" t="n">
        <v>9597.290000000001</v>
      </c>
      <c r="F1300" t="n">
        <v>115167.5</v>
      </c>
    </row>
    <row r="1301">
      <c r="A1301" t="n">
        <v>2027</v>
      </c>
      <c r="B1301" t="n">
        <v>1</v>
      </c>
      <c r="C1301" t="inlineStr">
        <is>
          <t>Raumkosten</t>
        </is>
      </c>
      <c r="D1301" t="inlineStr">
        <is>
          <t>Raumkosten</t>
        </is>
      </c>
      <c r="E1301" t="n">
        <v>5046.85</v>
      </c>
      <c r="F1301" t="n">
        <v>60562.14</v>
      </c>
    </row>
    <row r="1302">
      <c r="A1302" t="n">
        <v>2028</v>
      </c>
      <c r="B1302" t="n">
        <v>1</v>
      </c>
      <c r="C1302" t="inlineStr">
        <is>
          <t>Soziale Abgaben</t>
        </is>
      </c>
      <c r="D1302" t="inlineStr">
        <is>
          <t>Personalaufwand</t>
        </is>
      </c>
      <c r="E1302" t="n">
        <v>85007.57000000001</v>
      </c>
      <c r="F1302" t="n">
        <v>1020090.84</v>
      </c>
    </row>
    <row r="1303">
      <c r="A1303" t="n">
        <v>2029</v>
      </c>
      <c r="B1303" t="n">
        <v>1</v>
      </c>
      <c r="C1303" t="inlineStr">
        <is>
          <t>Miete Grdst/Gebäud</t>
        </is>
      </c>
      <c r="D1303" t="inlineStr">
        <is>
          <t>Raumkosten</t>
        </is>
      </c>
      <c r="E1303" t="n">
        <v>18238.55</v>
      </c>
      <c r="F1303" t="n">
        <v>218862.64</v>
      </c>
    </row>
    <row r="1304">
      <c r="A1304" t="n">
        <v>2031</v>
      </c>
      <c r="B1304" t="n">
        <v>1</v>
      </c>
      <c r="C1304" t="inlineStr">
        <is>
          <t>Raumkosten</t>
        </is>
      </c>
      <c r="D1304" t="inlineStr">
        <is>
          <t>Raumkosten</t>
        </is>
      </c>
      <c r="E1304" t="n">
        <v>7453.91</v>
      </c>
      <c r="F1304" t="n">
        <v>89446.89</v>
      </c>
    </row>
    <row r="1305">
      <c r="A1305" t="n">
        <v>2031</v>
      </c>
      <c r="B1305" t="n">
        <v>1</v>
      </c>
      <c r="C1305" t="inlineStr">
        <is>
          <t>Behaelterkosten</t>
        </is>
      </c>
      <c r="D1305" t="inlineStr">
        <is>
          <t>Instandh. Betriebsausstattung</t>
        </is>
      </c>
      <c r="E1305" t="n">
        <v>13.39</v>
      </c>
      <c r="F1305" t="n">
        <v>160.68</v>
      </c>
    </row>
    <row r="1306">
      <c r="A1306" t="n">
        <v>2031</v>
      </c>
      <c r="B1306" t="n">
        <v>1</v>
      </c>
      <c r="C1306" t="inlineStr">
        <is>
          <t>Instandh.Fuhrp</t>
        </is>
      </c>
      <c r="D1306" t="inlineStr">
        <is>
          <t>Fuhrparkkosten</t>
        </is>
      </c>
      <c r="E1306" t="n">
        <v>38327.36</v>
      </c>
      <c r="F1306" t="n">
        <v>459928.28</v>
      </c>
    </row>
    <row r="1307">
      <c r="A1307" t="n">
        <v>2030</v>
      </c>
      <c r="B1307" t="n">
        <v>1</v>
      </c>
      <c r="C1307" t="inlineStr">
        <is>
          <t>Ueb. bezog.Leis</t>
        </is>
      </c>
      <c r="D1307" t="inlineStr">
        <is>
          <t>Vorleistungen</t>
        </is>
      </c>
      <c r="E1307" t="n">
        <v>1385029.28</v>
      </c>
      <c r="F1307" t="n">
        <v>16620351.38</v>
      </c>
    </row>
    <row r="1308">
      <c r="A1308" t="n">
        <v>2027</v>
      </c>
      <c r="B1308" t="n">
        <v>1</v>
      </c>
      <c r="C1308" t="inlineStr">
        <is>
          <t>Miete LKW,Schiffe</t>
        </is>
      </c>
      <c r="D1308" t="inlineStr">
        <is>
          <t>Fuhrparkkosten</t>
        </is>
      </c>
      <c r="E1308" t="n">
        <v>36751.61</v>
      </c>
      <c r="F1308" t="n">
        <v>441019.28</v>
      </c>
    </row>
    <row r="1309">
      <c r="A1309" t="n">
        <v>2030</v>
      </c>
      <c r="B1309" t="n">
        <v>1</v>
      </c>
      <c r="C1309" t="inlineStr">
        <is>
          <t>Leasing LKW</t>
        </is>
      </c>
      <c r="D1309" t="inlineStr">
        <is>
          <t>Fuhrparkkosten</t>
        </is>
      </c>
      <c r="E1309" t="n">
        <v>2745.62</v>
      </c>
      <c r="F1309" t="n">
        <v>32947.44</v>
      </c>
    </row>
    <row r="1310">
      <c r="A1310" t="n">
        <v>2031</v>
      </c>
      <c r="B1310" t="n">
        <v>1</v>
      </c>
      <c r="C1310" t="inlineStr">
        <is>
          <t>Vertriebskosten</t>
        </is>
      </c>
      <c r="D1310" t="inlineStr">
        <is>
          <t>Vertriebskosten</t>
        </is>
      </c>
      <c r="E1310" t="n">
        <v>13167.99</v>
      </c>
      <c r="F1310" t="n">
        <v>158015.82</v>
      </c>
    </row>
    <row r="1311">
      <c r="A1311" t="n">
        <v>2028</v>
      </c>
      <c r="B1311" t="n">
        <v>1</v>
      </c>
      <c r="C1311" t="inlineStr">
        <is>
          <t>Behaelterkosten</t>
        </is>
      </c>
      <c r="D1311" t="inlineStr">
        <is>
          <t>Instandh. Betriebsausstattung</t>
        </is>
      </c>
      <c r="E1311" t="n">
        <v>11.57</v>
      </c>
      <c r="F1311" t="n">
        <v>138.8</v>
      </c>
    </row>
    <row r="1312">
      <c r="A1312" t="n">
        <v>2030</v>
      </c>
      <c r="B1312" t="n">
        <v>1</v>
      </c>
      <c r="C1312" t="inlineStr">
        <is>
          <t>Verwaltungskost</t>
        </is>
      </c>
      <c r="D1312" t="inlineStr">
        <is>
          <t>Verwaltungskosten</t>
        </is>
      </c>
      <c r="E1312" t="n">
        <v>7311.95</v>
      </c>
      <c r="F1312" t="n">
        <v>87743.38</v>
      </c>
    </row>
    <row r="1313">
      <c r="A1313" t="n">
        <v>2030</v>
      </c>
      <c r="B1313" t="n">
        <v>1</v>
      </c>
      <c r="C1313" t="inlineStr">
        <is>
          <t>Rechts- u. Beratungs</t>
        </is>
      </c>
      <c r="D1313" t="inlineStr">
        <is>
          <t>Verwaltungskosten</t>
        </is>
      </c>
      <c r="E1313" t="n">
        <v>28013.14</v>
      </c>
      <c r="F1313" t="n">
        <v>336157.66</v>
      </c>
    </row>
    <row r="1314">
      <c r="A1314" t="n">
        <v>2028</v>
      </c>
      <c r="B1314" t="n">
        <v>1</v>
      </c>
      <c r="C1314" t="inlineStr">
        <is>
          <t>Sonst Fuhrparkkosten</t>
        </is>
      </c>
      <c r="D1314" t="inlineStr">
        <is>
          <t>Fuhrparkkosten</t>
        </is>
      </c>
      <c r="E1314" t="n">
        <v>5288.59</v>
      </c>
      <c r="F1314" t="n">
        <v>63463.1</v>
      </c>
    </row>
    <row r="1315">
      <c r="A1315" t="n">
        <v>2029</v>
      </c>
      <c r="B1315" t="n">
        <v>1</v>
      </c>
      <c r="C1315" t="inlineStr">
        <is>
          <t>Erl. so. DL Dt.</t>
        </is>
      </c>
      <c r="D1315" t="inlineStr">
        <is>
          <t>Gesamtleistung</t>
        </is>
      </c>
      <c r="E1315" t="n">
        <v>2200755.15</v>
      </c>
      <c r="F1315" t="n">
        <v>26409061.76</v>
      </c>
    </row>
    <row r="1316">
      <c r="A1316" t="n">
        <v>2031</v>
      </c>
      <c r="B1316" t="n">
        <v>1</v>
      </c>
      <c r="C1316" t="inlineStr">
        <is>
          <t>Uebr.neutr. Ert</t>
        </is>
      </c>
      <c r="D1316" t="inlineStr">
        <is>
          <t>Gesamtleistung</t>
        </is>
      </c>
      <c r="E1316" t="n">
        <v>227.28</v>
      </c>
      <c r="F1316" t="n">
        <v>2727.33</v>
      </c>
    </row>
    <row r="1317">
      <c r="A1317" t="n">
        <v>2030</v>
      </c>
      <c r="B1317" t="n">
        <v>1</v>
      </c>
      <c r="C1317" t="inlineStr">
        <is>
          <t>Erl. Waren Dt.</t>
        </is>
      </c>
      <c r="D1317" t="inlineStr">
        <is>
          <t>Gesamtleistung</t>
        </is>
      </c>
      <c r="E1317" t="n">
        <v>49038.99</v>
      </c>
      <c r="F1317" t="n">
        <v>588467.85</v>
      </c>
    </row>
    <row r="1318">
      <c r="A1318" t="n">
        <v>2028</v>
      </c>
      <c r="B1318" t="n">
        <v>1</v>
      </c>
      <c r="C1318" t="inlineStr">
        <is>
          <t>Weiterber. Frem</t>
        </is>
      </c>
      <c r="D1318" t="inlineStr">
        <is>
          <t>Vorleistungen</t>
        </is>
      </c>
      <c r="E1318" t="n">
        <v>0</v>
      </c>
      <c r="F1318" t="n">
        <v>0</v>
      </c>
    </row>
    <row r="1319">
      <c r="A1319" t="n">
        <v>2027</v>
      </c>
      <c r="B1319" t="n">
        <v>1</v>
      </c>
      <c r="C1319" t="inlineStr">
        <is>
          <t>IT-Aufwendungen</t>
        </is>
      </c>
      <c r="D1319" t="inlineStr">
        <is>
          <t>Verwaltungskosten</t>
        </is>
      </c>
      <c r="E1319" t="n">
        <v>11596.23</v>
      </c>
      <c r="F1319" t="n">
        <v>139154.76</v>
      </c>
    </row>
    <row r="1320">
      <c r="A1320" t="n">
        <v>2028</v>
      </c>
      <c r="B1320" t="n">
        <v>1</v>
      </c>
      <c r="C1320" t="inlineStr">
        <is>
          <t>Leasing LKW</t>
        </is>
      </c>
      <c r="D1320" t="inlineStr">
        <is>
          <t>Fuhrparkkosten</t>
        </is>
      </c>
      <c r="E1320" t="n">
        <v>2443.59</v>
      </c>
      <c r="F1320" t="n">
        <v>29323.11</v>
      </c>
    </row>
    <row r="1321">
      <c r="A1321" t="n">
        <v>2031</v>
      </c>
      <c r="B1321" t="n">
        <v>1</v>
      </c>
      <c r="C1321" t="inlineStr">
        <is>
          <t>Weiterber. Frem</t>
        </is>
      </c>
      <c r="D1321" t="inlineStr">
        <is>
          <t>Vorleistungen</t>
        </is>
      </c>
      <c r="E1321" t="n">
        <v>0</v>
      </c>
      <c r="F1321" t="n">
        <v>0</v>
      </c>
    </row>
    <row r="1322">
      <c r="A1322" t="n">
        <v>2028</v>
      </c>
      <c r="B1322" t="n">
        <v>1</v>
      </c>
      <c r="C1322" t="inlineStr">
        <is>
          <t>Lohn + Gehalt</t>
        </is>
      </c>
      <c r="D1322" t="inlineStr">
        <is>
          <t>Personalaufwand</t>
        </is>
      </c>
      <c r="E1322" t="n">
        <v>321097.26</v>
      </c>
      <c r="F1322" t="n">
        <v>3853167.13</v>
      </c>
    </row>
    <row r="1323">
      <c r="A1323" t="n">
        <v>2029</v>
      </c>
      <c r="B1323" t="n">
        <v>1</v>
      </c>
      <c r="C1323" t="inlineStr">
        <is>
          <t>Miete LKW,Schiffe</t>
        </is>
      </c>
      <c r="D1323" t="inlineStr">
        <is>
          <t>Fuhrparkkosten</t>
        </is>
      </c>
      <c r="E1323" t="n">
        <v>41294.11</v>
      </c>
      <c r="F1323" t="n">
        <v>495529.28</v>
      </c>
    </row>
    <row r="1324">
      <c r="A1324" t="n">
        <v>2030</v>
      </c>
      <c r="B1324" t="n">
        <v>1</v>
      </c>
      <c r="C1324" t="inlineStr">
        <is>
          <t>Erl. so. DL Dt.</t>
        </is>
      </c>
      <c r="D1324" t="inlineStr">
        <is>
          <t>Gesamtleistung</t>
        </is>
      </c>
      <c r="E1324" t="n">
        <v>2311684.01</v>
      </c>
      <c r="F1324" t="n">
        <v>27740208.09</v>
      </c>
    </row>
    <row r="1325">
      <c r="A1325" t="n">
        <v>2030</v>
      </c>
      <c r="B1325" t="n">
        <v>1</v>
      </c>
      <c r="C1325" t="inlineStr">
        <is>
          <t>Versicherungskosten</t>
        </is>
      </c>
      <c r="D1325" t="inlineStr">
        <is>
          <t>Verwaltungskosten</t>
        </is>
      </c>
      <c r="E1325" t="n">
        <v>11790.1</v>
      </c>
      <c r="F1325" t="n">
        <v>141481.23</v>
      </c>
    </row>
    <row r="1326">
      <c r="A1326" t="n">
        <v>2029</v>
      </c>
      <c r="B1326" t="n">
        <v>1</v>
      </c>
      <c r="C1326" t="inlineStr">
        <is>
          <t>Sonstige Steuer</t>
        </is>
      </c>
      <c r="D1326" t="inlineStr">
        <is>
          <t>Fuhrparkkosten</t>
        </is>
      </c>
      <c r="E1326" t="n">
        <v>1682.38</v>
      </c>
      <c r="F1326" t="n">
        <v>20188.51</v>
      </c>
    </row>
    <row r="1327">
      <c r="A1327" t="n">
        <v>2027</v>
      </c>
      <c r="B1327" t="n">
        <v>1</v>
      </c>
      <c r="C1327" t="inlineStr">
        <is>
          <t>Sonst Fuhrparkkosten</t>
        </is>
      </c>
      <c r="D1327" t="inlineStr">
        <is>
          <t>Fuhrparkkosten</t>
        </is>
      </c>
      <c r="E1327" t="n">
        <v>4989.24</v>
      </c>
      <c r="F1327" t="n">
        <v>59870.86</v>
      </c>
    </row>
    <row r="1328">
      <c r="A1328" t="n">
        <v>2028</v>
      </c>
      <c r="B1328" t="n">
        <v>1</v>
      </c>
      <c r="C1328" t="inlineStr">
        <is>
          <t>Bestandsveraend</t>
        </is>
      </c>
      <c r="D1328" t="inlineStr">
        <is>
          <t>Gesamtleistung</t>
        </is>
      </c>
      <c r="E1328" t="n">
        <v>0</v>
      </c>
      <c r="F1328" t="n">
        <v>0</v>
      </c>
    </row>
    <row r="1329">
      <c r="A1329" t="n">
        <v>2028</v>
      </c>
      <c r="B1329" t="n">
        <v>1</v>
      </c>
      <c r="C1329" t="inlineStr">
        <is>
          <t>So. betr. Aufwa</t>
        </is>
      </c>
      <c r="D1329" t="inlineStr">
        <is>
          <t>Verwaltungskosten</t>
        </is>
      </c>
      <c r="E1329" t="n">
        <v>673.0599999999999</v>
      </c>
      <c r="F1329" t="n">
        <v>8076.71</v>
      </c>
    </row>
    <row r="1330">
      <c r="A1330" t="n">
        <v>2030</v>
      </c>
      <c r="B1330" t="n">
        <v>1</v>
      </c>
      <c r="C1330" t="inlineStr">
        <is>
          <t>Miete LKW,Schiffe</t>
        </is>
      </c>
      <c r="D1330" t="inlineStr">
        <is>
          <t>Fuhrparkkosten</t>
        </is>
      </c>
      <c r="E1330" t="n">
        <v>43771.75</v>
      </c>
      <c r="F1330" t="n">
        <v>525261.04</v>
      </c>
    </row>
    <row r="1331">
      <c r="A1331" t="n">
        <v>2028</v>
      </c>
      <c r="B1331" t="n">
        <v>1</v>
      </c>
      <c r="C1331" t="inlineStr">
        <is>
          <t>Miete LKW,Schiffe</t>
        </is>
      </c>
      <c r="D1331" t="inlineStr">
        <is>
          <t>Fuhrparkkosten</t>
        </is>
      </c>
      <c r="E1331" t="n">
        <v>38956.71</v>
      </c>
      <c r="F1331" t="n">
        <v>467480.47</v>
      </c>
    </row>
    <row r="1332">
      <c r="A1332" t="n">
        <v>2028</v>
      </c>
      <c r="B1332" t="n">
        <v>1</v>
      </c>
      <c r="C1332" t="inlineStr">
        <is>
          <t>sonst Personalk</t>
        </is>
      </c>
      <c r="D1332" t="inlineStr">
        <is>
          <t>Personalaufwand</t>
        </is>
      </c>
      <c r="E1332" t="n">
        <v>12597.51</v>
      </c>
      <c r="F1332" t="n">
        <v>151170.09</v>
      </c>
    </row>
    <row r="1333">
      <c r="A1333" t="n">
        <v>2030</v>
      </c>
      <c r="B1333" t="n">
        <v>1</v>
      </c>
      <c r="C1333" t="inlineStr">
        <is>
          <t>Leasing PKW</t>
        </is>
      </c>
      <c r="D1333" t="inlineStr">
        <is>
          <t>Fuhrparkkosten</t>
        </is>
      </c>
      <c r="E1333" t="n">
        <v>26131.4</v>
      </c>
      <c r="F1333" t="n">
        <v>313576.76</v>
      </c>
    </row>
    <row r="1334">
      <c r="A1334" t="n">
        <v>2031</v>
      </c>
      <c r="B1334" t="n">
        <v>1</v>
      </c>
      <c r="C1334" t="inlineStr">
        <is>
          <t>Aufwand Umlage</t>
        </is>
      </c>
      <c r="D1334" t="inlineStr">
        <is>
          <t>Verwaltungskosten</t>
        </is>
      </c>
      <c r="E1334" t="n">
        <v>3807.87</v>
      </c>
      <c r="F1334" t="n">
        <v>45694.43</v>
      </c>
    </row>
    <row r="1335">
      <c r="A1335" t="n">
        <v>2031</v>
      </c>
      <c r="B1335" t="n">
        <v>1</v>
      </c>
      <c r="C1335" t="inlineStr">
        <is>
          <t>sonst Personalk</t>
        </is>
      </c>
      <c r="D1335" t="inlineStr">
        <is>
          <t>Personalaufwand</t>
        </is>
      </c>
      <c r="E1335" t="n">
        <v>17070.54</v>
      </c>
      <c r="F1335" t="n">
        <v>204846.51</v>
      </c>
    </row>
    <row r="1336">
      <c r="A1336" t="n">
        <v>2027</v>
      </c>
      <c r="B1336" t="n">
        <v>1</v>
      </c>
      <c r="C1336" t="inlineStr">
        <is>
          <t>sonst Personalk</t>
        </is>
      </c>
      <c r="D1336" t="inlineStr">
        <is>
          <t>Personalaufwand</t>
        </is>
      </c>
      <c r="E1336" t="n">
        <v>10949.84</v>
      </c>
      <c r="F1336" t="n">
        <v>131398.1</v>
      </c>
    </row>
    <row r="1337">
      <c r="A1337" t="n">
        <v>2031</v>
      </c>
      <c r="B1337" t="n">
        <v>1</v>
      </c>
      <c r="C1337" t="inlineStr">
        <is>
          <t>Miete PKW</t>
        </is>
      </c>
      <c r="D1337" t="inlineStr">
        <is>
          <t>Fuhrparkkosten</t>
        </is>
      </c>
      <c r="E1337" t="n">
        <v>5824.81</v>
      </c>
      <c r="F1337" t="n">
        <v>69897.67</v>
      </c>
    </row>
    <row r="1338">
      <c r="A1338" t="n">
        <v>2029</v>
      </c>
      <c r="B1338" t="n">
        <v>1</v>
      </c>
      <c r="C1338" t="inlineStr">
        <is>
          <t>Raumkosten</t>
        </is>
      </c>
      <c r="D1338" t="inlineStr">
        <is>
          <t>Raumkosten</t>
        </is>
      </c>
      <c r="E1338" t="n">
        <v>7164.46</v>
      </c>
      <c r="F1338" t="n">
        <v>85973.53</v>
      </c>
    </row>
    <row r="1339">
      <c r="A1339" t="n">
        <v>2031</v>
      </c>
      <c r="B1339" t="n">
        <v>1</v>
      </c>
      <c r="C1339" t="inlineStr">
        <is>
          <t>Aufw. f. Alters</t>
        </is>
      </c>
      <c r="D1339" t="inlineStr">
        <is>
          <t>Personalaufwand</t>
        </is>
      </c>
      <c r="E1339" t="n">
        <v>1434.03</v>
      </c>
      <c r="F1339" t="n">
        <v>17208.41</v>
      </c>
    </row>
    <row r="1340">
      <c r="A1340" t="n">
        <v>2031</v>
      </c>
      <c r="B1340" t="n">
        <v>1</v>
      </c>
      <c r="C1340" t="inlineStr">
        <is>
          <t>IT-Aufwendungen</t>
        </is>
      </c>
      <c r="D1340" t="inlineStr">
        <is>
          <t>Verwaltungskosten</t>
        </is>
      </c>
      <c r="E1340" t="n">
        <v>13051.66</v>
      </c>
      <c r="F1340" t="n">
        <v>156619.9</v>
      </c>
    </row>
    <row r="1341">
      <c r="A1341" t="n">
        <v>2028</v>
      </c>
      <c r="B1341" t="n">
        <v>1</v>
      </c>
      <c r="C1341" t="inlineStr">
        <is>
          <t>Miete Grdst/Gebäud</t>
        </is>
      </c>
      <c r="D1341" t="inlineStr">
        <is>
          <t>Raumkosten</t>
        </is>
      </c>
      <c r="E1341" t="n">
        <v>17880.93</v>
      </c>
      <c r="F1341" t="n">
        <v>214571.21</v>
      </c>
    </row>
    <row r="1342">
      <c r="A1342" t="n">
        <v>2027</v>
      </c>
      <c r="B1342" t="n">
        <v>1</v>
      </c>
      <c r="C1342" t="inlineStr">
        <is>
          <t>Erloesschmaeler</t>
        </is>
      </c>
      <c r="D1342" t="inlineStr">
        <is>
          <t>Gesamtleistung</t>
        </is>
      </c>
      <c r="E1342" t="n">
        <v>-7483.88</v>
      </c>
      <c r="F1342" t="n">
        <v>-89806.53</v>
      </c>
    </row>
    <row r="1343">
      <c r="A1343" t="n">
        <v>2029</v>
      </c>
      <c r="B1343" t="n">
        <v>1</v>
      </c>
      <c r="C1343" t="inlineStr">
        <is>
          <t>sonst Personalk</t>
        </is>
      </c>
      <c r="D1343" t="inlineStr">
        <is>
          <t>Personalaufwand</t>
        </is>
      </c>
      <c r="E1343" t="n">
        <v>13957.15</v>
      </c>
      <c r="F1343" t="n">
        <v>167485.78</v>
      </c>
    </row>
    <row r="1344">
      <c r="A1344" t="n">
        <v>2028</v>
      </c>
      <c r="B1344" t="n">
        <v>1</v>
      </c>
      <c r="C1344" t="inlineStr">
        <is>
          <t>Fremdl. Fuhrlei</t>
        </is>
      </c>
      <c r="D1344" t="inlineStr">
        <is>
          <t>Vorleistungen</t>
        </is>
      </c>
      <c r="E1344" t="n">
        <v>363.29</v>
      </c>
      <c r="F1344" t="n">
        <v>4359.52</v>
      </c>
    </row>
    <row r="1345">
      <c r="A1345" t="n">
        <v>2027</v>
      </c>
      <c r="B1345" t="n">
        <v>1</v>
      </c>
      <c r="C1345" t="inlineStr">
        <is>
          <t>Erl. so. DL Dt.</t>
        </is>
      </c>
      <c r="D1345" t="inlineStr">
        <is>
          <t>Gesamtleistung</t>
        </is>
      </c>
      <c r="E1345" t="n">
        <v>1996174.37</v>
      </c>
      <c r="F1345" t="n">
        <v>23954092.45</v>
      </c>
    </row>
    <row r="1346">
      <c r="A1346" t="n">
        <v>2027</v>
      </c>
      <c r="B1346" t="n">
        <v>1</v>
      </c>
      <c r="C1346" t="inlineStr">
        <is>
          <t>Aufw. Heizmat.</t>
        </is>
      </c>
      <c r="D1346" t="inlineStr">
        <is>
          <t>Vorleistungen</t>
        </is>
      </c>
      <c r="E1346" t="n">
        <v>275.72</v>
      </c>
      <c r="F1346" t="n">
        <v>3308.65</v>
      </c>
    </row>
    <row r="1347">
      <c r="A1347" t="n">
        <v>2028</v>
      </c>
      <c r="B1347" t="n">
        <v>1</v>
      </c>
      <c r="C1347" t="inlineStr">
        <is>
          <t>Versicherungskosten</t>
        </is>
      </c>
      <c r="D1347" t="inlineStr">
        <is>
          <t>Verwaltungskosten</t>
        </is>
      </c>
      <c r="E1347" t="n">
        <v>11113.3</v>
      </c>
      <c r="F1347" t="n">
        <v>133359.63</v>
      </c>
    </row>
    <row r="1348">
      <c r="A1348" t="n">
        <v>2031</v>
      </c>
      <c r="B1348" t="n">
        <v>1</v>
      </c>
      <c r="C1348" t="inlineStr">
        <is>
          <t>Miete LKW,Schiffe</t>
        </is>
      </c>
      <c r="D1348" t="inlineStr">
        <is>
          <t>Fuhrparkkosten</t>
        </is>
      </c>
      <c r="E1348" t="n">
        <v>46398.06</v>
      </c>
      <c r="F1348" t="n">
        <v>556776.71</v>
      </c>
    </row>
    <row r="1349">
      <c r="A1349" t="n">
        <v>2027</v>
      </c>
      <c r="B1349" t="n">
        <v>1</v>
      </c>
      <c r="C1349" t="inlineStr">
        <is>
          <t>Weiterber. Frem</t>
        </is>
      </c>
      <c r="D1349" t="inlineStr">
        <is>
          <t>Vorleistungen</t>
        </is>
      </c>
      <c r="E1349" t="n">
        <v>0</v>
      </c>
      <c r="F1349" t="n">
        <v>0</v>
      </c>
    </row>
    <row r="1350">
      <c r="A1350" t="n">
        <v>2028</v>
      </c>
      <c r="B1350" t="n">
        <v>1</v>
      </c>
      <c r="C1350" t="inlineStr">
        <is>
          <t>Erloesschmaeler</t>
        </is>
      </c>
      <c r="D1350" t="inlineStr">
        <is>
          <t>Gesamtleistung</t>
        </is>
      </c>
      <c r="E1350" t="n">
        <v>-8355.469999999999</v>
      </c>
      <c r="F1350" t="n">
        <v>-100265.61</v>
      </c>
    </row>
    <row r="1351">
      <c r="A1351" t="n">
        <v>2027</v>
      </c>
      <c r="B1351" t="n">
        <v>1</v>
      </c>
      <c r="C1351" t="inlineStr">
        <is>
          <t>Uebr.neutr. Ert</t>
        </is>
      </c>
      <c r="D1351" t="inlineStr">
        <is>
          <t>Gesamtleistung</t>
        </is>
      </c>
      <c r="E1351" t="n">
        <v>113.94</v>
      </c>
      <c r="F1351" t="n">
        <v>1367.31</v>
      </c>
    </row>
    <row r="1352">
      <c r="A1352" t="n">
        <v>2028</v>
      </c>
      <c r="B1352" t="n">
        <v>1</v>
      </c>
      <c r="C1352" t="inlineStr">
        <is>
          <t>Miete Behälter</t>
        </is>
      </c>
      <c r="D1352" t="inlineStr">
        <is>
          <t>Instandh. Betriebsausstattung</t>
        </is>
      </c>
      <c r="E1352" t="n">
        <v>24.08</v>
      </c>
      <c r="F1352" t="n">
        <v>289</v>
      </c>
    </row>
    <row r="1353">
      <c r="A1353" t="n">
        <v>2028</v>
      </c>
      <c r="B1353" t="n">
        <v>1</v>
      </c>
      <c r="C1353" t="inlineStr">
        <is>
          <t>Aufw. so. Hilfs</t>
        </is>
      </c>
      <c r="D1353" t="inlineStr">
        <is>
          <t>Vorleistungen</t>
        </is>
      </c>
      <c r="E1353" t="n">
        <v>-16546.31</v>
      </c>
      <c r="F1353" t="n">
        <v>-198555.67</v>
      </c>
    </row>
    <row r="1354">
      <c r="A1354" t="n">
        <v>2030</v>
      </c>
      <c r="B1354" t="n">
        <v>1</v>
      </c>
      <c r="C1354" t="inlineStr">
        <is>
          <t>Treibstoffe, Oe</t>
        </is>
      </c>
      <c r="D1354" t="inlineStr">
        <is>
          <t>Fuhrparkkosten</t>
        </is>
      </c>
      <c r="E1354" t="n">
        <v>34177.25</v>
      </c>
      <c r="F1354" t="n">
        <v>410126.96</v>
      </c>
    </row>
    <row r="1355">
      <c r="A1355" t="n">
        <v>2030</v>
      </c>
      <c r="B1355" t="n">
        <v>1</v>
      </c>
      <c r="C1355" t="inlineStr">
        <is>
          <t>Ueb Lohn-Gehalt</t>
        </is>
      </c>
      <c r="D1355" t="inlineStr">
        <is>
          <t>Personalaufwand</t>
        </is>
      </c>
      <c r="E1355" t="n">
        <v>41842.02</v>
      </c>
      <c r="F1355" t="n">
        <v>502104.18</v>
      </c>
    </row>
    <row r="1356">
      <c r="A1356" t="n">
        <v>2030</v>
      </c>
      <c r="B1356" t="n">
        <v>1</v>
      </c>
      <c r="C1356" t="inlineStr">
        <is>
          <t>Aufw. f. Alters</t>
        </is>
      </c>
      <c r="D1356" t="inlineStr">
        <is>
          <t>Personalaufwand</t>
        </is>
      </c>
      <c r="E1356" t="n">
        <v>1387.56</v>
      </c>
      <c r="F1356" t="n">
        <v>16650.69</v>
      </c>
    </row>
    <row r="1357">
      <c r="A1357" t="n">
        <v>2031</v>
      </c>
      <c r="B1357" t="n">
        <v>1</v>
      </c>
      <c r="C1357" t="inlineStr">
        <is>
          <t>Fremdl. Persona</t>
        </is>
      </c>
      <c r="D1357" t="inlineStr">
        <is>
          <t>Vorleistungen</t>
        </is>
      </c>
      <c r="E1357" t="n">
        <v>79.40000000000001</v>
      </c>
      <c r="F1357" t="n">
        <v>952.79</v>
      </c>
    </row>
    <row r="1358">
      <c r="A1358" t="n">
        <v>2029</v>
      </c>
      <c r="B1358" t="n">
        <v>2</v>
      </c>
      <c r="C1358" t="inlineStr">
        <is>
          <t>Sonderz. Prämie</t>
        </is>
      </c>
      <c r="D1358" t="inlineStr">
        <is>
          <t>Personalaufwand</t>
        </is>
      </c>
      <c r="E1358" t="n">
        <v>23292.21</v>
      </c>
      <c r="F1358" t="n">
        <v>279506.56</v>
      </c>
    </row>
    <row r="1359">
      <c r="A1359" t="n">
        <v>2030</v>
      </c>
      <c r="B1359" t="n">
        <v>2</v>
      </c>
      <c r="C1359" t="inlineStr">
        <is>
          <t>sonst Personalk</t>
        </is>
      </c>
      <c r="D1359" t="inlineStr">
        <is>
          <t>Personalaufwand</t>
        </is>
      </c>
      <c r="E1359" t="n">
        <v>15558.93</v>
      </c>
      <c r="F1359" t="n">
        <v>186707.19</v>
      </c>
    </row>
    <row r="1360">
      <c r="A1360" t="n">
        <v>2031</v>
      </c>
      <c r="B1360" t="n">
        <v>2</v>
      </c>
      <c r="C1360" t="inlineStr">
        <is>
          <t>Ankauf Rohstoff</t>
        </is>
      </c>
      <c r="D1360" t="inlineStr">
        <is>
          <t>Vorleistungen</t>
        </is>
      </c>
      <c r="E1360" t="n">
        <v>1489.65</v>
      </c>
      <c r="F1360" t="n">
        <v>17875.76</v>
      </c>
    </row>
    <row r="1361">
      <c r="A1361" t="n">
        <v>2029</v>
      </c>
      <c r="B1361" t="n">
        <v>2</v>
      </c>
      <c r="C1361" t="inlineStr">
        <is>
          <t>Weiterber. Frem</t>
        </is>
      </c>
      <c r="D1361" t="inlineStr">
        <is>
          <t>Vorleistungen</t>
        </is>
      </c>
      <c r="E1361" t="n">
        <v>0</v>
      </c>
      <c r="F1361" t="n">
        <v>0</v>
      </c>
    </row>
    <row r="1362">
      <c r="A1362" t="n">
        <v>2031</v>
      </c>
      <c r="B1362" t="n">
        <v>2</v>
      </c>
      <c r="C1362" t="inlineStr">
        <is>
          <t>Sonstige Steuer</t>
        </is>
      </c>
      <c r="D1362" t="inlineStr">
        <is>
          <t>Fuhrparkkosten</t>
        </is>
      </c>
      <c r="E1362" t="n">
        <v>1890.32</v>
      </c>
      <c r="F1362" t="n">
        <v>22683.81</v>
      </c>
    </row>
    <row r="1363">
      <c r="A1363" t="n">
        <v>2030</v>
      </c>
      <c r="B1363" t="n">
        <v>2</v>
      </c>
      <c r="C1363" t="inlineStr">
        <is>
          <t>Bestandsveraend</t>
        </is>
      </c>
      <c r="D1363" t="inlineStr">
        <is>
          <t>Gesamtleistung</t>
        </is>
      </c>
      <c r="E1363" t="n">
        <v>0</v>
      </c>
      <c r="F1363" t="n">
        <v>0</v>
      </c>
    </row>
    <row r="1364">
      <c r="A1364" t="n">
        <v>2031</v>
      </c>
      <c r="B1364" t="n">
        <v>2</v>
      </c>
      <c r="C1364" t="inlineStr">
        <is>
          <t>Erl. so. DL Dt.</t>
        </is>
      </c>
      <c r="D1364" t="inlineStr">
        <is>
          <t>Gesamtleistung</t>
        </is>
      </c>
      <c r="E1364" t="n">
        <v>2428139.11</v>
      </c>
      <c r="F1364" t="n">
        <v>29137669.32</v>
      </c>
    </row>
    <row r="1365">
      <c r="A1365" t="n">
        <v>2030</v>
      </c>
      <c r="B1365" t="n">
        <v>2</v>
      </c>
      <c r="C1365" t="inlineStr">
        <is>
          <t>Sonstige Steuer</t>
        </is>
      </c>
      <c r="D1365" t="inlineStr">
        <is>
          <t>Fuhrparkkosten</t>
        </is>
      </c>
      <c r="E1365" t="n">
        <v>1783.32</v>
      </c>
      <c r="F1365" t="n">
        <v>21399.82</v>
      </c>
    </row>
    <row r="1366">
      <c r="A1366" t="n">
        <v>2030</v>
      </c>
      <c r="B1366" t="n">
        <v>2</v>
      </c>
      <c r="C1366" t="inlineStr">
        <is>
          <t>Sonderz. Prämie</t>
        </is>
      </c>
      <c r="D1366" t="inlineStr">
        <is>
          <t>Personalaufwand</t>
        </is>
      </c>
      <c r="E1366" t="n">
        <v>25004.1</v>
      </c>
      <c r="F1366" t="n">
        <v>300049.14</v>
      </c>
    </row>
    <row r="1367">
      <c r="A1367" t="n">
        <v>2029</v>
      </c>
      <c r="B1367" t="n">
        <v>2</v>
      </c>
      <c r="C1367" t="inlineStr">
        <is>
          <t>Soziale Abgaben</t>
        </is>
      </c>
      <c r="D1367" t="inlineStr">
        <is>
          <t>Personalaufwand</t>
        </is>
      </c>
      <c r="E1367" t="n">
        <v>94488.11</v>
      </c>
      <c r="F1367" t="n">
        <v>1133857.35</v>
      </c>
    </row>
    <row r="1368">
      <c r="A1368" t="n">
        <v>2031</v>
      </c>
      <c r="B1368" t="n">
        <v>2</v>
      </c>
      <c r="C1368" t="inlineStr">
        <is>
          <t>So. betr. Aufwa</t>
        </is>
      </c>
      <c r="D1368" t="inlineStr">
        <is>
          <t>Verwaltungskosten</t>
        </is>
      </c>
      <c r="E1368" t="n">
        <v>735.47</v>
      </c>
      <c r="F1368" t="n">
        <v>8825.639999999999</v>
      </c>
    </row>
    <row r="1369">
      <c r="A1369" t="n">
        <v>2027</v>
      </c>
      <c r="B1369" t="n">
        <v>2</v>
      </c>
      <c r="C1369" t="inlineStr">
        <is>
          <t>Lohn + Gehalt</t>
        </is>
      </c>
      <c r="D1369" t="inlineStr">
        <is>
          <t>Personalaufwand</t>
        </is>
      </c>
      <c r="E1369" t="n">
        <v>287946.36</v>
      </c>
      <c r="F1369" t="n">
        <v>3455356.33</v>
      </c>
    </row>
    <row r="1370">
      <c r="A1370" t="n">
        <v>2027</v>
      </c>
      <c r="B1370" t="n">
        <v>2</v>
      </c>
      <c r="C1370" t="inlineStr">
        <is>
          <t>So. betr. Aufwa</t>
        </is>
      </c>
      <c r="D1370" t="inlineStr">
        <is>
          <t>Verwaltungskosten</t>
        </is>
      </c>
      <c r="E1370" t="n">
        <v>653.45</v>
      </c>
      <c r="F1370" t="n">
        <v>7841.45</v>
      </c>
    </row>
    <row r="1371">
      <c r="A1371" t="n">
        <v>2028</v>
      </c>
      <c r="B1371" t="n">
        <v>2</v>
      </c>
      <c r="C1371" t="inlineStr">
        <is>
          <t>Ueb Lohn-Gehalt</t>
        </is>
      </c>
      <c r="D1371" t="inlineStr">
        <is>
          <t>Personalaufwand</t>
        </is>
      </c>
      <c r="E1371" t="n">
        <v>34332.83</v>
      </c>
      <c r="F1371" t="n">
        <v>411993.96</v>
      </c>
    </row>
    <row r="1372">
      <c r="A1372" t="n">
        <v>2027</v>
      </c>
      <c r="B1372" t="n">
        <v>2</v>
      </c>
      <c r="C1372" t="inlineStr">
        <is>
          <t>Verwaltungskost</t>
        </is>
      </c>
      <c r="D1372" t="inlineStr">
        <is>
          <t>Verwaltungskosten</t>
        </is>
      </c>
      <c r="E1372" t="n">
        <v>6691.47</v>
      </c>
      <c r="F1372" t="n">
        <v>80297.62</v>
      </c>
    </row>
    <row r="1373">
      <c r="A1373" t="n">
        <v>2030</v>
      </c>
      <c r="B1373" t="n">
        <v>2</v>
      </c>
      <c r="C1373" t="inlineStr">
        <is>
          <t>Aufw. Heizmat.</t>
        </is>
      </c>
      <c r="D1373" t="inlineStr">
        <is>
          <t>Vorleistungen</t>
        </is>
      </c>
      <c r="E1373" t="n">
        <v>230.4</v>
      </c>
      <c r="F1373" t="n">
        <v>2764.82</v>
      </c>
    </row>
    <row r="1374">
      <c r="A1374" t="n">
        <v>2027</v>
      </c>
      <c r="B1374" t="n">
        <v>2</v>
      </c>
      <c r="C1374" t="inlineStr">
        <is>
          <t>Versicherungskosten</t>
        </is>
      </c>
      <c r="D1374" t="inlineStr">
        <is>
          <t>Verwaltungskosten</t>
        </is>
      </c>
      <c r="E1374" t="n">
        <v>10789.61</v>
      </c>
      <c r="F1374" t="n">
        <v>129475.37</v>
      </c>
    </row>
    <row r="1375">
      <c r="A1375" t="n">
        <v>2031</v>
      </c>
      <c r="B1375" t="n">
        <v>2</v>
      </c>
      <c r="C1375" t="inlineStr">
        <is>
          <t>Instandh. BGA</t>
        </is>
      </c>
      <c r="D1375" t="inlineStr">
        <is>
          <t>Instandh. Betriebsausstattung</t>
        </is>
      </c>
      <c r="E1375" t="n">
        <v>5124.63</v>
      </c>
      <c r="F1375" t="n">
        <v>61495.58</v>
      </c>
    </row>
    <row r="1376">
      <c r="A1376" t="n">
        <v>2029</v>
      </c>
      <c r="B1376" t="n">
        <v>2</v>
      </c>
      <c r="C1376" t="inlineStr">
        <is>
          <t>Treibstoffe, Oe</t>
        </is>
      </c>
      <c r="D1376" t="inlineStr">
        <is>
          <t>Fuhrparkkosten</t>
        </is>
      </c>
      <c r="E1376" t="n">
        <v>32242.68</v>
      </c>
      <c r="F1376" t="n">
        <v>386912.19</v>
      </c>
    </row>
    <row r="1377">
      <c r="A1377" t="n">
        <v>2027</v>
      </c>
      <c r="B1377" t="n">
        <v>2</v>
      </c>
      <c r="C1377" t="inlineStr">
        <is>
          <t>Instandh. BGA</t>
        </is>
      </c>
      <c r="D1377" t="inlineStr">
        <is>
          <t>Instandh. Betriebsausstattung</t>
        </is>
      </c>
      <c r="E1377" t="n">
        <v>4216.05</v>
      </c>
      <c r="F1377" t="n">
        <v>50592.58</v>
      </c>
    </row>
    <row r="1378">
      <c r="A1378" t="n">
        <v>2029</v>
      </c>
      <c r="B1378" t="n">
        <v>2</v>
      </c>
      <c r="C1378" t="inlineStr">
        <is>
          <t>Ueb Lohn-Gehalt</t>
        </is>
      </c>
      <c r="D1378" t="inlineStr">
        <is>
          <t>Personalaufwand</t>
        </is>
      </c>
      <c r="E1378" t="n">
        <v>37989.9</v>
      </c>
      <c r="F1378" t="n">
        <v>455878.84</v>
      </c>
    </row>
    <row r="1379">
      <c r="A1379" t="n">
        <v>2031</v>
      </c>
      <c r="B1379" t="n">
        <v>2</v>
      </c>
      <c r="C1379" t="inlineStr">
        <is>
          <t>Erl. Waren Dt.</t>
        </is>
      </c>
      <c r="D1379" t="inlineStr">
        <is>
          <t>Gesamtleistung</t>
        </is>
      </c>
      <c r="E1379" t="n">
        <v>50865.59</v>
      </c>
      <c r="F1379" t="n">
        <v>610387.05</v>
      </c>
    </row>
    <row r="1380">
      <c r="A1380" t="n">
        <v>2027</v>
      </c>
      <c r="B1380" t="n">
        <v>2</v>
      </c>
      <c r="C1380" t="inlineStr">
        <is>
          <t>Fremdl. Persona</t>
        </is>
      </c>
      <c r="D1380" t="inlineStr">
        <is>
          <t>Vorleistungen</t>
        </is>
      </c>
      <c r="E1380" t="n">
        <v>61.31</v>
      </c>
      <c r="F1380" t="n">
        <v>735.66</v>
      </c>
    </row>
    <row r="1381">
      <c r="A1381" t="n">
        <v>2027</v>
      </c>
      <c r="B1381" t="n">
        <v>2</v>
      </c>
      <c r="C1381" t="inlineStr">
        <is>
          <t>Aufwand Umlage</t>
        </is>
      </c>
      <c r="D1381" t="inlineStr">
        <is>
          <t>Verwaltungskosten</t>
        </is>
      </c>
      <c r="E1381" t="n">
        <v>3383.24</v>
      </c>
      <c r="F1381" t="n">
        <v>40598.91</v>
      </c>
    </row>
    <row r="1382">
      <c r="A1382" t="n">
        <v>2031</v>
      </c>
      <c r="B1382" t="n">
        <v>2</v>
      </c>
      <c r="C1382" t="inlineStr">
        <is>
          <t>Ueb Lohn-Gehalt</t>
        </is>
      </c>
      <c r="D1382" t="inlineStr">
        <is>
          <t>Personalaufwand</t>
        </is>
      </c>
      <c r="E1382" t="n">
        <v>45675.82</v>
      </c>
      <c r="F1382" t="n">
        <v>548109.79</v>
      </c>
    </row>
    <row r="1383">
      <c r="A1383" t="n">
        <v>2027</v>
      </c>
      <c r="B1383" t="n">
        <v>2</v>
      </c>
      <c r="C1383" t="inlineStr">
        <is>
          <t>Rechts- u. Beratungs</t>
        </is>
      </c>
      <c r="D1383" t="inlineStr">
        <is>
          <t>Verwaltungskosten</t>
        </is>
      </c>
      <c r="E1383" t="n">
        <v>25635.99</v>
      </c>
      <c r="F1383" t="n">
        <v>307631.89</v>
      </c>
    </row>
    <row r="1384">
      <c r="A1384" t="n">
        <v>2028</v>
      </c>
      <c r="B1384" t="n">
        <v>2</v>
      </c>
      <c r="C1384" t="inlineStr">
        <is>
          <t>Verwaltungskost</t>
        </is>
      </c>
      <c r="D1384" t="inlineStr">
        <is>
          <t>Verwaltungskosten</t>
        </is>
      </c>
      <c r="E1384" t="n">
        <v>6892.21</v>
      </c>
      <c r="F1384" t="n">
        <v>82706.56</v>
      </c>
    </row>
    <row r="1385">
      <c r="A1385" t="n">
        <v>2028</v>
      </c>
      <c r="B1385" t="n">
        <v>2</v>
      </c>
      <c r="C1385" t="inlineStr">
        <is>
          <t>Ueb. bezog.Leis</t>
        </is>
      </c>
      <c r="D1385" t="inlineStr">
        <is>
          <t>Vorleistungen</t>
        </is>
      </c>
      <c r="E1385" t="n">
        <v>1342498.67</v>
      </c>
      <c r="F1385" t="n">
        <v>16109983.99</v>
      </c>
    </row>
    <row r="1386">
      <c r="A1386" t="n">
        <v>2028</v>
      </c>
      <c r="B1386" t="n">
        <v>2</v>
      </c>
      <c r="C1386" t="inlineStr">
        <is>
          <t>Ankauf Rohstoff</t>
        </is>
      </c>
      <c r="D1386" t="inlineStr">
        <is>
          <t>Vorleistungen</t>
        </is>
      </c>
      <c r="E1386" t="n">
        <v>1457.38</v>
      </c>
      <c r="F1386" t="n">
        <v>17488.61</v>
      </c>
    </row>
    <row r="1387">
      <c r="A1387" t="n">
        <v>2029</v>
      </c>
      <c r="B1387" t="n">
        <v>2</v>
      </c>
      <c r="C1387" t="inlineStr">
        <is>
          <t>Erloesschmaeler</t>
        </is>
      </c>
      <c r="D1387" t="inlineStr">
        <is>
          <t>Gesamtleistung</t>
        </is>
      </c>
      <c r="E1387" t="n">
        <v>-9048.01</v>
      </c>
      <c r="F1387" t="n">
        <v>-108576.08</v>
      </c>
    </row>
    <row r="1388">
      <c r="A1388" t="n">
        <v>2029</v>
      </c>
      <c r="B1388" t="n">
        <v>2</v>
      </c>
      <c r="C1388" t="inlineStr">
        <is>
          <t>Leasing PKW</t>
        </is>
      </c>
      <c r="D1388" t="inlineStr">
        <is>
          <t>Fuhrparkkosten</t>
        </is>
      </c>
      <c r="E1388" t="n">
        <v>24652.26</v>
      </c>
      <c r="F1388" t="n">
        <v>295827.14</v>
      </c>
    </row>
    <row r="1389">
      <c r="A1389" t="n">
        <v>2029</v>
      </c>
      <c r="B1389" t="n">
        <v>2</v>
      </c>
      <c r="C1389" t="inlineStr">
        <is>
          <t>Fremdl. Persona</t>
        </is>
      </c>
      <c r="D1389" t="inlineStr">
        <is>
          <t>Vorleistungen</t>
        </is>
      </c>
      <c r="E1389" t="n">
        <v>73.3</v>
      </c>
      <c r="F1389" t="n">
        <v>879.54</v>
      </c>
    </row>
    <row r="1390">
      <c r="A1390" t="n">
        <v>2028</v>
      </c>
      <c r="B1390" t="n">
        <v>2</v>
      </c>
      <c r="C1390" t="inlineStr">
        <is>
          <t>Aufwand Umlage</t>
        </is>
      </c>
      <c r="D1390" t="inlineStr">
        <is>
          <t>Verwaltungskosten</t>
        </is>
      </c>
      <c r="E1390" t="n">
        <v>3484.74</v>
      </c>
      <c r="F1390" t="n">
        <v>41816.88</v>
      </c>
    </row>
    <row r="1391">
      <c r="A1391" t="n">
        <v>2027</v>
      </c>
      <c r="B1391" t="n">
        <v>2</v>
      </c>
      <c r="C1391" t="inlineStr">
        <is>
          <t>Ankauf Rohstoff</t>
        </is>
      </c>
      <c r="D1391" t="inlineStr">
        <is>
          <t>Vorleistungen</t>
        </is>
      </c>
      <c r="E1391" t="n">
        <v>1408.24</v>
      </c>
      <c r="F1391" t="n">
        <v>16898.9</v>
      </c>
    </row>
    <row r="1392">
      <c r="A1392" t="n">
        <v>2030</v>
      </c>
      <c r="B1392" t="n">
        <v>2</v>
      </c>
      <c r="C1392" t="inlineStr">
        <is>
          <t>Erloesschmaeler</t>
        </is>
      </c>
      <c r="D1392" t="inlineStr">
        <is>
          <t>Gesamtleistung</t>
        </is>
      </c>
      <c r="E1392" t="n">
        <v>-9690.75</v>
      </c>
      <c r="F1392" t="n">
        <v>-116289.05</v>
      </c>
    </row>
    <row r="1393">
      <c r="A1393" t="n">
        <v>2029</v>
      </c>
      <c r="B1393" t="n">
        <v>2</v>
      </c>
      <c r="C1393" t="inlineStr">
        <is>
          <t>Sonst Fuhrparkkosten</t>
        </is>
      </c>
      <c r="D1393" t="inlineStr">
        <is>
          <t>Fuhrparkkosten</t>
        </is>
      </c>
      <c r="E1393" t="n">
        <v>5605.91</v>
      </c>
      <c r="F1393" t="n">
        <v>67270.89</v>
      </c>
    </row>
    <row r="1394">
      <c r="A1394" t="n">
        <v>2027</v>
      </c>
      <c r="B1394" t="n">
        <v>2</v>
      </c>
      <c r="C1394" t="inlineStr">
        <is>
          <t>Soziale Abgaben</t>
        </is>
      </c>
      <c r="D1394" t="inlineStr">
        <is>
          <t>Personalaufwand</t>
        </is>
      </c>
      <c r="E1394" t="n">
        <v>75903.69</v>
      </c>
      <c r="F1394" t="n">
        <v>910844.28</v>
      </c>
    </row>
    <row r="1395">
      <c r="A1395" t="n">
        <v>2031</v>
      </c>
      <c r="B1395" t="n">
        <v>2</v>
      </c>
      <c r="C1395" t="inlineStr">
        <is>
          <t>Erloesschmaeler</t>
        </is>
      </c>
      <c r="D1395" t="inlineStr">
        <is>
          <t>Gesamtleistung</t>
        </is>
      </c>
      <c r="E1395" t="n">
        <v>-10347.15</v>
      </c>
      <c r="F1395" t="n">
        <v>-124165.81</v>
      </c>
    </row>
    <row r="1396">
      <c r="A1396" t="n">
        <v>2029</v>
      </c>
      <c r="B1396" t="n">
        <v>2</v>
      </c>
      <c r="C1396" t="inlineStr">
        <is>
          <t>Ertr. weiterber</t>
        </is>
      </c>
      <c r="D1396" t="inlineStr">
        <is>
          <t>Gesamtleistung</t>
        </is>
      </c>
      <c r="E1396" t="n">
        <v>1036.39</v>
      </c>
      <c r="F1396" t="n">
        <v>12436.69</v>
      </c>
    </row>
    <row r="1397">
      <c r="A1397" t="n">
        <v>2027</v>
      </c>
      <c r="B1397" t="n">
        <v>2</v>
      </c>
      <c r="C1397" t="inlineStr">
        <is>
          <t>Sonderz. Prämie</t>
        </is>
      </c>
      <c r="D1397" t="inlineStr">
        <is>
          <t>Personalaufwand</t>
        </is>
      </c>
      <c r="E1397" t="n">
        <v>19636.08</v>
      </c>
      <c r="F1397" t="n">
        <v>235633</v>
      </c>
    </row>
    <row r="1398">
      <c r="A1398" t="n">
        <v>2027</v>
      </c>
      <c r="B1398" t="n">
        <v>2</v>
      </c>
      <c r="C1398" t="inlineStr">
        <is>
          <t>Miete Behälter</t>
        </is>
      </c>
      <c r="D1398" t="inlineStr">
        <is>
          <t>Instandh. Betriebsausstattung</t>
        </is>
      </c>
      <c r="E1398" t="n">
        <v>22.94</v>
      </c>
      <c r="F1398" t="n">
        <v>275.23</v>
      </c>
    </row>
    <row r="1399">
      <c r="A1399" t="n">
        <v>2031</v>
      </c>
      <c r="B1399" t="n">
        <v>2</v>
      </c>
      <c r="C1399" t="inlineStr">
        <is>
          <t>Versicherungskosten</t>
        </is>
      </c>
      <c r="D1399" t="inlineStr">
        <is>
          <t>Verwaltungskosten</t>
        </is>
      </c>
      <c r="E1399" t="n">
        <v>12143.81</v>
      </c>
      <c r="F1399" t="n">
        <v>145725.66</v>
      </c>
    </row>
    <row r="1400">
      <c r="A1400" t="n">
        <v>2029</v>
      </c>
      <c r="B1400" t="n">
        <v>2</v>
      </c>
      <c r="C1400" t="inlineStr">
        <is>
          <t>Rechts- u. Beratungs</t>
        </is>
      </c>
      <c r="D1400" t="inlineStr">
        <is>
          <t>Verwaltungskosten</t>
        </is>
      </c>
      <c r="E1400" t="n">
        <v>27197.22</v>
      </c>
      <c r="F1400" t="n">
        <v>326366.65</v>
      </c>
    </row>
    <row r="1401">
      <c r="A1401" t="n">
        <v>2028</v>
      </c>
      <c r="B1401" t="n">
        <v>2</v>
      </c>
      <c r="C1401" t="inlineStr">
        <is>
          <t>Instandh.Fuhrp</t>
        </is>
      </c>
      <c r="D1401" t="inlineStr">
        <is>
          <t>Fuhrparkkosten</t>
        </is>
      </c>
      <c r="E1401" t="n">
        <v>32180.39</v>
      </c>
      <c r="F1401" t="n">
        <v>386164.66</v>
      </c>
    </row>
    <row r="1402">
      <c r="A1402" t="n">
        <v>2030</v>
      </c>
      <c r="B1402" t="n">
        <v>2</v>
      </c>
      <c r="C1402" t="inlineStr">
        <is>
          <t>Miete Grdst/Gebäud</t>
        </is>
      </c>
      <c r="D1402" t="inlineStr">
        <is>
          <t>Raumkosten</t>
        </is>
      </c>
      <c r="E1402" t="n">
        <v>18603.32</v>
      </c>
      <c r="F1402" t="n">
        <v>223239.88</v>
      </c>
    </row>
    <row r="1403">
      <c r="A1403" t="n">
        <v>2027</v>
      </c>
      <c r="B1403" t="n">
        <v>2</v>
      </c>
      <c r="C1403" t="inlineStr">
        <is>
          <t>Ueb. bezog.Leis</t>
        </is>
      </c>
      <c r="D1403" t="inlineStr">
        <is>
          <t>Vorleistungen</t>
        </is>
      </c>
      <c r="E1403" t="n">
        <v>1319862.34</v>
      </c>
      <c r="F1403" t="n">
        <v>15838348.13</v>
      </c>
    </row>
    <row r="1404">
      <c r="A1404" t="n">
        <v>2029</v>
      </c>
      <c r="B1404" t="n">
        <v>2</v>
      </c>
      <c r="C1404" t="inlineStr">
        <is>
          <t>Erl. Waren Dt.</t>
        </is>
      </c>
      <c r="D1404" t="inlineStr">
        <is>
          <t>Gesamtleistung</t>
        </is>
      </c>
      <c r="E1404" t="n">
        <v>47334.08</v>
      </c>
      <c r="F1404" t="n">
        <v>568008.92</v>
      </c>
    </row>
    <row r="1405">
      <c r="A1405" t="n">
        <v>2031</v>
      </c>
      <c r="B1405" t="n">
        <v>2</v>
      </c>
      <c r="C1405" t="inlineStr">
        <is>
          <t>Treibstoffe, Oe</t>
        </is>
      </c>
      <c r="D1405" t="inlineStr">
        <is>
          <t>Fuhrparkkosten</t>
        </is>
      </c>
      <c r="E1405" t="n">
        <v>36227.88</v>
      </c>
      <c r="F1405" t="n">
        <v>434734.54</v>
      </c>
    </row>
    <row r="1406">
      <c r="A1406" t="n">
        <v>2029</v>
      </c>
      <c r="B1406" t="n">
        <v>2</v>
      </c>
      <c r="C1406" t="inlineStr">
        <is>
          <t>Miete Behälter</t>
        </is>
      </c>
      <c r="D1406" t="inlineStr">
        <is>
          <t>Instandh. Betriebsausstattung</t>
        </is>
      </c>
      <c r="E1406" t="n">
        <v>25.29</v>
      </c>
      <c r="F1406" t="n">
        <v>303.45</v>
      </c>
    </row>
    <row r="1407">
      <c r="A1407" t="n">
        <v>2030</v>
      </c>
      <c r="B1407" t="n">
        <v>2</v>
      </c>
      <c r="C1407" t="inlineStr">
        <is>
          <t>Instandh. BGA</t>
        </is>
      </c>
      <c r="D1407" t="inlineStr">
        <is>
          <t>Instandh. Betriebsausstattung</t>
        </is>
      </c>
      <c r="E1407" t="n">
        <v>4880.6</v>
      </c>
      <c r="F1407" t="n">
        <v>58567.23</v>
      </c>
    </row>
    <row r="1408">
      <c r="A1408" t="n">
        <v>2030</v>
      </c>
      <c r="B1408" t="n">
        <v>2</v>
      </c>
      <c r="C1408" t="inlineStr">
        <is>
          <t>Lohn + Gehalt</t>
        </is>
      </c>
      <c r="D1408" t="inlineStr">
        <is>
          <t>Personalaufwand</t>
        </is>
      </c>
      <c r="E1408" t="n">
        <v>392030.8</v>
      </c>
      <c r="F1408" t="n">
        <v>4704369.59</v>
      </c>
    </row>
    <row r="1409">
      <c r="A1409" t="n">
        <v>2027</v>
      </c>
      <c r="B1409" t="n">
        <v>2</v>
      </c>
      <c r="C1409" t="inlineStr">
        <is>
          <t>Bestandsveraend</t>
        </is>
      </c>
      <c r="D1409" t="inlineStr">
        <is>
          <t>Gesamtleistung</t>
        </is>
      </c>
      <c r="E1409" t="n">
        <v>0</v>
      </c>
      <c r="F1409" t="n">
        <v>0</v>
      </c>
    </row>
    <row r="1410">
      <c r="A1410" t="n">
        <v>2027</v>
      </c>
      <c r="B1410" t="n">
        <v>2</v>
      </c>
      <c r="C1410" t="inlineStr">
        <is>
          <t>Aufw. so. Hilfs</t>
        </is>
      </c>
      <c r="D1410" t="inlineStr">
        <is>
          <t>Vorleistungen</t>
        </is>
      </c>
      <c r="E1410" t="n">
        <v>-16362.04</v>
      </c>
      <c r="F1410" t="n">
        <v>-196344.47</v>
      </c>
    </row>
    <row r="1411">
      <c r="A1411" t="n">
        <v>2027</v>
      </c>
      <c r="B1411" t="n">
        <v>2</v>
      </c>
      <c r="C1411" t="inlineStr">
        <is>
          <t>Aufw. f. Alters</t>
        </is>
      </c>
      <c r="D1411" t="inlineStr">
        <is>
          <t>Personalaufwand</t>
        </is>
      </c>
      <c r="E1411" t="n">
        <v>1234.77</v>
      </c>
      <c r="F1411" t="n">
        <v>14817.29</v>
      </c>
    </row>
    <row r="1412">
      <c r="A1412" t="n">
        <v>2027</v>
      </c>
      <c r="B1412" t="n">
        <v>2</v>
      </c>
      <c r="C1412" t="inlineStr">
        <is>
          <t>Vertriebskosten</t>
        </is>
      </c>
      <c r="D1412" t="inlineStr">
        <is>
          <t>Vertriebskosten</t>
        </is>
      </c>
      <c r="E1412" t="n">
        <v>10833.33</v>
      </c>
      <c r="F1412" t="n">
        <v>130000</v>
      </c>
    </row>
    <row r="1413">
      <c r="A1413" t="n">
        <v>2027</v>
      </c>
      <c r="B1413" t="n">
        <v>2</v>
      </c>
      <c r="C1413" t="inlineStr">
        <is>
          <t>Ertrag KFZ-Nutz</t>
        </is>
      </c>
      <c r="D1413" t="inlineStr">
        <is>
          <t>Gesamtleistung</t>
        </is>
      </c>
      <c r="E1413" t="n">
        <v>8029.69</v>
      </c>
      <c r="F1413" t="n">
        <v>96356.3</v>
      </c>
    </row>
    <row r="1414">
      <c r="A1414" t="n">
        <v>2031</v>
      </c>
      <c r="B1414" t="n">
        <v>2</v>
      </c>
      <c r="C1414" t="inlineStr">
        <is>
          <t>Lohn + Gehalt</t>
        </is>
      </c>
      <c r="D1414" t="inlineStr">
        <is>
          <t>Personalaufwand</t>
        </is>
      </c>
      <c r="E1414" t="n">
        <v>428257.62</v>
      </c>
      <c r="F1414" t="n">
        <v>5139091.39</v>
      </c>
    </row>
    <row r="1415">
      <c r="A1415" t="n">
        <v>2031</v>
      </c>
      <c r="B1415" t="n">
        <v>2</v>
      </c>
      <c r="C1415" t="inlineStr">
        <is>
          <t>Soziale Abgaben</t>
        </is>
      </c>
      <c r="D1415" t="inlineStr">
        <is>
          <t>Personalaufwand</t>
        </is>
      </c>
      <c r="E1415" t="n">
        <v>113909.76</v>
      </c>
      <c r="F1415" t="n">
        <v>1366917.09</v>
      </c>
    </row>
    <row r="1416">
      <c r="A1416" t="n">
        <v>2031</v>
      </c>
      <c r="B1416" t="n">
        <v>2</v>
      </c>
      <c r="C1416" t="inlineStr">
        <is>
          <t>Sonst Fuhrparkkosten</t>
        </is>
      </c>
      <c r="D1416" t="inlineStr">
        <is>
          <t>Fuhrparkkosten</t>
        </is>
      </c>
      <c r="E1416" t="n">
        <v>6298.8</v>
      </c>
      <c r="F1416" t="n">
        <v>75585.56</v>
      </c>
    </row>
    <row r="1417">
      <c r="A1417" t="n">
        <v>2030</v>
      </c>
      <c r="B1417" t="n">
        <v>2</v>
      </c>
      <c r="C1417" t="inlineStr">
        <is>
          <t>Miete Behälter</t>
        </is>
      </c>
      <c r="D1417" t="inlineStr">
        <is>
          <t>Instandh. Betriebsausstattung</t>
        </is>
      </c>
      <c r="E1417" t="n">
        <v>26.55</v>
      </c>
      <c r="F1417" t="n">
        <v>318.62</v>
      </c>
    </row>
    <row r="1418">
      <c r="A1418" t="n">
        <v>2028</v>
      </c>
      <c r="B1418" t="n">
        <v>2</v>
      </c>
      <c r="C1418" t="inlineStr">
        <is>
          <t>Miete PKW</t>
        </is>
      </c>
      <c r="D1418" t="inlineStr">
        <is>
          <t>Fuhrparkkosten</t>
        </is>
      </c>
      <c r="E1418" t="n">
        <v>4890.62</v>
      </c>
      <c r="F1418" t="n">
        <v>58687.43</v>
      </c>
    </row>
    <row r="1419">
      <c r="A1419" t="n">
        <v>2030</v>
      </c>
      <c r="B1419" t="n">
        <v>2</v>
      </c>
      <c r="C1419" t="inlineStr">
        <is>
          <t>Aufwand Umlage</t>
        </is>
      </c>
      <c r="D1419" t="inlineStr">
        <is>
          <t>Verwaltungskosten</t>
        </is>
      </c>
      <c r="E1419" t="n">
        <v>3696.96</v>
      </c>
      <c r="F1419" t="n">
        <v>44363.53</v>
      </c>
    </row>
    <row r="1420">
      <c r="A1420" t="n">
        <v>2030</v>
      </c>
      <c r="B1420" t="n">
        <v>2</v>
      </c>
      <c r="C1420" t="inlineStr">
        <is>
          <t>So. betr. Aufwa</t>
        </is>
      </c>
      <c r="D1420" t="inlineStr">
        <is>
          <t>Verwaltungskosten</t>
        </is>
      </c>
      <c r="E1420" t="n">
        <v>714.05</v>
      </c>
      <c r="F1420" t="n">
        <v>8568.57</v>
      </c>
    </row>
    <row r="1421">
      <c r="A1421" t="n">
        <v>2029</v>
      </c>
      <c r="B1421" t="n">
        <v>2</v>
      </c>
      <c r="C1421" t="inlineStr">
        <is>
          <t>Versicherungskosten</t>
        </is>
      </c>
      <c r="D1421" t="inlineStr">
        <is>
          <t>Verwaltungskosten</t>
        </is>
      </c>
      <c r="E1421" t="n">
        <v>11446.7</v>
      </c>
      <c r="F1421" t="n">
        <v>137360.42</v>
      </c>
    </row>
    <row r="1422">
      <c r="A1422" t="n">
        <v>2027</v>
      </c>
      <c r="B1422" t="n">
        <v>2</v>
      </c>
      <c r="C1422" t="inlineStr">
        <is>
          <t>Sonstige Steuer</t>
        </is>
      </c>
      <c r="D1422" t="inlineStr">
        <is>
          <t>Fuhrparkkosten</t>
        </is>
      </c>
      <c r="E1422" t="n">
        <v>1497.31</v>
      </c>
      <c r="F1422" t="n">
        <v>17967.71</v>
      </c>
    </row>
    <row r="1423">
      <c r="A1423" t="n">
        <v>2031</v>
      </c>
      <c r="B1423" t="n">
        <v>2</v>
      </c>
      <c r="C1423" t="inlineStr">
        <is>
          <t>Leasing LKW</t>
        </is>
      </c>
      <c r="D1423" t="inlineStr">
        <is>
          <t>Fuhrparkkosten</t>
        </is>
      </c>
      <c r="E1423" t="n">
        <v>2910.36</v>
      </c>
      <c r="F1423" t="n">
        <v>34924.28</v>
      </c>
    </row>
    <row r="1424">
      <c r="A1424" t="n">
        <v>2029</v>
      </c>
      <c r="B1424" t="n">
        <v>2</v>
      </c>
      <c r="C1424" t="inlineStr">
        <is>
          <t>Leasing LKW</t>
        </is>
      </c>
      <c r="D1424" t="inlineStr">
        <is>
          <t>Fuhrparkkosten</t>
        </is>
      </c>
      <c r="E1424" t="n">
        <v>2590.21</v>
      </c>
      <c r="F1424" t="n">
        <v>31082.49</v>
      </c>
    </row>
    <row r="1425">
      <c r="A1425" t="n">
        <v>2027</v>
      </c>
      <c r="B1425" t="n">
        <v>2</v>
      </c>
      <c r="C1425" t="inlineStr">
        <is>
          <t>Instandh.Fuhrp</t>
        </is>
      </c>
      <c r="D1425" t="inlineStr">
        <is>
          <t>Fuhrparkkosten</t>
        </is>
      </c>
      <c r="E1425" t="n">
        <v>30358.86</v>
      </c>
      <c r="F1425" t="n">
        <v>364306.28</v>
      </c>
    </row>
    <row r="1426">
      <c r="A1426" t="n">
        <v>2029</v>
      </c>
      <c r="B1426" t="n">
        <v>2</v>
      </c>
      <c r="C1426" t="inlineStr">
        <is>
          <t>Vertriebskosten</t>
        </is>
      </c>
      <c r="D1426" t="inlineStr">
        <is>
          <t>Vertriebskosten</t>
        </is>
      </c>
      <c r="E1426" t="n">
        <v>11943.75</v>
      </c>
      <c r="F1426" t="n">
        <v>143325</v>
      </c>
    </row>
    <row r="1427">
      <c r="A1427" t="n">
        <v>2031</v>
      </c>
      <c r="B1427" t="n">
        <v>2</v>
      </c>
      <c r="C1427" t="inlineStr">
        <is>
          <t>Miete Grdst/Gebäud</t>
        </is>
      </c>
      <c r="D1427" t="inlineStr">
        <is>
          <t>Raumkosten</t>
        </is>
      </c>
      <c r="E1427" t="n">
        <v>18975.39</v>
      </c>
      <c r="F1427" t="n">
        <v>227704.65</v>
      </c>
    </row>
    <row r="1428">
      <c r="A1428" t="n">
        <v>2029</v>
      </c>
      <c r="B1428" t="n">
        <v>2</v>
      </c>
      <c r="C1428" t="inlineStr">
        <is>
          <t>Uebr.neutr. Ert</t>
        </is>
      </c>
      <c r="D1428" t="inlineStr">
        <is>
          <t>Gesamtleistung</t>
        </is>
      </c>
      <c r="E1428" t="n">
        <v>189.9</v>
      </c>
      <c r="F1428" t="n">
        <v>2278.85</v>
      </c>
    </row>
    <row r="1429">
      <c r="A1429" t="n">
        <v>2030</v>
      </c>
      <c r="B1429" t="n">
        <v>2</v>
      </c>
      <c r="C1429" t="inlineStr">
        <is>
          <t>Behaelterkosten</t>
        </is>
      </c>
      <c r="D1429" t="inlineStr">
        <is>
          <t>Instandh. Betriebsausstattung</t>
        </is>
      </c>
      <c r="E1429" t="n">
        <v>12.75</v>
      </c>
      <c r="F1429" t="n">
        <v>153.03</v>
      </c>
    </row>
    <row r="1430">
      <c r="A1430" t="n">
        <v>2029</v>
      </c>
      <c r="B1430" t="n">
        <v>2</v>
      </c>
      <c r="C1430" t="inlineStr">
        <is>
          <t>IT-Aufwendungen</t>
        </is>
      </c>
      <c r="D1430" t="inlineStr">
        <is>
          <t>Verwaltungskosten</t>
        </is>
      </c>
      <c r="E1430" t="n">
        <v>12302.44</v>
      </c>
      <c r="F1430" t="n">
        <v>147629.28</v>
      </c>
    </row>
    <row r="1431">
      <c r="A1431" t="n">
        <v>2028</v>
      </c>
      <c r="B1431" t="n">
        <v>2</v>
      </c>
      <c r="C1431" t="inlineStr">
        <is>
          <t>Instandh. BGA</t>
        </is>
      </c>
      <c r="D1431" t="inlineStr">
        <is>
          <t>Instandh. Betriebsausstattung</t>
        </is>
      </c>
      <c r="E1431" t="n">
        <v>4426.85</v>
      </c>
      <c r="F1431" t="n">
        <v>53122.2</v>
      </c>
    </row>
    <row r="1432">
      <c r="A1432" t="n">
        <v>2029</v>
      </c>
      <c r="B1432" t="n">
        <v>2</v>
      </c>
      <c r="C1432" t="inlineStr">
        <is>
          <t>Instandh.Fuhrp</t>
        </is>
      </c>
      <c r="D1432" t="inlineStr">
        <is>
          <t>Fuhrparkkosten</t>
        </is>
      </c>
      <c r="E1432" t="n">
        <v>34111.21</v>
      </c>
      <c r="F1432" t="n">
        <v>409334.56</v>
      </c>
    </row>
    <row r="1433">
      <c r="A1433" t="n">
        <v>2031</v>
      </c>
      <c r="B1433" t="n">
        <v>2</v>
      </c>
      <c r="C1433" t="inlineStr">
        <is>
          <t>Rechts- u. Beratungs</t>
        </is>
      </c>
      <c r="D1433" t="inlineStr">
        <is>
          <t>Verwaltungskosten</t>
        </is>
      </c>
      <c r="E1433" t="n">
        <v>28853.53</v>
      </c>
      <c r="F1433" t="n">
        <v>346242.38</v>
      </c>
    </row>
    <row r="1434">
      <c r="A1434" t="n">
        <v>2029</v>
      </c>
      <c r="B1434" t="n">
        <v>2</v>
      </c>
      <c r="C1434" t="inlineStr">
        <is>
          <t>Ertrag KFZ-Nutz</t>
        </is>
      </c>
      <c r="D1434" t="inlineStr">
        <is>
          <t>Gesamtleistung</t>
        </is>
      </c>
      <c r="E1434" t="n">
        <v>8815.82</v>
      </c>
      <c r="F1434" t="n">
        <v>105789.86</v>
      </c>
    </row>
    <row r="1435">
      <c r="A1435" t="n">
        <v>2030</v>
      </c>
      <c r="B1435" t="n">
        <v>2</v>
      </c>
      <c r="C1435" t="inlineStr">
        <is>
          <t>Ertr. weiterber</t>
        </is>
      </c>
      <c r="D1435" t="inlineStr">
        <is>
          <t>Gesamtleistung</t>
        </is>
      </c>
      <c r="E1435" t="n">
        <v>1104.47</v>
      </c>
      <c r="F1435" t="n">
        <v>13253.67</v>
      </c>
    </row>
    <row r="1436">
      <c r="A1436" t="n">
        <v>2028</v>
      </c>
      <c r="B1436" t="n">
        <v>2</v>
      </c>
      <c r="C1436" t="inlineStr">
        <is>
          <t>Leasing PKW</t>
        </is>
      </c>
      <c r="D1436" t="inlineStr">
        <is>
          <t>Fuhrparkkosten</t>
        </is>
      </c>
      <c r="E1436" t="n">
        <v>23256.85</v>
      </c>
      <c r="F1436" t="n">
        <v>279082.22</v>
      </c>
    </row>
    <row r="1437">
      <c r="A1437" t="n">
        <v>2028</v>
      </c>
      <c r="B1437" t="n">
        <v>2</v>
      </c>
      <c r="C1437" t="inlineStr">
        <is>
          <t>Treibstoffe, Oe</t>
        </is>
      </c>
      <c r="D1437" t="inlineStr">
        <is>
          <t>Fuhrparkkosten</t>
        </is>
      </c>
      <c r="E1437" t="n">
        <v>30417.62</v>
      </c>
      <c r="F1437" t="n">
        <v>365011.49</v>
      </c>
    </row>
    <row r="1438">
      <c r="A1438" t="n">
        <v>2029</v>
      </c>
      <c r="B1438" t="n">
        <v>2</v>
      </c>
      <c r="C1438" t="inlineStr">
        <is>
          <t>Miete PKW</t>
        </is>
      </c>
      <c r="D1438" t="inlineStr">
        <is>
          <t>Fuhrparkkosten</t>
        </is>
      </c>
      <c r="E1438" t="n">
        <v>5184.06</v>
      </c>
      <c r="F1438" t="n">
        <v>62208.67</v>
      </c>
    </row>
    <row r="1439">
      <c r="A1439" t="n">
        <v>2028</v>
      </c>
      <c r="B1439" t="n">
        <v>2</v>
      </c>
      <c r="C1439" t="inlineStr">
        <is>
          <t>Ertr. weiterber</t>
        </is>
      </c>
      <c r="D1439" t="inlineStr">
        <is>
          <t>Gesamtleistung</t>
        </is>
      </c>
      <c r="E1439" t="n">
        <v>980.91</v>
      </c>
      <c r="F1439" t="n">
        <v>11770.87</v>
      </c>
    </row>
    <row r="1440">
      <c r="A1440" t="n">
        <v>2029</v>
      </c>
      <c r="B1440" t="n">
        <v>2</v>
      </c>
      <c r="C1440" t="inlineStr">
        <is>
          <t>Instandh. BGA</t>
        </is>
      </c>
      <c r="D1440" t="inlineStr">
        <is>
          <t>Instandh. Betriebsausstattung</t>
        </is>
      </c>
      <c r="E1440" t="n">
        <v>4648.19</v>
      </c>
      <c r="F1440" t="n">
        <v>55778.31</v>
      </c>
    </row>
    <row r="1441">
      <c r="A1441" t="n">
        <v>2028</v>
      </c>
      <c r="B1441" t="n">
        <v>2</v>
      </c>
      <c r="C1441" t="inlineStr">
        <is>
          <t>Erl. so. DL Dt.</t>
        </is>
      </c>
      <c r="D1441" t="inlineStr">
        <is>
          <t>Gesamtleistung</t>
        </is>
      </c>
      <c r="E1441" t="n">
        <v>2095866.37</v>
      </c>
      <c r="F1441" t="n">
        <v>25150396.49</v>
      </c>
    </row>
    <row r="1442">
      <c r="A1442" t="n">
        <v>2028</v>
      </c>
      <c r="B1442" t="n">
        <v>2</v>
      </c>
      <c r="C1442" t="inlineStr">
        <is>
          <t>IT-Aufwendungen</t>
        </is>
      </c>
      <c r="D1442" t="inlineStr">
        <is>
          <t>Verwaltungskosten</t>
        </is>
      </c>
      <c r="E1442" t="n">
        <v>11944.12</v>
      </c>
      <c r="F1442" t="n">
        <v>143329.39</v>
      </c>
    </row>
    <row r="1443">
      <c r="A1443" t="n">
        <v>2029</v>
      </c>
      <c r="B1443" t="n">
        <v>2</v>
      </c>
      <c r="C1443" t="inlineStr">
        <is>
          <t>Ueb. bezog.Leis</t>
        </is>
      </c>
      <c r="D1443" t="inlineStr">
        <is>
          <t>Vorleistungen</t>
        </is>
      </c>
      <c r="E1443" t="n">
        <v>1364260.58</v>
      </c>
      <c r="F1443" t="n">
        <v>16371126.93</v>
      </c>
    </row>
    <row r="1444">
      <c r="A1444" t="n">
        <v>2031</v>
      </c>
      <c r="B1444" t="n">
        <v>2</v>
      </c>
      <c r="C1444" t="inlineStr">
        <is>
          <t>Sonderz. Prämie</t>
        </is>
      </c>
      <c r="D1444" t="inlineStr">
        <is>
          <t>Personalaufwand</t>
        </is>
      </c>
      <c r="E1444" t="n">
        <v>26838.18</v>
      </c>
      <c r="F1444" t="n">
        <v>322058.2</v>
      </c>
    </row>
    <row r="1445">
      <c r="A1445" t="n">
        <v>2029</v>
      </c>
      <c r="B1445" t="n">
        <v>2</v>
      </c>
      <c r="C1445" t="inlineStr">
        <is>
          <t>Verwaltungskost</t>
        </is>
      </c>
      <c r="D1445" t="inlineStr">
        <is>
          <t>Verwaltungskosten</t>
        </is>
      </c>
      <c r="E1445" t="n">
        <v>7098.98</v>
      </c>
      <c r="F1445" t="n">
        <v>85187.74000000001</v>
      </c>
    </row>
    <row r="1446">
      <c r="A1446" t="n">
        <v>2028</v>
      </c>
      <c r="B1446" t="n">
        <v>2</v>
      </c>
      <c r="C1446" t="inlineStr">
        <is>
          <t>Ertrag KFZ-Nutz</t>
        </is>
      </c>
      <c r="D1446" t="inlineStr">
        <is>
          <t>Gesamtleistung</t>
        </is>
      </c>
      <c r="E1446" t="n">
        <v>8405.780000000001</v>
      </c>
      <c r="F1446" t="n">
        <v>100869.3</v>
      </c>
    </row>
    <row r="1447">
      <c r="A1447" t="n">
        <v>2030</v>
      </c>
      <c r="B1447" t="n">
        <v>2</v>
      </c>
      <c r="C1447" t="inlineStr">
        <is>
          <t>Sonst Fuhrparkkosten</t>
        </is>
      </c>
      <c r="D1447" t="inlineStr">
        <is>
          <t>Fuhrparkkosten</t>
        </is>
      </c>
      <c r="E1447" t="n">
        <v>5942.26</v>
      </c>
      <c r="F1447" t="n">
        <v>71307.13</v>
      </c>
    </row>
    <row r="1448">
      <c r="A1448" t="n">
        <v>2028</v>
      </c>
      <c r="B1448" t="n">
        <v>2</v>
      </c>
      <c r="C1448" t="inlineStr">
        <is>
          <t>Rechts- u. Beratungs</t>
        </is>
      </c>
      <c r="D1448" t="inlineStr">
        <is>
          <t>Verwaltungskosten</t>
        </is>
      </c>
      <c r="E1448" t="n">
        <v>26405.07</v>
      </c>
      <c r="F1448" t="n">
        <v>316860.83</v>
      </c>
    </row>
    <row r="1449">
      <c r="A1449" t="n">
        <v>2027</v>
      </c>
      <c r="B1449" t="n">
        <v>2</v>
      </c>
      <c r="C1449" t="inlineStr">
        <is>
          <t>Leasing LKW</t>
        </is>
      </c>
      <c r="D1449" t="inlineStr">
        <is>
          <t>Fuhrparkkosten</t>
        </is>
      </c>
      <c r="E1449" t="n">
        <v>2305.28</v>
      </c>
      <c r="F1449" t="n">
        <v>27663.3</v>
      </c>
    </row>
    <row r="1450">
      <c r="A1450" t="n">
        <v>2031</v>
      </c>
      <c r="B1450" t="n">
        <v>2</v>
      </c>
      <c r="C1450" t="inlineStr">
        <is>
          <t>Fremdl. Fuhrlei</t>
        </is>
      </c>
      <c r="D1450" t="inlineStr">
        <is>
          <t>Vorleistungen</t>
        </is>
      </c>
      <c r="E1450" t="n">
        <v>374.24</v>
      </c>
      <c r="F1450" t="n">
        <v>4490.84</v>
      </c>
    </row>
    <row r="1451">
      <c r="A1451" t="n">
        <v>2029</v>
      </c>
      <c r="B1451" t="n">
        <v>2</v>
      </c>
      <c r="C1451" t="inlineStr">
        <is>
          <t>Fremdl. Fuhrlei</t>
        </is>
      </c>
      <c r="D1451" t="inlineStr">
        <is>
          <t>Vorleistungen</t>
        </is>
      </c>
      <c r="E1451" t="n">
        <v>362.07</v>
      </c>
      <c r="F1451" t="n">
        <v>4344.88</v>
      </c>
    </row>
    <row r="1452">
      <c r="A1452" t="n">
        <v>2028</v>
      </c>
      <c r="B1452" t="n">
        <v>2</v>
      </c>
      <c r="C1452" t="inlineStr">
        <is>
          <t>Vertriebskosten</t>
        </is>
      </c>
      <c r="D1452" t="inlineStr">
        <is>
          <t>Vertriebskosten</t>
        </is>
      </c>
      <c r="E1452" t="n">
        <v>11375</v>
      </c>
      <c r="F1452" t="n">
        <v>136500</v>
      </c>
    </row>
    <row r="1453">
      <c r="A1453" t="n">
        <v>2031</v>
      </c>
      <c r="B1453" t="n">
        <v>2</v>
      </c>
      <c r="C1453" t="inlineStr">
        <is>
          <t>Aufw. so. Hilfs</t>
        </is>
      </c>
      <c r="D1453" t="inlineStr">
        <is>
          <t>Vorleistungen</t>
        </is>
      </c>
      <c r="E1453" t="n">
        <v>-17544.22</v>
      </c>
      <c r="F1453" t="n">
        <v>-210530.6</v>
      </c>
    </row>
    <row r="1454">
      <c r="A1454" t="n">
        <v>2029</v>
      </c>
      <c r="B1454" t="n">
        <v>2</v>
      </c>
      <c r="C1454" t="inlineStr">
        <is>
          <t>Ankauf Rohstoff</t>
        </is>
      </c>
      <c r="D1454" t="inlineStr">
        <is>
          <t>Vorleistungen</t>
        </is>
      </c>
      <c r="E1454" t="n">
        <v>1473.64</v>
      </c>
      <c r="F1454" t="n">
        <v>17683.65</v>
      </c>
    </row>
    <row r="1455">
      <c r="A1455" t="n">
        <v>2028</v>
      </c>
      <c r="B1455" t="n">
        <v>2</v>
      </c>
      <c r="C1455" t="inlineStr">
        <is>
          <t>Sonstige Steuer</t>
        </is>
      </c>
      <c r="D1455" t="inlineStr">
        <is>
          <t>Fuhrparkkosten</t>
        </is>
      </c>
      <c r="E1455" t="n">
        <v>1587.15</v>
      </c>
      <c r="F1455" t="n">
        <v>19045.76</v>
      </c>
    </row>
    <row r="1456">
      <c r="A1456" t="n">
        <v>2030</v>
      </c>
      <c r="B1456" t="n">
        <v>2</v>
      </c>
      <c r="C1456" t="inlineStr">
        <is>
          <t>Weiterber. Frem</t>
        </is>
      </c>
      <c r="D1456" t="inlineStr">
        <is>
          <t>Vorleistungen</t>
        </is>
      </c>
      <c r="E1456" t="n">
        <v>0</v>
      </c>
      <c r="F1456" t="n">
        <v>0</v>
      </c>
    </row>
    <row r="1457">
      <c r="A1457" t="n">
        <v>2031</v>
      </c>
      <c r="B1457" t="n">
        <v>2</v>
      </c>
      <c r="C1457" t="inlineStr">
        <is>
          <t>Miete Behälter</t>
        </is>
      </c>
      <c r="D1457" t="inlineStr">
        <is>
          <t>Instandh. Betriebsausstattung</t>
        </is>
      </c>
      <c r="E1457" t="n">
        <v>27.88</v>
      </c>
      <c r="F1457" t="n">
        <v>334.55</v>
      </c>
    </row>
    <row r="1458">
      <c r="A1458" t="n">
        <v>2027</v>
      </c>
      <c r="B1458" t="n">
        <v>2</v>
      </c>
      <c r="C1458" t="inlineStr">
        <is>
          <t>Miete Grdst/Gebäud</t>
        </is>
      </c>
      <c r="D1458" t="inlineStr">
        <is>
          <t>Raumkosten</t>
        </is>
      </c>
      <c r="E1458" t="n">
        <v>15284.77</v>
      </c>
      <c r="F1458" t="n">
        <v>183417.26</v>
      </c>
    </row>
    <row r="1459">
      <c r="A1459" t="n">
        <v>2028</v>
      </c>
      <c r="B1459" t="n">
        <v>2</v>
      </c>
      <c r="C1459" t="inlineStr">
        <is>
          <t>Aufw. f. Alters</t>
        </is>
      </c>
      <c r="D1459" t="inlineStr">
        <is>
          <t>Personalaufwand</t>
        </is>
      </c>
      <c r="E1459" t="n">
        <v>1290.05</v>
      </c>
      <c r="F1459" t="n">
        <v>15480.56</v>
      </c>
    </row>
    <row r="1460">
      <c r="A1460" t="n">
        <v>2028</v>
      </c>
      <c r="B1460" t="n">
        <v>2</v>
      </c>
      <c r="C1460" t="inlineStr">
        <is>
          <t>Fremdl. Persona</t>
        </is>
      </c>
      <c r="D1460" t="inlineStr">
        <is>
          <t>Vorleistungen</t>
        </is>
      </c>
      <c r="E1460" t="n">
        <v>69.04000000000001</v>
      </c>
      <c r="F1460" t="n">
        <v>828.42</v>
      </c>
    </row>
    <row r="1461">
      <c r="A1461" t="n">
        <v>2030</v>
      </c>
      <c r="B1461" t="n">
        <v>2</v>
      </c>
      <c r="C1461" t="inlineStr">
        <is>
          <t>Vertriebskosten</t>
        </is>
      </c>
      <c r="D1461" t="inlineStr">
        <is>
          <t>Vertriebskosten</t>
        </is>
      </c>
      <c r="E1461" t="n">
        <v>12540.94</v>
      </c>
      <c r="F1461" t="n">
        <v>150491.26</v>
      </c>
    </row>
    <row r="1462">
      <c r="A1462" t="n">
        <v>2030</v>
      </c>
      <c r="B1462" t="n">
        <v>2</v>
      </c>
      <c r="C1462" t="inlineStr">
        <is>
          <t>Aufw. so. Hilfs</t>
        </is>
      </c>
      <c r="D1462" t="inlineStr">
        <is>
          <t>Vorleistungen</t>
        </is>
      </c>
      <c r="E1462" t="n">
        <v>-17197.35</v>
      </c>
      <c r="F1462" t="n">
        <v>-206368.2</v>
      </c>
    </row>
    <row r="1463">
      <c r="A1463" t="n">
        <v>2029</v>
      </c>
      <c r="B1463" t="n">
        <v>2</v>
      </c>
      <c r="C1463" t="inlineStr">
        <is>
          <t>Aufw. so. Hilfs</t>
        </is>
      </c>
      <c r="D1463" t="inlineStr">
        <is>
          <t>Vorleistungen</t>
        </is>
      </c>
      <c r="E1463" t="n">
        <v>-16834.66</v>
      </c>
      <c r="F1463" t="n">
        <v>-202015.88</v>
      </c>
    </row>
    <row r="1464">
      <c r="A1464" t="n">
        <v>2027</v>
      </c>
      <c r="B1464" t="n">
        <v>2</v>
      </c>
      <c r="C1464" t="inlineStr">
        <is>
          <t>Miete PKW</t>
        </is>
      </c>
      <c r="D1464" t="inlineStr">
        <is>
          <t>Fuhrparkkosten</t>
        </is>
      </c>
      <c r="E1464" t="n">
        <v>4613.79</v>
      </c>
      <c r="F1464" t="n">
        <v>55365.51</v>
      </c>
    </row>
    <row r="1465">
      <c r="A1465" t="n">
        <v>2030</v>
      </c>
      <c r="B1465" t="n">
        <v>2</v>
      </c>
      <c r="C1465" t="inlineStr">
        <is>
          <t>Fremdl. Fuhrlei</t>
        </is>
      </c>
      <c r="D1465" t="inlineStr">
        <is>
          <t>Vorleistungen</t>
        </is>
      </c>
      <c r="E1465" t="n">
        <v>368.3</v>
      </c>
      <c r="F1465" t="n">
        <v>4419.56</v>
      </c>
    </row>
    <row r="1466">
      <c r="A1466" t="n">
        <v>2030</v>
      </c>
      <c r="B1466" t="n">
        <v>2</v>
      </c>
      <c r="C1466" t="inlineStr">
        <is>
          <t>Miete PKW</t>
        </is>
      </c>
      <c r="D1466" t="inlineStr">
        <is>
          <t>Fuhrparkkosten</t>
        </is>
      </c>
      <c r="E1466" t="n">
        <v>5495.1</v>
      </c>
      <c r="F1466" t="n">
        <v>65941.19</v>
      </c>
    </row>
    <row r="1467">
      <c r="A1467" t="n">
        <v>2027</v>
      </c>
      <c r="B1467" t="n">
        <v>2</v>
      </c>
      <c r="C1467" t="inlineStr">
        <is>
          <t>Erl. Waren Dt.</t>
        </is>
      </c>
      <c r="D1467" t="inlineStr">
        <is>
          <t>Gesamtleistung</t>
        </is>
      </c>
      <c r="E1467" t="n">
        <v>42246.46</v>
      </c>
      <c r="F1467" t="n">
        <v>506957.51</v>
      </c>
    </row>
    <row r="1468">
      <c r="A1468" t="n">
        <v>2029</v>
      </c>
      <c r="B1468" t="n">
        <v>2</v>
      </c>
      <c r="C1468" t="inlineStr">
        <is>
          <t>Bestandsveraend</t>
        </is>
      </c>
      <c r="D1468" t="inlineStr">
        <is>
          <t>Gesamtleistung</t>
        </is>
      </c>
      <c r="E1468" t="n">
        <v>0</v>
      </c>
      <c r="F1468" t="n">
        <v>0</v>
      </c>
    </row>
    <row r="1469">
      <c r="A1469" t="n">
        <v>2031</v>
      </c>
      <c r="B1469" t="n">
        <v>2</v>
      </c>
      <c r="C1469" t="inlineStr">
        <is>
          <t>Leasing PKW</t>
        </is>
      </c>
      <c r="D1469" t="inlineStr">
        <is>
          <t>Fuhrparkkosten</t>
        </is>
      </c>
      <c r="E1469" t="n">
        <v>27699.28</v>
      </c>
      <c r="F1469" t="n">
        <v>332391.4</v>
      </c>
    </row>
    <row r="1470">
      <c r="A1470" t="n">
        <v>2029</v>
      </c>
      <c r="B1470" t="n">
        <v>2</v>
      </c>
      <c r="C1470" t="inlineStr">
        <is>
          <t>Behaelterkosten</t>
        </is>
      </c>
      <c r="D1470" t="inlineStr">
        <is>
          <t>Instandh. Betriebsausstattung</t>
        </is>
      </c>
      <c r="E1470" t="n">
        <v>12.15</v>
      </c>
      <c r="F1470" t="n">
        <v>145.74</v>
      </c>
    </row>
    <row r="1471">
      <c r="A1471" t="n">
        <v>2029</v>
      </c>
      <c r="B1471" t="n">
        <v>2</v>
      </c>
      <c r="C1471" t="inlineStr">
        <is>
          <t>Aufwand Umlage</t>
        </is>
      </c>
      <c r="D1471" t="inlineStr">
        <is>
          <t>Verwaltungskosten</t>
        </is>
      </c>
      <c r="E1471" t="n">
        <v>3589.28</v>
      </c>
      <c r="F1471" t="n">
        <v>43071.39</v>
      </c>
    </row>
    <row r="1472">
      <c r="A1472" t="n">
        <v>2030</v>
      </c>
      <c r="B1472" t="n">
        <v>2</v>
      </c>
      <c r="C1472" t="inlineStr">
        <is>
          <t>Instandh.Fuhrp</t>
        </is>
      </c>
      <c r="D1472" t="inlineStr">
        <is>
          <t>Fuhrparkkosten</t>
        </is>
      </c>
      <c r="E1472" t="n">
        <v>36157.89</v>
      </c>
      <c r="F1472" t="n">
        <v>433894.62</v>
      </c>
    </row>
    <row r="1473">
      <c r="A1473" t="n">
        <v>2028</v>
      </c>
      <c r="B1473" t="n">
        <v>2</v>
      </c>
      <c r="C1473" t="inlineStr">
        <is>
          <t>Sonderz. Prämie</t>
        </is>
      </c>
      <c r="D1473" t="inlineStr">
        <is>
          <t>Personalaufwand</t>
        </is>
      </c>
      <c r="E1473" t="n">
        <v>21386.26</v>
      </c>
      <c r="F1473" t="n">
        <v>256635.15</v>
      </c>
    </row>
    <row r="1474">
      <c r="A1474" t="n">
        <v>2029</v>
      </c>
      <c r="B1474" t="n">
        <v>2</v>
      </c>
      <c r="C1474" t="inlineStr">
        <is>
          <t>Aufw. f. Alters</t>
        </is>
      </c>
      <c r="D1474" t="inlineStr">
        <is>
          <t>Personalaufwand</t>
        </is>
      </c>
      <c r="E1474" t="n">
        <v>1366.43</v>
      </c>
      <c r="F1474" t="n">
        <v>16397.15</v>
      </c>
    </row>
    <row r="1475">
      <c r="A1475" t="n">
        <v>2027</v>
      </c>
      <c r="B1475" t="n">
        <v>2</v>
      </c>
      <c r="C1475" t="inlineStr">
        <is>
          <t>Ertr. weiterber</t>
        </is>
      </c>
      <c r="D1475" t="inlineStr">
        <is>
          <t>Gesamtleistung</t>
        </is>
      </c>
      <c r="E1475" t="n">
        <v>919.41</v>
      </c>
      <c r="F1475" t="n">
        <v>11032.96</v>
      </c>
    </row>
    <row r="1476">
      <c r="A1476" t="n">
        <v>2029</v>
      </c>
      <c r="B1476" t="n">
        <v>2</v>
      </c>
      <c r="C1476" t="inlineStr">
        <is>
          <t>So. betr. Aufwa</t>
        </is>
      </c>
      <c r="D1476" t="inlineStr">
        <is>
          <t>Verwaltungskosten</t>
        </is>
      </c>
      <c r="E1476" t="n">
        <v>693.25</v>
      </c>
      <c r="F1476" t="n">
        <v>8319.02</v>
      </c>
    </row>
    <row r="1477">
      <c r="A1477" t="n">
        <v>2031</v>
      </c>
      <c r="B1477" t="n">
        <v>2</v>
      </c>
      <c r="C1477" t="inlineStr">
        <is>
          <t>Ertr. weiterber</t>
        </is>
      </c>
      <c r="D1477" t="inlineStr">
        <is>
          <t>Gesamtleistung</t>
        </is>
      </c>
      <c r="E1477" t="n">
        <v>1173.93</v>
      </c>
      <c r="F1477" t="n">
        <v>14087.11</v>
      </c>
    </row>
    <row r="1478">
      <c r="A1478" t="n">
        <v>2031</v>
      </c>
      <c r="B1478" t="n">
        <v>2</v>
      </c>
      <c r="C1478" t="inlineStr">
        <is>
          <t>Ueb. bezog.Leis</t>
        </is>
      </c>
      <c r="D1478" t="inlineStr">
        <is>
          <t>Vorleistungen</t>
        </is>
      </c>
      <c r="E1478" t="n">
        <v>1404446.73</v>
      </c>
      <c r="F1478" t="n">
        <v>16853360.74</v>
      </c>
    </row>
    <row r="1479">
      <c r="A1479" t="n">
        <v>2027</v>
      </c>
      <c r="B1479" t="n">
        <v>2</v>
      </c>
      <c r="C1479" t="inlineStr">
        <is>
          <t>Fremdl. Fuhrlei</t>
        </is>
      </c>
      <c r="D1479" t="inlineStr">
        <is>
          <t>Vorleistungen</t>
        </is>
      </c>
      <c r="E1479" t="n">
        <v>371.09</v>
      </c>
      <c r="F1479" t="n">
        <v>4453.13</v>
      </c>
    </row>
    <row r="1480">
      <c r="A1480" t="n">
        <v>2027</v>
      </c>
      <c r="B1480" t="n">
        <v>2</v>
      </c>
      <c r="C1480" t="inlineStr">
        <is>
          <t>Behaelterkosten</t>
        </is>
      </c>
      <c r="D1480" t="inlineStr">
        <is>
          <t>Instandh. Betriebsausstattung</t>
        </is>
      </c>
      <c r="E1480" t="n">
        <v>11.02</v>
      </c>
      <c r="F1480" t="n">
        <v>132.19</v>
      </c>
    </row>
    <row r="1481">
      <c r="A1481" t="n">
        <v>2027</v>
      </c>
      <c r="B1481" t="n">
        <v>2</v>
      </c>
      <c r="C1481" t="inlineStr">
        <is>
          <t>Ueb Lohn-Gehalt</t>
        </is>
      </c>
      <c r="D1481" t="inlineStr">
        <is>
          <t>Personalaufwand</t>
        </is>
      </c>
      <c r="E1481" t="n">
        <v>30579.25</v>
      </c>
      <c r="F1481" t="n">
        <v>366951</v>
      </c>
    </row>
    <row r="1482">
      <c r="A1482" t="n">
        <v>2028</v>
      </c>
      <c r="B1482" t="n">
        <v>2</v>
      </c>
      <c r="C1482" t="inlineStr">
        <is>
          <t>Raumkosten</t>
        </is>
      </c>
      <c r="D1482" t="inlineStr">
        <is>
          <t>Raumkosten</t>
        </is>
      </c>
      <c r="E1482" t="n">
        <v>7023.98</v>
      </c>
      <c r="F1482" t="n">
        <v>84287.78</v>
      </c>
    </row>
    <row r="1483">
      <c r="A1483" t="n">
        <v>2031</v>
      </c>
      <c r="B1483" t="n">
        <v>2</v>
      </c>
      <c r="C1483" t="inlineStr">
        <is>
          <t>Bestandsveraend</t>
        </is>
      </c>
      <c r="D1483" t="inlineStr">
        <is>
          <t>Gesamtleistung</t>
        </is>
      </c>
      <c r="E1483" t="n">
        <v>0</v>
      </c>
      <c r="F1483" t="n">
        <v>0</v>
      </c>
    </row>
    <row r="1484">
      <c r="A1484" t="n">
        <v>2029</v>
      </c>
      <c r="B1484" t="n">
        <v>2</v>
      </c>
      <c r="C1484" t="inlineStr">
        <is>
          <t>Lohn + Gehalt</t>
        </is>
      </c>
      <c r="D1484" t="inlineStr">
        <is>
          <t>Personalaufwand</t>
        </is>
      </c>
      <c r="E1484" t="n">
        <v>356250.11</v>
      </c>
      <c r="F1484" t="n">
        <v>4275001.35</v>
      </c>
    </row>
    <row r="1485">
      <c r="A1485" t="n">
        <v>2029</v>
      </c>
      <c r="B1485" t="n">
        <v>2</v>
      </c>
      <c r="C1485" t="inlineStr">
        <is>
          <t>Aufw. Heizmat.</t>
        </is>
      </c>
      <c r="D1485" t="inlineStr">
        <is>
          <t>Vorleistungen</t>
        </is>
      </c>
      <c r="E1485" t="n">
        <v>245.07</v>
      </c>
      <c r="F1485" t="n">
        <v>2940.88</v>
      </c>
    </row>
    <row r="1486">
      <c r="A1486" t="n">
        <v>2031</v>
      </c>
      <c r="B1486" t="n">
        <v>2</v>
      </c>
      <c r="C1486" t="inlineStr">
        <is>
          <t>Verwaltungskost</t>
        </is>
      </c>
      <c r="D1486" t="inlineStr">
        <is>
          <t>Verwaltungskosten</t>
        </is>
      </c>
      <c r="E1486" t="n">
        <v>7531.31</v>
      </c>
      <c r="F1486" t="n">
        <v>90375.69</v>
      </c>
    </row>
    <row r="1487">
      <c r="A1487" t="n">
        <v>2028</v>
      </c>
      <c r="B1487" t="n">
        <v>2</v>
      </c>
      <c r="C1487" t="inlineStr">
        <is>
          <t>Erl. Waren Dt.</t>
        </is>
      </c>
      <c r="D1487" t="inlineStr">
        <is>
          <t>Gesamtleistung</t>
        </is>
      </c>
      <c r="E1487" t="n">
        <v>44950.49</v>
      </c>
      <c r="F1487" t="n">
        <v>539405.87</v>
      </c>
    </row>
    <row r="1488">
      <c r="A1488" t="n">
        <v>2030</v>
      </c>
      <c r="B1488" t="n">
        <v>2</v>
      </c>
      <c r="C1488" t="inlineStr">
        <is>
          <t>Uebr.neutr. Ert</t>
        </is>
      </c>
      <c r="D1488" t="inlineStr">
        <is>
          <t>Gesamtleistung</t>
        </is>
      </c>
      <c r="E1488" t="n">
        <v>207.38</v>
      </c>
      <c r="F1488" t="n">
        <v>2488.5</v>
      </c>
    </row>
    <row r="1489">
      <c r="A1489" t="n">
        <v>2030</v>
      </c>
      <c r="B1489" t="n">
        <v>2</v>
      </c>
      <c r="C1489" t="inlineStr">
        <is>
          <t>Raumkosten</t>
        </is>
      </c>
      <c r="D1489" t="inlineStr">
        <is>
          <t>Raumkosten</t>
        </is>
      </c>
      <c r="E1489" t="n">
        <v>7307.75</v>
      </c>
      <c r="F1489" t="n">
        <v>87693</v>
      </c>
    </row>
    <row r="1490">
      <c r="A1490" t="n">
        <v>2030</v>
      </c>
      <c r="B1490" t="n">
        <v>2</v>
      </c>
      <c r="C1490" t="inlineStr">
        <is>
          <t>Fremdl. Persona</t>
        </is>
      </c>
      <c r="D1490" t="inlineStr">
        <is>
          <t>Vorleistungen</t>
        </is>
      </c>
      <c r="E1490" t="n">
        <v>76.56999999999999</v>
      </c>
      <c r="F1490" t="n">
        <v>918.79</v>
      </c>
    </row>
    <row r="1491">
      <c r="A1491" t="n">
        <v>2027</v>
      </c>
      <c r="B1491" t="n">
        <v>2</v>
      </c>
      <c r="C1491" t="inlineStr">
        <is>
          <t>Leasing PKW</t>
        </is>
      </c>
      <c r="D1491" t="inlineStr">
        <is>
          <t>Fuhrparkkosten</t>
        </is>
      </c>
      <c r="E1491" t="n">
        <v>21940.43</v>
      </c>
      <c r="F1491" t="n">
        <v>263285.11</v>
      </c>
    </row>
    <row r="1492">
      <c r="A1492" t="n">
        <v>2030</v>
      </c>
      <c r="B1492" t="n">
        <v>2</v>
      </c>
      <c r="C1492" t="inlineStr">
        <is>
          <t>Ertrag KFZ-Nutz</t>
        </is>
      </c>
      <c r="D1492" t="inlineStr">
        <is>
          <t>Gesamtleistung</t>
        </is>
      </c>
      <c r="E1492" t="n">
        <v>9193.41</v>
      </c>
      <c r="F1492" t="n">
        <v>110320.94</v>
      </c>
    </row>
    <row r="1493">
      <c r="A1493" t="n">
        <v>2028</v>
      </c>
      <c r="B1493" t="n">
        <v>2</v>
      </c>
      <c r="C1493" t="inlineStr">
        <is>
          <t>Uebr.neutr. Ert</t>
        </is>
      </c>
      <c r="D1493" t="inlineStr">
        <is>
          <t>Gesamtleistung</t>
        </is>
      </c>
      <c r="E1493" t="n">
        <v>151.92</v>
      </c>
      <c r="F1493" t="n">
        <v>1823.08</v>
      </c>
    </row>
    <row r="1494">
      <c r="A1494" t="n">
        <v>2030</v>
      </c>
      <c r="B1494" t="n">
        <v>2</v>
      </c>
      <c r="C1494" t="inlineStr">
        <is>
          <t>Soziale Abgaben</t>
        </is>
      </c>
      <c r="D1494" t="inlineStr">
        <is>
          <t>Personalaufwand</t>
        </is>
      </c>
      <c r="E1494" t="n">
        <v>104141.87</v>
      </c>
      <c r="F1494" t="n">
        <v>1249702.47</v>
      </c>
    </row>
    <row r="1495">
      <c r="A1495" t="n">
        <v>2030</v>
      </c>
      <c r="B1495" t="n">
        <v>2</v>
      </c>
      <c r="C1495" t="inlineStr">
        <is>
          <t>Ankauf Rohstoff</t>
        </is>
      </c>
      <c r="D1495" t="inlineStr">
        <is>
          <t>Vorleistungen</t>
        </is>
      </c>
      <c r="E1495" t="n">
        <v>1483.55</v>
      </c>
      <c r="F1495" t="n">
        <v>17802.65</v>
      </c>
    </row>
    <row r="1496">
      <c r="A1496" t="n">
        <v>2031</v>
      </c>
      <c r="B1496" t="n">
        <v>2</v>
      </c>
      <c r="C1496" t="inlineStr">
        <is>
          <t>Aufw. Heizmat.</t>
        </is>
      </c>
      <c r="D1496" t="inlineStr">
        <is>
          <t>Vorleistungen</t>
        </is>
      </c>
      <c r="E1496" t="n">
        <v>216.16</v>
      </c>
      <c r="F1496" t="n">
        <v>2593.97</v>
      </c>
    </row>
    <row r="1497">
      <c r="A1497" t="n">
        <v>2030</v>
      </c>
      <c r="B1497" t="n">
        <v>2</v>
      </c>
      <c r="C1497" t="inlineStr">
        <is>
          <t>IT-Aufwendungen</t>
        </is>
      </c>
      <c r="D1497" t="inlineStr">
        <is>
          <t>Verwaltungskosten</t>
        </is>
      </c>
      <c r="E1497" t="n">
        <v>12671.51</v>
      </c>
      <c r="F1497" t="n">
        <v>152058.16</v>
      </c>
    </row>
    <row r="1498">
      <c r="A1498" t="n">
        <v>2027</v>
      </c>
      <c r="B1498" t="n">
        <v>2</v>
      </c>
      <c r="C1498" t="inlineStr">
        <is>
          <t>Treibstoffe, Oe</t>
        </is>
      </c>
      <c r="D1498" t="inlineStr">
        <is>
          <t>Fuhrparkkosten</t>
        </is>
      </c>
      <c r="E1498" t="n">
        <v>28695.87</v>
      </c>
      <c r="F1498" t="n">
        <v>344350.48</v>
      </c>
    </row>
    <row r="1499">
      <c r="A1499" t="n">
        <v>2028</v>
      </c>
      <c r="B1499" t="n">
        <v>2</v>
      </c>
      <c r="C1499" t="inlineStr">
        <is>
          <t>Aufw. Heizmat.</t>
        </is>
      </c>
      <c r="D1499" t="inlineStr">
        <is>
          <t>Vorleistungen</t>
        </is>
      </c>
      <c r="E1499" t="n">
        <v>260.43</v>
      </c>
      <c r="F1499" t="n">
        <v>3125.13</v>
      </c>
    </row>
    <row r="1500">
      <c r="A1500" t="n">
        <v>2031</v>
      </c>
      <c r="B1500" t="n">
        <v>2</v>
      </c>
      <c r="C1500" t="inlineStr">
        <is>
          <t>Ertrag KFZ-Nutz</t>
        </is>
      </c>
      <c r="D1500" t="inlineStr">
        <is>
          <t>Gesamtleistung</t>
        </is>
      </c>
      <c r="E1500" t="n">
        <v>9597.290000000001</v>
      </c>
      <c r="F1500" t="n">
        <v>115167.5</v>
      </c>
    </row>
    <row r="1501">
      <c r="A1501" t="n">
        <v>2027</v>
      </c>
      <c r="B1501" t="n">
        <v>2</v>
      </c>
      <c r="C1501" t="inlineStr">
        <is>
          <t>Raumkosten</t>
        </is>
      </c>
      <c r="D1501" t="inlineStr">
        <is>
          <t>Raumkosten</t>
        </is>
      </c>
      <c r="E1501" t="n">
        <v>5046.85</v>
      </c>
      <c r="F1501" t="n">
        <v>60562.14</v>
      </c>
    </row>
    <row r="1502">
      <c r="A1502" t="n">
        <v>2028</v>
      </c>
      <c r="B1502" t="n">
        <v>2</v>
      </c>
      <c r="C1502" t="inlineStr">
        <is>
          <t>Soziale Abgaben</t>
        </is>
      </c>
      <c r="D1502" t="inlineStr">
        <is>
          <t>Personalaufwand</t>
        </is>
      </c>
      <c r="E1502" t="n">
        <v>85007.57000000001</v>
      </c>
      <c r="F1502" t="n">
        <v>1020090.84</v>
      </c>
    </row>
    <row r="1503">
      <c r="A1503" t="n">
        <v>2029</v>
      </c>
      <c r="B1503" t="n">
        <v>2</v>
      </c>
      <c r="C1503" t="inlineStr">
        <is>
          <t>Miete Grdst/Gebäud</t>
        </is>
      </c>
      <c r="D1503" t="inlineStr">
        <is>
          <t>Raumkosten</t>
        </is>
      </c>
      <c r="E1503" t="n">
        <v>18238.55</v>
      </c>
      <c r="F1503" t="n">
        <v>218862.64</v>
      </c>
    </row>
    <row r="1504">
      <c r="A1504" t="n">
        <v>2031</v>
      </c>
      <c r="B1504" t="n">
        <v>2</v>
      </c>
      <c r="C1504" t="inlineStr">
        <is>
          <t>Raumkosten</t>
        </is>
      </c>
      <c r="D1504" t="inlineStr">
        <is>
          <t>Raumkosten</t>
        </is>
      </c>
      <c r="E1504" t="n">
        <v>7453.91</v>
      </c>
      <c r="F1504" t="n">
        <v>89446.89</v>
      </c>
    </row>
    <row r="1505">
      <c r="A1505" t="n">
        <v>2031</v>
      </c>
      <c r="B1505" t="n">
        <v>2</v>
      </c>
      <c r="C1505" t="inlineStr">
        <is>
          <t>Behaelterkosten</t>
        </is>
      </c>
      <c r="D1505" t="inlineStr">
        <is>
          <t>Instandh. Betriebsausstattung</t>
        </is>
      </c>
      <c r="E1505" t="n">
        <v>13.39</v>
      </c>
      <c r="F1505" t="n">
        <v>160.68</v>
      </c>
    </row>
    <row r="1506">
      <c r="A1506" t="n">
        <v>2031</v>
      </c>
      <c r="B1506" t="n">
        <v>2</v>
      </c>
      <c r="C1506" t="inlineStr">
        <is>
          <t>Instandh.Fuhrp</t>
        </is>
      </c>
      <c r="D1506" t="inlineStr">
        <is>
          <t>Fuhrparkkosten</t>
        </is>
      </c>
      <c r="E1506" t="n">
        <v>38327.36</v>
      </c>
      <c r="F1506" t="n">
        <v>459928.28</v>
      </c>
    </row>
    <row r="1507">
      <c r="A1507" t="n">
        <v>2030</v>
      </c>
      <c r="B1507" t="n">
        <v>2</v>
      </c>
      <c r="C1507" t="inlineStr">
        <is>
          <t>Ueb. bezog.Leis</t>
        </is>
      </c>
      <c r="D1507" t="inlineStr">
        <is>
          <t>Vorleistungen</t>
        </is>
      </c>
      <c r="E1507" t="n">
        <v>1385029.28</v>
      </c>
      <c r="F1507" t="n">
        <v>16620351.38</v>
      </c>
    </row>
    <row r="1508">
      <c r="A1508" t="n">
        <v>2027</v>
      </c>
      <c r="B1508" t="n">
        <v>2</v>
      </c>
      <c r="C1508" t="inlineStr">
        <is>
          <t>Miete LKW,Schiffe</t>
        </is>
      </c>
      <c r="D1508" t="inlineStr">
        <is>
          <t>Fuhrparkkosten</t>
        </is>
      </c>
      <c r="E1508" t="n">
        <v>36751.61</v>
      </c>
      <c r="F1508" t="n">
        <v>441019.28</v>
      </c>
    </row>
    <row r="1509">
      <c r="A1509" t="n">
        <v>2030</v>
      </c>
      <c r="B1509" t="n">
        <v>2</v>
      </c>
      <c r="C1509" t="inlineStr">
        <is>
          <t>Leasing LKW</t>
        </is>
      </c>
      <c r="D1509" t="inlineStr">
        <is>
          <t>Fuhrparkkosten</t>
        </is>
      </c>
      <c r="E1509" t="n">
        <v>2745.62</v>
      </c>
      <c r="F1509" t="n">
        <v>32947.44</v>
      </c>
    </row>
    <row r="1510">
      <c r="A1510" t="n">
        <v>2031</v>
      </c>
      <c r="B1510" t="n">
        <v>2</v>
      </c>
      <c r="C1510" t="inlineStr">
        <is>
          <t>Vertriebskosten</t>
        </is>
      </c>
      <c r="D1510" t="inlineStr">
        <is>
          <t>Vertriebskosten</t>
        </is>
      </c>
      <c r="E1510" t="n">
        <v>13167.99</v>
      </c>
      <c r="F1510" t="n">
        <v>158015.82</v>
      </c>
    </row>
    <row r="1511">
      <c r="A1511" t="n">
        <v>2028</v>
      </c>
      <c r="B1511" t="n">
        <v>2</v>
      </c>
      <c r="C1511" t="inlineStr">
        <is>
          <t>Behaelterkosten</t>
        </is>
      </c>
      <c r="D1511" t="inlineStr">
        <is>
          <t>Instandh. Betriebsausstattung</t>
        </is>
      </c>
      <c r="E1511" t="n">
        <v>11.57</v>
      </c>
      <c r="F1511" t="n">
        <v>138.8</v>
      </c>
    </row>
    <row r="1512">
      <c r="A1512" t="n">
        <v>2030</v>
      </c>
      <c r="B1512" t="n">
        <v>2</v>
      </c>
      <c r="C1512" t="inlineStr">
        <is>
          <t>Verwaltungskost</t>
        </is>
      </c>
      <c r="D1512" t="inlineStr">
        <is>
          <t>Verwaltungskosten</t>
        </is>
      </c>
      <c r="E1512" t="n">
        <v>7311.95</v>
      </c>
      <c r="F1512" t="n">
        <v>87743.38</v>
      </c>
    </row>
    <row r="1513">
      <c r="A1513" t="n">
        <v>2030</v>
      </c>
      <c r="B1513" t="n">
        <v>2</v>
      </c>
      <c r="C1513" t="inlineStr">
        <is>
          <t>Rechts- u. Beratungs</t>
        </is>
      </c>
      <c r="D1513" t="inlineStr">
        <is>
          <t>Verwaltungskosten</t>
        </is>
      </c>
      <c r="E1513" t="n">
        <v>28013.14</v>
      </c>
      <c r="F1513" t="n">
        <v>336157.66</v>
      </c>
    </row>
    <row r="1514">
      <c r="A1514" t="n">
        <v>2028</v>
      </c>
      <c r="B1514" t="n">
        <v>2</v>
      </c>
      <c r="C1514" t="inlineStr">
        <is>
          <t>Sonst Fuhrparkkosten</t>
        </is>
      </c>
      <c r="D1514" t="inlineStr">
        <is>
          <t>Fuhrparkkosten</t>
        </is>
      </c>
      <c r="E1514" t="n">
        <v>5288.59</v>
      </c>
      <c r="F1514" t="n">
        <v>63463.1</v>
      </c>
    </row>
    <row r="1515">
      <c r="A1515" t="n">
        <v>2029</v>
      </c>
      <c r="B1515" t="n">
        <v>2</v>
      </c>
      <c r="C1515" t="inlineStr">
        <is>
          <t>Erl. so. DL Dt.</t>
        </is>
      </c>
      <c r="D1515" t="inlineStr">
        <is>
          <t>Gesamtleistung</t>
        </is>
      </c>
      <c r="E1515" t="n">
        <v>2200755.15</v>
      </c>
      <c r="F1515" t="n">
        <v>26409061.76</v>
      </c>
    </row>
    <row r="1516">
      <c r="A1516" t="n">
        <v>2031</v>
      </c>
      <c r="B1516" t="n">
        <v>2</v>
      </c>
      <c r="C1516" t="inlineStr">
        <is>
          <t>Uebr.neutr. Ert</t>
        </is>
      </c>
      <c r="D1516" t="inlineStr">
        <is>
          <t>Gesamtleistung</t>
        </is>
      </c>
      <c r="E1516" t="n">
        <v>227.28</v>
      </c>
      <c r="F1516" t="n">
        <v>2727.33</v>
      </c>
    </row>
    <row r="1517">
      <c r="A1517" t="n">
        <v>2030</v>
      </c>
      <c r="B1517" t="n">
        <v>2</v>
      </c>
      <c r="C1517" t="inlineStr">
        <is>
          <t>Erl. Waren Dt.</t>
        </is>
      </c>
      <c r="D1517" t="inlineStr">
        <is>
          <t>Gesamtleistung</t>
        </is>
      </c>
      <c r="E1517" t="n">
        <v>49038.99</v>
      </c>
      <c r="F1517" t="n">
        <v>588467.85</v>
      </c>
    </row>
    <row r="1518">
      <c r="A1518" t="n">
        <v>2028</v>
      </c>
      <c r="B1518" t="n">
        <v>2</v>
      </c>
      <c r="C1518" t="inlineStr">
        <is>
          <t>Weiterber. Frem</t>
        </is>
      </c>
      <c r="D1518" t="inlineStr">
        <is>
          <t>Vorleistungen</t>
        </is>
      </c>
      <c r="E1518" t="n">
        <v>0</v>
      </c>
      <c r="F1518" t="n">
        <v>0</v>
      </c>
    </row>
    <row r="1519">
      <c r="A1519" t="n">
        <v>2027</v>
      </c>
      <c r="B1519" t="n">
        <v>2</v>
      </c>
      <c r="C1519" t="inlineStr">
        <is>
          <t>IT-Aufwendungen</t>
        </is>
      </c>
      <c r="D1519" t="inlineStr">
        <is>
          <t>Verwaltungskosten</t>
        </is>
      </c>
      <c r="E1519" t="n">
        <v>11596.23</v>
      </c>
      <c r="F1519" t="n">
        <v>139154.76</v>
      </c>
    </row>
    <row r="1520">
      <c r="A1520" t="n">
        <v>2028</v>
      </c>
      <c r="B1520" t="n">
        <v>2</v>
      </c>
      <c r="C1520" t="inlineStr">
        <is>
          <t>Leasing LKW</t>
        </is>
      </c>
      <c r="D1520" t="inlineStr">
        <is>
          <t>Fuhrparkkosten</t>
        </is>
      </c>
      <c r="E1520" t="n">
        <v>2443.59</v>
      </c>
      <c r="F1520" t="n">
        <v>29323.11</v>
      </c>
    </row>
    <row r="1521">
      <c r="A1521" t="n">
        <v>2031</v>
      </c>
      <c r="B1521" t="n">
        <v>2</v>
      </c>
      <c r="C1521" t="inlineStr">
        <is>
          <t>Weiterber. Frem</t>
        </is>
      </c>
      <c r="D1521" t="inlineStr">
        <is>
          <t>Vorleistungen</t>
        </is>
      </c>
      <c r="E1521" t="n">
        <v>0</v>
      </c>
      <c r="F1521" t="n">
        <v>0</v>
      </c>
    </row>
    <row r="1522">
      <c r="A1522" t="n">
        <v>2028</v>
      </c>
      <c r="B1522" t="n">
        <v>2</v>
      </c>
      <c r="C1522" t="inlineStr">
        <is>
          <t>Lohn + Gehalt</t>
        </is>
      </c>
      <c r="D1522" t="inlineStr">
        <is>
          <t>Personalaufwand</t>
        </is>
      </c>
      <c r="E1522" t="n">
        <v>321097.26</v>
      </c>
      <c r="F1522" t="n">
        <v>3853167.13</v>
      </c>
    </row>
    <row r="1523">
      <c r="A1523" t="n">
        <v>2029</v>
      </c>
      <c r="B1523" t="n">
        <v>2</v>
      </c>
      <c r="C1523" t="inlineStr">
        <is>
          <t>Miete LKW,Schiffe</t>
        </is>
      </c>
      <c r="D1523" t="inlineStr">
        <is>
          <t>Fuhrparkkosten</t>
        </is>
      </c>
      <c r="E1523" t="n">
        <v>41294.11</v>
      </c>
      <c r="F1523" t="n">
        <v>495529.28</v>
      </c>
    </row>
    <row r="1524">
      <c r="A1524" t="n">
        <v>2030</v>
      </c>
      <c r="B1524" t="n">
        <v>2</v>
      </c>
      <c r="C1524" t="inlineStr">
        <is>
          <t>Erl. so. DL Dt.</t>
        </is>
      </c>
      <c r="D1524" t="inlineStr">
        <is>
          <t>Gesamtleistung</t>
        </is>
      </c>
      <c r="E1524" t="n">
        <v>2311684.01</v>
      </c>
      <c r="F1524" t="n">
        <v>27740208.09</v>
      </c>
    </row>
    <row r="1525">
      <c r="A1525" t="n">
        <v>2030</v>
      </c>
      <c r="B1525" t="n">
        <v>2</v>
      </c>
      <c r="C1525" t="inlineStr">
        <is>
          <t>Versicherungskosten</t>
        </is>
      </c>
      <c r="D1525" t="inlineStr">
        <is>
          <t>Verwaltungskosten</t>
        </is>
      </c>
      <c r="E1525" t="n">
        <v>11790.1</v>
      </c>
      <c r="F1525" t="n">
        <v>141481.23</v>
      </c>
    </row>
    <row r="1526">
      <c r="A1526" t="n">
        <v>2029</v>
      </c>
      <c r="B1526" t="n">
        <v>2</v>
      </c>
      <c r="C1526" t="inlineStr">
        <is>
          <t>Sonstige Steuer</t>
        </is>
      </c>
      <c r="D1526" t="inlineStr">
        <is>
          <t>Fuhrparkkosten</t>
        </is>
      </c>
      <c r="E1526" t="n">
        <v>1682.38</v>
      </c>
      <c r="F1526" t="n">
        <v>20188.51</v>
      </c>
    </row>
    <row r="1527">
      <c r="A1527" t="n">
        <v>2027</v>
      </c>
      <c r="B1527" t="n">
        <v>2</v>
      </c>
      <c r="C1527" t="inlineStr">
        <is>
          <t>Sonst Fuhrparkkosten</t>
        </is>
      </c>
      <c r="D1527" t="inlineStr">
        <is>
          <t>Fuhrparkkosten</t>
        </is>
      </c>
      <c r="E1527" t="n">
        <v>4989.24</v>
      </c>
      <c r="F1527" t="n">
        <v>59870.86</v>
      </c>
    </row>
    <row r="1528">
      <c r="A1528" t="n">
        <v>2028</v>
      </c>
      <c r="B1528" t="n">
        <v>2</v>
      </c>
      <c r="C1528" t="inlineStr">
        <is>
          <t>Bestandsveraend</t>
        </is>
      </c>
      <c r="D1528" t="inlineStr">
        <is>
          <t>Gesamtleistung</t>
        </is>
      </c>
      <c r="E1528" t="n">
        <v>0</v>
      </c>
      <c r="F1528" t="n">
        <v>0</v>
      </c>
    </row>
    <row r="1529">
      <c r="A1529" t="n">
        <v>2028</v>
      </c>
      <c r="B1529" t="n">
        <v>2</v>
      </c>
      <c r="C1529" t="inlineStr">
        <is>
          <t>So. betr. Aufwa</t>
        </is>
      </c>
      <c r="D1529" t="inlineStr">
        <is>
          <t>Verwaltungskosten</t>
        </is>
      </c>
      <c r="E1529" t="n">
        <v>673.0599999999999</v>
      </c>
      <c r="F1529" t="n">
        <v>8076.71</v>
      </c>
    </row>
    <row r="1530">
      <c r="A1530" t="n">
        <v>2030</v>
      </c>
      <c r="B1530" t="n">
        <v>2</v>
      </c>
      <c r="C1530" t="inlineStr">
        <is>
          <t>Miete LKW,Schiffe</t>
        </is>
      </c>
      <c r="D1530" t="inlineStr">
        <is>
          <t>Fuhrparkkosten</t>
        </is>
      </c>
      <c r="E1530" t="n">
        <v>43771.75</v>
      </c>
      <c r="F1530" t="n">
        <v>525261.04</v>
      </c>
    </row>
    <row r="1531">
      <c r="A1531" t="n">
        <v>2028</v>
      </c>
      <c r="B1531" t="n">
        <v>2</v>
      </c>
      <c r="C1531" t="inlineStr">
        <is>
          <t>Miete LKW,Schiffe</t>
        </is>
      </c>
      <c r="D1531" t="inlineStr">
        <is>
          <t>Fuhrparkkosten</t>
        </is>
      </c>
      <c r="E1531" t="n">
        <v>38956.71</v>
      </c>
      <c r="F1531" t="n">
        <v>467480.47</v>
      </c>
    </row>
    <row r="1532">
      <c r="A1532" t="n">
        <v>2028</v>
      </c>
      <c r="B1532" t="n">
        <v>2</v>
      </c>
      <c r="C1532" t="inlineStr">
        <is>
          <t>sonst Personalk</t>
        </is>
      </c>
      <c r="D1532" t="inlineStr">
        <is>
          <t>Personalaufwand</t>
        </is>
      </c>
      <c r="E1532" t="n">
        <v>12597.51</v>
      </c>
      <c r="F1532" t="n">
        <v>151170.09</v>
      </c>
    </row>
    <row r="1533">
      <c r="A1533" t="n">
        <v>2030</v>
      </c>
      <c r="B1533" t="n">
        <v>2</v>
      </c>
      <c r="C1533" t="inlineStr">
        <is>
          <t>Leasing PKW</t>
        </is>
      </c>
      <c r="D1533" t="inlineStr">
        <is>
          <t>Fuhrparkkosten</t>
        </is>
      </c>
      <c r="E1533" t="n">
        <v>26131.4</v>
      </c>
      <c r="F1533" t="n">
        <v>313576.76</v>
      </c>
    </row>
    <row r="1534">
      <c r="A1534" t="n">
        <v>2031</v>
      </c>
      <c r="B1534" t="n">
        <v>2</v>
      </c>
      <c r="C1534" t="inlineStr">
        <is>
          <t>Aufwand Umlage</t>
        </is>
      </c>
      <c r="D1534" t="inlineStr">
        <is>
          <t>Verwaltungskosten</t>
        </is>
      </c>
      <c r="E1534" t="n">
        <v>3807.87</v>
      </c>
      <c r="F1534" t="n">
        <v>45694.43</v>
      </c>
    </row>
    <row r="1535">
      <c r="A1535" t="n">
        <v>2031</v>
      </c>
      <c r="B1535" t="n">
        <v>2</v>
      </c>
      <c r="C1535" t="inlineStr">
        <is>
          <t>sonst Personalk</t>
        </is>
      </c>
      <c r="D1535" t="inlineStr">
        <is>
          <t>Personalaufwand</t>
        </is>
      </c>
      <c r="E1535" t="n">
        <v>17070.54</v>
      </c>
      <c r="F1535" t="n">
        <v>204846.51</v>
      </c>
    </row>
    <row r="1536">
      <c r="A1536" t="n">
        <v>2027</v>
      </c>
      <c r="B1536" t="n">
        <v>2</v>
      </c>
      <c r="C1536" t="inlineStr">
        <is>
          <t>sonst Personalk</t>
        </is>
      </c>
      <c r="D1536" t="inlineStr">
        <is>
          <t>Personalaufwand</t>
        </is>
      </c>
      <c r="E1536" t="n">
        <v>10949.84</v>
      </c>
      <c r="F1536" t="n">
        <v>131398.1</v>
      </c>
    </row>
    <row r="1537">
      <c r="A1537" t="n">
        <v>2031</v>
      </c>
      <c r="B1537" t="n">
        <v>2</v>
      </c>
      <c r="C1537" t="inlineStr">
        <is>
          <t>Miete PKW</t>
        </is>
      </c>
      <c r="D1537" t="inlineStr">
        <is>
          <t>Fuhrparkkosten</t>
        </is>
      </c>
      <c r="E1537" t="n">
        <v>5824.81</v>
      </c>
      <c r="F1537" t="n">
        <v>69897.67</v>
      </c>
    </row>
    <row r="1538">
      <c r="A1538" t="n">
        <v>2029</v>
      </c>
      <c r="B1538" t="n">
        <v>2</v>
      </c>
      <c r="C1538" t="inlineStr">
        <is>
          <t>Raumkosten</t>
        </is>
      </c>
      <c r="D1538" t="inlineStr">
        <is>
          <t>Raumkosten</t>
        </is>
      </c>
      <c r="E1538" t="n">
        <v>7164.46</v>
      </c>
      <c r="F1538" t="n">
        <v>85973.53</v>
      </c>
    </row>
    <row r="1539">
      <c r="A1539" t="n">
        <v>2031</v>
      </c>
      <c r="B1539" t="n">
        <v>2</v>
      </c>
      <c r="C1539" t="inlineStr">
        <is>
          <t>Aufw. f. Alters</t>
        </is>
      </c>
      <c r="D1539" t="inlineStr">
        <is>
          <t>Personalaufwand</t>
        </is>
      </c>
      <c r="E1539" t="n">
        <v>1434.03</v>
      </c>
      <c r="F1539" t="n">
        <v>17208.41</v>
      </c>
    </row>
    <row r="1540">
      <c r="A1540" t="n">
        <v>2031</v>
      </c>
      <c r="B1540" t="n">
        <v>2</v>
      </c>
      <c r="C1540" t="inlineStr">
        <is>
          <t>IT-Aufwendungen</t>
        </is>
      </c>
      <c r="D1540" t="inlineStr">
        <is>
          <t>Verwaltungskosten</t>
        </is>
      </c>
      <c r="E1540" t="n">
        <v>13051.66</v>
      </c>
      <c r="F1540" t="n">
        <v>156619.9</v>
      </c>
    </row>
    <row r="1541">
      <c r="A1541" t="n">
        <v>2028</v>
      </c>
      <c r="B1541" t="n">
        <v>2</v>
      </c>
      <c r="C1541" t="inlineStr">
        <is>
          <t>Miete Grdst/Gebäud</t>
        </is>
      </c>
      <c r="D1541" t="inlineStr">
        <is>
          <t>Raumkosten</t>
        </is>
      </c>
      <c r="E1541" t="n">
        <v>17880.93</v>
      </c>
      <c r="F1541" t="n">
        <v>214571.21</v>
      </c>
    </row>
    <row r="1542">
      <c r="A1542" t="n">
        <v>2027</v>
      </c>
      <c r="B1542" t="n">
        <v>2</v>
      </c>
      <c r="C1542" t="inlineStr">
        <is>
          <t>Erloesschmaeler</t>
        </is>
      </c>
      <c r="D1542" t="inlineStr">
        <is>
          <t>Gesamtleistung</t>
        </is>
      </c>
      <c r="E1542" t="n">
        <v>-7483.88</v>
      </c>
      <c r="F1542" t="n">
        <v>-89806.53</v>
      </c>
    </row>
    <row r="1543">
      <c r="A1543" t="n">
        <v>2029</v>
      </c>
      <c r="B1543" t="n">
        <v>2</v>
      </c>
      <c r="C1543" t="inlineStr">
        <is>
          <t>sonst Personalk</t>
        </is>
      </c>
      <c r="D1543" t="inlineStr">
        <is>
          <t>Personalaufwand</t>
        </is>
      </c>
      <c r="E1543" t="n">
        <v>13957.15</v>
      </c>
      <c r="F1543" t="n">
        <v>167485.78</v>
      </c>
    </row>
    <row r="1544">
      <c r="A1544" t="n">
        <v>2028</v>
      </c>
      <c r="B1544" t="n">
        <v>2</v>
      </c>
      <c r="C1544" t="inlineStr">
        <is>
          <t>Fremdl. Fuhrlei</t>
        </is>
      </c>
      <c r="D1544" t="inlineStr">
        <is>
          <t>Vorleistungen</t>
        </is>
      </c>
      <c r="E1544" t="n">
        <v>363.29</v>
      </c>
      <c r="F1544" t="n">
        <v>4359.52</v>
      </c>
    </row>
    <row r="1545">
      <c r="A1545" t="n">
        <v>2027</v>
      </c>
      <c r="B1545" t="n">
        <v>2</v>
      </c>
      <c r="C1545" t="inlineStr">
        <is>
          <t>Erl. so. DL Dt.</t>
        </is>
      </c>
      <c r="D1545" t="inlineStr">
        <is>
          <t>Gesamtleistung</t>
        </is>
      </c>
      <c r="E1545" t="n">
        <v>1996174.37</v>
      </c>
      <c r="F1545" t="n">
        <v>23954092.45</v>
      </c>
    </row>
    <row r="1546">
      <c r="A1546" t="n">
        <v>2027</v>
      </c>
      <c r="B1546" t="n">
        <v>2</v>
      </c>
      <c r="C1546" t="inlineStr">
        <is>
          <t>Aufw. Heizmat.</t>
        </is>
      </c>
      <c r="D1546" t="inlineStr">
        <is>
          <t>Vorleistungen</t>
        </is>
      </c>
      <c r="E1546" t="n">
        <v>275.72</v>
      </c>
      <c r="F1546" t="n">
        <v>3308.65</v>
      </c>
    </row>
    <row r="1547">
      <c r="A1547" t="n">
        <v>2028</v>
      </c>
      <c r="B1547" t="n">
        <v>2</v>
      </c>
      <c r="C1547" t="inlineStr">
        <is>
          <t>Versicherungskosten</t>
        </is>
      </c>
      <c r="D1547" t="inlineStr">
        <is>
          <t>Verwaltungskosten</t>
        </is>
      </c>
      <c r="E1547" t="n">
        <v>11113.3</v>
      </c>
      <c r="F1547" t="n">
        <v>133359.63</v>
      </c>
    </row>
    <row r="1548">
      <c r="A1548" t="n">
        <v>2031</v>
      </c>
      <c r="B1548" t="n">
        <v>2</v>
      </c>
      <c r="C1548" t="inlineStr">
        <is>
          <t>Miete LKW,Schiffe</t>
        </is>
      </c>
      <c r="D1548" t="inlineStr">
        <is>
          <t>Fuhrparkkosten</t>
        </is>
      </c>
      <c r="E1548" t="n">
        <v>46398.06</v>
      </c>
      <c r="F1548" t="n">
        <v>556776.71</v>
      </c>
    </row>
    <row r="1549">
      <c r="A1549" t="n">
        <v>2027</v>
      </c>
      <c r="B1549" t="n">
        <v>2</v>
      </c>
      <c r="C1549" t="inlineStr">
        <is>
          <t>Weiterber. Frem</t>
        </is>
      </c>
      <c r="D1549" t="inlineStr">
        <is>
          <t>Vorleistungen</t>
        </is>
      </c>
      <c r="E1549" t="n">
        <v>0</v>
      </c>
      <c r="F1549" t="n">
        <v>0</v>
      </c>
    </row>
    <row r="1550">
      <c r="A1550" t="n">
        <v>2028</v>
      </c>
      <c r="B1550" t="n">
        <v>2</v>
      </c>
      <c r="C1550" t="inlineStr">
        <is>
          <t>Erloesschmaeler</t>
        </is>
      </c>
      <c r="D1550" t="inlineStr">
        <is>
          <t>Gesamtleistung</t>
        </is>
      </c>
      <c r="E1550" t="n">
        <v>-8355.469999999999</v>
      </c>
      <c r="F1550" t="n">
        <v>-100265.61</v>
      </c>
    </row>
    <row r="1551">
      <c r="A1551" t="n">
        <v>2027</v>
      </c>
      <c r="B1551" t="n">
        <v>2</v>
      </c>
      <c r="C1551" t="inlineStr">
        <is>
          <t>Uebr.neutr. Ert</t>
        </is>
      </c>
      <c r="D1551" t="inlineStr">
        <is>
          <t>Gesamtleistung</t>
        </is>
      </c>
      <c r="E1551" t="n">
        <v>113.94</v>
      </c>
      <c r="F1551" t="n">
        <v>1367.31</v>
      </c>
    </row>
    <row r="1552">
      <c r="A1552" t="n">
        <v>2028</v>
      </c>
      <c r="B1552" t="n">
        <v>2</v>
      </c>
      <c r="C1552" t="inlineStr">
        <is>
          <t>Miete Behälter</t>
        </is>
      </c>
      <c r="D1552" t="inlineStr">
        <is>
          <t>Instandh. Betriebsausstattung</t>
        </is>
      </c>
      <c r="E1552" t="n">
        <v>24.08</v>
      </c>
      <c r="F1552" t="n">
        <v>289</v>
      </c>
    </row>
    <row r="1553">
      <c r="A1553" t="n">
        <v>2028</v>
      </c>
      <c r="B1553" t="n">
        <v>2</v>
      </c>
      <c r="C1553" t="inlineStr">
        <is>
          <t>Aufw. so. Hilfs</t>
        </is>
      </c>
      <c r="D1553" t="inlineStr">
        <is>
          <t>Vorleistungen</t>
        </is>
      </c>
      <c r="E1553" t="n">
        <v>-16546.31</v>
      </c>
      <c r="F1553" t="n">
        <v>-198555.67</v>
      </c>
    </row>
    <row r="1554">
      <c r="A1554" t="n">
        <v>2030</v>
      </c>
      <c r="B1554" t="n">
        <v>2</v>
      </c>
      <c r="C1554" t="inlineStr">
        <is>
          <t>Treibstoffe, Oe</t>
        </is>
      </c>
      <c r="D1554" t="inlineStr">
        <is>
          <t>Fuhrparkkosten</t>
        </is>
      </c>
      <c r="E1554" t="n">
        <v>34177.25</v>
      </c>
      <c r="F1554" t="n">
        <v>410126.96</v>
      </c>
    </row>
    <row r="1555">
      <c r="A1555" t="n">
        <v>2030</v>
      </c>
      <c r="B1555" t="n">
        <v>2</v>
      </c>
      <c r="C1555" t="inlineStr">
        <is>
          <t>Ueb Lohn-Gehalt</t>
        </is>
      </c>
      <c r="D1555" t="inlineStr">
        <is>
          <t>Personalaufwand</t>
        </is>
      </c>
      <c r="E1555" t="n">
        <v>41842.02</v>
      </c>
      <c r="F1555" t="n">
        <v>502104.18</v>
      </c>
    </row>
    <row r="1556">
      <c r="A1556" t="n">
        <v>2030</v>
      </c>
      <c r="B1556" t="n">
        <v>2</v>
      </c>
      <c r="C1556" t="inlineStr">
        <is>
          <t>Aufw. f. Alters</t>
        </is>
      </c>
      <c r="D1556" t="inlineStr">
        <is>
          <t>Personalaufwand</t>
        </is>
      </c>
      <c r="E1556" t="n">
        <v>1387.56</v>
      </c>
      <c r="F1556" t="n">
        <v>16650.69</v>
      </c>
    </row>
    <row r="1557">
      <c r="A1557" t="n">
        <v>2031</v>
      </c>
      <c r="B1557" t="n">
        <v>2</v>
      </c>
      <c r="C1557" t="inlineStr">
        <is>
          <t>Fremdl. Persona</t>
        </is>
      </c>
      <c r="D1557" t="inlineStr">
        <is>
          <t>Vorleistungen</t>
        </is>
      </c>
      <c r="E1557" t="n">
        <v>79.40000000000001</v>
      </c>
      <c r="F1557" t="n">
        <v>952.79</v>
      </c>
    </row>
    <row r="1558">
      <c r="A1558" t="n">
        <v>2029</v>
      </c>
      <c r="B1558" t="n">
        <v>3</v>
      </c>
      <c r="C1558" t="inlineStr">
        <is>
          <t>Sonderz. Prämie</t>
        </is>
      </c>
      <c r="D1558" t="inlineStr">
        <is>
          <t>Personalaufwand</t>
        </is>
      </c>
      <c r="E1558" t="n">
        <v>23292.21</v>
      </c>
      <c r="F1558" t="n">
        <v>279506.56</v>
      </c>
    </row>
    <row r="1559">
      <c r="A1559" t="n">
        <v>2030</v>
      </c>
      <c r="B1559" t="n">
        <v>3</v>
      </c>
      <c r="C1559" t="inlineStr">
        <is>
          <t>sonst Personalk</t>
        </is>
      </c>
      <c r="D1559" t="inlineStr">
        <is>
          <t>Personalaufwand</t>
        </is>
      </c>
      <c r="E1559" t="n">
        <v>15558.93</v>
      </c>
      <c r="F1559" t="n">
        <v>186707.19</v>
      </c>
    </row>
    <row r="1560">
      <c r="A1560" t="n">
        <v>2031</v>
      </c>
      <c r="B1560" t="n">
        <v>3</v>
      </c>
      <c r="C1560" t="inlineStr">
        <is>
          <t>Ankauf Rohstoff</t>
        </is>
      </c>
      <c r="D1560" t="inlineStr">
        <is>
          <t>Vorleistungen</t>
        </is>
      </c>
      <c r="E1560" t="n">
        <v>1489.65</v>
      </c>
      <c r="F1560" t="n">
        <v>17875.76</v>
      </c>
    </row>
    <row r="1561">
      <c r="A1561" t="n">
        <v>2029</v>
      </c>
      <c r="B1561" t="n">
        <v>3</v>
      </c>
      <c r="C1561" t="inlineStr">
        <is>
          <t>Weiterber. Frem</t>
        </is>
      </c>
      <c r="D1561" t="inlineStr">
        <is>
          <t>Vorleistungen</t>
        </is>
      </c>
      <c r="E1561" t="n">
        <v>0</v>
      </c>
      <c r="F1561" t="n">
        <v>0</v>
      </c>
    </row>
    <row r="1562">
      <c r="A1562" t="n">
        <v>2031</v>
      </c>
      <c r="B1562" t="n">
        <v>3</v>
      </c>
      <c r="C1562" t="inlineStr">
        <is>
          <t>Sonstige Steuer</t>
        </is>
      </c>
      <c r="D1562" t="inlineStr">
        <is>
          <t>Fuhrparkkosten</t>
        </is>
      </c>
      <c r="E1562" t="n">
        <v>1890.32</v>
      </c>
      <c r="F1562" t="n">
        <v>22683.81</v>
      </c>
    </row>
    <row r="1563">
      <c r="A1563" t="n">
        <v>2030</v>
      </c>
      <c r="B1563" t="n">
        <v>3</v>
      </c>
      <c r="C1563" t="inlineStr">
        <is>
          <t>Bestandsveraend</t>
        </is>
      </c>
      <c r="D1563" t="inlineStr">
        <is>
          <t>Gesamtleistung</t>
        </is>
      </c>
      <c r="E1563" t="n">
        <v>0</v>
      </c>
      <c r="F1563" t="n">
        <v>0</v>
      </c>
    </row>
    <row r="1564">
      <c r="A1564" t="n">
        <v>2031</v>
      </c>
      <c r="B1564" t="n">
        <v>3</v>
      </c>
      <c r="C1564" t="inlineStr">
        <is>
          <t>Erl. so. DL Dt.</t>
        </is>
      </c>
      <c r="D1564" t="inlineStr">
        <is>
          <t>Gesamtleistung</t>
        </is>
      </c>
      <c r="E1564" t="n">
        <v>2428139.11</v>
      </c>
      <c r="F1564" t="n">
        <v>29137669.32</v>
      </c>
    </row>
    <row r="1565">
      <c r="A1565" t="n">
        <v>2030</v>
      </c>
      <c r="B1565" t="n">
        <v>3</v>
      </c>
      <c r="C1565" t="inlineStr">
        <is>
          <t>Sonstige Steuer</t>
        </is>
      </c>
      <c r="D1565" t="inlineStr">
        <is>
          <t>Fuhrparkkosten</t>
        </is>
      </c>
      <c r="E1565" t="n">
        <v>1783.32</v>
      </c>
      <c r="F1565" t="n">
        <v>21399.82</v>
      </c>
    </row>
    <row r="1566">
      <c r="A1566" t="n">
        <v>2030</v>
      </c>
      <c r="B1566" t="n">
        <v>3</v>
      </c>
      <c r="C1566" t="inlineStr">
        <is>
          <t>Sonderz. Prämie</t>
        </is>
      </c>
      <c r="D1566" t="inlineStr">
        <is>
          <t>Personalaufwand</t>
        </is>
      </c>
      <c r="E1566" t="n">
        <v>25004.1</v>
      </c>
      <c r="F1566" t="n">
        <v>300049.14</v>
      </c>
    </row>
    <row r="1567">
      <c r="A1567" t="n">
        <v>2029</v>
      </c>
      <c r="B1567" t="n">
        <v>3</v>
      </c>
      <c r="C1567" t="inlineStr">
        <is>
          <t>Soziale Abgaben</t>
        </is>
      </c>
      <c r="D1567" t="inlineStr">
        <is>
          <t>Personalaufwand</t>
        </is>
      </c>
      <c r="E1567" t="n">
        <v>94488.11</v>
      </c>
      <c r="F1567" t="n">
        <v>1133857.35</v>
      </c>
    </row>
    <row r="1568">
      <c r="A1568" t="n">
        <v>2031</v>
      </c>
      <c r="B1568" t="n">
        <v>3</v>
      </c>
      <c r="C1568" t="inlineStr">
        <is>
          <t>So. betr. Aufwa</t>
        </is>
      </c>
      <c r="D1568" t="inlineStr">
        <is>
          <t>Verwaltungskosten</t>
        </is>
      </c>
      <c r="E1568" t="n">
        <v>735.47</v>
      </c>
      <c r="F1568" t="n">
        <v>8825.639999999999</v>
      </c>
    </row>
    <row r="1569">
      <c r="A1569" t="n">
        <v>2027</v>
      </c>
      <c r="B1569" t="n">
        <v>3</v>
      </c>
      <c r="C1569" t="inlineStr">
        <is>
          <t>Lohn + Gehalt</t>
        </is>
      </c>
      <c r="D1569" t="inlineStr">
        <is>
          <t>Personalaufwand</t>
        </is>
      </c>
      <c r="E1569" t="n">
        <v>287946.36</v>
      </c>
      <c r="F1569" t="n">
        <v>3455356.33</v>
      </c>
    </row>
    <row r="1570">
      <c r="A1570" t="n">
        <v>2027</v>
      </c>
      <c r="B1570" t="n">
        <v>3</v>
      </c>
      <c r="C1570" t="inlineStr">
        <is>
          <t>So. betr. Aufwa</t>
        </is>
      </c>
      <c r="D1570" t="inlineStr">
        <is>
          <t>Verwaltungskosten</t>
        </is>
      </c>
      <c r="E1570" t="n">
        <v>653.45</v>
      </c>
      <c r="F1570" t="n">
        <v>7841.45</v>
      </c>
    </row>
    <row r="1571">
      <c r="A1571" t="n">
        <v>2028</v>
      </c>
      <c r="B1571" t="n">
        <v>3</v>
      </c>
      <c r="C1571" t="inlineStr">
        <is>
          <t>Ueb Lohn-Gehalt</t>
        </is>
      </c>
      <c r="D1571" t="inlineStr">
        <is>
          <t>Personalaufwand</t>
        </is>
      </c>
      <c r="E1571" t="n">
        <v>34332.83</v>
      </c>
      <c r="F1571" t="n">
        <v>411993.96</v>
      </c>
    </row>
    <row r="1572">
      <c r="A1572" t="n">
        <v>2027</v>
      </c>
      <c r="B1572" t="n">
        <v>3</v>
      </c>
      <c r="C1572" t="inlineStr">
        <is>
          <t>Verwaltungskost</t>
        </is>
      </c>
      <c r="D1572" t="inlineStr">
        <is>
          <t>Verwaltungskosten</t>
        </is>
      </c>
      <c r="E1572" t="n">
        <v>6691.47</v>
      </c>
      <c r="F1572" t="n">
        <v>80297.62</v>
      </c>
    </row>
    <row r="1573">
      <c r="A1573" t="n">
        <v>2030</v>
      </c>
      <c r="B1573" t="n">
        <v>3</v>
      </c>
      <c r="C1573" t="inlineStr">
        <is>
          <t>Aufw. Heizmat.</t>
        </is>
      </c>
      <c r="D1573" t="inlineStr">
        <is>
          <t>Vorleistungen</t>
        </is>
      </c>
      <c r="E1573" t="n">
        <v>230.4</v>
      </c>
      <c r="F1573" t="n">
        <v>2764.82</v>
      </c>
    </row>
    <row r="1574">
      <c r="A1574" t="n">
        <v>2027</v>
      </c>
      <c r="B1574" t="n">
        <v>3</v>
      </c>
      <c r="C1574" t="inlineStr">
        <is>
          <t>Versicherungskosten</t>
        </is>
      </c>
      <c r="D1574" t="inlineStr">
        <is>
          <t>Verwaltungskosten</t>
        </is>
      </c>
      <c r="E1574" t="n">
        <v>10789.61</v>
      </c>
      <c r="F1574" t="n">
        <v>129475.37</v>
      </c>
    </row>
    <row r="1575">
      <c r="A1575" t="n">
        <v>2031</v>
      </c>
      <c r="B1575" t="n">
        <v>3</v>
      </c>
      <c r="C1575" t="inlineStr">
        <is>
          <t>Instandh. BGA</t>
        </is>
      </c>
      <c r="D1575" t="inlineStr">
        <is>
          <t>Instandh. Betriebsausstattung</t>
        </is>
      </c>
      <c r="E1575" t="n">
        <v>5124.63</v>
      </c>
      <c r="F1575" t="n">
        <v>61495.58</v>
      </c>
    </row>
    <row r="1576">
      <c r="A1576" t="n">
        <v>2029</v>
      </c>
      <c r="B1576" t="n">
        <v>3</v>
      </c>
      <c r="C1576" t="inlineStr">
        <is>
          <t>Treibstoffe, Oe</t>
        </is>
      </c>
      <c r="D1576" t="inlineStr">
        <is>
          <t>Fuhrparkkosten</t>
        </is>
      </c>
      <c r="E1576" t="n">
        <v>32242.68</v>
      </c>
      <c r="F1576" t="n">
        <v>386912.19</v>
      </c>
    </row>
    <row r="1577">
      <c r="A1577" t="n">
        <v>2027</v>
      </c>
      <c r="B1577" t="n">
        <v>3</v>
      </c>
      <c r="C1577" t="inlineStr">
        <is>
          <t>Instandh. BGA</t>
        </is>
      </c>
      <c r="D1577" t="inlineStr">
        <is>
          <t>Instandh. Betriebsausstattung</t>
        </is>
      </c>
      <c r="E1577" t="n">
        <v>4216.05</v>
      </c>
      <c r="F1577" t="n">
        <v>50592.58</v>
      </c>
    </row>
    <row r="1578">
      <c r="A1578" t="n">
        <v>2029</v>
      </c>
      <c r="B1578" t="n">
        <v>3</v>
      </c>
      <c r="C1578" t="inlineStr">
        <is>
          <t>Ueb Lohn-Gehalt</t>
        </is>
      </c>
      <c r="D1578" t="inlineStr">
        <is>
          <t>Personalaufwand</t>
        </is>
      </c>
      <c r="E1578" t="n">
        <v>37989.9</v>
      </c>
      <c r="F1578" t="n">
        <v>455878.84</v>
      </c>
    </row>
    <row r="1579">
      <c r="A1579" t="n">
        <v>2031</v>
      </c>
      <c r="B1579" t="n">
        <v>3</v>
      </c>
      <c r="C1579" t="inlineStr">
        <is>
          <t>Erl. Waren Dt.</t>
        </is>
      </c>
      <c r="D1579" t="inlineStr">
        <is>
          <t>Gesamtleistung</t>
        </is>
      </c>
      <c r="E1579" t="n">
        <v>50865.59</v>
      </c>
      <c r="F1579" t="n">
        <v>610387.05</v>
      </c>
    </row>
    <row r="1580">
      <c r="A1580" t="n">
        <v>2027</v>
      </c>
      <c r="B1580" t="n">
        <v>3</v>
      </c>
      <c r="C1580" t="inlineStr">
        <is>
          <t>Fremdl. Persona</t>
        </is>
      </c>
      <c r="D1580" t="inlineStr">
        <is>
          <t>Vorleistungen</t>
        </is>
      </c>
      <c r="E1580" t="n">
        <v>61.31</v>
      </c>
      <c r="F1580" t="n">
        <v>735.66</v>
      </c>
    </row>
    <row r="1581">
      <c r="A1581" t="n">
        <v>2027</v>
      </c>
      <c r="B1581" t="n">
        <v>3</v>
      </c>
      <c r="C1581" t="inlineStr">
        <is>
          <t>Aufwand Umlage</t>
        </is>
      </c>
      <c r="D1581" t="inlineStr">
        <is>
          <t>Verwaltungskosten</t>
        </is>
      </c>
      <c r="E1581" t="n">
        <v>3383.24</v>
      </c>
      <c r="F1581" t="n">
        <v>40598.91</v>
      </c>
    </row>
    <row r="1582">
      <c r="A1582" t="n">
        <v>2031</v>
      </c>
      <c r="B1582" t="n">
        <v>3</v>
      </c>
      <c r="C1582" t="inlineStr">
        <is>
          <t>Ueb Lohn-Gehalt</t>
        </is>
      </c>
      <c r="D1582" t="inlineStr">
        <is>
          <t>Personalaufwand</t>
        </is>
      </c>
      <c r="E1582" t="n">
        <v>45675.82</v>
      </c>
      <c r="F1582" t="n">
        <v>548109.79</v>
      </c>
    </row>
    <row r="1583">
      <c r="A1583" t="n">
        <v>2027</v>
      </c>
      <c r="B1583" t="n">
        <v>3</v>
      </c>
      <c r="C1583" t="inlineStr">
        <is>
          <t>Rechts- u. Beratungs</t>
        </is>
      </c>
      <c r="D1583" t="inlineStr">
        <is>
          <t>Verwaltungskosten</t>
        </is>
      </c>
      <c r="E1583" t="n">
        <v>25635.99</v>
      </c>
      <c r="F1583" t="n">
        <v>307631.89</v>
      </c>
    </row>
    <row r="1584">
      <c r="A1584" t="n">
        <v>2028</v>
      </c>
      <c r="B1584" t="n">
        <v>3</v>
      </c>
      <c r="C1584" t="inlineStr">
        <is>
          <t>Verwaltungskost</t>
        </is>
      </c>
      <c r="D1584" t="inlineStr">
        <is>
          <t>Verwaltungskosten</t>
        </is>
      </c>
      <c r="E1584" t="n">
        <v>6892.21</v>
      </c>
      <c r="F1584" t="n">
        <v>82706.56</v>
      </c>
    </row>
    <row r="1585">
      <c r="A1585" t="n">
        <v>2028</v>
      </c>
      <c r="B1585" t="n">
        <v>3</v>
      </c>
      <c r="C1585" t="inlineStr">
        <is>
          <t>Ueb. bezog.Leis</t>
        </is>
      </c>
      <c r="D1585" t="inlineStr">
        <is>
          <t>Vorleistungen</t>
        </is>
      </c>
      <c r="E1585" t="n">
        <v>1342498.67</v>
      </c>
      <c r="F1585" t="n">
        <v>16109983.99</v>
      </c>
    </row>
    <row r="1586">
      <c r="A1586" t="n">
        <v>2028</v>
      </c>
      <c r="B1586" t="n">
        <v>3</v>
      </c>
      <c r="C1586" t="inlineStr">
        <is>
          <t>Ankauf Rohstoff</t>
        </is>
      </c>
      <c r="D1586" t="inlineStr">
        <is>
          <t>Vorleistungen</t>
        </is>
      </c>
      <c r="E1586" t="n">
        <v>1457.38</v>
      </c>
      <c r="F1586" t="n">
        <v>17488.61</v>
      </c>
    </row>
    <row r="1587">
      <c r="A1587" t="n">
        <v>2029</v>
      </c>
      <c r="B1587" t="n">
        <v>3</v>
      </c>
      <c r="C1587" t="inlineStr">
        <is>
          <t>Erloesschmaeler</t>
        </is>
      </c>
      <c r="D1587" t="inlineStr">
        <is>
          <t>Gesamtleistung</t>
        </is>
      </c>
      <c r="E1587" t="n">
        <v>-9048.01</v>
      </c>
      <c r="F1587" t="n">
        <v>-108576.08</v>
      </c>
    </row>
    <row r="1588">
      <c r="A1588" t="n">
        <v>2029</v>
      </c>
      <c r="B1588" t="n">
        <v>3</v>
      </c>
      <c r="C1588" t="inlineStr">
        <is>
          <t>Leasing PKW</t>
        </is>
      </c>
      <c r="D1588" t="inlineStr">
        <is>
          <t>Fuhrparkkosten</t>
        </is>
      </c>
      <c r="E1588" t="n">
        <v>24652.26</v>
      </c>
      <c r="F1588" t="n">
        <v>295827.14</v>
      </c>
    </row>
    <row r="1589">
      <c r="A1589" t="n">
        <v>2029</v>
      </c>
      <c r="B1589" t="n">
        <v>3</v>
      </c>
      <c r="C1589" t="inlineStr">
        <is>
          <t>Fremdl. Persona</t>
        </is>
      </c>
      <c r="D1589" t="inlineStr">
        <is>
          <t>Vorleistungen</t>
        </is>
      </c>
      <c r="E1589" t="n">
        <v>73.3</v>
      </c>
      <c r="F1589" t="n">
        <v>879.54</v>
      </c>
    </row>
    <row r="1590">
      <c r="A1590" t="n">
        <v>2028</v>
      </c>
      <c r="B1590" t="n">
        <v>3</v>
      </c>
      <c r="C1590" t="inlineStr">
        <is>
          <t>Aufwand Umlage</t>
        </is>
      </c>
      <c r="D1590" t="inlineStr">
        <is>
          <t>Verwaltungskosten</t>
        </is>
      </c>
      <c r="E1590" t="n">
        <v>3484.74</v>
      </c>
      <c r="F1590" t="n">
        <v>41816.88</v>
      </c>
    </row>
    <row r="1591">
      <c r="A1591" t="n">
        <v>2027</v>
      </c>
      <c r="B1591" t="n">
        <v>3</v>
      </c>
      <c r="C1591" t="inlineStr">
        <is>
          <t>Ankauf Rohstoff</t>
        </is>
      </c>
      <c r="D1591" t="inlineStr">
        <is>
          <t>Vorleistungen</t>
        </is>
      </c>
      <c r="E1591" t="n">
        <v>1408.24</v>
      </c>
      <c r="F1591" t="n">
        <v>16898.9</v>
      </c>
    </row>
    <row r="1592">
      <c r="A1592" t="n">
        <v>2030</v>
      </c>
      <c r="B1592" t="n">
        <v>3</v>
      </c>
      <c r="C1592" t="inlineStr">
        <is>
          <t>Erloesschmaeler</t>
        </is>
      </c>
      <c r="D1592" t="inlineStr">
        <is>
          <t>Gesamtleistung</t>
        </is>
      </c>
      <c r="E1592" t="n">
        <v>-9690.75</v>
      </c>
      <c r="F1592" t="n">
        <v>-116289.05</v>
      </c>
    </row>
    <row r="1593">
      <c r="A1593" t="n">
        <v>2029</v>
      </c>
      <c r="B1593" t="n">
        <v>3</v>
      </c>
      <c r="C1593" t="inlineStr">
        <is>
          <t>Sonst Fuhrparkkosten</t>
        </is>
      </c>
      <c r="D1593" t="inlineStr">
        <is>
          <t>Fuhrparkkosten</t>
        </is>
      </c>
      <c r="E1593" t="n">
        <v>5605.91</v>
      </c>
      <c r="F1593" t="n">
        <v>67270.89</v>
      </c>
    </row>
    <row r="1594">
      <c r="A1594" t="n">
        <v>2027</v>
      </c>
      <c r="B1594" t="n">
        <v>3</v>
      </c>
      <c r="C1594" t="inlineStr">
        <is>
          <t>Soziale Abgaben</t>
        </is>
      </c>
      <c r="D1594" t="inlineStr">
        <is>
          <t>Personalaufwand</t>
        </is>
      </c>
      <c r="E1594" t="n">
        <v>75903.69</v>
      </c>
      <c r="F1594" t="n">
        <v>910844.28</v>
      </c>
    </row>
    <row r="1595">
      <c r="A1595" t="n">
        <v>2031</v>
      </c>
      <c r="B1595" t="n">
        <v>3</v>
      </c>
      <c r="C1595" t="inlineStr">
        <is>
          <t>Erloesschmaeler</t>
        </is>
      </c>
      <c r="D1595" t="inlineStr">
        <is>
          <t>Gesamtleistung</t>
        </is>
      </c>
      <c r="E1595" t="n">
        <v>-10347.15</v>
      </c>
      <c r="F1595" t="n">
        <v>-124165.81</v>
      </c>
    </row>
    <row r="1596">
      <c r="A1596" t="n">
        <v>2029</v>
      </c>
      <c r="B1596" t="n">
        <v>3</v>
      </c>
      <c r="C1596" t="inlineStr">
        <is>
          <t>Ertr. weiterber</t>
        </is>
      </c>
      <c r="D1596" t="inlineStr">
        <is>
          <t>Gesamtleistung</t>
        </is>
      </c>
      <c r="E1596" t="n">
        <v>1036.39</v>
      </c>
      <c r="F1596" t="n">
        <v>12436.69</v>
      </c>
    </row>
    <row r="1597">
      <c r="A1597" t="n">
        <v>2027</v>
      </c>
      <c r="B1597" t="n">
        <v>3</v>
      </c>
      <c r="C1597" t="inlineStr">
        <is>
          <t>Sonderz. Prämie</t>
        </is>
      </c>
      <c r="D1597" t="inlineStr">
        <is>
          <t>Personalaufwand</t>
        </is>
      </c>
      <c r="E1597" t="n">
        <v>19636.08</v>
      </c>
      <c r="F1597" t="n">
        <v>235633</v>
      </c>
    </row>
    <row r="1598">
      <c r="A1598" t="n">
        <v>2027</v>
      </c>
      <c r="B1598" t="n">
        <v>3</v>
      </c>
      <c r="C1598" t="inlineStr">
        <is>
          <t>Miete Behälter</t>
        </is>
      </c>
      <c r="D1598" t="inlineStr">
        <is>
          <t>Instandh. Betriebsausstattung</t>
        </is>
      </c>
      <c r="E1598" t="n">
        <v>22.94</v>
      </c>
      <c r="F1598" t="n">
        <v>275.23</v>
      </c>
    </row>
    <row r="1599">
      <c r="A1599" t="n">
        <v>2031</v>
      </c>
      <c r="B1599" t="n">
        <v>3</v>
      </c>
      <c r="C1599" t="inlineStr">
        <is>
          <t>Versicherungskosten</t>
        </is>
      </c>
      <c r="D1599" t="inlineStr">
        <is>
          <t>Verwaltungskosten</t>
        </is>
      </c>
      <c r="E1599" t="n">
        <v>12143.81</v>
      </c>
      <c r="F1599" t="n">
        <v>145725.66</v>
      </c>
    </row>
    <row r="1600">
      <c r="A1600" t="n">
        <v>2029</v>
      </c>
      <c r="B1600" t="n">
        <v>3</v>
      </c>
      <c r="C1600" t="inlineStr">
        <is>
          <t>Rechts- u. Beratungs</t>
        </is>
      </c>
      <c r="D1600" t="inlineStr">
        <is>
          <t>Verwaltungskosten</t>
        </is>
      </c>
      <c r="E1600" t="n">
        <v>27197.22</v>
      </c>
      <c r="F1600" t="n">
        <v>326366.65</v>
      </c>
    </row>
    <row r="1601">
      <c r="A1601" t="n">
        <v>2028</v>
      </c>
      <c r="B1601" t="n">
        <v>3</v>
      </c>
      <c r="C1601" t="inlineStr">
        <is>
          <t>Instandh.Fuhrp</t>
        </is>
      </c>
      <c r="D1601" t="inlineStr">
        <is>
          <t>Fuhrparkkosten</t>
        </is>
      </c>
      <c r="E1601" t="n">
        <v>32180.39</v>
      </c>
      <c r="F1601" t="n">
        <v>386164.66</v>
      </c>
    </row>
    <row r="1602">
      <c r="A1602" t="n">
        <v>2030</v>
      </c>
      <c r="B1602" t="n">
        <v>3</v>
      </c>
      <c r="C1602" t="inlineStr">
        <is>
          <t>Miete Grdst/Gebäud</t>
        </is>
      </c>
      <c r="D1602" t="inlineStr">
        <is>
          <t>Raumkosten</t>
        </is>
      </c>
      <c r="E1602" t="n">
        <v>18603.32</v>
      </c>
      <c r="F1602" t="n">
        <v>223239.88</v>
      </c>
    </row>
    <row r="1603">
      <c r="A1603" t="n">
        <v>2027</v>
      </c>
      <c r="B1603" t="n">
        <v>3</v>
      </c>
      <c r="C1603" t="inlineStr">
        <is>
          <t>Ueb. bezog.Leis</t>
        </is>
      </c>
      <c r="D1603" t="inlineStr">
        <is>
          <t>Vorleistungen</t>
        </is>
      </c>
      <c r="E1603" t="n">
        <v>1319862.34</v>
      </c>
      <c r="F1603" t="n">
        <v>15838348.13</v>
      </c>
    </row>
    <row r="1604">
      <c r="A1604" t="n">
        <v>2029</v>
      </c>
      <c r="B1604" t="n">
        <v>3</v>
      </c>
      <c r="C1604" t="inlineStr">
        <is>
          <t>Erl. Waren Dt.</t>
        </is>
      </c>
      <c r="D1604" t="inlineStr">
        <is>
          <t>Gesamtleistung</t>
        </is>
      </c>
      <c r="E1604" t="n">
        <v>47334.08</v>
      </c>
      <c r="F1604" t="n">
        <v>568008.92</v>
      </c>
    </row>
    <row r="1605">
      <c r="A1605" t="n">
        <v>2031</v>
      </c>
      <c r="B1605" t="n">
        <v>3</v>
      </c>
      <c r="C1605" t="inlineStr">
        <is>
          <t>Treibstoffe, Oe</t>
        </is>
      </c>
      <c r="D1605" t="inlineStr">
        <is>
          <t>Fuhrparkkosten</t>
        </is>
      </c>
      <c r="E1605" t="n">
        <v>36227.88</v>
      </c>
      <c r="F1605" t="n">
        <v>434734.54</v>
      </c>
    </row>
    <row r="1606">
      <c r="A1606" t="n">
        <v>2029</v>
      </c>
      <c r="B1606" t="n">
        <v>3</v>
      </c>
      <c r="C1606" t="inlineStr">
        <is>
          <t>Miete Behälter</t>
        </is>
      </c>
      <c r="D1606" t="inlineStr">
        <is>
          <t>Instandh. Betriebsausstattung</t>
        </is>
      </c>
      <c r="E1606" t="n">
        <v>25.29</v>
      </c>
      <c r="F1606" t="n">
        <v>303.45</v>
      </c>
    </row>
    <row r="1607">
      <c r="A1607" t="n">
        <v>2030</v>
      </c>
      <c r="B1607" t="n">
        <v>3</v>
      </c>
      <c r="C1607" t="inlineStr">
        <is>
          <t>Instandh. BGA</t>
        </is>
      </c>
      <c r="D1607" t="inlineStr">
        <is>
          <t>Instandh. Betriebsausstattung</t>
        </is>
      </c>
      <c r="E1607" t="n">
        <v>4880.6</v>
      </c>
      <c r="F1607" t="n">
        <v>58567.23</v>
      </c>
    </row>
    <row r="1608">
      <c r="A1608" t="n">
        <v>2030</v>
      </c>
      <c r="B1608" t="n">
        <v>3</v>
      </c>
      <c r="C1608" t="inlineStr">
        <is>
          <t>Lohn + Gehalt</t>
        </is>
      </c>
      <c r="D1608" t="inlineStr">
        <is>
          <t>Personalaufwand</t>
        </is>
      </c>
      <c r="E1608" t="n">
        <v>392030.8</v>
      </c>
      <c r="F1608" t="n">
        <v>4704369.59</v>
      </c>
    </row>
    <row r="1609">
      <c r="A1609" t="n">
        <v>2027</v>
      </c>
      <c r="B1609" t="n">
        <v>3</v>
      </c>
      <c r="C1609" t="inlineStr">
        <is>
          <t>Bestandsveraend</t>
        </is>
      </c>
      <c r="D1609" t="inlineStr">
        <is>
          <t>Gesamtleistung</t>
        </is>
      </c>
      <c r="E1609" t="n">
        <v>0</v>
      </c>
      <c r="F1609" t="n">
        <v>0</v>
      </c>
    </row>
    <row r="1610">
      <c r="A1610" t="n">
        <v>2027</v>
      </c>
      <c r="B1610" t="n">
        <v>3</v>
      </c>
      <c r="C1610" t="inlineStr">
        <is>
          <t>Aufw. so. Hilfs</t>
        </is>
      </c>
      <c r="D1610" t="inlineStr">
        <is>
          <t>Vorleistungen</t>
        </is>
      </c>
      <c r="E1610" t="n">
        <v>-16362.04</v>
      </c>
      <c r="F1610" t="n">
        <v>-196344.47</v>
      </c>
    </row>
    <row r="1611">
      <c r="A1611" t="n">
        <v>2027</v>
      </c>
      <c r="B1611" t="n">
        <v>3</v>
      </c>
      <c r="C1611" t="inlineStr">
        <is>
          <t>Aufw. f. Alters</t>
        </is>
      </c>
      <c r="D1611" t="inlineStr">
        <is>
          <t>Personalaufwand</t>
        </is>
      </c>
      <c r="E1611" t="n">
        <v>1234.77</v>
      </c>
      <c r="F1611" t="n">
        <v>14817.29</v>
      </c>
    </row>
    <row r="1612">
      <c r="A1612" t="n">
        <v>2027</v>
      </c>
      <c r="B1612" t="n">
        <v>3</v>
      </c>
      <c r="C1612" t="inlineStr">
        <is>
          <t>Vertriebskosten</t>
        </is>
      </c>
      <c r="D1612" t="inlineStr">
        <is>
          <t>Vertriebskosten</t>
        </is>
      </c>
      <c r="E1612" t="n">
        <v>10833.33</v>
      </c>
      <c r="F1612" t="n">
        <v>130000</v>
      </c>
    </row>
    <row r="1613">
      <c r="A1613" t="n">
        <v>2027</v>
      </c>
      <c r="B1613" t="n">
        <v>3</v>
      </c>
      <c r="C1613" t="inlineStr">
        <is>
          <t>Ertrag KFZ-Nutz</t>
        </is>
      </c>
      <c r="D1613" t="inlineStr">
        <is>
          <t>Gesamtleistung</t>
        </is>
      </c>
      <c r="E1613" t="n">
        <v>8029.69</v>
      </c>
      <c r="F1613" t="n">
        <v>96356.3</v>
      </c>
    </row>
    <row r="1614">
      <c r="A1614" t="n">
        <v>2031</v>
      </c>
      <c r="B1614" t="n">
        <v>3</v>
      </c>
      <c r="C1614" t="inlineStr">
        <is>
          <t>Lohn + Gehalt</t>
        </is>
      </c>
      <c r="D1614" t="inlineStr">
        <is>
          <t>Personalaufwand</t>
        </is>
      </c>
      <c r="E1614" t="n">
        <v>428257.62</v>
      </c>
      <c r="F1614" t="n">
        <v>5139091.39</v>
      </c>
    </row>
    <row r="1615">
      <c r="A1615" t="n">
        <v>2031</v>
      </c>
      <c r="B1615" t="n">
        <v>3</v>
      </c>
      <c r="C1615" t="inlineStr">
        <is>
          <t>Soziale Abgaben</t>
        </is>
      </c>
      <c r="D1615" t="inlineStr">
        <is>
          <t>Personalaufwand</t>
        </is>
      </c>
      <c r="E1615" t="n">
        <v>113909.76</v>
      </c>
      <c r="F1615" t="n">
        <v>1366917.09</v>
      </c>
    </row>
    <row r="1616">
      <c r="A1616" t="n">
        <v>2031</v>
      </c>
      <c r="B1616" t="n">
        <v>3</v>
      </c>
      <c r="C1616" t="inlineStr">
        <is>
          <t>Sonst Fuhrparkkosten</t>
        </is>
      </c>
      <c r="D1616" t="inlineStr">
        <is>
          <t>Fuhrparkkosten</t>
        </is>
      </c>
      <c r="E1616" t="n">
        <v>6298.8</v>
      </c>
      <c r="F1616" t="n">
        <v>75585.56</v>
      </c>
    </row>
    <row r="1617">
      <c r="A1617" t="n">
        <v>2030</v>
      </c>
      <c r="B1617" t="n">
        <v>3</v>
      </c>
      <c r="C1617" t="inlineStr">
        <is>
          <t>Miete Behälter</t>
        </is>
      </c>
      <c r="D1617" t="inlineStr">
        <is>
          <t>Instandh. Betriebsausstattung</t>
        </is>
      </c>
      <c r="E1617" t="n">
        <v>26.55</v>
      </c>
      <c r="F1617" t="n">
        <v>318.62</v>
      </c>
    </row>
    <row r="1618">
      <c r="A1618" t="n">
        <v>2028</v>
      </c>
      <c r="B1618" t="n">
        <v>3</v>
      </c>
      <c r="C1618" t="inlineStr">
        <is>
          <t>Miete PKW</t>
        </is>
      </c>
      <c r="D1618" t="inlineStr">
        <is>
          <t>Fuhrparkkosten</t>
        </is>
      </c>
      <c r="E1618" t="n">
        <v>4890.62</v>
      </c>
      <c r="F1618" t="n">
        <v>58687.43</v>
      </c>
    </row>
    <row r="1619">
      <c r="A1619" t="n">
        <v>2030</v>
      </c>
      <c r="B1619" t="n">
        <v>3</v>
      </c>
      <c r="C1619" t="inlineStr">
        <is>
          <t>Aufwand Umlage</t>
        </is>
      </c>
      <c r="D1619" t="inlineStr">
        <is>
          <t>Verwaltungskosten</t>
        </is>
      </c>
      <c r="E1619" t="n">
        <v>3696.96</v>
      </c>
      <c r="F1619" t="n">
        <v>44363.53</v>
      </c>
    </row>
    <row r="1620">
      <c r="A1620" t="n">
        <v>2030</v>
      </c>
      <c r="B1620" t="n">
        <v>3</v>
      </c>
      <c r="C1620" t="inlineStr">
        <is>
          <t>So. betr. Aufwa</t>
        </is>
      </c>
      <c r="D1620" t="inlineStr">
        <is>
          <t>Verwaltungskosten</t>
        </is>
      </c>
      <c r="E1620" t="n">
        <v>714.05</v>
      </c>
      <c r="F1620" t="n">
        <v>8568.57</v>
      </c>
    </row>
    <row r="1621">
      <c r="A1621" t="n">
        <v>2029</v>
      </c>
      <c r="B1621" t="n">
        <v>3</v>
      </c>
      <c r="C1621" t="inlineStr">
        <is>
          <t>Versicherungskosten</t>
        </is>
      </c>
      <c r="D1621" t="inlineStr">
        <is>
          <t>Verwaltungskosten</t>
        </is>
      </c>
      <c r="E1621" t="n">
        <v>11446.7</v>
      </c>
      <c r="F1621" t="n">
        <v>137360.42</v>
      </c>
    </row>
    <row r="1622">
      <c r="A1622" t="n">
        <v>2027</v>
      </c>
      <c r="B1622" t="n">
        <v>3</v>
      </c>
      <c r="C1622" t="inlineStr">
        <is>
          <t>Sonstige Steuer</t>
        </is>
      </c>
      <c r="D1622" t="inlineStr">
        <is>
          <t>Fuhrparkkosten</t>
        </is>
      </c>
      <c r="E1622" t="n">
        <v>1497.31</v>
      </c>
      <c r="F1622" t="n">
        <v>17967.71</v>
      </c>
    </row>
    <row r="1623">
      <c r="A1623" t="n">
        <v>2031</v>
      </c>
      <c r="B1623" t="n">
        <v>3</v>
      </c>
      <c r="C1623" t="inlineStr">
        <is>
          <t>Leasing LKW</t>
        </is>
      </c>
      <c r="D1623" t="inlineStr">
        <is>
          <t>Fuhrparkkosten</t>
        </is>
      </c>
      <c r="E1623" t="n">
        <v>2910.36</v>
      </c>
      <c r="F1623" t="n">
        <v>34924.28</v>
      </c>
    </row>
    <row r="1624">
      <c r="A1624" t="n">
        <v>2029</v>
      </c>
      <c r="B1624" t="n">
        <v>3</v>
      </c>
      <c r="C1624" t="inlineStr">
        <is>
          <t>Leasing LKW</t>
        </is>
      </c>
      <c r="D1624" t="inlineStr">
        <is>
          <t>Fuhrparkkosten</t>
        </is>
      </c>
      <c r="E1624" t="n">
        <v>2590.21</v>
      </c>
      <c r="F1624" t="n">
        <v>31082.49</v>
      </c>
    </row>
    <row r="1625">
      <c r="A1625" t="n">
        <v>2027</v>
      </c>
      <c r="B1625" t="n">
        <v>3</v>
      </c>
      <c r="C1625" t="inlineStr">
        <is>
          <t>Instandh.Fuhrp</t>
        </is>
      </c>
      <c r="D1625" t="inlineStr">
        <is>
          <t>Fuhrparkkosten</t>
        </is>
      </c>
      <c r="E1625" t="n">
        <v>30358.86</v>
      </c>
      <c r="F1625" t="n">
        <v>364306.28</v>
      </c>
    </row>
    <row r="1626">
      <c r="A1626" t="n">
        <v>2029</v>
      </c>
      <c r="B1626" t="n">
        <v>3</v>
      </c>
      <c r="C1626" t="inlineStr">
        <is>
          <t>Vertriebskosten</t>
        </is>
      </c>
      <c r="D1626" t="inlineStr">
        <is>
          <t>Vertriebskosten</t>
        </is>
      </c>
      <c r="E1626" t="n">
        <v>11943.75</v>
      </c>
      <c r="F1626" t="n">
        <v>143325</v>
      </c>
    </row>
    <row r="1627">
      <c r="A1627" t="n">
        <v>2031</v>
      </c>
      <c r="B1627" t="n">
        <v>3</v>
      </c>
      <c r="C1627" t="inlineStr">
        <is>
          <t>Miete Grdst/Gebäud</t>
        </is>
      </c>
      <c r="D1627" t="inlineStr">
        <is>
          <t>Raumkosten</t>
        </is>
      </c>
      <c r="E1627" t="n">
        <v>18975.39</v>
      </c>
      <c r="F1627" t="n">
        <v>227704.65</v>
      </c>
    </row>
    <row r="1628">
      <c r="A1628" t="n">
        <v>2029</v>
      </c>
      <c r="B1628" t="n">
        <v>3</v>
      </c>
      <c r="C1628" t="inlineStr">
        <is>
          <t>Uebr.neutr. Ert</t>
        </is>
      </c>
      <c r="D1628" t="inlineStr">
        <is>
          <t>Gesamtleistung</t>
        </is>
      </c>
      <c r="E1628" t="n">
        <v>189.9</v>
      </c>
      <c r="F1628" t="n">
        <v>2278.85</v>
      </c>
    </row>
    <row r="1629">
      <c r="A1629" t="n">
        <v>2030</v>
      </c>
      <c r="B1629" t="n">
        <v>3</v>
      </c>
      <c r="C1629" t="inlineStr">
        <is>
          <t>Behaelterkosten</t>
        </is>
      </c>
      <c r="D1629" t="inlineStr">
        <is>
          <t>Instandh. Betriebsausstattung</t>
        </is>
      </c>
      <c r="E1629" t="n">
        <v>12.75</v>
      </c>
      <c r="F1629" t="n">
        <v>153.03</v>
      </c>
    </row>
    <row r="1630">
      <c r="A1630" t="n">
        <v>2029</v>
      </c>
      <c r="B1630" t="n">
        <v>3</v>
      </c>
      <c r="C1630" t="inlineStr">
        <is>
          <t>IT-Aufwendungen</t>
        </is>
      </c>
      <c r="D1630" t="inlineStr">
        <is>
          <t>Verwaltungskosten</t>
        </is>
      </c>
      <c r="E1630" t="n">
        <v>12302.44</v>
      </c>
      <c r="F1630" t="n">
        <v>147629.28</v>
      </c>
    </row>
    <row r="1631">
      <c r="A1631" t="n">
        <v>2028</v>
      </c>
      <c r="B1631" t="n">
        <v>3</v>
      </c>
      <c r="C1631" t="inlineStr">
        <is>
          <t>Instandh. BGA</t>
        </is>
      </c>
      <c r="D1631" t="inlineStr">
        <is>
          <t>Instandh. Betriebsausstattung</t>
        </is>
      </c>
      <c r="E1631" t="n">
        <v>4426.85</v>
      </c>
      <c r="F1631" t="n">
        <v>53122.2</v>
      </c>
    </row>
    <row r="1632">
      <c r="A1632" t="n">
        <v>2029</v>
      </c>
      <c r="B1632" t="n">
        <v>3</v>
      </c>
      <c r="C1632" t="inlineStr">
        <is>
          <t>Instandh.Fuhrp</t>
        </is>
      </c>
      <c r="D1632" t="inlineStr">
        <is>
          <t>Fuhrparkkosten</t>
        </is>
      </c>
      <c r="E1632" t="n">
        <v>34111.21</v>
      </c>
      <c r="F1632" t="n">
        <v>409334.56</v>
      </c>
    </row>
    <row r="1633">
      <c r="A1633" t="n">
        <v>2031</v>
      </c>
      <c r="B1633" t="n">
        <v>3</v>
      </c>
      <c r="C1633" t="inlineStr">
        <is>
          <t>Rechts- u. Beratungs</t>
        </is>
      </c>
      <c r="D1633" t="inlineStr">
        <is>
          <t>Verwaltungskosten</t>
        </is>
      </c>
      <c r="E1633" t="n">
        <v>28853.53</v>
      </c>
      <c r="F1633" t="n">
        <v>346242.38</v>
      </c>
    </row>
    <row r="1634">
      <c r="A1634" t="n">
        <v>2029</v>
      </c>
      <c r="B1634" t="n">
        <v>3</v>
      </c>
      <c r="C1634" t="inlineStr">
        <is>
          <t>Ertrag KFZ-Nutz</t>
        </is>
      </c>
      <c r="D1634" t="inlineStr">
        <is>
          <t>Gesamtleistung</t>
        </is>
      </c>
      <c r="E1634" t="n">
        <v>8815.82</v>
      </c>
      <c r="F1634" t="n">
        <v>105789.86</v>
      </c>
    </row>
    <row r="1635">
      <c r="A1635" t="n">
        <v>2030</v>
      </c>
      <c r="B1635" t="n">
        <v>3</v>
      </c>
      <c r="C1635" t="inlineStr">
        <is>
          <t>Ertr. weiterber</t>
        </is>
      </c>
      <c r="D1635" t="inlineStr">
        <is>
          <t>Gesamtleistung</t>
        </is>
      </c>
      <c r="E1635" t="n">
        <v>1104.47</v>
      </c>
      <c r="F1635" t="n">
        <v>13253.67</v>
      </c>
    </row>
    <row r="1636">
      <c r="A1636" t="n">
        <v>2028</v>
      </c>
      <c r="B1636" t="n">
        <v>3</v>
      </c>
      <c r="C1636" t="inlineStr">
        <is>
          <t>Leasing PKW</t>
        </is>
      </c>
      <c r="D1636" t="inlineStr">
        <is>
          <t>Fuhrparkkosten</t>
        </is>
      </c>
      <c r="E1636" t="n">
        <v>23256.85</v>
      </c>
      <c r="F1636" t="n">
        <v>279082.22</v>
      </c>
    </row>
    <row r="1637">
      <c r="A1637" t="n">
        <v>2028</v>
      </c>
      <c r="B1637" t="n">
        <v>3</v>
      </c>
      <c r="C1637" t="inlineStr">
        <is>
          <t>Treibstoffe, Oe</t>
        </is>
      </c>
      <c r="D1637" t="inlineStr">
        <is>
          <t>Fuhrparkkosten</t>
        </is>
      </c>
      <c r="E1637" t="n">
        <v>30417.62</v>
      </c>
      <c r="F1637" t="n">
        <v>365011.49</v>
      </c>
    </row>
    <row r="1638">
      <c r="A1638" t="n">
        <v>2029</v>
      </c>
      <c r="B1638" t="n">
        <v>3</v>
      </c>
      <c r="C1638" t="inlineStr">
        <is>
          <t>Miete PKW</t>
        </is>
      </c>
      <c r="D1638" t="inlineStr">
        <is>
          <t>Fuhrparkkosten</t>
        </is>
      </c>
      <c r="E1638" t="n">
        <v>5184.06</v>
      </c>
      <c r="F1638" t="n">
        <v>62208.67</v>
      </c>
    </row>
    <row r="1639">
      <c r="A1639" t="n">
        <v>2028</v>
      </c>
      <c r="B1639" t="n">
        <v>3</v>
      </c>
      <c r="C1639" t="inlineStr">
        <is>
          <t>Ertr. weiterber</t>
        </is>
      </c>
      <c r="D1639" t="inlineStr">
        <is>
          <t>Gesamtleistung</t>
        </is>
      </c>
      <c r="E1639" t="n">
        <v>980.91</v>
      </c>
      <c r="F1639" t="n">
        <v>11770.87</v>
      </c>
    </row>
    <row r="1640">
      <c r="A1640" t="n">
        <v>2029</v>
      </c>
      <c r="B1640" t="n">
        <v>3</v>
      </c>
      <c r="C1640" t="inlineStr">
        <is>
          <t>Instandh. BGA</t>
        </is>
      </c>
      <c r="D1640" t="inlineStr">
        <is>
          <t>Instandh. Betriebsausstattung</t>
        </is>
      </c>
      <c r="E1640" t="n">
        <v>4648.19</v>
      </c>
      <c r="F1640" t="n">
        <v>55778.31</v>
      </c>
    </row>
    <row r="1641">
      <c r="A1641" t="n">
        <v>2028</v>
      </c>
      <c r="B1641" t="n">
        <v>3</v>
      </c>
      <c r="C1641" t="inlineStr">
        <is>
          <t>Erl. so. DL Dt.</t>
        </is>
      </c>
      <c r="D1641" t="inlineStr">
        <is>
          <t>Gesamtleistung</t>
        </is>
      </c>
      <c r="E1641" t="n">
        <v>2095866.37</v>
      </c>
      <c r="F1641" t="n">
        <v>25150396.49</v>
      </c>
    </row>
    <row r="1642">
      <c r="A1642" t="n">
        <v>2028</v>
      </c>
      <c r="B1642" t="n">
        <v>3</v>
      </c>
      <c r="C1642" t="inlineStr">
        <is>
          <t>IT-Aufwendungen</t>
        </is>
      </c>
      <c r="D1642" t="inlineStr">
        <is>
          <t>Verwaltungskosten</t>
        </is>
      </c>
      <c r="E1642" t="n">
        <v>11944.12</v>
      </c>
      <c r="F1642" t="n">
        <v>143329.39</v>
      </c>
    </row>
    <row r="1643">
      <c r="A1643" t="n">
        <v>2029</v>
      </c>
      <c r="B1643" t="n">
        <v>3</v>
      </c>
      <c r="C1643" t="inlineStr">
        <is>
          <t>Ueb. bezog.Leis</t>
        </is>
      </c>
      <c r="D1643" t="inlineStr">
        <is>
          <t>Vorleistungen</t>
        </is>
      </c>
      <c r="E1643" t="n">
        <v>1364260.58</v>
      </c>
      <c r="F1643" t="n">
        <v>16371126.93</v>
      </c>
    </row>
    <row r="1644">
      <c r="A1644" t="n">
        <v>2031</v>
      </c>
      <c r="B1644" t="n">
        <v>3</v>
      </c>
      <c r="C1644" t="inlineStr">
        <is>
          <t>Sonderz. Prämie</t>
        </is>
      </c>
      <c r="D1644" t="inlineStr">
        <is>
          <t>Personalaufwand</t>
        </is>
      </c>
      <c r="E1644" t="n">
        <v>26838.18</v>
      </c>
      <c r="F1644" t="n">
        <v>322058.2</v>
      </c>
    </row>
    <row r="1645">
      <c r="A1645" t="n">
        <v>2029</v>
      </c>
      <c r="B1645" t="n">
        <v>3</v>
      </c>
      <c r="C1645" t="inlineStr">
        <is>
          <t>Verwaltungskost</t>
        </is>
      </c>
      <c r="D1645" t="inlineStr">
        <is>
          <t>Verwaltungskosten</t>
        </is>
      </c>
      <c r="E1645" t="n">
        <v>7098.98</v>
      </c>
      <c r="F1645" t="n">
        <v>85187.74000000001</v>
      </c>
    </row>
    <row r="1646">
      <c r="A1646" t="n">
        <v>2028</v>
      </c>
      <c r="B1646" t="n">
        <v>3</v>
      </c>
      <c r="C1646" t="inlineStr">
        <is>
          <t>Ertrag KFZ-Nutz</t>
        </is>
      </c>
      <c r="D1646" t="inlineStr">
        <is>
          <t>Gesamtleistung</t>
        </is>
      </c>
      <c r="E1646" t="n">
        <v>8405.780000000001</v>
      </c>
      <c r="F1646" t="n">
        <v>100869.3</v>
      </c>
    </row>
    <row r="1647">
      <c r="A1647" t="n">
        <v>2030</v>
      </c>
      <c r="B1647" t="n">
        <v>3</v>
      </c>
      <c r="C1647" t="inlineStr">
        <is>
          <t>Sonst Fuhrparkkosten</t>
        </is>
      </c>
      <c r="D1647" t="inlineStr">
        <is>
          <t>Fuhrparkkosten</t>
        </is>
      </c>
      <c r="E1647" t="n">
        <v>5942.26</v>
      </c>
      <c r="F1647" t="n">
        <v>71307.13</v>
      </c>
    </row>
    <row r="1648">
      <c r="A1648" t="n">
        <v>2028</v>
      </c>
      <c r="B1648" t="n">
        <v>3</v>
      </c>
      <c r="C1648" t="inlineStr">
        <is>
          <t>Rechts- u. Beratungs</t>
        </is>
      </c>
      <c r="D1648" t="inlineStr">
        <is>
          <t>Verwaltungskosten</t>
        </is>
      </c>
      <c r="E1648" t="n">
        <v>26405.07</v>
      </c>
      <c r="F1648" t="n">
        <v>316860.83</v>
      </c>
    </row>
    <row r="1649">
      <c r="A1649" t="n">
        <v>2027</v>
      </c>
      <c r="B1649" t="n">
        <v>3</v>
      </c>
      <c r="C1649" t="inlineStr">
        <is>
          <t>Leasing LKW</t>
        </is>
      </c>
      <c r="D1649" t="inlineStr">
        <is>
          <t>Fuhrparkkosten</t>
        </is>
      </c>
      <c r="E1649" t="n">
        <v>2305.28</v>
      </c>
      <c r="F1649" t="n">
        <v>27663.3</v>
      </c>
    </row>
    <row r="1650">
      <c r="A1650" t="n">
        <v>2031</v>
      </c>
      <c r="B1650" t="n">
        <v>3</v>
      </c>
      <c r="C1650" t="inlineStr">
        <is>
          <t>Fremdl. Fuhrlei</t>
        </is>
      </c>
      <c r="D1650" t="inlineStr">
        <is>
          <t>Vorleistungen</t>
        </is>
      </c>
      <c r="E1650" t="n">
        <v>374.24</v>
      </c>
      <c r="F1650" t="n">
        <v>4490.84</v>
      </c>
    </row>
    <row r="1651">
      <c r="A1651" t="n">
        <v>2029</v>
      </c>
      <c r="B1651" t="n">
        <v>3</v>
      </c>
      <c r="C1651" t="inlineStr">
        <is>
          <t>Fremdl. Fuhrlei</t>
        </is>
      </c>
      <c r="D1651" t="inlineStr">
        <is>
          <t>Vorleistungen</t>
        </is>
      </c>
      <c r="E1651" t="n">
        <v>362.07</v>
      </c>
      <c r="F1651" t="n">
        <v>4344.88</v>
      </c>
    </row>
    <row r="1652">
      <c r="A1652" t="n">
        <v>2028</v>
      </c>
      <c r="B1652" t="n">
        <v>3</v>
      </c>
      <c r="C1652" t="inlineStr">
        <is>
          <t>Vertriebskosten</t>
        </is>
      </c>
      <c r="D1652" t="inlineStr">
        <is>
          <t>Vertriebskosten</t>
        </is>
      </c>
      <c r="E1652" t="n">
        <v>11375</v>
      </c>
      <c r="F1652" t="n">
        <v>136500</v>
      </c>
    </row>
    <row r="1653">
      <c r="A1653" t="n">
        <v>2031</v>
      </c>
      <c r="B1653" t="n">
        <v>3</v>
      </c>
      <c r="C1653" t="inlineStr">
        <is>
          <t>Aufw. so. Hilfs</t>
        </is>
      </c>
      <c r="D1653" t="inlineStr">
        <is>
          <t>Vorleistungen</t>
        </is>
      </c>
      <c r="E1653" t="n">
        <v>-17544.22</v>
      </c>
      <c r="F1653" t="n">
        <v>-210530.6</v>
      </c>
    </row>
    <row r="1654">
      <c r="A1654" t="n">
        <v>2029</v>
      </c>
      <c r="B1654" t="n">
        <v>3</v>
      </c>
      <c r="C1654" t="inlineStr">
        <is>
          <t>Ankauf Rohstoff</t>
        </is>
      </c>
      <c r="D1654" t="inlineStr">
        <is>
          <t>Vorleistungen</t>
        </is>
      </c>
      <c r="E1654" t="n">
        <v>1473.64</v>
      </c>
      <c r="F1654" t="n">
        <v>17683.65</v>
      </c>
    </row>
    <row r="1655">
      <c r="A1655" t="n">
        <v>2028</v>
      </c>
      <c r="B1655" t="n">
        <v>3</v>
      </c>
      <c r="C1655" t="inlineStr">
        <is>
          <t>Sonstige Steuer</t>
        </is>
      </c>
      <c r="D1655" t="inlineStr">
        <is>
          <t>Fuhrparkkosten</t>
        </is>
      </c>
      <c r="E1655" t="n">
        <v>1587.15</v>
      </c>
      <c r="F1655" t="n">
        <v>19045.76</v>
      </c>
    </row>
    <row r="1656">
      <c r="A1656" t="n">
        <v>2030</v>
      </c>
      <c r="B1656" t="n">
        <v>3</v>
      </c>
      <c r="C1656" t="inlineStr">
        <is>
          <t>Weiterber. Frem</t>
        </is>
      </c>
      <c r="D1656" t="inlineStr">
        <is>
          <t>Vorleistungen</t>
        </is>
      </c>
      <c r="E1656" t="n">
        <v>0</v>
      </c>
      <c r="F1656" t="n">
        <v>0</v>
      </c>
    </row>
    <row r="1657">
      <c r="A1657" t="n">
        <v>2031</v>
      </c>
      <c r="B1657" t="n">
        <v>3</v>
      </c>
      <c r="C1657" t="inlineStr">
        <is>
          <t>Miete Behälter</t>
        </is>
      </c>
      <c r="D1657" t="inlineStr">
        <is>
          <t>Instandh. Betriebsausstattung</t>
        </is>
      </c>
      <c r="E1657" t="n">
        <v>27.88</v>
      </c>
      <c r="F1657" t="n">
        <v>334.55</v>
      </c>
    </row>
    <row r="1658">
      <c r="A1658" t="n">
        <v>2027</v>
      </c>
      <c r="B1658" t="n">
        <v>3</v>
      </c>
      <c r="C1658" t="inlineStr">
        <is>
          <t>Miete Grdst/Gebäud</t>
        </is>
      </c>
      <c r="D1658" t="inlineStr">
        <is>
          <t>Raumkosten</t>
        </is>
      </c>
      <c r="E1658" t="n">
        <v>15284.77</v>
      </c>
      <c r="F1658" t="n">
        <v>183417.26</v>
      </c>
    </row>
    <row r="1659">
      <c r="A1659" t="n">
        <v>2028</v>
      </c>
      <c r="B1659" t="n">
        <v>3</v>
      </c>
      <c r="C1659" t="inlineStr">
        <is>
          <t>Aufw. f. Alters</t>
        </is>
      </c>
      <c r="D1659" t="inlineStr">
        <is>
          <t>Personalaufwand</t>
        </is>
      </c>
      <c r="E1659" t="n">
        <v>1290.05</v>
      </c>
      <c r="F1659" t="n">
        <v>15480.56</v>
      </c>
    </row>
    <row r="1660">
      <c r="A1660" t="n">
        <v>2028</v>
      </c>
      <c r="B1660" t="n">
        <v>3</v>
      </c>
      <c r="C1660" t="inlineStr">
        <is>
          <t>Fremdl. Persona</t>
        </is>
      </c>
      <c r="D1660" t="inlineStr">
        <is>
          <t>Vorleistungen</t>
        </is>
      </c>
      <c r="E1660" t="n">
        <v>69.04000000000001</v>
      </c>
      <c r="F1660" t="n">
        <v>828.42</v>
      </c>
    </row>
    <row r="1661">
      <c r="A1661" t="n">
        <v>2030</v>
      </c>
      <c r="B1661" t="n">
        <v>3</v>
      </c>
      <c r="C1661" t="inlineStr">
        <is>
          <t>Vertriebskosten</t>
        </is>
      </c>
      <c r="D1661" t="inlineStr">
        <is>
          <t>Vertriebskosten</t>
        </is>
      </c>
      <c r="E1661" t="n">
        <v>12540.94</v>
      </c>
      <c r="F1661" t="n">
        <v>150491.26</v>
      </c>
    </row>
    <row r="1662">
      <c r="A1662" t="n">
        <v>2030</v>
      </c>
      <c r="B1662" t="n">
        <v>3</v>
      </c>
      <c r="C1662" t="inlineStr">
        <is>
          <t>Aufw. so. Hilfs</t>
        </is>
      </c>
      <c r="D1662" t="inlineStr">
        <is>
          <t>Vorleistungen</t>
        </is>
      </c>
      <c r="E1662" t="n">
        <v>-17197.35</v>
      </c>
      <c r="F1662" t="n">
        <v>-206368.2</v>
      </c>
    </row>
    <row r="1663">
      <c r="A1663" t="n">
        <v>2029</v>
      </c>
      <c r="B1663" t="n">
        <v>3</v>
      </c>
      <c r="C1663" t="inlineStr">
        <is>
          <t>Aufw. so. Hilfs</t>
        </is>
      </c>
      <c r="D1663" t="inlineStr">
        <is>
          <t>Vorleistungen</t>
        </is>
      </c>
      <c r="E1663" t="n">
        <v>-16834.66</v>
      </c>
      <c r="F1663" t="n">
        <v>-202015.88</v>
      </c>
    </row>
    <row r="1664">
      <c r="A1664" t="n">
        <v>2027</v>
      </c>
      <c r="B1664" t="n">
        <v>3</v>
      </c>
      <c r="C1664" t="inlineStr">
        <is>
          <t>Miete PKW</t>
        </is>
      </c>
      <c r="D1664" t="inlineStr">
        <is>
          <t>Fuhrparkkosten</t>
        </is>
      </c>
      <c r="E1664" t="n">
        <v>4613.79</v>
      </c>
      <c r="F1664" t="n">
        <v>55365.51</v>
      </c>
    </row>
    <row r="1665">
      <c r="A1665" t="n">
        <v>2030</v>
      </c>
      <c r="B1665" t="n">
        <v>3</v>
      </c>
      <c r="C1665" t="inlineStr">
        <is>
          <t>Fremdl. Fuhrlei</t>
        </is>
      </c>
      <c r="D1665" t="inlineStr">
        <is>
          <t>Vorleistungen</t>
        </is>
      </c>
      <c r="E1665" t="n">
        <v>368.3</v>
      </c>
      <c r="F1665" t="n">
        <v>4419.56</v>
      </c>
    </row>
    <row r="1666">
      <c r="A1666" t="n">
        <v>2030</v>
      </c>
      <c r="B1666" t="n">
        <v>3</v>
      </c>
      <c r="C1666" t="inlineStr">
        <is>
          <t>Miete PKW</t>
        </is>
      </c>
      <c r="D1666" t="inlineStr">
        <is>
          <t>Fuhrparkkosten</t>
        </is>
      </c>
      <c r="E1666" t="n">
        <v>5495.1</v>
      </c>
      <c r="F1666" t="n">
        <v>65941.19</v>
      </c>
    </row>
    <row r="1667">
      <c r="A1667" t="n">
        <v>2027</v>
      </c>
      <c r="B1667" t="n">
        <v>3</v>
      </c>
      <c r="C1667" t="inlineStr">
        <is>
          <t>Erl. Waren Dt.</t>
        </is>
      </c>
      <c r="D1667" t="inlineStr">
        <is>
          <t>Gesamtleistung</t>
        </is>
      </c>
      <c r="E1667" t="n">
        <v>42246.46</v>
      </c>
      <c r="F1667" t="n">
        <v>506957.51</v>
      </c>
    </row>
    <row r="1668">
      <c r="A1668" t="n">
        <v>2029</v>
      </c>
      <c r="B1668" t="n">
        <v>3</v>
      </c>
      <c r="C1668" t="inlineStr">
        <is>
          <t>Bestandsveraend</t>
        </is>
      </c>
      <c r="D1668" t="inlineStr">
        <is>
          <t>Gesamtleistung</t>
        </is>
      </c>
      <c r="E1668" t="n">
        <v>0</v>
      </c>
      <c r="F1668" t="n">
        <v>0</v>
      </c>
    </row>
    <row r="1669">
      <c r="A1669" t="n">
        <v>2031</v>
      </c>
      <c r="B1669" t="n">
        <v>3</v>
      </c>
      <c r="C1669" t="inlineStr">
        <is>
          <t>Leasing PKW</t>
        </is>
      </c>
      <c r="D1669" t="inlineStr">
        <is>
          <t>Fuhrparkkosten</t>
        </is>
      </c>
      <c r="E1669" t="n">
        <v>27699.28</v>
      </c>
      <c r="F1669" t="n">
        <v>332391.4</v>
      </c>
    </row>
    <row r="1670">
      <c r="A1670" t="n">
        <v>2029</v>
      </c>
      <c r="B1670" t="n">
        <v>3</v>
      </c>
      <c r="C1670" t="inlineStr">
        <is>
          <t>Behaelterkosten</t>
        </is>
      </c>
      <c r="D1670" t="inlineStr">
        <is>
          <t>Instandh. Betriebsausstattung</t>
        </is>
      </c>
      <c r="E1670" t="n">
        <v>12.15</v>
      </c>
      <c r="F1670" t="n">
        <v>145.74</v>
      </c>
    </row>
    <row r="1671">
      <c r="A1671" t="n">
        <v>2029</v>
      </c>
      <c r="B1671" t="n">
        <v>3</v>
      </c>
      <c r="C1671" t="inlineStr">
        <is>
          <t>Aufwand Umlage</t>
        </is>
      </c>
      <c r="D1671" t="inlineStr">
        <is>
          <t>Verwaltungskosten</t>
        </is>
      </c>
      <c r="E1671" t="n">
        <v>3589.28</v>
      </c>
      <c r="F1671" t="n">
        <v>43071.39</v>
      </c>
    </row>
    <row r="1672">
      <c r="A1672" t="n">
        <v>2030</v>
      </c>
      <c r="B1672" t="n">
        <v>3</v>
      </c>
      <c r="C1672" t="inlineStr">
        <is>
          <t>Instandh.Fuhrp</t>
        </is>
      </c>
      <c r="D1672" t="inlineStr">
        <is>
          <t>Fuhrparkkosten</t>
        </is>
      </c>
      <c r="E1672" t="n">
        <v>36157.89</v>
      </c>
      <c r="F1672" t="n">
        <v>433894.62</v>
      </c>
    </row>
    <row r="1673">
      <c r="A1673" t="n">
        <v>2028</v>
      </c>
      <c r="B1673" t="n">
        <v>3</v>
      </c>
      <c r="C1673" t="inlineStr">
        <is>
          <t>Sonderz. Prämie</t>
        </is>
      </c>
      <c r="D1673" t="inlineStr">
        <is>
          <t>Personalaufwand</t>
        </is>
      </c>
      <c r="E1673" t="n">
        <v>21386.26</v>
      </c>
      <c r="F1673" t="n">
        <v>256635.15</v>
      </c>
    </row>
    <row r="1674">
      <c r="A1674" t="n">
        <v>2029</v>
      </c>
      <c r="B1674" t="n">
        <v>3</v>
      </c>
      <c r="C1674" t="inlineStr">
        <is>
          <t>Aufw. f. Alters</t>
        </is>
      </c>
      <c r="D1674" t="inlineStr">
        <is>
          <t>Personalaufwand</t>
        </is>
      </c>
      <c r="E1674" t="n">
        <v>1366.43</v>
      </c>
      <c r="F1674" t="n">
        <v>16397.15</v>
      </c>
    </row>
    <row r="1675">
      <c r="A1675" t="n">
        <v>2027</v>
      </c>
      <c r="B1675" t="n">
        <v>3</v>
      </c>
      <c r="C1675" t="inlineStr">
        <is>
          <t>Ertr. weiterber</t>
        </is>
      </c>
      <c r="D1675" t="inlineStr">
        <is>
          <t>Gesamtleistung</t>
        </is>
      </c>
      <c r="E1675" t="n">
        <v>919.41</v>
      </c>
      <c r="F1675" t="n">
        <v>11032.96</v>
      </c>
    </row>
    <row r="1676">
      <c r="A1676" t="n">
        <v>2029</v>
      </c>
      <c r="B1676" t="n">
        <v>3</v>
      </c>
      <c r="C1676" t="inlineStr">
        <is>
          <t>So. betr. Aufwa</t>
        </is>
      </c>
      <c r="D1676" t="inlineStr">
        <is>
          <t>Verwaltungskosten</t>
        </is>
      </c>
      <c r="E1676" t="n">
        <v>693.25</v>
      </c>
      <c r="F1676" t="n">
        <v>8319.02</v>
      </c>
    </row>
    <row r="1677">
      <c r="A1677" t="n">
        <v>2031</v>
      </c>
      <c r="B1677" t="n">
        <v>3</v>
      </c>
      <c r="C1677" t="inlineStr">
        <is>
          <t>Ertr. weiterber</t>
        </is>
      </c>
      <c r="D1677" t="inlineStr">
        <is>
          <t>Gesamtleistung</t>
        </is>
      </c>
      <c r="E1677" t="n">
        <v>1173.93</v>
      </c>
      <c r="F1677" t="n">
        <v>14087.11</v>
      </c>
    </row>
    <row r="1678">
      <c r="A1678" t="n">
        <v>2031</v>
      </c>
      <c r="B1678" t="n">
        <v>3</v>
      </c>
      <c r="C1678" t="inlineStr">
        <is>
          <t>Ueb. bezog.Leis</t>
        </is>
      </c>
      <c r="D1678" t="inlineStr">
        <is>
          <t>Vorleistungen</t>
        </is>
      </c>
      <c r="E1678" t="n">
        <v>1404446.73</v>
      </c>
      <c r="F1678" t="n">
        <v>16853360.74</v>
      </c>
    </row>
    <row r="1679">
      <c r="A1679" t="n">
        <v>2027</v>
      </c>
      <c r="B1679" t="n">
        <v>3</v>
      </c>
      <c r="C1679" t="inlineStr">
        <is>
          <t>Fremdl. Fuhrlei</t>
        </is>
      </c>
      <c r="D1679" t="inlineStr">
        <is>
          <t>Vorleistungen</t>
        </is>
      </c>
      <c r="E1679" t="n">
        <v>371.09</v>
      </c>
      <c r="F1679" t="n">
        <v>4453.13</v>
      </c>
    </row>
    <row r="1680">
      <c r="A1680" t="n">
        <v>2027</v>
      </c>
      <c r="B1680" t="n">
        <v>3</v>
      </c>
      <c r="C1680" t="inlineStr">
        <is>
          <t>Behaelterkosten</t>
        </is>
      </c>
      <c r="D1680" t="inlineStr">
        <is>
          <t>Instandh. Betriebsausstattung</t>
        </is>
      </c>
      <c r="E1680" t="n">
        <v>11.02</v>
      </c>
      <c r="F1680" t="n">
        <v>132.19</v>
      </c>
    </row>
    <row r="1681">
      <c r="A1681" t="n">
        <v>2027</v>
      </c>
      <c r="B1681" t="n">
        <v>3</v>
      </c>
      <c r="C1681" t="inlineStr">
        <is>
          <t>Ueb Lohn-Gehalt</t>
        </is>
      </c>
      <c r="D1681" t="inlineStr">
        <is>
          <t>Personalaufwand</t>
        </is>
      </c>
      <c r="E1681" t="n">
        <v>30579.25</v>
      </c>
      <c r="F1681" t="n">
        <v>366951</v>
      </c>
    </row>
    <row r="1682">
      <c r="A1682" t="n">
        <v>2028</v>
      </c>
      <c r="B1682" t="n">
        <v>3</v>
      </c>
      <c r="C1682" t="inlineStr">
        <is>
          <t>Raumkosten</t>
        </is>
      </c>
      <c r="D1682" t="inlineStr">
        <is>
          <t>Raumkosten</t>
        </is>
      </c>
      <c r="E1682" t="n">
        <v>7023.98</v>
      </c>
      <c r="F1682" t="n">
        <v>84287.78</v>
      </c>
    </row>
    <row r="1683">
      <c r="A1683" t="n">
        <v>2031</v>
      </c>
      <c r="B1683" t="n">
        <v>3</v>
      </c>
      <c r="C1683" t="inlineStr">
        <is>
          <t>Bestandsveraend</t>
        </is>
      </c>
      <c r="D1683" t="inlineStr">
        <is>
          <t>Gesamtleistung</t>
        </is>
      </c>
      <c r="E1683" t="n">
        <v>0</v>
      </c>
      <c r="F1683" t="n">
        <v>0</v>
      </c>
    </row>
    <row r="1684">
      <c r="A1684" t="n">
        <v>2029</v>
      </c>
      <c r="B1684" t="n">
        <v>3</v>
      </c>
      <c r="C1684" t="inlineStr">
        <is>
          <t>Lohn + Gehalt</t>
        </is>
      </c>
      <c r="D1684" t="inlineStr">
        <is>
          <t>Personalaufwand</t>
        </is>
      </c>
      <c r="E1684" t="n">
        <v>356250.11</v>
      </c>
      <c r="F1684" t="n">
        <v>4275001.35</v>
      </c>
    </row>
    <row r="1685">
      <c r="A1685" t="n">
        <v>2029</v>
      </c>
      <c r="B1685" t="n">
        <v>3</v>
      </c>
      <c r="C1685" t="inlineStr">
        <is>
          <t>Aufw. Heizmat.</t>
        </is>
      </c>
      <c r="D1685" t="inlineStr">
        <is>
          <t>Vorleistungen</t>
        </is>
      </c>
      <c r="E1685" t="n">
        <v>245.07</v>
      </c>
      <c r="F1685" t="n">
        <v>2940.88</v>
      </c>
    </row>
    <row r="1686">
      <c r="A1686" t="n">
        <v>2031</v>
      </c>
      <c r="B1686" t="n">
        <v>3</v>
      </c>
      <c r="C1686" t="inlineStr">
        <is>
          <t>Verwaltungskost</t>
        </is>
      </c>
      <c r="D1686" t="inlineStr">
        <is>
          <t>Verwaltungskosten</t>
        </is>
      </c>
      <c r="E1686" t="n">
        <v>7531.31</v>
      </c>
      <c r="F1686" t="n">
        <v>90375.69</v>
      </c>
    </row>
    <row r="1687">
      <c r="A1687" t="n">
        <v>2028</v>
      </c>
      <c r="B1687" t="n">
        <v>3</v>
      </c>
      <c r="C1687" t="inlineStr">
        <is>
          <t>Erl. Waren Dt.</t>
        </is>
      </c>
      <c r="D1687" t="inlineStr">
        <is>
          <t>Gesamtleistung</t>
        </is>
      </c>
      <c r="E1687" t="n">
        <v>44950.49</v>
      </c>
      <c r="F1687" t="n">
        <v>539405.87</v>
      </c>
    </row>
    <row r="1688">
      <c r="A1688" t="n">
        <v>2030</v>
      </c>
      <c r="B1688" t="n">
        <v>3</v>
      </c>
      <c r="C1688" t="inlineStr">
        <is>
          <t>Uebr.neutr. Ert</t>
        </is>
      </c>
      <c r="D1688" t="inlineStr">
        <is>
          <t>Gesamtleistung</t>
        </is>
      </c>
      <c r="E1688" t="n">
        <v>207.38</v>
      </c>
      <c r="F1688" t="n">
        <v>2488.5</v>
      </c>
    </row>
    <row r="1689">
      <c r="A1689" t="n">
        <v>2030</v>
      </c>
      <c r="B1689" t="n">
        <v>3</v>
      </c>
      <c r="C1689" t="inlineStr">
        <is>
          <t>Raumkosten</t>
        </is>
      </c>
      <c r="D1689" t="inlineStr">
        <is>
          <t>Raumkosten</t>
        </is>
      </c>
      <c r="E1689" t="n">
        <v>7307.75</v>
      </c>
      <c r="F1689" t="n">
        <v>87693</v>
      </c>
    </row>
    <row r="1690">
      <c r="A1690" t="n">
        <v>2030</v>
      </c>
      <c r="B1690" t="n">
        <v>3</v>
      </c>
      <c r="C1690" t="inlineStr">
        <is>
          <t>Fremdl. Persona</t>
        </is>
      </c>
      <c r="D1690" t="inlineStr">
        <is>
          <t>Vorleistungen</t>
        </is>
      </c>
      <c r="E1690" t="n">
        <v>76.56999999999999</v>
      </c>
      <c r="F1690" t="n">
        <v>918.79</v>
      </c>
    </row>
    <row r="1691">
      <c r="A1691" t="n">
        <v>2027</v>
      </c>
      <c r="B1691" t="n">
        <v>3</v>
      </c>
      <c r="C1691" t="inlineStr">
        <is>
          <t>Leasing PKW</t>
        </is>
      </c>
      <c r="D1691" t="inlineStr">
        <is>
          <t>Fuhrparkkosten</t>
        </is>
      </c>
      <c r="E1691" t="n">
        <v>21940.43</v>
      </c>
      <c r="F1691" t="n">
        <v>263285.11</v>
      </c>
    </row>
    <row r="1692">
      <c r="A1692" t="n">
        <v>2030</v>
      </c>
      <c r="B1692" t="n">
        <v>3</v>
      </c>
      <c r="C1692" t="inlineStr">
        <is>
          <t>Ertrag KFZ-Nutz</t>
        </is>
      </c>
      <c r="D1692" t="inlineStr">
        <is>
          <t>Gesamtleistung</t>
        </is>
      </c>
      <c r="E1692" t="n">
        <v>9193.41</v>
      </c>
      <c r="F1692" t="n">
        <v>110320.94</v>
      </c>
    </row>
    <row r="1693">
      <c r="A1693" t="n">
        <v>2028</v>
      </c>
      <c r="B1693" t="n">
        <v>3</v>
      </c>
      <c r="C1693" t="inlineStr">
        <is>
          <t>Uebr.neutr. Ert</t>
        </is>
      </c>
      <c r="D1693" t="inlineStr">
        <is>
          <t>Gesamtleistung</t>
        </is>
      </c>
      <c r="E1693" t="n">
        <v>151.92</v>
      </c>
      <c r="F1693" t="n">
        <v>1823.08</v>
      </c>
    </row>
    <row r="1694">
      <c r="A1694" t="n">
        <v>2030</v>
      </c>
      <c r="B1694" t="n">
        <v>3</v>
      </c>
      <c r="C1694" t="inlineStr">
        <is>
          <t>Soziale Abgaben</t>
        </is>
      </c>
      <c r="D1694" t="inlineStr">
        <is>
          <t>Personalaufwand</t>
        </is>
      </c>
      <c r="E1694" t="n">
        <v>104141.87</v>
      </c>
      <c r="F1694" t="n">
        <v>1249702.47</v>
      </c>
    </row>
    <row r="1695">
      <c r="A1695" t="n">
        <v>2030</v>
      </c>
      <c r="B1695" t="n">
        <v>3</v>
      </c>
      <c r="C1695" t="inlineStr">
        <is>
          <t>Ankauf Rohstoff</t>
        </is>
      </c>
      <c r="D1695" t="inlineStr">
        <is>
          <t>Vorleistungen</t>
        </is>
      </c>
      <c r="E1695" t="n">
        <v>1483.55</v>
      </c>
      <c r="F1695" t="n">
        <v>17802.65</v>
      </c>
    </row>
    <row r="1696">
      <c r="A1696" t="n">
        <v>2031</v>
      </c>
      <c r="B1696" t="n">
        <v>3</v>
      </c>
      <c r="C1696" t="inlineStr">
        <is>
          <t>Aufw. Heizmat.</t>
        </is>
      </c>
      <c r="D1696" t="inlineStr">
        <is>
          <t>Vorleistungen</t>
        </is>
      </c>
      <c r="E1696" t="n">
        <v>216.16</v>
      </c>
      <c r="F1696" t="n">
        <v>2593.97</v>
      </c>
    </row>
    <row r="1697">
      <c r="A1697" t="n">
        <v>2030</v>
      </c>
      <c r="B1697" t="n">
        <v>3</v>
      </c>
      <c r="C1697" t="inlineStr">
        <is>
          <t>IT-Aufwendungen</t>
        </is>
      </c>
      <c r="D1697" t="inlineStr">
        <is>
          <t>Verwaltungskosten</t>
        </is>
      </c>
      <c r="E1697" t="n">
        <v>12671.51</v>
      </c>
      <c r="F1697" t="n">
        <v>152058.16</v>
      </c>
    </row>
    <row r="1698">
      <c r="A1698" t="n">
        <v>2027</v>
      </c>
      <c r="B1698" t="n">
        <v>3</v>
      </c>
      <c r="C1698" t="inlineStr">
        <is>
          <t>Treibstoffe, Oe</t>
        </is>
      </c>
      <c r="D1698" t="inlineStr">
        <is>
          <t>Fuhrparkkosten</t>
        </is>
      </c>
      <c r="E1698" t="n">
        <v>28695.87</v>
      </c>
      <c r="F1698" t="n">
        <v>344350.48</v>
      </c>
    </row>
    <row r="1699">
      <c r="A1699" t="n">
        <v>2028</v>
      </c>
      <c r="B1699" t="n">
        <v>3</v>
      </c>
      <c r="C1699" t="inlineStr">
        <is>
          <t>Aufw. Heizmat.</t>
        </is>
      </c>
      <c r="D1699" t="inlineStr">
        <is>
          <t>Vorleistungen</t>
        </is>
      </c>
      <c r="E1699" t="n">
        <v>260.43</v>
      </c>
      <c r="F1699" t="n">
        <v>3125.13</v>
      </c>
    </row>
    <row r="1700">
      <c r="A1700" t="n">
        <v>2031</v>
      </c>
      <c r="B1700" t="n">
        <v>3</v>
      </c>
      <c r="C1700" t="inlineStr">
        <is>
          <t>Ertrag KFZ-Nutz</t>
        </is>
      </c>
      <c r="D1700" t="inlineStr">
        <is>
          <t>Gesamtleistung</t>
        </is>
      </c>
      <c r="E1700" t="n">
        <v>9597.290000000001</v>
      </c>
      <c r="F1700" t="n">
        <v>115167.5</v>
      </c>
    </row>
    <row r="1701">
      <c r="A1701" t="n">
        <v>2027</v>
      </c>
      <c r="B1701" t="n">
        <v>3</v>
      </c>
      <c r="C1701" t="inlineStr">
        <is>
          <t>Raumkosten</t>
        </is>
      </c>
      <c r="D1701" t="inlineStr">
        <is>
          <t>Raumkosten</t>
        </is>
      </c>
      <c r="E1701" t="n">
        <v>5046.85</v>
      </c>
      <c r="F1701" t="n">
        <v>60562.14</v>
      </c>
    </row>
    <row r="1702">
      <c r="A1702" t="n">
        <v>2028</v>
      </c>
      <c r="B1702" t="n">
        <v>3</v>
      </c>
      <c r="C1702" t="inlineStr">
        <is>
          <t>Soziale Abgaben</t>
        </is>
      </c>
      <c r="D1702" t="inlineStr">
        <is>
          <t>Personalaufwand</t>
        </is>
      </c>
      <c r="E1702" t="n">
        <v>85007.57000000001</v>
      </c>
      <c r="F1702" t="n">
        <v>1020090.84</v>
      </c>
    </row>
    <row r="1703">
      <c r="A1703" t="n">
        <v>2029</v>
      </c>
      <c r="B1703" t="n">
        <v>3</v>
      </c>
      <c r="C1703" t="inlineStr">
        <is>
          <t>Miete Grdst/Gebäud</t>
        </is>
      </c>
      <c r="D1703" t="inlineStr">
        <is>
          <t>Raumkosten</t>
        </is>
      </c>
      <c r="E1703" t="n">
        <v>18238.55</v>
      </c>
      <c r="F1703" t="n">
        <v>218862.64</v>
      </c>
    </row>
    <row r="1704">
      <c r="A1704" t="n">
        <v>2031</v>
      </c>
      <c r="B1704" t="n">
        <v>3</v>
      </c>
      <c r="C1704" t="inlineStr">
        <is>
          <t>Raumkosten</t>
        </is>
      </c>
      <c r="D1704" t="inlineStr">
        <is>
          <t>Raumkosten</t>
        </is>
      </c>
      <c r="E1704" t="n">
        <v>7453.91</v>
      </c>
      <c r="F1704" t="n">
        <v>89446.89</v>
      </c>
    </row>
    <row r="1705">
      <c r="A1705" t="n">
        <v>2031</v>
      </c>
      <c r="B1705" t="n">
        <v>3</v>
      </c>
      <c r="C1705" t="inlineStr">
        <is>
          <t>Behaelterkosten</t>
        </is>
      </c>
      <c r="D1705" t="inlineStr">
        <is>
          <t>Instandh. Betriebsausstattung</t>
        </is>
      </c>
      <c r="E1705" t="n">
        <v>13.39</v>
      </c>
      <c r="F1705" t="n">
        <v>160.68</v>
      </c>
    </row>
    <row r="1706">
      <c r="A1706" t="n">
        <v>2031</v>
      </c>
      <c r="B1706" t="n">
        <v>3</v>
      </c>
      <c r="C1706" t="inlineStr">
        <is>
          <t>Instandh.Fuhrp</t>
        </is>
      </c>
      <c r="D1706" t="inlineStr">
        <is>
          <t>Fuhrparkkosten</t>
        </is>
      </c>
      <c r="E1706" t="n">
        <v>38327.36</v>
      </c>
      <c r="F1706" t="n">
        <v>459928.28</v>
      </c>
    </row>
    <row r="1707">
      <c r="A1707" t="n">
        <v>2030</v>
      </c>
      <c r="B1707" t="n">
        <v>3</v>
      </c>
      <c r="C1707" t="inlineStr">
        <is>
          <t>Ueb. bezog.Leis</t>
        </is>
      </c>
      <c r="D1707" t="inlineStr">
        <is>
          <t>Vorleistungen</t>
        </is>
      </c>
      <c r="E1707" t="n">
        <v>1385029.28</v>
      </c>
      <c r="F1707" t="n">
        <v>16620351.38</v>
      </c>
    </row>
    <row r="1708">
      <c r="A1708" t="n">
        <v>2027</v>
      </c>
      <c r="B1708" t="n">
        <v>3</v>
      </c>
      <c r="C1708" t="inlineStr">
        <is>
          <t>Miete LKW,Schiffe</t>
        </is>
      </c>
      <c r="D1708" t="inlineStr">
        <is>
          <t>Fuhrparkkosten</t>
        </is>
      </c>
      <c r="E1708" t="n">
        <v>36751.61</v>
      </c>
      <c r="F1708" t="n">
        <v>441019.28</v>
      </c>
    </row>
    <row r="1709">
      <c r="A1709" t="n">
        <v>2030</v>
      </c>
      <c r="B1709" t="n">
        <v>3</v>
      </c>
      <c r="C1709" t="inlineStr">
        <is>
          <t>Leasing LKW</t>
        </is>
      </c>
      <c r="D1709" t="inlineStr">
        <is>
          <t>Fuhrparkkosten</t>
        </is>
      </c>
      <c r="E1709" t="n">
        <v>2745.62</v>
      </c>
      <c r="F1709" t="n">
        <v>32947.44</v>
      </c>
    </row>
    <row r="1710">
      <c r="A1710" t="n">
        <v>2031</v>
      </c>
      <c r="B1710" t="n">
        <v>3</v>
      </c>
      <c r="C1710" t="inlineStr">
        <is>
          <t>Vertriebskosten</t>
        </is>
      </c>
      <c r="D1710" t="inlineStr">
        <is>
          <t>Vertriebskosten</t>
        </is>
      </c>
      <c r="E1710" t="n">
        <v>13167.99</v>
      </c>
      <c r="F1710" t="n">
        <v>158015.82</v>
      </c>
    </row>
    <row r="1711">
      <c r="A1711" t="n">
        <v>2028</v>
      </c>
      <c r="B1711" t="n">
        <v>3</v>
      </c>
      <c r="C1711" t="inlineStr">
        <is>
          <t>Behaelterkosten</t>
        </is>
      </c>
      <c r="D1711" t="inlineStr">
        <is>
          <t>Instandh. Betriebsausstattung</t>
        </is>
      </c>
      <c r="E1711" t="n">
        <v>11.57</v>
      </c>
      <c r="F1711" t="n">
        <v>138.8</v>
      </c>
    </row>
    <row r="1712">
      <c r="A1712" t="n">
        <v>2030</v>
      </c>
      <c r="B1712" t="n">
        <v>3</v>
      </c>
      <c r="C1712" t="inlineStr">
        <is>
          <t>Verwaltungskost</t>
        </is>
      </c>
      <c r="D1712" t="inlineStr">
        <is>
          <t>Verwaltungskosten</t>
        </is>
      </c>
      <c r="E1712" t="n">
        <v>7311.95</v>
      </c>
      <c r="F1712" t="n">
        <v>87743.38</v>
      </c>
    </row>
    <row r="1713">
      <c r="A1713" t="n">
        <v>2030</v>
      </c>
      <c r="B1713" t="n">
        <v>3</v>
      </c>
      <c r="C1713" t="inlineStr">
        <is>
          <t>Rechts- u. Beratungs</t>
        </is>
      </c>
      <c r="D1713" t="inlineStr">
        <is>
          <t>Verwaltungskosten</t>
        </is>
      </c>
      <c r="E1713" t="n">
        <v>28013.14</v>
      </c>
      <c r="F1713" t="n">
        <v>336157.66</v>
      </c>
    </row>
    <row r="1714">
      <c r="A1714" t="n">
        <v>2028</v>
      </c>
      <c r="B1714" t="n">
        <v>3</v>
      </c>
      <c r="C1714" t="inlineStr">
        <is>
          <t>Sonst Fuhrparkkosten</t>
        </is>
      </c>
      <c r="D1714" t="inlineStr">
        <is>
          <t>Fuhrparkkosten</t>
        </is>
      </c>
      <c r="E1714" t="n">
        <v>5288.59</v>
      </c>
      <c r="F1714" t="n">
        <v>63463.1</v>
      </c>
    </row>
    <row r="1715">
      <c r="A1715" t="n">
        <v>2029</v>
      </c>
      <c r="B1715" t="n">
        <v>3</v>
      </c>
      <c r="C1715" t="inlineStr">
        <is>
          <t>Erl. so. DL Dt.</t>
        </is>
      </c>
      <c r="D1715" t="inlineStr">
        <is>
          <t>Gesamtleistung</t>
        </is>
      </c>
      <c r="E1715" t="n">
        <v>2200755.15</v>
      </c>
      <c r="F1715" t="n">
        <v>26409061.76</v>
      </c>
    </row>
    <row r="1716">
      <c r="A1716" t="n">
        <v>2031</v>
      </c>
      <c r="B1716" t="n">
        <v>3</v>
      </c>
      <c r="C1716" t="inlineStr">
        <is>
          <t>Uebr.neutr. Ert</t>
        </is>
      </c>
      <c r="D1716" t="inlineStr">
        <is>
          <t>Gesamtleistung</t>
        </is>
      </c>
      <c r="E1716" t="n">
        <v>227.28</v>
      </c>
      <c r="F1716" t="n">
        <v>2727.33</v>
      </c>
    </row>
    <row r="1717">
      <c r="A1717" t="n">
        <v>2030</v>
      </c>
      <c r="B1717" t="n">
        <v>3</v>
      </c>
      <c r="C1717" t="inlineStr">
        <is>
          <t>Erl. Waren Dt.</t>
        </is>
      </c>
      <c r="D1717" t="inlineStr">
        <is>
          <t>Gesamtleistung</t>
        </is>
      </c>
      <c r="E1717" t="n">
        <v>49038.99</v>
      </c>
      <c r="F1717" t="n">
        <v>588467.85</v>
      </c>
    </row>
    <row r="1718">
      <c r="A1718" t="n">
        <v>2028</v>
      </c>
      <c r="B1718" t="n">
        <v>3</v>
      </c>
      <c r="C1718" t="inlineStr">
        <is>
          <t>Weiterber. Frem</t>
        </is>
      </c>
      <c r="D1718" t="inlineStr">
        <is>
          <t>Vorleistungen</t>
        </is>
      </c>
      <c r="E1718" t="n">
        <v>0</v>
      </c>
      <c r="F1718" t="n">
        <v>0</v>
      </c>
    </row>
    <row r="1719">
      <c r="A1719" t="n">
        <v>2027</v>
      </c>
      <c r="B1719" t="n">
        <v>3</v>
      </c>
      <c r="C1719" t="inlineStr">
        <is>
          <t>IT-Aufwendungen</t>
        </is>
      </c>
      <c r="D1719" t="inlineStr">
        <is>
          <t>Verwaltungskosten</t>
        </is>
      </c>
      <c r="E1719" t="n">
        <v>11596.23</v>
      </c>
      <c r="F1719" t="n">
        <v>139154.76</v>
      </c>
    </row>
    <row r="1720">
      <c r="A1720" t="n">
        <v>2028</v>
      </c>
      <c r="B1720" t="n">
        <v>3</v>
      </c>
      <c r="C1720" t="inlineStr">
        <is>
          <t>Leasing LKW</t>
        </is>
      </c>
      <c r="D1720" t="inlineStr">
        <is>
          <t>Fuhrparkkosten</t>
        </is>
      </c>
      <c r="E1720" t="n">
        <v>2443.59</v>
      </c>
      <c r="F1720" t="n">
        <v>29323.11</v>
      </c>
    </row>
    <row r="1721">
      <c r="A1721" t="n">
        <v>2031</v>
      </c>
      <c r="B1721" t="n">
        <v>3</v>
      </c>
      <c r="C1721" t="inlineStr">
        <is>
          <t>Weiterber. Frem</t>
        </is>
      </c>
      <c r="D1721" t="inlineStr">
        <is>
          <t>Vorleistungen</t>
        </is>
      </c>
      <c r="E1721" t="n">
        <v>0</v>
      </c>
      <c r="F1721" t="n">
        <v>0</v>
      </c>
    </row>
    <row r="1722">
      <c r="A1722" t="n">
        <v>2028</v>
      </c>
      <c r="B1722" t="n">
        <v>3</v>
      </c>
      <c r="C1722" t="inlineStr">
        <is>
          <t>Lohn + Gehalt</t>
        </is>
      </c>
      <c r="D1722" t="inlineStr">
        <is>
          <t>Personalaufwand</t>
        </is>
      </c>
      <c r="E1722" t="n">
        <v>321097.26</v>
      </c>
      <c r="F1722" t="n">
        <v>3853167.13</v>
      </c>
    </row>
    <row r="1723">
      <c r="A1723" t="n">
        <v>2029</v>
      </c>
      <c r="B1723" t="n">
        <v>3</v>
      </c>
      <c r="C1723" t="inlineStr">
        <is>
          <t>Miete LKW,Schiffe</t>
        </is>
      </c>
      <c r="D1723" t="inlineStr">
        <is>
          <t>Fuhrparkkosten</t>
        </is>
      </c>
      <c r="E1723" t="n">
        <v>41294.11</v>
      </c>
      <c r="F1723" t="n">
        <v>495529.28</v>
      </c>
    </row>
    <row r="1724">
      <c r="A1724" t="n">
        <v>2030</v>
      </c>
      <c r="B1724" t="n">
        <v>3</v>
      </c>
      <c r="C1724" t="inlineStr">
        <is>
          <t>Erl. so. DL Dt.</t>
        </is>
      </c>
      <c r="D1724" t="inlineStr">
        <is>
          <t>Gesamtleistung</t>
        </is>
      </c>
      <c r="E1724" t="n">
        <v>2311684.01</v>
      </c>
      <c r="F1724" t="n">
        <v>27740208.09</v>
      </c>
    </row>
    <row r="1725">
      <c r="A1725" t="n">
        <v>2030</v>
      </c>
      <c r="B1725" t="n">
        <v>3</v>
      </c>
      <c r="C1725" t="inlineStr">
        <is>
          <t>Versicherungskosten</t>
        </is>
      </c>
      <c r="D1725" t="inlineStr">
        <is>
          <t>Verwaltungskosten</t>
        </is>
      </c>
      <c r="E1725" t="n">
        <v>11790.1</v>
      </c>
      <c r="F1725" t="n">
        <v>141481.23</v>
      </c>
    </row>
    <row r="1726">
      <c r="A1726" t="n">
        <v>2029</v>
      </c>
      <c r="B1726" t="n">
        <v>3</v>
      </c>
      <c r="C1726" t="inlineStr">
        <is>
          <t>Sonstige Steuer</t>
        </is>
      </c>
      <c r="D1726" t="inlineStr">
        <is>
          <t>Fuhrparkkosten</t>
        </is>
      </c>
      <c r="E1726" t="n">
        <v>1682.38</v>
      </c>
      <c r="F1726" t="n">
        <v>20188.51</v>
      </c>
    </row>
    <row r="1727">
      <c r="A1727" t="n">
        <v>2027</v>
      </c>
      <c r="B1727" t="n">
        <v>3</v>
      </c>
      <c r="C1727" t="inlineStr">
        <is>
          <t>Sonst Fuhrparkkosten</t>
        </is>
      </c>
      <c r="D1727" t="inlineStr">
        <is>
          <t>Fuhrparkkosten</t>
        </is>
      </c>
      <c r="E1727" t="n">
        <v>4989.24</v>
      </c>
      <c r="F1727" t="n">
        <v>59870.86</v>
      </c>
    </row>
    <row r="1728">
      <c r="A1728" t="n">
        <v>2028</v>
      </c>
      <c r="B1728" t="n">
        <v>3</v>
      </c>
      <c r="C1728" t="inlineStr">
        <is>
          <t>Bestandsveraend</t>
        </is>
      </c>
      <c r="D1728" t="inlineStr">
        <is>
          <t>Gesamtleistung</t>
        </is>
      </c>
      <c r="E1728" t="n">
        <v>0</v>
      </c>
      <c r="F1728" t="n">
        <v>0</v>
      </c>
    </row>
    <row r="1729">
      <c r="A1729" t="n">
        <v>2028</v>
      </c>
      <c r="B1729" t="n">
        <v>3</v>
      </c>
      <c r="C1729" t="inlineStr">
        <is>
          <t>So. betr. Aufwa</t>
        </is>
      </c>
      <c r="D1729" t="inlineStr">
        <is>
          <t>Verwaltungskosten</t>
        </is>
      </c>
      <c r="E1729" t="n">
        <v>673.0599999999999</v>
      </c>
      <c r="F1729" t="n">
        <v>8076.71</v>
      </c>
    </row>
    <row r="1730">
      <c r="A1730" t="n">
        <v>2030</v>
      </c>
      <c r="B1730" t="n">
        <v>3</v>
      </c>
      <c r="C1730" t="inlineStr">
        <is>
          <t>Miete LKW,Schiffe</t>
        </is>
      </c>
      <c r="D1730" t="inlineStr">
        <is>
          <t>Fuhrparkkosten</t>
        </is>
      </c>
      <c r="E1730" t="n">
        <v>43771.75</v>
      </c>
      <c r="F1730" t="n">
        <v>525261.04</v>
      </c>
    </row>
    <row r="1731">
      <c r="A1731" t="n">
        <v>2028</v>
      </c>
      <c r="B1731" t="n">
        <v>3</v>
      </c>
      <c r="C1731" t="inlineStr">
        <is>
          <t>Miete LKW,Schiffe</t>
        </is>
      </c>
      <c r="D1731" t="inlineStr">
        <is>
          <t>Fuhrparkkosten</t>
        </is>
      </c>
      <c r="E1731" t="n">
        <v>38956.71</v>
      </c>
      <c r="F1731" t="n">
        <v>467480.47</v>
      </c>
    </row>
    <row r="1732">
      <c r="A1732" t="n">
        <v>2028</v>
      </c>
      <c r="B1732" t="n">
        <v>3</v>
      </c>
      <c r="C1732" t="inlineStr">
        <is>
          <t>sonst Personalk</t>
        </is>
      </c>
      <c r="D1732" t="inlineStr">
        <is>
          <t>Personalaufwand</t>
        </is>
      </c>
      <c r="E1732" t="n">
        <v>12597.51</v>
      </c>
      <c r="F1732" t="n">
        <v>151170.09</v>
      </c>
    </row>
    <row r="1733">
      <c r="A1733" t="n">
        <v>2030</v>
      </c>
      <c r="B1733" t="n">
        <v>3</v>
      </c>
      <c r="C1733" t="inlineStr">
        <is>
          <t>Leasing PKW</t>
        </is>
      </c>
      <c r="D1733" t="inlineStr">
        <is>
          <t>Fuhrparkkosten</t>
        </is>
      </c>
      <c r="E1733" t="n">
        <v>26131.4</v>
      </c>
      <c r="F1733" t="n">
        <v>313576.76</v>
      </c>
    </row>
    <row r="1734">
      <c r="A1734" t="n">
        <v>2031</v>
      </c>
      <c r="B1734" t="n">
        <v>3</v>
      </c>
      <c r="C1734" t="inlineStr">
        <is>
          <t>Aufwand Umlage</t>
        </is>
      </c>
      <c r="D1734" t="inlineStr">
        <is>
          <t>Verwaltungskosten</t>
        </is>
      </c>
      <c r="E1734" t="n">
        <v>3807.87</v>
      </c>
      <c r="F1734" t="n">
        <v>45694.43</v>
      </c>
    </row>
    <row r="1735">
      <c r="A1735" t="n">
        <v>2031</v>
      </c>
      <c r="B1735" t="n">
        <v>3</v>
      </c>
      <c r="C1735" t="inlineStr">
        <is>
          <t>sonst Personalk</t>
        </is>
      </c>
      <c r="D1735" t="inlineStr">
        <is>
          <t>Personalaufwand</t>
        </is>
      </c>
      <c r="E1735" t="n">
        <v>17070.54</v>
      </c>
      <c r="F1735" t="n">
        <v>204846.51</v>
      </c>
    </row>
    <row r="1736">
      <c r="A1736" t="n">
        <v>2027</v>
      </c>
      <c r="B1736" t="n">
        <v>3</v>
      </c>
      <c r="C1736" t="inlineStr">
        <is>
          <t>sonst Personalk</t>
        </is>
      </c>
      <c r="D1736" t="inlineStr">
        <is>
          <t>Personalaufwand</t>
        </is>
      </c>
      <c r="E1736" t="n">
        <v>10949.84</v>
      </c>
      <c r="F1736" t="n">
        <v>131398.1</v>
      </c>
    </row>
    <row r="1737">
      <c r="A1737" t="n">
        <v>2031</v>
      </c>
      <c r="B1737" t="n">
        <v>3</v>
      </c>
      <c r="C1737" t="inlineStr">
        <is>
          <t>Miete PKW</t>
        </is>
      </c>
      <c r="D1737" t="inlineStr">
        <is>
          <t>Fuhrparkkosten</t>
        </is>
      </c>
      <c r="E1737" t="n">
        <v>5824.81</v>
      </c>
      <c r="F1737" t="n">
        <v>69897.67</v>
      </c>
    </row>
    <row r="1738">
      <c r="A1738" t="n">
        <v>2029</v>
      </c>
      <c r="B1738" t="n">
        <v>3</v>
      </c>
      <c r="C1738" t="inlineStr">
        <is>
          <t>Raumkosten</t>
        </is>
      </c>
      <c r="D1738" t="inlineStr">
        <is>
          <t>Raumkosten</t>
        </is>
      </c>
      <c r="E1738" t="n">
        <v>7164.46</v>
      </c>
      <c r="F1738" t="n">
        <v>85973.53</v>
      </c>
    </row>
    <row r="1739">
      <c r="A1739" t="n">
        <v>2031</v>
      </c>
      <c r="B1739" t="n">
        <v>3</v>
      </c>
      <c r="C1739" t="inlineStr">
        <is>
          <t>Aufw. f. Alters</t>
        </is>
      </c>
      <c r="D1739" t="inlineStr">
        <is>
          <t>Personalaufwand</t>
        </is>
      </c>
      <c r="E1739" t="n">
        <v>1434.03</v>
      </c>
      <c r="F1739" t="n">
        <v>17208.41</v>
      </c>
    </row>
    <row r="1740">
      <c r="A1740" t="n">
        <v>2031</v>
      </c>
      <c r="B1740" t="n">
        <v>3</v>
      </c>
      <c r="C1740" t="inlineStr">
        <is>
          <t>IT-Aufwendungen</t>
        </is>
      </c>
      <c r="D1740" t="inlineStr">
        <is>
          <t>Verwaltungskosten</t>
        </is>
      </c>
      <c r="E1740" t="n">
        <v>13051.66</v>
      </c>
      <c r="F1740" t="n">
        <v>156619.9</v>
      </c>
    </row>
    <row r="1741">
      <c r="A1741" t="n">
        <v>2028</v>
      </c>
      <c r="B1741" t="n">
        <v>3</v>
      </c>
      <c r="C1741" t="inlineStr">
        <is>
          <t>Miete Grdst/Gebäud</t>
        </is>
      </c>
      <c r="D1741" t="inlineStr">
        <is>
          <t>Raumkosten</t>
        </is>
      </c>
      <c r="E1741" t="n">
        <v>17880.93</v>
      </c>
      <c r="F1741" t="n">
        <v>214571.21</v>
      </c>
    </row>
    <row r="1742">
      <c r="A1742" t="n">
        <v>2027</v>
      </c>
      <c r="B1742" t="n">
        <v>3</v>
      </c>
      <c r="C1742" t="inlineStr">
        <is>
          <t>Erloesschmaeler</t>
        </is>
      </c>
      <c r="D1742" t="inlineStr">
        <is>
          <t>Gesamtleistung</t>
        </is>
      </c>
      <c r="E1742" t="n">
        <v>-7483.88</v>
      </c>
      <c r="F1742" t="n">
        <v>-89806.53</v>
      </c>
    </row>
    <row r="1743">
      <c r="A1743" t="n">
        <v>2029</v>
      </c>
      <c r="B1743" t="n">
        <v>3</v>
      </c>
      <c r="C1743" t="inlineStr">
        <is>
          <t>sonst Personalk</t>
        </is>
      </c>
      <c r="D1743" t="inlineStr">
        <is>
          <t>Personalaufwand</t>
        </is>
      </c>
      <c r="E1743" t="n">
        <v>13957.15</v>
      </c>
      <c r="F1743" t="n">
        <v>167485.78</v>
      </c>
    </row>
    <row r="1744">
      <c r="A1744" t="n">
        <v>2028</v>
      </c>
      <c r="B1744" t="n">
        <v>3</v>
      </c>
      <c r="C1744" t="inlineStr">
        <is>
          <t>Fremdl. Fuhrlei</t>
        </is>
      </c>
      <c r="D1744" t="inlineStr">
        <is>
          <t>Vorleistungen</t>
        </is>
      </c>
      <c r="E1744" t="n">
        <v>363.29</v>
      </c>
      <c r="F1744" t="n">
        <v>4359.52</v>
      </c>
    </row>
    <row r="1745">
      <c r="A1745" t="n">
        <v>2027</v>
      </c>
      <c r="B1745" t="n">
        <v>3</v>
      </c>
      <c r="C1745" t="inlineStr">
        <is>
          <t>Erl. so. DL Dt.</t>
        </is>
      </c>
      <c r="D1745" t="inlineStr">
        <is>
          <t>Gesamtleistung</t>
        </is>
      </c>
      <c r="E1745" t="n">
        <v>1996174.37</v>
      </c>
      <c r="F1745" t="n">
        <v>23954092.45</v>
      </c>
    </row>
    <row r="1746">
      <c r="A1746" t="n">
        <v>2027</v>
      </c>
      <c r="B1746" t="n">
        <v>3</v>
      </c>
      <c r="C1746" t="inlineStr">
        <is>
          <t>Aufw. Heizmat.</t>
        </is>
      </c>
      <c r="D1746" t="inlineStr">
        <is>
          <t>Vorleistungen</t>
        </is>
      </c>
      <c r="E1746" t="n">
        <v>275.72</v>
      </c>
      <c r="F1746" t="n">
        <v>3308.65</v>
      </c>
    </row>
    <row r="1747">
      <c r="A1747" t="n">
        <v>2028</v>
      </c>
      <c r="B1747" t="n">
        <v>3</v>
      </c>
      <c r="C1747" t="inlineStr">
        <is>
          <t>Versicherungskosten</t>
        </is>
      </c>
      <c r="D1747" t="inlineStr">
        <is>
          <t>Verwaltungskosten</t>
        </is>
      </c>
      <c r="E1747" t="n">
        <v>11113.3</v>
      </c>
      <c r="F1747" t="n">
        <v>133359.63</v>
      </c>
    </row>
    <row r="1748">
      <c r="A1748" t="n">
        <v>2031</v>
      </c>
      <c r="B1748" t="n">
        <v>3</v>
      </c>
      <c r="C1748" t="inlineStr">
        <is>
          <t>Miete LKW,Schiffe</t>
        </is>
      </c>
      <c r="D1748" t="inlineStr">
        <is>
          <t>Fuhrparkkosten</t>
        </is>
      </c>
      <c r="E1748" t="n">
        <v>46398.06</v>
      </c>
      <c r="F1748" t="n">
        <v>556776.71</v>
      </c>
    </row>
    <row r="1749">
      <c r="A1749" t="n">
        <v>2027</v>
      </c>
      <c r="B1749" t="n">
        <v>3</v>
      </c>
      <c r="C1749" t="inlineStr">
        <is>
          <t>Weiterber. Frem</t>
        </is>
      </c>
      <c r="D1749" t="inlineStr">
        <is>
          <t>Vorleistungen</t>
        </is>
      </c>
      <c r="E1749" t="n">
        <v>0</v>
      </c>
      <c r="F1749" t="n">
        <v>0</v>
      </c>
    </row>
    <row r="1750">
      <c r="A1750" t="n">
        <v>2028</v>
      </c>
      <c r="B1750" t="n">
        <v>3</v>
      </c>
      <c r="C1750" t="inlineStr">
        <is>
          <t>Erloesschmaeler</t>
        </is>
      </c>
      <c r="D1750" t="inlineStr">
        <is>
          <t>Gesamtleistung</t>
        </is>
      </c>
      <c r="E1750" t="n">
        <v>-8355.469999999999</v>
      </c>
      <c r="F1750" t="n">
        <v>-100265.61</v>
      </c>
    </row>
    <row r="1751">
      <c r="A1751" t="n">
        <v>2027</v>
      </c>
      <c r="B1751" t="n">
        <v>3</v>
      </c>
      <c r="C1751" t="inlineStr">
        <is>
          <t>Uebr.neutr. Ert</t>
        </is>
      </c>
      <c r="D1751" t="inlineStr">
        <is>
          <t>Gesamtleistung</t>
        </is>
      </c>
      <c r="E1751" t="n">
        <v>113.94</v>
      </c>
      <c r="F1751" t="n">
        <v>1367.31</v>
      </c>
    </row>
    <row r="1752">
      <c r="A1752" t="n">
        <v>2028</v>
      </c>
      <c r="B1752" t="n">
        <v>3</v>
      </c>
      <c r="C1752" t="inlineStr">
        <is>
          <t>Miete Behälter</t>
        </is>
      </c>
      <c r="D1752" t="inlineStr">
        <is>
          <t>Instandh. Betriebsausstattung</t>
        </is>
      </c>
      <c r="E1752" t="n">
        <v>24.08</v>
      </c>
      <c r="F1752" t="n">
        <v>289</v>
      </c>
    </row>
    <row r="1753">
      <c r="A1753" t="n">
        <v>2028</v>
      </c>
      <c r="B1753" t="n">
        <v>3</v>
      </c>
      <c r="C1753" t="inlineStr">
        <is>
          <t>Aufw. so. Hilfs</t>
        </is>
      </c>
      <c r="D1753" t="inlineStr">
        <is>
          <t>Vorleistungen</t>
        </is>
      </c>
      <c r="E1753" t="n">
        <v>-16546.31</v>
      </c>
      <c r="F1753" t="n">
        <v>-198555.67</v>
      </c>
    </row>
    <row r="1754">
      <c r="A1754" t="n">
        <v>2030</v>
      </c>
      <c r="B1754" t="n">
        <v>3</v>
      </c>
      <c r="C1754" t="inlineStr">
        <is>
          <t>Treibstoffe, Oe</t>
        </is>
      </c>
      <c r="D1754" t="inlineStr">
        <is>
          <t>Fuhrparkkosten</t>
        </is>
      </c>
      <c r="E1754" t="n">
        <v>34177.25</v>
      </c>
      <c r="F1754" t="n">
        <v>410126.96</v>
      </c>
    </row>
    <row r="1755">
      <c r="A1755" t="n">
        <v>2030</v>
      </c>
      <c r="B1755" t="n">
        <v>3</v>
      </c>
      <c r="C1755" t="inlineStr">
        <is>
          <t>Ueb Lohn-Gehalt</t>
        </is>
      </c>
      <c r="D1755" t="inlineStr">
        <is>
          <t>Personalaufwand</t>
        </is>
      </c>
      <c r="E1755" t="n">
        <v>41842.02</v>
      </c>
      <c r="F1755" t="n">
        <v>502104.18</v>
      </c>
    </row>
    <row r="1756">
      <c r="A1756" t="n">
        <v>2030</v>
      </c>
      <c r="B1756" t="n">
        <v>3</v>
      </c>
      <c r="C1756" t="inlineStr">
        <is>
          <t>Aufw. f. Alters</t>
        </is>
      </c>
      <c r="D1756" t="inlineStr">
        <is>
          <t>Personalaufwand</t>
        </is>
      </c>
      <c r="E1756" t="n">
        <v>1387.56</v>
      </c>
      <c r="F1756" t="n">
        <v>16650.69</v>
      </c>
    </row>
    <row r="1757">
      <c r="A1757" t="n">
        <v>2031</v>
      </c>
      <c r="B1757" t="n">
        <v>3</v>
      </c>
      <c r="C1757" t="inlineStr">
        <is>
          <t>Fremdl. Persona</t>
        </is>
      </c>
      <c r="D1757" t="inlineStr">
        <is>
          <t>Vorleistungen</t>
        </is>
      </c>
      <c r="E1757" t="n">
        <v>79.40000000000001</v>
      </c>
      <c r="F1757" t="n">
        <v>952.79</v>
      </c>
    </row>
    <row r="1758">
      <c r="A1758" t="n">
        <v>2029</v>
      </c>
      <c r="B1758" t="n">
        <v>4</v>
      </c>
      <c r="C1758" t="inlineStr">
        <is>
          <t>Sonderz. Prämie</t>
        </is>
      </c>
      <c r="D1758" t="inlineStr">
        <is>
          <t>Personalaufwand</t>
        </is>
      </c>
      <c r="E1758" t="n">
        <v>23292.21</v>
      </c>
      <c r="F1758" t="n">
        <v>279506.56</v>
      </c>
    </row>
    <row r="1759">
      <c r="A1759" t="n">
        <v>2030</v>
      </c>
      <c r="B1759" t="n">
        <v>4</v>
      </c>
      <c r="C1759" t="inlineStr">
        <is>
          <t>sonst Personalk</t>
        </is>
      </c>
      <c r="D1759" t="inlineStr">
        <is>
          <t>Personalaufwand</t>
        </is>
      </c>
      <c r="E1759" t="n">
        <v>15558.93</v>
      </c>
      <c r="F1759" t="n">
        <v>186707.19</v>
      </c>
    </row>
    <row r="1760">
      <c r="A1760" t="n">
        <v>2031</v>
      </c>
      <c r="B1760" t="n">
        <v>4</v>
      </c>
      <c r="C1760" t="inlineStr">
        <is>
          <t>Ankauf Rohstoff</t>
        </is>
      </c>
      <c r="D1760" t="inlineStr">
        <is>
          <t>Vorleistungen</t>
        </is>
      </c>
      <c r="E1760" t="n">
        <v>1489.65</v>
      </c>
      <c r="F1760" t="n">
        <v>17875.76</v>
      </c>
    </row>
    <row r="1761">
      <c r="A1761" t="n">
        <v>2029</v>
      </c>
      <c r="B1761" t="n">
        <v>4</v>
      </c>
      <c r="C1761" t="inlineStr">
        <is>
          <t>Weiterber. Frem</t>
        </is>
      </c>
      <c r="D1761" t="inlineStr">
        <is>
          <t>Vorleistungen</t>
        </is>
      </c>
      <c r="E1761" t="n">
        <v>0</v>
      </c>
      <c r="F1761" t="n">
        <v>0</v>
      </c>
    </row>
    <row r="1762">
      <c r="A1762" t="n">
        <v>2031</v>
      </c>
      <c r="B1762" t="n">
        <v>4</v>
      </c>
      <c r="C1762" t="inlineStr">
        <is>
          <t>Sonstige Steuer</t>
        </is>
      </c>
      <c r="D1762" t="inlineStr">
        <is>
          <t>Fuhrparkkosten</t>
        </is>
      </c>
      <c r="E1762" t="n">
        <v>1890.32</v>
      </c>
      <c r="F1762" t="n">
        <v>22683.81</v>
      </c>
    </row>
    <row r="1763">
      <c r="A1763" t="n">
        <v>2030</v>
      </c>
      <c r="B1763" t="n">
        <v>4</v>
      </c>
      <c r="C1763" t="inlineStr">
        <is>
          <t>Bestandsveraend</t>
        </is>
      </c>
      <c r="D1763" t="inlineStr">
        <is>
          <t>Gesamtleistung</t>
        </is>
      </c>
      <c r="E1763" t="n">
        <v>0</v>
      </c>
      <c r="F1763" t="n">
        <v>0</v>
      </c>
    </row>
    <row r="1764">
      <c r="A1764" t="n">
        <v>2031</v>
      </c>
      <c r="B1764" t="n">
        <v>4</v>
      </c>
      <c r="C1764" t="inlineStr">
        <is>
          <t>Erl. so. DL Dt.</t>
        </is>
      </c>
      <c r="D1764" t="inlineStr">
        <is>
          <t>Gesamtleistung</t>
        </is>
      </c>
      <c r="E1764" t="n">
        <v>2428139.11</v>
      </c>
      <c r="F1764" t="n">
        <v>29137669.32</v>
      </c>
    </row>
    <row r="1765">
      <c r="A1765" t="n">
        <v>2030</v>
      </c>
      <c r="B1765" t="n">
        <v>4</v>
      </c>
      <c r="C1765" t="inlineStr">
        <is>
          <t>Sonstige Steuer</t>
        </is>
      </c>
      <c r="D1765" t="inlineStr">
        <is>
          <t>Fuhrparkkosten</t>
        </is>
      </c>
      <c r="E1765" t="n">
        <v>1783.32</v>
      </c>
      <c r="F1765" t="n">
        <v>21399.82</v>
      </c>
    </row>
    <row r="1766">
      <c r="A1766" t="n">
        <v>2030</v>
      </c>
      <c r="B1766" t="n">
        <v>4</v>
      </c>
      <c r="C1766" t="inlineStr">
        <is>
          <t>Sonderz. Prämie</t>
        </is>
      </c>
      <c r="D1766" t="inlineStr">
        <is>
          <t>Personalaufwand</t>
        </is>
      </c>
      <c r="E1766" t="n">
        <v>25004.1</v>
      </c>
      <c r="F1766" t="n">
        <v>300049.14</v>
      </c>
    </row>
    <row r="1767">
      <c r="A1767" t="n">
        <v>2029</v>
      </c>
      <c r="B1767" t="n">
        <v>4</v>
      </c>
      <c r="C1767" t="inlineStr">
        <is>
          <t>Soziale Abgaben</t>
        </is>
      </c>
      <c r="D1767" t="inlineStr">
        <is>
          <t>Personalaufwand</t>
        </is>
      </c>
      <c r="E1767" t="n">
        <v>94488.11</v>
      </c>
      <c r="F1767" t="n">
        <v>1133857.35</v>
      </c>
    </row>
    <row r="1768">
      <c r="A1768" t="n">
        <v>2031</v>
      </c>
      <c r="B1768" t="n">
        <v>4</v>
      </c>
      <c r="C1768" t="inlineStr">
        <is>
          <t>So. betr. Aufwa</t>
        </is>
      </c>
      <c r="D1768" t="inlineStr">
        <is>
          <t>Verwaltungskosten</t>
        </is>
      </c>
      <c r="E1768" t="n">
        <v>735.47</v>
      </c>
      <c r="F1768" t="n">
        <v>8825.639999999999</v>
      </c>
    </row>
    <row r="1769">
      <c r="A1769" t="n">
        <v>2027</v>
      </c>
      <c r="B1769" t="n">
        <v>4</v>
      </c>
      <c r="C1769" t="inlineStr">
        <is>
          <t>Lohn + Gehalt</t>
        </is>
      </c>
      <c r="D1769" t="inlineStr">
        <is>
          <t>Personalaufwand</t>
        </is>
      </c>
      <c r="E1769" t="n">
        <v>287946.36</v>
      </c>
      <c r="F1769" t="n">
        <v>3455356.33</v>
      </c>
    </row>
    <row r="1770">
      <c r="A1770" t="n">
        <v>2027</v>
      </c>
      <c r="B1770" t="n">
        <v>4</v>
      </c>
      <c r="C1770" t="inlineStr">
        <is>
          <t>So. betr. Aufwa</t>
        </is>
      </c>
      <c r="D1770" t="inlineStr">
        <is>
          <t>Verwaltungskosten</t>
        </is>
      </c>
      <c r="E1770" t="n">
        <v>653.45</v>
      </c>
      <c r="F1770" t="n">
        <v>7841.45</v>
      </c>
    </row>
    <row r="1771">
      <c r="A1771" t="n">
        <v>2028</v>
      </c>
      <c r="B1771" t="n">
        <v>4</v>
      </c>
      <c r="C1771" t="inlineStr">
        <is>
          <t>Ueb Lohn-Gehalt</t>
        </is>
      </c>
      <c r="D1771" t="inlineStr">
        <is>
          <t>Personalaufwand</t>
        </is>
      </c>
      <c r="E1771" t="n">
        <v>34332.83</v>
      </c>
      <c r="F1771" t="n">
        <v>411993.96</v>
      </c>
    </row>
    <row r="1772">
      <c r="A1772" t="n">
        <v>2027</v>
      </c>
      <c r="B1772" t="n">
        <v>4</v>
      </c>
      <c r="C1772" t="inlineStr">
        <is>
          <t>Verwaltungskost</t>
        </is>
      </c>
      <c r="D1772" t="inlineStr">
        <is>
          <t>Verwaltungskosten</t>
        </is>
      </c>
      <c r="E1772" t="n">
        <v>6691.47</v>
      </c>
      <c r="F1772" t="n">
        <v>80297.62</v>
      </c>
    </row>
    <row r="1773">
      <c r="A1773" t="n">
        <v>2030</v>
      </c>
      <c r="B1773" t="n">
        <v>4</v>
      </c>
      <c r="C1773" t="inlineStr">
        <is>
          <t>Aufw. Heizmat.</t>
        </is>
      </c>
      <c r="D1773" t="inlineStr">
        <is>
          <t>Vorleistungen</t>
        </is>
      </c>
      <c r="E1773" t="n">
        <v>230.4</v>
      </c>
      <c r="F1773" t="n">
        <v>2764.82</v>
      </c>
    </row>
    <row r="1774">
      <c r="A1774" t="n">
        <v>2027</v>
      </c>
      <c r="B1774" t="n">
        <v>4</v>
      </c>
      <c r="C1774" t="inlineStr">
        <is>
          <t>Versicherungskosten</t>
        </is>
      </c>
      <c r="D1774" t="inlineStr">
        <is>
          <t>Verwaltungskosten</t>
        </is>
      </c>
      <c r="E1774" t="n">
        <v>10789.61</v>
      </c>
      <c r="F1774" t="n">
        <v>129475.37</v>
      </c>
    </row>
    <row r="1775">
      <c r="A1775" t="n">
        <v>2031</v>
      </c>
      <c r="B1775" t="n">
        <v>4</v>
      </c>
      <c r="C1775" t="inlineStr">
        <is>
          <t>Instandh. BGA</t>
        </is>
      </c>
      <c r="D1775" t="inlineStr">
        <is>
          <t>Instandh. Betriebsausstattung</t>
        </is>
      </c>
      <c r="E1775" t="n">
        <v>5124.63</v>
      </c>
      <c r="F1775" t="n">
        <v>61495.58</v>
      </c>
    </row>
    <row r="1776">
      <c r="A1776" t="n">
        <v>2029</v>
      </c>
      <c r="B1776" t="n">
        <v>4</v>
      </c>
      <c r="C1776" t="inlineStr">
        <is>
          <t>Treibstoffe, Oe</t>
        </is>
      </c>
      <c r="D1776" t="inlineStr">
        <is>
          <t>Fuhrparkkosten</t>
        </is>
      </c>
      <c r="E1776" t="n">
        <v>32242.68</v>
      </c>
      <c r="F1776" t="n">
        <v>386912.19</v>
      </c>
    </row>
    <row r="1777">
      <c r="A1777" t="n">
        <v>2027</v>
      </c>
      <c r="B1777" t="n">
        <v>4</v>
      </c>
      <c r="C1777" t="inlineStr">
        <is>
          <t>Instandh. BGA</t>
        </is>
      </c>
      <c r="D1777" t="inlineStr">
        <is>
          <t>Instandh. Betriebsausstattung</t>
        </is>
      </c>
      <c r="E1777" t="n">
        <v>4216.05</v>
      </c>
      <c r="F1777" t="n">
        <v>50592.58</v>
      </c>
    </row>
    <row r="1778">
      <c r="A1778" t="n">
        <v>2029</v>
      </c>
      <c r="B1778" t="n">
        <v>4</v>
      </c>
      <c r="C1778" t="inlineStr">
        <is>
          <t>Ueb Lohn-Gehalt</t>
        </is>
      </c>
      <c r="D1778" t="inlineStr">
        <is>
          <t>Personalaufwand</t>
        </is>
      </c>
      <c r="E1778" t="n">
        <v>37989.9</v>
      </c>
      <c r="F1778" t="n">
        <v>455878.84</v>
      </c>
    </row>
    <row r="1779">
      <c r="A1779" t="n">
        <v>2031</v>
      </c>
      <c r="B1779" t="n">
        <v>4</v>
      </c>
      <c r="C1779" t="inlineStr">
        <is>
          <t>Erl. Waren Dt.</t>
        </is>
      </c>
      <c r="D1779" t="inlineStr">
        <is>
          <t>Gesamtleistung</t>
        </is>
      </c>
      <c r="E1779" t="n">
        <v>50865.59</v>
      </c>
      <c r="F1779" t="n">
        <v>610387.05</v>
      </c>
    </row>
    <row r="1780">
      <c r="A1780" t="n">
        <v>2027</v>
      </c>
      <c r="B1780" t="n">
        <v>4</v>
      </c>
      <c r="C1780" t="inlineStr">
        <is>
          <t>Fremdl. Persona</t>
        </is>
      </c>
      <c r="D1780" t="inlineStr">
        <is>
          <t>Vorleistungen</t>
        </is>
      </c>
      <c r="E1780" t="n">
        <v>61.31</v>
      </c>
      <c r="F1780" t="n">
        <v>735.66</v>
      </c>
    </row>
    <row r="1781">
      <c r="A1781" t="n">
        <v>2027</v>
      </c>
      <c r="B1781" t="n">
        <v>4</v>
      </c>
      <c r="C1781" t="inlineStr">
        <is>
          <t>Aufwand Umlage</t>
        </is>
      </c>
      <c r="D1781" t="inlineStr">
        <is>
          <t>Verwaltungskosten</t>
        </is>
      </c>
      <c r="E1781" t="n">
        <v>3383.24</v>
      </c>
      <c r="F1781" t="n">
        <v>40598.91</v>
      </c>
    </row>
    <row r="1782">
      <c r="A1782" t="n">
        <v>2031</v>
      </c>
      <c r="B1782" t="n">
        <v>4</v>
      </c>
      <c r="C1782" t="inlineStr">
        <is>
          <t>Ueb Lohn-Gehalt</t>
        </is>
      </c>
      <c r="D1782" t="inlineStr">
        <is>
          <t>Personalaufwand</t>
        </is>
      </c>
      <c r="E1782" t="n">
        <v>45675.82</v>
      </c>
      <c r="F1782" t="n">
        <v>548109.79</v>
      </c>
    </row>
    <row r="1783">
      <c r="A1783" t="n">
        <v>2027</v>
      </c>
      <c r="B1783" t="n">
        <v>4</v>
      </c>
      <c r="C1783" t="inlineStr">
        <is>
          <t>Rechts- u. Beratungs</t>
        </is>
      </c>
      <c r="D1783" t="inlineStr">
        <is>
          <t>Verwaltungskosten</t>
        </is>
      </c>
      <c r="E1783" t="n">
        <v>25635.99</v>
      </c>
      <c r="F1783" t="n">
        <v>307631.89</v>
      </c>
    </row>
    <row r="1784">
      <c r="A1784" t="n">
        <v>2028</v>
      </c>
      <c r="B1784" t="n">
        <v>4</v>
      </c>
      <c r="C1784" t="inlineStr">
        <is>
          <t>Verwaltungskost</t>
        </is>
      </c>
      <c r="D1784" t="inlineStr">
        <is>
          <t>Verwaltungskosten</t>
        </is>
      </c>
      <c r="E1784" t="n">
        <v>6892.21</v>
      </c>
      <c r="F1784" t="n">
        <v>82706.56</v>
      </c>
    </row>
    <row r="1785">
      <c r="A1785" t="n">
        <v>2028</v>
      </c>
      <c r="B1785" t="n">
        <v>4</v>
      </c>
      <c r="C1785" t="inlineStr">
        <is>
          <t>Ueb. bezog.Leis</t>
        </is>
      </c>
      <c r="D1785" t="inlineStr">
        <is>
          <t>Vorleistungen</t>
        </is>
      </c>
      <c r="E1785" t="n">
        <v>1342498.67</v>
      </c>
      <c r="F1785" t="n">
        <v>16109983.99</v>
      </c>
    </row>
    <row r="1786">
      <c r="A1786" t="n">
        <v>2028</v>
      </c>
      <c r="B1786" t="n">
        <v>4</v>
      </c>
      <c r="C1786" t="inlineStr">
        <is>
          <t>Ankauf Rohstoff</t>
        </is>
      </c>
      <c r="D1786" t="inlineStr">
        <is>
          <t>Vorleistungen</t>
        </is>
      </c>
      <c r="E1786" t="n">
        <v>1457.38</v>
      </c>
      <c r="F1786" t="n">
        <v>17488.61</v>
      </c>
    </row>
    <row r="1787">
      <c r="A1787" t="n">
        <v>2029</v>
      </c>
      <c r="B1787" t="n">
        <v>4</v>
      </c>
      <c r="C1787" t="inlineStr">
        <is>
          <t>Erloesschmaeler</t>
        </is>
      </c>
      <c r="D1787" t="inlineStr">
        <is>
          <t>Gesamtleistung</t>
        </is>
      </c>
      <c r="E1787" t="n">
        <v>-9048.01</v>
      </c>
      <c r="F1787" t="n">
        <v>-108576.08</v>
      </c>
    </row>
    <row r="1788">
      <c r="A1788" t="n">
        <v>2029</v>
      </c>
      <c r="B1788" t="n">
        <v>4</v>
      </c>
      <c r="C1788" t="inlineStr">
        <is>
          <t>Leasing PKW</t>
        </is>
      </c>
      <c r="D1788" t="inlineStr">
        <is>
          <t>Fuhrparkkosten</t>
        </is>
      </c>
      <c r="E1788" t="n">
        <v>24652.26</v>
      </c>
      <c r="F1788" t="n">
        <v>295827.14</v>
      </c>
    </row>
    <row r="1789">
      <c r="A1789" t="n">
        <v>2029</v>
      </c>
      <c r="B1789" t="n">
        <v>4</v>
      </c>
      <c r="C1789" t="inlineStr">
        <is>
          <t>Fremdl. Persona</t>
        </is>
      </c>
      <c r="D1789" t="inlineStr">
        <is>
          <t>Vorleistungen</t>
        </is>
      </c>
      <c r="E1789" t="n">
        <v>73.3</v>
      </c>
      <c r="F1789" t="n">
        <v>879.54</v>
      </c>
    </row>
    <row r="1790">
      <c r="A1790" t="n">
        <v>2028</v>
      </c>
      <c r="B1790" t="n">
        <v>4</v>
      </c>
      <c r="C1790" t="inlineStr">
        <is>
          <t>Aufwand Umlage</t>
        </is>
      </c>
      <c r="D1790" t="inlineStr">
        <is>
          <t>Verwaltungskosten</t>
        </is>
      </c>
      <c r="E1790" t="n">
        <v>3484.74</v>
      </c>
      <c r="F1790" t="n">
        <v>41816.88</v>
      </c>
    </row>
    <row r="1791">
      <c r="A1791" t="n">
        <v>2027</v>
      </c>
      <c r="B1791" t="n">
        <v>4</v>
      </c>
      <c r="C1791" t="inlineStr">
        <is>
          <t>Ankauf Rohstoff</t>
        </is>
      </c>
      <c r="D1791" t="inlineStr">
        <is>
          <t>Vorleistungen</t>
        </is>
      </c>
      <c r="E1791" t="n">
        <v>1408.24</v>
      </c>
      <c r="F1791" t="n">
        <v>16898.9</v>
      </c>
    </row>
    <row r="1792">
      <c r="A1792" t="n">
        <v>2030</v>
      </c>
      <c r="B1792" t="n">
        <v>4</v>
      </c>
      <c r="C1792" t="inlineStr">
        <is>
          <t>Erloesschmaeler</t>
        </is>
      </c>
      <c r="D1792" t="inlineStr">
        <is>
          <t>Gesamtleistung</t>
        </is>
      </c>
      <c r="E1792" t="n">
        <v>-9690.75</v>
      </c>
      <c r="F1792" t="n">
        <v>-116289.05</v>
      </c>
    </row>
    <row r="1793">
      <c r="A1793" t="n">
        <v>2029</v>
      </c>
      <c r="B1793" t="n">
        <v>4</v>
      </c>
      <c r="C1793" t="inlineStr">
        <is>
          <t>Sonst Fuhrparkkosten</t>
        </is>
      </c>
      <c r="D1793" t="inlineStr">
        <is>
          <t>Fuhrparkkosten</t>
        </is>
      </c>
      <c r="E1793" t="n">
        <v>5605.91</v>
      </c>
      <c r="F1793" t="n">
        <v>67270.89</v>
      </c>
    </row>
    <row r="1794">
      <c r="A1794" t="n">
        <v>2027</v>
      </c>
      <c r="B1794" t="n">
        <v>4</v>
      </c>
      <c r="C1794" t="inlineStr">
        <is>
          <t>Soziale Abgaben</t>
        </is>
      </c>
      <c r="D1794" t="inlineStr">
        <is>
          <t>Personalaufwand</t>
        </is>
      </c>
      <c r="E1794" t="n">
        <v>75903.69</v>
      </c>
      <c r="F1794" t="n">
        <v>910844.28</v>
      </c>
    </row>
    <row r="1795">
      <c r="A1795" t="n">
        <v>2031</v>
      </c>
      <c r="B1795" t="n">
        <v>4</v>
      </c>
      <c r="C1795" t="inlineStr">
        <is>
          <t>Erloesschmaeler</t>
        </is>
      </c>
      <c r="D1795" t="inlineStr">
        <is>
          <t>Gesamtleistung</t>
        </is>
      </c>
      <c r="E1795" t="n">
        <v>-10347.15</v>
      </c>
      <c r="F1795" t="n">
        <v>-124165.81</v>
      </c>
    </row>
    <row r="1796">
      <c r="A1796" t="n">
        <v>2029</v>
      </c>
      <c r="B1796" t="n">
        <v>4</v>
      </c>
      <c r="C1796" t="inlineStr">
        <is>
          <t>Ertr. weiterber</t>
        </is>
      </c>
      <c r="D1796" t="inlineStr">
        <is>
          <t>Gesamtleistung</t>
        </is>
      </c>
      <c r="E1796" t="n">
        <v>1036.39</v>
      </c>
      <c r="F1796" t="n">
        <v>12436.69</v>
      </c>
    </row>
    <row r="1797">
      <c r="A1797" t="n">
        <v>2027</v>
      </c>
      <c r="B1797" t="n">
        <v>4</v>
      </c>
      <c r="C1797" t="inlineStr">
        <is>
          <t>Sonderz. Prämie</t>
        </is>
      </c>
      <c r="D1797" t="inlineStr">
        <is>
          <t>Personalaufwand</t>
        </is>
      </c>
      <c r="E1797" t="n">
        <v>19636.08</v>
      </c>
      <c r="F1797" t="n">
        <v>235633</v>
      </c>
    </row>
    <row r="1798">
      <c r="A1798" t="n">
        <v>2027</v>
      </c>
      <c r="B1798" t="n">
        <v>4</v>
      </c>
      <c r="C1798" t="inlineStr">
        <is>
          <t>Miete Behälter</t>
        </is>
      </c>
      <c r="D1798" t="inlineStr">
        <is>
          <t>Instandh. Betriebsausstattung</t>
        </is>
      </c>
      <c r="E1798" t="n">
        <v>22.94</v>
      </c>
      <c r="F1798" t="n">
        <v>275.23</v>
      </c>
    </row>
    <row r="1799">
      <c r="A1799" t="n">
        <v>2031</v>
      </c>
      <c r="B1799" t="n">
        <v>4</v>
      </c>
      <c r="C1799" t="inlineStr">
        <is>
          <t>Versicherungskosten</t>
        </is>
      </c>
      <c r="D1799" t="inlineStr">
        <is>
          <t>Verwaltungskosten</t>
        </is>
      </c>
      <c r="E1799" t="n">
        <v>12143.81</v>
      </c>
      <c r="F1799" t="n">
        <v>145725.66</v>
      </c>
    </row>
    <row r="1800">
      <c r="A1800" t="n">
        <v>2029</v>
      </c>
      <c r="B1800" t="n">
        <v>4</v>
      </c>
      <c r="C1800" t="inlineStr">
        <is>
          <t>Rechts- u. Beratungs</t>
        </is>
      </c>
      <c r="D1800" t="inlineStr">
        <is>
          <t>Verwaltungskosten</t>
        </is>
      </c>
      <c r="E1800" t="n">
        <v>27197.22</v>
      </c>
      <c r="F1800" t="n">
        <v>326366.65</v>
      </c>
    </row>
    <row r="1801">
      <c r="A1801" t="n">
        <v>2028</v>
      </c>
      <c r="B1801" t="n">
        <v>4</v>
      </c>
      <c r="C1801" t="inlineStr">
        <is>
          <t>Instandh.Fuhrp</t>
        </is>
      </c>
      <c r="D1801" t="inlineStr">
        <is>
          <t>Fuhrparkkosten</t>
        </is>
      </c>
      <c r="E1801" t="n">
        <v>32180.39</v>
      </c>
      <c r="F1801" t="n">
        <v>386164.66</v>
      </c>
    </row>
    <row r="1802">
      <c r="A1802" t="n">
        <v>2030</v>
      </c>
      <c r="B1802" t="n">
        <v>4</v>
      </c>
      <c r="C1802" t="inlineStr">
        <is>
          <t>Miete Grdst/Gebäud</t>
        </is>
      </c>
      <c r="D1802" t="inlineStr">
        <is>
          <t>Raumkosten</t>
        </is>
      </c>
      <c r="E1802" t="n">
        <v>18603.32</v>
      </c>
      <c r="F1802" t="n">
        <v>223239.88</v>
      </c>
    </row>
    <row r="1803">
      <c r="A1803" t="n">
        <v>2027</v>
      </c>
      <c r="B1803" t="n">
        <v>4</v>
      </c>
      <c r="C1803" t="inlineStr">
        <is>
          <t>Ueb. bezog.Leis</t>
        </is>
      </c>
      <c r="D1803" t="inlineStr">
        <is>
          <t>Vorleistungen</t>
        </is>
      </c>
      <c r="E1803" t="n">
        <v>1319862.34</v>
      </c>
      <c r="F1803" t="n">
        <v>15838348.13</v>
      </c>
    </row>
    <row r="1804">
      <c r="A1804" t="n">
        <v>2029</v>
      </c>
      <c r="B1804" t="n">
        <v>4</v>
      </c>
      <c r="C1804" t="inlineStr">
        <is>
          <t>Erl. Waren Dt.</t>
        </is>
      </c>
      <c r="D1804" t="inlineStr">
        <is>
          <t>Gesamtleistung</t>
        </is>
      </c>
      <c r="E1804" t="n">
        <v>47334.08</v>
      </c>
      <c r="F1804" t="n">
        <v>568008.92</v>
      </c>
    </row>
    <row r="1805">
      <c r="A1805" t="n">
        <v>2031</v>
      </c>
      <c r="B1805" t="n">
        <v>4</v>
      </c>
      <c r="C1805" t="inlineStr">
        <is>
          <t>Treibstoffe, Oe</t>
        </is>
      </c>
      <c r="D1805" t="inlineStr">
        <is>
          <t>Fuhrparkkosten</t>
        </is>
      </c>
      <c r="E1805" t="n">
        <v>36227.88</v>
      </c>
      <c r="F1805" t="n">
        <v>434734.54</v>
      </c>
    </row>
    <row r="1806">
      <c r="A1806" t="n">
        <v>2029</v>
      </c>
      <c r="B1806" t="n">
        <v>4</v>
      </c>
      <c r="C1806" t="inlineStr">
        <is>
          <t>Miete Behälter</t>
        </is>
      </c>
      <c r="D1806" t="inlineStr">
        <is>
          <t>Instandh. Betriebsausstattung</t>
        </is>
      </c>
      <c r="E1806" t="n">
        <v>25.29</v>
      </c>
      <c r="F1806" t="n">
        <v>303.45</v>
      </c>
    </row>
    <row r="1807">
      <c r="A1807" t="n">
        <v>2030</v>
      </c>
      <c r="B1807" t="n">
        <v>4</v>
      </c>
      <c r="C1807" t="inlineStr">
        <is>
          <t>Instandh. BGA</t>
        </is>
      </c>
      <c r="D1807" t="inlineStr">
        <is>
          <t>Instandh. Betriebsausstattung</t>
        </is>
      </c>
      <c r="E1807" t="n">
        <v>4880.6</v>
      </c>
      <c r="F1807" t="n">
        <v>58567.23</v>
      </c>
    </row>
    <row r="1808">
      <c r="A1808" t="n">
        <v>2030</v>
      </c>
      <c r="B1808" t="n">
        <v>4</v>
      </c>
      <c r="C1808" t="inlineStr">
        <is>
          <t>Lohn + Gehalt</t>
        </is>
      </c>
      <c r="D1808" t="inlineStr">
        <is>
          <t>Personalaufwand</t>
        </is>
      </c>
      <c r="E1808" t="n">
        <v>392030.8</v>
      </c>
      <c r="F1808" t="n">
        <v>4704369.59</v>
      </c>
    </row>
    <row r="1809">
      <c r="A1809" t="n">
        <v>2027</v>
      </c>
      <c r="B1809" t="n">
        <v>4</v>
      </c>
      <c r="C1809" t="inlineStr">
        <is>
          <t>Bestandsveraend</t>
        </is>
      </c>
      <c r="D1809" t="inlineStr">
        <is>
          <t>Gesamtleistung</t>
        </is>
      </c>
      <c r="E1809" t="n">
        <v>0</v>
      </c>
      <c r="F1809" t="n">
        <v>0</v>
      </c>
    </row>
    <row r="1810">
      <c r="A1810" t="n">
        <v>2027</v>
      </c>
      <c r="B1810" t="n">
        <v>4</v>
      </c>
      <c r="C1810" t="inlineStr">
        <is>
          <t>Aufw. so. Hilfs</t>
        </is>
      </c>
      <c r="D1810" t="inlineStr">
        <is>
          <t>Vorleistungen</t>
        </is>
      </c>
      <c r="E1810" t="n">
        <v>-16362.04</v>
      </c>
      <c r="F1810" t="n">
        <v>-196344.47</v>
      </c>
    </row>
    <row r="1811">
      <c r="A1811" t="n">
        <v>2027</v>
      </c>
      <c r="B1811" t="n">
        <v>4</v>
      </c>
      <c r="C1811" t="inlineStr">
        <is>
          <t>Aufw. f. Alters</t>
        </is>
      </c>
      <c r="D1811" t="inlineStr">
        <is>
          <t>Personalaufwand</t>
        </is>
      </c>
      <c r="E1811" t="n">
        <v>1234.77</v>
      </c>
      <c r="F1811" t="n">
        <v>14817.29</v>
      </c>
    </row>
    <row r="1812">
      <c r="A1812" t="n">
        <v>2027</v>
      </c>
      <c r="B1812" t="n">
        <v>4</v>
      </c>
      <c r="C1812" t="inlineStr">
        <is>
          <t>Vertriebskosten</t>
        </is>
      </c>
      <c r="D1812" t="inlineStr">
        <is>
          <t>Vertriebskosten</t>
        </is>
      </c>
      <c r="E1812" t="n">
        <v>10833.33</v>
      </c>
      <c r="F1812" t="n">
        <v>130000</v>
      </c>
    </row>
    <row r="1813">
      <c r="A1813" t="n">
        <v>2027</v>
      </c>
      <c r="B1813" t="n">
        <v>4</v>
      </c>
      <c r="C1813" t="inlineStr">
        <is>
          <t>Ertrag KFZ-Nutz</t>
        </is>
      </c>
      <c r="D1813" t="inlineStr">
        <is>
          <t>Gesamtleistung</t>
        </is>
      </c>
      <c r="E1813" t="n">
        <v>8029.69</v>
      </c>
      <c r="F1813" t="n">
        <v>96356.3</v>
      </c>
    </row>
    <row r="1814">
      <c r="A1814" t="n">
        <v>2031</v>
      </c>
      <c r="B1814" t="n">
        <v>4</v>
      </c>
      <c r="C1814" t="inlineStr">
        <is>
          <t>Lohn + Gehalt</t>
        </is>
      </c>
      <c r="D1814" t="inlineStr">
        <is>
          <t>Personalaufwand</t>
        </is>
      </c>
      <c r="E1814" t="n">
        <v>428257.62</v>
      </c>
      <c r="F1814" t="n">
        <v>5139091.39</v>
      </c>
    </row>
    <row r="1815">
      <c r="A1815" t="n">
        <v>2031</v>
      </c>
      <c r="B1815" t="n">
        <v>4</v>
      </c>
      <c r="C1815" t="inlineStr">
        <is>
          <t>Soziale Abgaben</t>
        </is>
      </c>
      <c r="D1815" t="inlineStr">
        <is>
          <t>Personalaufwand</t>
        </is>
      </c>
      <c r="E1815" t="n">
        <v>113909.76</v>
      </c>
      <c r="F1815" t="n">
        <v>1366917.09</v>
      </c>
    </row>
    <row r="1816">
      <c r="A1816" t="n">
        <v>2031</v>
      </c>
      <c r="B1816" t="n">
        <v>4</v>
      </c>
      <c r="C1816" t="inlineStr">
        <is>
          <t>Sonst Fuhrparkkosten</t>
        </is>
      </c>
      <c r="D1816" t="inlineStr">
        <is>
          <t>Fuhrparkkosten</t>
        </is>
      </c>
      <c r="E1816" t="n">
        <v>6298.8</v>
      </c>
      <c r="F1816" t="n">
        <v>75585.56</v>
      </c>
    </row>
    <row r="1817">
      <c r="A1817" t="n">
        <v>2030</v>
      </c>
      <c r="B1817" t="n">
        <v>4</v>
      </c>
      <c r="C1817" t="inlineStr">
        <is>
          <t>Miete Behälter</t>
        </is>
      </c>
      <c r="D1817" t="inlineStr">
        <is>
          <t>Instandh. Betriebsausstattung</t>
        </is>
      </c>
      <c r="E1817" t="n">
        <v>26.55</v>
      </c>
      <c r="F1817" t="n">
        <v>318.62</v>
      </c>
    </row>
    <row r="1818">
      <c r="A1818" t="n">
        <v>2028</v>
      </c>
      <c r="B1818" t="n">
        <v>4</v>
      </c>
      <c r="C1818" t="inlineStr">
        <is>
          <t>Miete PKW</t>
        </is>
      </c>
      <c r="D1818" t="inlineStr">
        <is>
          <t>Fuhrparkkosten</t>
        </is>
      </c>
      <c r="E1818" t="n">
        <v>4890.62</v>
      </c>
      <c r="F1818" t="n">
        <v>58687.43</v>
      </c>
    </row>
    <row r="1819">
      <c r="A1819" t="n">
        <v>2030</v>
      </c>
      <c r="B1819" t="n">
        <v>4</v>
      </c>
      <c r="C1819" t="inlineStr">
        <is>
          <t>Aufwand Umlage</t>
        </is>
      </c>
      <c r="D1819" t="inlineStr">
        <is>
          <t>Verwaltungskosten</t>
        </is>
      </c>
      <c r="E1819" t="n">
        <v>3696.96</v>
      </c>
      <c r="F1819" t="n">
        <v>44363.53</v>
      </c>
    </row>
    <row r="1820">
      <c r="A1820" t="n">
        <v>2030</v>
      </c>
      <c r="B1820" t="n">
        <v>4</v>
      </c>
      <c r="C1820" t="inlineStr">
        <is>
          <t>So. betr. Aufwa</t>
        </is>
      </c>
      <c r="D1820" t="inlineStr">
        <is>
          <t>Verwaltungskosten</t>
        </is>
      </c>
      <c r="E1820" t="n">
        <v>714.05</v>
      </c>
      <c r="F1820" t="n">
        <v>8568.57</v>
      </c>
    </row>
    <row r="1821">
      <c r="A1821" t="n">
        <v>2029</v>
      </c>
      <c r="B1821" t="n">
        <v>4</v>
      </c>
      <c r="C1821" t="inlineStr">
        <is>
          <t>Versicherungskosten</t>
        </is>
      </c>
      <c r="D1821" t="inlineStr">
        <is>
          <t>Verwaltungskosten</t>
        </is>
      </c>
      <c r="E1821" t="n">
        <v>11446.7</v>
      </c>
      <c r="F1821" t="n">
        <v>137360.42</v>
      </c>
    </row>
    <row r="1822">
      <c r="A1822" t="n">
        <v>2027</v>
      </c>
      <c r="B1822" t="n">
        <v>4</v>
      </c>
      <c r="C1822" t="inlineStr">
        <is>
          <t>Sonstige Steuer</t>
        </is>
      </c>
      <c r="D1822" t="inlineStr">
        <is>
          <t>Fuhrparkkosten</t>
        </is>
      </c>
      <c r="E1822" t="n">
        <v>1497.31</v>
      </c>
      <c r="F1822" t="n">
        <v>17967.71</v>
      </c>
    </row>
    <row r="1823">
      <c r="A1823" t="n">
        <v>2031</v>
      </c>
      <c r="B1823" t="n">
        <v>4</v>
      </c>
      <c r="C1823" t="inlineStr">
        <is>
          <t>Leasing LKW</t>
        </is>
      </c>
      <c r="D1823" t="inlineStr">
        <is>
          <t>Fuhrparkkosten</t>
        </is>
      </c>
      <c r="E1823" t="n">
        <v>2910.36</v>
      </c>
      <c r="F1823" t="n">
        <v>34924.28</v>
      </c>
    </row>
    <row r="1824">
      <c r="A1824" t="n">
        <v>2029</v>
      </c>
      <c r="B1824" t="n">
        <v>4</v>
      </c>
      <c r="C1824" t="inlineStr">
        <is>
          <t>Leasing LKW</t>
        </is>
      </c>
      <c r="D1824" t="inlineStr">
        <is>
          <t>Fuhrparkkosten</t>
        </is>
      </c>
      <c r="E1824" t="n">
        <v>2590.21</v>
      </c>
      <c r="F1824" t="n">
        <v>31082.49</v>
      </c>
    </row>
    <row r="1825">
      <c r="A1825" t="n">
        <v>2027</v>
      </c>
      <c r="B1825" t="n">
        <v>4</v>
      </c>
      <c r="C1825" t="inlineStr">
        <is>
          <t>Instandh.Fuhrp</t>
        </is>
      </c>
      <c r="D1825" t="inlineStr">
        <is>
          <t>Fuhrparkkosten</t>
        </is>
      </c>
      <c r="E1825" t="n">
        <v>30358.86</v>
      </c>
      <c r="F1825" t="n">
        <v>364306.28</v>
      </c>
    </row>
    <row r="1826">
      <c r="A1826" t="n">
        <v>2029</v>
      </c>
      <c r="B1826" t="n">
        <v>4</v>
      </c>
      <c r="C1826" t="inlineStr">
        <is>
          <t>Vertriebskosten</t>
        </is>
      </c>
      <c r="D1826" t="inlineStr">
        <is>
          <t>Vertriebskosten</t>
        </is>
      </c>
      <c r="E1826" t="n">
        <v>11943.75</v>
      </c>
      <c r="F1826" t="n">
        <v>143325</v>
      </c>
    </row>
    <row r="1827">
      <c r="A1827" t="n">
        <v>2031</v>
      </c>
      <c r="B1827" t="n">
        <v>4</v>
      </c>
      <c r="C1827" t="inlineStr">
        <is>
          <t>Miete Grdst/Gebäud</t>
        </is>
      </c>
      <c r="D1827" t="inlineStr">
        <is>
          <t>Raumkosten</t>
        </is>
      </c>
      <c r="E1827" t="n">
        <v>18975.39</v>
      </c>
      <c r="F1827" t="n">
        <v>227704.65</v>
      </c>
    </row>
    <row r="1828">
      <c r="A1828" t="n">
        <v>2029</v>
      </c>
      <c r="B1828" t="n">
        <v>4</v>
      </c>
      <c r="C1828" t="inlineStr">
        <is>
          <t>Uebr.neutr. Ert</t>
        </is>
      </c>
      <c r="D1828" t="inlineStr">
        <is>
          <t>Gesamtleistung</t>
        </is>
      </c>
      <c r="E1828" t="n">
        <v>189.9</v>
      </c>
      <c r="F1828" t="n">
        <v>2278.85</v>
      </c>
    </row>
    <row r="1829">
      <c r="A1829" t="n">
        <v>2030</v>
      </c>
      <c r="B1829" t="n">
        <v>4</v>
      </c>
      <c r="C1829" t="inlineStr">
        <is>
          <t>Behaelterkosten</t>
        </is>
      </c>
      <c r="D1829" t="inlineStr">
        <is>
          <t>Instandh. Betriebsausstattung</t>
        </is>
      </c>
      <c r="E1829" t="n">
        <v>12.75</v>
      </c>
      <c r="F1829" t="n">
        <v>153.03</v>
      </c>
    </row>
    <row r="1830">
      <c r="A1830" t="n">
        <v>2029</v>
      </c>
      <c r="B1830" t="n">
        <v>4</v>
      </c>
      <c r="C1830" t="inlineStr">
        <is>
          <t>IT-Aufwendungen</t>
        </is>
      </c>
      <c r="D1830" t="inlineStr">
        <is>
          <t>Verwaltungskosten</t>
        </is>
      </c>
      <c r="E1830" t="n">
        <v>12302.44</v>
      </c>
      <c r="F1830" t="n">
        <v>147629.28</v>
      </c>
    </row>
    <row r="1831">
      <c r="A1831" t="n">
        <v>2028</v>
      </c>
      <c r="B1831" t="n">
        <v>4</v>
      </c>
      <c r="C1831" t="inlineStr">
        <is>
          <t>Instandh. BGA</t>
        </is>
      </c>
      <c r="D1831" t="inlineStr">
        <is>
          <t>Instandh. Betriebsausstattung</t>
        </is>
      </c>
      <c r="E1831" t="n">
        <v>4426.85</v>
      </c>
      <c r="F1831" t="n">
        <v>53122.2</v>
      </c>
    </row>
    <row r="1832">
      <c r="A1832" t="n">
        <v>2029</v>
      </c>
      <c r="B1832" t="n">
        <v>4</v>
      </c>
      <c r="C1832" t="inlineStr">
        <is>
          <t>Instandh.Fuhrp</t>
        </is>
      </c>
      <c r="D1832" t="inlineStr">
        <is>
          <t>Fuhrparkkosten</t>
        </is>
      </c>
      <c r="E1832" t="n">
        <v>34111.21</v>
      </c>
      <c r="F1832" t="n">
        <v>409334.56</v>
      </c>
    </row>
    <row r="1833">
      <c r="A1833" t="n">
        <v>2031</v>
      </c>
      <c r="B1833" t="n">
        <v>4</v>
      </c>
      <c r="C1833" t="inlineStr">
        <is>
          <t>Rechts- u. Beratungs</t>
        </is>
      </c>
      <c r="D1833" t="inlineStr">
        <is>
          <t>Verwaltungskosten</t>
        </is>
      </c>
      <c r="E1833" t="n">
        <v>28853.53</v>
      </c>
      <c r="F1833" t="n">
        <v>346242.38</v>
      </c>
    </row>
    <row r="1834">
      <c r="A1834" t="n">
        <v>2029</v>
      </c>
      <c r="B1834" t="n">
        <v>4</v>
      </c>
      <c r="C1834" t="inlineStr">
        <is>
          <t>Ertrag KFZ-Nutz</t>
        </is>
      </c>
      <c r="D1834" t="inlineStr">
        <is>
          <t>Gesamtleistung</t>
        </is>
      </c>
      <c r="E1834" t="n">
        <v>8815.82</v>
      </c>
      <c r="F1834" t="n">
        <v>105789.86</v>
      </c>
    </row>
    <row r="1835">
      <c r="A1835" t="n">
        <v>2030</v>
      </c>
      <c r="B1835" t="n">
        <v>4</v>
      </c>
      <c r="C1835" t="inlineStr">
        <is>
          <t>Ertr. weiterber</t>
        </is>
      </c>
      <c r="D1835" t="inlineStr">
        <is>
          <t>Gesamtleistung</t>
        </is>
      </c>
      <c r="E1835" t="n">
        <v>1104.47</v>
      </c>
      <c r="F1835" t="n">
        <v>13253.67</v>
      </c>
    </row>
    <row r="1836">
      <c r="A1836" t="n">
        <v>2028</v>
      </c>
      <c r="B1836" t="n">
        <v>4</v>
      </c>
      <c r="C1836" t="inlineStr">
        <is>
          <t>Leasing PKW</t>
        </is>
      </c>
      <c r="D1836" t="inlineStr">
        <is>
          <t>Fuhrparkkosten</t>
        </is>
      </c>
      <c r="E1836" t="n">
        <v>23256.85</v>
      </c>
      <c r="F1836" t="n">
        <v>279082.22</v>
      </c>
    </row>
    <row r="1837">
      <c r="A1837" t="n">
        <v>2028</v>
      </c>
      <c r="B1837" t="n">
        <v>4</v>
      </c>
      <c r="C1837" t="inlineStr">
        <is>
          <t>Treibstoffe, Oe</t>
        </is>
      </c>
      <c r="D1837" t="inlineStr">
        <is>
          <t>Fuhrparkkosten</t>
        </is>
      </c>
      <c r="E1837" t="n">
        <v>30417.62</v>
      </c>
      <c r="F1837" t="n">
        <v>365011.49</v>
      </c>
    </row>
    <row r="1838">
      <c r="A1838" t="n">
        <v>2029</v>
      </c>
      <c r="B1838" t="n">
        <v>4</v>
      </c>
      <c r="C1838" t="inlineStr">
        <is>
          <t>Miete PKW</t>
        </is>
      </c>
      <c r="D1838" t="inlineStr">
        <is>
          <t>Fuhrparkkosten</t>
        </is>
      </c>
      <c r="E1838" t="n">
        <v>5184.06</v>
      </c>
      <c r="F1838" t="n">
        <v>62208.67</v>
      </c>
    </row>
    <row r="1839">
      <c r="A1839" t="n">
        <v>2028</v>
      </c>
      <c r="B1839" t="n">
        <v>4</v>
      </c>
      <c r="C1839" t="inlineStr">
        <is>
          <t>Ertr. weiterber</t>
        </is>
      </c>
      <c r="D1839" t="inlineStr">
        <is>
          <t>Gesamtleistung</t>
        </is>
      </c>
      <c r="E1839" t="n">
        <v>980.91</v>
      </c>
      <c r="F1839" t="n">
        <v>11770.87</v>
      </c>
    </row>
    <row r="1840">
      <c r="A1840" t="n">
        <v>2029</v>
      </c>
      <c r="B1840" t="n">
        <v>4</v>
      </c>
      <c r="C1840" t="inlineStr">
        <is>
          <t>Instandh. BGA</t>
        </is>
      </c>
      <c r="D1840" t="inlineStr">
        <is>
          <t>Instandh. Betriebsausstattung</t>
        </is>
      </c>
      <c r="E1840" t="n">
        <v>4648.19</v>
      </c>
      <c r="F1840" t="n">
        <v>55778.31</v>
      </c>
    </row>
    <row r="1841">
      <c r="A1841" t="n">
        <v>2028</v>
      </c>
      <c r="B1841" t="n">
        <v>4</v>
      </c>
      <c r="C1841" t="inlineStr">
        <is>
          <t>Erl. so. DL Dt.</t>
        </is>
      </c>
      <c r="D1841" t="inlineStr">
        <is>
          <t>Gesamtleistung</t>
        </is>
      </c>
      <c r="E1841" t="n">
        <v>2095866.37</v>
      </c>
      <c r="F1841" t="n">
        <v>25150396.49</v>
      </c>
    </row>
    <row r="1842">
      <c r="A1842" t="n">
        <v>2028</v>
      </c>
      <c r="B1842" t="n">
        <v>4</v>
      </c>
      <c r="C1842" t="inlineStr">
        <is>
          <t>IT-Aufwendungen</t>
        </is>
      </c>
      <c r="D1842" t="inlineStr">
        <is>
          <t>Verwaltungskosten</t>
        </is>
      </c>
      <c r="E1842" t="n">
        <v>11944.12</v>
      </c>
      <c r="F1842" t="n">
        <v>143329.39</v>
      </c>
    </row>
    <row r="1843">
      <c r="A1843" t="n">
        <v>2029</v>
      </c>
      <c r="B1843" t="n">
        <v>4</v>
      </c>
      <c r="C1843" t="inlineStr">
        <is>
          <t>Ueb. bezog.Leis</t>
        </is>
      </c>
      <c r="D1843" t="inlineStr">
        <is>
          <t>Vorleistungen</t>
        </is>
      </c>
      <c r="E1843" t="n">
        <v>1364260.58</v>
      </c>
      <c r="F1843" t="n">
        <v>16371126.93</v>
      </c>
    </row>
    <row r="1844">
      <c r="A1844" t="n">
        <v>2031</v>
      </c>
      <c r="B1844" t="n">
        <v>4</v>
      </c>
      <c r="C1844" t="inlineStr">
        <is>
          <t>Sonderz. Prämie</t>
        </is>
      </c>
      <c r="D1844" t="inlineStr">
        <is>
          <t>Personalaufwand</t>
        </is>
      </c>
      <c r="E1844" t="n">
        <v>26838.18</v>
      </c>
      <c r="F1844" t="n">
        <v>322058.2</v>
      </c>
    </row>
    <row r="1845">
      <c r="A1845" t="n">
        <v>2029</v>
      </c>
      <c r="B1845" t="n">
        <v>4</v>
      </c>
      <c r="C1845" t="inlineStr">
        <is>
          <t>Verwaltungskost</t>
        </is>
      </c>
      <c r="D1845" t="inlineStr">
        <is>
          <t>Verwaltungskosten</t>
        </is>
      </c>
      <c r="E1845" t="n">
        <v>7098.98</v>
      </c>
      <c r="F1845" t="n">
        <v>85187.74000000001</v>
      </c>
    </row>
    <row r="1846">
      <c r="A1846" t="n">
        <v>2028</v>
      </c>
      <c r="B1846" t="n">
        <v>4</v>
      </c>
      <c r="C1846" t="inlineStr">
        <is>
          <t>Ertrag KFZ-Nutz</t>
        </is>
      </c>
      <c r="D1846" t="inlineStr">
        <is>
          <t>Gesamtleistung</t>
        </is>
      </c>
      <c r="E1846" t="n">
        <v>8405.780000000001</v>
      </c>
      <c r="F1846" t="n">
        <v>100869.3</v>
      </c>
    </row>
    <row r="1847">
      <c r="A1847" t="n">
        <v>2030</v>
      </c>
      <c r="B1847" t="n">
        <v>4</v>
      </c>
      <c r="C1847" t="inlineStr">
        <is>
          <t>Sonst Fuhrparkkosten</t>
        </is>
      </c>
      <c r="D1847" t="inlineStr">
        <is>
          <t>Fuhrparkkosten</t>
        </is>
      </c>
      <c r="E1847" t="n">
        <v>5942.26</v>
      </c>
      <c r="F1847" t="n">
        <v>71307.13</v>
      </c>
    </row>
    <row r="1848">
      <c r="A1848" t="n">
        <v>2028</v>
      </c>
      <c r="B1848" t="n">
        <v>4</v>
      </c>
      <c r="C1848" t="inlineStr">
        <is>
          <t>Rechts- u. Beratungs</t>
        </is>
      </c>
      <c r="D1848" t="inlineStr">
        <is>
          <t>Verwaltungskosten</t>
        </is>
      </c>
      <c r="E1848" t="n">
        <v>26405.07</v>
      </c>
      <c r="F1848" t="n">
        <v>316860.83</v>
      </c>
    </row>
    <row r="1849">
      <c r="A1849" t="n">
        <v>2027</v>
      </c>
      <c r="B1849" t="n">
        <v>4</v>
      </c>
      <c r="C1849" t="inlineStr">
        <is>
          <t>Leasing LKW</t>
        </is>
      </c>
      <c r="D1849" t="inlineStr">
        <is>
          <t>Fuhrparkkosten</t>
        </is>
      </c>
      <c r="E1849" t="n">
        <v>2305.28</v>
      </c>
      <c r="F1849" t="n">
        <v>27663.3</v>
      </c>
    </row>
    <row r="1850">
      <c r="A1850" t="n">
        <v>2031</v>
      </c>
      <c r="B1850" t="n">
        <v>4</v>
      </c>
      <c r="C1850" t="inlineStr">
        <is>
          <t>Fremdl. Fuhrlei</t>
        </is>
      </c>
      <c r="D1850" t="inlineStr">
        <is>
          <t>Vorleistungen</t>
        </is>
      </c>
      <c r="E1850" t="n">
        <v>374.24</v>
      </c>
      <c r="F1850" t="n">
        <v>4490.84</v>
      </c>
    </row>
    <row r="1851">
      <c r="A1851" t="n">
        <v>2029</v>
      </c>
      <c r="B1851" t="n">
        <v>4</v>
      </c>
      <c r="C1851" t="inlineStr">
        <is>
          <t>Fremdl. Fuhrlei</t>
        </is>
      </c>
      <c r="D1851" t="inlineStr">
        <is>
          <t>Vorleistungen</t>
        </is>
      </c>
      <c r="E1851" t="n">
        <v>362.07</v>
      </c>
      <c r="F1851" t="n">
        <v>4344.88</v>
      </c>
    </row>
    <row r="1852">
      <c r="A1852" t="n">
        <v>2028</v>
      </c>
      <c r="B1852" t="n">
        <v>4</v>
      </c>
      <c r="C1852" t="inlineStr">
        <is>
          <t>Vertriebskosten</t>
        </is>
      </c>
      <c r="D1852" t="inlineStr">
        <is>
          <t>Vertriebskosten</t>
        </is>
      </c>
      <c r="E1852" t="n">
        <v>11375</v>
      </c>
      <c r="F1852" t="n">
        <v>136500</v>
      </c>
    </row>
    <row r="1853">
      <c r="A1853" t="n">
        <v>2031</v>
      </c>
      <c r="B1853" t="n">
        <v>4</v>
      </c>
      <c r="C1853" t="inlineStr">
        <is>
          <t>Aufw. so. Hilfs</t>
        </is>
      </c>
      <c r="D1853" t="inlineStr">
        <is>
          <t>Vorleistungen</t>
        </is>
      </c>
      <c r="E1853" t="n">
        <v>-17544.22</v>
      </c>
      <c r="F1853" t="n">
        <v>-210530.6</v>
      </c>
    </row>
    <row r="1854">
      <c r="A1854" t="n">
        <v>2029</v>
      </c>
      <c r="B1854" t="n">
        <v>4</v>
      </c>
      <c r="C1854" t="inlineStr">
        <is>
          <t>Ankauf Rohstoff</t>
        </is>
      </c>
      <c r="D1854" t="inlineStr">
        <is>
          <t>Vorleistungen</t>
        </is>
      </c>
      <c r="E1854" t="n">
        <v>1473.64</v>
      </c>
      <c r="F1854" t="n">
        <v>17683.65</v>
      </c>
    </row>
    <row r="1855">
      <c r="A1855" t="n">
        <v>2028</v>
      </c>
      <c r="B1855" t="n">
        <v>4</v>
      </c>
      <c r="C1855" t="inlineStr">
        <is>
          <t>Sonstige Steuer</t>
        </is>
      </c>
      <c r="D1855" t="inlineStr">
        <is>
          <t>Fuhrparkkosten</t>
        </is>
      </c>
      <c r="E1855" t="n">
        <v>1587.15</v>
      </c>
      <c r="F1855" t="n">
        <v>19045.76</v>
      </c>
    </row>
    <row r="1856">
      <c r="A1856" t="n">
        <v>2030</v>
      </c>
      <c r="B1856" t="n">
        <v>4</v>
      </c>
      <c r="C1856" t="inlineStr">
        <is>
          <t>Weiterber. Frem</t>
        </is>
      </c>
      <c r="D1856" t="inlineStr">
        <is>
          <t>Vorleistungen</t>
        </is>
      </c>
      <c r="E1856" t="n">
        <v>0</v>
      </c>
      <c r="F1856" t="n">
        <v>0</v>
      </c>
    </row>
    <row r="1857">
      <c r="A1857" t="n">
        <v>2031</v>
      </c>
      <c r="B1857" t="n">
        <v>4</v>
      </c>
      <c r="C1857" t="inlineStr">
        <is>
          <t>Miete Behälter</t>
        </is>
      </c>
      <c r="D1857" t="inlineStr">
        <is>
          <t>Instandh. Betriebsausstattung</t>
        </is>
      </c>
      <c r="E1857" t="n">
        <v>27.88</v>
      </c>
      <c r="F1857" t="n">
        <v>334.55</v>
      </c>
    </row>
    <row r="1858">
      <c r="A1858" t="n">
        <v>2027</v>
      </c>
      <c r="B1858" t="n">
        <v>4</v>
      </c>
      <c r="C1858" t="inlineStr">
        <is>
          <t>Miete Grdst/Gebäud</t>
        </is>
      </c>
      <c r="D1858" t="inlineStr">
        <is>
          <t>Raumkosten</t>
        </is>
      </c>
      <c r="E1858" t="n">
        <v>15284.77</v>
      </c>
      <c r="F1858" t="n">
        <v>183417.26</v>
      </c>
    </row>
    <row r="1859">
      <c r="A1859" t="n">
        <v>2028</v>
      </c>
      <c r="B1859" t="n">
        <v>4</v>
      </c>
      <c r="C1859" t="inlineStr">
        <is>
          <t>Aufw. f. Alters</t>
        </is>
      </c>
      <c r="D1859" t="inlineStr">
        <is>
          <t>Personalaufwand</t>
        </is>
      </c>
      <c r="E1859" t="n">
        <v>1290.05</v>
      </c>
      <c r="F1859" t="n">
        <v>15480.56</v>
      </c>
    </row>
    <row r="1860">
      <c r="A1860" t="n">
        <v>2028</v>
      </c>
      <c r="B1860" t="n">
        <v>4</v>
      </c>
      <c r="C1860" t="inlineStr">
        <is>
          <t>Fremdl. Persona</t>
        </is>
      </c>
      <c r="D1860" t="inlineStr">
        <is>
          <t>Vorleistungen</t>
        </is>
      </c>
      <c r="E1860" t="n">
        <v>69.04000000000001</v>
      </c>
      <c r="F1860" t="n">
        <v>828.42</v>
      </c>
    </row>
    <row r="1861">
      <c r="A1861" t="n">
        <v>2030</v>
      </c>
      <c r="B1861" t="n">
        <v>4</v>
      </c>
      <c r="C1861" t="inlineStr">
        <is>
          <t>Vertriebskosten</t>
        </is>
      </c>
      <c r="D1861" t="inlineStr">
        <is>
          <t>Vertriebskosten</t>
        </is>
      </c>
      <c r="E1861" t="n">
        <v>12540.94</v>
      </c>
      <c r="F1861" t="n">
        <v>150491.26</v>
      </c>
    </row>
    <row r="1862">
      <c r="A1862" t="n">
        <v>2030</v>
      </c>
      <c r="B1862" t="n">
        <v>4</v>
      </c>
      <c r="C1862" t="inlineStr">
        <is>
          <t>Aufw. so. Hilfs</t>
        </is>
      </c>
      <c r="D1862" t="inlineStr">
        <is>
          <t>Vorleistungen</t>
        </is>
      </c>
      <c r="E1862" t="n">
        <v>-17197.35</v>
      </c>
      <c r="F1862" t="n">
        <v>-206368.2</v>
      </c>
    </row>
    <row r="1863">
      <c r="A1863" t="n">
        <v>2029</v>
      </c>
      <c r="B1863" t="n">
        <v>4</v>
      </c>
      <c r="C1863" t="inlineStr">
        <is>
          <t>Aufw. so. Hilfs</t>
        </is>
      </c>
      <c r="D1863" t="inlineStr">
        <is>
          <t>Vorleistungen</t>
        </is>
      </c>
      <c r="E1863" t="n">
        <v>-16834.66</v>
      </c>
      <c r="F1863" t="n">
        <v>-202015.88</v>
      </c>
    </row>
    <row r="1864">
      <c r="A1864" t="n">
        <v>2027</v>
      </c>
      <c r="B1864" t="n">
        <v>4</v>
      </c>
      <c r="C1864" t="inlineStr">
        <is>
          <t>Miete PKW</t>
        </is>
      </c>
      <c r="D1864" t="inlineStr">
        <is>
          <t>Fuhrparkkosten</t>
        </is>
      </c>
      <c r="E1864" t="n">
        <v>4613.79</v>
      </c>
      <c r="F1864" t="n">
        <v>55365.51</v>
      </c>
    </row>
    <row r="1865">
      <c r="A1865" t="n">
        <v>2030</v>
      </c>
      <c r="B1865" t="n">
        <v>4</v>
      </c>
      <c r="C1865" t="inlineStr">
        <is>
          <t>Fremdl. Fuhrlei</t>
        </is>
      </c>
      <c r="D1865" t="inlineStr">
        <is>
          <t>Vorleistungen</t>
        </is>
      </c>
      <c r="E1865" t="n">
        <v>368.3</v>
      </c>
      <c r="F1865" t="n">
        <v>4419.56</v>
      </c>
    </row>
    <row r="1866">
      <c r="A1866" t="n">
        <v>2030</v>
      </c>
      <c r="B1866" t="n">
        <v>4</v>
      </c>
      <c r="C1866" t="inlineStr">
        <is>
          <t>Miete PKW</t>
        </is>
      </c>
      <c r="D1866" t="inlineStr">
        <is>
          <t>Fuhrparkkosten</t>
        </is>
      </c>
      <c r="E1866" t="n">
        <v>5495.1</v>
      </c>
      <c r="F1866" t="n">
        <v>65941.19</v>
      </c>
    </row>
    <row r="1867">
      <c r="A1867" t="n">
        <v>2027</v>
      </c>
      <c r="B1867" t="n">
        <v>4</v>
      </c>
      <c r="C1867" t="inlineStr">
        <is>
          <t>Erl. Waren Dt.</t>
        </is>
      </c>
      <c r="D1867" t="inlineStr">
        <is>
          <t>Gesamtleistung</t>
        </is>
      </c>
      <c r="E1867" t="n">
        <v>42246.46</v>
      </c>
      <c r="F1867" t="n">
        <v>506957.51</v>
      </c>
    </row>
    <row r="1868">
      <c r="A1868" t="n">
        <v>2029</v>
      </c>
      <c r="B1868" t="n">
        <v>4</v>
      </c>
      <c r="C1868" t="inlineStr">
        <is>
          <t>Bestandsveraend</t>
        </is>
      </c>
      <c r="D1868" t="inlineStr">
        <is>
          <t>Gesamtleistung</t>
        </is>
      </c>
      <c r="E1868" t="n">
        <v>0</v>
      </c>
      <c r="F1868" t="n">
        <v>0</v>
      </c>
    </row>
    <row r="1869">
      <c r="A1869" t="n">
        <v>2031</v>
      </c>
      <c r="B1869" t="n">
        <v>4</v>
      </c>
      <c r="C1869" t="inlineStr">
        <is>
          <t>Leasing PKW</t>
        </is>
      </c>
      <c r="D1869" t="inlineStr">
        <is>
          <t>Fuhrparkkosten</t>
        </is>
      </c>
      <c r="E1869" t="n">
        <v>27699.28</v>
      </c>
      <c r="F1869" t="n">
        <v>332391.4</v>
      </c>
    </row>
    <row r="1870">
      <c r="A1870" t="n">
        <v>2029</v>
      </c>
      <c r="B1870" t="n">
        <v>4</v>
      </c>
      <c r="C1870" t="inlineStr">
        <is>
          <t>Behaelterkosten</t>
        </is>
      </c>
      <c r="D1870" t="inlineStr">
        <is>
          <t>Instandh. Betriebsausstattung</t>
        </is>
      </c>
      <c r="E1870" t="n">
        <v>12.15</v>
      </c>
      <c r="F1870" t="n">
        <v>145.74</v>
      </c>
    </row>
    <row r="1871">
      <c r="A1871" t="n">
        <v>2029</v>
      </c>
      <c r="B1871" t="n">
        <v>4</v>
      </c>
      <c r="C1871" t="inlineStr">
        <is>
          <t>Aufwand Umlage</t>
        </is>
      </c>
      <c r="D1871" t="inlineStr">
        <is>
          <t>Verwaltungskosten</t>
        </is>
      </c>
      <c r="E1871" t="n">
        <v>3589.28</v>
      </c>
      <c r="F1871" t="n">
        <v>43071.39</v>
      </c>
    </row>
    <row r="1872">
      <c r="A1872" t="n">
        <v>2030</v>
      </c>
      <c r="B1872" t="n">
        <v>4</v>
      </c>
      <c r="C1872" t="inlineStr">
        <is>
          <t>Instandh.Fuhrp</t>
        </is>
      </c>
      <c r="D1872" t="inlineStr">
        <is>
          <t>Fuhrparkkosten</t>
        </is>
      </c>
      <c r="E1872" t="n">
        <v>36157.89</v>
      </c>
      <c r="F1872" t="n">
        <v>433894.62</v>
      </c>
    </row>
    <row r="1873">
      <c r="A1873" t="n">
        <v>2028</v>
      </c>
      <c r="B1873" t="n">
        <v>4</v>
      </c>
      <c r="C1873" t="inlineStr">
        <is>
          <t>Sonderz. Prämie</t>
        </is>
      </c>
      <c r="D1873" t="inlineStr">
        <is>
          <t>Personalaufwand</t>
        </is>
      </c>
      <c r="E1873" t="n">
        <v>21386.26</v>
      </c>
      <c r="F1873" t="n">
        <v>256635.15</v>
      </c>
    </row>
    <row r="1874">
      <c r="A1874" t="n">
        <v>2029</v>
      </c>
      <c r="B1874" t="n">
        <v>4</v>
      </c>
      <c r="C1874" t="inlineStr">
        <is>
          <t>Aufw. f. Alters</t>
        </is>
      </c>
      <c r="D1874" t="inlineStr">
        <is>
          <t>Personalaufwand</t>
        </is>
      </c>
      <c r="E1874" t="n">
        <v>1366.43</v>
      </c>
      <c r="F1874" t="n">
        <v>16397.15</v>
      </c>
    </row>
    <row r="1875">
      <c r="A1875" t="n">
        <v>2027</v>
      </c>
      <c r="B1875" t="n">
        <v>4</v>
      </c>
      <c r="C1875" t="inlineStr">
        <is>
          <t>Ertr. weiterber</t>
        </is>
      </c>
      <c r="D1875" t="inlineStr">
        <is>
          <t>Gesamtleistung</t>
        </is>
      </c>
      <c r="E1875" t="n">
        <v>919.41</v>
      </c>
      <c r="F1875" t="n">
        <v>11032.96</v>
      </c>
    </row>
    <row r="1876">
      <c r="A1876" t="n">
        <v>2029</v>
      </c>
      <c r="B1876" t="n">
        <v>4</v>
      </c>
      <c r="C1876" t="inlineStr">
        <is>
          <t>So. betr. Aufwa</t>
        </is>
      </c>
      <c r="D1876" t="inlineStr">
        <is>
          <t>Verwaltungskosten</t>
        </is>
      </c>
      <c r="E1876" t="n">
        <v>693.25</v>
      </c>
      <c r="F1876" t="n">
        <v>8319.02</v>
      </c>
    </row>
    <row r="1877">
      <c r="A1877" t="n">
        <v>2031</v>
      </c>
      <c r="B1877" t="n">
        <v>4</v>
      </c>
      <c r="C1877" t="inlineStr">
        <is>
          <t>Ertr. weiterber</t>
        </is>
      </c>
      <c r="D1877" t="inlineStr">
        <is>
          <t>Gesamtleistung</t>
        </is>
      </c>
      <c r="E1877" t="n">
        <v>1173.93</v>
      </c>
      <c r="F1877" t="n">
        <v>14087.11</v>
      </c>
    </row>
    <row r="1878">
      <c r="A1878" t="n">
        <v>2031</v>
      </c>
      <c r="B1878" t="n">
        <v>4</v>
      </c>
      <c r="C1878" t="inlineStr">
        <is>
          <t>Ueb. bezog.Leis</t>
        </is>
      </c>
      <c r="D1878" t="inlineStr">
        <is>
          <t>Vorleistungen</t>
        </is>
      </c>
      <c r="E1878" t="n">
        <v>1404446.73</v>
      </c>
      <c r="F1878" t="n">
        <v>16853360.74</v>
      </c>
    </row>
    <row r="1879">
      <c r="A1879" t="n">
        <v>2027</v>
      </c>
      <c r="B1879" t="n">
        <v>4</v>
      </c>
      <c r="C1879" t="inlineStr">
        <is>
          <t>Fremdl. Fuhrlei</t>
        </is>
      </c>
      <c r="D1879" t="inlineStr">
        <is>
          <t>Vorleistungen</t>
        </is>
      </c>
      <c r="E1879" t="n">
        <v>371.09</v>
      </c>
      <c r="F1879" t="n">
        <v>4453.13</v>
      </c>
    </row>
    <row r="1880">
      <c r="A1880" t="n">
        <v>2027</v>
      </c>
      <c r="B1880" t="n">
        <v>4</v>
      </c>
      <c r="C1880" t="inlineStr">
        <is>
          <t>Behaelterkosten</t>
        </is>
      </c>
      <c r="D1880" t="inlineStr">
        <is>
          <t>Instandh. Betriebsausstattung</t>
        </is>
      </c>
      <c r="E1880" t="n">
        <v>11.02</v>
      </c>
      <c r="F1880" t="n">
        <v>132.19</v>
      </c>
    </row>
    <row r="1881">
      <c r="A1881" t="n">
        <v>2027</v>
      </c>
      <c r="B1881" t="n">
        <v>4</v>
      </c>
      <c r="C1881" t="inlineStr">
        <is>
          <t>Ueb Lohn-Gehalt</t>
        </is>
      </c>
      <c r="D1881" t="inlineStr">
        <is>
          <t>Personalaufwand</t>
        </is>
      </c>
      <c r="E1881" t="n">
        <v>30579.25</v>
      </c>
      <c r="F1881" t="n">
        <v>366951</v>
      </c>
    </row>
    <row r="1882">
      <c r="A1882" t="n">
        <v>2028</v>
      </c>
      <c r="B1882" t="n">
        <v>4</v>
      </c>
      <c r="C1882" t="inlineStr">
        <is>
          <t>Raumkosten</t>
        </is>
      </c>
      <c r="D1882" t="inlineStr">
        <is>
          <t>Raumkosten</t>
        </is>
      </c>
      <c r="E1882" t="n">
        <v>7023.98</v>
      </c>
      <c r="F1882" t="n">
        <v>84287.78</v>
      </c>
    </row>
    <row r="1883">
      <c r="A1883" t="n">
        <v>2031</v>
      </c>
      <c r="B1883" t="n">
        <v>4</v>
      </c>
      <c r="C1883" t="inlineStr">
        <is>
          <t>Bestandsveraend</t>
        </is>
      </c>
      <c r="D1883" t="inlineStr">
        <is>
          <t>Gesamtleistung</t>
        </is>
      </c>
      <c r="E1883" t="n">
        <v>0</v>
      </c>
      <c r="F1883" t="n">
        <v>0</v>
      </c>
    </row>
    <row r="1884">
      <c r="A1884" t="n">
        <v>2029</v>
      </c>
      <c r="B1884" t="n">
        <v>4</v>
      </c>
      <c r="C1884" t="inlineStr">
        <is>
          <t>Lohn + Gehalt</t>
        </is>
      </c>
      <c r="D1884" t="inlineStr">
        <is>
          <t>Personalaufwand</t>
        </is>
      </c>
      <c r="E1884" t="n">
        <v>356250.11</v>
      </c>
      <c r="F1884" t="n">
        <v>4275001.35</v>
      </c>
    </row>
    <row r="1885">
      <c r="A1885" t="n">
        <v>2029</v>
      </c>
      <c r="B1885" t="n">
        <v>4</v>
      </c>
      <c r="C1885" t="inlineStr">
        <is>
          <t>Aufw. Heizmat.</t>
        </is>
      </c>
      <c r="D1885" t="inlineStr">
        <is>
          <t>Vorleistungen</t>
        </is>
      </c>
      <c r="E1885" t="n">
        <v>245.07</v>
      </c>
      <c r="F1885" t="n">
        <v>2940.88</v>
      </c>
    </row>
    <row r="1886">
      <c r="A1886" t="n">
        <v>2031</v>
      </c>
      <c r="B1886" t="n">
        <v>4</v>
      </c>
      <c r="C1886" t="inlineStr">
        <is>
          <t>Verwaltungskost</t>
        </is>
      </c>
      <c r="D1886" t="inlineStr">
        <is>
          <t>Verwaltungskosten</t>
        </is>
      </c>
      <c r="E1886" t="n">
        <v>7531.31</v>
      </c>
      <c r="F1886" t="n">
        <v>90375.69</v>
      </c>
    </row>
    <row r="1887">
      <c r="A1887" t="n">
        <v>2028</v>
      </c>
      <c r="B1887" t="n">
        <v>4</v>
      </c>
      <c r="C1887" t="inlineStr">
        <is>
          <t>Erl. Waren Dt.</t>
        </is>
      </c>
      <c r="D1887" t="inlineStr">
        <is>
          <t>Gesamtleistung</t>
        </is>
      </c>
      <c r="E1887" t="n">
        <v>44950.49</v>
      </c>
      <c r="F1887" t="n">
        <v>539405.87</v>
      </c>
    </row>
    <row r="1888">
      <c r="A1888" t="n">
        <v>2030</v>
      </c>
      <c r="B1888" t="n">
        <v>4</v>
      </c>
      <c r="C1888" t="inlineStr">
        <is>
          <t>Uebr.neutr. Ert</t>
        </is>
      </c>
      <c r="D1888" t="inlineStr">
        <is>
          <t>Gesamtleistung</t>
        </is>
      </c>
      <c r="E1888" t="n">
        <v>207.38</v>
      </c>
      <c r="F1888" t="n">
        <v>2488.5</v>
      </c>
    </row>
    <row r="1889">
      <c r="A1889" t="n">
        <v>2030</v>
      </c>
      <c r="B1889" t="n">
        <v>4</v>
      </c>
      <c r="C1889" t="inlineStr">
        <is>
          <t>Raumkosten</t>
        </is>
      </c>
      <c r="D1889" t="inlineStr">
        <is>
          <t>Raumkosten</t>
        </is>
      </c>
      <c r="E1889" t="n">
        <v>7307.75</v>
      </c>
      <c r="F1889" t="n">
        <v>87693</v>
      </c>
    </row>
    <row r="1890">
      <c r="A1890" t="n">
        <v>2030</v>
      </c>
      <c r="B1890" t="n">
        <v>4</v>
      </c>
      <c r="C1890" t="inlineStr">
        <is>
          <t>Fremdl. Persona</t>
        </is>
      </c>
      <c r="D1890" t="inlineStr">
        <is>
          <t>Vorleistungen</t>
        </is>
      </c>
      <c r="E1890" t="n">
        <v>76.56999999999999</v>
      </c>
      <c r="F1890" t="n">
        <v>918.79</v>
      </c>
    </row>
    <row r="1891">
      <c r="A1891" t="n">
        <v>2027</v>
      </c>
      <c r="B1891" t="n">
        <v>4</v>
      </c>
      <c r="C1891" t="inlineStr">
        <is>
          <t>Leasing PKW</t>
        </is>
      </c>
      <c r="D1891" t="inlineStr">
        <is>
          <t>Fuhrparkkosten</t>
        </is>
      </c>
      <c r="E1891" t="n">
        <v>21940.43</v>
      </c>
      <c r="F1891" t="n">
        <v>263285.11</v>
      </c>
    </row>
    <row r="1892">
      <c r="A1892" t="n">
        <v>2030</v>
      </c>
      <c r="B1892" t="n">
        <v>4</v>
      </c>
      <c r="C1892" t="inlineStr">
        <is>
          <t>Ertrag KFZ-Nutz</t>
        </is>
      </c>
      <c r="D1892" t="inlineStr">
        <is>
          <t>Gesamtleistung</t>
        </is>
      </c>
      <c r="E1892" t="n">
        <v>9193.41</v>
      </c>
      <c r="F1892" t="n">
        <v>110320.94</v>
      </c>
    </row>
    <row r="1893">
      <c r="A1893" t="n">
        <v>2028</v>
      </c>
      <c r="B1893" t="n">
        <v>4</v>
      </c>
      <c r="C1893" t="inlineStr">
        <is>
          <t>Uebr.neutr. Ert</t>
        </is>
      </c>
      <c r="D1893" t="inlineStr">
        <is>
          <t>Gesamtleistung</t>
        </is>
      </c>
      <c r="E1893" t="n">
        <v>151.92</v>
      </c>
      <c r="F1893" t="n">
        <v>1823.08</v>
      </c>
    </row>
    <row r="1894">
      <c r="A1894" t="n">
        <v>2030</v>
      </c>
      <c r="B1894" t="n">
        <v>4</v>
      </c>
      <c r="C1894" t="inlineStr">
        <is>
          <t>Soziale Abgaben</t>
        </is>
      </c>
      <c r="D1894" t="inlineStr">
        <is>
          <t>Personalaufwand</t>
        </is>
      </c>
      <c r="E1894" t="n">
        <v>104141.87</v>
      </c>
      <c r="F1894" t="n">
        <v>1249702.47</v>
      </c>
    </row>
    <row r="1895">
      <c r="A1895" t="n">
        <v>2030</v>
      </c>
      <c r="B1895" t="n">
        <v>4</v>
      </c>
      <c r="C1895" t="inlineStr">
        <is>
          <t>Ankauf Rohstoff</t>
        </is>
      </c>
      <c r="D1895" t="inlineStr">
        <is>
          <t>Vorleistungen</t>
        </is>
      </c>
      <c r="E1895" t="n">
        <v>1483.55</v>
      </c>
      <c r="F1895" t="n">
        <v>17802.65</v>
      </c>
    </row>
    <row r="1896">
      <c r="A1896" t="n">
        <v>2031</v>
      </c>
      <c r="B1896" t="n">
        <v>4</v>
      </c>
      <c r="C1896" t="inlineStr">
        <is>
          <t>Aufw. Heizmat.</t>
        </is>
      </c>
      <c r="D1896" t="inlineStr">
        <is>
          <t>Vorleistungen</t>
        </is>
      </c>
      <c r="E1896" t="n">
        <v>216.16</v>
      </c>
      <c r="F1896" t="n">
        <v>2593.97</v>
      </c>
    </row>
    <row r="1897">
      <c r="A1897" t="n">
        <v>2030</v>
      </c>
      <c r="B1897" t="n">
        <v>4</v>
      </c>
      <c r="C1897" t="inlineStr">
        <is>
          <t>IT-Aufwendungen</t>
        </is>
      </c>
      <c r="D1897" t="inlineStr">
        <is>
          <t>Verwaltungskosten</t>
        </is>
      </c>
      <c r="E1897" t="n">
        <v>12671.51</v>
      </c>
      <c r="F1897" t="n">
        <v>152058.16</v>
      </c>
    </row>
    <row r="1898">
      <c r="A1898" t="n">
        <v>2027</v>
      </c>
      <c r="B1898" t="n">
        <v>4</v>
      </c>
      <c r="C1898" t="inlineStr">
        <is>
          <t>Treibstoffe, Oe</t>
        </is>
      </c>
      <c r="D1898" t="inlineStr">
        <is>
          <t>Fuhrparkkosten</t>
        </is>
      </c>
      <c r="E1898" t="n">
        <v>28695.87</v>
      </c>
      <c r="F1898" t="n">
        <v>344350.48</v>
      </c>
    </row>
    <row r="1899">
      <c r="A1899" t="n">
        <v>2028</v>
      </c>
      <c r="B1899" t="n">
        <v>4</v>
      </c>
      <c r="C1899" t="inlineStr">
        <is>
          <t>Aufw. Heizmat.</t>
        </is>
      </c>
      <c r="D1899" t="inlineStr">
        <is>
          <t>Vorleistungen</t>
        </is>
      </c>
      <c r="E1899" t="n">
        <v>260.43</v>
      </c>
      <c r="F1899" t="n">
        <v>3125.13</v>
      </c>
    </row>
    <row r="1900">
      <c r="A1900" t="n">
        <v>2031</v>
      </c>
      <c r="B1900" t="n">
        <v>4</v>
      </c>
      <c r="C1900" t="inlineStr">
        <is>
          <t>Ertrag KFZ-Nutz</t>
        </is>
      </c>
      <c r="D1900" t="inlineStr">
        <is>
          <t>Gesamtleistung</t>
        </is>
      </c>
      <c r="E1900" t="n">
        <v>9597.290000000001</v>
      </c>
      <c r="F1900" t="n">
        <v>115167.5</v>
      </c>
    </row>
    <row r="1901">
      <c r="A1901" t="n">
        <v>2027</v>
      </c>
      <c r="B1901" t="n">
        <v>4</v>
      </c>
      <c r="C1901" t="inlineStr">
        <is>
          <t>Raumkosten</t>
        </is>
      </c>
      <c r="D1901" t="inlineStr">
        <is>
          <t>Raumkosten</t>
        </is>
      </c>
      <c r="E1901" t="n">
        <v>5046.85</v>
      </c>
      <c r="F1901" t="n">
        <v>60562.14</v>
      </c>
    </row>
    <row r="1902">
      <c r="A1902" t="n">
        <v>2028</v>
      </c>
      <c r="B1902" t="n">
        <v>4</v>
      </c>
      <c r="C1902" t="inlineStr">
        <is>
          <t>Soziale Abgaben</t>
        </is>
      </c>
      <c r="D1902" t="inlineStr">
        <is>
          <t>Personalaufwand</t>
        </is>
      </c>
      <c r="E1902" t="n">
        <v>85007.57000000001</v>
      </c>
      <c r="F1902" t="n">
        <v>1020090.84</v>
      </c>
    </row>
    <row r="1903">
      <c r="A1903" t="n">
        <v>2029</v>
      </c>
      <c r="B1903" t="n">
        <v>4</v>
      </c>
      <c r="C1903" t="inlineStr">
        <is>
          <t>Miete Grdst/Gebäud</t>
        </is>
      </c>
      <c r="D1903" t="inlineStr">
        <is>
          <t>Raumkosten</t>
        </is>
      </c>
      <c r="E1903" t="n">
        <v>18238.55</v>
      </c>
      <c r="F1903" t="n">
        <v>218862.64</v>
      </c>
    </row>
    <row r="1904">
      <c r="A1904" t="n">
        <v>2031</v>
      </c>
      <c r="B1904" t="n">
        <v>4</v>
      </c>
      <c r="C1904" t="inlineStr">
        <is>
          <t>Raumkosten</t>
        </is>
      </c>
      <c r="D1904" t="inlineStr">
        <is>
          <t>Raumkosten</t>
        </is>
      </c>
      <c r="E1904" t="n">
        <v>7453.91</v>
      </c>
      <c r="F1904" t="n">
        <v>89446.89</v>
      </c>
    </row>
    <row r="1905">
      <c r="A1905" t="n">
        <v>2031</v>
      </c>
      <c r="B1905" t="n">
        <v>4</v>
      </c>
      <c r="C1905" t="inlineStr">
        <is>
          <t>Behaelterkosten</t>
        </is>
      </c>
      <c r="D1905" t="inlineStr">
        <is>
          <t>Instandh. Betriebsausstattung</t>
        </is>
      </c>
      <c r="E1905" t="n">
        <v>13.39</v>
      </c>
      <c r="F1905" t="n">
        <v>160.68</v>
      </c>
    </row>
    <row r="1906">
      <c r="A1906" t="n">
        <v>2031</v>
      </c>
      <c r="B1906" t="n">
        <v>4</v>
      </c>
      <c r="C1906" t="inlineStr">
        <is>
          <t>Instandh.Fuhrp</t>
        </is>
      </c>
      <c r="D1906" t="inlineStr">
        <is>
          <t>Fuhrparkkosten</t>
        </is>
      </c>
      <c r="E1906" t="n">
        <v>38327.36</v>
      </c>
      <c r="F1906" t="n">
        <v>459928.28</v>
      </c>
    </row>
    <row r="1907">
      <c r="A1907" t="n">
        <v>2030</v>
      </c>
      <c r="B1907" t="n">
        <v>4</v>
      </c>
      <c r="C1907" t="inlineStr">
        <is>
          <t>Ueb. bezog.Leis</t>
        </is>
      </c>
      <c r="D1907" t="inlineStr">
        <is>
          <t>Vorleistungen</t>
        </is>
      </c>
      <c r="E1907" t="n">
        <v>1385029.28</v>
      </c>
      <c r="F1907" t="n">
        <v>16620351.38</v>
      </c>
    </row>
    <row r="1908">
      <c r="A1908" t="n">
        <v>2027</v>
      </c>
      <c r="B1908" t="n">
        <v>4</v>
      </c>
      <c r="C1908" t="inlineStr">
        <is>
          <t>Miete LKW,Schiffe</t>
        </is>
      </c>
      <c r="D1908" t="inlineStr">
        <is>
          <t>Fuhrparkkosten</t>
        </is>
      </c>
      <c r="E1908" t="n">
        <v>36751.61</v>
      </c>
      <c r="F1908" t="n">
        <v>441019.28</v>
      </c>
    </row>
    <row r="1909">
      <c r="A1909" t="n">
        <v>2030</v>
      </c>
      <c r="B1909" t="n">
        <v>4</v>
      </c>
      <c r="C1909" t="inlineStr">
        <is>
          <t>Leasing LKW</t>
        </is>
      </c>
      <c r="D1909" t="inlineStr">
        <is>
          <t>Fuhrparkkosten</t>
        </is>
      </c>
      <c r="E1909" t="n">
        <v>2745.62</v>
      </c>
      <c r="F1909" t="n">
        <v>32947.44</v>
      </c>
    </row>
    <row r="1910">
      <c r="A1910" t="n">
        <v>2031</v>
      </c>
      <c r="B1910" t="n">
        <v>4</v>
      </c>
      <c r="C1910" t="inlineStr">
        <is>
          <t>Vertriebskosten</t>
        </is>
      </c>
      <c r="D1910" t="inlineStr">
        <is>
          <t>Vertriebskosten</t>
        </is>
      </c>
      <c r="E1910" t="n">
        <v>13167.99</v>
      </c>
      <c r="F1910" t="n">
        <v>158015.82</v>
      </c>
    </row>
    <row r="1911">
      <c r="A1911" t="n">
        <v>2028</v>
      </c>
      <c r="B1911" t="n">
        <v>4</v>
      </c>
      <c r="C1911" t="inlineStr">
        <is>
          <t>Behaelterkosten</t>
        </is>
      </c>
      <c r="D1911" t="inlineStr">
        <is>
          <t>Instandh. Betriebsausstattung</t>
        </is>
      </c>
      <c r="E1911" t="n">
        <v>11.57</v>
      </c>
      <c r="F1911" t="n">
        <v>138.8</v>
      </c>
    </row>
    <row r="1912">
      <c r="A1912" t="n">
        <v>2030</v>
      </c>
      <c r="B1912" t="n">
        <v>4</v>
      </c>
      <c r="C1912" t="inlineStr">
        <is>
          <t>Verwaltungskost</t>
        </is>
      </c>
      <c r="D1912" t="inlineStr">
        <is>
          <t>Verwaltungskosten</t>
        </is>
      </c>
      <c r="E1912" t="n">
        <v>7311.95</v>
      </c>
      <c r="F1912" t="n">
        <v>87743.38</v>
      </c>
    </row>
    <row r="1913">
      <c r="A1913" t="n">
        <v>2030</v>
      </c>
      <c r="B1913" t="n">
        <v>4</v>
      </c>
      <c r="C1913" t="inlineStr">
        <is>
          <t>Rechts- u. Beratungs</t>
        </is>
      </c>
      <c r="D1913" t="inlineStr">
        <is>
          <t>Verwaltungskosten</t>
        </is>
      </c>
      <c r="E1913" t="n">
        <v>28013.14</v>
      </c>
      <c r="F1913" t="n">
        <v>336157.66</v>
      </c>
    </row>
    <row r="1914">
      <c r="A1914" t="n">
        <v>2028</v>
      </c>
      <c r="B1914" t="n">
        <v>4</v>
      </c>
      <c r="C1914" t="inlineStr">
        <is>
          <t>Sonst Fuhrparkkosten</t>
        </is>
      </c>
      <c r="D1914" t="inlineStr">
        <is>
          <t>Fuhrparkkosten</t>
        </is>
      </c>
      <c r="E1914" t="n">
        <v>5288.59</v>
      </c>
      <c r="F1914" t="n">
        <v>63463.1</v>
      </c>
    </row>
    <row r="1915">
      <c r="A1915" t="n">
        <v>2029</v>
      </c>
      <c r="B1915" t="n">
        <v>4</v>
      </c>
      <c r="C1915" t="inlineStr">
        <is>
          <t>Erl. so. DL Dt.</t>
        </is>
      </c>
      <c r="D1915" t="inlineStr">
        <is>
          <t>Gesamtleistung</t>
        </is>
      </c>
      <c r="E1915" t="n">
        <v>2200755.15</v>
      </c>
      <c r="F1915" t="n">
        <v>26409061.76</v>
      </c>
    </row>
    <row r="1916">
      <c r="A1916" t="n">
        <v>2031</v>
      </c>
      <c r="B1916" t="n">
        <v>4</v>
      </c>
      <c r="C1916" t="inlineStr">
        <is>
          <t>Uebr.neutr. Ert</t>
        </is>
      </c>
      <c r="D1916" t="inlineStr">
        <is>
          <t>Gesamtleistung</t>
        </is>
      </c>
      <c r="E1916" t="n">
        <v>227.28</v>
      </c>
      <c r="F1916" t="n">
        <v>2727.33</v>
      </c>
    </row>
    <row r="1917">
      <c r="A1917" t="n">
        <v>2030</v>
      </c>
      <c r="B1917" t="n">
        <v>4</v>
      </c>
      <c r="C1917" t="inlineStr">
        <is>
          <t>Erl. Waren Dt.</t>
        </is>
      </c>
      <c r="D1917" t="inlineStr">
        <is>
          <t>Gesamtleistung</t>
        </is>
      </c>
      <c r="E1917" t="n">
        <v>49038.99</v>
      </c>
      <c r="F1917" t="n">
        <v>588467.85</v>
      </c>
    </row>
    <row r="1918">
      <c r="A1918" t="n">
        <v>2028</v>
      </c>
      <c r="B1918" t="n">
        <v>4</v>
      </c>
      <c r="C1918" t="inlineStr">
        <is>
          <t>Weiterber. Frem</t>
        </is>
      </c>
      <c r="D1918" t="inlineStr">
        <is>
          <t>Vorleistungen</t>
        </is>
      </c>
      <c r="E1918" t="n">
        <v>0</v>
      </c>
      <c r="F1918" t="n">
        <v>0</v>
      </c>
    </row>
    <row r="1919">
      <c r="A1919" t="n">
        <v>2027</v>
      </c>
      <c r="B1919" t="n">
        <v>4</v>
      </c>
      <c r="C1919" t="inlineStr">
        <is>
          <t>IT-Aufwendungen</t>
        </is>
      </c>
      <c r="D1919" t="inlineStr">
        <is>
          <t>Verwaltungskosten</t>
        </is>
      </c>
      <c r="E1919" t="n">
        <v>11596.23</v>
      </c>
      <c r="F1919" t="n">
        <v>139154.76</v>
      </c>
    </row>
    <row r="1920">
      <c r="A1920" t="n">
        <v>2028</v>
      </c>
      <c r="B1920" t="n">
        <v>4</v>
      </c>
      <c r="C1920" t="inlineStr">
        <is>
          <t>Leasing LKW</t>
        </is>
      </c>
      <c r="D1920" t="inlineStr">
        <is>
          <t>Fuhrparkkosten</t>
        </is>
      </c>
      <c r="E1920" t="n">
        <v>2443.59</v>
      </c>
      <c r="F1920" t="n">
        <v>29323.11</v>
      </c>
    </row>
    <row r="1921">
      <c r="A1921" t="n">
        <v>2031</v>
      </c>
      <c r="B1921" t="n">
        <v>4</v>
      </c>
      <c r="C1921" t="inlineStr">
        <is>
          <t>Weiterber. Frem</t>
        </is>
      </c>
      <c r="D1921" t="inlineStr">
        <is>
          <t>Vorleistungen</t>
        </is>
      </c>
      <c r="E1921" t="n">
        <v>0</v>
      </c>
      <c r="F1921" t="n">
        <v>0</v>
      </c>
    </row>
    <row r="1922">
      <c r="A1922" t="n">
        <v>2028</v>
      </c>
      <c r="B1922" t="n">
        <v>4</v>
      </c>
      <c r="C1922" t="inlineStr">
        <is>
          <t>Lohn + Gehalt</t>
        </is>
      </c>
      <c r="D1922" t="inlineStr">
        <is>
          <t>Personalaufwand</t>
        </is>
      </c>
      <c r="E1922" t="n">
        <v>321097.26</v>
      </c>
      <c r="F1922" t="n">
        <v>3853167.13</v>
      </c>
    </row>
    <row r="1923">
      <c r="A1923" t="n">
        <v>2029</v>
      </c>
      <c r="B1923" t="n">
        <v>4</v>
      </c>
      <c r="C1923" t="inlineStr">
        <is>
          <t>Miete LKW,Schiffe</t>
        </is>
      </c>
      <c r="D1923" t="inlineStr">
        <is>
          <t>Fuhrparkkosten</t>
        </is>
      </c>
      <c r="E1923" t="n">
        <v>41294.11</v>
      </c>
      <c r="F1923" t="n">
        <v>495529.28</v>
      </c>
    </row>
    <row r="1924">
      <c r="A1924" t="n">
        <v>2030</v>
      </c>
      <c r="B1924" t="n">
        <v>4</v>
      </c>
      <c r="C1924" t="inlineStr">
        <is>
          <t>Erl. so. DL Dt.</t>
        </is>
      </c>
      <c r="D1924" t="inlineStr">
        <is>
          <t>Gesamtleistung</t>
        </is>
      </c>
      <c r="E1924" t="n">
        <v>2311684.01</v>
      </c>
      <c r="F1924" t="n">
        <v>27740208.09</v>
      </c>
    </row>
    <row r="1925">
      <c r="A1925" t="n">
        <v>2030</v>
      </c>
      <c r="B1925" t="n">
        <v>4</v>
      </c>
      <c r="C1925" t="inlineStr">
        <is>
          <t>Versicherungskosten</t>
        </is>
      </c>
      <c r="D1925" t="inlineStr">
        <is>
          <t>Verwaltungskosten</t>
        </is>
      </c>
      <c r="E1925" t="n">
        <v>11790.1</v>
      </c>
      <c r="F1925" t="n">
        <v>141481.23</v>
      </c>
    </row>
    <row r="1926">
      <c r="A1926" t="n">
        <v>2029</v>
      </c>
      <c r="B1926" t="n">
        <v>4</v>
      </c>
      <c r="C1926" t="inlineStr">
        <is>
          <t>Sonstige Steuer</t>
        </is>
      </c>
      <c r="D1926" t="inlineStr">
        <is>
          <t>Fuhrparkkosten</t>
        </is>
      </c>
      <c r="E1926" t="n">
        <v>1682.38</v>
      </c>
      <c r="F1926" t="n">
        <v>20188.51</v>
      </c>
    </row>
    <row r="1927">
      <c r="A1927" t="n">
        <v>2027</v>
      </c>
      <c r="B1927" t="n">
        <v>4</v>
      </c>
      <c r="C1927" t="inlineStr">
        <is>
          <t>Sonst Fuhrparkkosten</t>
        </is>
      </c>
      <c r="D1927" t="inlineStr">
        <is>
          <t>Fuhrparkkosten</t>
        </is>
      </c>
      <c r="E1927" t="n">
        <v>4989.24</v>
      </c>
      <c r="F1927" t="n">
        <v>59870.86</v>
      </c>
    </row>
    <row r="1928">
      <c r="A1928" t="n">
        <v>2028</v>
      </c>
      <c r="B1928" t="n">
        <v>4</v>
      </c>
      <c r="C1928" t="inlineStr">
        <is>
          <t>Bestandsveraend</t>
        </is>
      </c>
      <c r="D1928" t="inlineStr">
        <is>
          <t>Gesamtleistung</t>
        </is>
      </c>
      <c r="E1928" t="n">
        <v>0</v>
      </c>
      <c r="F1928" t="n">
        <v>0</v>
      </c>
    </row>
    <row r="1929">
      <c r="A1929" t="n">
        <v>2028</v>
      </c>
      <c r="B1929" t="n">
        <v>4</v>
      </c>
      <c r="C1929" t="inlineStr">
        <is>
          <t>So. betr. Aufwa</t>
        </is>
      </c>
      <c r="D1929" t="inlineStr">
        <is>
          <t>Verwaltungskosten</t>
        </is>
      </c>
      <c r="E1929" t="n">
        <v>673.0599999999999</v>
      </c>
      <c r="F1929" t="n">
        <v>8076.71</v>
      </c>
    </row>
    <row r="1930">
      <c r="A1930" t="n">
        <v>2030</v>
      </c>
      <c r="B1930" t="n">
        <v>4</v>
      </c>
      <c r="C1930" t="inlineStr">
        <is>
          <t>Miete LKW,Schiffe</t>
        </is>
      </c>
      <c r="D1930" t="inlineStr">
        <is>
          <t>Fuhrparkkosten</t>
        </is>
      </c>
      <c r="E1930" t="n">
        <v>43771.75</v>
      </c>
      <c r="F1930" t="n">
        <v>525261.04</v>
      </c>
    </row>
    <row r="1931">
      <c r="A1931" t="n">
        <v>2028</v>
      </c>
      <c r="B1931" t="n">
        <v>4</v>
      </c>
      <c r="C1931" t="inlineStr">
        <is>
          <t>Miete LKW,Schiffe</t>
        </is>
      </c>
      <c r="D1931" t="inlineStr">
        <is>
          <t>Fuhrparkkosten</t>
        </is>
      </c>
      <c r="E1931" t="n">
        <v>38956.71</v>
      </c>
      <c r="F1931" t="n">
        <v>467480.47</v>
      </c>
    </row>
    <row r="1932">
      <c r="A1932" t="n">
        <v>2028</v>
      </c>
      <c r="B1932" t="n">
        <v>4</v>
      </c>
      <c r="C1932" t="inlineStr">
        <is>
          <t>sonst Personalk</t>
        </is>
      </c>
      <c r="D1932" t="inlineStr">
        <is>
          <t>Personalaufwand</t>
        </is>
      </c>
      <c r="E1932" t="n">
        <v>12597.51</v>
      </c>
      <c r="F1932" t="n">
        <v>151170.09</v>
      </c>
    </row>
    <row r="1933">
      <c r="A1933" t="n">
        <v>2030</v>
      </c>
      <c r="B1933" t="n">
        <v>4</v>
      </c>
      <c r="C1933" t="inlineStr">
        <is>
          <t>Leasing PKW</t>
        </is>
      </c>
      <c r="D1933" t="inlineStr">
        <is>
          <t>Fuhrparkkosten</t>
        </is>
      </c>
      <c r="E1933" t="n">
        <v>26131.4</v>
      </c>
      <c r="F1933" t="n">
        <v>313576.76</v>
      </c>
    </row>
    <row r="1934">
      <c r="A1934" t="n">
        <v>2031</v>
      </c>
      <c r="B1934" t="n">
        <v>4</v>
      </c>
      <c r="C1934" t="inlineStr">
        <is>
          <t>Aufwand Umlage</t>
        </is>
      </c>
      <c r="D1934" t="inlineStr">
        <is>
          <t>Verwaltungskosten</t>
        </is>
      </c>
      <c r="E1934" t="n">
        <v>3807.87</v>
      </c>
      <c r="F1934" t="n">
        <v>45694.43</v>
      </c>
    </row>
    <row r="1935">
      <c r="A1935" t="n">
        <v>2031</v>
      </c>
      <c r="B1935" t="n">
        <v>4</v>
      </c>
      <c r="C1935" t="inlineStr">
        <is>
          <t>sonst Personalk</t>
        </is>
      </c>
      <c r="D1935" t="inlineStr">
        <is>
          <t>Personalaufwand</t>
        </is>
      </c>
      <c r="E1935" t="n">
        <v>17070.54</v>
      </c>
      <c r="F1935" t="n">
        <v>204846.51</v>
      </c>
    </row>
    <row r="1936">
      <c r="A1936" t="n">
        <v>2027</v>
      </c>
      <c r="B1936" t="n">
        <v>4</v>
      </c>
      <c r="C1936" t="inlineStr">
        <is>
          <t>sonst Personalk</t>
        </is>
      </c>
      <c r="D1936" t="inlineStr">
        <is>
          <t>Personalaufwand</t>
        </is>
      </c>
      <c r="E1936" t="n">
        <v>10949.84</v>
      </c>
      <c r="F1936" t="n">
        <v>131398.1</v>
      </c>
    </row>
    <row r="1937">
      <c r="A1937" t="n">
        <v>2031</v>
      </c>
      <c r="B1937" t="n">
        <v>4</v>
      </c>
      <c r="C1937" t="inlineStr">
        <is>
          <t>Miete PKW</t>
        </is>
      </c>
      <c r="D1937" t="inlineStr">
        <is>
          <t>Fuhrparkkosten</t>
        </is>
      </c>
      <c r="E1937" t="n">
        <v>5824.81</v>
      </c>
      <c r="F1937" t="n">
        <v>69897.67</v>
      </c>
    </row>
    <row r="1938">
      <c r="A1938" t="n">
        <v>2029</v>
      </c>
      <c r="B1938" t="n">
        <v>4</v>
      </c>
      <c r="C1938" t="inlineStr">
        <is>
          <t>Raumkosten</t>
        </is>
      </c>
      <c r="D1938" t="inlineStr">
        <is>
          <t>Raumkosten</t>
        </is>
      </c>
      <c r="E1938" t="n">
        <v>7164.46</v>
      </c>
      <c r="F1938" t="n">
        <v>85973.53</v>
      </c>
    </row>
    <row r="1939">
      <c r="A1939" t="n">
        <v>2031</v>
      </c>
      <c r="B1939" t="n">
        <v>4</v>
      </c>
      <c r="C1939" t="inlineStr">
        <is>
          <t>Aufw. f. Alters</t>
        </is>
      </c>
      <c r="D1939" t="inlineStr">
        <is>
          <t>Personalaufwand</t>
        </is>
      </c>
      <c r="E1939" t="n">
        <v>1434.03</v>
      </c>
      <c r="F1939" t="n">
        <v>17208.41</v>
      </c>
    </row>
    <row r="1940">
      <c r="A1940" t="n">
        <v>2031</v>
      </c>
      <c r="B1940" t="n">
        <v>4</v>
      </c>
      <c r="C1940" t="inlineStr">
        <is>
          <t>IT-Aufwendungen</t>
        </is>
      </c>
      <c r="D1940" t="inlineStr">
        <is>
          <t>Verwaltungskosten</t>
        </is>
      </c>
      <c r="E1940" t="n">
        <v>13051.66</v>
      </c>
      <c r="F1940" t="n">
        <v>156619.9</v>
      </c>
    </row>
    <row r="1941">
      <c r="A1941" t="n">
        <v>2028</v>
      </c>
      <c r="B1941" t="n">
        <v>4</v>
      </c>
      <c r="C1941" t="inlineStr">
        <is>
          <t>Miete Grdst/Gebäud</t>
        </is>
      </c>
      <c r="D1941" t="inlineStr">
        <is>
          <t>Raumkosten</t>
        </is>
      </c>
      <c r="E1941" t="n">
        <v>17880.93</v>
      </c>
      <c r="F1941" t="n">
        <v>214571.21</v>
      </c>
    </row>
    <row r="1942">
      <c r="A1942" t="n">
        <v>2027</v>
      </c>
      <c r="B1942" t="n">
        <v>4</v>
      </c>
      <c r="C1942" t="inlineStr">
        <is>
          <t>Erloesschmaeler</t>
        </is>
      </c>
      <c r="D1942" t="inlineStr">
        <is>
          <t>Gesamtleistung</t>
        </is>
      </c>
      <c r="E1942" t="n">
        <v>-7483.88</v>
      </c>
      <c r="F1942" t="n">
        <v>-89806.53</v>
      </c>
    </row>
    <row r="1943">
      <c r="A1943" t="n">
        <v>2029</v>
      </c>
      <c r="B1943" t="n">
        <v>4</v>
      </c>
      <c r="C1943" t="inlineStr">
        <is>
          <t>sonst Personalk</t>
        </is>
      </c>
      <c r="D1943" t="inlineStr">
        <is>
          <t>Personalaufwand</t>
        </is>
      </c>
      <c r="E1943" t="n">
        <v>13957.15</v>
      </c>
      <c r="F1943" t="n">
        <v>167485.78</v>
      </c>
    </row>
    <row r="1944">
      <c r="A1944" t="n">
        <v>2028</v>
      </c>
      <c r="B1944" t="n">
        <v>4</v>
      </c>
      <c r="C1944" t="inlineStr">
        <is>
          <t>Fremdl. Fuhrlei</t>
        </is>
      </c>
      <c r="D1944" t="inlineStr">
        <is>
          <t>Vorleistungen</t>
        </is>
      </c>
      <c r="E1944" t="n">
        <v>363.29</v>
      </c>
      <c r="F1944" t="n">
        <v>4359.52</v>
      </c>
    </row>
    <row r="1945">
      <c r="A1945" t="n">
        <v>2027</v>
      </c>
      <c r="B1945" t="n">
        <v>4</v>
      </c>
      <c r="C1945" t="inlineStr">
        <is>
          <t>Erl. so. DL Dt.</t>
        </is>
      </c>
      <c r="D1945" t="inlineStr">
        <is>
          <t>Gesamtleistung</t>
        </is>
      </c>
      <c r="E1945" t="n">
        <v>1996174.37</v>
      </c>
      <c r="F1945" t="n">
        <v>23954092.45</v>
      </c>
    </row>
    <row r="1946">
      <c r="A1946" t="n">
        <v>2027</v>
      </c>
      <c r="B1946" t="n">
        <v>4</v>
      </c>
      <c r="C1946" t="inlineStr">
        <is>
          <t>Aufw. Heizmat.</t>
        </is>
      </c>
      <c r="D1946" t="inlineStr">
        <is>
          <t>Vorleistungen</t>
        </is>
      </c>
      <c r="E1946" t="n">
        <v>275.72</v>
      </c>
      <c r="F1946" t="n">
        <v>3308.65</v>
      </c>
    </row>
    <row r="1947">
      <c r="A1947" t="n">
        <v>2028</v>
      </c>
      <c r="B1947" t="n">
        <v>4</v>
      </c>
      <c r="C1947" t="inlineStr">
        <is>
          <t>Versicherungskosten</t>
        </is>
      </c>
      <c r="D1947" t="inlineStr">
        <is>
          <t>Verwaltungskosten</t>
        </is>
      </c>
      <c r="E1947" t="n">
        <v>11113.3</v>
      </c>
      <c r="F1947" t="n">
        <v>133359.63</v>
      </c>
    </row>
    <row r="1948">
      <c r="A1948" t="n">
        <v>2031</v>
      </c>
      <c r="B1948" t="n">
        <v>4</v>
      </c>
      <c r="C1948" t="inlineStr">
        <is>
          <t>Miete LKW,Schiffe</t>
        </is>
      </c>
      <c r="D1948" t="inlineStr">
        <is>
          <t>Fuhrparkkosten</t>
        </is>
      </c>
      <c r="E1948" t="n">
        <v>46398.06</v>
      </c>
      <c r="F1948" t="n">
        <v>556776.71</v>
      </c>
    </row>
    <row r="1949">
      <c r="A1949" t="n">
        <v>2027</v>
      </c>
      <c r="B1949" t="n">
        <v>4</v>
      </c>
      <c r="C1949" t="inlineStr">
        <is>
          <t>Weiterber. Frem</t>
        </is>
      </c>
      <c r="D1949" t="inlineStr">
        <is>
          <t>Vorleistungen</t>
        </is>
      </c>
      <c r="E1949" t="n">
        <v>0</v>
      </c>
      <c r="F1949" t="n">
        <v>0</v>
      </c>
    </row>
    <row r="1950">
      <c r="A1950" t="n">
        <v>2028</v>
      </c>
      <c r="B1950" t="n">
        <v>4</v>
      </c>
      <c r="C1950" t="inlineStr">
        <is>
          <t>Erloesschmaeler</t>
        </is>
      </c>
      <c r="D1950" t="inlineStr">
        <is>
          <t>Gesamtleistung</t>
        </is>
      </c>
      <c r="E1950" t="n">
        <v>-8355.469999999999</v>
      </c>
      <c r="F1950" t="n">
        <v>-100265.61</v>
      </c>
    </row>
    <row r="1951">
      <c r="A1951" t="n">
        <v>2027</v>
      </c>
      <c r="B1951" t="n">
        <v>4</v>
      </c>
      <c r="C1951" t="inlineStr">
        <is>
          <t>Uebr.neutr. Ert</t>
        </is>
      </c>
      <c r="D1951" t="inlineStr">
        <is>
          <t>Gesamtleistung</t>
        </is>
      </c>
      <c r="E1951" t="n">
        <v>113.94</v>
      </c>
      <c r="F1951" t="n">
        <v>1367.31</v>
      </c>
    </row>
    <row r="1952">
      <c r="A1952" t="n">
        <v>2028</v>
      </c>
      <c r="B1952" t="n">
        <v>4</v>
      </c>
      <c r="C1952" t="inlineStr">
        <is>
          <t>Miete Behälter</t>
        </is>
      </c>
      <c r="D1952" t="inlineStr">
        <is>
          <t>Instandh. Betriebsausstattung</t>
        </is>
      </c>
      <c r="E1952" t="n">
        <v>24.08</v>
      </c>
      <c r="F1952" t="n">
        <v>289</v>
      </c>
    </row>
    <row r="1953">
      <c r="A1953" t="n">
        <v>2028</v>
      </c>
      <c r="B1953" t="n">
        <v>4</v>
      </c>
      <c r="C1953" t="inlineStr">
        <is>
          <t>Aufw. so. Hilfs</t>
        </is>
      </c>
      <c r="D1953" t="inlineStr">
        <is>
          <t>Vorleistungen</t>
        </is>
      </c>
      <c r="E1953" t="n">
        <v>-16546.31</v>
      </c>
      <c r="F1953" t="n">
        <v>-198555.67</v>
      </c>
    </row>
    <row r="1954">
      <c r="A1954" t="n">
        <v>2030</v>
      </c>
      <c r="B1954" t="n">
        <v>4</v>
      </c>
      <c r="C1954" t="inlineStr">
        <is>
          <t>Treibstoffe, Oe</t>
        </is>
      </c>
      <c r="D1954" t="inlineStr">
        <is>
          <t>Fuhrparkkosten</t>
        </is>
      </c>
      <c r="E1954" t="n">
        <v>34177.25</v>
      </c>
      <c r="F1954" t="n">
        <v>410126.96</v>
      </c>
    </row>
    <row r="1955">
      <c r="A1955" t="n">
        <v>2030</v>
      </c>
      <c r="B1955" t="n">
        <v>4</v>
      </c>
      <c r="C1955" t="inlineStr">
        <is>
          <t>Ueb Lohn-Gehalt</t>
        </is>
      </c>
      <c r="D1955" t="inlineStr">
        <is>
          <t>Personalaufwand</t>
        </is>
      </c>
      <c r="E1955" t="n">
        <v>41842.02</v>
      </c>
      <c r="F1955" t="n">
        <v>502104.18</v>
      </c>
    </row>
    <row r="1956">
      <c r="A1956" t="n">
        <v>2030</v>
      </c>
      <c r="B1956" t="n">
        <v>4</v>
      </c>
      <c r="C1956" t="inlineStr">
        <is>
          <t>Aufw. f. Alters</t>
        </is>
      </c>
      <c r="D1956" t="inlineStr">
        <is>
          <t>Personalaufwand</t>
        </is>
      </c>
      <c r="E1956" t="n">
        <v>1387.56</v>
      </c>
      <c r="F1956" t="n">
        <v>16650.69</v>
      </c>
    </row>
    <row r="1957">
      <c r="A1957" t="n">
        <v>2031</v>
      </c>
      <c r="B1957" t="n">
        <v>4</v>
      </c>
      <c r="C1957" t="inlineStr">
        <is>
          <t>Fremdl. Persona</t>
        </is>
      </c>
      <c r="D1957" t="inlineStr">
        <is>
          <t>Vorleistungen</t>
        </is>
      </c>
      <c r="E1957" t="n">
        <v>79.40000000000001</v>
      </c>
      <c r="F1957" t="n">
        <v>952.79</v>
      </c>
    </row>
    <row r="1958">
      <c r="A1958" t="n">
        <v>2029</v>
      </c>
      <c r="B1958" t="n">
        <v>5</v>
      </c>
      <c r="C1958" t="inlineStr">
        <is>
          <t>Sonderz. Prämie</t>
        </is>
      </c>
      <c r="D1958" t="inlineStr">
        <is>
          <t>Personalaufwand</t>
        </is>
      </c>
      <c r="E1958" t="n">
        <v>23292.21</v>
      </c>
      <c r="F1958" t="n">
        <v>279506.56</v>
      </c>
    </row>
    <row r="1959">
      <c r="A1959" t="n">
        <v>2030</v>
      </c>
      <c r="B1959" t="n">
        <v>5</v>
      </c>
      <c r="C1959" t="inlineStr">
        <is>
          <t>sonst Personalk</t>
        </is>
      </c>
      <c r="D1959" t="inlineStr">
        <is>
          <t>Personalaufwand</t>
        </is>
      </c>
      <c r="E1959" t="n">
        <v>15558.93</v>
      </c>
      <c r="F1959" t="n">
        <v>186707.19</v>
      </c>
    </row>
    <row r="1960">
      <c r="A1960" t="n">
        <v>2031</v>
      </c>
      <c r="B1960" t="n">
        <v>5</v>
      </c>
      <c r="C1960" t="inlineStr">
        <is>
          <t>Ankauf Rohstoff</t>
        </is>
      </c>
      <c r="D1960" t="inlineStr">
        <is>
          <t>Vorleistungen</t>
        </is>
      </c>
      <c r="E1960" t="n">
        <v>1489.65</v>
      </c>
      <c r="F1960" t="n">
        <v>17875.76</v>
      </c>
    </row>
    <row r="1961">
      <c r="A1961" t="n">
        <v>2029</v>
      </c>
      <c r="B1961" t="n">
        <v>5</v>
      </c>
      <c r="C1961" t="inlineStr">
        <is>
          <t>Weiterber. Frem</t>
        </is>
      </c>
      <c r="D1961" t="inlineStr">
        <is>
          <t>Vorleistungen</t>
        </is>
      </c>
      <c r="E1961" t="n">
        <v>0</v>
      </c>
      <c r="F1961" t="n">
        <v>0</v>
      </c>
    </row>
    <row r="1962">
      <c r="A1962" t="n">
        <v>2031</v>
      </c>
      <c r="B1962" t="n">
        <v>5</v>
      </c>
      <c r="C1962" t="inlineStr">
        <is>
          <t>Sonstige Steuer</t>
        </is>
      </c>
      <c r="D1962" t="inlineStr">
        <is>
          <t>Fuhrparkkosten</t>
        </is>
      </c>
      <c r="E1962" t="n">
        <v>1890.32</v>
      </c>
      <c r="F1962" t="n">
        <v>22683.81</v>
      </c>
    </row>
    <row r="1963">
      <c r="A1963" t="n">
        <v>2030</v>
      </c>
      <c r="B1963" t="n">
        <v>5</v>
      </c>
      <c r="C1963" t="inlineStr">
        <is>
          <t>Bestandsveraend</t>
        </is>
      </c>
      <c r="D1963" t="inlineStr">
        <is>
          <t>Gesamtleistung</t>
        </is>
      </c>
      <c r="E1963" t="n">
        <v>0</v>
      </c>
      <c r="F1963" t="n">
        <v>0</v>
      </c>
    </row>
    <row r="1964">
      <c r="A1964" t="n">
        <v>2031</v>
      </c>
      <c r="B1964" t="n">
        <v>5</v>
      </c>
      <c r="C1964" t="inlineStr">
        <is>
          <t>Erl. so. DL Dt.</t>
        </is>
      </c>
      <c r="D1964" t="inlineStr">
        <is>
          <t>Gesamtleistung</t>
        </is>
      </c>
      <c r="E1964" t="n">
        <v>2428139.11</v>
      </c>
      <c r="F1964" t="n">
        <v>29137669.32</v>
      </c>
    </row>
    <row r="1965">
      <c r="A1965" t="n">
        <v>2030</v>
      </c>
      <c r="B1965" t="n">
        <v>5</v>
      </c>
      <c r="C1965" t="inlineStr">
        <is>
          <t>Sonstige Steuer</t>
        </is>
      </c>
      <c r="D1965" t="inlineStr">
        <is>
          <t>Fuhrparkkosten</t>
        </is>
      </c>
      <c r="E1965" t="n">
        <v>1783.32</v>
      </c>
      <c r="F1965" t="n">
        <v>21399.82</v>
      </c>
    </row>
    <row r="1966">
      <c r="A1966" t="n">
        <v>2030</v>
      </c>
      <c r="B1966" t="n">
        <v>5</v>
      </c>
      <c r="C1966" t="inlineStr">
        <is>
          <t>Sonderz. Prämie</t>
        </is>
      </c>
      <c r="D1966" t="inlineStr">
        <is>
          <t>Personalaufwand</t>
        </is>
      </c>
      <c r="E1966" t="n">
        <v>25004.1</v>
      </c>
      <c r="F1966" t="n">
        <v>300049.14</v>
      </c>
    </row>
    <row r="1967">
      <c r="A1967" t="n">
        <v>2029</v>
      </c>
      <c r="B1967" t="n">
        <v>5</v>
      </c>
      <c r="C1967" t="inlineStr">
        <is>
          <t>Soziale Abgaben</t>
        </is>
      </c>
      <c r="D1967" t="inlineStr">
        <is>
          <t>Personalaufwand</t>
        </is>
      </c>
      <c r="E1967" t="n">
        <v>94488.11</v>
      </c>
      <c r="F1967" t="n">
        <v>1133857.35</v>
      </c>
    </row>
    <row r="1968">
      <c r="A1968" t="n">
        <v>2031</v>
      </c>
      <c r="B1968" t="n">
        <v>5</v>
      </c>
      <c r="C1968" t="inlineStr">
        <is>
          <t>So. betr. Aufwa</t>
        </is>
      </c>
      <c r="D1968" t="inlineStr">
        <is>
          <t>Verwaltungskosten</t>
        </is>
      </c>
      <c r="E1968" t="n">
        <v>735.47</v>
      </c>
      <c r="F1968" t="n">
        <v>8825.639999999999</v>
      </c>
    </row>
    <row r="1969">
      <c r="A1969" t="n">
        <v>2027</v>
      </c>
      <c r="B1969" t="n">
        <v>5</v>
      </c>
      <c r="C1969" t="inlineStr">
        <is>
          <t>Lohn + Gehalt</t>
        </is>
      </c>
      <c r="D1969" t="inlineStr">
        <is>
          <t>Personalaufwand</t>
        </is>
      </c>
      <c r="E1969" t="n">
        <v>287946.36</v>
      </c>
      <c r="F1969" t="n">
        <v>3455356.33</v>
      </c>
    </row>
    <row r="1970">
      <c r="A1970" t="n">
        <v>2027</v>
      </c>
      <c r="B1970" t="n">
        <v>5</v>
      </c>
      <c r="C1970" t="inlineStr">
        <is>
          <t>So. betr. Aufwa</t>
        </is>
      </c>
      <c r="D1970" t="inlineStr">
        <is>
          <t>Verwaltungskosten</t>
        </is>
      </c>
      <c r="E1970" t="n">
        <v>653.45</v>
      </c>
      <c r="F1970" t="n">
        <v>7841.45</v>
      </c>
    </row>
    <row r="1971">
      <c r="A1971" t="n">
        <v>2028</v>
      </c>
      <c r="B1971" t="n">
        <v>5</v>
      </c>
      <c r="C1971" t="inlineStr">
        <is>
          <t>Ueb Lohn-Gehalt</t>
        </is>
      </c>
      <c r="D1971" t="inlineStr">
        <is>
          <t>Personalaufwand</t>
        </is>
      </c>
      <c r="E1971" t="n">
        <v>34332.83</v>
      </c>
      <c r="F1971" t="n">
        <v>411993.96</v>
      </c>
    </row>
    <row r="1972">
      <c r="A1972" t="n">
        <v>2027</v>
      </c>
      <c r="B1972" t="n">
        <v>5</v>
      </c>
      <c r="C1972" t="inlineStr">
        <is>
          <t>Verwaltungskost</t>
        </is>
      </c>
      <c r="D1972" t="inlineStr">
        <is>
          <t>Verwaltungskosten</t>
        </is>
      </c>
      <c r="E1972" t="n">
        <v>6691.47</v>
      </c>
      <c r="F1972" t="n">
        <v>80297.62</v>
      </c>
    </row>
    <row r="1973">
      <c r="A1973" t="n">
        <v>2030</v>
      </c>
      <c r="B1973" t="n">
        <v>5</v>
      </c>
      <c r="C1973" t="inlineStr">
        <is>
          <t>Aufw. Heizmat.</t>
        </is>
      </c>
      <c r="D1973" t="inlineStr">
        <is>
          <t>Vorleistungen</t>
        </is>
      </c>
      <c r="E1973" t="n">
        <v>230.4</v>
      </c>
      <c r="F1973" t="n">
        <v>2764.82</v>
      </c>
    </row>
    <row r="1974">
      <c r="A1974" t="n">
        <v>2027</v>
      </c>
      <c r="B1974" t="n">
        <v>5</v>
      </c>
      <c r="C1974" t="inlineStr">
        <is>
          <t>Versicherungskosten</t>
        </is>
      </c>
      <c r="D1974" t="inlineStr">
        <is>
          <t>Verwaltungskosten</t>
        </is>
      </c>
      <c r="E1974" t="n">
        <v>10789.61</v>
      </c>
      <c r="F1974" t="n">
        <v>129475.37</v>
      </c>
    </row>
    <row r="1975">
      <c r="A1975" t="n">
        <v>2031</v>
      </c>
      <c r="B1975" t="n">
        <v>5</v>
      </c>
      <c r="C1975" t="inlineStr">
        <is>
          <t>Instandh. BGA</t>
        </is>
      </c>
      <c r="D1975" t="inlineStr">
        <is>
          <t>Instandh. Betriebsausstattung</t>
        </is>
      </c>
      <c r="E1975" t="n">
        <v>5124.63</v>
      </c>
      <c r="F1975" t="n">
        <v>61495.58</v>
      </c>
    </row>
    <row r="1976">
      <c r="A1976" t="n">
        <v>2029</v>
      </c>
      <c r="B1976" t="n">
        <v>5</v>
      </c>
      <c r="C1976" t="inlineStr">
        <is>
          <t>Treibstoffe, Oe</t>
        </is>
      </c>
      <c r="D1976" t="inlineStr">
        <is>
          <t>Fuhrparkkosten</t>
        </is>
      </c>
      <c r="E1976" t="n">
        <v>32242.68</v>
      </c>
      <c r="F1976" t="n">
        <v>386912.19</v>
      </c>
    </row>
    <row r="1977">
      <c r="A1977" t="n">
        <v>2027</v>
      </c>
      <c r="B1977" t="n">
        <v>5</v>
      </c>
      <c r="C1977" t="inlineStr">
        <is>
          <t>Instandh. BGA</t>
        </is>
      </c>
      <c r="D1977" t="inlineStr">
        <is>
          <t>Instandh. Betriebsausstattung</t>
        </is>
      </c>
      <c r="E1977" t="n">
        <v>4216.05</v>
      </c>
      <c r="F1977" t="n">
        <v>50592.58</v>
      </c>
    </row>
    <row r="1978">
      <c r="A1978" t="n">
        <v>2029</v>
      </c>
      <c r="B1978" t="n">
        <v>5</v>
      </c>
      <c r="C1978" t="inlineStr">
        <is>
          <t>Ueb Lohn-Gehalt</t>
        </is>
      </c>
      <c r="D1978" t="inlineStr">
        <is>
          <t>Personalaufwand</t>
        </is>
      </c>
      <c r="E1978" t="n">
        <v>37989.9</v>
      </c>
      <c r="F1978" t="n">
        <v>455878.84</v>
      </c>
    </row>
    <row r="1979">
      <c r="A1979" t="n">
        <v>2031</v>
      </c>
      <c r="B1979" t="n">
        <v>5</v>
      </c>
      <c r="C1979" t="inlineStr">
        <is>
          <t>Erl. Waren Dt.</t>
        </is>
      </c>
      <c r="D1979" t="inlineStr">
        <is>
          <t>Gesamtleistung</t>
        </is>
      </c>
      <c r="E1979" t="n">
        <v>50865.59</v>
      </c>
      <c r="F1979" t="n">
        <v>610387.05</v>
      </c>
    </row>
    <row r="1980">
      <c r="A1980" t="n">
        <v>2027</v>
      </c>
      <c r="B1980" t="n">
        <v>5</v>
      </c>
      <c r="C1980" t="inlineStr">
        <is>
          <t>Fremdl. Persona</t>
        </is>
      </c>
      <c r="D1980" t="inlineStr">
        <is>
          <t>Vorleistungen</t>
        </is>
      </c>
      <c r="E1980" t="n">
        <v>61.31</v>
      </c>
      <c r="F1980" t="n">
        <v>735.66</v>
      </c>
    </row>
    <row r="1981">
      <c r="A1981" t="n">
        <v>2027</v>
      </c>
      <c r="B1981" t="n">
        <v>5</v>
      </c>
      <c r="C1981" t="inlineStr">
        <is>
          <t>Aufwand Umlage</t>
        </is>
      </c>
      <c r="D1981" t="inlineStr">
        <is>
          <t>Verwaltungskosten</t>
        </is>
      </c>
      <c r="E1981" t="n">
        <v>3383.24</v>
      </c>
      <c r="F1981" t="n">
        <v>40598.91</v>
      </c>
    </row>
    <row r="1982">
      <c r="A1982" t="n">
        <v>2031</v>
      </c>
      <c r="B1982" t="n">
        <v>5</v>
      </c>
      <c r="C1982" t="inlineStr">
        <is>
          <t>Ueb Lohn-Gehalt</t>
        </is>
      </c>
      <c r="D1982" t="inlineStr">
        <is>
          <t>Personalaufwand</t>
        </is>
      </c>
      <c r="E1982" t="n">
        <v>45675.82</v>
      </c>
      <c r="F1982" t="n">
        <v>548109.79</v>
      </c>
    </row>
    <row r="1983">
      <c r="A1983" t="n">
        <v>2027</v>
      </c>
      <c r="B1983" t="n">
        <v>5</v>
      </c>
      <c r="C1983" t="inlineStr">
        <is>
          <t>Rechts- u. Beratungs</t>
        </is>
      </c>
      <c r="D1983" t="inlineStr">
        <is>
          <t>Verwaltungskosten</t>
        </is>
      </c>
      <c r="E1983" t="n">
        <v>25635.99</v>
      </c>
      <c r="F1983" t="n">
        <v>307631.89</v>
      </c>
    </row>
    <row r="1984">
      <c r="A1984" t="n">
        <v>2028</v>
      </c>
      <c r="B1984" t="n">
        <v>5</v>
      </c>
      <c r="C1984" t="inlineStr">
        <is>
          <t>Verwaltungskost</t>
        </is>
      </c>
      <c r="D1984" t="inlineStr">
        <is>
          <t>Verwaltungskosten</t>
        </is>
      </c>
      <c r="E1984" t="n">
        <v>6892.21</v>
      </c>
      <c r="F1984" t="n">
        <v>82706.56</v>
      </c>
    </row>
    <row r="1985">
      <c r="A1985" t="n">
        <v>2028</v>
      </c>
      <c r="B1985" t="n">
        <v>5</v>
      </c>
      <c r="C1985" t="inlineStr">
        <is>
          <t>Ueb. bezog.Leis</t>
        </is>
      </c>
      <c r="D1985" t="inlineStr">
        <is>
          <t>Vorleistungen</t>
        </is>
      </c>
      <c r="E1985" t="n">
        <v>1342498.67</v>
      </c>
      <c r="F1985" t="n">
        <v>16109983.99</v>
      </c>
    </row>
    <row r="1986">
      <c r="A1986" t="n">
        <v>2028</v>
      </c>
      <c r="B1986" t="n">
        <v>5</v>
      </c>
      <c r="C1986" t="inlineStr">
        <is>
          <t>Ankauf Rohstoff</t>
        </is>
      </c>
      <c r="D1986" t="inlineStr">
        <is>
          <t>Vorleistungen</t>
        </is>
      </c>
      <c r="E1986" t="n">
        <v>1457.38</v>
      </c>
      <c r="F1986" t="n">
        <v>17488.61</v>
      </c>
    </row>
    <row r="1987">
      <c r="A1987" t="n">
        <v>2029</v>
      </c>
      <c r="B1987" t="n">
        <v>5</v>
      </c>
      <c r="C1987" t="inlineStr">
        <is>
          <t>Erloesschmaeler</t>
        </is>
      </c>
      <c r="D1987" t="inlineStr">
        <is>
          <t>Gesamtleistung</t>
        </is>
      </c>
      <c r="E1987" t="n">
        <v>-9048.01</v>
      </c>
      <c r="F1987" t="n">
        <v>-108576.08</v>
      </c>
    </row>
    <row r="1988">
      <c r="A1988" t="n">
        <v>2029</v>
      </c>
      <c r="B1988" t="n">
        <v>5</v>
      </c>
      <c r="C1988" t="inlineStr">
        <is>
          <t>Leasing PKW</t>
        </is>
      </c>
      <c r="D1988" t="inlineStr">
        <is>
          <t>Fuhrparkkosten</t>
        </is>
      </c>
      <c r="E1988" t="n">
        <v>24652.26</v>
      </c>
      <c r="F1988" t="n">
        <v>295827.14</v>
      </c>
    </row>
    <row r="1989">
      <c r="A1989" t="n">
        <v>2029</v>
      </c>
      <c r="B1989" t="n">
        <v>5</v>
      </c>
      <c r="C1989" t="inlineStr">
        <is>
          <t>Fremdl. Persona</t>
        </is>
      </c>
      <c r="D1989" t="inlineStr">
        <is>
          <t>Vorleistungen</t>
        </is>
      </c>
      <c r="E1989" t="n">
        <v>73.3</v>
      </c>
      <c r="F1989" t="n">
        <v>879.54</v>
      </c>
    </row>
    <row r="1990">
      <c r="A1990" t="n">
        <v>2028</v>
      </c>
      <c r="B1990" t="n">
        <v>5</v>
      </c>
      <c r="C1990" t="inlineStr">
        <is>
          <t>Aufwand Umlage</t>
        </is>
      </c>
      <c r="D1990" t="inlineStr">
        <is>
          <t>Verwaltungskosten</t>
        </is>
      </c>
      <c r="E1990" t="n">
        <v>3484.74</v>
      </c>
      <c r="F1990" t="n">
        <v>41816.88</v>
      </c>
    </row>
    <row r="1991">
      <c r="A1991" t="n">
        <v>2027</v>
      </c>
      <c r="B1991" t="n">
        <v>5</v>
      </c>
      <c r="C1991" t="inlineStr">
        <is>
          <t>Ankauf Rohstoff</t>
        </is>
      </c>
      <c r="D1991" t="inlineStr">
        <is>
          <t>Vorleistungen</t>
        </is>
      </c>
      <c r="E1991" t="n">
        <v>1408.24</v>
      </c>
      <c r="F1991" t="n">
        <v>16898.9</v>
      </c>
    </row>
    <row r="1992">
      <c r="A1992" t="n">
        <v>2030</v>
      </c>
      <c r="B1992" t="n">
        <v>5</v>
      </c>
      <c r="C1992" t="inlineStr">
        <is>
          <t>Erloesschmaeler</t>
        </is>
      </c>
      <c r="D1992" t="inlineStr">
        <is>
          <t>Gesamtleistung</t>
        </is>
      </c>
      <c r="E1992" t="n">
        <v>-9690.75</v>
      </c>
      <c r="F1992" t="n">
        <v>-116289.05</v>
      </c>
    </row>
    <row r="1993">
      <c r="A1993" t="n">
        <v>2029</v>
      </c>
      <c r="B1993" t="n">
        <v>5</v>
      </c>
      <c r="C1993" t="inlineStr">
        <is>
          <t>Sonst Fuhrparkkosten</t>
        </is>
      </c>
      <c r="D1993" t="inlineStr">
        <is>
          <t>Fuhrparkkosten</t>
        </is>
      </c>
      <c r="E1993" t="n">
        <v>5605.91</v>
      </c>
      <c r="F1993" t="n">
        <v>67270.89</v>
      </c>
    </row>
    <row r="1994">
      <c r="A1994" t="n">
        <v>2027</v>
      </c>
      <c r="B1994" t="n">
        <v>5</v>
      </c>
      <c r="C1994" t="inlineStr">
        <is>
          <t>Soziale Abgaben</t>
        </is>
      </c>
      <c r="D1994" t="inlineStr">
        <is>
          <t>Personalaufwand</t>
        </is>
      </c>
      <c r="E1994" t="n">
        <v>75903.69</v>
      </c>
      <c r="F1994" t="n">
        <v>910844.28</v>
      </c>
    </row>
    <row r="1995">
      <c r="A1995" t="n">
        <v>2031</v>
      </c>
      <c r="B1995" t="n">
        <v>5</v>
      </c>
      <c r="C1995" t="inlineStr">
        <is>
          <t>Erloesschmaeler</t>
        </is>
      </c>
      <c r="D1995" t="inlineStr">
        <is>
          <t>Gesamtleistung</t>
        </is>
      </c>
      <c r="E1995" t="n">
        <v>-10347.15</v>
      </c>
      <c r="F1995" t="n">
        <v>-124165.81</v>
      </c>
    </row>
    <row r="1996">
      <c r="A1996" t="n">
        <v>2029</v>
      </c>
      <c r="B1996" t="n">
        <v>5</v>
      </c>
      <c r="C1996" t="inlineStr">
        <is>
          <t>Ertr. weiterber</t>
        </is>
      </c>
      <c r="D1996" t="inlineStr">
        <is>
          <t>Gesamtleistung</t>
        </is>
      </c>
      <c r="E1996" t="n">
        <v>1036.39</v>
      </c>
      <c r="F1996" t="n">
        <v>12436.69</v>
      </c>
    </row>
    <row r="1997">
      <c r="A1997" t="n">
        <v>2027</v>
      </c>
      <c r="B1997" t="n">
        <v>5</v>
      </c>
      <c r="C1997" t="inlineStr">
        <is>
          <t>Sonderz. Prämie</t>
        </is>
      </c>
      <c r="D1997" t="inlineStr">
        <is>
          <t>Personalaufwand</t>
        </is>
      </c>
      <c r="E1997" t="n">
        <v>19636.08</v>
      </c>
      <c r="F1997" t="n">
        <v>235633</v>
      </c>
    </row>
    <row r="1998">
      <c r="A1998" t="n">
        <v>2027</v>
      </c>
      <c r="B1998" t="n">
        <v>5</v>
      </c>
      <c r="C1998" t="inlineStr">
        <is>
          <t>Miete Behälter</t>
        </is>
      </c>
      <c r="D1998" t="inlineStr">
        <is>
          <t>Instandh. Betriebsausstattung</t>
        </is>
      </c>
      <c r="E1998" t="n">
        <v>22.94</v>
      </c>
      <c r="F1998" t="n">
        <v>275.23</v>
      </c>
    </row>
    <row r="1999">
      <c r="A1999" t="n">
        <v>2031</v>
      </c>
      <c r="B1999" t="n">
        <v>5</v>
      </c>
      <c r="C1999" t="inlineStr">
        <is>
          <t>Versicherungskosten</t>
        </is>
      </c>
      <c r="D1999" t="inlineStr">
        <is>
          <t>Verwaltungskosten</t>
        </is>
      </c>
      <c r="E1999" t="n">
        <v>12143.81</v>
      </c>
      <c r="F1999" t="n">
        <v>145725.66</v>
      </c>
    </row>
    <row r="2000">
      <c r="A2000" t="n">
        <v>2029</v>
      </c>
      <c r="B2000" t="n">
        <v>5</v>
      </c>
      <c r="C2000" t="inlineStr">
        <is>
          <t>Rechts- u. Beratungs</t>
        </is>
      </c>
      <c r="D2000" t="inlineStr">
        <is>
          <t>Verwaltungskosten</t>
        </is>
      </c>
      <c r="E2000" t="n">
        <v>27197.22</v>
      </c>
      <c r="F2000" t="n">
        <v>326366.65</v>
      </c>
    </row>
    <row r="2001">
      <c r="A2001" t="n">
        <v>2028</v>
      </c>
      <c r="B2001" t="n">
        <v>5</v>
      </c>
      <c r="C2001" t="inlineStr">
        <is>
          <t>Instandh.Fuhrp</t>
        </is>
      </c>
      <c r="D2001" t="inlineStr">
        <is>
          <t>Fuhrparkkosten</t>
        </is>
      </c>
      <c r="E2001" t="n">
        <v>32180.39</v>
      </c>
      <c r="F2001" t="n">
        <v>386164.66</v>
      </c>
    </row>
    <row r="2002">
      <c r="A2002" t="n">
        <v>2030</v>
      </c>
      <c r="B2002" t="n">
        <v>5</v>
      </c>
      <c r="C2002" t="inlineStr">
        <is>
          <t>Miete Grdst/Gebäud</t>
        </is>
      </c>
      <c r="D2002" t="inlineStr">
        <is>
          <t>Raumkosten</t>
        </is>
      </c>
      <c r="E2002" t="n">
        <v>18603.32</v>
      </c>
      <c r="F2002" t="n">
        <v>223239.88</v>
      </c>
    </row>
    <row r="2003">
      <c r="A2003" t="n">
        <v>2027</v>
      </c>
      <c r="B2003" t="n">
        <v>5</v>
      </c>
      <c r="C2003" t="inlineStr">
        <is>
          <t>Ueb. bezog.Leis</t>
        </is>
      </c>
      <c r="D2003" t="inlineStr">
        <is>
          <t>Vorleistungen</t>
        </is>
      </c>
      <c r="E2003" t="n">
        <v>1319862.34</v>
      </c>
      <c r="F2003" t="n">
        <v>15838348.13</v>
      </c>
    </row>
    <row r="2004">
      <c r="A2004" t="n">
        <v>2029</v>
      </c>
      <c r="B2004" t="n">
        <v>5</v>
      </c>
      <c r="C2004" t="inlineStr">
        <is>
          <t>Erl. Waren Dt.</t>
        </is>
      </c>
      <c r="D2004" t="inlineStr">
        <is>
          <t>Gesamtleistung</t>
        </is>
      </c>
      <c r="E2004" t="n">
        <v>47334.08</v>
      </c>
      <c r="F2004" t="n">
        <v>568008.92</v>
      </c>
    </row>
    <row r="2005">
      <c r="A2005" t="n">
        <v>2031</v>
      </c>
      <c r="B2005" t="n">
        <v>5</v>
      </c>
      <c r="C2005" t="inlineStr">
        <is>
          <t>Treibstoffe, Oe</t>
        </is>
      </c>
      <c r="D2005" t="inlineStr">
        <is>
          <t>Fuhrparkkosten</t>
        </is>
      </c>
      <c r="E2005" t="n">
        <v>36227.88</v>
      </c>
      <c r="F2005" t="n">
        <v>434734.54</v>
      </c>
    </row>
    <row r="2006">
      <c r="A2006" t="n">
        <v>2029</v>
      </c>
      <c r="B2006" t="n">
        <v>5</v>
      </c>
      <c r="C2006" t="inlineStr">
        <is>
          <t>Miete Behälter</t>
        </is>
      </c>
      <c r="D2006" t="inlineStr">
        <is>
          <t>Instandh. Betriebsausstattung</t>
        </is>
      </c>
      <c r="E2006" t="n">
        <v>25.29</v>
      </c>
      <c r="F2006" t="n">
        <v>303.45</v>
      </c>
    </row>
    <row r="2007">
      <c r="A2007" t="n">
        <v>2030</v>
      </c>
      <c r="B2007" t="n">
        <v>5</v>
      </c>
      <c r="C2007" t="inlineStr">
        <is>
          <t>Instandh. BGA</t>
        </is>
      </c>
      <c r="D2007" t="inlineStr">
        <is>
          <t>Instandh. Betriebsausstattung</t>
        </is>
      </c>
      <c r="E2007" t="n">
        <v>4880.6</v>
      </c>
      <c r="F2007" t="n">
        <v>58567.23</v>
      </c>
    </row>
    <row r="2008">
      <c r="A2008" t="n">
        <v>2030</v>
      </c>
      <c r="B2008" t="n">
        <v>5</v>
      </c>
      <c r="C2008" t="inlineStr">
        <is>
          <t>Lohn + Gehalt</t>
        </is>
      </c>
      <c r="D2008" t="inlineStr">
        <is>
          <t>Personalaufwand</t>
        </is>
      </c>
      <c r="E2008" t="n">
        <v>392030.8</v>
      </c>
      <c r="F2008" t="n">
        <v>4704369.59</v>
      </c>
    </row>
    <row r="2009">
      <c r="A2009" t="n">
        <v>2027</v>
      </c>
      <c r="B2009" t="n">
        <v>5</v>
      </c>
      <c r="C2009" t="inlineStr">
        <is>
          <t>Bestandsveraend</t>
        </is>
      </c>
      <c r="D2009" t="inlineStr">
        <is>
          <t>Gesamtleistung</t>
        </is>
      </c>
      <c r="E2009" t="n">
        <v>0</v>
      </c>
      <c r="F2009" t="n">
        <v>0</v>
      </c>
    </row>
    <row r="2010">
      <c r="A2010" t="n">
        <v>2027</v>
      </c>
      <c r="B2010" t="n">
        <v>5</v>
      </c>
      <c r="C2010" t="inlineStr">
        <is>
          <t>Aufw. so. Hilfs</t>
        </is>
      </c>
      <c r="D2010" t="inlineStr">
        <is>
          <t>Vorleistungen</t>
        </is>
      </c>
      <c r="E2010" t="n">
        <v>-16362.04</v>
      </c>
      <c r="F2010" t="n">
        <v>-196344.47</v>
      </c>
    </row>
    <row r="2011">
      <c r="A2011" t="n">
        <v>2027</v>
      </c>
      <c r="B2011" t="n">
        <v>5</v>
      </c>
      <c r="C2011" t="inlineStr">
        <is>
          <t>Aufw. f. Alters</t>
        </is>
      </c>
      <c r="D2011" t="inlineStr">
        <is>
          <t>Personalaufwand</t>
        </is>
      </c>
      <c r="E2011" t="n">
        <v>1234.77</v>
      </c>
      <c r="F2011" t="n">
        <v>14817.29</v>
      </c>
    </row>
    <row r="2012">
      <c r="A2012" t="n">
        <v>2027</v>
      </c>
      <c r="B2012" t="n">
        <v>5</v>
      </c>
      <c r="C2012" t="inlineStr">
        <is>
          <t>Vertriebskosten</t>
        </is>
      </c>
      <c r="D2012" t="inlineStr">
        <is>
          <t>Vertriebskosten</t>
        </is>
      </c>
      <c r="E2012" t="n">
        <v>10833.33</v>
      </c>
      <c r="F2012" t="n">
        <v>130000</v>
      </c>
    </row>
    <row r="2013">
      <c r="A2013" t="n">
        <v>2027</v>
      </c>
      <c r="B2013" t="n">
        <v>5</v>
      </c>
      <c r="C2013" t="inlineStr">
        <is>
          <t>Ertrag KFZ-Nutz</t>
        </is>
      </c>
      <c r="D2013" t="inlineStr">
        <is>
          <t>Gesamtleistung</t>
        </is>
      </c>
      <c r="E2013" t="n">
        <v>8029.69</v>
      </c>
      <c r="F2013" t="n">
        <v>96356.3</v>
      </c>
    </row>
    <row r="2014">
      <c r="A2014" t="n">
        <v>2031</v>
      </c>
      <c r="B2014" t="n">
        <v>5</v>
      </c>
      <c r="C2014" t="inlineStr">
        <is>
          <t>Lohn + Gehalt</t>
        </is>
      </c>
      <c r="D2014" t="inlineStr">
        <is>
          <t>Personalaufwand</t>
        </is>
      </c>
      <c r="E2014" t="n">
        <v>428257.62</v>
      </c>
      <c r="F2014" t="n">
        <v>5139091.39</v>
      </c>
    </row>
    <row r="2015">
      <c r="A2015" t="n">
        <v>2031</v>
      </c>
      <c r="B2015" t="n">
        <v>5</v>
      </c>
      <c r="C2015" t="inlineStr">
        <is>
          <t>Soziale Abgaben</t>
        </is>
      </c>
      <c r="D2015" t="inlineStr">
        <is>
          <t>Personalaufwand</t>
        </is>
      </c>
      <c r="E2015" t="n">
        <v>113909.76</v>
      </c>
      <c r="F2015" t="n">
        <v>1366917.09</v>
      </c>
    </row>
    <row r="2016">
      <c r="A2016" t="n">
        <v>2031</v>
      </c>
      <c r="B2016" t="n">
        <v>5</v>
      </c>
      <c r="C2016" t="inlineStr">
        <is>
          <t>Sonst Fuhrparkkosten</t>
        </is>
      </c>
      <c r="D2016" t="inlineStr">
        <is>
          <t>Fuhrparkkosten</t>
        </is>
      </c>
      <c r="E2016" t="n">
        <v>6298.8</v>
      </c>
      <c r="F2016" t="n">
        <v>75585.56</v>
      </c>
    </row>
    <row r="2017">
      <c r="A2017" t="n">
        <v>2030</v>
      </c>
      <c r="B2017" t="n">
        <v>5</v>
      </c>
      <c r="C2017" t="inlineStr">
        <is>
          <t>Miete Behälter</t>
        </is>
      </c>
      <c r="D2017" t="inlineStr">
        <is>
          <t>Instandh. Betriebsausstattung</t>
        </is>
      </c>
      <c r="E2017" t="n">
        <v>26.55</v>
      </c>
      <c r="F2017" t="n">
        <v>318.62</v>
      </c>
    </row>
    <row r="2018">
      <c r="A2018" t="n">
        <v>2028</v>
      </c>
      <c r="B2018" t="n">
        <v>5</v>
      </c>
      <c r="C2018" t="inlineStr">
        <is>
          <t>Miete PKW</t>
        </is>
      </c>
      <c r="D2018" t="inlineStr">
        <is>
          <t>Fuhrparkkosten</t>
        </is>
      </c>
      <c r="E2018" t="n">
        <v>4890.62</v>
      </c>
      <c r="F2018" t="n">
        <v>58687.43</v>
      </c>
    </row>
    <row r="2019">
      <c r="A2019" t="n">
        <v>2030</v>
      </c>
      <c r="B2019" t="n">
        <v>5</v>
      </c>
      <c r="C2019" t="inlineStr">
        <is>
          <t>Aufwand Umlage</t>
        </is>
      </c>
      <c r="D2019" t="inlineStr">
        <is>
          <t>Verwaltungskosten</t>
        </is>
      </c>
      <c r="E2019" t="n">
        <v>3696.96</v>
      </c>
      <c r="F2019" t="n">
        <v>44363.53</v>
      </c>
    </row>
    <row r="2020">
      <c r="A2020" t="n">
        <v>2030</v>
      </c>
      <c r="B2020" t="n">
        <v>5</v>
      </c>
      <c r="C2020" t="inlineStr">
        <is>
          <t>So. betr. Aufwa</t>
        </is>
      </c>
      <c r="D2020" t="inlineStr">
        <is>
          <t>Verwaltungskosten</t>
        </is>
      </c>
      <c r="E2020" t="n">
        <v>714.05</v>
      </c>
      <c r="F2020" t="n">
        <v>8568.57</v>
      </c>
    </row>
    <row r="2021">
      <c r="A2021" t="n">
        <v>2029</v>
      </c>
      <c r="B2021" t="n">
        <v>5</v>
      </c>
      <c r="C2021" t="inlineStr">
        <is>
          <t>Versicherungskosten</t>
        </is>
      </c>
      <c r="D2021" t="inlineStr">
        <is>
          <t>Verwaltungskosten</t>
        </is>
      </c>
      <c r="E2021" t="n">
        <v>11446.7</v>
      </c>
      <c r="F2021" t="n">
        <v>137360.42</v>
      </c>
    </row>
    <row r="2022">
      <c r="A2022" t="n">
        <v>2027</v>
      </c>
      <c r="B2022" t="n">
        <v>5</v>
      </c>
      <c r="C2022" t="inlineStr">
        <is>
          <t>Sonstige Steuer</t>
        </is>
      </c>
      <c r="D2022" t="inlineStr">
        <is>
          <t>Fuhrparkkosten</t>
        </is>
      </c>
      <c r="E2022" t="n">
        <v>1497.31</v>
      </c>
      <c r="F2022" t="n">
        <v>17967.71</v>
      </c>
    </row>
    <row r="2023">
      <c r="A2023" t="n">
        <v>2031</v>
      </c>
      <c r="B2023" t="n">
        <v>5</v>
      </c>
      <c r="C2023" t="inlineStr">
        <is>
          <t>Leasing LKW</t>
        </is>
      </c>
      <c r="D2023" t="inlineStr">
        <is>
          <t>Fuhrparkkosten</t>
        </is>
      </c>
      <c r="E2023" t="n">
        <v>2910.36</v>
      </c>
      <c r="F2023" t="n">
        <v>34924.28</v>
      </c>
    </row>
    <row r="2024">
      <c r="A2024" t="n">
        <v>2029</v>
      </c>
      <c r="B2024" t="n">
        <v>5</v>
      </c>
      <c r="C2024" t="inlineStr">
        <is>
          <t>Leasing LKW</t>
        </is>
      </c>
      <c r="D2024" t="inlineStr">
        <is>
          <t>Fuhrparkkosten</t>
        </is>
      </c>
      <c r="E2024" t="n">
        <v>2590.21</v>
      </c>
      <c r="F2024" t="n">
        <v>31082.49</v>
      </c>
    </row>
    <row r="2025">
      <c r="A2025" t="n">
        <v>2027</v>
      </c>
      <c r="B2025" t="n">
        <v>5</v>
      </c>
      <c r="C2025" t="inlineStr">
        <is>
          <t>Instandh.Fuhrp</t>
        </is>
      </c>
      <c r="D2025" t="inlineStr">
        <is>
          <t>Fuhrparkkosten</t>
        </is>
      </c>
      <c r="E2025" t="n">
        <v>30358.86</v>
      </c>
      <c r="F2025" t="n">
        <v>364306.28</v>
      </c>
    </row>
    <row r="2026">
      <c r="A2026" t="n">
        <v>2029</v>
      </c>
      <c r="B2026" t="n">
        <v>5</v>
      </c>
      <c r="C2026" t="inlineStr">
        <is>
          <t>Vertriebskosten</t>
        </is>
      </c>
      <c r="D2026" t="inlineStr">
        <is>
          <t>Vertriebskosten</t>
        </is>
      </c>
      <c r="E2026" t="n">
        <v>11943.75</v>
      </c>
      <c r="F2026" t="n">
        <v>143325</v>
      </c>
    </row>
    <row r="2027">
      <c r="A2027" t="n">
        <v>2031</v>
      </c>
      <c r="B2027" t="n">
        <v>5</v>
      </c>
      <c r="C2027" t="inlineStr">
        <is>
          <t>Miete Grdst/Gebäud</t>
        </is>
      </c>
      <c r="D2027" t="inlineStr">
        <is>
          <t>Raumkosten</t>
        </is>
      </c>
      <c r="E2027" t="n">
        <v>18975.39</v>
      </c>
      <c r="F2027" t="n">
        <v>227704.65</v>
      </c>
    </row>
    <row r="2028">
      <c r="A2028" t="n">
        <v>2029</v>
      </c>
      <c r="B2028" t="n">
        <v>5</v>
      </c>
      <c r="C2028" t="inlineStr">
        <is>
          <t>Uebr.neutr. Ert</t>
        </is>
      </c>
      <c r="D2028" t="inlineStr">
        <is>
          <t>Gesamtleistung</t>
        </is>
      </c>
      <c r="E2028" t="n">
        <v>189.9</v>
      </c>
      <c r="F2028" t="n">
        <v>2278.85</v>
      </c>
    </row>
    <row r="2029">
      <c r="A2029" t="n">
        <v>2030</v>
      </c>
      <c r="B2029" t="n">
        <v>5</v>
      </c>
      <c r="C2029" t="inlineStr">
        <is>
          <t>Behaelterkosten</t>
        </is>
      </c>
      <c r="D2029" t="inlineStr">
        <is>
          <t>Instandh. Betriebsausstattung</t>
        </is>
      </c>
      <c r="E2029" t="n">
        <v>12.75</v>
      </c>
      <c r="F2029" t="n">
        <v>153.03</v>
      </c>
    </row>
    <row r="2030">
      <c r="A2030" t="n">
        <v>2029</v>
      </c>
      <c r="B2030" t="n">
        <v>5</v>
      </c>
      <c r="C2030" t="inlineStr">
        <is>
          <t>IT-Aufwendungen</t>
        </is>
      </c>
      <c r="D2030" t="inlineStr">
        <is>
          <t>Verwaltungskosten</t>
        </is>
      </c>
      <c r="E2030" t="n">
        <v>12302.44</v>
      </c>
      <c r="F2030" t="n">
        <v>147629.28</v>
      </c>
    </row>
    <row r="2031">
      <c r="A2031" t="n">
        <v>2028</v>
      </c>
      <c r="B2031" t="n">
        <v>5</v>
      </c>
      <c r="C2031" t="inlineStr">
        <is>
          <t>Instandh. BGA</t>
        </is>
      </c>
      <c r="D2031" t="inlineStr">
        <is>
          <t>Instandh. Betriebsausstattung</t>
        </is>
      </c>
      <c r="E2031" t="n">
        <v>4426.85</v>
      </c>
      <c r="F2031" t="n">
        <v>53122.2</v>
      </c>
    </row>
    <row r="2032">
      <c r="A2032" t="n">
        <v>2029</v>
      </c>
      <c r="B2032" t="n">
        <v>5</v>
      </c>
      <c r="C2032" t="inlineStr">
        <is>
          <t>Instandh.Fuhrp</t>
        </is>
      </c>
      <c r="D2032" t="inlineStr">
        <is>
          <t>Fuhrparkkosten</t>
        </is>
      </c>
      <c r="E2032" t="n">
        <v>34111.21</v>
      </c>
      <c r="F2032" t="n">
        <v>409334.56</v>
      </c>
    </row>
    <row r="2033">
      <c r="A2033" t="n">
        <v>2031</v>
      </c>
      <c r="B2033" t="n">
        <v>5</v>
      </c>
      <c r="C2033" t="inlineStr">
        <is>
          <t>Rechts- u. Beratungs</t>
        </is>
      </c>
      <c r="D2033" t="inlineStr">
        <is>
          <t>Verwaltungskosten</t>
        </is>
      </c>
      <c r="E2033" t="n">
        <v>28853.53</v>
      </c>
      <c r="F2033" t="n">
        <v>346242.38</v>
      </c>
    </row>
    <row r="2034">
      <c r="A2034" t="n">
        <v>2029</v>
      </c>
      <c r="B2034" t="n">
        <v>5</v>
      </c>
      <c r="C2034" t="inlineStr">
        <is>
          <t>Ertrag KFZ-Nutz</t>
        </is>
      </c>
      <c r="D2034" t="inlineStr">
        <is>
          <t>Gesamtleistung</t>
        </is>
      </c>
      <c r="E2034" t="n">
        <v>8815.82</v>
      </c>
      <c r="F2034" t="n">
        <v>105789.86</v>
      </c>
    </row>
    <row r="2035">
      <c r="A2035" t="n">
        <v>2030</v>
      </c>
      <c r="B2035" t="n">
        <v>5</v>
      </c>
      <c r="C2035" t="inlineStr">
        <is>
          <t>Ertr. weiterber</t>
        </is>
      </c>
      <c r="D2035" t="inlineStr">
        <is>
          <t>Gesamtleistung</t>
        </is>
      </c>
      <c r="E2035" t="n">
        <v>1104.47</v>
      </c>
      <c r="F2035" t="n">
        <v>13253.67</v>
      </c>
    </row>
    <row r="2036">
      <c r="A2036" t="n">
        <v>2028</v>
      </c>
      <c r="B2036" t="n">
        <v>5</v>
      </c>
      <c r="C2036" t="inlineStr">
        <is>
          <t>Leasing PKW</t>
        </is>
      </c>
      <c r="D2036" t="inlineStr">
        <is>
          <t>Fuhrparkkosten</t>
        </is>
      </c>
      <c r="E2036" t="n">
        <v>23256.85</v>
      </c>
      <c r="F2036" t="n">
        <v>279082.22</v>
      </c>
    </row>
    <row r="2037">
      <c r="A2037" t="n">
        <v>2028</v>
      </c>
      <c r="B2037" t="n">
        <v>5</v>
      </c>
      <c r="C2037" t="inlineStr">
        <is>
          <t>Treibstoffe, Oe</t>
        </is>
      </c>
      <c r="D2037" t="inlineStr">
        <is>
          <t>Fuhrparkkosten</t>
        </is>
      </c>
      <c r="E2037" t="n">
        <v>30417.62</v>
      </c>
      <c r="F2037" t="n">
        <v>365011.49</v>
      </c>
    </row>
    <row r="2038">
      <c r="A2038" t="n">
        <v>2029</v>
      </c>
      <c r="B2038" t="n">
        <v>5</v>
      </c>
      <c r="C2038" t="inlineStr">
        <is>
          <t>Miete PKW</t>
        </is>
      </c>
      <c r="D2038" t="inlineStr">
        <is>
          <t>Fuhrparkkosten</t>
        </is>
      </c>
      <c r="E2038" t="n">
        <v>5184.06</v>
      </c>
      <c r="F2038" t="n">
        <v>62208.67</v>
      </c>
    </row>
    <row r="2039">
      <c r="A2039" t="n">
        <v>2028</v>
      </c>
      <c r="B2039" t="n">
        <v>5</v>
      </c>
      <c r="C2039" t="inlineStr">
        <is>
          <t>Ertr. weiterber</t>
        </is>
      </c>
      <c r="D2039" t="inlineStr">
        <is>
          <t>Gesamtleistung</t>
        </is>
      </c>
      <c r="E2039" t="n">
        <v>980.91</v>
      </c>
      <c r="F2039" t="n">
        <v>11770.87</v>
      </c>
    </row>
    <row r="2040">
      <c r="A2040" t="n">
        <v>2029</v>
      </c>
      <c r="B2040" t="n">
        <v>5</v>
      </c>
      <c r="C2040" t="inlineStr">
        <is>
          <t>Instandh. BGA</t>
        </is>
      </c>
      <c r="D2040" t="inlineStr">
        <is>
          <t>Instandh. Betriebsausstattung</t>
        </is>
      </c>
      <c r="E2040" t="n">
        <v>4648.19</v>
      </c>
      <c r="F2040" t="n">
        <v>55778.31</v>
      </c>
    </row>
    <row r="2041">
      <c r="A2041" t="n">
        <v>2028</v>
      </c>
      <c r="B2041" t="n">
        <v>5</v>
      </c>
      <c r="C2041" t="inlineStr">
        <is>
          <t>Erl. so. DL Dt.</t>
        </is>
      </c>
      <c r="D2041" t="inlineStr">
        <is>
          <t>Gesamtleistung</t>
        </is>
      </c>
      <c r="E2041" t="n">
        <v>2095866.37</v>
      </c>
      <c r="F2041" t="n">
        <v>25150396.49</v>
      </c>
    </row>
    <row r="2042">
      <c r="A2042" t="n">
        <v>2028</v>
      </c>
      <c r="B2042" t="n">
        <v>5</v>
      </c>
      <c r="C2042" t="inlineStr">
        <is>
          <t>IT-Aufwendungen</t>
        </is>
      </c>
      <c r="D2042" t="inlineStr">
        <is>
          <t>Verwaltungskosten</t>
        </is>
      </c>
      <c r="E2042" t="n">
        <v>11944.12</v>
      </c>
      <c r="F2042" t="n">
        <v>143329.39</v>
      </c>
    </row>
    <row r="2043">
      <c r="A2043" t="n">
        <v>2029</v>
      </c>
      <c r="B2043" t="n">
        <v>5</v>
      </c>
      <c r="C2043" t="inlineStr">
        <is>
          <t>Ueb. bezog.Leis</t>
        </is>
      </c>
      <c r="D2043" t="inlineStr">
        <is>
          <t>Vorleistungen</t>
        </is>
      </c>
      <c r="E2043" t="n">
        <v>1364260.58</v>
      </c>
      <c r="F2043" t="n">
        <v>16371126.93</v>
      </c>
    </row>
    <row r="2044">
      <c r="A2044" t="n">
        <v>2031</v>
      </c>
      <c r="B2044" t="n">
        <v>5</v>
      </c>
      <c r="C2044" t="inlineStr">
        <is>
          <t>Sonderz. Prämie</t>
        </is>
      </c>
      <c r="D2044" t="inlineStr">
        <is>
          <t>Personalaufwand</t>
        </is>
      </c>
      <c r="E2044" t="n">
        <v>26838.18</v>
      </c>
      <c r="F2044" t="n">
        <v>322058.2</v>
      </c>
    </row>
    <row r="2045">
      <c r="A2045" t="n">
        <v>2029</v>
      </c>
      <c r="B2045" t="n">
        <v>5</v>
      </c>
      <c r="C2045" t="inlineStr">
        <is>
          <t>Verwaltungskost</t>
        </is>
      </c>
      <c r="D2045" t="inlineStr">
        <is>
          <t>Verwaltungskosten</t>
        </is>
      </c>
      <c r="E2045" t="n">
        <v>7098.98</v>
      </c>
      <c r="F2045" t="n">
        <v>85187.74000000001</v>
      </c>
    </row>
    <row r="2046">
      <c r="A2046" t="n">
        <v>2028</v>
      </c>
      <c r="B2046" t="n">
        <v>5</v>
      </c>
      <c r="C2046" t="inlineStr">
        <is>
          <t>Ertrag KFZ-Nutz</t>
        </is>
      </c>
      <c r="D2046" t="inlineStr">
        <is>
          <t>Gesamtleistung</t>
        </is>
      </c>
      <c r="E2046" t="n">
        <v>8405.780000000001</v>
      </c>
      <c r="F2046" t="n">
        <v>100869.3</v>
      </c>
    </row>
    <row r="2047">
      <c r="A2047" t="n">
        <v>2030</v>
      </c>
      <c r="B2047" t="n">
        <v>5</v>
      </c>
      <c r="C2047" t="inlineStr">
        <is>
          <t>Sonst Fuhrparkkosten</t>
        </is>
      </c>
      <c r="D2047" t="inlineStr">
        <is>
          <t>Fuhrparkkosten</t>
        </is>
      </c>
      <c r="E2047" t="n">
        <v>5942.26</v>
      </c>
      <c r="F2047" t="n">
        <v>71307.13</v>
      </c>
    </row>
    <row r="2048">
      <c r="A2048" t="n">
        <v>2028</v>
      </c>
      <c r="B2048" t="n">
        <v>5</v>
      </c>
      <c r="C2048" t="inlineStr">
        <is>
          <t>Rechts- u. Beratungs</t>
        </is>
      </c>
      <c r="D2048" t="inlineStr">
        <is>
          <t>Verwaltungskosten</t>
        </is>
      </c>
      <c r="E2048" t="n">
        <v>26405.07</v>
      </c>
      <c r="F2048" t="n">
        <v>316860.83</v>
      </c>
    </row>
    <row r="2049">
      <c r="A2049" t="n">
        <v>2027</v>
      </c>
      <c r="B2049" t="n">
        <v>5</v>
      </c>
      <c r="C2049" t="inlineStr">
        <is>
          <t>Leasing LKW</t>
        </is>
      </c>
      <c r="D2049" t="inlineStr">
        <is>
          <t>Fuhrparkkosten</t>
        </is>
      </c>
      <c r="E2049" t="n">
        <v>2305.28</v>
      </c>
      <c r="F2049" t="n">
        <v>27663.3</v>
      </c>
    </row>
    <row r="2050">
      <c r="A2050" t="n">
        <v>2031</v>
      </c>
      <c r="B2050" t="n">
        <v>5</v>
      </c>
      <c r="C2050" t="inlineStr">
        <is>
          <t>Fremdl. Fuhrlei</t>
        </is>
      </c>
      <c r="D2050" t="inlineStr">
        <is>
          <t>Vorleistungen</t>
        </is>
      </c>
      <c r="E2050" t="n">
        <v>374.24</v>
      </c>
      <c r="F2050" t="n">
        <v>4490.84</v>
      </c>
    </row>
    <row r="2051">
      <c r="A2051" t="n">
        <v>2029</v>
      </c>
      <c r="B2051" t="n">
        <v>5</v>
      </c>
      <c r="C2051" t="inlineStr">
        <is>
          <t>Fremdl. Fuhrlei</t>
        </is>
      </c>
      <c r="D2051" t="inlineStr">
        <is>
          <t>Vorleistungen</t>
        </is>
      </c>
      <c r="E2051" t="n">
        <v>362.07</v>
      </c>
      <c r="F2051" t="n">
        <v>4344.88</v>
      </c>
    </row>
    <row r="2052">
      <c r="A2052" t="n">
        <v>2028</v>
      </c>
      <c r="B2052" t="n">
        <v>5</v>
      </c>
      <c r="C2052" t="inlineStr">
        <is>
          <t>Vertriebskosten</t>
        </is>
      </c>
      <c r="D2052" t="inlineStr">
        <is>
          <t>Vertriebskosten</t>
        </is>
      </c>
      <c r="E2052" t="n">
        <v>11375</v>
      </c>
      <c r="F2052" t="n">
        <v>136500</v>
      </c>
    </row>
    <row r="2053">
      <c r="A2053" t="n">
        <v>2031</v>
      </c>
      <c r="B2053" t="n">
        <v>5</v>
      </c>
      <c r="C2053" t="inlineStr">
        <is>
          <t>Aufw. so. Hilfs</t>
        </is>
      </c>
      <c r="D2053" t="inlineStr">
        <is>
          <t>Vorleistungen</t>
        </is>
      </c>
      <c r="E2053" t="n">
        <v>-17544.22</v>
      </c>
      <c r="F2053" t="n">
        <v>-210530.6</v>
      </c>
    </row>
    <row r="2054">
      <c r="A2054" t="n">
        <v>2029</v>
      </c>
      <c r="B2054" t="n">
        <v>5</v>
      </c>
      <c r="C2054" t="inlineStr">
        <is>
          <t>Ankauf Rohstoff</t>
        </is>
      </c>
      <c r="D2054" t="inlineStr">
        <is>
          <t>Vorleistungen</t>
        </is>
      </c>
      <c r="E2054" t="n">
        <v>1473.64</v>
      </c>
      <c r="F2054" t="n">
        <v>17683.65</v>
      </c>
    </row>
    <row r="2055">
      <c r="A2055" t="n">
        <v>2028</v>
      </c>
      <c r="B2055" t="n">
        <v>5</v>
      </c>
      <c r="C2055" t="inlineStr">
        <is>
          <t>Sonstige Steuer</t>
        </is>
      </c>
      <c r="D2055" t="inlineStr">
        <is>
          <t>Fuhrparkkosten</t>
        </is>
      </c>
      <c r="E2055" t="n">
        <v>1587.15</v>
      </c>
      <c r="F2055" t="n">
        <v>19045.76</v>
      </c>
    </row>
    <row r="2056">
      <c r="A2056" t="n">
        <v>2030</v>
      </c>
      <c r="B2056" t="n">
        <v>5</v>
      </c>
      <c r="C2056" t="inlineStr">
        <is>
          <t>Weiterber. Frem</t>
        </is>
      </c>
      <c r="D2056" t="inlineStr">
        <is>
          <t>Vorleistungen</t>
        </is>
      </c>
      <c r="E2056" t="n">
        <v>0</v>
      </c>
      <c r="F2056" t="n">
        <v>0</v>
      </c>
    </row>
    <row r="2057">
      <c r="A2057" t="n">
        <v>2031</v>
      </c>
      <c r="B2057" t="n">
        <v>5</v>
      </c>
      <c r="C2057" t="inlineStr">
        <is>
          <t>Miete Behälter</t>
        </is>
      </c>
      <c r="D2057" t="inlineStr">
        <is>
          <t>Instandh. Betriebsausstattung</t>
        </is>
      </c>
      <c r="E2057" t="n">
        <v>27.88</v>
      </c>
      <c r="F2057" t="n">
        <v>334.55</v>
      </c>
    </row>
    <row r="2058">
      <c r="A2058" t="n">
        <v>2027</v>
      </c>
      <c r="B2058" t="n">
        <v>5</v>
      </c>
      <c r="C2058" t="inlineStr">
        <is>
          <t>Miete Grdst/Gebäud</t>
        </is>
      </c>
      <c r="D2058" t="inlineStr">
        <is>
          <t>Raumkosten</t>
        </is>
      </c>
      <c r="E2058" t="n">
        <v>15284.77</v>
      </c>
      <c r="F2058" t="n">
        <v>183417.26</v>
      </c>
    </row>
    <row r="2059">
      <c r="A2059" t="n">
        <v>2028</v>
      </c>
      <c r="B2059" t="n">
        <v>5</v>
      </c>
      <c r="C2059" t="inlineStr">
        <is>
          <t>Aufw. f. Alters</t>
        </is>
      </c>
      <c r="D2059" t="inlineStr">
        <is>
          <t>Personalaufwand</t>
        </is>
      </c>
      <c r="E2059" t="n">
        <v>1290.05</v>
      </c>
      <c r="F2059" t="n">
        <v>15480.56</v>
      </c>
    </row>
    <row r="2060">
      <c r="A2060" t="n">
        <v>2028</v>
      </c>
      <c r="B2060" t="n">
        <v>5</v>
      </c>
      <c r="C2060" t="inlineStr">
        <is>
          <t>Fremdl. Persona</t>
        </is>
      </c>
      <c r="D2060" t="inlineStr">
        <is>
          <t>Vorleistungen</t>
        </is>
      </c>
      <c r="E2060" t="n">
        <v>69.04000000000001</v>
      </c>
      <c r="F2060" t="n">
        <v>828.42</v>
      </c>
    </row>
    <row r="2061">
      <c r="A2061" t="n">
        <v>2030</v>
      </c>
      <c r="B2061" t="n">
        <v>5</v>
      </c>
      <c r="C2061" t="inlineStr">
        <is>
          <t>Vertriebskosten</t>
        </is>
      </c>
      <c r="D2061" t="inlineStr">
        <is>
          <t>Vertriebskosten</t>
        </is>
      </c>
      <c r="E2061" t="n">
        <v>12540.94</v>
      </c>
      <c r="F2061" t="n">
        <v>150491.26</v>
      </c>
    </row>
    <row r="2062">
      <c r="A2062" t="n">
        <v>2030</v>
      </c>
      <c r="B2062" t="n">
        <v>5</v>
      </c>
      <c r="C2062" t="inlineStr">
        <is>
          <t>Aufw. so. Hilfs</t>
        </is>
      </c>
      <c r="D2062" t="inlineStr">
        <is>
          <t>Vorleistungen</t>
        </is>
      </c>
      <c r="E2062" t="n">
        <v>-17197.35</v>
      </c>
      <c r="F2062" t="n">
        <v>-206368.2</v>
      </c>
    </row>
    <row r="2063">
      <c r="A2063" t="n">
        <v>2029</v>
      </c>
      <c r="B2063" t="n">
        <v>5</v>
      </c>
      <c r="C2063" t="inlineStr">
        <is>
          <t>Aufw. so. Hilfs</t>
        </is>
      </c>
      <c r="D2063" t="inlineStr">
        <is>
          <t>Vorleistungen</t>
        </is>
      </c>
      <c r="E2063" t="n">
        <v>-16834.66</v>
      </c>
      <c r="F2063" t="n">
        <v>-202015.88</v>
      </c>
    </row>
    <row r="2064">
      <c r="A2064" t="n">
        <v>2027</v>
      </c>
      <c r="B2064" t="n">
        <v>5</v>
      </c>
      <c r="C2064" t="inlineStr">
        <is>
          <t>Miete PKW</t>
        </is>
      </c>
      <c r="D2064" t="inlineStr">
        <is>
          <t>Fuhrparkkosten</t>
        </is>
      </c>
      <c r="E2064" t="n">
        <v>4613.79</v>
      </c>
      <c r="F2064" t="n">
        <v>55365.51</v>
      </c>
    </row>
    <row r="2065">
      <c r="A2065" t="n">
        <v>2030</v>
      </c>
      <c r="B2065" t="n">
        <v>5</v>
      </c>
      <c r="C2065" t="inlineStr">
        <is>
          <t>Fremdl. Fuhrlei</t>
        </is>
      </c>
      <c r="D2065" t="inlineStr">
        <is>
          <t>Vorleistungen</t>
        </is>
      </c>
      <c r="E2065" t="n">
        <v>368.3</v>
      </c>
      <c r="F2065" t="n">
        <v>4419.56</v>
      </c>
    </row>
    <row r="2066">
      <c r="A2066" t="n">
        <v>2030</v>
      </c>
      <c r="B2066" t="n">
        <v>5</v>
      </c>
      <c r="C2066" t="inlineStr">
        <is>
          <t>Miete PKW</t>
        </is>
      </c>
      <c r="D2066" t="inlineStr">
        <is>
          <t>Fuhrparkkosten</t>
        </is>
      </c>
      <c r="E2066" t="n">
        <v>5495.1</v>
      </c>
      <c r="F2066" t="n">
        <v>65941.19</v>
      </c>
    </row>
    <row r="2067">
      <c r="A2067" t="n">
        <v>2027</v>
      </c>
      <c r="B2067" t="n">
        <v>5</v>
      </c>
      <c r="C2067" t="inlineStr">
        <is>
          <t>Erl. Waren Dt.</t>
        </is>
      </c>
      <c r="D2067" t="inlineStr">
        <is>
          <t>Gesamtleistung</t>
        </is>
      </c>
      <c r="E2067" t="n">
        <v>42246.46</v>
      </c>
      <c r="F2067" t="n">
        <v>506957.51</v>
      </c>
    </row>
    <row r="2068">
      <c r="A2068" t="n">
        <v>2029</v>
      </c>
      <c r="B2068" t="n">
        <v>5</v>
      </c>
      <c r="C2068" t="inlineStr">
        <is>
          <t>Bestandsveraend</t>
        </is>
      </c>
      <c r="D2068" t="inlineStr">
        <is>
          <t>Gesamtleistung</t>
        </is>
      </c>
      <c r="E2068" t="n">
        <v>0</v>
      </c>
      <c r="F2068" t="n">
        <v>0</v>
      </c>
    </row>
    <row r="2069">
      <c r="A2069" t="n">
        <v>2031</v>
      </c>
      <c r="B2069" t="n">
        <v>5</v>
      </c>
      <c r="C2069" t="inlineStr">
        <is>
          <t>Leasing PKW</t>
        </is>
      </c>
      <c r="D2069" t="inlineStr">
        <is>
          <t>Fuhrparkkosten</t>
        </is>
      </c>
      <c r="E2069" t="n">
        <v>27699.28</v>
      </c>
      <c r="F2069" t="n">
        <v>332391.4</v>
      </c>
    </row>
    <row r="2070">
      <c r="A2070" t="n">
        <v>2029</v>
      </c>
      <c r="B2070" t="n">
        <v>5</v>
      </c>
      <c r="C2070" t="inlineStr">
        <is>
          <t>Behaelterkosten</t>
        </is>
      </c>
      <c r="D2070" t="inlineStr">
        <is>
          <t>Instandh. Betriebsausstattung</t>
        </is>
      </c>
      <c r="E2070" t="n">
        <v>12.15</v>
      </c>
      <c r="F2070" t="n">
        <v>145.74</v>
      </c>
    </row>
    <row r="2071">
      <c r="A2071" t="n">
        <v>2029</v>
      </c>
      <c r="B2071" t="n">
        <v>5</v>
      </c>
      <c r="C2071" t="inlineStr">
        <is>
          <t>Aufwand Umlage</t>
        </is>
      </c>
      <c r="D2071" t="inlineStr">
        <is>
          <t>Verwaltungskosten</t>
        </is>
      </c>
      <c r="E2071" t="n">
        <v>3589.28</v>
      </c>
      <c r="F2071" t="n">
        <v>43071.39</v>
      </c>
    </row>
    <row r="2072">
      <c r="A2072" t="n">
        <v>2030</v>
      </c>
      <c r="B2072" t="n">
        <v>5</v>
      </c>
      <c r="C2072" t="inlineStr">
        <is>
          <t>Instandh.Fuhrp</t>
        </is>
      </c>
      <c r="D2072" t="inlineStr">
        <is>
          <t>Fuhrparkkosten</t>
        </is>
      </c>
      <c r="E2072" t="n">
        <v>36157.89</v>
      </c>
      <c r="F2072" t="n">
        <v>433894.62</v>
      </c>
    </row>
    <row r="2073">
      <c r="A2073" t="n">
        <v>2028</v>
      </c>
      <c r="B2073" t="n">
        <v>5</v>
      </c>
      <c r="C2073" t="inlineStr">
        <is>
          <t>Sonderz. Prämie</t>
        </is>
      </c>
      <c r="D2073" t="inlineStr">
        <is>
          <t>Personalaufwand</t>
        </is>
      </c>
      <c r="E2073" t="n">
        <v>21386.26</v>
      </c>
      <c r="F2073" t="n">
        <v>256635.15</v>
      </c>
    </row>
    <row r="2074">
      <c r="A2074" t="n">
        <v>2029</v>
      </c>
      <c r="B2074" t="n">
        <v>5</v>
      </c>
      <c r="C2074" t="inlineStr">
        <is>
          <t>Aufw. f. Alters</t>
        </is>
      </c>
      <c r="D2074" t="inlineStr">
        <is>
          <t>Personalaufwand</t>
        </is>
      </c>
      <c r="E2074" t="n">
        <v>1366.43</v>
      </c>
      <c r="F2074" t="n">
        <v>16397.15</v>
      </c>
    </row>
    <row r="2075">
      <c r="A2075" t="n">
        <v>2027</v>
      </c>
      <c r="B2075" t="n">
        <v>5</v>
      </c>
      <c r="C2075" t="inlineStr">
        <is>
          <t>Ertr. weiterber</t>
        </is>
      </c>
      <c r="D2075" t="inlineStr">
        <is>
          <t>Gesamtleistung</t>
        </is>
      </c>
      <c r="E2075" t="n">
        <v>919.41</v>
      </c>
      <c r="F2075" t="n">
        <v>11032.96</v>
      </c>
    </row>
    <row r="2076">
      <c r="A2076" t="n">
        <v>2029</v>
      </c>
      <c r="B2076" t="n">
        <v>5</v>
      </c>
      <c r="C2076" t="inlineStr">
        <is>
          <t>So. betr. Aufwa</t>
        </is>
      </c>
      <c r="D2076" t="inlineStr">
        <is>
          <t>Verwaltungskosten</t>
        </is>
      </c>
      <c r="E2076" t="n">
        <v>693.25</v>
      </c>
      <c r="F2076" t="n">
        <v>8319.02</v>
      </c>
    </row>
    <row r="2077">
      <c r="A2077" t="n">
        <v>2031</v>
      </c>
      <c r="B2077" t="n">
        <v>5</v>
      </c>
      <c r="C2077" t="inlineStr">
        <is>
          <t>Ertr. weiterber</t>
        </is>
      </c>
      <c r="D2077" t="inlineStr">
        <is>
          <t>Gesamtleistung</t>
        </is>
      </c>
      <c r="E2077" t="n">
        <v>1173.93</v>
      </c>
      <c r="F2077" t="n">
        <v>14087.11</v>
      </c>
    </row>
    <row r="2078">
      <c r="A2078" t="n">
        <v>2031</v>
      </c>
      <c r="B2078" t="n">
        <v>5</v>
      </c>
      <c r="C2078" t="inlineStr">
        <is>
          <t>Ueb. bezog.Leis</t>
        </is>
      </c>
      <c r="D2078" t="inlineStr">
        <is>
          <t>Vorleistungen</t>
        </is>
      </c>
      <c r="E2078" t="n">
        <v>1404446.73</v>
      </c>
      <c r="F2078" t="n">
        <v>16853360.74</v>
      </c>
    </row>
    <row r="2079">
      <c r="A2079" t="n">
        <v>2027</v>
      </c>
      <c r="B2079" t="n">
        <v>5</v>
      </c>
      <c r="C2079" t="inlineStr">
        <is>
          <t>Fremdl. Fuhrlei</t>
        </is>
      </c>
      <c r="D2079" t="inlineStr">
        <is>
          <t>Vorleistungen</t>
        </is>
      </c>
      <c r="E2079" t="n">
        <v>371.09</v>
      </c>
      <c r="F2079" t="n">
        <v>4453.13</v>
      </c>
    </row>
    <row r="2080">
      <c r="A2080" t="n">
        <v>2027</v>
      </c>
      <c r="B2080" t="n">
        <v>5</v>
      </c>
      <c r="C2080" t="inlineStr">
        <is>
          <t>Behaelterkosten</t>
        </is>
      </c>
      <c r="D2080" t="inlineStr">
        <is>
          <t>Instandh. Betriebsausstattung</t>
        </is>
      </c>
      <c r="E2080" t="n">
        <v>11.02</v>
      </c>
      <c r="F2080" t="n">
        <v>132.19</v>
      </c>
    </row>
    <row r="2081">
      <c r="A2081" t="n">
        <v>2027</v>
      </c>
      <c r="B2081" t="n">
        <v>5</v>
      </c>
      <c r="C2081" t="inlineStr">
        <is>
          <t>Ueb Lohn-Gehalt</t>
        </is>
      </c>
      <c r="D2081" t="inlineStr">
        <is>
          <t>Personalaufwand</t>
        </is>
      </c>
      <c r="E2081" t="n">
        <v>30579.25</v>
      </c>
      <c r="F2081" t="n">
        <v>366951</v>
      </c>
    </row>
    <row r="2082">
      <c r="A2082" t="n">
        <v>2028</v>
      </c>
      <c r="B2082" t="n">
        <v>5</v>
      </c>
      <c r="C2082" t="inlineStr">
        <is>
          <t>Raumkosten</t>
        </is>
      </c>
      <c r="D2082" t="inlineStr">
        <is>
          <t>Raumkosten</t>
        </is>
      </c>
      <c r="E2082" t="n">
        <v>7023.98</v>
      </c>
      <c r="F2082" t="n">
        <v>84287.78</v>
      </c>
    </row>
    <row r="2083">
      <c r="A2083" t="n">
        <v>2031</v>
      </c>
      <c r="B2083" t="n">
        <v>5</v>
      </c>
      <c r="C2083" t="inlineStr">
        <is>
          <t>Bestandsveraend</t>
        </is>
      </c>
      <c r="D2083" t="inlineStr">
        <is>
          <t>Gesamtleistung</t>
        </is>
      </c>
      <c r="E2083" t="n">
        <v>0</v>
      </c>
      <c r="F2083" t="n">
        <v>0</v>
      </c>
    </row>
    <row r="2084">
      <c r="A2084" t="n">
        <v>2029</v>
      </c>
      <c r="B2084" t="n">
        <v>5</v>
      </c>
      <c r="C2084" t="inlineStr">
        <is>
          <t>Lohn + Gehalt</t>
        </is>
      </c>
      <c r="D2084" t="inlineStr">
        <is>
          <t>Personalaufwand</t>
        </is>
      </c>
      <c r="E2084" t="n">
        <v>356250.11</v>
      </c>
      <c r="F2084" t="n">
        <v>4275001.35</v>
      </c>
    </row>
    <row r="2085">
      <c r="A2085" t="n">
        <v>2029</v>
      </c>
      <c r="B2085" t="n">
        <v>5</v>
      </c>
      <c r="C2085" t="inlineStr">
        <is>
          <t>Aufw. Heizmat.</t>
        </is>
      </c>
      <c r="D2085" t="inlineStr">
        <is>
          <t>Vorleistungen</t>
        </is>
      </c>
      <c r="E2085" t="n">
        <v>245.07</v>
      </c>
      <c r="F2085" t="n">
        <v>2940.88</v>
      </c>
    </row>
    <row r="2086">
      <c r="A2086" t="n">
        <v>2031</v>
      </c>
      <c r="B2086" t="n">
        <v>5</v>
      </c>
      <c r="C2086" t="inlineStr">
        <is>
          <t>Verwaltungskost</t>
        </is>
      </c>
      <c r="D2086" t="inlineStr">
        <is>
          <t>Verwaltungskosten</t>
        </is>
      </c>
      <c r="E2086" t="n">
        <v>7531.31</v>
      </c>
      <c r="F2086" t="n">
        <v>90375.69</v>
      </c>
    </row>
    <row r="2087">
      <c r="A2087" t="n">
        <v>2028</v>
      </c>
      <c r="B2087" t="n">
        <v>5</v>
      </c>
      <c r="C2087" t="inlineStr">
        <is>
          <t>Erl. Waren Dt.</t>
        </is>
      </c>
      <c r="D2087" t="inlineStr">
        <is>
          <t>Gesamtleistung</t>
        </is>
      </c>
      <c r="E2087" t="n">
        <v>44950.49</v>
      </c>
      <c r="F2087" t="n">
        <v>539405.87</v>
      </c>
    </row>
    <row r="2088">
      <c r="A2088" t="n">
        <v>2030</v>
      </c>
      <c r="B2088" t="n">
        <v>5</v>
      </c>
      <c r="C2088" t="inlineStr">
        <is>
          <t>Uebr.neutr. Ert</t>
        </is>
      </c>
      <c r="D2088" t="inlineStr">
        <is>
          <t>Gesamtleistung</t>
        </is>
      </c>
      <c r="E2088" t="n">
        <v>207.38</v>
      </c>
      <c r="F2088" t="n">
        <v>2488.5</v>
      </c>
    </row>
    <row r="2089">
      <c r="A2089" t="n">
        <v>2030</v>
      </c>
      <c r="B2089" t="n">
        <v>5</v>
      </c>
      <c r="C2089" t="inlineStr">
        <is>
          <t>Raumkosten</t>
        </is>
      </c>
      <c r="D2089" t="inlineStr">
        <is>
          <t>Raumkosten</t>
        </is>
      </c>
      <c r="E2089" t="n">
        <v>7307.75</v>
      </c>
      <c r="F2089" t="n">
        <v>87693</v>
      </c>
    </row>
    <row r="2090">
      <c r="A2090" t="n">
        <v>2030</v>
      </c>
      <c r="B2090" t="n">
        <v>5</v>
      </c>
      <c r="C2090" t="inlineStr">
        <is>
          <t>Fremdl. Persona</t>
        </is>
      </c>
      <c r="D2090" t="inlineStr">
        <is>
          <t>Vorleistungen</t>
        </is>
      </c>
      <c r="E2090" t="n">
        <v>76.56999999999999</v>
      </c>
      <c r="F2090" t="n">
        <v>918.79</v>
      </c>
    </row>
    <row r="2091">
      <c r="A2091" t="n">
        <v>2027</v>
      </c>
      <c r="B2091" t="n">
        <v>5</v>
      </c>
      <c r="C2091" t="inlineStr">
        <is>
          <t>Leasing PKW</t>
        </is>
      </c>
      <c r="D2091" t="inlineStr">
        <is>
          <t>Fuhrparkkosten</t>
        </is>
      </c>
      <c r="E2091" t="n">
        <v>21940.43</v>
      </c>
      <c r="F2091" t="n">
        <v>263285.11</v>
      </c>
    </row>
    <row r="2092">
      <c r="A2092" t="n">
        <v>2030</v>
      </c>
      <c r="B2092" t="n">
        <v>5</v>
      </c>
      <c r="C2092" t="inlineStr">
        <is>
          <t>Ertrag KFZ-Nutz</t>
        </is>
      </c>
      <c r="D2092" t="inlineStr">
        <is>
          <t>Gesamtleistung</t>
        </is>
      </c>
      <c r="E2092" t="n">
        <v>9193.41</v>
      </c>
      <c r="F2092" t="n">
        <v>110320.94</v>
      </c>
    </row>
    <row r="2093">
      <c r="A2093" t="n">
        <v>2028</v>
      </c>
      <c r="B2093" t="n">
        <v>5</v>
      </c>
      <c r="C2093" t="inlineStr">
        <is>
          <t>Uebr.neutr. Ert</t>
        </is>
      </c>
      <c r="D2093" t="inlineStr">
        <is>
          <t>Gesamtleistung</t>
        </is>
      </c>
      <c r="E2093" t="n">
        <v>151.92</v>
      </c>
      <c r="F2093" t="n">
        <v>1823.08</v>
      </c>
    </row>
    <row r="2094">
      <c r="A2094" t="n">
        <v>2030</v>
      </c>
      <c r="B2094" t="n">
        <v>5</v>
      </c>
      <c r="C2094" t="inlineStr">
        <is>
          <t>Soziale Abgaben</t>
        </is>
      </c>
      <c r="D2094" t="inlineStr">
        <is>
          <t>Personalaufwand</t>
        </is>
      </c>
      <c r="E2094" t="n">
        <v>104141.87</v>
      </c>
      <c r="F2094" t="n">
        <v>1249702.47</v>
      </c>
    </row>
    <row r="2095">
      <c r="A2095" t="n">
        <v>2030</v>
      </c>
      <c r="B2095" t="n">
        <v>5</v>
      </c>
      <c r="C2095" t="inlineStr">
        <is>
          <t>Ankauf Rohstoff</t>
        </is>
      </c>
      <c r="D2095" t="inlineStr">
        <is>
          <t>Vorleistungen</t>
        </is>
      </c>
      <c r="E2095" t="n">
        <v>1483.55</v>
      </c>
      <c r="F2095" t="n">
        <v>17802.65</v>
      </c>
    </row>
    <row r="2096">
      <c r="A2096" t="n">
        <v>2031</v>
      </c>
      <c r="B2096" t="n">
        <v>5</v>
      </c>
      <c r="C2096" t="inlineStr">
        <is>
          <t>Aufw. Heizmat.</t>
        </is>
      </c>
      <c r="D2096" t="inlineStr">
        <is>
          <t>Vorleistungen</t>
        </is>
      </c>
      <c r="E2096" t="n">
        <v>216.16</v>
      </c>
      <c r="F2096" t="n">
        <v>2593.97</v>
      </c>
    </row>
    <row r="2097">
      <c r="A2097" t="n">
        <v>2030</v>
      </c>
      <c r="B2097" t="n">
        <v>5</v>
      </c>
      <c r="C2097" t="inlineStr">
        <is>
          <t>IT-Aufwendungen</t>
        </is>
      </c>
      <c r="D2097" t="inlineStr">
        <is>
          <t>Verwaltungskosten</t>
        </is>
      </c>
      <c r="E2097" t="n">
        <v>12671.51</v>
      </c>
      <c r="F2097" t="n">
        <v>152058.16</v>
      </c>
    </row>
    <row r="2098">
      <c r="A2098" t="n">
        <v>2027</v>
      </c>
      <c r="B2098" t="n">
        <v>5</v>
      </c>
      <c r="C2098" t="inlineStr">
        <is>
          <t>Treibstoffe, Oe</t>
        </is>
      </c>
      <c r="D2098" t="inlineStr">
        <is>
          <t>Fuhrparkkosten</t>
        </is>
      </c>
      <c r="E2098" t="n">
        <v>28695.87</v>
      </c>
      <c r="F2098" t="n">
        <v>344350.48</v>
      </c>
    </row>
    <row r="2099">
      <c r="A2099" t="n">
        <v>2028</v>
      </c>
      <c r="B2099" t="n">
        <v>5</v>
      </c>
      <c r="C2099" t="inlineStr">
        <is>
          <t>Aufw. Heizmat.</t>
        </is>
      </c>
      <c r="D2099" t="inlineStr">
        <is>
          <t>Vorleistungen</t>
        </is>
      </c>
      <c r="E2099" t="n">
        <v>260.43</v>
      </c>
      <c r="F2099" t="n">
        <v>3125.13</v>
      </c>
    </row>
    <row r="2100">
      <c r="A2100" t="n">
        <v>2031</v>
      </c>
      <c r="B2100" t="n">
        <v>5</v>
      </c>
      <c r="C2100" t="inlineStr">
        <is>
          <t>Ertrag KFZ-Nutz</t>
        </is>
      </c>
      <c r="D2100" t="inlineStr">
        <is>
          <t>Gesamtleistung</t>
        </is>
      </c>
      <c r="E2100" t="n">
        <v>9597.290000000001</v>
      </c>
      <c r="F2100" t="n">
        <v>115167.5</v>
      </c>
    </row>
    <row r="2101">
      <c r="A2101" t="n">
        <v>2027</v>
      </c>
      <c r="B2101" t="n">
        <v>5</v>
      </c>
      <c r="C2101" t="inlineStr">
        <is>
          <t>Raumkosten</t>
        </is>
      </c>
      <c r="D2101" t="inlineStr">
        <is>
          <t>Raumkosten</t>
        </is>
      </c>
      <c r="E2101" t="n">
        <v>5046.85</v>
      </c>
      <c r="F2101" t="n">
        <v>60562.14</v>
      </c>
    </row>
    <row r="2102">
      <c r="A2102" t="n">
        <v>2028</v>
      </c>
      <c r="B2102" t="n">
        <v>5</v>
      </c>
      <c r="C2102" t="inlineStr">
        <is>
          <t>Soziale Abgaben</t>
        </is>
      </c>
      <c r="D2102" t="inlineStr">
        <is>
          <t>Personalaufwand</t>
        </is>
      </c>
      <c r="E2102" t="n">
        <v>85007.57000000001</v>
      </c>
      <c r="F2102" t="n">
        <v>1020090.84</v>
      </c>
    </row>
    <row r="2103">
      <c r="A2103" t="n">
        <v>2029</v>
      </c>
      <c r="B2103" t="n">
        <v>5</v>
      </c>
      <c r="C2103" t="inlineStr">
        <is>
          <t>Miete Grdst/Gebäud</t>
        </is>
      </c>
      <c r="D2103" t="inlineStr">
        <is>
          <t>Raumkosten</t>
        </is>
      </c>
      <c r="E2103" t="n">
        <v>18238.55</v>
      </c>
      <c r="F2103" t="n">
        <v>218862.64</v>
      </c>
    </row>
    <row r="2104">
      <c r="A2104" t="n">
        <v>2031</v>
      </c>
      <c r="B2104" t="n">
        <v>5</v>
      </c>
      <c r="C2104" t="inlineStr">
        <is>
          <t>Raumkosten</t>
        </is>
      </c>
      <c r="D2104" t="inlineStr">
        <is>
          <t>Raumkosten</t>
        </is>
      </c>
      <c r="E2104" t="n">
        <v>7453.91</v>
      </c>
      <c r="F2104" t="n">
        <v>89446.89</v>
      </c>
    </row>
    <row r="2105">
      <c r="A2105" t="n">
        <v>2031</v>
      </c>
      <c r="B2105" t="n">
        <v>5</v>
      </c>
      <c r="C2105" t="inlineStr">
        <is>
          <t>Behaelterkosten</t>
        </is>
      </c>
      <c r="D2105" t="inlineStr">
        <is>
          <t>Instandh. Betriebsausstattung</t>
        </is>
      </c>
      <c r="E2105" t="n">
        <v>13.39</v>
      </c>
      <c r="F2105" t="n">
        <v>160.68</v>
      </c>
    </row>
    <row r="2106">
      <c r="A2106" t="n">
        <v>2031</v>
      </c>
      <c r="B2106" t="n">
        <v>5</v>
      </c>
      <c r="C2106" t="inlineStr">
        <is>
          <t>Instandh.Fuhrp</t>
        </is>
      </c>
      <c r="D2106" t="inlineStr">
        <is>
          <t>Fuhrparkkosten</t>
        </is>
      </c>
      <c r="E2106" t="n">
        <v>38327.36</v>
      </c>
      <c r="F2106" t="n">
        <v>459928.28</v>
      </c>
    </row>
    <row r="2107">
      <c r="A2107" t="n">
        <v>2030</v>
      </c>
      <c r="B2107" t="n">
        <v>5</v>
      </c>
      <c r="C2107" t="inlineStr">
        <is>
          <t>Ueb. bezog.Leis</t>
        </is>
      </c>
      <c r="D2107" t="inlineStr">
        <is>
          <t>Vorleistungen</t>
        </is>
      </c>
      <c r="E2107" t="n">
        <v>1385029.28</v>
      </c>
      <c r="F2107" t="n">
        <v>16620351.38</v>
      </c>
    </row>
    <row r="2108">
      <c r="A2108" t="n">
        <v>2027</v>
      </c>
      <c r="B2108" t="n">
        <v>5</v>
      </c>
      <c r="C2108" t="inlineStr">
        <is>
          <t>Miete LKW,Schiffe</t>
        </is>
      </c>
      <c r="D2108" t="inlineStr">
        <is>
          <t>Fuhrparkkosten</t>
        </is>
      </c>
      <c r="E2108" t="n">
        <v>36751.61</v>
      </c>
      <c r="F2108" t="n">
        <v>441019.28</v>
      </c>
    </row>
    <row r="2109">
      <c r="A2109" t="n">
        <v>2030</v>
      </c>
      <c r="B2109" t="n">
        <v>5</v>
      </c>
      <c r="C2109" t="inlineStr">
        <is>
          <t>Leasing LKW</t>
        </is>
      </c>
      <c r="D2109" t="inlineStr">
        <is>
          <t>Fuhrparkkosten</t>
        </is>
      </c>
      <c r="E2109" t="n">
        <v>2745.62</v>
      </c>
      <c r="F2109" t="n">
        <v>32947.44</v>
      </c>
    </row>
    <row r="2110">
      <c r="A2110" t="n">
        <v>2031</v>
      </c>
      <c r="B2110" t="n">
        <v>5</v>
      </c>
      <c r="C2110" t="inlineStr">
        <is>
          <t>Vertriebskosten</t>
        </is>
      </c>
      <c r="D2110" t="inlineStr">
        <is>
          <t>Vertriebskosten</t>
        </is>
      </c>
      <c r="E2110" t="n">
        <v>13167.99</v>
      </c>
      <c r="F2110" t="n">
        <v>158015.82</v>
      </c>
    </row>
    <row r="2111">
      <c r="A2111" t="n">
        <v>2028</v>
      </c>
      <c r="B2111" t="n">
        <v>5</v>
      </c>
      <c r="C2111" t="inlineStr">
        <is>
          <t>Behaelterkosten</t>
        </is>
      </c>
      <c r="D2111" t="inlineStr">
        <is>
          <t>Instandh. Betriebsausstattung</t>
        </is>
      </c>
      <c r="E2111" t="n">
        <v>11.57</v>
      </c>
      <c r="F2111" t="n">
        <v>138.8</v>
      </c>
    </row>
    <row r="2112">
      <c r="A2112" t="n">
        <v>2030</v>
      </c>
      <c r="B2112" t="n">
        <v>5</v>
      </c>
      <c r="C2112" t="inlineStr">
        <is>
          <t>Verwaltungskost</t>
        </is>
      </c>
      <c r="D2112" t="inlineStr">
        <is>
          <t>Verwaltungskosten</t>
        </is>
      </c>
      <c r="E2112" t="n">
        <v>7311.95</v>
      </c>
      <c r="F2112" t="n">
        <v>87743.38</v>
      </c>
    </row>
    <row r="2113">
      <c r="A2113" t="n">
        <v>2030</v>
      </c>
      <c r="B2113" t="n">
        <v>5</v>
      </c>
      <c r="C2113" t="inlineStr">
        <is>
          <t>Rechts- u. Beratungs</t>
        </is>
      </c>
      <c r="D2113" t="inlineStr">
        <is>
          <t>Verwaltungskosten</t>
        </is>
      </c>
      <c r="E2113" t="n">
        <v>28013.14</v>
      </c>
      <c r="F2113" t="n">
        <v>336157.66</v>
      </c>
    </row>
    <row r="2114">
      <c r="A2114" t="n">
        <v>2028</v>
      </c>
      <c r="B2114" t="n">
        <v>5</v>
      </c>
      <c r="C2114" t="inlineStr">
        <is>
          <t>Sonst Fuhrparkkosten</t>
        </is>
      </c>
      <c r="D2114" t="inlineStr">
        <is>
          <t>Fuhrparkkosten</t>
        </is>
      </c>
      <c r="E2114" t="n">
        <v>5288.59</v>
      </c>
      <c r="F2114" t="n">
        <v>63463.1</v>
      </c>
    </row>
    <row r="2115">
      <c r="A2115" t="n">
        <v>2029</v>
      </c>
      <c r="B2115" t="n">
        <v>5</v>
      </c>
      <c r="C2115" t="inlineStr">
        <is>
          <t>Erl. so. DL Dt.</t>
        </is>
      </c>
      <c r="D2115" t="inlineStr">
        <is>
          <t>Gesamtleistung</t>
        </is>
      </c>
      <c r="E2115" t="n">
        <v>2200755.15</v>
      </c>
      <c r="F2115" t="n">
        <v>26409061.76</v>
      </c>
    </row>
    <row r="2116">
      <c r="A2116" t="n">
        <v>2031</v>
      </c>
      <c r="B2116" t="n">
        <v>5</v>
      </c>
      <c r="C2116" t="inlineStr">
        <is>
          <t>Uebr.neutr. Ert</t>
        </is>
      </c>
      <c r="D2116" t="inlineStr">
        <is>
          <t>Gesamtleistung</t>
        </is>
      </c>
      <c r="E2116" t="n">
        <v>227.28</v>
      </c>
      <c r="F2116" t="n">
        <v>2727.33</v>
      </c>
    </row>
    <row r="2117">
      <c r="A2117" t="n">
        <v>2030</v>
      </c>
      <c r="B2117" t="n">
        <v>5</v>
      </c>
      <c r="C2117" t="inlineStr">
        <is>
          <t>Erl. Waren Dt.</t>
        </is>
      </c>
      <c r="D2117" t="inlineStr">
        <is>
          <t>Gesamtleistung</t>
        </is>
      </c>
      <c r="E2117" t="n">
        <v>49038.99</v>
      </c>
      <c r="F2117" t="n">
        <v>588467.85</v>
      </c>
    </row>
    <row r="2118">
      <c r="A2118" t="n">
        <v>2028</v>
      </c>
      <c r="B2118" t="n">
        <v>5</v>
      </c>
      <c r="C2118" t="inlineStr">
        <is>
          <t>Weiterber. Frem</t>
        </is>
      </c>
      <c r="D2118" t="inlineStr">
        <is>
          <t>Vorleistungen</t>
        </is>
      </c>
      <c r="E2118" t="n">
        <v>0</v>
      </c>
      <c r="F2118" t="n">
        <v>0</v>
      </c>
    </row>
    <row r="2119">
      <c r="A2119" t="n">
        <v>2027</v>
      </c>
      <c r="B2119" t="n">
        <v>5</v>
      </c>
      <c r="C2119" t="inlineStr">
        <is>
          <t>IT-Aufwendungen</t>
        </is>
      </c>
      <c r="D2119" t="inlineStr">
        <is>
          <t>Verwaltungskosten</t>
        </is>
      </c>
      <c r="E2119" t="n">
        <v>11596.23</v>
      </c>
      <c r="F2119" t="n">
        <v>139154.76</v>
      </c>
    </row>
    <row r="2120">
      <c r="A2120" t="n">
        <v>2028</v>
      </c>
      <c r="B2120" t="n">
        <v>5</v>
      </c>
      <c r="C2120" t="inlineStr">
        <is>
          <t>Leasing LKW</t>
        </is>
      </c>
      <c r="D2120" t="inlineStr">
        <is>
          <t>Fuhrparkkosten</t>
        </is>
      </c>
      <c r="E2120" t="n">
        <v>2443.59</v>
      </c>
      <c r="F2120" t="n">
        <v>29323.11</v>
      </c>
    </row>
    <row r="2121">
      <c r="A2121" t="n">
        <v>2031</v>
      </c>
      <c r="B2121" t="n">
        <v>5</v>
      </c>
      <c r="C2121" t="inlineStr">
        <is>
          <t>Weiterber. Frem</t>
        </is>
      </c>
      <c r="D2121" t="inlineStr">
        <is>
          <t>Vorleistungen</t>
        </is>
      </c>
      <c r="E2121" t="n">
        <v>0</v>
      </c>
      <c r="F2121" t="n">
        <v>0</v>
      </c>
    </row>
    <row r="2122">
      <c r="A2122" t="n">
        <v>2028</v>
      </c>
      <c r="B2122" t="n">
        <v>5</v>
      </c>
      <c r="C2122" t="inlineStr">
        <is>
          <t>Lohn + Gehalt</t>
        </is>
      </c>
      <c r="D2122" t="inlineStr">
        <is>
          <t>Personalaufwand</t>
        </is>
      </c>
      <c r="E2122" t="n">
        <v>321097.26</v>
      </c>
      <c r="F2122" t="n">
        <v>3853167.13</v>
      </c>
    </row>
    <row r="2123">
      <c r="A2123" t="n">
        <v>2029</v>
      </c>
      <c r="B2123" t="n">
        <v>5</v>
      </c>
      <c r="C2123" t="inlineStr">
        <is>
          <t>Miete LKW,Schiffe</t>
        </is>
      </c>
      <c r="D2123" t="inlineStr">
        <is>
          <t>Fuhrparkkosten</t>
        </is>
      </c>
      <c r="E2123" t="n">
        <v>41294.11</v>
      </c>
      <c r="F2123" t="n">
        <v>495529.28</v>
      </c>
    </row>
    <row r="2124">
      <c r="A2124" t="n">
        <v>2030</v>
      </c>
      <c r="B2124" t="n">
        <v>5</v>
      </c>
      <c r="C2124" t="inlineStr">
        <is>
          <t>Erl. so. DL Dt.</t>
        </is>
      </c>
      <c r="D2124" t="inlineStr">
        <is>
          <t>Gesamtleistung</t>
        </is>
      </c>
      <c r="E2124" t="n">
        <v>2311684.01</v>
      </c>
      <c r="F2124" t="n">
        <v>27740208.09</v>
      </c>
    </row>
    <row r="2125">
      <c r="A2125" t="n">
        <v>2030</v>
      </c>
      <c r="B2125" t="n">
        <v>5</v>
      </c>
      <c r="C2125" t="inlineStr">
        <is>
          <t>Versicherungskosten</t>
        </is>
      </c>
      <c r="D2125" t="inlineStr">
        <is>
          <t>Verwaltungskosten</t>
        </is>
      </c>
      <c r="E2125" t="n">
        <v>11790.1</v>
      </c>
      <c r="F2125" t="n">
        <v>141481.23</v>
      </c>
    </row>
    <row r="2126">
      <c r="A2126" t="n">
        <v>2029</v>
      </c>
      <c r="B2126" t="n">
        <v>5</v>
      </c>
      <c r="C2126" t="inlineStr">
        <is>
          <t>Sonstige Steuer</t>
        </is>
      </c>
      <c r="D2126" t="inlineStr">
        <is>
          <t>Fuhrparkkosten</t>
        </is>
      </c>
      <c r="E2126" t="n">
        <v>1682.38</v>
      </c>
      <c r="F2126" t="n">
        <v>20188.51</v>
      </c>
    </row>
    <row r="2127">
      <c r="A2127" t="n">
        <v>2027</v>
      </c>
      <c r="B2127" t="n">
        <v>5</v>
      </c>
      <c r="C2127" t="inlineStr">
        <is>
          <t>Sonst Fuhrparkkosten</t>
        </is>
      </c>
      <c r="D2127" t="inlineStr">
        <is>
          <t>Fuhrparkkosten</t>
        </is>
      </c>
      <c r="E2127" t="n">
        <v>4989.24</v>
      </c>
      <c r="F2127" t="n">
        <v>59870.86</v>
      </c>
    </row>
    <row r="2128">
      <c r="A2128" t="n">
        <v>2028</v>
      </c>
      <c r="B2128" t="n">
        <v>5</v>
      </c>
      <c r="C2128" t="inlineStr">
        <is>
          <t>Bestandsveraend</t>
        </is>
      </c>
      <c r="D2128" t="inlineStr">
        <is>
          <t>Gesamtleistung</t>
        </is>
      </c>
      <c r="E2128" t="n">
        <v>0</v>
      </c>
      <c r="F2128" t="n">
        <v>0</v>
      </c>
    </row>
    <row r="2129">
      <c r="A2129" t="n">
        <v>2028</v>
      </c>
      <c r="B2129" t="n">
        <v>5</v>
      </c>
      <c r="C2129" t="inlineStr">
        <is>
          <t>So. betr. Aufwa</t>
        </is>
      </c>
      <c r="D2129" t="inlineStr">
        <is>
          <t>Verwaltungskosten</t>
        </is>
      </c>
      <c r="E2129" t="n">
        <v>673.0599999999999</v>
      </c>
      <c r="F2129" t="n">
        <v>8076.71</v>
      </c>
    </row>
    <row r="2130">
      <c r="A2130" t="n">
        <v>2030</v>
      </c>
      <c r="B2130" t="n">
        <v>5</v>
      </c>
      <c r="C2130" t="inlineStr">
        <is>
          <t>Miete LKW,Schiffe</t>
        </is>
      </c>
      <c r="D2130" t="inlineStr">
        <is>
          <t>Fuhrparkkosten</t>
        </is>
      </c>
      <c r="E2130" t="n">
        <v>43771.75</v>
      </c>
      <c r="F2130" t="n">
        <v>525261.04</v>
      </c>
    </row>
    <row r="2131">
      <c r="A2131" t="n">
        <v>2028</v>
      </c>
      <c r="B2131" t="n">
        <v>5</v>
      </c>
      <c r="C2131" t="inlineStr">
        <is>
          <t>Miete LKW,Schiffe</t>
        </is>
      </c>
      <c r="D2131" t="inlineStr">
        <is>
          <t>Fuhrparkkosten</t>
        </is>
      </c>
      <c r="E2131" t="n">
        <v>38956.71</v>
      </c>
      <c r="F2131" t="n">
        <v>467480.47</v>
      </c>
    </row>
    <row r="2132">
      <c r="A2132" t="n">
        <v>2028</v>
      </c>
      <c r="B2132" t="n">
        <v>5</v>
      </c>
      <c r="C2132" t="inlineStr">
        <is>
          <t>sonst Personalk</t>
        </is>
      </c>
      <c r="D2132" t="inlineStr">
        <is>
          <t>Personalaufwand</t>
        </is>
      </c>
      <c r="E2132" t="n">
        <v>12597.51</v>
      </c>
      <c r="F2132" t="n">
        <v>151170.09</v>
      </c>
    </row>
    <row r="2133">
      <c r="A2133" t="n">
        <v>2030</v>
      </c>
      <c r="B2133" t="n">
        <v>5</v>
      </c>
      <c r="C2133" t="inlineStr">
        <is>
          <t>Leasing PKW</t>
        </is>
      </c>
      <c r="D2133" t="inlineStr">
        <is>
          <t>Fuhrparkkosten</t>
        </is>
      </c>
      <c r="E2133" t="n">
        <v>26131.4</v>
      </c>
      <c r="F2133" t="n">
        <v>313576.76</v>
      </c>
    </row>
    <row r="2134">
      <c r="A2134" t="n">
        <v>2031</v>
      </c>
      <c r="B2134" t="n">
        <v>5</v>
      </c>
      <c r="C2134" t="inlineStr">
        <is>
          <t>Aufwand Umlage</t>
        </is>
      </c>
      <c r="D2134" t="inlineStr">
        <is>
          <t>Verwaltungskosten</t>
        </is>
      </c>
      <c r="E2134" t="n">
        <v>3807.87</v>
      </c>
      <c r="F2134" t="n">
        <v>45694.43</v>
      </c>
    </row>
    <row r="2135">
      <c r="A2135" t="n">
        <v>2031</v>
      </c>
      <c r="B2135" t="n">
        <v>5</v>
      </c>
      <c r="C2135" t="inlineStr">
        <is>
          <t>sonst Personalk</t>
        </is>
      </c>
      <c r="D2135" t="inlineStr">
        <is>
          <t>Personalaufwand</t>
        </is>
      </c>
      <c r="E2135" t="n">
        <v>17070.54</v>
      </c>
      <c r="F2135" t="n">
        <v>204846.51</v>
      </c>
    </row>
    <row r="2136">
      <c r="A2136" t="n">
        <v>2027</v>
      </c>
      <c r="B2136" t="n">
        <v>5</v>
      </c>
      <c r="C2136" t="inlineStr">
        <is>
          <t>sonst Personalk</t>
        </is>
      </c>
      <c r="D2136" t="inlineStr">
        <is>
          <t>Personalaufwand</t>
        </is>
      </c>
      <c r="E2136" t="n">
        <v>10949.84</v>
      </c>
      <c r="F2136" t="n">
        <v>131398.1</v>
      </c>
    </row>
    <row r="2137">
      <c r="A2137" t="n">
        <v>2031</v>
      </c>
      <c r="B2137" t="n">
        <v>5</v>
      </c>
      <c r="C2137" t="inlineStr">
        <is>
          <t>Miete PKW</t>
        </is>
      </c>
      <c r="D2137" t="inlineStr">
        <is>
          <t>Fuhrparkkosten</t>
        </is>
      </c>
      <c r="E2137" t="n">
        <v>5824.81</v>
      </c>
      <c r="F2137" t="n">
        <v>69897.67</v>
      </c>
    </row>
    <row r="2138">
      <c r="A2138" t="n">
        <v>2029</v>
      </c>
      <c r="B2138" t="n">
        <v>5</v>
      </c>
      <c r="C2138" t="inlineStr">
        <is>
          <t>Raumkosten</t>
        </is>
      </c>
      <c r="D2138" t="inlineStr">
        <is>
          <t>Raumkosten</t>
        </is>
      </c>
      <c r="E2138" t="n">
        <v>7164.46</v>
      </c>
      <c r="F2138" t="n">
        <v>85973.53</v>
      </c>
    </row>
    <row r="2139">
      <c r="A2139" t="n">
        <v>2031</v>
      </c>
      <c r="B2139" t="n">
        <v>5</v>
      </c>
      <c r="C2139" t="inlineStr">
        <is>
          <t>Aufw. f. Alters</t>
        </is>
      </c>
      <c r="D2139" t="inlineStr">
        <is>
          <t>Personalaufwand</t>
        </is>
      </c>
      <c r="E2139" t="n">
        <v>1434.03</v>
      </c>
      <c r="F2139" t="n">
        <v>17208.41</v>
      </c>
    </row>
    <row r="2140">
      <c r="A2140" t="n">
        <v>2031</v>
      </c>
      <c r="B2140" t="n">
        <v>5</v>
      </c>
      <c r="C2140" t="inlineStr">
        <is>
          <t>IT-Aufwendungen</t>
        </is>
      </c>
      <c r="D2140" t="inlineStr">
        <is>
          <t>Verwaltungskosten</t>
        </is>
      </c>
      <c r="E2140" t="n">
        <v>13051.66</v>
      </c>
      <c r="F2140" t="n">
        <v>156619.9</v>
      </c>
    </row>
    <row r="2141">
      <c r="A2141" t="n">
        <v>2028</v>
      </c>
      <c r="B2141" t="n">
        <v>5</v>
      </c>
      <c r="C2141" t="inlineStr">
        <is>
          <t>Miete Grdst/Gebäud</t>
        </is>
      </c>
      <c r="D2141" t="inlineStr">
        <is>
          <t>Raumkosten</t>
        </is>
      </c>
      <c r="E2141" t="n">
        <v>17880.93</v>
      </c>
      <c r="F2141" t="n">
        <v>214571.21</v>
      </c>
    </row>
    <row r="2142">
      <c r="A2142" t="n">
        <v>2027</v>
      </c>
      <c r="B2142" t="n">
        <v>5</v>
      </c>
      <c r="C2142" t="inlineStr">
        <is>
          <t>Erloesschmaeler</t>
        </is>
      </c>
      <c r="D2142" t="inlineStr">
        <is>
          <t>Gesamtleistung</t>
        </is>
      </c>
      <c r="E2142" t="n">
        <v>-7483.88</v>
      </c>
      <c r="F2142" t="n">
        <v>-89806.53</v>
      </c>
    </row>
    <row r="2143">
      <c r="A2143" t="n">
        <v>2029</v>
      </c>
      <c r="B2143" t="n">
        <v>5</v>
      </c>
      <c r="C2143" t="inlineStr">
        <is>
          <t>sonst Personalk</t>
        </is>
      </c>
      <c r="D2143" t="inlineStr">
        <is>
          <t>Personalaufwand</t>
        </is>
      </c>
      <c r="E2143" t="n">
        <v>13957.15</v>
      </c>
      <c r="F2143" t="n">
        <v>167485.78</v>
      </c>
    </row>
    <row r="2144">
      <c r="A2144" t="n">
        <v>2028</v>
      </c>
      <c r="B2144" t="n">
        <v>5</v>
      </c>
      <c r="C2144" t="inlineStr">
        <is>
          <t>Fremdl. Fuhrlei</t>
        </is>
      </c>
      <c r="D2144" t="inlineStr">
        <is>
          <t>Vorleistungen</t>
        </is>
      </c>
      <c r="E2144" t="n">
        <v>363.29</v>
      </c>
      <c r="F2144" t="n">
        <v>4359.52</v>
      </c>
    </row>
    <row r="2145">
      <c r="A2145" t="n">
        <v>2027</v>
      </c>
      <c r="B2145" t="n">
        <v>5</v>
      </c>
      <c r="C2145" t="inlineStr">
        <is>
          <t>Erl. so. DL Dt.</t>
        </is>
      </c>
      <c r="D2145" t="inlineStr">
        <is>
          <t>Gesamtleistung</t>
        </is>
      </c>
      <c r="E2145" t="n">
        <v>1996174.37</v>
      </c>
      <c r="F2145" t="n">
        <v>23954092.45</v>
      </c>
    </row>
    <row r="2146">
      <c r="A2146" t="n">
        <v>2027</v>
      </c>
      <c r="B2146" t="n">
        <v>5</v>
      </c>
      <c r="C2146" t="inlineStr">
        <is>
          <t>Aufw. Heizmat.</t>
        </is>
      </c>
      <c r="D2146" t="inlineStr">
        <is>
          <t>Vorleistungen</t>
        </is>
      </c>
      <c r="E2146" t="n">
        <v>275.72</v>
      </c>
      <c r="F2146" t="n">
        <v>3308.65</v>
      </c>
    </row>
    <row r="2147">
      <c r="A2147" t="n">
        <v>2028</v>
      </c>
      <c r="B2147" t="n">
        <v>5</v>
      </c>
      <c r="C2147" t="inlineStr">
        <is>
          <t>Versicherungskosten</t>
        </is>
      </c>
      <c r="D2147" t="inlineStr">
        <is>
          <t>Verwaltungskosten</t>
        </is>
      </c>
      <c r="E2147" t="n">
        <v>11113.3</v>
      </c>
      <c r="F2147" t="n">
        <v>133359.63</v>
      </c>
    </row>
    <row r="2148">
      <c r="A2148" t="n">
        <v>2031</v>
      </c>
      <c r="B2148" t="n">
        <v>5</v>
      </c>
      <c r="C2148" t="inlineStr">
        <is>
          <t>Miete LKW,Schiffe</t>
        </is>
      </c>
      <c r="D2148" t="inlineStr">
        <is>
          <t>Fuhrparkkosten</t>
        </is>
      </c>
      <c r="E2148" t="n">
        <v>46398.06</v>
      </c>
      <c r="F2148" t="n">
        <v>556776.71</v>
      </c>
    </row>
    <row r="2149">
      <c r="A2149" t="n">
        <v>2027</v>
      </c>
      <c r="B2149" t="n">
        <v>5</v>
      </c>
      <c r="C2149" t="inlineStr">
        <is>
          <t>Weiterber. Frem</t>
        </is>
      </c>
      <c r="D2149" t="inlineStr">
        <is>
          <t>Vorleistungen</t>
        </is>
      </c>
      <c r="E2149" t="n">
        <v>0</v>
      </c>
      <c r="F2149" t="n">
        <v>0</v>
      </c>
    </row>
    <row r="2150">
      <c r="A2150" t="n">
        <v>2028</v>
      </c>
      <c r="B2150" t="n">
        <v>5</v>
      </c>
      <c r="C2150" t="inlineStr">
        <is>
          <t>Erloesschmaeler</t>
        </is>
      </c>
      <c r="D2150" t="inlineStr">
        <is>
          <t>Gesamtleistung</t>
        </is>
      </c>
      <c r="E2150" t="n">
        <v>-8355.469999999999</v>
      </c>
      <c r="F2150" t="n">
        <v>-100265.61</v>
      </c>
    </row>
    <row r="2151">
      <c r="A2151" t="n">
        <v>2027</v>
      </c>
      <c r="B2151" t="n">
        <v>5</v>
      </c>
      <c r="C2151" t="inlineStr">
        <is>
          <t>Uebr.neutr. Ert</t>
        </is>
      </c>
      <c r="D2151" t="inlineStr">
        <is>
          <t>Gesamtleistung</t>
        </is>
      </c>
      <c r="E2151" t="n">
        <v>113.94</v>
      </c>
      <c r="F2151" t="n">
        <v>1367.31</v>
      </c>
    </row>
    <row r="2152">
      <c r="A2152" t="n">
        <v>2028</v>
      </c>
      <c r="B2152" t="n">
        <v>5</v>
      </c>
      <c r="C2152" t="inlineStr">
        <is>
          <t>Miete Behälter</t>
        </is>
      </c>
      <c r="D2152" t="inlineStr">
        <is>
          <t>Instandh. Betriebsausstattung</t>
        </is>
      </c>
      <c r="E2152" t="n">
        <v>24.08</v>
      </c>
      <c r="F2152" t="n">
        <v>289</v>
      </c>
    </row>
    <row r="2153">
      <c r="A2153" t="n">
        <v>2028</v>
      </c>
      <c r="B2153" t="n">
        <v>5</v>
      </c>
      <c r="C2153" t="inlineStr">
        <is>
          <t>Aufw. so. Hilfs</t>
        </is>
      </c>
      <c r="D2153" t="inlineStr">
        <is>
          <t>Vorleistungen</t>
        </is>
      </c>
      <c r="E2153" t="n">
        <v>-16546.31</v>
      </c>
      <c r="F2153" t="n">
        <v>-198555.67</v>
      </c>
    </row>
    <row r="2154">
      <c r="A2154" t="n">
        <v>2030</v>
      </c>
      <c r="B2154" t="n">
        <v>5</v>
      </c>
      <c r="C2154" t="inlineStr">
        <is>
          <t>Treibstoffe, Oe</t>
        </is>
      </c>
      <c r="D2154" t="inlineStr">
        <is>
          <t>Fuhrparkkosten</t>
        </is>
      </c>
      <c r="E2154" t="n">
        <v>34177.25</v>
      </c>
      <c r="F2154" t="n">
        <v>410126.96</v>
      </c>
    </row>
    <row r="2155">
      <c r="A2155" t="n">
        <v>2030</v>
      </c>
      <c r="B2155" t="n">
        <v>5</v>
      </c>
      <c r="C2155" t="inlineStr">
        <is>
          <t>Ueb Lohn-Gehalt</t>
        </is>
      </c>
      <c r="D2155" t="inlineStr">
        <is>
          <t>Personalaufwand</t>
        </is>
      </c>
      <c r="E2155" t="n">
        <v>41842.02</v>
      </c>
      <c r="F2155" t="n">
        <v>502104.18</v>
      </c>
    </row>
    <row r="2156">
      <c r="A2156" t="n">
        <v>2030</v>
      </c>
      <c r="B2156" t="n">
        <v>5</v>
      </c>
      <c r="C2156" t="inlineStr">
        <is>
          <t>Aufw. f. Alters</t>
        </is>
      </c>
      <c r="D2156" t="inlineStr">
        <is>
          <t>Personalaufwand</t>
        </is>
      </c>
      <c r="E2156" t="n">
        <v>1387.56</v>
      </c>
      <c r="F2156" t="n">
        <v>16650.69</v>
      </c>
    </row>
    <row r="2157">
      <c r="A2157" t="n">
        <v>2031</v>
      </c>
      <c r="B2157" t="n">
        <v>5</v>
      </c>
      <c r="C2157" t="inlineStr">
        <is>
          <t>Fremdl. Persona</t>
        </is>
      </c>
      <c r="D2157" t="inlineStr">
        <is>
          <t>Vorleistungen</t>
        </is>
      </c>
      <c r="E2157" t="n">
        <v>79.40000000000001</v>
      </c>
      <c r="F2157" t="n">
        <v>952.79</v>
      </c>
    </row>
    <row r="2158">
      <c r="A2158" t="n">
        <v>2029</v>
      </c>
      <c r="B2158" t="n">
        <v>6</v>
      </c>
      <c r="C2158" t="inlineStr">
        <is>
          <t>Sonderz. Prämie</t>
        </is>
      </c>
      <c r="D2158" t="inlineStr">
        <is>
          <t>Personalaufwand</t>
        </is>
      </c>
      <c r="E2158" t="n">
        <v>23292.21</v>
      </c>
      <c r="F2158" t="n">
        <v>279506.56</v>
      </c>
    </row>
    <row r="2159">
      <c r="A2159" t="n">
        <v>2030</v>
      </c>
      <c r="B2159" t="n">
        <v>6</v>
      </c>
      <c r="C2159" t="inlineStr">
        <is>
          <t>sonst Personalk</t>
        </is>
      </c>
      <c r="D2159" t="inlineStr">
        <is>
          <t>Personalaufwand</t>
        </is>
      </c>
      <c r="E2159" t="n">
        <v>15558.93</v>
      </c>
      <c r="F2159" t="n">
        <v>186707.19</v>
      </c>
    </row>
    <row r="2160">
      <c r="A2160" t="n">
        <v>2031</v>
      </c>
      <c r="B2160" t="n">
        <v>6</v>
      </c>
      <c r="C2160" t="inlineStr">
        <is>
          <t>Ankauf Rohstoff</t>
        </is>
      </c>
      <c r="D2160" t="inlineStr">
        <is>
          <t>Vorleistungen</t>
        </is>
      </c>
      <c r="E2160" t="n">
        <v>1489.65</v>
      </c>
      <c r="F2160" t="n">
        <v>17875.76</v>
      </c>
    </row>
    <row r="2161">
      <c r="A2161" t="n">
        <v>2029</v>
      </c>
      <c r="B2161" t="n">
        <v>6</v>
      </c>
      <c r="C2161" t="inlineStr">
        <is>
          <t>Weiterber. Frem</t>
        </is>
      </c>
      <c r="D2161" t="inlineStr">
        <is>
          <t>Vorleistungen</t>
        </is>
      </c>
      <c r="E2161" t="n">
        <v>0</v>
      </c>
      <c r="F2161" t="n">
        <v>0</v>
      </c>
    </row>
    <row r="2162">
      <c r="A2162" t="n">
        <v>2031</v>
      </c>
      <c r="B2162" t="n">
        <v>6</v>
      </c>
      <c r="C2162" t="inlineStr">
        <is>
          <t>Sonstige Steuer</t>
        </is>
      </c>
      <c r="D2162" t="inlineStr">
        <is>
          <t>Fuhrparkkosten</t>
        </is>
      </c>
      <c r="E2162" t="n">
        <v>1890.32</v>
      </c>
      <c r="F2162" t="n">
        <v>22683.81</v>
      </c>
    </row>
    <row r="2163">
      <c r="A2163" t="n">
        <v>2030</v>
      </c>
      <c r="B2163" t="n">
        <v>6</v>
      </c>
      <c r="C2163" t="inlineStr">
        <is>
          <t>Bestandsveraend</t>
        </is>
      </c>
      <c r="D2163" t="inlineStr">
        <is>
          <t>Gesamtleistung</t>
        </is>
      </c>
      <c r="E2163" t="n">
        <v>0</v>
      </c>
      <c r="F2163" t="n">
        <v>0</v>
      </c>
    </row>
    <row r="2164">
      <c r="A2164" t="n">
        <v>2031</v>
      </c>
      <c r="B2164" t="n">
        <v>6</v>
      </c>
      <c r="C2164" t="inlineStr">
        <is>
          <t>Erl. so. DL Dt.</t>
        </is>
      </c>
      <c r="D2164" t="inlineStr">
        <is>
          <t>Gesamtleistung</t>
        </is>
      </c>
      <c r="E2164" t="n">
        <v>2428139.11</v>
      </c>
      <c r="F2164" t="n">
        <v>29137669.32</v>
      </c>
    </row>
    <row r="2165">
      <c r="A2165" t="n">
        <v>2030</v>
      </c>
      <c r="B2165" t="n">
        <v>6</v>
      </c>
      <c r="C2165" t="inlineStr">
        <is>
          <t>Sonstige Steuer</t>
        </is>
      </c>
      <c r="D2165" t="inlineStr">
        <is>
          <t>Fuhrparkkosten</t>
        </is>
      </c>
      <c r="E2165" t="n">
        <v>1783.32</v>
      </c>
      <c r="F2165" t="n">
        <v>21399.82</v>
      </c>
    </row>
    <row r="2166">
      <c r="A2166" t="n">
        <v>2030</v>
      </c>
      <c r="B2166" t="n">
        <v>6</v>
      </c>
      <c r="C2166" t="inlineStr">
        <is>
          <t>Sonderz. Prämie</t>
        </is>
      </c>
      <c r="D2166" t="inlineStr">
        <is>
          <t>Personalaufwand</t>
        </is>
      </c>
      <c r="E2166" t="n">
        <v>25004.1</v>
      </c>
      <c r="F2166" t="n">
        <v>300049.14</v>
      </c>
    </row>
    <row r="2167">
      <c r="A2167" t="n">
        <v>2029</v>
      </c>
      <c r="B2167" t="n">
        <v>6</v>
      </c>
      <c r="C2167" t="inlineStr">
        <is>
          <t>Soziale Abgaben</t>
        </is>
      </c>
      <c r="D2167" t="inlineStr">
        <is>
          <t>Personalaufwand</t>
        </is>
      </c>
      <c r="E2167" t="n">
        <v>94488.11</v>
      </c>
      <c r="F2167" t="n">
        <v>1133857.35</v>
      </c>
    </row>
    <row r="2168">
      <c r="A2168" t="n">
        <v>2031</v>
      </c>
      <c r="B2168" t="n">
        <v>6</v>
      </c>
      <c r="C2168" t="inlineStr">
        <is>
          <t>So. betr. Aufwa</t>
        </is>
      </c>
      <c r="D2168" t="inlineStr">
        <is>
          <t>Verwaltungskosten</t>
        </is>
      </c>
      <c r="E2168" t="n">
        <v>735.47</v>
      </c>
      <c r="F2168" t="n">
        <v>8825.639999999999</v>
      </c>
    </row>
    <row r="2169">
      <c r="A2169" t="n">
        <v>2027</v>
      </c>
      <c r="B2169" t="n">
        <v>6</v>
      </c>
      <c r="C2169" t="inlineStr">
        <is>
          <t>Lohn + Gehalt</t>
        </is>
      </c>
      <c r="D2169" t="inlineStr">
        <is>
          <t>Personalaufwand</t>
        </is>
      </c>
      <c r="E2169" t="n">
        <v>287946.36</v>
      </c>
      <c r="F2169" t="n">
        <v>3455356.33</v>
      </c>
    </row>
    <row r="2170">
      <c r="A2170" t="n">
        <v>2027</v>
      </c>
      <c r="B2170" t="n">
        <v>6</v>
      </c>
      <c r="C2170" t="inlineStr">
        <is>
          <t>So. betr. Aufwa</t>
        </is>
      </c>
      <c r="D2170" t="inlineStr">
        <is>
          <t>Verwaltungskosten</t>
        </is>
      </c>
      <c r="E2170" t="n">
        <v>653.45</v>
      </c>
      <c r="F2170" t="n">
        <v>7841.45</v>
      </c>
    </row>
    <row r="2171">
      <c r="A2171" t="n">
        <v>2028</v>
      </c>
      <c r="B2171" t="n">
        <v>6</v>
      </c>
      <c r="C2171" t="inlineStr">
        <is>
          <t>Ueb Lohn-Gehalt</t>
        </is>
      </c>
      <c r="D2171" t="inlineStr">
        <is>
          <t>Personalaufwand</t>
        </is>
      </c>
      <c r="E2171" t="n">
        <v>34332.83</v>
      </c>
      <c r="F2171" t="n">
        <v>411993.96</v>
      </c>
    </row>
    <row r="2172">
      <c r="A2172" t="n">
        <v>2027</v>
      </c>
      <c r="B2172" t="n">
        <v>6</v>
      </c>
      <c r="C2172" t="inlineStr">
        <is>
          <t>Verwaltungskost</t>
        </is>
      </c>
      <c r="D2172" t="inlineStr">
        <is>
          <t>Verwaltungskosten</t>
        </is>
      </c>
      <c r="E2172" t="n">
        <v>6691.47</v>
      </c>
      <c r="F2172" t="n">
        <v>80297.62</v>
      </c>
    </row>
    <row r="2173">
      <c r="A2173" t="n">
        <v>2030</v>
      </c>
      <c r="B2173" t="n">
        <v>6</v>
      </c>
      <c r="C2173" t="inlineStr">
        <is>
          <t>Aufw. Heizmat.</t>
        </is>
      </c>
      <c r="D2173" t="inlineStr">
        <is>
          <t>Vorleistungen</t>
        </is>
      </c>
      <c r="E2173" t="n">
        <v>230.4</v>
      </c>
      <c r="F2173" t="n">
        <v>2764.82</v>
      </c>
    </row>
    <row r="2174">
      <c r="A2174" t="n">
        <v>2027</v>
      </c>
      <c r="B2174" t="n">
        <v>6</v>
      </c>
      <c r="C2174" t="inlineStr">
        <is>
          <t>Versicherungskosten</t>
        </is>
      </c>
      <c r="D2174" t="inlineStr">
        <is>
          <t>Verwaltungskosten</t>
        </is>
      </c>
      <c r="E2174" t="n">
        <v>10789.61</v>
      </c>
      <c r="F2174" t="n">
        <v>129475.37</v>
      </c>
    </row>
    <row r="2175">
      <c r="A2175" t="n">
        <v>2031</v>
      </c>
      <c r="B2175" t="n">
        <v>6</v>
      </c>
      <c r="C2175" t="inlineStr">
        <is>
          <t>Instandh. BGA</t>
        </is>
      </c>
      <c r="D2175" t="inlineStr">
        <is>
          <t>Instandh. Betriebsausstattung</t>
        </is>
      </c>
      <c r="E2175" t="n">
        <v>5124.63</v>
      </c>
      <c r="F2175" t="n">
        <v>61495.58</v>
      </c>
    </row>
    <row r="2176">
      <c r="A2176" t="n">
        <v>2029</v>
      </c>
      <c r="B2176" t="n">
        <v>6</v>
      </c>
      <c r="C2176" t="inlineStr">
        <is>
          <t>Treibstoffe, Oe</t>
        </is>
      </c>
      <c r="D2176" t="inlineStr">
        <is>
          <t>Fuhrparkkosten</t>
        </is>
      </c>
      <c r="E2176" t="n">
        <v>32242.68</v>
      </c>
      <c r="F2176" t="n">
        <v>386912.19</v>
      </c>
    </row>
    <row r="2177">
      <c r="A2177" t="n">
        <v>2027</v>
      </c>
      <c r="B2177" t="n">
        <v>6</v>
      </c>
      <c r="C2177" t="inlineStr">
        <is>
          <t>Instandh. BGA</t>
        </is>
      </c>
      <c r="D2177" t="inlineStr">
        <is>
          <t>Instandh. Betriebsausstattung</t>
        </is>
      </c>
      <c r="E2177" t="n">
        <v>4216.05</v>
      </c>
      <c r="F2177" t="n">
        <v>50592.58</v>
      </c>
    </row>
    <row r="2178">
      <c r="A2178" t="n">
        <v>2029</v>
      </c>
      <c r="B2178" t="n">
        <v>6</v>
      </c>
      <c r="C2178" t="inlineStr">
        <is>
          <t>Ueb Lohn-Gehalt</t>
        </is>
      </c>
      <c r="D2178" t="inlineStr">
        <is>
          <t>Personalaufwand</t>
        </is>
      </c>
      <c r="E2178" t="n">
        <v>37989.9</v>
      </c>
      <c r="F2178" t="n">
        <v>455878.84</v>
      </c>
    </row>
    <row r="2179">
      <c r="A2179" t="n">
        <v>2031</v>
      </c>
      <c r="B2179" t="n">
        <v>6</v>
      </c>
      <c r="C2179" t="inlineStr">
        <is>
          <t>Erl. Waren Dt.</t>
        </is>
      </c>
      <c r="D2179" t="inlineStr">
        <is>
          <t>Gesamtleistung</t>
        </is>
      </c>
      <c r="E2179" t="n">
        <v>50865.59</v>
      </c>
      <c r="F2179" t="n">
        <v>610387.05</v>
      </c>
    </row>
    <row r="2180">
      <c r="A2180" t="n">
        <v>2027</v>
      </c>
      <c r="B2180" t="n">
        <v>6</v>
      </c>
      <c r="C2180" t="inlineStr">
        <is>
          <t>Fremdl. Persona</t>
        </is>
      </c>
      <c r="D2180" t="inlineStr">
        <is>
          <t>Vorleistungen</t>
        </is>
      </c>
      <c r="E2180" t="n">
        <v>61.31</v>
      </c>
      <c r="F2180" t="n">
        <v>735.66</v>
      </c>
    </row>
    <row r="2181">
      <c r="A2181" t="n">
        <v>2027</v>
      </c>
      <c r="B2181" t="n">
        <v>6</v>
      </c>
      <c r="C2181" t="inlineStr">
        <is>
          <t>Aufwand Umlage</t>
        </is>
      </c>
      <c r="D2181" t="inlineStr">
        <is>
          <t>Verwaltungskosten</t>
        </is>
      </c>
      <c r="E2181" t="n">
        <v>3383.24</v>
      </c>
      <c r="F2181" t="n">
        <v>40598.91</v>
      </c>
    </row>
    <row r="2182">
      <c r="A2182" t="n">
        <v>2031</v>
      </c>
      <c r="B2182" t="n">
        <v>6</v>
      </c>
      <c r="C2182" t="inlineStr">
        <is>
          <t>Ueb Lohn-Gehalt</t>
        </is>
      </c>
      <c r="D2182" t="inlineStr">
        <is>
          <t>Personalaufwand</t>
        </is>
      </c>
      <c r="E2182" t="n">
        <v>45675.82</v>
      </c>
      <c r="F2182" t="n">
        <v>548109.79</v>
      </c>
    </row>
    <row r="2183">
      <c r="A2183" t="n">
        <v>2027</v>
      </c>
      <c r="B2183" t="n">
        <v>6</v>
      </c>
      <c r="C2183" t="inlineStr">
        <is>
          <t>Rechts- u. Beratungs</t>
        </is>
      </c>
      <c r="D2183" t="inlineStr">
        <is>
          <t>Verwaltungskosten</t>
        </is>
      </c>
      <c r="E2183" t="n">
        <v>25635.99</v>
      </c>
      <c r="F2183" t="n">
        <v>307631.89</v>
      </c>
    </row>
    <row r="2184">
      <c r="A2184" t="n">
        <v>2028</v>
      </c>
      <c r="B2184" t="n">
        <v>6</v>
      </c>
      <c r="C2184" t="inlineStr">
        <is>
          <t>Verwaltungskost</t>
        </is>
      </c>
      <c r="D2184" t="inlineStr">
        <is>
          <t>Verwaltungskosten</t>
        </is>
      </c>
      <c r="E2184" t="n">
        <v>6892.21</v>
      </c>
      <c r="F2184" t="n">
        <v>82706.56</v>
      </c>
    </row>
    <row r="2185">
      <c r="A2185" t="n">
        <v>2028</v>
      </c>
      <c r="B2185" t="n">
        <v>6</v>
      </c>
      <c r="C2185" t="inlineStr">
        <is>
          <t>Ueb. bezog.Leis</t>
        </is>
      </c>
      <c r="D2185" t="inlineStr">
        <is>
          <t>Vorleistungen</t>
        </is>
      </c>
      <c r="E2185" t="n">
        <v>1342498.67</v>
      </c>
      <c r="F2185" t="n">
        <v>16109983.99</v>
      </c>
    </row>
    <row r="2186">
      <c r="A2186" t="n">
        <v>2028</v>
      </c>
      <c r="B2186" t="n">
        <v>6</v>
      </c>
      <c r="C2186" t="inlineStr">
        <is>
          <t>Ankauf Rohstoff</t>
        </is>
      </c>
      <c r="D2186" t="inlineStr">
        <is>
          <t>Vorleistungen</t>
        </is>
      </c>
      <c r="E2186" t="n">
        <v>1457.38</v>
      </c>
      <c r="F2186" t="n">
        <v>17488.61</v>
      </c>
    </row>
    <row r="2187">
      <c r="A2187" t="n">
        <v>2029</v>
      </c>
      <c r="B2187" t="n">
        <v>6</v>
      </c>
      <c r="C2187" t="inlineStr">
        <is>
          <t>Erloesschmaeler</t>
        </is>
      </c>
      <c r="D2187" t="inlineStr">
        <is>
          <t>Gesamtleistung</t>
        </is>
      </c>
      <c r="E2187" t="n">
        <v>-9048.01</v>
      </c>
      <c r="F2187" t="n">
        <v>-108576.08</v>
      </c>
    </row>
    <row r="2188">
      <c r="A2188" t="n">
        <v>2029</v>
      </c>
      <c r="B2188" t="n">
        <v>6</v>
      </c>
      <c r="C2188" t="inlineStr">
        <is>
          <t>Leasing PKW</t>
        </is>
      </c>
      <c r="D2188" t="inlineStr">
        <is>
          <t>Fuhrparkkosten</t>
        </is>
      </c>
      <c r="E2188" t="n">
        <v>24652.26</v>
      </c>
      <c r="F2188" t="n">
        <v>295827.14</v>
      </c>
    </row>
    <row r="2189">
      <c r="A2189" t="n">
        <v>2029</v>
      </c>
      <c r="B2189" t="n">
        <v>6</v>
      </c>
      <c r="C2189" t="inlineStr">
        <is>
          <t>Fremdl. Persona</t>
        </is>
      </c>
      <c r="D2189" t="inlineStr">
        <is>
          <t>Vorleistungen</t>
        </is>
      </c>
      <c r="E2189" t="n">
        <v>73.3</v>
      </c>
      <c r="F2189" t="n">
        <v>879.54</v>
      </c>
    </row>
    <row r="2190">
      <c r="A2190" t="n">
        <v>2028</v>
      </c>
      <c r="B2190" t="n">
        <v>6</v>
      </c>
      <c r="C2190" t="inlineStr">
        <is>
          <t>Aufwand Umlage</t>
        </is>
      </c>
      <c r="D2190" t="inlineStr">
        <is>
          <t>Verwaltungskosten</t>
        </is>
      </c>
      <c r="E2190" t="n">
        <v>3484.74</v>
      </c>
      <c r="F2190" t="n">
        <v>41816.88</v>
      </c>
    </row>
    <row r="2191">
      <c r="A2191" t="n">
        <v>2027</v>
      </c>
      <c r="B2191" t="n">
        <v>6</v>
      </c>
      <c r="C2191" t="inlineStr">
        <is>
          <t>Ankauf Rohstoff</t>
        </is>
      </c>
      <c r="D2191" t="inlineStr">
        <is>
          <t>Vorleistungen</t>
        </is>
      </c>
      <c r="E2191" t="n">
        <v>1408.24</v>
      </c>
      <c r="F2191" t="n">
        <v>16898.9</v>
      </c>
    </row>
    <row r="2192">
      <c r="A2192" t="n">
        <v>2030</v>
      </c>
      <c r="B2192" t="n">
        <v>6</v>
      </c>
      <c r="C2192" t="inlineStr">
        <is>
          <t>Erloesschmaeler</t>
        </is>
      </c>
      <c r="D2192" t="inlineStr">
        <is>
          <t>Gesamtleistung</t>
        </is>
      </c>
      <c r="E2192" t="n">
        <v>-9690.75</v>
      </c>
      <c r="F2192" t="n">
        <v>-116289.05</v>
      </c>
    </row>
    <row r="2193">
      <c r="A2193" t="n">
        <v>2029</v>
      </c>
      <c r="B2193" t="n">
        <v>6</v>
      </c>
      <c r="C2193" t="inlineStr">
        <is>
          <t>Sonst Fuhrparkkosten</t>
        </is>
      </c>
      <c r="D2193" t="inlineStr">
        <is>
          <t>Fuhrparkkosten</t>
        </is>
      </c>
      <c r="E2193" t="n">
        <v>5605.91</v>
      </c>
      <c r="F2193" t="n">
        <v>67270.89</v>
      </c>
    </row>
    <row r="2194">
      <c r="A2194" t="n">
        <v>2027</v>
      </c>
      <c r="B2194" t="n">
        <v>6</v>
      </c>
      <c r="C2194" t="inlineStr">
        <is>
          <t>Soziale Abgaben</t>
        </is>
      </c>
      <c r="D2194" t="inlineStr">
        <is>
          <t>Personalaufwand</t>
        </is>
      </c>
      <c r="E2194" t="n">
        <v>75903.69</v>
      </c>
      <c r="F2194" t="n">
        <v>910844.28</v>
      </c>
    </row>
    <row r="2195">
      <c r="A2195" t="n">
        <v>2031</v>
      </c>
      <c r="B2195" t="n">
        <v>6</v>
      </c>
      <c r="C2195" t="inlineStr">
        <is>
          <t>Erloesschmaeler</t>
        </is>
      </c>
      <c r="D2195" t="inlineStr">
        <is>
          <t>Gesamtleistung</t>
        </is>
      </c>
      <c r="E2195" t="n">
        <v>-10347.15</v>
      </c>
      <c r="F2195" t="n">
        <v>-124165.81</v>
      </c>
    </row>
    <row r="2196">
      <c r="A2196" t="n">
        <v>2029</v>
      </c>
      <c r="B2196" t="n">
        <v>6</v>
      </c>
      <c r="C2196" t="inlineStr">
        <is>
          <t>Ertr. weiterber</t>
        </is>
      </c>
      <c r="D2196" t="inlineStr">
        <is>
          <t>Gesamtleistung</t>
        </is>
      </c>
      <c r="E2196" t="n">
        <v>1036.39</v>
      </c>
      <c r="F2196" t="n">
        <v>12436.69</v>
      </c>
    </row>
    <row r="2197">
      <c r="A2197" t="n">
        <v>2027</v>
      </c>
      <c r="B2197" t="n">
        <v>6</v>
      </c>
      <c r="C2197" t="inlineStr">
        <is>
          <t>Sonderz. Prämie</t>
        </is>
      </c>
      <c r="D2197" t="inlineStr">
        <is>
          <t>Personalaufwand</t>
        </is>
      </c>
      <c r="E2197" t="n">
        <v>19636.08</v>
      </c>
      <c r="F2197" t="n">
        <v>235633</v>
      </c>
    </row>
    <row r="2198">
      <c r="A2198" t="n">
        <v>2027</v>
      </c>
      <c r="B2198" t="n">
        <v>6</v>
      </c>
      <c r="C2198" t="inlineStr">
        <is>
          <t>Miete Behälter</t>
        </is>
      </c>
      <c r="D2198" t="inlineStr">
        <is>
          <t>Instandh. Betriebsausstattung</t>
        </is>
      </c>
      <c r="E2198" t="n">
        <v>22.94</v>
      </c>
      <c r="F2198" t="n">
        <v>275.23</v>
      </c>
    </row>
    <row r="2199">
      <c r="A2199" t="n">
        <v>2031</v>
      </c>
      <c r="B2199" t="n">
        <v>6</v>
      </c>
      <c r="C2199" t="inlineStr">
        <is>
          <t>Versicherungskosten</t>
        </is>
      </c>
      <c r="D2199" t="inlineStr">
        <is>
          <t>Verwaltungskosten</t>
        </is>
      </c>
      <c r="E2199" t="n">
        <v>12143.81</v>
      </c>
      <c r="F2199" t="n">
        <v>145725.66</v>
      </c>
    </row>
    <row r="2200">
      <c r="A2200" t="n">
        <v>2029</v>
      </c>
      <c r="B2200" t="n">
        <v>6</v>
      </c>
      <c r="C2200" t="inlineStr">
        <is>
          <t>Rechts- u. Beratungs</t>
        </is>
      </c>
      <c r="D2200" t="inlineStr">
        <is>
          <t>Verwaltungskosten</t>
        </is>
      </c>
      <c r="E2200" t="n">
        <v>27197.22</v>
      </c>
      <c r="F2200" t="n">
        <v>326366.65</v>
      </c>
    </row>
    <row r="2201">
      <c r="A2201" t="n">
        <v>2028</v>
      </c>
      <c r="B2201" t="n">
        <v>6</v>
      </c>
      <c r="C2201" t="inlineStr">
        <is>
          <t>Instandh.Fuhrp</t>
        </is>
      </c>
      <c r="D2201" t="inlineStr">
        <is>
          <t>Fuhrparkkosten</t>
        </is>
      </c>
      <c r="E2201" t="n">
        <v>32180.39</v>
      </c>
      <c r="F2201" t="n">
        <v>386164.66</v>
      </c>
    </row>
    <row r="2202">
      <c r="A2202" t="n">
        <v>2030</v>
      </c>
      <c r="B2202" t="n">
        <v>6</v>
      </c>
      <c r="C2202" t="inlineStr">
        <is>
          <t>Miete Grdst/Gebäud</t>
        </is>
      </c>
      <c r="D2202" t="inlineStr">
        <is>
          <t>Raumkosten</t>
        </is>
      </c>
      <c r="E2202" t="n">
        <v>18603.32</v>
      </c>
      <c r="F2202" t="n">
        <v>223239.88</v>
      </c>
    </row>
    <row r="2203">
      <c r="A2203" t="n">
        <v>2027</v>
      </c>
      <c r="B2203" t="n">
        <v>6</v>
      </c>
      <c r="C2203" t="inlineStr">
        <is>
          <t>Ueb. bezog.Leis</t>
        </is>
      </c>
      <c r="D2203" t="inlineStr">
        <is>
          <t>Vorleistungen</t>
        </is>
      </c>
      <c r="E2203" t="n">
        <v>1319862.34</v>
      </c>
      <c r="F2203" t="n">
        <v>15838348.13</v>
      </c>
    </row>
    <row r="2204">
      <c r="A2204" t="n">
        <v>2029</v>
      </c>
      <c r="B2204" t="n">
        <v>6</v>
      </c>
      <c r="C2204" t="inlineStr">
        <is>
          <t>Erl. Waren Dt.</t>
        </is>
      </c>
      <c r="D2204" t="inlineStr">
        <is>
          <t>Gesamtleistung</t>
        </is>
      </c>
      <c r="E2204" t="n">
        <v>47334.08</v>
      </c>
      <c r="F2204" t="n">
        <v>568008.92</v>
      </c>
    </row>
    <row r="2205">
      <c r="A2205" t="n">
        <v>2031</v>
      </c>
      <c r="B2205" t="n">
        <v>6</v>
      </c>
      <c r="C2205" t="inlineStr">
        <is>
          <t>Treibstoffe, Oe</t>
        </is>
      </c>
      <c r="D2205" t="inlineStr">
        <is>
          <t>Fuhrparkkosten</t>
        </is>
      </c>
      <c r="E2205" t="n">
        <v>36227.88</v>
      </c>
      <c r="F2205" t="n">
        <v>434734.54</v>
      </c>
    </row>
    <row r="2206">
      <c r="A2206" t="n">
        <v>2029</v>
      </c>
      <c r="B2206" t="n">
        <v>6</v>
      </c>
      <c r="C2206" t="inlineStr">
        <is>
          <t>Miete Behälter</t>
        </is>
      </c>
      <c r="D2206" t="inlineStr">
        <is>
          <t>Instandh. Betriebsausstattung</t>
        </is>
      </c>
      <c r="E2206" t="n">
        <v>25.29</v>
      </c>
      <c r="F2206" t="n">
        <v>303.45</v>
      </c>
    </row>
    <row r="2207">
      <c r="A2207" t="n">
        <v>2030</v>
      </c>
      <c r="B2207" t="n">
        <v>6</v>
      </c>
      <c r="C2207" t="inlineStr">
        <is>
          <t>Instandh. BGA</t>
        </is>
      </c>
      <c r="D2207" t="inlineStr">
        <is>
          <t>Instandh. Betriebsausstattung</t>
        </is>
      </c>
      <c r="E2207" t="n">
        <v>4880.6</v>
      </c>
      <c r="F2207" t="n">
        <v>58567.23</v>
      </c>
    </row>
    <row r="2208">
      <c r="A2208" t="n">
        <v>2030</v>
      </c>
      <c r="B2208" t="n">
        <v>6</v>
      </c>
      <c r="C2208" t="inlineStr">
        <is>
          <t>Lohn + Gehalt</t>
        </is>
      </c>
      <c r="D2208" t="inlineStr">
        <is>
          <t>Personalaufwand</t>
        </is>
      </c>
      <c r="E2208" t="n">
        <v>392030.8</v>
      </c>
      <c r="F2208" t="n">
        <v>4704369.59</v>
      </c>
    </row>
    <row r="2209">
      <c r="A2209" t="n">
        <v>2027</v>
      </c>
      <c r="B2209" t="n">
        <v>6</v>
      </c>
      <c r="C2209" t="inlineStr">
        <is>
          <t>Bestandsveraend</t>
        </is>
      </c>
      <c r="D2209" t="inlineStr">
        <is>
          <t>Gesamtleistung</t>
        </is>
      </c>
      <c r="E2209" t="n">
        <v>0</v>
      </c>
      <c r="F2209" t="n">
        <v>0</v>
      </c>
    </row>
    <row r="2210">
      <c r="A2210" t="n">
        <v>2027</v>
      </c>
      <c r="B2210" t="n">
        <v>6</v>
      </c>
      <c r="C2210" t="inlineStr">
        <is>
          <t>Aufw. so. Hilfs</t>
        </is>
      </c>
      <c r="D2210" t="inlineStr">
        <is>
          <t>Vorleistungen</t>
        </is>
      </c>
      <c r="E2210" t="n">
        <v>-16362.04</v>
      </c>
      <c r="F2210" t="n">
        <v>-196344.47</v>
      </c>
    </row>
    <row r="2211">
      <c r="A2211" t="n">
        <v>2027</v>
      </c>
      <c r="B2211" t="n">
        <v>6</v>
      </c>
      <c r="C2211" t="inlineStr">
        <is>
          <t>Aufw. f. Alters</t>
        </is>
      </c>
      <c r="D2211" t="inlineStr">
        <is>
          <t>Personalaufwand</t>
        </is>
      </c>
      <c r="E2211" t="n">
        <v>1234.77</v>
      </c>
      <c r="F2211" t="n">
        <v>14817.29</v>
      </c>
    </row>
    <row r="2212">
      <c r="A2212" t="n">
        <v>2027</v>
      </c>
      <c r="B2212" t="n">
        <v>6</v>
      </c>
      <c r="C2212" t="inlineStr">
        <is>
          <t>Vertriebskosten</t>
        </is>
      </c>
      <c r="D2212" t="inlineStr">
        <is>
          <t>Vertriebskosten</t>
        </is>
      </c>
      <c r="E2212" t="n">
        <v>10833.33</v>
      </c>
      <c r="F2212" t="n">
        <v>130000</v>
      </c>
    </row>
    <row r="2213">
      <c r="A2213" t="n">
        <v>2027</v>
      </c>
      <c r="B2213" t="n">
        <v>6</v>
      </c>
      <c r="C2213" t="inlineStr">
        <is>
          <t>Ertrag KFZ-Nutz</t>
        </is>
      </c>
      <c r="D2213" t="inlineStr">
        <is>
          <t>Gesamtleistung</t>
        </is>
      </c>
      <c r="E2213" t="n">
        <v>8029.69</v>
      </c>
      <c r="F2213" t="n">
        <v>96356.3</v>
      </c>
    </row>
    <row r="2214">
      <c r="A2214" t="n">
        <v>2031</v>
      </c>
      <c r="B2214" t="n">
        <v>6</v>
      </c>
      <c r="C2214" t="inlineStr">
        <is>
          <t>Lohn + Gehalt</t>
        </is>
      </c>
      <c r="D2214" t="inlineStr">
        <is>
          <t>Personalaufwand</t>
        </is>
      </c>
      <c r="E2214" t="n">
        <v>428257.62</v>
      </c>
      <c r="F2214" t="n">
        <v>5139091.39</v>
      </c>
    </row>
    <row r="2215">
      <c r="A2215" t="n">
        <v>2031</v>
      </c>
      <c r="B2215" t="n">
        <v>6</v>
      </c>
      <c r="C2215" t="inlineStr">
        <is>
          <t>Soziale Abgaben</t>
        </is>
      </c>
      <c r="D2215" t="inlineStr">
        <is>
          <t>Personalaufwand</t>
        </is>
      </c>
      <c r="E2215" t="n">
        <v>113909.76</v>
      </c>
      <c r="F2215" t="n">
        <v>1366917.09</v>
      </c>
    </row>
    <row r="2216">
      <c r="A2216" t="n">
        <v>2031</v>
      </c>
      <c r="B2216" t="n">
        <v>6</v>
      </c>
      <c r="C2216" t="inlineStr">
        <is>
          <t>Sonst Fuhrparkkosten</t>
        </is>
      </c>
      <c r="D2216" t="inlineStr">
        <is>
          <t>Fuhrparkkosten</t>
        </is>
      </c>
      <c r="E2216" t="n">
        <v>6298.8</v>
      </c>
      <c r="F2216" t="n">
        <v>75585.56</v>
      </c>
    </row>
    <row r="2217">
      <c r="A2217" t="n">
        <v>2030</v>
      </c>
      <c r="B2217" t="n">
        <v>6</v>
      </c>
      <c r="C2217" t="inlineStr">
        <is>
          <t>Miete Behälter</t>
        </is>
      </c>
      <c r="D2217" t="inlineStr">
        <is>
          <t>Instandh. Betriebsausstattung</t>
        </is>
      </c>
      <c r="E2217" t="n">
        <v>26.55</v>
      </c>
      <c r="F2217" t="n">
        <v>318.62</v>
      </c>
    </row>
    <row r="2218">
      <c r="A2218" t="n">
        <v>2028</v>
      </c>
      <c r="B2218" t="n">
        <v>6</v>
      </c>
      <c r="C2218" t="inlineStr">
        <is>
          <t>Miete PKW</t>
        </is>
      </c>
      <c r="D2218" t="inlineStr">
        <is>
          <t>Fuhrparkkosten</t>
        </is>
      </c>
      <c r="E2218" t="n">
        <v>4890.62</v>
      </c>
      <c r="F2218" t="n">
        <v>58687.43</v>
      </c>
    </row>
    <row r="2219">
      <c r="A2219" t="n">
        <v>2030</v>
      </c>
      <c r="B2219" t="n">
        <v>6</v>
      </c>
      <c r="C2219" t="inlineStr">
        <is>
          <t>Aufwand Umlage</t>
        </is>
      </c>
      <c r="D2219" t="inlineStr">
        <is>
          <t>Verwaltungskosten</t>
        </is>
      </c>
      <c r="E2219" t="n">
        <v>3696.96</v>
      </c>
      <c r="F2219" t="n">
        <v>44363.53</v>
      </c>
    </row>
    <row r="2220">
      <c r="A2220" t="n">
        <v>2030</v>
      </c>
      <c r="B2220" t="n">
        <v>6</v>
      </c>
      <c r="C2220" t="inlineStr">
        <is>
          <t>So. betr. Aufwa</t>
        </is>
      </c>
      <c r="D2220" t="inlineStr">
        <is>
          <t>Verwaltungskosten</t>
        </is>
      </c>
      <c r="E2220" t="n">
        <v>714.05</v>
      </c>
      <c r="F2220" t="n">
        <v>8568.57</v>
      </c>
    </row>
    <row r="2221">
      <c r="A2221" t="n">
        <v>2029</v>
      </c>
      <c r="B2221" t="n">
        <v>6</v>
      </c>
      <c r="C2221" t="inlineStr">
        <is>
          <t>Versicherungskosten</t>
        </is>
      </c>
      <c r="D2221" t="inlineStr">
        <is>
          <t>Verwaltungskosten</t>
        </is>
      </c>
      <c r="E2221" t="n">
        <v>11446.7</v>
      </c>
      <c r="F2221" t="n">
        <v>137360.42</v>
      </c>
    </row>
    <row r="2222">
      <c r="A2222" t="n">
        <v>2027</v>
      </c>
      <c r="B2222" t="n">
        <v>6</v>
      </c>
      <c r="C2222" t="inlineStr">
        <is>
          <t>Sonstige Steuer</t>
        </is>
      </c>
      <c r="D2222" t="inlineStr">
        <is>
          <t>Fuhrparkkosten</t>
        </is>
      </c>
      <c r="E2222" t="n">
        <v>1497.31</v>
      </c>
      <c r="F2222" t="n">
        <v>17967.71</v>
      </c>
    </row>
    <row r="2223">
      <c r="A2223" t="n">
        <v>2031</v>
      </c>
      <c r="B2223" t="n">
        <v>6</v>
      </c>
      <c r="C2223" t="inlineStr">
        <is>
          <t>Leasing LKW</t>
        </is>
      </c>
      <c r="D2223" t="inlineStr">
        <is>
          <t>Fuhrparkkosten</t>
        </is>
      </c>
      <c r="E2223" t="n">
        <v>2910.36</v>
      </c>
      <c r="F2223" t="n">
        <v>34924.28</v>
      </c>
    </row>
    <row r="2224">
      <c r="A2224" t="n">
        <v>2029</v>
      </c>
      <c r="B2224" t="n">
        <v>6</v>
      </c>
      <c r="C2224" t="inlineStr">
        <is>
          <t>Leasing LKW</t>
        </is>
      </c>
      <c r="D2224" t="inlineStr">
        <is>
          <t>Fuhrparkkosten</t>
        </is>
      </c>
      <c r="E2224" t="n">
        <v>2590.21</v>
      </c>
      <c r="F2224" t="n">
        <v>31082.49</v>
      </c>
    </row>
    <row r="2225">
      <c r="A2225" t="n">
        <v>2027</v>
      </c>
      <c r="B2225" t="n">
        <v>6</v>
      </c>
      <c r="C2225" t="inlineStr">
        <is>
          <t>Instandh.Fuhrp</t>
        </is>
      </c>
      <c r="D2225" t="inlineStr">
        <is>
          <t>Fuhrparkkosten</t>
        </is>
      </c>
      <c r="E2225" t="n">
        <v>30358.86</v>
      </c>
      <c r="F2225" t="n">
        <v>364306.28</v>
      </c>
    </row>
    <row r="2226">
      <c r="A2226" t="n">
        <v>2029</v>
      </c>
      <c r="B2226" t="n">
        <v>6</v>
      </c>
      <c r="C2226" t="inlineStr">
        <is>
          <t>Vertriebskosten</t>
        </is>
      </c>
      <c r="D2226" t="inlineStr">
        <is>
          <t>Vertriebskosten</t>
        </is>
      </c>
      <c r="E2226" t="n">
        <v>11943.75</v>
      </c>
      <c r="F2226" t="n">
        <v>143325</v>
      </c>
    </row>
    <row r="2227">
      <c r="A2227" t="n">
        <v>2031</v>
      </c>
      <c r="B2227" t="n">
        <v>6</v>
      </c>
      <c r="C2227" t="inlineStr">
        <is>
          <t>Miete Grdst/Gebäud</t>
        </is>
      </c>
      <c r="D2227" t="inlineStr">
        <is>
          <t>Raumkosten</t>
        </is>
      </c>
      <c r="E2227" t="n">
        <v>18975.39</v>
      </c>
      <c r="F2227" t="n">
        <v>227704.65</v>
      </c>
    </row>
    <row r="2228">
      <c r="A2228" t="n">
        <v>2029</v>
      </c>
      <c r="B2228" t="n">
        <v>6</v>
      </c>
      <c r="C2228" t="inlineStr">
        <is>
          <t>Uebr.neutr. Ert</t>
        </is>
      </c>
      <c r="D2228" t="inlineStr">
        <is>
          <t>Gesamtleistung</t>
        </is>
      </c>
      <c r="E2228" t="n">
        <v>189.9</v>
      </c>
      <c r="F2228" t="n">
        <v>2278.85</v>
      </c>
    </row>
    <row r="2229">
      <c r="A2229" t="n">
        <v>2030</v>
      </c>
      <c r="B2229" t="n">
        <v>6</v>
      </c>
      <c r="C2229" t="inlineStr">
        <is>
          <t>Behaelterkosten</t>
        </is>
      </c>
      <c r="D2229" t="inlineStr">
        <is>
          <t>Instandh. Betriebsausstattung</t>
        </is>
      </c>
      <c r="E2229" t="n">
        <v>12.75</v>
      </c>
      <c r="F2229" t="n">
        <v>153.03</v>
      </c>
    </row>
    <row r="2230">
      <c r="A2230" t="n">
        <v>2029</v>
      </c>
      <c r="B2230" t="n">
        <v>6</v>
      </c>
      <c r="C2230" t="inlineStr">
        <is>
          <t>IT-Aufwendungen</t>
        </is>
      </c>
      <c r="D2230" t="inlineStr">
        <is>
          <t>Verwaltungskosten</t>
        </is>
      </c>
      <c r="E2230" t="n">
        <v>12302.44</v>
      </c>
      <c r="F2230" t="n">
        <v>147629.28</v>
      </c>
    </row>
    <row r="2231">
      <c r="A2231" t="n">
        <v>2028</v>
      </c>
      <c r="B2231" t="n">
        <v>6</v>
      </c>
      <c r="C2231" t="inlineStr">
        <is>
          <t>Instandh. BGA</t>
        </is>
      </c>
      <c r="D2231" t="inlineStr">
        <is>
          <t>Instandh. Betriebsausstattung</t>
        </is>
      </c>
      <c r="E2231" t="n">
        <v>4426.85</v>
      </c>
      <c r="F2231" t="n">
        <v>53122.2</v>
      </c>
    </row>
    <row r="2232">
      <c r="A2232" t="n">
        <v>2029</v>
      </c>
      <c r="B2232" t="n">
        <v>6</v>
      </c>
      <c r="C2232" t="inlineStr">
        <is>
          <t>Instandh.Fuhrp</t>
        </is>
      </c>
      <c r="D2232" t="inlineStr">
        <is>
          <t>Fuhrparkkosten</t>
        </is>
      </c>
      <c r="E2232" t="n">
        <v>34111.21</v>
      </c>
      <c r="F2232" t="n">
        <v>409334.56</v>
      </c>
    </row>
    <row r="2233">
      <c r="A2233" t="n">
        <v>2031</v>
      </c>
      <c r="B2233" t="n">
        <v>6</v>
      </c>
      <c r="C2233" t="inlineStr">
        <is>
          <t>Rechts- u. Beratungs</t>
        </is>
      </c>
      <c r="D2233" t="inlineStr">
        <is>
          <t>Verwaltungskosten</t>
        </is>
      </c>
      <c r="E2233" t="n">
        <v>28853.53</v>
      </c>
      <c r="F2233" t="n">
        <v>346242.38</v>
      </c>
    </row>
    <row r="2234">
      <c r="A2234" t="n">
        <v>2029</v>
      </c>
      <c r="B2234" t="n">
        <v>6</v>
      </c>
      <c r="C2234" t="inlineStr">
        <is>
          <t>Ertrag KFZ-Nutz</t>
        </is>
      </c>
      <c r="D2234" t="inlineStr">
        <is>
          <t>Gesamtleistung</t>
        </is>
      </c>
      <c r="E2234" t="n">
        <v>8815.82</v>
      </c>
      <c r="F2234" t="n">
        <v>105789.86</v>
      </c>
    </row>
    <row r="2235">
      <c r="A2235" t="n">
        <v>2030</v>
      </c>
      <c r="B2235" t="n">
        <v>6</v>
      </c>
      <c r="C2235" t="inlineStr">
        <is>
          <t>Ertr. weiterber</t>
        </is>
      </c>
      <c r="D2235" t="inlineStr">
        <is>
          <t>Gesamtleistung</t>
        </is>
      </c>
      <c r="E2235" t="n">
        <v>1104.47</v>
      </c>
      <c r="F2235" t="n">
        <v>13253.67</v>
      </c>
    </row>
    <row r="2236">
      <c r="A2236" t="n">
        <v>2028</v>
      </c>
      <c r="B2236" t="n">
        <v>6</v>
      </c>
      <c r="C2236" t="inlineStr">
        <is>
          <t>Leasing PKW</t>
        </is>
      </c>
      <c r="D2236" t="inlineStr">
        <is>
          <t>Fuhrparkkosten</t>
        </is>
      </c>
      <c r="E2236" t="n">
        <v>23256.85</v>
      </c>
      <c r="F2236" t="n">
        <v>279082.22</v>
      </c>
    </row>
    <row r="2237">
      <c r="A2237" t="n">
        <v>2028</v>
      </c>
      <c r="B2237" t="n">
        <v>6</v>
      </c>
      <c r="C2237" t="inlineStr">
        <is>
          <t>Treibstoffe, Oe</t>
        </is>
      </c>
      <c r="D2237" t="inlineStr">
        <is>
          <t>Fuhrparkkosten</t>
        </is>
      </c>
      <c r="E2237" t="n">
        <v>30417.62</v>
      </c>
      <c r="F2237" t="n">
        <v>365011.49</v>
      </c>
    </row>
    <row r="2238">
      <c r="A2238" t="n">
        <v>2029</v>
      </c>
      <c r="B2238" t="n">
        <v>6</v>
      </c>
      <c r="C2238" t="inlineStr">
        <is>
          <t>Miete PKW</t>
        </is>
      </c>
      <c r="D2238" t="inlineStr">
        <is>
          <t>Fuhrparkkosten</t>
        </is>
      </c>
      <c r="E2238" t="n">
        <v>5184.06</v>
      </c>
      <c r="F2238" t="n">
        <v>62208.67</v>
      </c>
    </row>
    <row r="2239">
      <c r="A2239" t="n">
        <v>2028</v>
      </c>
      <c r="B2239" t="n">
        <v>6</v>
      </c>
      <c r="C2239" t="inlineStr">
        <is>
          <t>Ertr. weiterber</t>
        </is>
      </c>
      <c r="D2239" t="inlineStr">
        <is>
          <t>Gesamtleistung</t>
        </is>
      </c>
      <c r="E2239" t="n">
        <v>980.91</v>
      </c>
      <c r="F2239" t="n">
        <v>11770.87</v>
      </c>
    </row>
    <row r="2240">
      <c r="A2240" t="n">
        <v>2029</v>
      </c>
      <c r="B2240" t="n">
        <v>6</v>
      </c>
      <c r="C2240" t="inlineStr">
        <is>
          <t>Instandh. BGA</t>
        </is>
      </c>
      <c r="D2240" t="inlineStr">
        <is>
          <t>Instandh. Betriebsausstattung</t>
        </is>
      </c>
      <c r="E2240" t="n">
        <v>4648.19</v>
      </c>
      <c r="F2240" t="n">
        <v>55778.31</v>
      </c>
    </row>
    <row r="2241">
      <c r="A2241" t="n">
        <v>2028</v>
      </c>
      <c r="B2241" t="n">
        <v>6</v>
      </c>
      <c r="C2241" t="inlineStr">
        <is>
          <t>Erl. so. DL Dt.</t>
        </is>
      </c>
      <c r="D2241" t="inlineStr">
        <is>
          <t>Gesamtleistung</t>
        </is>
      </c>
      <c r="E2241" t="n">
        <v>2095866.37</v>
      </c>
      <c r="F2241" t="n">
        <v>25150396.49</v>
      </c>
    </row>
    <row r="2242">
      <c r="A2242" t="n">
        <v>2028</v>
      </c>
      <c r="B2242" t="n">
        <v>6</v>
      </c>
      <c r="C2242" t="inlineStr">
        <is>
          <t>IT-Aufwendungen</t>
        </is>
      </c>
      <c r="D2242" t="inlineStr">
        <is>
          <t>Verwaltungskosten</t>
        </is>
      </c>
      <c r="E2242" t="n">
        <v>11944.12</v>
      </c>
      <c r="F2242" t="n">
        <v>143329.39</v>
      </c>
    </row>
    <row r="2243">
      <c r="A2243" t="n">
        <v>2029</v>
      </c>
      <c r="B2243" t="n">
        <v>6</v>
      </c>
      <c r="C2243" t="inlineStr">
        <is>
          <t>Ueb. bezog.Leis</t>
        </is>
      </c>
      <c r="D2243" t="inlineStr">
        <is>
          <t>Vorleistungen</t>
        </is>
      </c>
      <c r="E2243" t="n">
        <v>1364260.58</v>
      </c>
      <c r="F2243" t="n">
        <v>16371126.93</v>
      </c>
    </row>
    <row r="2244">
      <c r="A2244" t="n">
        <v>2031</v>
      </c>
      <c r="B2244" t="n">
        <v>6</v>
      </c>
      <c r="C2244" t="inlineStr">
        <is>
          <t>Sonderz. Prämie</t>
        </is>
      </c>
      <c r="D2244" t="inlineStr">
        <is>
          <t>Personalaufwand</t>
        </is>
      </c>
      <c r="E2244" t="n">
        <v>26838.18</v>
      </c>
      <c r="F2244" t="n">
        <v>322058.2</v>
      </c>
    </row>
    <row r="2245">
      <c r="A2245" t="n">
        <v>2029</v>
      </c>
      <c r="B2245" t="n">
        <v>6</v>
      </c>
      <c r="C2245" t="inlineStr">
        <is>
          <t>Verwaltungskost</t>
        </is>
      </c>
      <c r="D2245" t="inlineStr">
        <is>
          <t>Verwaltungskosten</t>
        </is>
      </c>
      <c r="E2245" t="n">
        <v>7098.98</v>
      </c>
      <c r="F2245" t="n">
        <v>85187.74000000001</v>
      </c>
    </row>
    <row r="2246">
      <c r="A2246" t="n">
        <v>2028</v>
      </c>
      <c r="B2246" t="n">
        <v>6</v>
      </c>
      <c r="C2246" t="inlineStr">
        <is>
          <t>Ertrag KFZ-Nutz</t>
        </is>
      </c>
      <c r="D2246" t="inlineStr">
        <is>
          <t>Gesamtleistung</t>
        </is>
      </c>
      <c r="E2246" t="n">
        <v>8405.780000000001</v>
      </c>
      <c r="F2246" t="n">
        <v>100869.3</v>
      </c>
    </row>
    <row r="2247">
      <c r="A2247" t="n">
        <v>2030</v>
      </c>
      <c r="B2247" t="n">
        <v>6</v>
      </c>
      <c r="C2247" t="inlineStr">
        <is>
          <t>Sonst Fuhrparkkosten</t>
        </is>
      </c>
      <c r="D2247" t="inlineStr">
        <is>
          <t>Fuhrparkkosten</t>
        </is>
      </c>
      <c r="E2247" t="n">
        <v>5942.26</v>
      </c>
      <c r="F2247" t="n">
        <v>71307.13</v>
      </c>
    </row>
    <row r="2248">
      <c r="A2248" t="n">
        <v>2028</v>
      </c>
      <c r="B2248" t="n">
        <v>6</v>
      </c>
      <c r="C2248" t="inlineStr">
        <is>
          <t>Rechts- u. Beratungs</t>
        </is>
      </c>
      <c r="D2248" t="inlineStr">
        <is>
          <t>Verwaltungskosten</t>
        </is>
      </c>
      <c r="E2248" t="n">
        <v>26405.07</v>
      </c>
      <c r="F2248" t="n">
        <v>316860.83</v>
      </c>
    </row>
    <row r="2249">
      <c r="A2249" t="n">
        <v>2027</v>
      </c>
      <c r="B2249" t="n">
        <v>6</v>
      </c>
      <c r="C2249" t="inlineStr">
        <is>
          <t>Leasing LKW</t>
        </is>
      </c>
      <c r="D2249" t="inlineStr">
        <is>
          <t>Fuhrparkkosten</t>
        </is>
      </c>
      <c r="E2249" t="n">
        <v>2305.28</v>
      </c>
      <c r="F2249" t="n">
        <v>27663.3</v>
      </c>
    </row>
    <row r="2250">
      <c r="A2250" t="n">
        <v>2031</v>
      </c>
      <c r="B2250" t="n">
        <v>6</v>
      </c>
      <c r="C2250" t="inlineStr">
        <is>
          <t>Fremdl. Fuhrlei</t>
        </is>
      </c>
      <c r="D2250" t="inlineStr">
        <is>
          <t>Vorleistungen</t>
        </is>
      </c>
      <c r="E2250" t="n">
        <v>374.24</v>
      </c>
      <c r="F2250" t="n">
        <v>4490.84</v>
      </c>
    </row>
    <row r="2251">
      <c r="A2251" t="n">
        <v>2029</v>
      </c>
      <c r="B2251" t="n">
        <v>6</v>
      </c>
      <c r="C2251" t="inlineStr">
        <is>
          <t>Fremdl. Fuhrlei</t>
        </is>
      </c>
      <c r="D2251" t="inlineStr">
        <is>
          <t>Vorleistungen</t>
        </is>
      </c>
      <c r="E2251" t="n">
        <v>362.07</v>
      </c>
      <c r="F2251" t="n">
        <v>4344.88</v>
      </c>
    </row>
    <row r="2252">
      <c r="A2252" t="n">
        <v>2028</v>
      </c>
      <c r="B2252" t="n">
        <v>6</v>
      </c>
      <c r="C2252" t="inlineStr">
        <is>
          <t>Vertriebskosten</t>
        </is>
      </c>
      <c r="D2252" t="inlineStr">
        <is>
          <t>Vertriebskosten</t>
        </is>
      </c>
      <c r="E2252" t="n">
        <v>11375</v>
      </c>
      <c r="F2252" t="n">
        <v>136500</v>
      </c>
    </row>
    <row r="2253">
      <c r="A2253" t="n">
        <v>2031</v>
      </c>
      <c r="B2253" t="n">
        <v>6</v>
      </c>
      <c r="C2253" t="inlineStr">
        <is>
          <t>Aufw. so. Hilfs</t>
        </is>
      </c>
      <c r="D2253" t="inlineStr">
        <is>
          <t>Vorleistungen</t>
        </is>
      </c>
      <c r="E2253" t="n">
        <v>-17544.22</v>
      </c>
      <c r="F2253" t="n">
        <v>-210530.6</v>
      </c>
    </row>
    <row r="2254">
      <c r="A2254" t="n">
        <v>2029</v>
      </c>
      <c r="B2254" t="n">
        <v>6</v>
      </c>
      <c r="C2254" t="inlineStr">
        <is>
          <t>Ankauf Rohstoff</t>
        </is>
      </c>
      <c r="D2254" t="inlineStr">
        <is>
          <t>Vorleistungen</t>
        </is>
      </c>
      <c r="E2254" t="n">
        <v>1473.64</v>
      </c>
      <c r="F2254" t="n">
        <v>17683.65</v>
      </c>
    </row>
    <row r="2255">
      <c r="A2255" t="n">
        <v>2028</v>
      </c>
      <c r="B2255" t="n">
        <v>6</v>
      </c>
      <c r="C2255" t="inlineStr">
        <is>
          <t>Sonstige Steuer</t>
        </is>
      </c>
      <c r="D2255" t="inlineStr">
        <is>
          <t>Fuhrparkkosten</t>
        </is>
      </c>
      <c r="E2255" t="n">
        <v>1587.15</v>
      </c>
      <c r="F2255" t="n">
        <v>19045.76</v>
      </c>
    </row>
    <row r="2256">
      <c r="A2256" t="n">
        <v>2030</v>
      </c>
      <c r="B2256" t="n">
        <v>6</v>
      </c>
      <c r="C2256" t="inlineStr">
        <is>
          <t>Weiterber. Frem</t>
        </is>
      </c>
      <c r="D2256" t="inlineStr">
        <is>
          <t>Vorleistungen</t>
        </is>
      </c>
      <c r="E2256" t="n">
        <v>0</v>
      </c>
      <c r="F2256" t="n">
        <v>0</v>
      </c>
    </row>
    <row r="2257">
      <c r="A2257" t="n">
        <v>2031</v>
      </c>
      <c r="B2257" t="n">
        <v>6</v>
      </c>
      <c r="C2257" t="inlineStr">
        <is>
          <t>Miete Behälter</t>
        </is>
      </c>
      <c r="D2257" t="inlineStr">
        <is>
          <t>Instandh. Betriebsausstattung</t>
        </is>
      </c>
      <c r="E2257" t="n">
        <v>27.88</v>
      </c>
      <c r="F2257" t="n">
        <v>334.55</v>
      </c>
    </row>
    <row r="2258">
      <c r="A2258" t="n">
        <v>2027</v>
      </c>
      <c r="B2258" t="n">
        <v>6</v>
      </c>
      <c r="C2258" t="inlineStr">
        <is>
          <t>Miete Grdst/Gebäud</t>
        </is>
      </c>
      <c r="D2258" t="inlineStr">
        <is>
          <t>Raumkosten</t>
        </is>
      </c>
      <c r="E2258" t="n">
        <v>15284.77</v>
      </c>
      <c r="F2258" t="n">
        <v>183417.26</v>
      </c>
    </row>
    <row r="2259">
      <c r="A2259" t="n">
        <v>2028</v>
      </c>
      <c r="B2259" t="n">
        <v>6</v>
      </c>
      <c r="C2259" t="inlineStr">
        <is>
          <t>Aufw. f. Alters</t>
        </is>
      </c>
      <c r="D2259" t="inlineStr">
        <is>
          <t>Personalaufwand</t>
        </is>
      </c>
      <c r="E2259" t="n">
        <v>1290.05</v>
      </c>
      <c r="F2259" t="n">
        <v>15480.56</v>
      </c>
    </row>
    <row r="2260">
      <c r="A2260" t="n">
        <v>2028</v>
      </c>
      <c r="B2260" t="n">
        <v>6</v>
      </c>
      <c r="C2260" t="inlineStr">
        <is>
          <t>Fremdl. Persona</t>
        </is>
      </c>
      <c r="D2260" t="inlineStr">
        <is>
          <t>Vorleistungen</t>
        </is>
      </c>
      <c r="E2260" t="n">
        <v>69.04000000000001</v>
      </c>
      <c r="F2260" t="n">
        <v>828.42</v>
      </c>
    </row>
    <row r="2261">
      <c r="A2261" t="n">
        <v>2030</v>
      </c>
      <c r="B2261" t="n">
        <v>6</v>
      </c>
      <c r="C2261" t="inlineStr">
        <is>
          <t>Vertriebskosten</t>
        </is>
      </c>
      <c r="D2261" t="inlineStr">
        <is>
          <t>Vertriebskosten</t>
        </is>
      </c>
      <c r="E2261" t="n">
        <v>12540.94</v>
      </c>
      <c r="F2261" t="n">
        <v>150491.26</v>
      </c>
    </row>
    <row r="2262">
      <c r="A2262" t="n">
        <v>2030</v>
      </c>
      <c r="B2262" t="n">
        <v>6</v>
      </c>
      <c r="C2262" t="inlineStr">
        <is>
          <t>Aufw. so. Hilfs</t>
        </is>
      </c>
      <c r="D2262" t="inlineStr">
        <is>
          <t>Vorleistungen</t>
        </is>
      </c>
      <c r="E2262" t="n">
        <v>-17197.35</v>
      </c>
      <c r="F2262" t="n">
        <v>-206368.2</v>
      </c>
    </row>
    <row r="2263">
      <c r="A2263" t="n">
        <v>2029</v>
      </c>
      <c r="B2263" t="n">
        <v>6</v>
      </c>
      <c r="C2263" t="inlineStr">
        <is>
          <t>Aufw. so. Hilfs</t>
        </is>
      </c>
      <c r="D2263" t="inlineStr">
        <is>
          <t>Vorleistungen</t>
        </is>
      </c>
      <c r="E2263" t="n">
        <v>-16834.66</v>
      </c>
      <c r="F2263" t="n">
        <v>-202015.88</v>
      </c>
    </row>
    <row r="2264">
      <c r="A2264" t="n">
        <v>2027</v>
      </c>
      <c r="B2264" t="n">
        <v>6</v>
      </c>
      <c r="C2264" t="inlineStr">
        <is>
          <t>Miete PKW</t>
        </is>
      </c>
      <c r="D2264" t="inlineStr">
        <is>
          <t>Fuhrparkkosten</t>
        </is>
      </c>
      <c r="E2264" t="n">
        <v>4613.79</v>
      </c>
      <c r="F2264" t="n">
        <v>55365.51</v>
      </c>
    </row>
    <row r="2265">
      <c r="A2265" t="n">
        <v>2030</v>
      </c>
      <c r="B2265" t="n">
        <v>6</v>
      </c>
      <c r="C2265" t="inlineStr">
        <is>
          <t>Fremdl. Fuhrlei</t>
        </is>
      </c>
      <c r="D2265" t="inlineStr">
        <is>
          <t>Vorleistungen</t>
        </is>
      </c>
      <c r="E2265" t="n">
        <v>368.3</v>
      </c>
      <c r="F2265" t="n">
        <v>4419.56</v>
      </c>
    </row>
    <row r="2266">
      <c r="A2266" t="n">
        <v>2030</v>
      </c>
      <c r="B2266" t="n">
        <v>6</v>
      </c>
      <c r="C2266" t="inlineStr">
        <is>
          <t>Miete PKW</t>
        </is>
      </c>
      <c r="D2266" t="inlineStr">
        <is>
          <t>Fuhrparkkosten</t>
        </is>
      </c>
      <c r="E2266" t="n">
        <v>5495.1</v>
      </c>
      <c r="F2266" t="n">
        <v>65941.19</v>
      </c>
    </row>
    <row r="2267">
      <c r="A2267" t="n">
        <v>2027</v>
      </c>
      <c r="B2267" t="n">
        <v>6</v>
      </c>
      <c r="C2267" t="inlineStr">
        <is>
          <t>Erl. Waren Dt.</t>
        </is>
      </c>
      <c r="D2267" t="inlineStr">
        <is>
          <t>Gesamtleistung</t>
        </is>
      </c>
      <c r="E2267" t="n">
        <v>42246.46</v>
      </c>
      <c r="F2267" t="n">
        <v>506957.51</v>
      </c>
    </row>
    <row r="2268">
      <c r="A2268" t="n">
        <v>2029</v>
      </c>
      <c r="B2268" t="n">
        <v>6</v>
      </c>
      <c r="C2268" t="inlineStr">
        <is>
          <t>Bestandsveraend</t>
        </is>
      </c>
      <c r="D2268" t="inlineStr">
        <is>
          <t>Gesamtleistung</t>
        </is>
      </c>
      <c r="E2268" t="n">
        <v>0</v>
      </c>
      <c r="F2268" t="n">
        <v>0</v>
      </c>
    </row>
    <row r="2269">
      <c r="A2269" t="n">
        <v>2031</v>
      </c>
      <c r="B2269" t="n">
        <v>6</v>
      </c>
      <c r="C2269" t="inlineStr">
        <is>
          <t>Leasing PKW</t>
        </is>
      </c>
      <c r="D2269" t="inlineStr">
        <is>
          <t>Fuhrparkkosten</t>
        </is>
      </c>
      <c r="E2269" t="n">
        <v>27699.28</v>
      </c>
      <c r="F2269" t="n">
        <v>332391.4</v>
      </c>
    </row>
    <row r="2270">
      <c r="A2270" t="n">
        <v>2029</v>
      </c>
      <c r="B2270" t="n">
        <v>6</v>
      </c>
      <c r="C2270" t="inlineStr">
        <is>
          <t>Behaelterkosten</t>
        </is>
      </c>
      <c r="D2270" t="inlineStr">
        <is>
          <t>Instandh. Betriebsausstattung</t>
        </is>
      </c>
      <c r="E2270" t="n">
        <v>12.15</v>
      </c>
      <c r="F2270" t="n">
        <v>145.74</v>
      </c>
    </row>
    <row r="2271">
      <c r="A2271" t="n">
        <v>2029</v>
      </c>
      <c r="B2271" t="n">
        <v>6</v>
      </c>
      <c r="C2271" t="inlineStr">
        <is>
          <t>Aufwand Umlage</t>
        </is>
      </c>
      <c r="D2271" t="inlineStr">
        <is>
          <t>Verwaltungskosten</t>
        </is>
      </c>
      <c r="E2271" t="n">
        <v>3589.28</v>
      </c>
      <c r="F2271" t="n">
        <v>43071.39</v>
      </c>
    </row>
    <row r="2272">
      <c r="A2272" t="n">
        <v>2030</v>
      </c>
      <c r="B2272" t="n">
        <v>6</v>
      </c>
      <c r="C2272" t="inlineStr">
        <is>
          <t>Instandh.Fuhrp</t>
        </is>
      </c>
      <c r="D2272" t="inlineStr">
        <is>
          <t>Fuhrparkkosten</t>
        </is>
      </c>
      <c r="E2272" t="n">
        <v>36157.89</v>
      </c>
      <c r="F2272" t="n">
        <v>433894.62</v>
      </c>
    </row>
    <row r="2273">
      <c r="A2273" t="n">
        <v>2028</v>
      </c>
      <c r="B2273" t="n">
        <v>6</v>
      </c>
      <c r="C2273" t="inlineStr">
        <is>
          <t>Sonderz. Prämie</t>
        </is>
      </c>
      <c r="D2273" t="inlineStr">
        <is>
          <t>Personalaufwand</t>
        </is>
      </c>
      <c r="E2273" t="n">
        <v>21386.26</v>
      </c>
      <c r="F2273" t="n">
        <v>256635.15</v>
      </c>
    </row>
    <row r="2274">
      <c r="A2274" t="n">
        <v>2029</v>
      </c>
      <c r="B2274" t="n">
        <v>6</v>
      </c>
      <c r="C2274" t="inlineStr">
        <is>
          <t>Aufw. f. Alters</t>
        </is>
      </c>
      <c r="D2274" t="inlineStr">
        <is>
          <t>Personalaufwand</t>
        </is>
      </c>
      <c r="E2274" t="n">
        <v>1366.43</v>
      </c>
      <c r="F2274" t="n">
        <v>16397.15</v>
      </c>
    </row>
    <row r="2275">
      <c r="A2275" t="n">
        <v>2027</v>
      </c>
      <c r="B2275" t="n">
        <v>6</v>
      </c>
      <c r="C2275" t="inlineStr">
        <is>
          <t>Ertr. weiterber</t>
        </is>
      </c>
      <c r="D2275" t="inlineStr">
        <is>
          <t>Gesamtleistung</t>
        </is>
      </c>
      <c r="E2275" t="n">
        <v>919.41</v>
      </c>
      <c r="F2275" t="n">
        <v>11032.96</v>
      </c>
    </row>
    <row r="2276">
      <c r="A2276" t="n">
        <v>2029</v>
      </c>
      <c r="B2276" t="n">
        <v>6</v>
      </c>
      <c r="C2276" t="inlineStr">
        <is>
          <t>So. betr. Aufwa</t>
        </is>
      </c>
      <c r="D2276" t="inlineStr">
        <is>
          <t>Verwaltungskosten</t>
        </is>
      </c>
      <c r="E2276" t="n">
        <v>693.25</v>
      </c>
      <c r="F2276" t="n">
        <v>8319.02</v>
      </c>
    </row>
    <row r="2277">
      <c r="A2277" t="n">
        <v>2031</v>
      </c>
      <c r="B2277" t="n">
        <v>6</v>
      </c>
      <c r="C2277" t="inlineStr">
        <is>
          <t>Ertr. weiterber</t>
        </is>
      </c>
      <c r="D2277" t="inlineStr">
        <is>
          <t>Gesamtleistung</t>
        </is>
      </c>
      <c r="E2277" t="n">
        <v>1173.93</v>
      </c>
      <c r="F2277" t="n">
        <v>14087.11</v>
      </c>
    </row>
    <row r="2278">
      <c r="A2278" t="n">
        <v>2031</v>
      </c>
      <c r="B2278" t="n">
        <v>6</v>
      </c>
      <c r="C2278" t="inlineStr">
        <is>
          <t>Ueb. bezog.Leis</t>
        </is>
      </c>
      <c r="D2278" t="inlineStr">
        <is>
          <t>Vorleistungen</t>
        </is>
      </c>
      <c r="E2278" t="n">
        <v>1404446.73</v>
      </c>
      <c r="F2278" t="n">
        <v>16853360.74</v>
      </c>
    </row>
    <row r="2279">
      <c r="A2279" t="n">
        <v>2027</v>
      </c>
      <c r="B2279" t="n">
        <v>6</v>
      </c>
      <c r="C2279" t="inlineStr">
        <is>
          <t>Fremdl. Fuhrlei</t>
        </is>
      </c>
      <c r="D2279" t="inlineStr">
        <is>
          <t>Vorleistungen</t>
        </is>
      </c>
      <c r="E2279" t="n">
        <v>371.09</v>
      </c>
      <c r="F2279" t="n">
        <v>4453.13</v>
      </c>
    </row>
    <row r="2280">
      <c r="A2280" t="n">
        <v>2027</v>
      </c>
      <c r="B2280" t="n">
        <v>6</v>
      </c>
      <c r="C2280" t="inlineStr">
        <is>
          <t>Behaelterkosten</t>
        </is>
      </c>
      <c r="D2280" t="inlineStr">
        <is>
          <t>Instandh. Betriebsausstattung</t>
        </is>
      </c>
      <c r="E2280" t="n">
        <v>11.02</v>
      </c>
      <c r="F2280" t="n">
        <v>132.19</v>
      </c>
    </row>
    <row r="2281">
      <c r="A2281" t="n">
        <v>2027</v>
      </c>
      <c r="B2281" t="n">
        <v>6</v>
      </c>
      <c r="C2281" t="inlineStr">
        <is>
          <t>Ueb Lohn-Gehalt</t>
        </is>
      </c>
      <c r="D2281" t="inlineStr">
        <is>
          <t>Personalaufwand</t>
        </is>
      </c>
      <c r="E2281" t="n">
        <v>30579.25</v>
      </c>
      <c r="F2281" t="n">
        <v>366951</v>
      </c>
    </row>
    <row r="2282">
      <c r="A2282" t="n">
        <v>2028</v>
      </c>
      <c r="B2282" t="n">
        <v>6</v>
      </c>
      <c r="C2282" t="inlineStr">
        <is>
          <t>Raumkosten</t>
        </is>
      </c>
      <c r="D2282" t="inlineStr">
        <is>
          <t>Raumkosten</t>
        </is>
      </c>
      <c r="E2282" t="n">
        <v>7023.98</v>
      </c>
      <c r="F2282" t="n">
        <v>84287.78</v>
      </c>
    </row>
    <row r="2283">
      <c r="A2283" t="n">
        <v>2031</v>
      </c>
      <c r="B2283" t="n">
        <v>6</v>
      </c>
      <c r="C2283" t="inlineStr">
        <is>
          <t>Bestandsveraend</t>
        </is>
      </c>
      <c r="D2283" t="inlineStr">
        <is>
          <t>Gesamtleistung</t>
        </is>
      </c>
      <c r="E2283" t="n">
        <v>0</v>
      </c>
      <c r="F2283" t="n">
        <v>0</v>
      </c>
    </row>
    <row r="2284">
      <c r="A2284" t="n">
        <v>2029</v>
      </c>
      <c r="B2284" t="n">
        <v>6</v>
      </c>
      <c r="C2284" t="inlineStr">
        <is>
          <t>Lohn + Gehalt</t>
        </is>
      </c>
      <c r="D2284" t="inlineStr">
        <is>
          <t>Personalaufwand</t>
        </is>
      </c>
      <c r="E2284" t="n">
        <v>356250.11</v>
      </c>
      <c r="F2284" t="n">
        <v>4275001.35</v>
      </c>
    </row>
    <row r="2285">
      <c r="A2285" t="n">
        <v>2029</v>
      </c>
      <c r="B2285" t="n">
        <v>6</v>
      </c>
      <c r="C2285" t="inlineStr">
        <is>
          <t>Aufw. Heizmat.</t>
        </is>
      </c>
      <c r="D2285" t="inlineStr">
        <is>
          <t>Vorleistungen</t>
        </is>
      </c>
      <c r="E2285" t="n">
        <v>245.07</v>
      </c>
      <c r="F2285" t="n">
        <v>2940.88</v>
      </c>
    </row>
    <row r="2286">
      <c r="A2286" t="n">
        <v>2031</v>
      </c>
      <c r="B2286" t="n">
        <v>6</v>
      </c>
      <c r="C2286" t="inlineStr">
        <is>
          <t>Verwaltungskost</t>
        </is>
      </c>
      <c r="D2286" t="inlineStr">
        <is>
          <t>Verwaltungskosten</t>
        </is>
      </c>
      <c r="E2286" t="n">
        <v>7531.31</v>
      </c>
      <c r="F2286" t="n">
        <v>90375.69</v>
      </c>
    </row>
    <row r="2287">
      <c r="A2287" t="n">
        <v>2028</v>
      </c>
      <c r="B2287" t="n">
        <v>6</v>
      </c>
      <c r="C2287" t="inlineStr">
        <is>
          <t>Erl. Waren Dt.</t>
        </is>
      </c>
      <c r="D2287" t="inlineStr">
        <is>
          <t>Gesamtleistung</t>
        </is>
      </c>
      <c r="E2287" t="n">
        <v>44950.49</v>
      </c>
      <c r="F2287" t="n">
        <v>539405.87</v>
      </c>
    </row>
    <row r="2288">
      <c r="A2288" t="n">
        <v>2030</v>
      </c>
      <c r="B2288" t="n">
        <v>6</v>
      </c>
      <c r="C2288" t="inlineStr">
        <is>
          <t>Uebr.neutr. Ert</t>
        </is>
      </c>
      <c r="D2288" t="inlineStr">
        <is>
          <t>Gesamtleistung</t>
        </is>
      </c>
      <c r="E2288" t="n">
        <v>207.38</v>
      </c>
      <c r="F2288" t="n">
        <v>2488.5</v>
      </c>
    </row>
    <row r="2289">
      <c r="A2289" t="n">
        <v>2030</v>
      </c>
      <c r="B2289" t="n">
        <v>6</v>
      </c>
      <c r="C2289" t="inlineStr">
        <is>
          <t>Raumkosten</t>
        </is>
      </c>
      <c r="D2289" t="inlineStr">
        <is>
          <t>Raumkosten</t>
        </is>
      </c>
      <c r="E2289" t="n">
        <v>7307.75</v>
      </c>
      <c r="F2289" t="n">
        <v>87693</v>
      </c>
    </row>
    <row r="2290">
      <c r="A2290" t="n">
        <v>2030</v>
      </c>
      <c r="B2290" t="n">
        <v>6</v>
      </c>
      <c r="C2290" t="inlineStr">
        <is>
          <t>Fremdl. Persona</t>
        </is>
      </c>
      <c r="D2290" t="inlineStr">
        <is>
          <t>Vorleistungen</t>
        </is>
      </c>
      <c r="E2290" t="n">
        <v>76.56999999999999</v>
      </c>
      <c r="F2290" t="n">
        <v>918.79</v>
      </c>
    </row>
    <row r="2291">
      <c r="A2291" t="n">
        <v>2027</v>
      </c>
      <c r="B2291" t="n">
        <v>6</v>
      </c>
      <c r="C2291" t="inlineStr">
        <is>
          <t>Leasing PKW</t>
        </is>
      </c>
      <c r="D2291" t="inlineStr">
        <is>
          <t>Fuhrparkkosten</t>
        </is>
      </c>
      <c r="E2291" t="n">
        <v>21940.43</v>
      </c>
      <c r="F2291" t="n">
        <v>263285.11</v>
      </c>
    </row>
    <row r="2292">
      <c r="A2292" t="n">
        <v>2030</v>
      </c>
      <c r="B2292" t="n">
        <v>6</v>
      </c>
      <c r="C2292" t="inlineStr">
        <is>
          <t>Ertrag KFZ-Nutz</t>
        </is>
      </c>
      <c r="D2292" t="inlineStr">
        <is>
          <t>Gesamtleistung</t>
        </is>
      </c>
      <c r="E2292" t="n">
        <v>9193.41</v>
      </c>
      <c r="F2292" t="n">
        <v>110320.94</v>
      </c>
    </row>
    <row r="2293">
      <c r="A2293" t="n">
        <v>2028</v>
      </c>
      <c r="B2293" t="n">
        <v>6</v>
      </c>
      <c r="C2293" t="inlineStr">
        <is>
          <t>Uebr.neutr. Ert</t>
        </is>
      </c>
      <c r="D2293" t="inlineStr">
        <is>
          <t>Gesamtleistung</t>
        </is>
      </c>
      <c r="E2293" t="n">
        <v>151.92</v>
      </c>
      <c r="F2293" t="n">
        <v>1823.08</v>
      </c>
    </row>
    <row r="2294">
      <c r="A2294" t="n">
        <v>2030</v>
      </c>
      <c r="B2294" t="n">
        <v>6</v>
      </c>
      <c r="C2294" t="inlineStr">
        <is>
          <t>Soziale Abgaben</t>
        </is>
      </c>
      <c r="D2294" t="inlineStr">
        <is>
          <t>Personalaufwand</t>
        </is>
      </c>
      <c r="E2294" t="n">
        <v>104141.87</v>
      </c>
      <c r="F2294" t="n">
        <v>1249702.47</v>
      </c>
    </row>
    <row r="2295">
      <c r="A2295" t="n">
        <v>2030</v>
      </c>
      <c r="B2295" t="n">
        <v>6</v>
      </c>
      <c r="C2295" t="inlineStr">
        <is>
          <t>Ankauf Rohstoff</t>
        </is>
      </c>
      <c r="D2295" t="inlineStr">
        <is>
          <t>Vorleistungen</t>
        </is>
      </c>
      <c r="E2295" t="n">
        <v>1483.55</v>
      </c>
      <c r="F2295" t="n">
        <v>17802.65</v>
      </c>
    </row>
    <row r="2296">
      <c r="A2296" t="n">
        <v>2031</v>
      </c>
      <c r="B2296" t="n">
        <v>6</v>
      </c>
      <c r="C2296" t="inlineStr">
        <is>
          <t>Aufw. Heizmat.</t>
        </is>
      </c>
      <c r="D2296" t="inlineStr">
        <is>
          <t>Vorleistungen</t>
        </is>
      </c>
      <c r="E2296" t="n">
        <v>216.16</v>
      </c>
      <c r="F2296" t="n">
        <v>2593.97</v>
      </c>
    </row>
    <row r="2297">
      <c r="A2297" t="n">
        <v>2030</v>
      </c>
      <c r="B2297" t="n">
        <v>6</v>
      </c>
      <c r="C2297" t="inlineStr">
        <is>
          <t>IT-Aufwendungen</t>
        </is>
      </c>
      <c r="D2297" t="inlineStr">
        <is>
          <t>Verwaltungskosten</t>
        </is>
      </c>
      <c r="E2297" t="n">
        <v>12671.51</v>
      </c>
      <c r="F2297" t="n">
        <v>152058.16</v>
      </c>
    </row>
    <row r="2298">
      <c r="A2298" t="n">
        <v>2027</v>
      </c>
      <c r="B2298" t="n">
        <v>6</v>
      </c>
      <c r="C2298" t="inlineStr">
        <is>
          <t>Treibstoffe, Oe</t>
        </is>
      </c>
      <c r="D2298" t="inlineStr">
        <is>
          <t>Fuhrparkkosten</t>
        </is>
      </c>
      <c r="E2298" t="n">
        <v>28695.87</v>
      </c>
      <c r="F2298" t="n">
        <v>344350.48</v>
      </c>
    </row>
    <row r="2299">
      <c r="A2299" t="n">
        <v>2028</v>
      </c>
      <c r="B2299" t="n">
        <v>6</v>
      </c>
      <c r="C2299" t="inlineStr">
        <is>
          <t>Aufw. Heizmat.</t>
        </is>
      </c>
      <c r="D2299" t="inlineStr">
        <is>
          <t>Vorleistungen</t>
        </is>
      </c>
      <c r="E2299" t="n">
        <v>260.43</v>
      </c>
      <c r="F2299" t="n">
        <v>3125.13</v>
      </c>
    </row>
    <row r="2300">
      <c r="A2300" t="n">
        <v>2031</v>
      </c>
      <c r="B2300" t="n">
        <v>6</v>
      </c>
      <c r="C2300" t="inlineStr">
        <is>
          <t>Ertrag KFZ-Nutz</t>
        </is>
      </c>
      <c r="D2300" t="inlineStr">
        <is>
          <t>Gesamtleistung</t>
        </is>
      </c>
      <c r="E2300" t="n">
        <v>9597.290000000001</v>
      </c>
      <c r="F2300" t="n">
        <v>115167.5</v>
      </c>
    </row>
    <row r="2301">
      <c r="A2301" t="n">
        <v>2027</v>
      </c>
      <c r="B2301" t="n">
        <v>6</v>
      </c>
      <c r="C2301" t="inlineStr">
        <is>
          <t>Raumkosten</t>
        </is>
      </c>
      <c r="D2301" t="inlineStr">
        <is>
          <t>Raumkosten</t>
        </is>
      </c>
      <c r="E2301" t="n">
        <v>5046.85</v>
      </c>
      <c r="F2301" t="n">
        <v>60562.14</v>
      </c>
    </row>
    <row r="2302">
      <c r="A2302" t="n">
        <v>2028</v>
      </c>
      <c r="B2302" t="n">
        <v>6</v>
      </c>
      <c r="C2302" t="inlineStr">
        <is>
          <t>Soziale Abgaben</t>
        </is>
      </c>
      <c r="D2302" t="inlineStr">
        <is>
          <t>Personalaufwand</t>
        </is>
      </c>
      <c r="E2302" t="n">
        <v>85007.57000000001</v>
      </c>
      <c r="F2302" t="n">
        <v>1020090.84</v>
      </c>
    </row>
    <row r="2303">
      <c r="A2303" t="n">
        <v>2029</v>
      </c>
      <c r="B2303" t="n">
        <v>6</v>
      </c>
      <c r="C2303" t="inlineStr">
        <is>
          <t>Miete Grdst/Gebäud</t>
        </is>
      </c>
      <c r="D2303" t="inlineStr">
        <is>
          <t>Raumkosten</t>
        </is>
      </c>
      <c r="E2303" t="n">
        <v>18238.55</v>
      </c>
      <c r="F2303" t="n">
        <v>218862.64</v>
      </c>
    </row>
    <row r="2304">
      <c r="A2304" t="n">
        <v>2031</v>
      </c>
      <c r="B2304" t="n">
        <v>6</v>
      </c>
      <c r="C2304" t="inlineStr">
        <is>
          <t>Raumkosten</t>
        </is>
      </c>
      <c r="D2304" t="inlineStr">
        <is>
          <t>Raumkosten</t>
        </is>
      </c>
      <c r="E2304" t="n">
        <v>7453.91</v>
      </c>
      <c r="F2304" t="n">
        <v>89446.89</v>
      </c>
    </row>
    <row r="2305">
      <c r="A2305" t="n">
        <v>2031</v>
      </c>
      <c r="B2305" t="n">
        <v>6</v>
      </c>
      <c r="C2305" t="inlineStr">
        <is>
          <t>Behaelterkosten</t>
        </is>
      </c>
      <c r="D2305" t="inlineStr">
        <is>
          <t>Instandh. Betriebsausstattung</t>
        </is>
      </c>
      <c r="E2305" t="n">
        <v>13.39</v>
      </c>
      <c r="F2305" t="n">
        <v>160.68</v>
      </c>
    </row>
    <row r="2306">
      <c r="A2306" t="n">
        <v>2031</v>
      </c>
      <c r="B2306" t="n">
        <v>6</v>
      </c>
      <c r="C2306" t="inlineStr">
        <is>
          <t>Instandh.Fuhrp</t>
        </is>
      </c>
      <c r="D2306" t="inlineStr">
        <is>
          <t>Fuhrparkkosten</t>
        </is>
      </c>
      <c r="E2306" t="n">
        <v>38327.36</v>
      </c>
      <c r="F2306" t="n">
        <v>459928.28</v>
      </c>
    </row>
    <row r="2307">
      <c r="A2307" t="n">
        <v>2030</v>
      </c>
      <c r="B2307" t="n">
        <v>6</v>
      </c>
      <c r="C2307" t="inlineStr">
        <is>
          <t>Ueb. bezog.Leis</t>
        </is>
      </c>
      <c r="D2307" t="inlineStr">
        <is>
          <t>Vorleistungen</t>
        </is>
      </c>
      <c r="E2307" t="n">
        <v>1385029.28</v>
      </c>
      <c r="F2307" t="n">
        <v>16620351.38</v>
      </c>
    </row>
    <row r="2308">
      <c r="A2308" t="n">
        <v>2027</v>
      </c>
      <c r="B2308" t="n">
        <v>6</v>
      </c>
      <c r="C2308" t="inlineStr">
        <is>
          <t>Miete LKW,Schiffe</t>
        </is>
      </c>
      <c r="D2308" t="inlineStr">
        <is>
          <t>Fuhrparkkosten</t>
        </is>
      </c>
      <c r="E2308" t="n">
        <v>36751.61</v>
      </c>
      <c r="F2308" t="n">
        <v>441019.28</v>
      </c>
    </row>
    <row r="2309">
      <c r="A2309" t="n">
        <v>2030</v>
      </c>
      <c r="B2309" t="n">
        <v>6</v>
      </c>
      <c r="C2309" t="inlineStr">
        <is>
          <t>Leasing LKW</t>
        </is>
      </c>
      <c r="D2309" t="inlineStr">
        <is>
          <t>Fuhrparkkosten</t>
        </is>
      </c>
      <c r="E2309" t="n">
        <v>2745.62</v>
      </c>
      <c r="F2309" t="n">
        <v>32947.44</v>
      </c>
    </row>
    <row r="2310">
      <c r="A2310" t="n">
        <v>2031</v>
      </c>
      <c r="B2310" t="n">
        <v>6</v>
      </c>
      <c r="C2310" t="inlineStr">
        <is>
          <t>Vertriebskosten</t>
        </is>
      </c>
      <c r="D2310" t="inlineStr">
        <is>
          <t>Vertriebskosten</t>
        </is>
      </c>
      <c r="E2310" t="n">
        <v>13167.99</v>
      </c>
      <c r="F2310" t="n">
        <v>158015.82</v>
      </c>
    </row>
    <row r="2311">
      <c r="A2311" t="n">
        <v>2028</v>
      </c>
      <c r="B2311" t="n">
        <v>6</v>
      </c>
      <c r="C2311" t="inlineStr">
        <is>
          <t>Behaelterkosten</t>
        </is>
      </c>
      <c r="D2311" t="inlineStr">
        <is>
          <t>Instandh. Betriebsausstattung</t>
        </is>
      </c>
      <c r="E2311" t="n">
        <v>11.57</v>
      </c>
      <c r="F2311" t="n">
        <v>138.8</v>
      </c>
    </row>
    <row r="2312">
      <c r="A2312" t="n">
        <v>2030</v>
      </c>
      <c r="B2312" t="n">
        <v>6</v>
      </c>
      <c r="C2312" t="inlineStr">
        <is>
          <t>Verwaltungskost</t>
        </is>
      </c>
      <c r="D2312" t="inlineStr">
        <is>
          <t>Verwaltungskosten</t>
        </is>
      </c>
      <c r="E2312" t="n">
        <v>7311.95</v>
      </c>
      <c r="F2312" t="n">
        <v>87743.38</v>
      </c>
    </row>
    <row r="2313">
      <c r="A2313" t="n">
        <v>2030</v>
      </c>
      <c r="B2313" t="n">
        <v>6</v>
      </c>
      <c r="C2313" t="inlineStr">
        <is>
          <t>Rechts- u. Beratungs</t>
        </is>
      </c>
      <c r="D2313" t="inlineStr">
        <is>
          <t>Verwaltungskosten</t>
        </is>
      </c>
      <c r="E2313" t="n">
        <v>28013.14</v>
      </c>
      <c r="F2313" t="n">
        <v>336157.66</v>
      </c>
    </row>
    <row r="2314">
      <c r="A2314" t="n">
        <v>2028</v>
      </c>
      <c r="B2314" t="n">
        <v>6</v>
      </c>
      <c r="C2314" t="inlineStr">
        <is>
          <t>Sonst Fuhrparkkosten</t>
        </is>
      </c>
      <c r="D2314" t="inlineStr">
        <is>
          <t>Fuhrparkkosten</t>
        </is>
      </c>
      <c r="E2314" t="n">
        <v>5288.59</v>
      </c>
      <c r="F2314" t="n">
        <v>63463.1</v>
      </c>
    </row>
    <row r="2315">
      <c r="A2315" t="n">
        <v>2029</v>
      </c>
      <c r="B2315" t="n">
        <v>6</v>
      </c>
      <c r="C2315" t="inlineStr">
        <is>
          <t>Erl. so. DL Dt.</t>
        </is>
      </c>
      <c r="D2315" t="inlineStr">
        <is>
          <t>Gesamtleistung</t>
        </is>
      </c>
      <c r="E2315" t="n">
        <v>2200755.15</v>
      </c>
      <c r="F2315" t="n">
        <v>26409061.76</v>
      </c>
    </row>
    <row r="2316">
      <c r="A2316" t="n">
        <v>2031</v>
      </c>
      <c r="B2316" t="n">
        <v>6</v>
      </c>
      <c r="C2316" t="inlineStr">
        <is>
          <t>Uebr.neutr. Ert</t>
        </is>
      </c>
      <c r="D2316" t="inlineStr">
        <is>
          <t>Gesamtleistung</t>
        </is>
      </c>
      <c r="E2316" t="n">
        <v>227.28</v>
      </c>
      <c r="F2316" t="n">
        <v>2727.33</v>
      </c>
    </row>
    <row r="2317">
      <c r="A2317" t="n">
        <v>2030</v>
      </c>
      <c r="B2317" t="n">
        <v>6</v>
      </c>
      <c r="C2317" t="inlineStr">
        <is>
          <t>Erl. Waren Dt.</t>
        </is>
      </c>
      <c r="D2317" t="inlineStr">
        <is>
          <t>Gesamtleistung</t>
        </is>
      </c>
      <c r="E2317" t="n">
        <v>49038.99</v>
      </c>
      <c r="F2317" t="n">
        <v>588467.85</v>
      </c>
    </row>
    <row r="2318">
      <c r="A2318" t="n">
        <v>2028</v>
      </c>
      <c r="B2318" t="n">
        <v>6</v>
      </c>
      <c r="C2318" t="inlineStr">
        <is>
          <t>Weiterber. Frem</t>
        </is>
      </c>
      <c r="D2318" t="inlineStr">
        <is>
          <t>Vorleistungen</t>
        </is>
      </c>
      <c r="E2318" t="n">
        <v>0</v>
      </c>
      <c r="F2318" t="n">
        <v>0</v>
      </c>
    </row>
    <row r="2319">
      <c r="A2319" t="n">
        <v>2027</v>
      </c>
      <c r="B2319" t="n">
        <v>6</v>
      </c>
      <c r="C2319" t="inlineStr">
        <is>
          <t>IT-Aufwendungen</t>
        </is>
      </c>
      <c r="D2319" t="inlineStr">
        <is>
          <t>Verwaltungskosten</t>
        </is>
      </c>
      <c r="E2319" t="n">
        <v>11596.23</v>
      </c>
      <c r="F2319" t="n">
        <v>139154.76</v>
      </c>
    </row>
    <row r="2320">
      <c r="A2320" t="n">
        <v>2028</v>
      </c>
      <c r="B2320" t="n">
        <v>6</v>
      </c>
      <c r="C2320" t="inlineStr">
        <is>
          <t>Leasing LKW</t>
        </is>
      </c>
      <c r="D2320" t="inlineStr">
        <is>
          <t>Fuhrparkkosten</t>
        </is>
      </c>
      <c r="E2320" t="n">
        <v>2443.59</v>
      </c>
      <c r="F2320" t="n">
        <v>29323.11</v>
      </c>
    </row>
    <row r="2321">
      <c r="A2321" t="n">
        <v>2031</v>
      </c>
      <c r="B2321" t="n">
        <v>6</v>
      </c>
      <c r="C2321" t="inlineStr">
        <is>
          <t>Weiterber. Frem</t>
        </is>
      </c>
      <c r="D2321" t="inlineStr">
        <is>
          <t>Vorleistungen</t>
        </is>
      </c>
      <c r="E2321" t="n">
        <v>0</v>
      </c>
      <c r="F2321" t="n">
        <v>0</v>
      </c>
    </row>
    <row r="2322">
      <c r="A2322" t="n">
        <v>2028</v>
      </c>
      <c r="B2322" t="n">
        <v>6</v>
      </c>
      <c r="C2322" t="inlineStr">
        <is>
          <t>Lohn + Gehalt</t>
        </is>
      </c>
      <c r="D2322" t="inlineStr">
        <is>
          <t>Personalaufwand</t>
        </is>
      </c>
      <c r="E2322" t="n">
        <v>321097.26</v>
      </c>
      <c r="F2322" t="n">
        <v>3853167.13</v>
      </c>
    </row>
    <row r="2323">
      <c r="A2323" t="n">
        <v>2029</v>
      </c>
      <c r="B2323" t="n">
        <v>6</v>
      </c>
      <c r="C2323" t="inlineStr">
        <is>
          <t>Miete LKW,Schiffe</t>
        </is>
      </c>
      <c r="D2323" t="inlineStr">
        <is>
          <t>Fuhrparkkosten</t>
        </is>
      </c>
      <c r="E2323" t="n">
        <v>41294.11</v>
      </c>
      <c r="F2323" t="n">
        <v>495529.28</v>
      </c>
    </row>
    <row r="2324">
      <c r="A2324" t="n">
        <v>2030</v>
      </c>
      <c r="B2324" t="n">
        <v>6</v>
      </c>
      <c r="C2324" t="inlineStr">
        <is>
          <t>Erl. so. DL Dt.</t>
        </is>
      </c>
      <c r="D2324" t="inlineStr">
        <is>
          <t>Gesamtleistung</t>
        </is>
      </c>
      <c r="E2324" t="n">
        <v>2311684.01</v>
      </c>
      <c r="F2324" t="n">
        <v>27740208.09</v>
      </c>
    </row>
    <row r="2325">
      <c r="A2325" t="n">
        <v>2030</v>
      </c>
      <c r="B2325" t="n">
        <v>6</v>
      </c>
      <c r="C2325" t="inlineStr">
        <is>
          <t>Versicherungskosten</t>
        </is>
      </c>
      <c r="D2325" t="inlineStr">
        <is>
          <t>Verwaltungskosten</t>
        </is>
      </c>
      <c r="E2325" t="n">
        <v>11790.1</v>
      </c>
      <c r="F2325" t="n">
        <v>141481.23</v>
      </c>
    </row>
    <row r="2326">
      <c r="A2326" t="n">
        <v>2029</v>
      </c>
      <c r="B2326" t="n">
        <v>6</v>
      </c>
      <c r="C2326" t="inlineStr">
        <is>
          <t>Sonstige Steuer</t>
        </is>
      </c>
      <c r="D2326" t="inlineStr">
        <is>
          <t>Fuhrparkkosten</t>
        </is>
      </c>
      <c r="E2326" t="n">
        <v>1682.38</v>
      </c>
      <c r="F2326" t="n">
        <v>20188.51</v>
      </c>
    </row>
    <row r="2327">
      <c r="A2327" t="n">
        <v>2027</v>
      </c>
      <c r="B2327" t="n">
        <v>6</v>
      </c>
      <c r="C2327" t="inlineStr">
        <is>
          <t>Sonst Fuhrparkkosten</t>
        </is>
      </c>
      <c r="D2327" t="inlineStr">
        <is>
          <t>Fuhrparkkosten</t>
        </is>
      </c>
      <c r="E2327" t="n">
        <v>4989.24</v>
      </c>
      <c r="F2327" t="n">
        <v>59870.86</v>
      </c>
    </row>
    <row r="2328">
      <c r="A2328" t="n">
        <v>2028</v>
      </c>
      <c r="B2328" t="n">
        <v>6</v>
      </c>
      <c r="C2328" t="inlineStr">
        <is>
          <t>Bestandsveraend</t>
        </is>
      </c>
      <c r="D2328" t="inlineStr">
        <is>
          <t>Gesamtleistung</t>
        </is>
      </c>
      <c r="E2328" t="n">
        <v>0</v>
      </c>
      <c r="F2328" t="n">
        <v>0</v>
      </c>
    </row>
    <row r="2329">
      <c r="A2329" t="n">
        <v>2028</v>
      </c>
      <c r="B2329" t="n">
        <v>6</v>
      </c>
      <c r="C2329" t="inlineStr">
        <is>
          <t>So. betr. Aufwa</t>
        </is>
      </c>
      <c r="D2329" t="inlineStr">
        <is>
          <t>Verwaltungskosten</t>
        </is>
      </c>
      <c r="E2329" t="n">
        <v>673.0599999999999</v>
      </c>
      <c r="F2329" t="n">
        <v>8076.71</v>
      </c>
    </row>
    <row r="2330">
      <c r="A2330" t="n">
        <v>2030</v>
      </c>
      <c r="B2330" t="n">
        <v>6</v>
      </c>
      <c r="C2330" t="inlineStr">
        <is>
          <t>Miete LKW,Schiffe</t>
        </is>
      </c>
      <c r="D2330" t="inlineStr">
        <is>
          <t>Fuhrparkkosten</t>
        </is>
      </c>
      <c r="E2330" t="n">
        <v>43771.75</v>
      </c>
      <c r="F2330" t="n">
        <v>525261.04</v>
      </c>
    </row>
    <row r="2331">
      <c r="A2331" t="n">
        <v>2028</v>
      </c>
      <c r="B2331" t="n">
        <v>6</v>
      </c>
      <c r="C2331" t="inlineStr">
        <is>
          <t>Miete LKW,Schiffe</t>
        </is>
      </c>
      <c r="D2331" t="inlineStr">
        <is>
          <t>Fuhrparkkosten</t>
        </is>
      </c>
      <c r="E2331" t="n">
        <v>38956.71</v>
      </c>
      <c r="F2331" t="n">
        <v>467480.47</v>
      </c>
    </row>
    <row r="2332">
      <c r="A2332" t="n">
        <v>2028</v>
      </c>
      <c r="B2332" t="n">
        <v>6</v>
      </c>
      <c r="C2332" t="inlineStr">
        <is>
          <t>sonst Personalk</t>
        </is>
      </c>
      <c r="D2332" t="inlineStr">
        <is>
          <t>Personalaufwand</t>
        </is>
      </c>
      <c r="E2332" t="n">
        <v>12597.51</v>
      </c>
      <c r="F2332" t="n">
        <v>151170.09</v>
      </c>
    </row>
    <row r="2333">
      <c r="A2333" t="n">
        <v>2030</v>
      </c>
      <c r="B2333" t="n">
        <v>6</v>
      </c>
      <c r="C2333" t="inlineStr">
        <is>
          <t>Leasing PKW</t>
        </is>
      </c>
      <c r="D2333" t="inlineStr">
        <is>
          <t>Fuhrparkkosten</t>
        </is>
      </c>
      <c r="E2333" t="n">
        <v>26131.4</v>
      </c>
      <c r="F2333" t="n">
        <v>313576.76</v>
      </c>
    </row>
    <row r="2334">
      <c r="A2334" t="n">
        <v>2031</v>
      </c>
      <c r="B2334" t="n">
        <v>6</v>
      </c>
      <c r="C2334" t="inlineStr">
        <is>
          <t>Aufwand Umlage</t>
        </is>
      </c>
      <c r="D2334" t="inlineStr">
        <is>
          <t>Verwaltungskosten</t>
        </is>
      </c>
      <c r="E2334" t="n">
        <v>3807.87</v>
      </c>
      <c r="F2334" t="n">
        <v>45694.43</v>
      </c>
    </row>
    <row r="2335">
      <c r="A2335" t="n">
        <v>2031</v>
      </c>
      <c r="B2335" t="n">
        <v>6</v>
      </c>
      <c r="C2335" t="inlineStr">
        <is>
          <t>sonst Personalk</t>
        </is>
      </c>
      <c r="D2335" t="inlineStr">
        <is>
          <t>Personalaufwand</t>
        </is>
      </c>
      <c r="E2335" t="n">
        <v>17070.54</v>
      </c>
      <c r="F2335" t="n">
        <v>204846.51</v>
      </c>
    </row>
    <row r="2336">
      <c r="A2336" t="n">
        <v>2027</v>
      </c>
      <c r="B2336" t="n">
        <v>6</v>
      </c>
      <c r="C2336" t="inlineStr">
        <is>
          <t>sonst Personalk</t>
        </is>
      </c>
      <c r="D2336" t="inlineStr">
        <is>
          <t>Personalaufwand</t>
        </is>
      </c>
      <c r="E2336" t="n">
        <v>10949.84</v>
      </c>
      <c r="F2336" t="n">
        <v>131398.1</v>
      </c>
    </row>
    <row r="2337">
      <c r="A2337" t="n">
        <v>2031</v>
      </c>
      <c r="B2337" t="n">
        <v>6</v>
      </c>
      <c r="C2337" t="inlineStr">
        <is>
          <t>Miete PKW</t>
        </is>
      </c>
      <c r="D2337" t="inlineStr">
        <is>
          <t>Fuhrparkkosten</t>
        </is>
      </c>
      <c r="E2337" t="n">
        <v>5824.81</v>
      </c>
      <c r="F2337" t="n">
        <v>69897.67</v>
      </c>
    </row>
    <row r="2338">
      <c r="A2338" t="n">
        <v>2029</v>
      </c>
      <c r="B2338" t="n">
        <v>6</v>
      </c>
      <c r="C2338" t="inlineStr">
        <is>
          <t>Raumkosten</t>
        </is>
      </c>
      <c r="D2338" t="inlineStr">
        <is>
          <t>Raumkosten</t>
        </is>
      </c>
      <c r="E2338" t="n">
        <v>7164.46</v>
      </c>
      <c r="F2338" t="n">
        <v>85973.53</v>
      </c>
    </row>
    <row r="2339">
      <c r="A2339" t="n">
        <v>2031</v>
      </c>
      <c r="B2339" t="n">
        <v>6</v>
      </c>
      <c r="C2339" t="inlineStr">
        <is>
          <t>Aufw. f. Alters</t>
        </is>
      </c>
      <c r="D2339" t="inlineStr">
        <is>
          <t>Personalaufwand</t>
        </is>
      </c>
      <c r="E2339" t="n">
        <v>1434.03</v>
      </c>
      <c r="F2339" t="n">
        <v>17208.41</v>
      </c>
    </row>
    <row r="2340">
      <c r="A2340" t="n">
        <v>2031</v>
      </c>
      <c r="B2340" t="n">
        <v>6</v>
      </c>
      <c r="C2340" t="inlineStr">
        <is>
          <t>IT-Aufwendungen</t>
        </is>
      </c>
      <c r="D2340" t="inlineStr">
        <is>
          <t>Verwaltungskosten</t>
        </is>
      </c>
      <c r="E2340" t="n">
        <v>13051.66</v>
      </c>
      <c r="F2340" t="n">
        <v>156619.9</v>
      </c>
    </row>
    <row r="2341">
      <c r="A2341" t="n">
        <v>2028</v>
      </c>
      <c r="B2341" t="n">
        <v>6</v>
      </c>
      <c r="C2341" t="inlineStr">
        <is>
          <t>Miete Grdst/Gebäud</t>
        </is>
      </c>
      <c r="D2341" t="inlineStr">
        <is>
          <t>Raumkosten</t>
        </is>
      </c>
      <c r="E2341" t="n">
        <v>17880.93</v>
      </c>
      <c r="F2341" t="n">
        <v>214571.21</v>
      </c>
    </row>
    <row r="2342">
      <c r="A2342" t="n">
        <v>2027</v>
      </c>
      <c r="B2342" t="n">
        <v>6</v>
      </c>
      <c r="C2342" t="inlineStr">
        <is>
          <t>Erloesschmaeler</t>
        </is>
      </c>
      <c r="D2342" t="inlineStr">
        <is>
          <t>Gesamtleistung</t>
        </is>
      </c>
      <c r="E2342" t="n">
        <v>-7483.88</v>
      </c>
      <c r="F2342" t="n">
        <v>-89806.53</v>
      </c>
    </row>
    <row r="2343">
      <c r="A2343" t="n">
        <v>2029</v>
      </c>
      <c r="B2343" t="n">
        <v>6</v>
      </c>
      <c r="C2343" t="inlineStr">
        <is>
          <t>sonst Personalk</t>
        </is>
      </c>
      <c r="D2343" t="inlineStr">
        <is>
          <t>Personalaufwand</t>
        </is>
      </c>
      <c r="E2343" t="n">
        <v>13957.15</v>
      </c>
      <c r="F2343" t="n">
        <v>167485.78</v>
      </c>
    </row>
    <row r="2344">
      <c r="A2344" t="n">
        <v>2028</v>
      </c>
      <c r="B2344" t="n">
        <v>6</v>
      </c>
      <c r="C2344" t="inlineStr">
        <is>
          <t>Fremdl. Fuhrlei</t>
        </is>
      </c>
      <c r="D2344" t="inlineStr">
        <is>
          <t>Vorleistungen</t>
        </is>
      </c>
      <c r="E2344" t="n">
        <v>363.29</v>
      </c>
      <c r="F2344" t="n">
        <v>4359.52</v>
      </c>
    </row>
    <row r="2345">
      <c r="A2345" t="n">
        <v>2027</v>
      </c>
      <c r="B2345" t="n">
        <v>6</v>
      </c>
      <c r="C2345" t="inlineStr">
        <is>
          <t>Erl. so. DL Dt.</t>
        </is>
      </c>
      <c r="D2345" t="inlineStr">
        <is>
          <t>Gesamtleistung</t>
        </is>
      </c>
      <c r="E2345" t="n">
        <v>1996174.37</v>
      </c>
      <c r="F2345" t="n">
        <v>23954092.45</v>
      </c>
    </row>
    <row r="2346">
      <c r="A2346" t="n">
        <v>2027</v>
      </c>
      <c r="B2346" t="n">
        <v>6</v>
      </c>
      <c r="C2346" t="inlineStr">
        <is>
          <t>Aufw. Heizmat.</t>
        </is>
      </c>
      <c r="D2346" t="inlineStr">
        <is>
          <t>Vorleistungen</t>
        </is>
      </c>
      <c r="E2346" t="n">
        <v>275.72</v>
      </c>
      <c r="F2346" t="n">
        <v>3308.65</v>
      </c>
    </row>
    <row r="2347">
      <c r="A2347" t="n">
        <v>2028</v>
      </c>
      <c r="B2347" t="n">
        <v>6</v>
      </c>
      <c r="C2347" t="inlineStr">
        <is>
          <t>Versicherungskosten</t>
        </is>
      </c>
      <c r="D2347" t="inlineStr">
        <is>
          <t>Verwaltungskosten</t>
        </is>
      </c>
      <c r="E2347" t="n">
        <v>11113.3</v>
      </c>
      <c r="F2347" t="n">
        <v>133359.63</v>
      </c>
    </row>
    <row r="2348">
      <c r="A2348" t="n">
        <v>2031</v>
      </c>
      <c r="B2348" t="n">
        <v>6</v>
      </c>
      <c r="C2348" t="inlineStr">
        <is>
          <t>Miete LKW,Schiffe</t>
        </is>
      </c>
      <c r="D2348" t="inlineStr">
        <is>
          <t>Fuhrparkkosten</t>
        </is>
      </c>
      <c r="E2348" t="n">
        <v>46398.06</v>
      </c>
      <c r="F2348" t="n">
        <v>556776.71</v>
      </c>
    </row>
    <row r="2349">
      <c r="A2349" t="n">
        <v>2027</v>
      </c>
      <c r="B2349" t="n">
        <v>6</v>
      </c>
      <c r="C2349" t="inlineStr">
        <is>
          <t>Weiterber. Frem</t>
        </is>
      </c>
      <c r="D2349" t="inlineStr">
        <is>
          <t>Vorleistungen</t>
        </is>
      </c>
      <c r="E2349" t="n">
        <v>0</v>
      </c>
      <c r="F2349" t="n">
        <v>0</v>
      </c>
    </row>
    <row r="2350">
      <c r="A2350" t="n">
        <v>2028</v>
      </c>
      <c r="B2350" t="n">
        <v>6</v>
      </c>
      <c r="C2350" t="inlineStr">
        <is>
          <t>Erloesschmaeler</t>
        </is>
      </c>
      <c r="D2350" t="inlineStr">
        <is>
          <t>Gesamtleistung</t>
        </is>
      </c>
      <c r="E2350" t="n">
        <v>-8355.469999999999</v>
      </c>
      <c r="F2350" t="n">
        <v>-100265.61</v>
      </c>
    </row>
    <row r="2351">
      <c r="A2351" t="n">
        <v>2027</v>
      </c>
      <c r="B2351" t="n">
        <v>6</v>
      </c>
      <c r="C2351" t="inlineStr">
        <is>
          <t>Uebr.neutr. Ert</t>
        </is>
      </c>
      <c r="D2351" t="inlineStr">
        <is>
          <t>Gesamtleistung</t>
        </is>
      </c>
      <c r="E2351" t="n">
        <v>113.94</v>
      </c>
      <c r="F2351" t="n">
        <v>1367.31</v>
      </c>
    </row>
    <row r="2352">
      <c r="A2352" t="n">
        <v>2028</v>
      </c>
      <c r="B2352" t="n">
        <v>6</v>
      </c>
      <c r="C2352" t="inlineStr">
        <is>
          <t>Miete Behälter</t>
        </is>
      </c>
      <c r="D2352" t="inlineStr">
        <is>
          <t>Instandh. Betriebsausstattung</t>
        </is>
      </c>
      <c r="E2352" t="n">
        <v>24.08</v>
      </c>
      <c r="F2352" t="n">
        <v>289</v>
      </c>
    </row>
    <row r="2353">
      <c r="A2353" t="n">
        <v>2028</v>
      </c>
      <c r="B2353" t="n">
        <v>6</v>
      </c>
      <c r="C2353" t="inlineStr">
        <is>
          <t>Aufw. so. Hilfs</t>
        </is>
      </c>
      <c r="D2353" t="inlineStr">
        <is>
          <t>Vorleistungen</t>
        </is>
      </c>
      <c r="E2353" t="n">
        <v>-16546.31</v>
      </c>
      <c r="F2353" t="n">
        <v>-198555.67</v>
      </c>
    </row>
    <row r="2354">
      <c r="A2354" t="n">
        <v>2030</v>
      </c>
      <c r="B2354" t="n">
        <v>6</v>
      </c>
      <c r="C2354" t="inlineStr">
        <is>
          <t>Treibstoffe, Oe</t>
        </is>
      </c>
      <c r="D2354" t="inlineStr">
        <is>
          <t>Fuhrparkkosten</t>
        </is>
      </c>
      <c r="E2354" t="n">
        <v>34177.25</v>
      </c>
      <c r="F2354" t="n">
        <v>410126.96</v>
      </c>
    </row>
    <row r="2355">
      <c r="A2355" t="n">
        <v>2030</v>
      </c>
      <c r="B2355" t="n">
        <v>6</v>
      </c>
      <c r="C2355" t="inlineStr">
        <is>
          <t>Ueb Lohn-Gehalt</t>
        </is>
      </c>
      <c r="D2355" t="inlineStr">
        <is>
          <t>Personalaufwand</t>
        </is>
      </c>
      <c r="E2355" t="n">
        <v>41842.02</v>
      </c>
      <c r="F2355" t="n">
        <v>502104.18</v>
      </c>
    </row>
    <row r="2356">
      <c r="A2356" t="n">
        <v>2030</v>
      </c>
      <c r="B2356" t="n">
        <v>6</v>
      </c>
      <c r="C2356" t="inlineStr">
        <is>
          <t>Aufw. f. Alters</t>
        </is>
      </c>
      <c r="D2356" t="inlineStr">
        <is>
          <t>Personalaufwand</t>
        </is>
      </c>
      <c r="E2356" t="n">
        <v>1387.56</v>
      </c>
      <c r="F2356" t="n">
        <v>16650.69</v>
      </c>
    </row>
    <row r="2357">
      <c r="A2357" t="n">
        <v>2031</v>
      </c>
      <c r="B2357" t="n">
        <v>6</v>
      </c>
      <c r="C2357" t="inlineStr">
        <is>
          <t>Fremdl. Persona</t>
        </is>
      </c>
      <c r="D2357" t="inlineStr">
        <is>
          <t>Vorleistungen</t>
        </is>
      </c>
      <c r="E2357" t="n">
        <v>79.40000000000001</v>
      </c>
      <c r="F2357" t="n">
        <v>952.79</v>
      </c>
    </row>
    <row r="2358">
      <c r="A2358" t="n">
        <v>2029</v>
      </c>
      <c r="B2358" t="n">
        <v>7</v>
      </c>
      <c r="C2358" t="inlineStr">
        <is>
          <t>Sonderz. Prämie</t>
        </is>
      </c>
      <c r="D2358" t="inlineStr">
        <is>
          <t>Personalaufwand</t>
        </is>
      </c>
      <c r="E2358" t="n">
        <v>23292.21</v>
      </c>
      <c r="F2358" t="n">
        <v>279506.56</v>
      </c>
    </row>
    <row r="2359">
      <c r="A2359" t="n">
        <v>2030</v>
      </c>
      <c r="B2359" t="n">
        <v>7</v>
      </c>
      <c r="C2359" t="inlineStr">
        <is>
          <t>sonst Personalk</t>
        </is>
      </c>
      <c r="D2359" t="inlineStr">
        <is>
          <t>Personalaufwand</t>
        </is>
      </c>
      <c r="E2359" t="n">
        <v>15558.93</v>
      </c>
      <c r="F2359" t="n">
        <v>186707.19</v>
      </c>
    </row>
    <row r="2360">
      <c r="A2360" t="n">
        <v>2031</v>
      </c>
      <c r="B2360" t="n">
        <v>7</v>
      </c>
      <c r="C2360" t="inlineStr">
        <is>
          <t>Ankauf Rohstoff</t>
        </is>
      </c>
      <c r="D2360" t="inlineStr">
        <is>
          <t>Vorleistungen</t>
        </is>
      </c>
      <c r="E2360" t="n">
        <v>1489.65</v>
      </c>
      <c r="F2360" t="n">
        <v>17875.76</v>
      </c>
    </row>
    <row r="2361">
      <c r="A2361" t="n">
        <v>2029</v>
      </c>
      <c r="B2361" t="n">
        <v>7</v>
      </c>
      <c r="C2361" t="inlineStr">
        <is>
          <t>Weiterber. Frem</t>
        </is>
      </c>
      <c r="D2361" t="inlineStr">
        <is>
          <t>Vorleistungen</t>
        </is>
      </c>
      <c r="E2361" t="n">
        <v>0</v>
      </c>
      <c r="F2361" t="n">
        <v>0</v>
      </c>
    </row>
    <row r="2362">
      <c r="A2362" t="n">
        <v>2031</v>
      </c>
      <c r="B2362" t="n">
        <v>7</v>
      </c>
      <c r="C2362" t="inlineStr">
        <is>
          <t>Sonstige Steuer</t>
        </is>
      </c>
      <c r="D2362" t="inlineStr">
        <is>
          <t>Fuhrparkkosten</t>
        </is>
      </c>
      <c r="E2362" t="n">
        <v>1890.32</v>
      </c>
      <c r="F2362" t="n">
        <v>22683.81</v>
      </c>
    </row>
    <row r="2363">
      <c r="A2363" t="n">
        <v>2030</v>
      </c>
      <c r="B2363" t="n">
        <v>7</v>
      </c>
      <c r="C2363" t="inlineStr">
        <is>
          <t>Bestandsveraend</t>
        </is>
      </c>
      <c r="D2363" t="inlineStr">
        <is>
          <t>Gesamtleistung</t>
        </is>
      </c>
      <c r="E2363" t="n">
        <v>0</v>
      </c>
      <c r="F2363" t="n">
        <v>0</v>
      </c>
    </row>
    <row r="2364">
      <c r="A2364" t="n">
        <v>2031</v>
      </c>
      <c r="B2364" t="n">
        <v>7</v>
      </c>
      <c r="C2364" t="inlineStr">
        <is>
          <t>Erl. so. DL Dt.</t>
        </is>
      </c>
      <c r="D2364" t="inlineStr">
        <is>
          <t>Gesamtleistung</t>
        </is>
      </c>
      <c r="E2364" t="n">
        <v>2428139.11</v>
      </c>
      <c r="F2364" t="n">
        <v>29137669.32</v>
      </c>
    </row>
    <row r="2365">
      <c r="A2365" t="n">
        <v>2030</v>
      </c>
      <c r="B2365" t="n">
        <v>7</v>
      </c>
      <c r="C2365" t="inlineStr">
        <is>
          <t>Sonstige Steuer</t>
        </is>
      </c>
      <c r="D2365" t="inlineStr">
        <is>
          <t>Fuhrparkkosten</t>
        </is>
      </c>
      <c r="E2365" t="n">
        <v>1783.32</v>
      </c>
      <c r="F2365" t="n">
        <v>21399.82</v>
      </c>
    </row>
    <row r="2366">
      <c r="A2366" t="n">
        <v>2030</v>
      </c>
      <c r="B2366" t="n">
        <v>7</v>
      </c>
      <c r="C2366" t="inlineStr">
        <is>
          <t>Sonderz. Prämie</t>
        </is>
      </c>
      <c r="D2366" t="inlineStr">
        <is>
          <t>Personalaufwand</t>
        </is>
      </c>
      <c r="E2366" t="n">
        <v>25004.1</v>
      </c>
      <c r="F2366" t="n">
        <v>300049.14</v>
      </c>
    </row>
    <row r="2367">
      <c r="A2367" t="n">
        <v>2029</v>
      </c>
      <c r="B2367" t="n">
        <v>7</v>
      </c>
      <c r="C2367" t="inlineStr">
        <is>
          <t>Soziale Abgaben</t>
        </is>
      </c>
      <c r="D2367" t="inlineStr">
        <is>
          <t>Personalaufwand</t>
        </is>
      </c>
      <c r="E2367" t="n">
        <v>94488.11</v>
      </c>
      <c r="F2367" t="n">
        <v>1133857.35</v>
      </c>
    </row>
    <row r="2368">
      <c r="A2368" t="n">
        <v>2031</v>
      </c>
      <c r="B2368" t="n">
        <v>7</v>
      </c>
      <c r="C2368" t="inlineStr">
        <is>
          <t>So. betr. Aufwa</t>
        </is>
      </c>
      <c r="D2368" t="inlineStr">
        <is>
          <t>Verwaltungskosten</t>
        </is>
      </c>
      <c r="E2368" t="n">
        <v>735.47</v>
      </c>
      <c r="F2368" t="n">
        <v>8825.639999999999</v>
      </c>
    </row>
    <row r="2369">
      <c r="A2369" t="n">
        <v>2027</v>
      </c>
      <c r="B2369" t="n">
        <v>7</v>
      </c>
      <c r="C2369" t="inlineStr">
        <is>
          <t>Lohn + Gehalt</t>
        </is>
      </c>
      <c r="D2369" t="inlineStr">
        <is>
          <t>Personalaufwand</t>
        </is>
      </c>
      <c r="E2369" t="n">
        <v>287946.36</v>
      </c>
      <c r="F2369" t="n">
        <v>3455356.33</v>
      </c>
    </row>
    <row r="2370">
      <c r="A2370" t="n">
        <v>2027</v>
      </c>
      <c r="B2370" t="n">
        <v>7</v>
      </c>
      <c r="C2370" t="inlineStr">
        <is>
          <t>So. betr. Aufwa</t>
        </is>
      </c>
      <c r="D2370" t="inlineStr">
        <is>
          <t>Verwaltungskosten</t>
        </is>
      </c>
      <c r="E2370" t="n">
        <v>653.45</v>
      </c>
      <c r="F2370" t="n">
        <v>7841.45</v>
      </c>
    </row>
    <row r="2371">
      <c r="A2371" t="n">
        <v>2028</v>
      </c>
      <c r="B2371" t="n">
        <v>7</v>
      </c>
      <c r="C2371" t="inlineStr">
        <is>
          <t>Ueb Lohn-Gehalt</t>
        </is>
      </c>
      <c r="D2371" t="inlineStr">
        <is>
          <t>Personalaufwand</t>
        </is>
      </c>
      <c r="E2371" t="n">
        <v>34332.83</v>
      </c>
      <c r="F2371" t="n">
        <v>411993.96</v>
      </c>
    </row>
    <row r="2372">
      <c r="A2372" t="n">
        <v>2027</v>
      </c>
      <c r="B2372" t="n">
        <v>7</v>
      </c>
      <c r="C2372" t="inlineStr">
        <is>
          <t>Verwaltungskost</t>
        </is>
      </c>
      <c r="D2372" t="inlineStr">
        <is>
          <t>Verwaltungskosten</t>
        </is>
      </c>
      <c r="E2372" t="n">
        <v>6691.47</v>
      </c>
      <c r="F2372" t="n">
        <v>80297.62</v>
      </c>
    </row>
    <row r="2373">
      <c r="A2373" t="n">
        <v>2030</v>
      </c>
      <c r="B2373" t="n">
        <v>7</v>
      </c>
      <c r="C2373" t="inlineStr">
        <is>
          <t>Aufw. Heizmat.</t>
        </is>
      </c>
      <c r="D2373" t="inlineStr">
        <is>
          <t>Vorleistungen</t>
        </is>
      </c>
      <c r="E2373" t="n">
        <v>230.4</v>
      </c>
      <c r="F2373" t="n">
        <v>2764.82</v>
      </c>
    </row>
    <row r="2374">
      <c r="A2374" t="n">
        <v>2027</v>
      </c>
      <c r="B2374" t="n">
        <v>7</v>
      </c>
      <c r="C2374" t="inlineStr">
        <is>
          <t>Versicherungskosten</t>
        </is>
      </c>
      <c r="D2374" t="inlineStr">
        <is>
          <t>Verwaltungskosten</t>
        </is>
      </c>
      <c r="E2374" t="n">
        <v>10789.61</v>
      </c>
      <c r="F2374" t="n">
        <v>129475.37</v>
      </c>
    </row>
    <row r="2375">
      <c r="A2375" t="n">
        <v>2031</v>
      </c>
      <c r="B2375" t="n">
        <v>7</v>
      </c>
      <c r="C2375" t="inlineStr">
        <is>
          <t>Instandh. BGA</t>
        </is>
      </c>
      <c r="D2375" t="inlineStr">
        <is>
          <t>Instandh. Betriebsausstattung</t>
        </is>
      </c>
      <c r="E2375" t="n">
        <v>5124.63</v>
      </c>
      <c r="F2375" t="n">
        <v>61495.58</v>
      </c>
    </row>
    <row r="2376">
      <c r="A2376" t="n">
        <v>2029</v>
      </c>
      <c r="B2376" t="n">
        <v>7</v>
      </c>
      <c r="C2376" t="inlineStr">
        <is>
          <t>Treibstoffe, Oe</t>
        </is>
      </c>
      <c r="D2376" t="inlineStr">
        <is>
          <t>Fuhrparkkosten</t>
        </is>
      </c>
      <c r="E2376" t="n">
        <v>32242.68</v>
      </c>
      <c r="F2376" t="n">
        <v>386912.19</v>
      </c>
    </row>
    <row r="2377">
      <c r="A2377" t="n">
        <v>2027</v>
      </c>
      <c r="B2377" t="n">
        <v>7</v>
      </c>
      <c r="C2377" t="inlineStr">
        <is>
          <t>Instandh. BGA</t>
        </is>
      </c>
      <c r="D2377" t="inlineStr">
        <is>
          <t>Instandh. Betriebsausstattung</t>
        </is>
      </c>
      <c r="E2377" t="n">
        <v>4216.05</v>
      </c>
      <c r="F2377" t="n">
        <v>50592.58</v>
      </c>
    </row>
    <row r="2378">
      <c r="A2378" t="n">
        <v>2029</v>
      </c>
      <c r="B2378" t="n">
        <v>7</v>
      </c>
      <c r="C2378" t="inlineStr">
        <is>
          <t>Ueb Lohn-Gehalt</t>
        </is>
      </c>
      <c r="D2378" t="inlineStr">
        <is>
          <t>Personalaufwand</t>
        </is>
      </c>
      <c r="E2378" t="n">
        <v>37989.9</v>
      </c>
      <c r="F2378" t="n">
        <v>455878.84</v>
      </c>
    </row>
    <row r="2379">
      <c r="A2379" t="n">
        <v>2031</v>
      </c>
      <c r="B2379" t="n">
        <v>7</v>
      </c>
      <c r="C2379" t="inlineStr">
        <is>
          <t>Erl. Waren Dt.</t>
        </is>
      </c>
      <c r="D2379" t="inlineStr">
        <is>
          <t>Gesamtleistung</t>
        </is>
      </c>
      <c r="E2379" t="n">
        <v>50865.59</v>
      </c>
      <c r="F2379" t="n">
        <v>610387.05</v>
      </c>
    </row>
    <row r="2380">
      <c r="A2380" t="n">
        <v>2027</v>
      </c>
      <c r="B2380" t="n">
        <v>7</v>
      </c>
      <c r="C2380" t="inlineStr">
        <is>
          <t>Fremdl. Persona</t>
        </is>
      </c>
      <c r="D2380" t="inlineStr">
        <is>
          <t>Vorleistungen</t>
        </is>
      </c>
      <c r="E2380" t="n">
        <v>61.31</v>
      </c>
      <c r="F2380" t="n">
        <v>735.66</v>
      </c>
    </row>
    <row r="2381">
      <c r="A2381" t="n">
        <v>2027</v>
      </c>
      <c r="B2381" t="n">
        <v>7</v>
      </c>
      <c r="C2381" t="inlineStr">
        <is>
          <t>Aufwand Umlage</t>
        </is>
      </c>
      <c r="D2381" t="inlineStr">
        <is>
          <t>Verwaltungskosten</t>
        </is>
      </c>
      <c r="E2381" t="n">
        <v>3383.24</v>
      </c>
      <c r="F2381" t="n">
        <v>40598.91</v>
      </c>
    </row>
    <row r="2382">
      <c r="A2382" t="n">
        <v>2031</v>
      </c>
      <c r="B2382" t="n">
        <v>7</v>
      </c>
      <c r="C2382" t="inlineStr">
        <is>
          <t>Ueb Lohn-Gehalt</t>
        </is>
      </c>
      <c r="D2382" t="inlineStr">
        <is>
          <t>Personalaufwand</t>
        </is>
      </c>
      <c r="E2382" t="n">
        <v>45675.82</v>
      </c>
      <c r="F2382" t="n">
        <v>548109.79</v>
      </c>
    </row>
    <row r="2383">
      <c r="A2383" t="n">
        <v>2027</v>
      </c>
      <c r="B2383" t="n">
        <v>7</v>
      </c>
      <c r="C2383" t="inlineStr">
        <is>
          <t>Rechts- u. Beratungs</t>
        </is>
      </c>
      <c r="D2383" t="inlineStr">
        <is>
          <t>Verwaltungskosten</t>
        </is>
      </c>
      <c r="E2383" t="n">
        <v>25635.99</v>
      </c>
      <c r="F2383" t="n">
        <v>307631.89</v>
      </c>
    </row>
    <row r="2384">
      <c r="A2384" t="n">
        <v>2028</v>
      </c>
      <c r="B2384" t="n">
        <v>7</v>
      </c>
      <c r="C2384" t="inlineStr">
        <is>
          <t>Verwaltungskost</t>
        </is>
      </c>
      <c r="D2384" t="inlineStr">
        <is>
          <t>Verwaltungskosten</t>
        </is>
      </c>
      <c r="E2384" t="n">
        <v>6892.21</v>
      </c>
      <c r="F2384" t="n">
        <v>82706.56</v>
      </c>
    </row>
    <row r="2385">
      <c r="A2385" t="n">
        <v>2028</v>
      </c>
      <c r="B2385" t="n">
        <v>7</v>
      </c>
      <c r="C2385" t="inlineStr">
        <is>
          <t>Ueb. bezog.Leis</t>
        </is>
      </c>
      <c r="D2385" t="inlineStr">
        <is>
          <t>Vorleistungen</t>
        </is>
      </c>
      <c r="E2385" t="n">
        <v>1342498.67</v>
      </c>
      <c r="F2385" t="n">
        <v>16109983.99</v>
      </c>
    </row>
    <row r="2386">
      <c r="A2386" t="n">
        <v>2028</v>
      </c>
      <c r="B2386" t="n">
        <v>7</v>
      </c>
      <c r="C2386" t="inlineStr">
        <is>
          <t>Ankauf Rohstoff</t>
        </is>
      </c>
      <c r="D2386" t="inlineStr">
        <is>
          <t>Vorleistungen</t>
        </is>
      </c>
      <c r="E2386" t="n">
        <v>1457.38</v>
      </c>
      <c r="F2386" t="n">
        <v>17488.61</v>
      </c>
    </row>
    <row r="2387">
      <c r="A2387" t="n">
        <v>2029</v>
      </c>
      <c r="B2387" t="n">
        <v>7</v>
      </c>
      <c r="C2387" t="inlineStr">
        <is>
          <t>Erloesschmaeler</t>
        </is>
      </c>
      <c r="D2387" t="inlineStr">
        <is>
          <t>Gesamtleistung</t>
        </is>
      </c>
      <c r="E2387" t="n">
        <v>-9048.01</v>
      </c>
      <c r="F2387" t="n">
        <v>-108576.08</v>
      </c>
    </row>
    <row r="2388">
      <c r="A2388" t="n">
        <v>2029</v>
      </c>
      <c r="B2388" t="n">
        <v>7</v>
      </c>
      <c r="C2388" t="inlineStr">
        <is>
          <t>Leasing PKW</t>
        </is>
      </c>
      <c r="D2388" t="inlineStr">
        <is>
          <t>Fuhrparkkosten</t>
        </is>
      </c>
      <c r="E2388" t="n">
        <v>24652.26</v>
      </c>
      <c r="F2388" t="n">
        <v>295827.14</v>
      </c>
    </row>
    <row r="2389">
      <c r="A2389" t="n">
        <v>2029</v>
      </c>
      <c r="B2389" t="n">
        <v>7</v>
      </c>
      <c r="C2389" t="inlineStr">
        <is>
          <t>Fremdl. Persona</t>
        </is>
      </c>
      <c r="D2389" t="inlineStr">
        <is>
          <t>Vorleistungen</t>
        </is>
      </c>
      <c r="E2389" t="n">
        <v>73.3</v>
      </c>
      <c r="F2389" t="n">
        <v>879.54</v>
      </c>
    </row>
    <row r="2390">
      <c r="A2390" t="n">
        <v>2028</v>
      </c>
      <c r="B2390" t="n">
        <v>7</v>
      </c>
      <c r="C2390" t="inlineStr">
        <is>
          <t>Aufwand Umlage</t>
        </is>
      </c>
      <c r="D2390" t="inlineStr">
        <is>
          <t>Verwaltungskosten</t>
        </is>
      </c>
      <c r="E2390" t="n">
        <v>3484.74</v>
      </c>
      <c r="F2390" t="n">
        <v>41816.88</v>
      </c>
    </row>
    <row r="2391">
      <c r="A2391" t="n">
        <v>2027</v>
      </c>
      <c r="B2391" t="n">
        <v>7</v>
      </c>
      <c r="C2391" t="inlineStr">
        <is>
          <t>Ankauf Rohstoff</t>
        </is>
      </c>
      <c r="D2391" t="inlineStr">
        <is>
          <t>Vorleistungen</t>
        </is>
      </c>
      <c r="E2391" t="n">
        <v>1408.24</v>
      </c>
      <c r="F2391" t="n">
        <v>16898.9</v>
      </c>
    </row>
    <row r="2392">
      <c r="A2392" t="n">
        <v>2030</v>
      </c>
      <c r="B2392" t="n">
        <v>7</v>
      </c>
      <c r="C2392" t="inlineStr">
        <is>
          <t>Erloesschmaeler</t>
        </is>
      </c>
      <c r="D2392" t="inlineStr">
        <is>
          <t>Gesamtleistung</t>
        </is>
      </c>
      <c r="E2392" t="n">
        <v>-9690.75</v>
      </c>
      <c r="F2392" t="n">
        <v>-116289.05</v>
      </c>
    </row>
    <row r="2393">
      <c r="A2393" t="n">
        <v>2029</v>
      </c>
      <c r="B2393" t="n">
        <v>7</v>
      </c>
      <c r="C2393" t="inlineStr">
        <is>
          <t>Sonst Fuhrparkkosten</t>
        </is>
      </c>
      <c r="D2393" t="inlineStr">
        <is>
          <t>Fuhrparkkosten</t>
        </is>
      </c>
      <c r="E2393" t="n">
        <v>5605.91</v>
      </c>
      <c r="F2393" t="n">
        <v>67270.89</v>
      </c>
    </row>
    <row r="2394">
      <c r="A2394" t="n">
        <v>2027</v>
      </c>
      <c r="B2394" t="n">
        <v>7</v>
      </c>
      <c r="C2394" t="inlineStr">
        <is>
          <t>Soziale Abgaben</t>
        </is>
      </c>
      <c r="D2394" t="inlineStr">
        <is>
          <t>Personalaufwand</t>
        </is>
      </c>
      <c r="E2394" t="n">
        <v>75903.69</v>
      </c>
      <c r="F2394" t="n">
        <v>910844.28</v>
      </c>
    </row>
    <row r="2395">
      <c r="A2395" t="n">
        <v>2031</v>
      </c>
      <c r="B2395" t="n">
        <v>7</v>
      </c>
      <c r="C2395" t="inlineStr">
        <is>
          <t>Erloesschmaeler</t>
        </is>
      </c>
      <c r="D2395" t="inlineStr">
        <is>
          <t>Gesamtleistung</t>
        </is>
      </c>
      <c r="E2395" t="n">
        <v>-10347.15</v>
      </c>
      <c r="F2395" t="n">
        <v>-124165.81</v>
      </c>
    </row>
    <row r="2396">
      <c r="A2396" t="n">
        <v>2029</v>
      </c>
      <c r="B2396" t="n">
        <v>7</v>
      </c>
      <c r="C2396" t="inlineStr">
        <is>
          <t>Ertr. weiterber</t>
        </is>
      </c>
      <c r="D2396" t="inlineStr">
        <is>
          <t>Gesamtleistung</t>
        </is>
      </c>
      <c r="E2396" t="n">
        <v>1036.39</v>
      </c>
      <c r="F2396" t="n">
        <v>12436.69</v>
      </c>
    </row>
    <row r="2397">
      <c r="A2397" t="n">
        <v>2027</v>
      </c>
      <c r="B2397" t="n">
        <v>7</v>
      </c>
      <c r="C2397" t="inlineStr">
        <is>
          <t>Sonderz. Prämie</t>
        </is>
      </c>
      <c r="D2397" t="inlineStr">
        <is>
          <t>Personalaufwand</t>
        </is>
      </c>
      <c r="E2397" t="n">
        <v>19636.08</v>
      </c>
      <c r="F2397" t="n">
        <v>235633</v>
      </c>
    </row>
    <row r="2398">
      <c r="A2398" t="n">
        <v>2027</v>
      </c>
      <c r="B2398" t="n">
        <v>7</v>
      </c>
      <c r="C2398" t="inlineStr">
        <is>
          <t>Miete Behälter</t>
        </is>
      </c>
      <c r="D2398" t="inlineStr">
        <is>
          <t>Instandh. Betriebsausstattung</t>
        </is>
      </c>
      <c r="E2398" t="n">
        <v>22.94</v>
      </c>
      <c r="F2398" t="n">
        <v>275.23</v>
      </c>
    </row>
    <row r="2399">
      <c r="A2399" t="n">
        <v>2031</v>
      </c>
      <c r="B2399" t="n">
        <v>7</v>
      </c>
      <c r="C2399" t="inlineStr">
        <is>
          <t>Versicherungskosten</t>
        </is>
      </c>
      <c r="D2399" t="inlineStr">
        <is>
          <t>Verwaltungskosten</t>
        </is>
      </c>
      <c r="E2399" t="n">
        <v>12143.81</v>
      </c>
      <c r="F2399" t="n">
        <v>145725.66</v>
      </c>
    </row>
    <row r="2400">
      <c r="A2400" t="n">
        <v>2029</v>
      </c>
      <c r="B2400" t="n">
        <v>7</v>
      </c>
      <c r="C2400" t="inlineStr">
        <is>
          <t>Rechts- u. Beratungs</t>
        </is>
      </c>
      <c r="D2400" t="inlineStr">
        <is>
          <t>Verwaltungskosten</t>
        </is>
      </c>
      <c r="E2400" t="n">
        <v>27197.22</v>
      </c>
      <c r="F2400" t="n">
        <v>326366.65</v>
      </c>
    </row>
    <row r="2401">
      <c r="A2401" t="n">
        <v>2028</v>
      </c>
      <c r="B2401" t="n">
        <v>7</v>
      </c>
      <c r="C2401" t="inlineStr">
        <is>
          <t>Instandh.Fuhrp</t>
        </is>
      </c>
      <c r="D2401" t="inlineStr">
        <is>
          <t>Fuhrparkkosten</t>
        </is>
      </c>
      <c r="E2401" t="n">
        <v>32180.39</v>
      </c>
      <c r="F2401" t="n">
        <v>386164.66</v>
      </c>
    </row>
    <row r="2402">
      <c r="A2402" t="n">
        <v>2030</v>
      </c>
      <c r="B2402" t="n">
        <v>7</v>
      </c>
      <c r="C2402" t="inlineStr">
        <is>
          <t>Miete Grdst/Gebäud</t>
        </is>
      </c>
      <c r="D2402" t="inlineStr">
        <is>
          <t>Raumkosten</t>
        </is>
      </c>
      <c r="E2402" t="n">
        <v>18603.32</v>
      </c>
      <c r="F2402" t="n">
        <v>223239.88</v>
      </c>
    </row>
    <row r="2403">
      <c r="A2403" t="n">
        <v>2027</v>
      </c>
      <c r="B2403" t="n">
        <v>7</v>
      </c>
      <c r="C2403" t="inlineStr">
        <is>
          <t>Ueb. bezog.Leis</t>
        </is>
      </c>
      <c r="D2403" t="inlineStr">
        <is>
          <t>Vorleistungen</t>
        </is>
      </c>
      <c r="E2403" t="n">
        <v>1319862.34</v>
      </c>
      <c r="F2403" t="n">
        <v>15838348.13</v>
      </c>
    </row>
    <row r="2404">
      <c r="A2404" t="n">
        <v>2029</v>
      </c>
      <c r="B2404" t="n">
        <v>7</v>
      </c>
      <c r="C2404" t="inlineStr">
        <is>
          <t>Erl. Waren Dt.</t>
        </is>
      </c>
      <c r="D2404" t="inlineStr">
        <is>
          <t>Gesamtleistung</t>
        </is>
      </c>
      <c r="E2404" t="n">
        <v>47334.08</v>
      </c>
      <c r="F2404" t="n">
        <v>568008.92</v>
      </c>
    </row>
    <row r="2405">
      <c r="A2405" t="n">
        <v>2031</v>
      </c>
      <c r="B2405" t="n">
        <v>7</v>
      </c>
      <c r="C2405" t="inlineStr">
        <is>
          <t>Treibstoffe, Oe</t>
        </is>
      </c>
      <c r="D2405" t="inlineStr">
        <is>
          <t>Fuhrparkkosten</t>
        </is>
      </c>
      <c r="E2405" t="n">
        <v>36227.88</v>
      </c>
      <c r="F2405" t="n">
        <v>434734.54</v>
      </c>
    </row>
    <row r="2406">
      <c r="A2406" t="n">
        <v>2029</v>
      </c>
      <c r="B2406" t="n">
        <v>7</v>
      </c>
      <c r="C2406" t="inlineStr">
        <is>
          <t>Miete Behälter</t>
        </is>
      </c>
      <c r="D2406" t="inlineStr">
        <is>
          <t>Instandh. Betriebsausstattung</t>
        </is>
      </c>
      <c r="E2406" t="n">
        <v>25.29</v>
      </c>
      <c r="F2406" t="n">
        <v>303.45</v>
      </c>
    </row>
    <row r="2407">
      <c r="A2407" t="n">
        <v>2030</v>
      </c>
      <c r="B2407" t="n">
        <v>7</v>
      </c>
      <c r="C2407" t="inlineStr">
        <is>
          <t>Instandh. BGA</t>
        </is>
      </c>
      <c r="D2407" t="inlineStr">
        <is>
          <t>Instandh. Betriebsausstattung</t>
        </is>
      </c>
      <c r="E2407" t="n">
        <v>4880.6</v>
      </c>
      <c r="F2407" t="n">
        <v>58567.23</v>
      </c>
    </row>
    <row r="2408">
      <c r="A2408" t="n">
        <v>2030</v>
      </c>
      <c r="B2408" t="n">
        <v>7</v>
      </c>
      <c r="C2408" t="inlineStr">
        <is>
          <t>Lohn + Gehalt</t>
        </is>
      </c>
      <c r="D2408" t="inlineStr">
        <is>
          <t>Personalaufwand</t>
        </is>
      </c>
      <c r="E2408" t="n">
        <v>392030.8</v>
      </c>
      <c r="F2408" t="n">
        <v>4704369.59</v>
      </c>
    </row>
    <row r="2409">
      <c r="A2409" t="n">
        <v>2027</v>
      </c>
      <c r="B2409" t="n">
        <v>7</v>
      </c>
      <c r="C2409" t="inlineStr">
        <is>
          <t>Bestandsveraend</t>
        </is>
      </c>
      <c r="D2409" t="inlineStr">
        <is>
          <t>Gesamtleistung</t>
        </is>
      </c>
      <c r="E2409" t="n">
        <v>0</v>
      </c>
      <c r="F2409" t="n">
        <v>0</v>
      </c>
    </row>
    <row r="2410">
      <c r="A2410" t="n">
        <v>2027</v>
      </c>
      <c r="B2410" t="n">
        <v>7</v>
      </c>
      <c r="C2410" t="inlineStr">
        <is>
          <t>Aufw. so. Hilfs</t>
        </is>
      </c>
      <c r="D2410" t="inlineStr">
        <is>
          <t>Vorleistungen</t>
        </is>
      </c>
      <c r="E2410" t="n">
        <v>-16362.04</v>
      </c>
      <c r="F2410" t="n">
        <v>-196344.47</v>
      </c>
    </row>
    <row r="2411">
      <c r="A2411" t="n">
        <v>2027</v>
      </c>
      <c r="B2411" t="n">
        <v>7</v>
      </c>
      <c r="C2411" t="inlineStr">
        <is>
          <t>Aufw. f. Alters</t>
        </is>
      </c>
      <c r="D2411" t="inlineStr">
        <is>
          <t>Personalaufwand</t>
        </is>
      </c>
      <c r="E2411" t="n">
        <v>1234.77</v>
      </c>
      <c r="F2411" t="n">
        <v>14817.29</v>
      </c>
    </row>
    <row r="2412">
      <c r="A2412" t="n">
        <v>2027</v>
      </c>
      <c r="B2412" t="n">
        <v>7</v>
      </c>
      <c r="C2412" t="inlineStr">
        <is>
          <t>Vertriebskosten</t>
        </is>
      </c>
      <c r="D2412" t="inlineStr">
        <is>
          <t>Vertriebskosten</t>
        </is>
      </c>
      <c r="E2412" t="n">
        <v>10833.33</v>
      </c>
      <c r="F2412" t="n">
        <v>130000</v>
      </c>
    </row>
    <row r="2413">
      <c r="A2413" t="n">
        <v>2027</v>
      </c>
      <c r="B2413" t="n">
        <v>7</v>
      </c>
      <c r="C2413" t="inlineStr">
        <is>
          <t>Ertrag KFZ-Nutz</t>
        </is>
      </c>
      <c r="D2413" t="inlineStr">
        <is>
          <t>Gesamtleistung</t>
        </is>
      </c>
      <c r="E2413" t="n">
        <v>8029.69</v>
      </c>
      <c r="F2413" t="n">
        <v>96356.3</v>
      </c>
    </row>
    <row r="2414">
      <c r="A2414" t="n">
        <v>2031</v>
      </c>
      <c r="B2414" t="n">
        <v>7</v>
      </c>
      <c r="C2414" t="inlineStr">
        <is>
          <t>Lohn + Gehalt</t>
        </is>
      </c>
      <c r="D2414" t="inlineStr">
        <is>
          <t>Personalaufwand</t>
        </is>
      </c>
      <c r="E2414" t="n">
        <v>428257.62</v>
      </c>
      <c r="F2414" t="n">
        <v>5139091.39</v>
      </c>
    </row>
    <row r="2415">
      <c r="A2415" t="n">
        <v>2031</v>
      </c>
      <c r="B2415" t="n">
        <v>7</v>
      </c>
      <c r="C2415" t="inlineStr">
        <is>
          <t>Soziale Abgaben</t>
        </is>
      </c>
      <c r="D2415" t="inlineStr">
        <is>
          <t>Personalaufwand</t>
        </is>
      </c>
      <c r="E2415" t="n">
        <v>113909.76</v>
      </c>
      <c r="F2415" t="n">
        <v>1366917.09</v>
      </c>
    </row>
    <row r="2416">
      <c r="A2416" t="n">
        <v>2031</v>
      </c>
      <c r="B2416" t="n">
        <v>7</v>
      </c>
      <c r="C2416" t="inlineStr">
        <is>
          <t>Sonst Fuhrparkkosten</t>
        </is>
      </c>
      <c r="D2416" t="inlineStr">
        <is>
          <t>Fuhrparkkosten</t>
        </is>
      </c>
      <c r="E2416" t="n">
        <v>6298.8</v>
      </c>
      <c r="F2416" t="n">
        <v>75585.56</v>
      </c>
    </row>
    <row r="2417">
      <c r="A2417" t="n">
        <v>2030</v>
      </c>
      <c r="B2417" t="n">
        <v>7</v>
      </c>
      <c r="C2417" t="inlineStr">
        <is>
          <t>Miete Behälter</t>
        </is>
      </c>
      <c r="D2417" t="inlineStr">
        <is>
          <t>Instandh. Betriebsausstattung</t>
        </is>
      </c>
      <c r="E2417" t="n">
        <v>26.55</v>
      </c>
      <c r="F2417" t="n">
        <v>318.62</v>
      </c>
    </row>
    <row r="2418">
      <c r="A2418" t="n">
        <v>2028</v>
      </c>
      <c r="B2418" t="n">
        <v>7</v>
      </c>
      <c r="C2418" t="inlineStr">
        <is>
          <t>Miete PKW</t>
        </is>
      </c>
      <c r="D2418" t="inlineStr">
        <is>
          <t>Fuhrparkkosten</t>
        </is>
      </c>
      <c r="E2418" t="n">
        <v>4890.62</v>
      </c>
      <c r="F2418" t="n">
        <v>58687.43</v>
      </c>
    </row>
    <row r="2419">
      <c r="A2419" t="n">
        <v>2030</v>
      </c>
      <c r="B2419" t="n">
        <v>7</v>
      </c>
      <c r="C2419" t="inlineStr">
        <is>
          <t>Aufwand Umlage</t>
        </is>
      </c>
      <c r="D2419" t="inlineStr">
        <is>
          <t>Verwaltungskosten</t>
        </is>
      </c>
      <c r="E2419" t="n">
        <v>3696.96</v>
      </c>
      <c r="F2419" t="n">
        <v>44363.53</v>
      </c>
    </row>
    <row r="2420">
      <c r="A2420" t="n">
        <v>2030</v>
      </c>
      <c r="B2420" t="n">
        <v>7</v>
      </c>
      <c r="C2420" t="inlineStr">
        <is>
          <t>So. betr. Aufwa</t>
        </is>
      </c>
      <c r="D2420" t="inlineStr">
        <is>
          <t>Verwaltungskosten</t>
        </is>
      </c>
      <c r="E2420" t="n">
        <v>714.05</v>
      </c>
      <c r="F2420" t="n">
        <v>8568.57</v>
      </c>
    </row>
    <row r="2421">
      <c r="A2421" t="n">
        <v>2029</v>
      </c>
      <c r="B2421" t="n">
        <v>7</v>
      </c>
      <c r="C2421" t="inlineStr">
        <is>
          <t>Versicherungskosten</t>
        </is>
      </c>
      <c r="D2421" t="inlineStr">
        <is>
          <t>Verwaltungskosten</t>
        </is>
      </c>
      <c r="E2421" t="n">
        <v>11446.7</v>
      </c>
      <c r="F2421" t="n">
        <v>137360.42</v>
      </c>
    </row>
    <row r="2422">
      <c r="A2422" t="n">
        <v>2027</v>
      </c>
      <c r="B2422" t="n">
        <v>7</v>
      </c>
      <c r="C2422" t="inlineStr">
        <is>
          <t>Sonstige Steuer</t>
        </is>
      </c>
      <c r="D2422" t="inlineStr">
        <is>
          <t>Fuhrparkkosten</t>
        </is>
      </c>
      <c r="E2422" t="n">
        <v>1497.31</v>
      </c>
      <c r="F2422" t="n">
        <v>17967.71</v>
      </c>
    </row>
    <row r="2423">
      <c r="A2423" t="n">
        <v>2031</v>
      </c>
      <c r="B2423" t="n">
        <v>7</v>
      </c>
      <c r="C2423" t="inlineStr">
        <is>
          <t>Leasing LKW</t>
        </is>
      </c>
      <c r="D2423" t="inlineStr">
        <is>
          <t>Fuhrparkkosten</t>
        </is>
      </c>
      <c r="E2423" t="n">
        <v>2910.36</v>
      </c>
      <c r="F2423" t="n">
        <v>34924.28</v>
      </c>
    </row>
    <row r="2424">
      <c r="A2424" t="n">
        <v>2029</v>
      </c>
      <c r="B2424" t="n">
        <v>7</v>
      </c>
      <c r="C2424" t="inlineStr">
        <is>
          <t>Leasing LKW</t>
        </is>
      </c>
      <c r="D2424" t="inlineStr">
        <is>
          <t>Fuhrparkkosten</t>
        </is>
      </c>
      <c r="E2424" t="n">
        <v>2590.21</v>
      </c>
      <c r="F2424" t="n">
        <v>31082.49</v>
      </c>
    </row>
    <row r="2425">
      <c r="A2425" t="n">
        <v>2027</v>
      </c>
      <c r="B2425" t="n">
        <v>7</v>
      </c>
      <c r="C2425" t="inlineStr">
        <is>
          <t>Instandh.Fuhrp</t>
        </is>
      </c>
      <c r="D2425" t="inlineStr">
        <is>
          <t>Fuhrparkkosten</t>
        </is>
      </c>
      <c r="E2425" t="n">
        <v>30358.86</v>
      </c>
      <c r="F2425" t="n">
        <v>364306.28</v>
      </c>
    </row>
    <row r="2426">
      <c r="A2426" t="n">
        <v>2029</v>
      </c>
      <c r="B2426" t="n">
        <v>7</v>
      </c>
      <c r="C2426" t="inlineStr">
        <is>
          <t>Vertriebskosten</t>
        </is>
      </c>
      <c r="D2426" t="inlineStr">
        <is>
          <t>Vertriebskosten</t>
        </is>
      </c>
      <c r="E2426" t="n">
        <v>11943.75</v>
      </c>
      <c r="F2426" t="n">
        <v>143325</v>
      </c>
    </row>
    <row r="2427">
      <c r="A2427" t="n">
        <v>2031</v>
      </c>
      <c r="B2427" t="n">
        <v>7</v>
      </c>
      <c r="C2427" t="inlineStr">
        <is>
          <t>Miete Grdst/Gebäud</t>
        </is>
      </c>
      <c r="D2427" t="inlineStr">
        <is>
          <t>Raumkosten</t>
        </is>
      </c>
      <c r="E2427" t="n">
        <v>18975.39</v>
      </c>
      <c r="F2427" t="n">
        <v>227704.65</v>
      </c>
    </row>
    <row r="2428">
      <c r="A2428" t="n">
        <v>2029</v>
      </c>
      <c r="B2428" t="n">
        <v>7</v>
      </c>
      <c r="C2428" t="inlineStr">
        <is>
          <t>Uebr.neutr. Ert</t>
        </is>
      </c>
      <c r="D2428" t="inlineStr">
        <is>
          <t>Gesamtleistung</t>
        </is>
      </c>
      <c r="E2428" t="n">
        <v>189.9</v>
      </c>
      <c r="F2428" t="n">
        <v>2278.85</v>
      </c>
    </row>
    <row r="2429">
      <c r="A2429" t="n">
        <v>2030</v>
      </c>
      <c r="B2429" t="n">
        <v>7</v>
      </c>
      <c r="C2429" t="inlineStr">
        <is>
          <t>Behaelterkosten</t>
        </is>
      </c>
      <c r="D2429" t="inlineStr">
        <is>
          <t>Instandh. Betriebsausstattung</t>
        </is>
      </c>
      <c r="E2429" t="n">
        <v>12.75</v>
      </c>
      <c r="F2429" t="n">
        <v>153.03</v>
      </c>
    </row>
    <row r="2430">
      <c r="A2430" t="n">
        <v>2029</v>
      </c>
      <c r="B2430" t="n">
        <v>7</v>
      </c>
      <c r="C2430" t="inlineStr">
        <is>
          <t>IT-Aufwendungen</t>
        </is>
      </c>
      <c r="D2430" t="inlineStr">
        <is>
          <t>Verwaltungskosten</t>
        </is>
      </c>
      <c r="E2430" t="n">
        <v>12302.44</v>
      </c>
      <c r="F2430" t="n">
        <v>147629.28</v>
      </c>
    </row>
    <row r="2431">
      <c r="A2431" t="n">
        <v>2028</v>
      </c>
      <c r="B2431" t="n">
        <v>7</v>
      </c>
      <c r="C2431" t="inlineStr">
        <is>
          <t>Instandh. BGA</t>
        </is>
      </c>
      <c r="D2431" t="inlineStr">
        <is>
          <t>Instandh. Betriebsausstattung</t>
        </is>
      </c>
      <c r="E2431" t="n">
        <v>4426.85</v>
      </c>
      <c r="F2431" t="n">
        <v>53122.2</v>
      </c>
    </row>
    <row r="2432">
      <c r="A2432" t="n">
        <v>2029</v>
      </c>
      <c r="B2432" t="n">
        <v>7</v>
      </c>
      <c r="C2432" t="inlineStr">
        <is>
          <t>Instandh.Fuhrp</t>
        </is>
      </c>
      <c r="D2432" t="inlineStr">
        <is>
          <t>Fuhrparkkosten</t>
        </is>
      </c>
      <c r="E2432" t="n">
        <v>34111.21</v>
      </c>
      <c r="F2432" t="n">
        <v>409334.56</v>
      </c>
    </row>
    <row r="2433">
      <c r="A2433" t="n">
        <v>2031</v>
      </c>
      <c r="B2433" t="n">
        <v>7</v>
      </c>
      <c r="C2433" t="inlineStr">
        <is>
          <t>Rechts- u. Beratungs</t>
        </is>
      </c>
      <c r="D2433" t="inlineStr">
        <is>
          <t>Verwaltungskosten</t>
        </is>
      </c>
      <c r="E2433" t="n">
        <v>28853.53</v>
      </c>
      <c r="F2433" t="n">
        <v>346242.38</v>
      </c>
    </row>
    <row r="2434">
      <c r="A2434" t="n">
        <v>2029</v>
      </c>
      <c r="B2434" t="n">
        <v>7</v>
      </c>
      <c r="C2434" t="inlineStr">
        <is>
          <t>Ertrag KFZ-Nutz</t>
        </is>
      </c>
      <c r="D2434" t="inlineStr">
        <is>
          <t>Gesamtleistung</t>
        </is>
      </c>
      <c r="E2434" t="n">
        <v>8815.82</v>
      </c>
      <c r="F2434" t="n">
        <v>105789.86</v>
      </c>
    </row>
    <row r="2435">
      <c r="A2435" t="n">
        <v>2030</v>
      </c>
      <c r="B2435" t="n">
        <v>7</v>
      </c>
      <c r="C2435" t="inlineStr">
        <is>
          <t>Ertr. weiterber</t>
        </is>
      </c>
      <c r="D2435" t="inlineStr">
        <is>
          <t>Gesamtleistung</t>
        </is>
      </c>
      <c r="E2435" t="n">
        <v>1104.47</v>
      </c>
      <c r="F2435" t="n">
        <v>13253.67</v>
      </c>
    </row>
    <row r="2436">
      <c r="A2436" t="n">
        <v>2028</v>
      </c>
      <c r="B2436" t="n">
        <v>7</v>
      </c>
      <c r="C2436" t="inlineStr">
        <is>
          <t>Leasing PKW</t>
        </is>
      </c>
      <c r="D2436" t="inlineStr">
        <is>
          <t>Fuhrparkkosten</t>
        </is>
      </c>
      <c r="E2436" t="n">
        <v>23256.85</v>
      </c>
      <c r="F2436" t="n">
        <v>279082.22</v>
      </c>
    </row>
    <row r="2437">
      <c r="A2437" t="n">
        <v>2028</v>
      </c>
      <c r="B2437" t="n">
        <v>7</v>
      </c>
      <c r="C2437" t="inlineStr">
        <is>
          <t>Treibstoffe, Oe</t>
        </is>
      </c>
      <c r="D2437" t="inlineStr">
        <is>
          <t>Fuhrparkkosten</t>
        </is>
      </c>
      <c r="E2437" t="n">
        <v>30417.62</v>
      </c>
      <c r="F2437" t="n">
        <v>365011.49</v>
      </c>
    </row>
    <row r="2438">
      <c r="A2438" t="n">
        <v>2029</v>
      </c>
      <c r="B2438" t="n">
        <v>7</v>
      </c>
      <c r="C2438" t="inlineStr">
        <is>
          <t>Miete PKW</t>
        </is>
      </c>
      <c r="D2438" t="inlineStr">
        <is>
          <t>Fuhrparkkosten</t>
        </is>
      </c>
      <c r="E2438" t="n">
        <v>5184.06</v>
      </c>
      <c r="F2438" t="n">
        <v>62208.67</v>
      </c>
    </row>
    <row r="2439">
      <c r="A2439" t="n">
        <v>2028</v>
      </c>
      <c r="B2439" t="n">
        <v>7</v>
      </c>
      <c r="C2439" t="inlineStr">
        <is>
          <t>Ertr. weiterber</t>
        </is>
      </c>
      <c r="D2439" t="inlineStr">
        <is>
          <t>Gesamtleistung</t>
        </is>
      </c>
      <c r="E2439" t="n">
        <v>980.91</v>
      </c>
      <c r="F2439" t="n">
        <v>11770.87</v>
      </c>
    </row>
    <row r="2440">
      <c r="A2440" t="n">
        <v>2029</v>
      </c>
      <c r="B2440" t="n">
        <v>7</v>
      </c>
      <c r="C2440" t="inlineStr">
        <is>
          <t>Instandh. BGA</t>
        </is>
      </c>
      <c r="D2440" t="inlineStr">
        <is>
          <t>Instandh. Betriebsausstattung</t>
        </is>
      </c>
      <c r="E2440" t="n">
        <v>4648.19</v>
      </c>
      <c r="F2440" t="n">
        <v>55778.31</v>
      </c>
    </row>
    <row r="2441">
      <c r="A2441" t="n">
        <v>2028</v>
      </c>
      <c r="B2441" t="n">
        <v>7</v>
      </c>
      <c r="C2441" t="inlineStr">
        <is>
          <t>Erl. so. DL Dt.</t>
        </is>
      </c>
      <c r="D2441" t="inlineStr">
        <is>
          <t>Gesamtleistung</t>
        </is>
      </c>
      <c r="E2441" t="n">
        <v>2095866.37</v>
      </c>
      <c r="F2441" t="n">
        <v>25150396.49</v>
      </c>
    </row>
    <row r="2442">
      <c r="A2442" t="n">
        <v>2028</v>
      </c>
      <c r="B2442" t="n">
        <v>7</v>
      </c>
      <c r="C2442" t="inlineStr">
        <is>
          <t>IT-Aufwendungen</t>
        </is>
      </c>
      <c r="D2442" t="inlineStr">
        <is>
          <t>Verwaltungskosten</t>
        </is>
      </c>
      <c r="E2442" t="n">
        <v>11944.12</v>
      </c>
      <c r="F2442" t="n">
        <v>143329.39</v>
      </c>
    </row>
    <row r="2443">
      <c r="A2443" t="n">
        <v>2029</v>
      </c>
      <c r="B2443" t="n">
        <v>7</v>
      </c>
      <c r="C2443" t="inlineStr">
        <is>
          <t>Ueb. bezog.Leis</t>
        </is>
      </c>
      <c r="D2443" t="inlineStr">
        <is>
          <t>Vorleistungen</t>
        </is>
      </c>
      <c r="E2443" t="n">
        <v>1364260.58</v>
      </c>
      <c r="F2443" t="n">
        <v>16371126.93</v>
      </c>
    </row>
    <row r="2444">
      <c r="A2444" t="n">
        <v>2031</v>
      </c>
      <c r="B2444" t="n">
        <v>7</v>
      </c>
      <c r="C2444" t="inlineStr">
        <is>
          <t>Sonderz. Prämie</t>
        </is>
      </c>
      <c r="D2444" t="inlineStr">
        <is>
          <t>Personalaufwand</t>
        </is>
      </c>
      <c r="E2444" t="n">
        <v>26838.18</v>
      </c>
      <c r="F2444" t="n">
        <v>322058.2</v>
      </c>
    </row>
    <row r="2445">
      <c r="A2445" t="n">
        <v>2029</v>
      </c>
      <c r="B2445" t="n">
        <v>7</v>
      </c>
      <c r="C2445" t="inlineStr">
        <is>
          <t>Verwaltungskost</t>
        </is>
      </c>
      <c r="D2445" t="inlineStr">
        <is>
          <t>Verwaltungskosten</t>
        </is>
      </c>
      <c r="E2445" t="n">
        <v>7098.98</v>
      </c>
      <c r="F2445" t="n">
        <v>85187.74000000001</v>
      </c>
    </row>
    <row r="2446">
      <c r="A2446" t="n">
        <v>2028</v>
      </c>
      <c r="B2446" t="n">
        <v>7</v>
      </c>
      <c r="C2446" t="inlineStr">
        <is>
          <t>Ertrag KFZ-Nutz</t>
        </is>
      </c>
      <c r="D2446" t="inlineStr">
        <is>
          <t>Gesamtleistung</t>
        </is>
      </c>
      <c r="E2446" t="n">
        <v>8405.780000000001</v>
      </c>
      <c r="F2446" t="n">
        <v>100869.3</v>
      </c>
    </row>
    <row r="2447">
      <c r="A2447" t="n">
        <v>2030</v>
      </c>
      <c r="B2447" t="n">
        <v>7</v>
      </c>
      <c r="C2447" t="inlineStr">
        <is>
          <t>Sonst Fuhrparkkosten</t>
        </is>
      </c>
      <c r="D2447" t="inlineStr">
        <is>
          <t>Fuhrparkkosten</t>
        </is>
      </c>
      <c r="E2447" t="n">
        <v>5942.26</v>
      </c>
      <c r="F2447" t="n">
        <v>71307.13</v>
      </c>
    </row>
    <row r="2448">
      <c r="A2448" t="n">
        <v>2028</v>
      </c>
      <c r="B2448" t="n">
        <v>7</v>
      </c>
      <c r="C2448" t="inlineStr">
        <is>
          <t>Rechts- u. Beratungs</t>
        </is>
      </c>
      <c r="D2448" t="inlineStr">
        <is>
          <t>Verwaltungskosten</t>
        </is>
      </c>
      <c r="E2448" t="n">
        <v>26405.07</v>
      </c>
      <c r="F2448" t="n">
        <v>316860.83</v>
      </c>
    </row>
    <row r="2449">
      <c r="A2449" t="n">
        <v>2027</v>
      </c>
      <c r="B2449" t="n">
        <v>7</v>
      </c>
      <c r="C2449" t="inlineStr">
        <is>
          <t>Leasing LKW</t>
        </is>
      </c>
      <c r="D2449" t="inlineStr">
        <is>
          <t>Fuhrparkkosten</t>
        </is>
      </c>
      <c r="E2449" t="n">
        <v>2305.28</v>
      </c>
      <c r="F2449" t="n">
        <v>27663.3</v>
      </c>
    </row>
    <row r="2450">
      <c r="A2450" t="n">
        <v>2031</v>
      </c>
      <c r="B2450" t="n">
        <v>7</v>
      </c>
      <c r="C2450" t="inlineStr">
        <is>
          <t>Fremdl. Fuhrlei</t>
        </is>
      </c>
      <c r="D2450" t="inlineStr">
        <is>
          <t>Vorleistungen</t>
        </is>
      </c>
      <c r="E2450" t="n">
        <v>374.24</v>
      </c>
      <c r="F2450" t="n">
        <v>4490.84</v>
      </c>
    </row>
    <row r="2451">
      <c r="A2451" t="n">
        <v>2029</v>
      </c>
      <c r="B2451" t="n">
        <v>7</v>
      </c>
      <c r="C2451" t="inlineStr">
        <is>
          <t>Fremdl. Fuhrlei</t>
        </is>
      </c>
      <c r="D2451" t="inlineStr">
        <is>
          <t>Vorleistungen</t>
        </is>
      </c>
      <c r="E2451" t="n">
        <v>362.07</v>
      </c>
      <c r="F2451" t="n">
        <v>4344.88</v>
      </c>
    </row>
    <row r="2452">
      <c r="A2452" t="n">
        <v>2028</v>
      </c>
      <c r="B2452" t="n">
        <v>7</v>
      </c>
      <c r="C2452" t="inlineStr">
        <is>
          <t>Vertriebskosten</t>
        </is>
      </c>
      <c r="D2452" t="inlineStr">
        <is>
          <t>Vertriebskosten</t>
        </is>
      </c>
      <c r="E2452" t="n">
        <v>11375</v>
      </c>
      <c r="F2452" t="n">
        <v>136500</v>
      </c>
    </row>
    <row r="2453">
      <c r="A2453" t="n">
        <v>2031</v>
      </c>
      <c r="B2453" t="n">
        <v>7</v>
      </c>
      <c r="C2453" t="inlineStr">
        <is>
          <t>Aufw. so. Hilfs</t>
        </is>
      </c>
      <c r="D2453" t="inlineStr">
        <is>
          <t>Vorleistungen</t>
        </is>
      </c>
      <c r="E2453" t="n">
        <v>-17544.22</v>
      </c>
      <c r="F2453" t="n">
        <v>-210530.6</v>
      </c>
    </row>
    <row r="2454">
      <c r="A2454" t="n">
        <v>2029</v>
      </c>
      <c r="B2454" t="n">
        <v>7</v>
      </c>
      <c r="C2454" t="inlineStr">
        <is>
          <t>Ankauf Rohstoff</t>
        </is>
      </c>
      <c r="D2454" t="inlineStr">
        <is>
          <t>Vorleistungen</t>
        </is>
      </c>
      <c r="E2454" t="n">
        <v>1473.64</v>
      </c>
      <c r="F2454" t="n">
        <v>17683.65</v>
      </c>
    </row>
    <row r="2455">
      <c r="A2455" t="n">
        <v>2028</v>
      </c>
      <c r="B2455" t="n">
        <v>7</v>
      </c>
      <c r="C2455" t="inlineStr">
        <is>
          <t>Sonstige Steuer</t>
        </is>
      </c>
      <c r="D2455" t="inlineStr">
        <is>
          <t>Fuhrparkkosten</t>
        </is>
      </c>
      <c r="E2455" t="n">
        <v>1587.15</v>
      </c>
      <c r="F2455" t="n">
        <v>19045.76</v>
      </c>
    </row>
    <row r="2456">
      <c r="A2456" t="n">
        <v>2030</v>
      </c>
      <c r="B2456" t="n">
        <v>7</v>
      </c>
      <c r="C2456" t="inlineStr">
        <is>
          <t>Weiterber. Frem</t>
        </is>
      </c>
      <c r="D2456" t="inlineStr">
        <is>
          <t>Vorleistungen</t>
        </is>
      </c>
      <c r="E2456" t="n">
        <v>0</v>
      </c>
      <c r="F2456" t="n">
        <v>0</v>
      </c>
    </row>
    <row r="2457">
      <c r="A2457" t="n">
        <v>2031</v>
      </c>
      <c r="B2457" t="n">
        <v>7</v>
      </c>
      <c r="C2457" t="inlineStr">
        <is>
          <t>Miete Behälter</t>
        </is>
      </c>
      <c r="D2457" t="inlineStr">
        <is>
          <t>Instandh. Betriebsausstattung</t>
        </is>
      </c>
      <c r="E2457" t="n">
        <v>27.88</v>
      </c>
      <c r="F2457" t="n">
        <v>334.55</v>
      </c>
    </row>
    <row r="2458">
      <c r="A2458" t="n">
        <v>2027</v>
      </c>
      <c r="B2458" t="n">
        <v>7</v>
      </c>
      <c r="C2458" t="inlineStr">
        <is>
          <t>Miete Grdst/Gebäud</t>
        </is>
      </c>
      <c r="D2458" t="inlineStr">
        <is>
          <t>Raumkosten</t>
        </is>
      </c>
      <c r="E2458" t="n">
        <v>15284.77</v>
      </c>
      <c r="F2458" t="n">
        <v>183417.26</v>
      </c>
    </row>
    <row r="2459">
      <c r="A2459" t="n">
        <v>2028</v>
      </c>
      <c r="B2459" t="n">
        <v>7</v>
      </c>
      <c r="C2459" t="inlineStr">
        <is>
          <t>Aufw. f. Alters</t>
        </is>
      </c>
      <c r="D2459" t="inlineStr">
        <is>
          <t>Personalaufwand</t>
        </is>
      </c>
      <c r="E2459" t="n">
        <v>1290.05</v>
      </c>
      <c r="F2459" t="n">
        <v>15480.56</v>
      </c>
    </row>
    <row r="2460">
      <c r="A2460" t="n">
        <v>2028</v>
      </c>
      <c r="B2460" t="n">
        <v>7</v>
      </c>
      <c r="C2460" t="inlineStr">
        <is>
          <t>Fremdl. Persona</t>
        </is>
      </c>
      <c r="D2460" t="inlineStr">
        <is>
          <t>Vorleistungen</t>
        </is>
      </c>
      <c r="E2460" t="n">
        <v>69.04000000000001</v>
      </c>
      <c r="F2460" t="n">
        <v>828.42</v>
      </c>
    </row>
    <row r="2461">
      <c r="A2461" t="n">
        <v>2030</v>
      </c>
      <c r="B2461" t="n">
        <v>7</v>
      </c>
      <c r="C2461" t="inlineStr">
        <is>
          <t>Vertriebskosten</t>
        </is>
      </c>
      <c r="D2461" t="inlineStr">
        <is>
          <t>Vertriebskosten</t>
        </is>
      </c>
      <c r="E2461" t="n">
        <v>12540.94</v>
      </c>
      <c r="F2461" t="n">
        <v>150491.26</v>
      </c>
    </row>
    <row r="2462">
      <c r="A2462" t="n">
        <v>2030</v>
      </c>
      <c r="B2462" t="n">
        <v>7</v>
      </c>
      <c r="C2462" t="inlineStr">
        <is>
          <t>Aufw. so. Hilfs</t>
        </is>
      </c>
      <c r="D2462" t="inlineStr">
        <is>
          <t>Vorleistungen</t>
        </is>
      </c>
      <c r="E2462" t="n">
        <v>-17197.35</v>
      </c>
      <c r="F2462" t="n">
        <v>-206368.2</v>
      </c>
    </row>
    <row r="2463">
      <c r="A2463" t="n">
        <v>2029</v>
      </c>
      <c r="B2463" t="n">
        <v>7</v>
      </c>
      <c r="C2463" t="inlineStr">
        <is>
          <t>Aufw. so. Hilfs</t>
        </is>
      </c>
      <c r="D2463" t="inlineStr">
        <is>
          <t>Vorleistungen</t>
        </is>
      </c>
      <c r="E2463" t="n">
        <v>-16834.66</v>
      </c>
      <c r="F2463" t="n">
        <v>-202015.88</v>
      </c>
    </row>
    <row r="2464">
      <c r="A2464" t="n">
        <v>2027</v>
      </c>
      <c r="B2464" t="n">
        <v>7</v>
      </c>
      <c r="C2464" t="inlineStr">
        <is>
          <t>Miete PKW</t>
        </is>
      </c>
      <c r="D2464" t="inlineStr">
        <is>
          <t>Fuhrparkkosten</t>
        </is>
      </c>
      <c r="E2464" t="n">
        <v>4613.79</v>
      </c>
      <c r="F2464" t="n">
        <v>55365.51</v>
      </c>
    </row>
    <row r="2465">
      <c r="A2465" t="n">
        <v>2030</v>
      </c>
      <c r="B2465" t="n">
        <v>7</v>
      </c>
      <c r="C2465" t="inlineStr">
        <is>
          <t>Fremdl. Fuhrlei</t>
        </is>
      </c>
      <c r="D2465" t="inlineStr">
        <is>
          <t>Vorleistungen</t>
        </is>
      </c>
      <c r="E2465" t="n">
        <v>368.3</v>
      </c>
      <c r="F2465" t="n">
        <v>4419.56</v>
      </c>
    </row>
    <row r="2466">
      <c r="A2466" t="n">
        <v>2030</v>
      </c>
      <c r="B2466" t="n">
        <v>7</v>
      </c>
      <c r="C2466" t="inlineStr">
        <is>
          <t>Miete PKW</t>
        </is>
      </c>
      <c r="D2466" t="inlineStr">
        <is>
          <t>Fuhrparkkosten</t>
        </is>
      </c>
      <c r="E2466" t="n">
        <v>5495.1</v>
      </c>
      <c r="F2466" t="n">
        <v>65941.19</v>
      </c>
    </row>
    <row r="2467">
      <c r="A2467" t="n">
        <v>2027</v>
      </c>
      <c r="B2467" t="n">
        <v>7</v>
      </c>
      <c r="C2467" t="inlineStr">
        <is>
          <t>Erl. Waren Dt.</t>
        </is>
      </c>
      <c r="D2467" t="inlineStr">
        <is>
          <t>Gesamtleistung</t>
        </is>
      </c>
      <c r="E2467" t="n">
        <v>42246.46</v>
      </c>
      <c r="F2467" t="n">
        <v>506957.51</v>
      </c>
    </row>
    <row r="2468">
      <c r="A2468" t="n">
        <v>2029</v>
      </c>
      <c r="B2468" t="n">
        <v>7</v>
      </c>
      <c r="C2468" t="inlineStr">
        <is>
          <t>Bestandsveraend</t>
        </is>
      </c>
      <c r="D2468" t="inlineStr">
        <is>
          <t>Gesamtleistung</t>
        </is>
      </c>
      <c r="E2468" t="n">
        <v>0</v>
      </c>
      <c r="F2468" t="n">
        <v>0</v>
      </c>
    </row>
    <row r="2469">
      <c r="A2469" t="n">
        <v>2031</v>
      </c>
      <c r="B2469" t="n">
        <v>7</v>
      </c>
      <c r="C2469" t="inlineStr">
        <is>
          <t>Leasing PKW</t>
        </is>
      </c>
      <c r="D2469" t="inlineStr">
        <is>
          <t>Fuhrparkkosten</t>
        </is>
      </c>
      <c r="E2469" t="n">
        <v>27699.28</v>
      </c>
      <c r="F2469" t="n">
        <v>332391.4</v>
      </c>
    </row>
    <row r="2470">
      <c r="A2470" t="n">
        <v>2029</v>
      </c>
      <c r="B2470" t="n">
        <v>7</v>
      </c>
      <c r="C2470" t="inlineStr">
        <is>
          <t>Behaelterkosten</t>
        </is>
      </c>
      <c r="D2470" t="inlineStr">
        <is>
          <t>Instandh. Betriebsausstattung</t>
        </is>
      </c>
      <c r="E2470" t="n">
        <v>12.15</v>
      </c>
      <c r="F2470" t="n">
        <v>145.74</v>
      </c>
    </row>
    <row r="2471">
      <c r="A2471" t="n">
        <v>2029</v>
      </c>
      <c r="B2471" t="n">
        <v>7</v>
      </c>
      <c r="C2471" t="inlineStr">
        <is>
          <t>Aufwand Umlage</t>
        </is>
      </c>
      <c r="D2471" t="inlineStr">
        <is>
          <t>Verwaltungskosten</t>
        </is>
      </c>
      <c r="E2471" t="n">
        <v>3589.28</v>
      </c>
      <c r="F2471" t="n">
        <v>43071.39</v>
      </c>
    </row>
    <row r="2472">
      <c r="A2472" t="n">
        <v>2030</v>
      </c>
      <c r="B2472" t="n">
        <v>7</v>
      </c>
      <c r="C2472" t="inlineStr">
        <is>
          <t>Instandh.Fuhrp</t>
        </is>
      </c>
      <c r="D2472" t="inlineStr">
        <is>
          <t>Fuhrparkkosten</t>
        </is>
      </c>
      <c r="E2472" t="n">
        <v>36157.89</v>
      </c>
      <c r="F2472" t="n">
        <v>433894.62</v>
      </c>
    </row>
    <row r="2473">
      <c r="A2473" t="n">
        <v>2028</v>
      </c>
      <c r="B2473" t="n">
        <v>7</v>
      </c>
      <c r="C2473" t="inlineStr">
        <is>
          <t>Sonderz. Prämie</t>
        </is>
      </c>
      <c r="D2473" t="inlineStr">
        <is>
          <t>Personalaufwand</t>
        </is>
      </c>
      <c r="E2473" t="n">
        <v>21386.26</v>
      </c>
      <c r="F2473" t="n">
        <v>256635.15</v>
      </c>
    </row>
    <row r="2474">
      <c r="A2474" t="n">
        <v>2029</v>
      </c>
      <c r="B2474" t="n">
        <v>7</v>
      </c>
      <c r="C2474" t="inlineStr">
        <is>
          <t>Aufw. f. Alters</t>
        </is>
      </c>
      <c r="D2474" t="inlineStr">
        <is>
          <t>Personalaufwand</t>
        </is>
      </c>
      <c r="E2474" t="n">
        <v>1366.43</v>
      </c>
      <c r="F2474" t="n">
        <v>16397.15</v>
      </c>
    </row>
    <row r="2475">
      <c r="A2475" t="n">
        <v>2027</v>
      </c>
      <c r="B2475" t="n">
        <v>7</v>
      </c>
      <c r="C2475" t="inlineStr">
        <is>
          <t>Ertr. weiterber</t>
        </is>
      </c>
      <c r="D2475" t="inlineStr">
        <is>
          <t>Gesamtleistung</t>
        </is>
      </c>
      <c r="E2475" t="n">
        <v>919.41</v>
      </c>
      <c r="F2475" t="n">
        <v>11032.96</v>
      </c>
    </row>
    <row r="2476">
      <c r="A2476" t="n">
        <v>2029</v>
      </c>
      <c r="B2476" t="n">
        <v>7</v>
      </c>
      <c r="C2476" t="inlineStr">
        <is>
          <t>So. betr. Aufwa</t>
        </is>
      </c>
      <c r="D2476" t="inlineStr">
        <is>
          <t>Verwaltungskosten</t>
        </is>
      </c>
      <c r="E2476" t="n">
        <v>693.25</v>
      </c>
      <c r="F2476" t="n">
        <v>8319.02</v>
      </c>
    </row>
    <row r="2477">
      <c r="A2477" t="n">
        <v>2031</v>
      </c>
      <c r="B2477" t="n">
        <v>7</v>
      </c>
      <c r="C2477" t="inlineStr">
        <is>
          <t>Ertr. weiterber</t>
        </is>
      </c>
      <c r="D2477" t="inlineStr">
        <is>
          <t>Gesamtleistung</t>
        </is>
      </c>
      <c r="E2477" t="n">
        <v>1173.93</v>
      </c>
      <c r="F2477" t="n">
        <v>14087.11</v>
      </c>
    </row>
    <row r="2478">
      <c r="A2478" t="n">
        <v>2031</v>
      </c>
      <c r="B2478" t="n">
        <v>7</v>
      </c>
      <c r="C2478" t="inlineStr">
        <is>
          <t>Ueb. bezog.Leis</t>
        </is>
      </c>
      <c r="D2478" t="inlineStr">
        <is>
          <t>Vorleistungen</t>
        </is>
      </c>
      <c r="E2478" t="n">
        <v>1404446.73</v>
      </c>
      <c r="F2478" t="n">
        <v>16853360.74</v>
      </c>
    </row>
    <row r="2479">
      <c r="A2479" t="n">
        <v>2027</v>
      </c>
      <c r="B2479" t="n">
        <v>7</v>
      </c>
      <c r="C2479" t="inlineStr">
        <is>
          <t>Fremdl. Fuhrlei</t>
        </is>
      </c>
      <c r="D2479" t="inlineStr">
        <is>
          <t>Vorleistungen</t>
        </is>
      </c>
      <c r="E2479" t="n">
        <v>371.09</v>
      </c>
      <c r="F2479" t="n">
        <v>4453.13</v>
      </c>
    </row>
    <row r="2480">
      <c r="A2480" t="n">
        <v>2027</v>
      </c>
      <c r="B2480" t="n">
        <v>7</v>
      </c>
      <c r="C2480" t="inlineStr">
        <is>
          <t>Behaelterkosten</t>
        </is>
      </c>
      <c r="D2480" t="inlineStr">
        <is>
          <t>Instandh. Betriebsausstattung</t>
        </is>
      </c>
      <c r="E2480" t="n">
        <v>11.02</v>
      </c>
      <c r="F2480" t="n">
        <v>132.19</v>
      </c>
    </row>
    <row r="2481">
      <c r="A2481" t="n">
        <v>2027</v>
      </c>
      <c r="B2481" t="n">
        <v>7</v>
      </c>
      <c r="C2481" t="inlineStr">
        <is>
          <t>Ueb Lohn-Gehalt</t>
        </is>
      </c>
      <c r="D2481" t="inlineStr">
        <is>
          <t>Personalaufwand</t>
        </is>
      </c>
      <c r="E2481" t="n">
        <v>30579.25</v>
      </c>
      <c r="F2481" t="n">
        <v>366951</v>
      </c>
    </row>
    <row r="2482">
      <c r="A2482" t="n">
        <v>2028</v>
      </c>
      <c r="B2482" t="n">
        <v>7</v>
      </c>
      <c r="C2482" t="inlineStr">
        <is>
          <t>Raumkosten</t>
        </is>
      </c>
      <c r="D2482" t="inlineStr">
        <is>
          <t>Raumkosten</t>
        </is>
      </c>
      <c r="E2482" t="n">
        <v>7023.98</v>
      </c>
      <c r="F2482" t="n">
        <v>84287.78</v>
      </c>
    </row>
    <row r="2483">
      <c r="A2483" t="n">
        <v>2031</v>
      </c>
      <c r="B2483" t="n">
        <v>7</v>
      </c>
      <c r="C2483" t="inlineStr">
        <is>
          <t>Bestandsveraend</t>
        </is>
      </c>
      <c r="D2483" t="inlineStr">
        <is>
          <t>Gesamtleistung</t>
        </is>
      </c>
      <c r="E2483" t="n">
        <v>0</v>
      </c>
      <c r="F2483" t="n">
        <v>0</v>
      </c>
    </row>
    <row r="2484">
      <c r="A2484" t="n">
        <v>2029</v>
      </c>
      <c r="B2484" t="n">
        <v>7</v>
      </c>
      <c r="C2484" t="inlineStr">
        <is>
          <t>Lohn + Gehalt</t>
        </is>
      </c>
      <c r="D2484" t="inlineStr">
        <is>
          <t>Personalaufwand</t>
        </is>
      </c>
      <c r="E2484" t="n">
        <v>356250.11</v>
      </c>
      <c r="F2484" t="n">
        <v>4275001.35</v>
      </c>
    </row>
    <row r="2485">
      <c r="A2485" t="n">
        <v>2029</v>
      </c>
      <c r="B2485" t="n">
        <v>7</v>
      </c>
      <c r="C2485" t="inlineStr">
        <is>
          <t>Aufw. Heizmat.</t>
        </is>
      </c>
      <c r="D2485" t="inlineStr">
        <is>
          <t>Vorleistungen</t>
        </is>
      </c>
      <c r="E2485" t="n">
        <v>245.07</v>
      </c>
      <c r="F2485" t="n">
        <v>2940.88</v>
      </c>
    </row>
    <row r="2486">
      <c r="A2486" t="n">
        <v>2031</v>
      </c>
      <c r="B2486" t="n">
        <v>7</v>
      </c>
      <c r="C2486" t="inlineStr">
        <is>
          <t>Verwaltungskost</t>
        </is>
      </c>
      <c r="D2486" t="inlineStr">
        <is>
          <t>Verwaltungskosten</t>
        </is>
      </c>
      <c r="E2486" t="n">
        <v>7531.31</v>
      </c>
      <c r="F2486" t="n">
        <v>90375.69</v>
      </c>
    </row>
    <row r="2487">
      <c r="A2487" t="n">
        <v>2028</v>
      </c>
      <c r="B2487" t="n">
        <v>7</v>
      </c>
      <c r="C2487" t="inlineStr">
        <is>
          <t>Erl. Waren Dt.</t>
        </is>
      </c>
      <c r="D2487" t="inlineStr">
        <is>
          <t>Gesamtleistung</t>
        </is>
      </c>
      <c r="E2487" t="n">
        <v>44950.49</v>
      </c>
      <c r="F2487" t="n">
        <v>539405.87</v>
      </c>
    </row>
    <row r="2488">
      <c r="A2488" t="n">
        <v>2030</v>
      </c>
      <c r="B2488" t="n">
        <v>7</v>
      </c>
      <c r="C2488" t="inlineStr">
        <is>
          <t>Uebr.neutr. Ert</t>
        </is>
      </c>
      <c r="D2488" t="inlineStr">
        <is>
          <t>Gesamtleistung</t>
        </is>
      </c>
      <c r="E2488" t="n">
        <v>207.38</v>
      </c>
      <c r="F2488" t="n">
        <v>2488.5</v>
      </c>
    </row>
    <row r="2489">
      <c r="A2489" t="n">
        <v>2030</v>
      </c>
      <c r="B2489" t="n">
        <v>7</v>
      </c>
      <c r="C2489" t="inlineStr">
        <is>
          <t>Raumkosten</t>
        </is>
      </c>
      <c r="D2489" t="inlineStr">
        <is>
          <t>Raumkosten</t>
        </is>
      </c>
      <c r="E2489" t="n">
        <v>7307.75</v>
      </c>
      <c r="F2489" t="n">
        <v>87693</v>
      </c>
    </row>
    <row r="2490">
      <c r="A2490" t="n">
        <v>2030</v>
      </c>
      <c r="B2490" t="n">
        <v>7</v>
      </c>
      <c r="C2490" t="inlineStr">
        <is>
          <t>Fremdl. Persona</t>
        </is>
      </c>
      <c r="D2490" t="inlineStr">
        <is>
          <t>Vorleistungen</t>
        </is>
      </c>
      <c r="E2490" t="n">
        <v>76.56999999999999</v>
      </c>
      <c r="F2490" t="n">
        <v>918.79</v>
      </c>
    </row>
    <row r="2491">
      <c r="A2491" t="n">
        <v>2027</v>
      </c>
      <c r="B2491" t="n">
        <v>7</v>
      </c>
      <c r="C2491" t="inlineStr">
        <is>
          <t>Leasing PKW</t>
        </is>
      </c>
      <c r="D2491" t="inlineStr">
        <is>
          <t>Fuhrparkkosten</t>
        </is>
      </c>
      <c r="E2491" t="n">
        <v>21940.43</v>
      </c>
      <c r="F2491" t="n">
        <v>263285.11</v>
      </c>
    </row>
    <row r="2492">
      <c r="A2492" t="n">
        <v>2030</v>
      </c>
      <c r="B2492" t="n">
        <v>7</v>
      </c>
      <c r="C2492" t="inlineStr">
        <is>
          <t>Ertrag KFZ-Nutz</t>
        </is>
      </c>
      <c r="D2492" t="inlineStr">
        <is>
          <t>Gesamtleistung</t>
        </is>
      </c>
      <c r="E2492" t="n">
        <v>9193.41</v>
      </c>
      <c r="F2492" t="n">
        <v>110320.94</v>
      </c>
    </row>
    <row r="2493">
      <c r="A2493" t="n">
        <v>2028</v>
      </c>
      <c r="B2493" t="n">
        <v>7</v>
      </c>
      <c r="C2493" t="inlineStr">
        <is>
          <t>Uebr.neutr. Ert</t>
        </is>
      </c>
      <c r="D2493" t="inlineStr">
        <is>
          <t>Gesamtleistung</t>
        </is>
      </c>
      <c r="E2493" t="n">
        <v>151.92</v>
      </c>
      <c r="F2493" t="n">
        <v>1823.08</v>
      </c>
    </row>
    <row r="2494">
      <c r="A2494" t="n">
        <v>2030</v>
      </c>
      <c r="B2494" t="n">
        <v>7</v>
      </c>
      <c r="C2494" t="inlineStr">
        <is>
          <t>Soziale Abgaben</t>
        </is>
      </c>
      <c r="D2494" t="inlineStr">
        <is>
          <t>Personalaufwand</t>
        </is>
      </c>
      <c r="E2494" t="n">
        <v>104141.87</v>
      </c>
      <c r="F2494" t="n">
        <v>1249702.47</v>
      </c>
    </row>
    <row r="2495">
      <c r="A2495" t="n">
        <v>2030</v>
      </c>
      <c r="B2495" t="n">
        <v>7</v>
      </c>
      <c r="C2495" t="inlineStr">
        <is>
          <t>Ankauf Rohstoff</t>
        </is>
      </c>
      <c r="D2495" t="inlineStr">
        <is>
          <t>Vorleistungen</t>
        </is>
      </c>
      <c r="E2495" t="n">
        <v>1483.55</v>
      </c>
      <c r="F2495" t="n">
        <v>17802.65</v>
      </c>
    </row>
    <row r="2496">
      <c r="A2496" t="n">
        <v>2031</v>
      </c>
      <c r="B2496" t="n">
        <v>7</v>
      </c>
      <c r="C2496" t="inlineStr">
        <is>
          <t>Aufw. Heizmat.</t>
        </is>
      </c>
      <c r="D2496" t="inlineStr">
        <is>
          <t>Vorleistungen</t>
        </is>
      </c>
      <c r="E2496" t="n">
        <v>216.16</v>
      </c>
      <c r="F2496" t="n">
        <v>2593.97</v>
      </c>
    </row>
    <row r="2497">
      <c r="A2497" t="n">
        <v>2030</v>
      </c>
      <c r="B2497" t="n">
        <v>7</v>
      </c>
      <c r="C2497" t="inlineStr">
        <is>
          <t>IT-Aufwendungen</t>
        </is>
      </c>
      <c r="D2497" t="inlineStr">
        <is>
          <t>Verwaltungskosten</t>
        </is>
      </c>
      <c r="E2497" t="n">
        <v>12671.51</v>
      </c>
      <c r="F2497" t="n">
        <v>152058.16</v>
      </c>
    </row>
    <row r="2498">
      <c r="A2498" t="n">
        <v>2027</v>
      </c>
      <c r="B2498" t="n">
        <v>7</v>
      </c>
      <c r="C2498" t="inlineStr">
        <is>
          <t>Treibstoffe, Oe</t>
        </is>
      </c>
      <c r="D2498" t="inlineStr">
        <is>
          <t>Fuhrparkkosten</t>
        </is>
      </c>
      <c r="E2498" t="n">
        <v>28695.87</v>
      </c>
      <c r="F2498" t="n">
        <v>344350.48</v>
      </c>
    </row>
    <row r="2499">
      <c r="A2499" t="n">
        <v>2028</v>
      </c>
      <c r="B2499" t="n">
        <v>7</v>
      </c>
      <c r="C2499" t="inlineStr">
        <is>
          <t>Aufw. Heizmat.</t>
        </is>
      </c>
      <c r="D2499" t="inlineStr">
        <is>
          <t>Vorleistungen</t>
        </is>
      </c>
      <c r="E2499" t="n">
        <v>260.43</v>
      </c>
      <c r="F2499" t="n">
        <v>3125.13</v>
      </c>
    </row>
    <row r="2500">
      <c r="A2500" t="n">
        <v>2031</v>
      </c>
      <c r="B2500" t="n">
        <v>7</v>
      </c>
      <c r="C2500" t="inlineStr">
        <is>
          <t>Ertrag KFZ-Nutz</t>
        </is>
      </c>
      <c r="D2500" t="inlineStr">
        <is>
          <t>Gesamtleistung</t>
        </is>
      </c>
      <c r="E2500" t="n">
        <v>9597.290000000001</v>
      </c>
      <c r="F2500" t="n">
        <v>115167.5</v>
      </c>
    </row>
    <row r="2501">
      <c r="A2501" t="n">
        <v>2027</v>
      </c>
      <c r="B2501" t="n">
        <v>7</v>
      </c>
      <c r="C2501" t="inlineStr">
        <is>
          <t>Raumkosten</t>
        </is>
      </c>
      <c r="D2501" t="inlineStr">
        <is>
          <t>Raumkosten</t>
        </is>
      </c>
      <c r="E2501" t="n">
        <v>5046.85</v>
      </c>
      <c r="F2501" t="n">
        <v>60562.14</v>
      </c>
    </row>
    <row r="2502">
      <c r="A2502" t="n">
        <v>2028</v>
      </c>
      <c r="B2502" t="n">
        <v>7</v>
      </c>
      <c r="C2502" t="inlineStr">
        <is>
          <t>Soziale Abgaben</t>
        </is>
      </c>
      <c r="D2502" t="inlineStr">
        <is>
          <t>Personalaufwand</t>
        </is>
      </c>
      <c r="E2502" t="n">
        <v>85007.57000000001</v>
      </c>
      <c r="F2502" t="n">
        <v>1020090.84</v>
      </c>
    </row>
    <row r="2503">
      <c r="A2503" t="n">
        <v>2029</v>
      </c>
      <c r="B2503" t="n">
        <v>7</v>
      </c>
      <c r="C2503" t="inlineStr">
        <is>
          <t>Miete Grdst/Gebäud</t>
        </is>
      </c>
      <c r="D2503" t="inlineStr">
        <is>
          <t>Raumkosten</t>
        </is>
      </c>
      <c r="E2503" t="n">
        <v>18238.55</v>
      </c>
      <c r="F2503" t="n">
        <v>218862.64</v>
      </c>
    </row>
    <row r="2504">
      <c r="A2504" t="n">
        <v>2031</v>
      </c>
      <c r="B2504" t="n">
        <v>7</v>
      </c>
      <c r="C2504" t="inlineStr">
        <is>
          <t>Raumkosten</t>
        </is>
      </c>
      <c r="D2504" t="inlineStr">
        <is>
          <t>Raumkosten</t>
        </is>
      </c>
      <c r="E2504" t="n">
        <v>7453.91</v>
      </c>
      <c r="F2504" t="n">
        <v>89446.89</v>
      </c>
    </row>
    <row r="2505">
      <c r="A2505" t="n">
        <v>2031</v>
      </c>
      <c r="B2505" t="n">
        <v>7</v>
      </c>
      <c r="C2505" t="inlineStr">
        <is>
          <t>Behaelterkosten</t>
        </is>
      </c>
      <c r="D2505" t="inlineStr">
        <is>
          <t>Instandh. Betriebsausstattung</t>
        </is>
      </c>
      <c r="E2505" t="n">
        <v>13.39</v>
      </c>
      <c r="F2505" t="n">
        <v>160.68</v>
      </c>
    </row>
    <row r="2506">
      <c r="A2506" t="n">
        <v>2031</v>
      </c>
      <c r="B2506" t="n">
        <v>7</v>
      </c>
      <c r="C2506" t="inlineStr">
        <is>
          <t>Instandh.Fuhrp</t>
        </is>
      </c>
      <c r="D2506" t="inlineStr">
        <is>
          <t>Fuhrparkkosten</t>
        </is>
      </c>
      <c r="E2506" t="n">
        <v>38327.36</v>
      </c>
      <c r="F2506" t="n">
        <v>459928.28</v>
      </c>
    </row>
    <row r="2507">
      <c r="A2507" t="n">
        <v>2030</v>
      </c>
      <c r="B2507" t="n">
        <v>7</v>
      </c>
      <c r="C2507" t="inlineStr">
        <is>
          <t>Ueb. bezog.Leis</t>
        </is>
      </c>
      <c r="D2507" t="inlineStr">
        <is>
          <t>Vorleistungen</t>
        </is>
      </c>
      <c r="E2507" t="n">
        <v>1385029.28</v>
      </c>
      <c r="F2507" t="n">
        <v>16620351.38</v>
      </c>
    </row>
    <row r="2508">
      <c r="A2508" t="n">
        <v>2027</v>
      </c>
      <c r="B2508" t="n">
        <v>7</v>
      </c>
      <c r="C2508" t="inlineStr">
        <is>
          <t>Miete LKW,Schiffe</t>
        </is>
      </c>
      <c r="D2508" t="inlineStr">
        <is>
          <t>Fuhrparkkosten</t>
        </is>
      </c>
      <c r="E2508" t="n">
        <v>36751.61</v>
      </c>
      <c r="F2508" t="n">
        <v>441019.28</v>
      </c>
    </row>
    <row r="2509">
      <c r="A2509" t="n">
        <v>2030</v>
      </c>
      <c r="B2509" t="n">
        <v>7</v>
      </c>
      <c r="C2509" t="inlineStr">
        <is>
          <t>Leasing LKW</t>
        </is>
      </c>
      <c r="D2509" t="inlineStr">
        <is>
          <t>Fuhrparkkosten</t>
        </is>
      </c>
      <c r="E2509" t="n">
        <v>2745.62</v>
      </c>
      <c r="F2509" t="n">
        <v>32947.44</v>
      </c>
    </row>
    <row r="2510">
      <c r="A2510" t="n">
        <v>2031</v>
      </c>
      <c r="B2510" t="n">
        <v>7</v>
      </c>
      <c r="C2510" t="inlineStr">
        <is>
          <t>Vertriebskosten</t>
        </is>
      </c>
      <c r="D2510" t="inlineStr">
        <is>
          <t>Vertriebskosten</t>
        </is>
      </c>
      <c r="E2510" t="n">
        <v>13167.99</v>
      </c>
      <c r="F2510" t="n">
        <v>158015.82</v>
      </c>
    </row>
    <row r="2511">
      <c r="A2511" t="n">
        <v>2028</v>
      </c>
      <c r="B2511" t="n">
        <v>7</v>
      </c>
      <c r="C2511" t="inlineStr">
        <is>
          <t>Behaelterkosten</t>
        </is>
      </c>
      <c r="D2511" t="inlineStr">
        <is>
          <t>Instandh. Betriebsausstattung</t>
        </is>
      </c>
      <c r="E2511" t="n">
        <v>11.57</v>
      </c>
      <c r="F2511" t="n">
        <v>138.8</v>
      </c>
    </row>
    <row r="2512">
      <c r="A2512" t="n">
        <v>2030</v>
      </c>
      <c r="B2512" t="n">
        <v>7</v>
      </c>
      <c r="C2512" t="inlineStr">
        <is>
          <t>Verwaltungskost</t>
        </is>
      </c>
      <c r="D2512" t="inlineStr">
        <is>
          <t>Verwaltungskosten</t>
        </is>
      </c>
      <c r="E2512" t="n">
        <v>7311.95</v>
      </c>
      <c r="F2512" t="n">
        <v>87743.38</v>
      </c>
    </row>
    <row r="2513">
      <c r="A2513" t="n">
        <v>2030</v>
      </c>
      <c r="B2513" t="n">
        <v>7</v>
      </c>
      <c r="C2513" t="inlineStr">
        <is>
          <t>Rechts- u. Beratungs</t>
        </is>
      </c>
      <c r="D2513" t="inlineStr">
        <is>
          <t>Verwaltungskosten</t>
        </is>
      </c>
      <c r="E2513" t="n">
        <v>28013.14</v>
      </c>
      <c r="F2513" t="n">
        <v>336157.66</v>
      </c>
    </row>
    <row r="2514">
      <c r="A2514" t="n">
        <v>2028</v>
      </c>
      <c r="B2514" t="n">
        <v>7</v>
      </c>
      <c r="C2514" t="inlineStr">
        <is>
          <t>Sonst Fuhrparkkosten</t>
        </is>
      </c>
      <c r="D2514" t="inlineStr">
        <is>
          <t>Fuhrparkkosten</t>
        </is>
      </c>
      <c r="E2514" t="n">
        <v>5288.59</v>
      </c>
      <c r="F2514" t="n">
        <v>63463.1</v>
      </c>
    </row>
    <row r="2515">
      <c r="A2515" t="n">
        <v>2029</v>
      </c>
      <c r="B2515" t="n">
        <v>7</v>
      </c>
      <c r="C2515" t="inlineStr">
        <is>
          <t>Erl. so. DL Dt.</t>
        </is>
      </c>
      <c r="D2515" t="inlineStr">
        <is>
          <t>Gesamtleistung</t>
        </is>
      </c>
      <c r="E2515" t="n">
        <v>2200755.15</v>
      </c>
      <c r="F2515" t="n">
        <v>26409061.76</v>
      </c>
    </row>
    <row r="2516">
      <c r="A2516" t="n">
        <v>2031</v>
      </c>
      <c r="B2516" t="n">
        <v>7</v>
      </c>
      <c r="C2516" t="inlineStr">
        <is>
          <t>Uebr.neutr. Ert</t>
        </is>
      </c>
      <c r="D2516" t="inlineStr">
        <is>
          <t>Gesamtleistung</t>
        </is>
      </c>
      <c r="E2516" t="n">
        <v>227.28</v>
      </c>
      <c r="F2516" t="n">
        <v>2727.33</v>
      </c>
    </row>
    <row r="2517">
      <c r="A2517" t="n">
        <v>2030</v>
      </c>
      <c r="B2517" t="n">
        <v>7</v>
      </c>
      <c r="C2517" t="inlineStr">
        <is>
          <t>Erl. Waren Dt.</t>
        </is>
      </c>
      <c r="D2517" t="inlineStr">
        <is>
          <t>Gesamtleistung</t>
        </is>
      </c>
      <c r="E2517" t="n">
        <v>49038.99</v>
      </c>
      <c r="F2517" t="n">
        <v>588467.85</v>
      </c>
    </row>
    <row r="2518">
      <c r="A2518" t="n">
        <v>2028</v>
      </c>
      <c r="B2518" t="n">
        <v>7</v>
      </c>
      <c r="C2518" t="inlineStr">
        <is>
          <t>Weiterber. Frem</t>
        </is>
      </c>
      <c r="D2518" t="inlineStr">
        <is>
          <t>Vorleistungen</t>
        </is>
      </c>
      <c r="E2518" t="n">
        <v>0</v>
      </c>
      <c r="F2518" t="n">
        <v>0</v>
      </c>
    </row>
    <row r="2519">
      <c r="A2519" t="n">
        <v>2027</v>
      </c>
      <c r="B2519" t="n">
        <v>7</v>
      </c>
      <c r="C2519" t="inlineStr">
        <is>
          <t>IT-Aufwendungen</t>
        </is>
      </c>
      <c r="D2519" t="inlineStr">
        <is>
          <t>Verwaltungskosten</t>
        </is>
      </c>
      <c r="E2519" t="n">
        <v>11596.23</v>
      </c>
      <c r="F2519" t="n">
        <v>139154.76</v>
      </c>
    </row>
    <row r="2520">
      <c r="A2520" t="n">
        <v>2028</v>
      </c>
      <c r="B2520" t="n">
        <v>7</v>
      </c>
      <c r="C2520" t="inlineStr">
        <is>
          <t>Leasing LKW</t>
        </is>
      </c>
      <c r="D2520" t="inlineStr">
        <is>
          <t>Fuhrparkkosten</t>
        </is>
      </c>
      <c r="E2520" t="n">
        <v>2443.59</v>
      </c>
      <c r="F2520" t="n">
        <v>29323.11</v>
      </c>
    </row>
    <row r="2521">
      <c r="A2521" t="n">
        <v>2031</v>
      </c>
      <c r="B2521" t="n">
        <v>7</v>
      </c>
      <c r="C2521" t="inlineStr">
        <is>
          <t>Weiterber. Frem</t>
        </is>
      </c>
      <c r="D2521" t="inlineStr">
        <is>
          <t>Vorleistungen</t>
        </is>
      </c>
      <c r="E2521" t="n">
        <v>0</v>
      </c>
      <c r="F2521" t="n">
        <v>0</v>
      </c>
    </row>
    <row r="2522">
      <c r="A2522" t="n">
        <v>2028</v>
      </c>
      <c r="B2522" t="n">
        <v>7</v>
      </c>
      <c r="C2522" t="inlineStr">
        <is>
          <t>Lohn + Gehalt</t>
        </is>
      </c>
      <c r="D2522" t="inlineStr">
        <is>
          <t>Personalaufwand</t>
        </is>
      </c>
      <c r="E2522" t="n">
        <v>321097.26</v>
      </c>
      <c r="F2522" t="n">
        <v>3853167.13</v>
      </c>
    </row>
    <row r="2523">
      <c r="A2523" t="n">
        <v>2029</v>
      </c>
      <c r="B2523" t="n">
        <v>7</v>
      </c>
      <c r="C2523" t="inlineStr">
        <is>
          <t>Miete LKW,Schiffe</t>
        </is>
      </c>
      <c r="D2523" t="inlineStr">
        <is>
          <t>Fuhrparkkosten</t>
        </is>
      </c>
      <c r="E2523" t="n">
        <v>41294.11</v>
      </c>
      <c r="F2523" t="n">
        <v>495529.28</v>
      </c>
    </row>
    <row r="2524">
      <c r="A2524" t="n">
        <v>2030</v>
      </c>
      <c r="B2524" t="n">
        <v>7</v>
      </c>
      <c r="C2524" t="inlineStr">
        <is>
          <t>Erl. so. DL Dt.</t>
        </is>
      </c>
      <c r="D2524" t="inlineStr">
        <is>
          <t>Gesamtleistung</t>
        </is>
      </c>
      <c r="E2524" t="n">
        <v>2311684.01</v>
      </c>
      <c r="F2524" t="n">
        <v>27740208.09</v>
      </c>
    </row>
    <row r="2525">
      <c r="A2525" t="n">
        <v>2030</v>
      </c>
      <c r="B2525" t="n">
        <v>7</v>
      </c>
      <c r="C2525" t="inlineStr">
        <is>
          <t>Versicherungskosten</t>
        </is>
      </c>
      <c r="D2525" t="inlineStr">
        <is>
          <t>Verwaltungskosten</t>
        </is>
      </c>
      <c r="E2525" t="n">
        <v>11790.1</v>
      </c>
      <c r="F2525" t="n">
        <v>141481.23</v>
      </c>
    </row>
    <row r="2526">
      <c r="A2526" t="n">
        <v>2029</v>
      </c>
      <c r="B2526" t="n">
        <v>7</v>
      </c>
      <c r="C2526" t="inlineStr">
        <is>
          <t>Sonstige Steuer</t>
        </is>
      </c>
      <c r="D2526" t="inlineStr">
        <is>
          <t>Fuhrparkkosten</t>
        </is>
      </c>
      <c r="E2526" t="n">
        <v>1682.38</v>
      </c>
      <c r="F2526" t="n">
        <v>20188.51</v>
      </c>
    </row>
    <row r="2527">
      <c r="A2527" t="n">
        <v>2027</v>
      </c>
      <c r="B2527" t="n">
        <v>7</v>
      </c>
      <c r="C2527" t="inlineStr">
        <is>
          <t>Sonst Fuhrparkkosten</t>
        </is>
      </c>
      <c r="D2527" t="inlineStr">
        <is>
          <t>Fuhrparkkosten</t>
        </is>
      </c>
      <c r="E2527" t="n">
        <v>4989.24</v>
      </c>
      <c r="F2527" t="n">
        <v>59870.86</v>
      </c>
    </row>
    <row r="2528">
      <c r="A2528" t="n">
        <v>2028</v>
      </c>
      <c r="B2528" t="n">
        <v>7</v>
      </c>
      <c r="C2528" t="inlineStr">
        <is>
          <t>Bestandsveraend</t>
        </is>
      </c>
      <c r="D2528" t="inlineStr">
        <is>
          <t>Gesamtleistung</t>
        </is>
      </c>
      <c r="E2528" t="n">
        <v>0</v>
      </c>
      <c r="F2528" t="n">
        <v>0</v>
      </c>
    </row>
    <row r="2529">
      <c r="A2529" t="n">
        <v>2028</v>
      </c>
      <c r="B2529" t="n">
        <v>7</v>
      </c>
      <c r="C2529" t="inlineStr">
        <is>
          <t>So. betr. Aufwa</t>
        </is>
      </c>
      <c r="D2529" t="inlineStr">
        <is>
          <t>Verwaltungskosten</t>
        </is>
      </c>
      <c r="E2529" t="n">
        <v>673.0599999999999</v>
      </c>
      <c r="F2529" t="n">
        <v>8076.71</v>
      </c>
    </row>
    <row r="2530">
      <c r="A2530" t="n">
        <v>2030</v>
      </c>
      <c r="B2530" t="n">
        <v>7</v>
      </c>
      <c r="C2530" t="inlineStr">
        <is>
          <t>Miete LKW,Schiffe</t>
        </is>
      </c>
      <c r="D2530" t="inlineStr">
        <is>
          <t>Fuhrparkkosten</t>
        </is>
      </c>
      <c r="E2530" t="n">
        <v>43771.75</v>
      </c>
      <c r="F2530" t="n">
        <v>525261.04</v>
      </c>
    </row>
    <row r="2531">
      <c r="A2531" t="n">
        <v>2028</v>
      </c>
      <c r="B2531" t="n">
        <v>7</v>
      </c>
      <c r="C2531" t="inlineStr">
        <is>
          <t>Miete LKW,Schiffe</t>
        </is>
      </c>
      <c r="D2531" t="inlineStr">
        <is>
          <t>Fuhrparkkosten</t>
        </is>
      </c>
      <c r="E2531" t="n">
        <v>38956.71</v>
      </c>
      <c r="F2531" t="n">
        <v>467480.47</v>
      </c>
    </row>
    <row r="2532">
      <c r="A2532" t="n">
        <v>2028</v>
      </c>
      <c r="B2532" t="n">
        <v>7</v>
      </c>
      <c r="C2532" t="inlineStr">
        <is>
          <t>sonst Personalk</t>
        </is>
      </c>
      <c r="D2532" t="inlineStr">
        <is>
          <t>Personalaufwand</t>
        </is>
      </c>
      <c r="E2532" t="n">
        <v>12597.51</v>
      </c>
      <c r="F2532" t="n">
        <v>151170.09</v>
      </c>
    </row>
    <row r="2533">
      <c r="A2533" t="n">
        <v>2030</v>
      </c>
      <c r="B2533" t="n">
        <v>7</v>
      </c>
      <c r="C2533" t="inlineStr">
        <is>
          <t>Leasing PKW</t>
        </is>
      </c>
      <c r="D2533" t="inlineStr">
        <is>
          <t>Fuhrparkkosten</t>
        </is>
      </c>
      <c r="E2533" t="n">
        <v>26131.4</v>
      </c>
      <c r="F2533" t="n">
        <v>313576.76</v>
      </c>
    </row>
    <row r="2534">
      <c r="A2534" t="n">
        <v>2031</v>
      </c>
      <c r="B2534" t="n">
        <v>7</v>
      </c>
      <c r="C2534" t="inlineStr">
        <is>
          <t>Aufwand Umlage</t>
        </is>
      </c>
      <c r="D2534" t="inlineStr">
        <is>
          <t>Verwaltungskosten</t>
        </is>
      </c>
      <c r="E2534" t="n">
        <v>3807.87</v>
      </c>
      <c r="F2534" t="n">
        <v>45694.43</v>
      </c>
    </row>
    <row r="2535">
      <c r="A2535" t="n">
        <v>2031</v>
      </c>
      <c r="B2535" t="n">
        <v>7</v>
      </c>
      <c r="C2535" t="inlineStr">
        <is>
          <t>sonst Personalk</t>
        </is>
      </c>
      <c r="D2535" t="inlineStr">
        <is>
          <t>Personalaufwand</t>
        </is>
      </c>
      <c r="E2535" t="n">
        <v>17070.54</v>
      </c>
      <c r="F2535" t="n">
        <v>204846.51</v>
      </c>
    </row>
    <row r="2536">
      <c r="A2536" t="n">
        <v>2027</v>
      </c>
      <c r="B2536" t="n">
        <v>7</v>
      </c>
      <c r="C2536" t="inlineStr">
        <is>
          <t>sonst Personalk</t>
        </is>
      </c>
      <c r="D2536" t="inlineStr">
        <is>
          <t>Personalaufwand</t>
        </is>
      </c>
      <c r="E2536" t="n">
        <v>10949.84</v>
      </c>
      <c r="F2536" t="n">
        <v>131398.1</v>
      </c>
    </row>
    <row r="2537">
      <c r="A2537" t="n">
        <v>2031</v>
      </c>
      <c r="B2537" t="n">
        <v>7</v>
      </c>
      <c r="C2537" t="inlineStr">
        <is>
          <t>Miete PKW</t>
        </is>
      </c>
      <c r="D2537" t="inlineStr">
        <is>
          <t>Fuhrparkkosten</t>
        </is>
      </c>
      <c r="E2537" t="n">
        <v>5824.81</v>
      </c>
      <c r="F2537" t="n">
        <v>69897.67</v>
      </c>
    </row>
    <row r="2538">
      <c r="A2538" t="n">
        <v>2029</v>
      </c>
      <c r="B2538" t="n">
        <v>7</v>
      </c>
      <c r="C2538" t="inlineStr">
        <is>
          <t>Raumkosten</t>
        </is>
      </c>
      <c r="D2538" t="inlineStr">
        <is>
          <t>Raumkosten</t>
        </is>
      </c>
      <c r="E2538" t="n">
        <v>7164.46</v>
      </c>
      <c r="F2538" t="n">
        <v>85973.53</v>
      </c>
    </row>
    <row r="2539">
      <c r="A2539" t="n">
        <v>2031</v>
      </c>
      <c r="B2539" t="n">
        <v>7</v>
      </c>
      <c r="C2539" t="inlineStr">
        <is>
          <t>Aufw. f. Alters</t>
        </is>
      </c>
      <c r="D2539" t="inlineStr">
        <is>
          <t>Personalaufwand</t>
        </is>
      </c>
      <c r="E2539" t="n">
        <v>1434.03</v>
      </c>
      <c r="F2539" t="n">
        <v>17208.41</v>
      </c>
    </row>
    <row r="2540">
      <c r="A2540" t="n">
        <v>2031</v>
      </c>
      <c r="B2540" t="n">
        <v>7</v>
      </c>
      <c r="C2540" t="inlineStr">
        <is>
          <t>IT-Aufwendungen</t>
        </is>
      </c>
      <c r="D2540" t="inlineStr">
        <is>
          <t>Verwaltungskosten</t>
        </is>
      </c>
      <c r="E2540" t="n">
        <v>13051.66</v>
      </c>
      <c r="F2540" t="n">
        <v>156619.9</v>
      </c>
    </row>
    <row r="2541">
      <c r="A2541" t="n">
        <v>2028</v>
      </c>
      <c r="B2541" t="n">
        <v>7</v>
      </c>
      <c r="C2541" t="inlineStr">
        <is>
          <t>Miete Grdst/Gebäud</t>
        </is>
      </c>
      <c r="D2541" t="inlineStr">
        <is>
          <t>Raumkosten</t>
        </is>
      </c>
      <c r="E2541" t="n">
        <v>17880.93</v>
      </c>
      <c r="F2541" t="n">
        <v>214571.21</v>
      </c>
    </row>
    <row r="2542">
      <c r="A2542" t="n">
        <v>2027</v>
      </c>
      <c r="B2542" t="n">
        <v>7</v>
      </c>
      <c r="C2542" t="inlineStr">
        <is>
          <t>Erloesschmaeler</t>
        </is>
      </c>
      <c r="D2542" t="inlineStr">
        <is>
          <t>Gesamtleistung</t>
        </is>
      </c>
      <c r="E2542" t="n">
        <v>-7483.88</v>
      </c>
      <c r="F2542" t="n">
        <v>-89806.53</v>
      </c>
    </row>
    <row r="2543">
      <c r="A2543" t="n">
        <v>2029</v>
      </c>
      <c r="B2543" t="n">
        <v>7</v>
      </c>
      <c r="C2543" t="inlineStr">
        <is>
          <t>sonst Personalk</t>
        </is>
      </c>
      <c r="D2543" t="inlineStr">
        <is>
          <t>Personalaufwand</t>
        </is>
      </c>
      <c r="E2543" t="n">
        <v>13957.15</v>
      </c>
      <c r="F2543" t="n">
        <v>167485.78</v>
      </c>
    </row>
    <row r="2544">
      <c r="A2544" t="n">
        <v>2028</v>
      </c>
      <c r="B2544" t="n">
        <v>7</v>
      </c>
      <c r="C2544" t="inlineStr">
        <is>
          <t>Fremdl. Fuhrlei</t>
        </is>
      </c>
      <c r="D2544" t="inlineStr">
        <is>
          <t>Vorleistungen</t>
        </is>
      </c>
      <c r="E2544" t="n">
        <v>363.29</v>
      </c>
      <c r="F2544" t="n">
        <v>4359.52</v>
      </c>
    </row>
    <row r="2545">
      <c r="A2545" t="n">
        <v>2027</v>
      </c>
      <c r="B2545" t="n">
        <v>7</v>
      </c>
      <c r="C2545" t="inlineStr">
        <is>
          <t>Erl. so. DL Dt.</t>
        </is>
      </c>
      <c r="D2545" t="inlineStr">
        <is>
          <t>Gesamtleistung</t>
        </is>
      </c>
      <c r="E2545" t="n">
        <v>1996174.37</v>
      </c>
      <c r="F2545" t="n">
        <v>23954092.45</v>
      </c>
    </row>
    <row r="2546">
      <c r="A2546" t="n">
        <v>2027</v>
      </c>
      <c r="B2546" t="n">
        <v>7</v>
      </c>
      <c r="C2546" t="inlineStr">
        <is>
          <t>Aufw. Heizmat.</t>
        </is>
      </c>
      <c r="D2546" t="inlineStr">
        <is>
          <t>Vorleistungen</t>
        </is>
      </c>
      <c r="E2546" t="n">
        <v>275.72</v>
      </c>
      <c r="F2546" t="n">
        <v>3308.65</v>
      </c>
    </row>
    <row r="2547">
      <c r="A2547" t="n">
        <v>2028</v>
      </c>
      <c r="B2547" t="n">
        <v>7</v>
      </c>
      <c r="C2547" t="inlineStr">
        <is>
          <t>Versicherungskosten</t>
        </is>
      </c>
      <c r="D2547" t="inlineStr">
        <is>
          <t>Verwaltungskosten</t>
        </is>
      </c>
      <c r="E2547" t="n">
        <v>11113.3</v>
      </c>
      <c r="F2547" t="n">
        <v>133359.63</v>
      </c>
    </row>
    <row r="2548">
      <c r="A2548" t="n">
        <v>2031</v>
      </c>
      <c r="B2548" t="n">
        <v>7</v>
      </c>
      <c r="C2548" t="inlineStr">
        <is>
          <t>Miete LKW,Schiffe</t>
        </is>
      </c>
      <c r="D2548" t="inlineStr">
        <is>
          <t>Fuhrparkkosten</t>
        </is>
      </c>
      <c r="E2548" t="n">
        <v>46398.06</v>
      </c>
      <c r="F2548" t="n">
        <v>556776.71</v>
      </c>
    </row>
    <row r="2549">
      <c r="A2549" t="n">
        <v>2027</v>
      </c>
      <c r="B2549" t="n">
        <v>7</v>
      </c>
      <c r="C2549" t="inlineStr">
        <is>
          <t>Weiterber. Frem</t>
        </is>
      </c>
      <c r="D2549" t="inlineStr">
        <is>
          <t>Vorleistungen</t>
        </is>
      </c>
      <c r="E2549" t="n">
        <v>0</v>
      </c>
      <c r="F2549" t="n">
        <v>0</v>
      </c>
    </row>
    <row r="2550">
      <c r="A2550" t="n">
        <v>2028</v>
      </c>
      <c r="B2550" t="n">
        <v>7</v>
      </c>
      <c r="C2550" t="inlineStr">
        <is>
          <t>Erloesschmaeler</t>
        </is>
      </c>
      <c r="D2550" t="inlineStr">
        <is>
          <t>Gesamtleistung</t>
        </is>
      </c>
      <c r="E2550" t="n">
        <v>-8355.469999999999</v>
      </c>
      <c r="F2550" t="n">
        <v>-100265.61</v>
      </c>
    </row>
    <row r="2551">
      <c r="A2551" t="n">
        <v>2027</v>
      </c>
      <c r="B2551" t="n">
        <v>7</v>
      </c>
      <c r="C2551" t="inlineStr">
        <is>
          <t>Uebr.neutr. Ert</t>
        </is>
      </c>
      <c r="D2551" t="inlineStr">
        <is>
          <t>Gesamtleistung</t>
        </is>
      </c>
      <c r="E2551" t="n">
        <v>113.94</v>
      </c>
      <c r="F2551" t="n">
        <v>1367.31</v>
      </c>
    </row>
    <row r="2552">
      <c r="A2552" t="n">
        <v>2028</v>
      </c>
      <c r="B2552" t="n">
        <v>7</v>
      </c>
      <c r="C2552" t="inlineStr">
        <is>
          <t>Miete Behälter</t>
        </is>
      </c>
      <c r="D2552" t="inlineStr">
        <is>
          <t>Instandh. Betriebsausstattung</t>
        </is>
      </c>
      <c r="E2552" t="n">
        <v>24.08</v>
      </c>
      <c r="F2552" t="n">
        <v>289</v>
      </c>
    </row>
    <row r="2553">
      <c r="A2553" t="n">
        <v>2028</v>
      </c>
      <c r="B2553" t="n">
        <v>7</v>
      </c>
      <c r="C2553" t="inlineStr">
        <is>
          <t>Aufw. so. Hilfs</t>
        </is>
      </c>
      <c r="D2553" t="inlineStr">
        <is>
          <t>Vorleistungen</t>
        </is>
      </c>
      <c r="E2553" t="n">
        <v>-16546.31</v>
      </c>
      <c r="F2553" t="n">
        <v>-198555.67</v>
      </c>
    </row>
    <row r="2554">
      <c r="A2554" t="n">
        <v>2030</v>
      </c>
      <c r="B2554" t="n">
        <v>7</v>
      </c>
      <c r="C2554" t="inlineStr">
        <is>
          <t>Treibstoffe, Oe</t>
        </is>
      </c>
      <c r="D2554" t="inlineStr">
        <is>
          <t>Fuhrparkkosten</t>
        </is>
      </c>
      <c r="E2554" t="n">
        <v>34177.25</v>
      </c>
      <c r="F2554" t="n">
        <v>410126.96</v>
      </c>
    </row>
    <row r="2555">
      <c r="A2555" t="n">
        <v>2030</v>
      </c>
      <c r="B2555" t="n">
        <v>7</v>
      </c>
      <c r="C2555" t="inlineStr">
        <is>
          <t>Ueb Lohn-Gehalt</t>
        </is>
      </c>
      <c r="D2555" t="inlineStr">
        <is>
          <t>Personalaufwand</t>
        </is>
      </c>
      <c r="E2555" t="n">
        <v>41842.02</v>
      </c>
      <c r="F2555" t="n">
        <v>502104.18</v>
      </c>
    </row>
    <row r="2556">
      <c r="A2556" t="n">
        <v>2030</v>
      </c>
      <c r="B2556" t="n">
        <v>7</v>
      </c>
      <c r="C2556" t="inlineStr">
        <is>
          <t>Aufw. f. Alters</t>
        </is>
      </c>
      <c r="D2556" t="inlineStr">
        <is>
          <t>Personalaufwand</t>
        </is>
      </c>
      <c r="E2556" t="n">
        <v>1387.56</v>
      </c>
      <c r="F2556" t="n">
        <v>16650.69</v>
      </c>
    </row>
    <row r="2557">
      <c r="A2557" t="n">
        <v>2031</v>
      </c>
      <c r="B2557" t="n">
        <v>7</v>
      </c>
      <c r="C2557" t="inlineStr">
        <is>
          <t>Fremdl. Persona</t>
        </is>
      </c>
      <c r="D2557" t="inlineStr">
        <is>
          <t>Vorleistungen</t>
        </is>
      </c>
      <c r="E2557" t="n">
        <v>79.40000000000001</v>
      </c>
      <c r="F2557" t="n">
        <v>952.79</v>
      </c>
    </row>
    <row r="2558">
      <c r="A2558" t="n">
        <v>2029</v>
      </c>
      <c r="B2558" t="n">
        <v>8</v>
      </c>
      <c r="C2558" t="inlineStr">
        <is>
          <t>Sonderz. Prämie</t>
        </is>
      </c>
      <c r="D2558" t="inlineStr">
        <is>
          <t>Personalaufwand</t>
        </is>
      </c>
      <c r="E2558" t="n">
        <v>23292.21</v>
      </c>
      <c r="F2558" t="n">
        <v>279506.56</v>
      </c>
    </row>
    <row r="2559">
      <c r="A2559" t="n">
        <v>2030</v>
      </c>
      <c r="B2559" t="n">
        <v>8</v>
      </c>
      <c r="C2559" t="inlineStr">
        <is>
          <t>sonst Personalk</t>
        </is>
      </c>
      <c r="D2559" t="inlineStr">
        <is>
          <t>Personalaufwand</t>
        </is>
      </c>
      <c r="E2559" t="n">
        <v>15558.93</v>
      </c>
      <c r="F2559" t="n">
        <v>186707.19</v>
      </c>
    </row>
    <row r="2560">
      <c r="A2560" t="n">
        <v>2031</v>
      </c>
      <c r="B2560" t="n">
        <v>8</v>
      </c>
      <c r="C2560" t="inlineStr">
        <is>
          <t>Ankauf Rohstoff</t>
        </is>
      </c>
      <c r="D2560" t="inlineStr">
        <is>
          <t>Vorleistungen</t>
        </is>
      </c>
      <c r="E2560" t="n">
        <v>1489.65</v>
      </c>
      <c r="F2560" t="n">
        <v>17875.76</v>
      </c>
    </row>
    <row r="2561">
      <c r="A2561" t="n">
        <v>2029</v>
      </c>
      <c r="B2561" t="n">
        <v>8</v>
      </c>
      <c r="C2561" t="inlineStr">
        <is>
          <t>Weiterber. Frem</t>
        </is>
      </c>
      <c r="D2561" t="inlineStr">
        <is>
          <t>Vorleistungen</t>
        </is>
      </c>
      <c r="E2561" t="n">
        <v>0</v>
      </c>
      <c r="F2561" t="n">
        <v>0</v>
      </c>
    </row>
    <row r="2562">
      <c r="A2562" t="n">
        <v>2031</v>
      </c>
      <c r="B2562" t="n">
        <v>8</v>
      </c>
      <c r="C2562" t="inlineStr">
        <is>
          <t>Sonstige Steuer</t>
        </is>
      </c>
      <c r="D2562" t="inlineStr">
        <is>
          <t>Fuhrparkkosten</t>
        </is>
      </c>
      <c r="E2562" t="n">
        <v>1890.32</v>
      </c>
      <c r="F2562" t="n">
        <v>22683.81</v>
      </c>
    </row>
    <row r="2563">
      <c r="A2563" t="n">
        <v>2030</v>
      </c>
      <c r="B2563" t="n">
        <v>8</v>
      </c>
      <c r="C2563" t="inlineStr">
        <is>
          <t>Bestandsveraend</t>
        </is>
      </c>
      <c r="D2563" t="inlineStr">
        <is>
          <t>Gesamtleistung</t>
        </is>
      </c>
      <c r="E2563" t="n">
        <v>0</v>
      </c>
      <c r="F2563" t="n">
        <v>0</v>
      </c>
    </row>
    <row r="2564">
      <c r="A2564" t="n">
        <v>2031</v>
      </c>
      <c r="B2564" t="n">
        <v>8</v>
      </c>
      <c r="C2564" t="inlineStr">
        <is>
          <t>Erl. so. DL Dt.</t>
        </is>
      </c>
      <c r="D2564" t="inlineStr">
        <is>
          <t>Gesamtleistung</t>
        </is>
      </c>
      <c r="E2564" t="n">
        <v>2428139.11</v>
      </c>
      <c r="F2564" t="n">
        <v>29137669.32</v>
      </c>
    </row>
    <row r="2565">
      <c r="A2565" t="n">
        <v>2030</v>
      </c>
      <c r="B2565" t="n">
        <v>8</v>
      </c>
      <c r="C2565" t="inlineStr">
        <is>
          <t>Sonstige Steuer</t>
        </is>
      </c>
      <c r="D2565" t="inlineStr">
        <is>
          <t>Fuhrparkkosten</t>
        </is>
      </c>
      <c r="E2565" t="n">
        <v>1783.32</v>
      </c>
      <c r="F2565" t="n">
        <v>21399.82</v>
      </c>
    </row>
    <row r="2566">
      <c r="A2566" t="n">
        <v>2030</v>
      </c>
      <c r="B2566" t="n">
        <v>8</v>
      </c>
      <c r="C2566" t="inlineStr">
        <is>
          <t>Sonderz. Prämie</t>
        </is>
      </c>
      <c r="D2566" t="inlineStr">
        <is>
          <t>Personalaufwand</t>
        </is>
      </c>
      <c r="E2566" t="n">
        <v>25004.1</v>
      </c>
      <c r="F2566" t="n">
        <v>300049.14</v>
      </c>
    </row>
    <row r="2567">
      <c r="A2567" t="n">
        <v>2029</v>
      </c>
      <c r="B2567" t="n">
        <v>8</v>
      </c>
      <c r="C2567" t="inlineStr">
        <is>
          <t>Soziale Abgaben</t>
        </is>
      </c>
      <c r="D2567" t="inlineStr">
        <is>
          <t>Personalaufwand</t>
        </is>
      </c>
      <c r="E2567" t="n">
        <v>94488.11</v>
      </c>
      <c r="F2567" t="n">
        <v>1133857.35</v>
      </c>
    </row>
    <row r="2568">
      <c r="A2568" t="n">
        <v>2031</v>
      </c>
      <c r="B2568" t="n">
        <v>8</v>
      </c>
      <c r="C2568" t="inlineStr">
        <is>
          <t>So. betr. Aufwa</t>
        </is>
      </c>
      <c r="D2568" t="inlineStr">
        <is>
          <t>Verwaltungskosten</t>
        </is>
      </c>
      <c r="E2568" t="n">
        <v>735.47</v>
      </c>
      <c r="F2568" t="n">
        <v>8825.639999999999</v>
      </c>
    </row>
    <row r="2569">
      <c r="A2569" t="n">
        <v>2027</v>
      </c>
      <c r="B2569" t="n">
        <v>8</v>
      </c>
      <c r="C2569" t="inlineStr">
        <is>
          <t>Lohn + Gehalt</t>
        </is>
      </c>
      <c r="D2569" t="inlineStr">
        <is>
          <t>Personalaufwand</t>
        </is>
      </c>
      <c r="E2569" t="n">
        <v>287946.36</v>
      </c>
      <c r="F2569" t="n">
        <v>3455356.33</v>
      </c>
    </row>
    <row r="2570">
      <c r="A2570" t="n">
        <v>2027</v>
      </c>
      <c r="B2570" t="n">
        <v>8</v>
      </c>
      <c r="C2570" t="inlineStr">
        <is>
          <t>So. betr. Aufwa</t>
        </is>
      </c>
      <c r="D2570" t="inlineStr">
        <is>
          <t>Verwaltungskosten</t>
        </is>
      </c>
      <c r="E2570" t="n">
        <v>653.45</v>
      </c>
      <c r="F2570" t="n">
        <v>7841.45</v>
      </c>
    </row>
    <row r="2571">
      <c r="A2571" t="n">
        <v>2028</v>
      </c>
      <c r="B2571" t="n">
        <v>8</v>
      </c>
      <c r="C2571" t="inlineStr">
        <is>
          <t>Ueb Lohn-Gehalt</t>
        </is>
      </c>
      <c r="D2571" t="inlineStr">
        <is>
          <t>Personalaufwand</t>
        </is>
      </c>
      <c r="E2571" t="n">
        <v>34332.83</v>
      </c>
      <c r="F2571" t="n">
        <v>411993.96</v>
      </c>
    </row>
    <row r="2572">
      <c r="A2572" t="n">
        <v>2027</v>
      </c>
      <c r="B2572" t="n">
        <v>8</v>
      </c>
      <c r="C2572" t="inlineStr">
        <is>
          <t>Verwaltungskost</t>
        </is>
      </c>
      <c r="D2572" t="inlineStr">
        <is>
          <t>Verwaltungskosten</t>
        </is>
      </c>
      <c r="E2572" t="n">
        <v>6691.47</v>
      </c>
      <c r="F2572" t="n">
        <v>80297.62</v>
      </c>
    </row>
    <row r="2573">
      <c r="A2573" t="n">
        <v>2030</v>
      </c>
      <c r="B2573" t="n">
        <v>8</v>
      </c>
      <c r="C2573" t="inlineStr">
        <is>
          <t>Aufw. Heizmat.</t>
        </is>
      </c>
      <c r="D2573" t="inlineStr">
        <is>
          <t>Vorleistungen</t>
        </is>
      </c>
      <c r="E2573" t="n">
        <v>230.4</v>
      </c>
      <c r="F2573" t="n">
        <v>2764.82</v>
      </c>
    </row>
    <row r="2574">
      <c r="A2574" t="n">
        <v>2027</v>
      </c>
      <c r="B2574" t="n">
        <v>8</v>
      </c>
      <c r="C2574" t="inlineStr">
        <is>
          <t>Versicherungskosten</t>
        </is>
      </c>
      <c r="D2574" t="inlineStr">
        <is>
          <t>Verwaltungskosten</t>
        </is>
      </c>
      <c r="E2574" t="n">
        <v>10789.61</v>
      </c>
      <c r="F2574" t="n">
        <v>129475.37</v>
      </c>
    </row>
    <row r="2575">
      <c r="A2575" t="n">
        <v>2031</v>
      </c>
      <c r="B2575" t="n">
        <v>8</v>
      </c>
      <c r="C2575" t="inlineStr">
        <is>
          <t>Instandh. BGA</t>
        </is>
      </c>
      <c r="D2575" t="inlineStr">
        <is>
          <t>Instandh. Betriebsausstattung</t>
        </is>
      </c>
      <c r="E2575" t="n">
        <v>5124.63</v>
      </c>
      <c r="F2575" t="n">
        <v>61495.58</v>
      </c>
    </row>
    <row r="2576">
      <c r="A2576" t="n">
        <v>2029</v>
      </c>
      <c r="B2576" t="n">
        <v>8</v>
      </c>
      <c r="C2576" t="inlineStr">
        <is>
          <t>Treibstoffe, Oe</t>
        </is>
      </c>
      <c r="D2576" t="inlineStr">
        <is>
          <t>Fuhrparkkosten</t>
        </is>
      </c>
      <c r="E2576" t="n">
        <v>32242.68</v>
      </c>
      <c r="F2576" t="n">
        <v>386912.19</v>
      </c>
    </row>
    <row r="2577">
      <c r="A2577" t="n">
        <v>2027</v>
      </c>
      <c r="B2577" t="n">
        <v>8</v>
      </c>
      <c r="C2577" t="inlineStr">
        <is>
          <t>Instandh. BGA</t>
        </is>
      </c>
      <c r="D2577" t="inlineStr">
        <is>
          <t>Instandh. Betriebsausstattung</t>
        </is>
      </c>
      <c r="E2577" t="n">
        <v>4216.05</v>
      </c>
      <c r="F2577" t="n">
        <v>50592.58</v>
      </c>
    </row>
    <row r="2578">
      <c r="A2578" t="n">
        <v>2029</v>
      </c>
      <c r="B2578" t="n">
        <v>8</v>
      </c>
      <c r="C2578" t="inlineStr">
        <is>
          <t>Ueb Lohn-Gehalt</t>
        </is>
      </c>
      <c r="D2578" t="inlineStr">
        <is>
          <t>Personalaufwand</t>
        </is>
      </c>
      <c r="E2578" t="n">
        <v>37989.9</v>
      </c>
      <c r="F2578" t="n">
        <v>455878.84</v>
      </c>
    </row>
    <row r="2579">
      <c r="A2579" t="n">
        <v>2031</v>
      </c>
      <c r="B2579" t="n">
        <v>8</v>
      </c>
      <c r="C2579" t="inlineStr">
        <is>
          <t>Erl. Waren Dt.</t>
        </is>
      </c>
      <c r="D2579" t="inlineStr">
        <is>
          <t>Gesamtleistung</t>
        </is>
      </c>
      <c r="E2579" t="n">
        <v>50865.59</v>
      </c>
      <c r="F2579" t="n">
        <v>610387.05</v>
      </c>
    </row>
    <row r="2580">
      <c r="A2580" t="n">
        <v>2027</v>
      </c>
      <c r="B2580" t="n">
        <v>8</v>
      </c>
      <c r="C2580" t="inlineStr">
        <is>
          <t>Fremdl. Persona</t>
        </is>
      </c>
      <c r="D2580" t="inlineStr">
        <is>
          <t>Vorleistungen</t>
        </is>
      </c>
      <c r="E2580" t="n">
        <v>61.31</v>
      </c>
      <c r="F2580" t="n">
        <v>735.66</v>
      </c>
    </row>
    <row r="2581">
      <c r="A2581" t="n">
        <v>2027</v>
      </c>
      <c r="B2581" t="n">
        <v>8</v>
      </c>
      <c r="C2581" t="inlineStr">
        <is>
          <t>Aufwand Umlage</t>
        </is>
      </c>
      <c r="D2581" t="inlineStr">
        <is>
          <t>Verwaltungskosten</t>
        </is>
      </c>
      <c r="E2581" t="n">
        <v>3383.24</v>
      </c>
      <c r="F2581" t="n">
        <v>40598.91</v>
      </c>
    </row>
    <row r="2582">
      <c r="A2582" t="n">
        <v>2031</v>
      </c>
      <c r="B2582" t="n">
        <v>8</v>
      </c>
      <c r="C2582" t="inlineStr">
        <is>
          <t>Ueb Lohn-Gehalt</t>
        </is>
      </c>
      <c r="D2582" t="inlineStr">
        <is>
          <t>Personalaufwand</t>
        </is>
      </c>
      <c r="E2582" t="n">
        <v>45675.82</v>
      </c>
      <c r="F2582" t="n">
        <v>548109.79</v>
      </c>
    </row>
    <row r="2583">
      <c r="A2583" t="n">
        <v>2027</v>
      </c>
      <c r="B2583" t="n">
        <v>8</v>
      </c>
      <c r="C2583" t="inlineStr">
        <is>
          <t>Rechts- u. Beratungs</t>
        </is>
      </c>
      <c r="D2583" t="inlineStr">
        <is>
          <t>Verwaltungskosten</t>
        </is>
      </c>
      <c r="E2583" t="n">
        <v>25635.99</v>
      </c>
      <c r="F2583" t="n">
        <v>307631.89</v>
      </c>
    </row>
    <row r="2584">
      <c r="A2584" t="n">
        <v>2028</v>
      </c>
      <c r="B2584" t="n">
        <v>8</v>
      </c>
      <c r="C2584" t="inlineStr">
        <is>
          <t>Verwaltungskost</t>
        </is>
      </c>
      <c r="D2584" t="inlineStr">
        <is>
          <t>Verwaltungskosten</t>
        </is>
      </c>
      <c r="E2584" t="n">
        <v>6892.21</v>
      </c>
      <c r="F2584" t="n">
        <v>82706.56</v>
      </c>
    </row>
    <row r="2585">
      <c r="A2585" t="n">
        <v>2028</v>
      </c>
      <c r="B2585" t="n">
        <v>8</v>
      </c>
      <c r="C2585" t="inlineStr">
        <is>
          <t>Ueb. bezog.Leis</t>
        </is>
      </c>
      <c r="D2585" t="inlineStr">
        <is>
          <t>Vorleistungen</t>
        </is>
      </c>
      <c r="E2585" t="n">
        <v>1342498.67</v>
      </c>
      <c r="F2585" t="n">
        <v>16109983.99</v>
      </c>
    </row>
    <row r="2586">
      <c r="A2586" t="n">
        <v>2028</v>
      </c>
      <c r="B2586" t="n">
        <v>8</v>
      </c>
      <c r="C2586" t="inlineStr">
        <is>
          <t>Ankauf Rohstoff</t>
        </is>
      </c>
      <c r="D2586" t="inlineStr">
        <is>
          <t>Vorleistungen</t>
        </is>
      </c>
      <c r="E2586" t="n">
        <v>1457.38</v>
      </c>
      <c r="F2586" t="n">
        <v>17488.61</v>
      </c>
    </row>
    <row r="2587">
      <c r="A2587" t="n">
        <v>2029</v>
      </c>
      <c r="B2587" t="n">
        <v>8</v>
      </c>
      <c r="C2587" t="inlineStr">
        <is>
          <t>Erloesschmaeler</t>
        </is>
      </c>
      <c r="D2587" t="inlineStr">
        <is>
          <t>Gesamtleistung</t>
        </is>
      </c>
      <c r="E2587" t="n">
        <v>-9048.01</v>
      </c>
      <c r="F2587" t="n">
        <v>-108576.08</v>
      </c>
    </row>
    <row r="2588">
      <c r="A2588" t="n">
        <v>2029</v>
      </c>
      <c r="B2588" t="n">
        <v>8</v>
      </c>
      <c r="C2588" t="inlineStr">
        <is>
          <t>Leasing PKW</t>
        </is>
      </c>
      <c r="D2588" t="inlineStr">
        <is>
          <t>Fuhrparkkosten</t>
        </is>
      </c>
      <c r="E2588" t="n">
        <v>24652.26</v>
      </c>
      <c r="F2588" t="n">
        <v>295827.14</v>
      </c>
    </row>
    <row r="2589">
      <c r="A2589" t="n">
        <v>2029</v>
      </c>
      <c r="B2589" t="n">
        <v>8</v>
      </c>
      <c r="C2589" t="inlineStr">
        <is>
          <t>Fremdl. Persona</t>
        </is>
      </c>
      <c r="D2589" t="inlineStr">
        <is>
          <t>Vorleistungen</t>
        </is>
      </c>
      <c r="E2589" t="n">
        <v>73.3</v>
      </c>
      <c r="F2589" t="n">
        <v>879.54</v>
      </c>
    </row>
    <row r="2590">
      <c r="A2590" t="n">
        <v>2028</v>
      </c>
      <c r="B2590" t="n">
        <v>8</v>
      </c>
      <c r="C2590" t="inlineStr">
        <is>
          <t>Aufwand Umlage</t>
        </is>
      </c>
      <c r="D2590" t="inlineStr">
        <is>
          <t>Verwaltungskosten</t>
        </is>
      </c>
      <c r="E2590" t="n">
        <v>3484.74</v>
      </c>
      <c r="F2590" t="n">
        <v>41816.88</v>
      </c>
    </row>
    <row r="2591">
      <c r="A2591" t="n">
        <v>2027</v>
      </c>
      <c r="B2591" t="n">
        <v>8</v>
      </c>
      <c r="C2591" t="inlineStr">
        <is>
          <t>Ankauf Rohstoff</t>
        </is>
      </c>
      <c r="D2591" t="inlineStr">
        <is>
          <t>Vorleistungen</t>
        </is>
      </c>
      <c r="E2591" t="n">
        <v>1408.24</v>
      </c>
      <c r="F2591" t="n">
        <v>16898.9</v>
      </c>
    </row>
    <row r="2592">
      <c r="A2592" t="n">
        <v>2030</v>
      </c>
      <c r="B2592" t="n">
        <v>8</v>
      </c>
      <c r="C2592" t="inlineStr">
        <is>
          <t>Erloesschmaeler</t>
        </is>
      </c>
      <c r="D2592" t="inlineStr">
        <is>
          <t>Gesamtleistung</t>
        </is>
      </c>
      <c r="E2592" t="n">
        <v>-9690.75</v>
      </c>
      <c r="F2592" t="n">
        <v>-116289.05</v>
      </c>
    </row>
    <row r="2593">
      <c r="A2593" t="n">
        <v>2029</v>
      </c>
      <c r="B2593" t="n">
        <v>8</v>
      </c>
      <c r="C2593" t="inlineStr">
        <is>
          <t>Sonst Fuhrparkkosten</t>
        </is>
      </c>
      <c r="D2593" t="inlineStr">
        <is>
          <t>Fuhrparkkosten</t>
        </is>
      </c>
      <c r="E2593" t="n">
        <v>5605.91</v>
      </c>
      <c r="F2593" t="n">
        <v>67270.89</v>
      </c>
    </row>
    <row r="2594">
      <c r="A2594" t="n">
        <v>2027</v>
      </c>
      <c r="B2594" t="n">
        <v>8</v>
      </c>
      <c r="C2594" t="inlineStr">
        <is>
          <t>Soziale Abgaben</t>
        </is>
      </c>
      <c r="D2594" t="inlineStr">
        <is>
          <t>Personalaufwand</t>
        </is>
      </c>
      <c r="E2594" t="n">
        <v>75903.69</v>
      </c>
      <c r="F2594" t="n">
        <v>910844.28</v>
      </c>
    </row>
    <row r="2595">
      <c r="A2595" t="n">
        <v>2031</v>
      </c>
      <c r="B2595" t="n">
        <v>8</v>
      </c>
      <c r="C2595" t="inlineStr">
        <is>
          <t>Erloesschmaeler</t>
        </is>
      </c>
      <c r="D2595" t="inlineStr">
        <is>
          <t>Gesamtleistung</t>
        </is>
      </c>
      <c r="E2595" t="n">
        <v>-10347.15</v>
      </c>
      <c r="F2595" t="n">
        <v>-124165.81</v>
      </c>
    </row>
    <row r="2596">
      <c r="A2596" t="n">
        <v>2029</v>
      </c>
      <c r="B2596" t="n">
        <v>8</v>
      </c>
      <c r="C2596" t="inlineStr">
        <is>
          <t>Ertr. weiterber</t>
        </is>
      </c>
      <c r="D2596" t="inlineStr">
        <is>
          <t>Gesamtleistung</t>
        </is>
      </c>
      <c r="E2596" t="n">
        <v>1036.39</v>
      </c>
      <c r="F2596" t="n">
        <v>12436.69</v>
      </c>
    </row>
    <row r="2597">
      <c r="A2597" t="n">
        <v>2027</v>
      </c>
      <c r="B2597" t="n">
        <v>8</v>
      </c>
      <c r="C2597" t="inlineStr">
        <is>
          <t>Sonderz. Prämie</t>
        </is>
      </c>
      <c r="D2597" t="inlineStr">
        <is>
          <t>Personalaufwand</t>
        </is>
      </c>
      <c r="E2597" t="n">
        <v>19636.08</v>
      </c>
      <c r="F2597" t="n">
        <v>235633</v>
      </c>
    </row>
    <row r="2598">
      <c r="A2598" t="n">
        <v>2027</v>
      </c>
      <c r="B2598" t="n">
        <v>8</v>
      </c>
      <c r="C2598" t="inlineStr">
        <is>
          <t>Miete Behälter</t>
        </is>
      </c>
      <c r="D2598" t="inlineStr">
        <is>
          <t>Instandh. Betriebsausstattung</t>
        </is>
      </c>
      <c r="E2598" t="n">
        <v>22.94</v>
      </c>
      <c r="F2598" t="n">
        <v>275.23</v>
      </c>
    </row>
    <row r="2599">
      <c r="A2599" t="n">
        <v>2031</v>
      </c>
      <c r="B2599" t="n">
        <v>8</v>
      </c>
      <c r="C2599" t="inlineStr">
        <is>
          <t>Versicherungskosten</t>
        </is>
      </c>
      <c r="D2599" t="inlineStr">
        <is>
          <t>Verwaltungskosten</t>
        </is>
      </c>
      <c r="E2599" t="n">
        <v>12143.81</v>
      </c>
      <c r="F2599" t="n">
        <v>145725.66</v>
      </c>
    </row>
    <row r="2600">
      <c r="A2600" t="n">
        <v>2029</v>
      </c>
      <c r="B2600" t="n">
        <v>8</v>
      </c>
      <c r="C2600" t="inlineStr">
        <is>
          <t>Rechts- u. Beratungs</t>
        </is>
      </c>
      <c r="D2600" t="inlineStr">
        <is>
          <t>Verwaltungskosten</t>
        </is>
      </c>
      <c r="E2600" t="n">
        <v>27197.22</v>
      </c>
      <c r="F2600" t="n">
        <v>326366.65</v>
      </c>
    </row>
    <row r="2601">
      <c r="A2601" t="n">
        <v>2028</v>
      </c>
      <c r="B2601" t="n">
        <v>8</v>
      </c>
      <c r="C2601" t="inlineStr">
        <is>
          <t>Instandh.Fuhrp</t>
        </is>
      </c>
      <c r="D2601" t="inlineStr">
        <is>
          <t>Fuhrparkkosten</t>
        </is>
      </c>
      <c r="E2601" t="n">
        <v>32180.39</v>
      </c>
      <c r="F2601" t="n">
        <v>386164.66</v>
      </c>
    </row>
    <row r="2602">
      <c r="A2602" t="n">
        <v>2030</v>
      </c>
      <c r="B2602" t="n">
        <v>8</v>
      </c>
      <c r="C2602" t="inlineStr">
        <is>
          <t>Miete Grdst/Gebäud</t>
        </is>
      </c>
      <c r="D2602" t="inlineStr">
        <is>
          <t>Raumkosten</t>
        </is>
      </c>
      <c r="E2602" t="n">
        <v>18603.32</v>
      </c>
      <c r="F2602" t="n">
        <v>223239.88</v>
      </c>
    </row>
    <row r="2603">
      <c r="A2603" t="n">
        <v>2027</v>
      </c>
      <c r="B2603" t="n">
        <v>8</v>
      </c>
      <c r="C2603" t="inlineStr">
        <is>
          <t>Ueb. bezog.Leis</t>
        </is>
      </c>
      <c r="D2603" t="inlineStr">
        <is>
          <t>Vorleistungen</t>
        </is>
      </c>
      <c r="E2603" t="n">
        <v>1319862.34</v>
      </c>
      <c r="F2603" t="n">
        <v>15838348.13</v>
      </c>
    </row>
    <row r="2604">
      <c r="A2604" t="n">
        <v>2029</v>
      </c>
      <c r="B2604" t="n">
        <v>8</v>
      </c>
      <c r="C2604" t="inlineStr">
        <is>
          <t>Erl. Waren Dt.</t>
        </is>
      </c>
      <c r="D2604" t="inlineStr">
        <is>
          <t>Gesamtleistung</t>
        </is>
      </c>
      <c r="E2604" t="n">
        <v>47334.08</v>
      </c>
      <c r="F2604" t="n">
        <v>568008.92</v>
      </c>
    </row>
    <row r="2605">
      <c r="A2605" t="n">
        <v>2031</v>
      </c>
      <c r="B2605" t="n">
        <v>8</v>
      </c>
      <c r="C2605" t="inlineStr">
        <is>
          <t>Treibstoffe, Oe</t>
        </is>
      </c>
      <c r="D2605" t="inlineStr">
        <is>
          <t>Fuhrparkkosten</t>
        </is>
      </c>
      <c r="E2605" t="n">
        <v>36227.88</v>
      </c>
      <c r="F2605" t="n">
        <v>434734.54</v>
      </c>
    </row>
    <row r="2606">
      <c r="A2606" t="n">
        <v>2029</v>
      </c>
      <c r="B2606" t="n">
        <v>8</v>
      </c>
      <c r="C2606" t="inlineStr">
        <is>
          <t>Miete Behälter</t>
        </is>
      </c>
      <c r="D2606" t="inlineStr">
        <is>
          <t>Instandh. Betriebsausstattung</t>
        </is>
      </c>
      <c r="E2606" t="n">
        <v>25.29</v>
      </c>
      <c r="F2606" t="n">
        <v>303.45</v>
      </c>
    </row>
    <row r="2607">
      <c r="A2607" t="n">
        <v>2030</v>
      </c>
      <c r="B2607" t="n">
        <v>8</v>
      </c>
      <c r="C2607" t="inlineStr">
        <is>
          <t>Instandh. BGA</t>
        </is>
      </c>
      <c r="D2607" t="inlineStr">
        <is>
          <t>Instandh. Betriebsausstattung</t>
        </is>
      </c>
      <c r="E2607" t="n">
        <v>4880.6</v>
      </c>
      <c r="F2607" t="n">
        <v>58567.23</v>
      </c>
    </row>
    <row r="2608">
      <c r="A2608" t="n">
        <v>2030</v>
      </c>
      <c r="B2608" t="n">
        <v>8</v>
      </c>
      <c r="C2608" t="inlineStr">
        <is>
          <t>Lohn + Gehalt</t>
        </is>
      </c>
      <c r="D2608" t="inlineStr">
        <is>
          <t>Personalaufwand</t>
        </is>
      </c>
      <c r="E2608" t="n">
        <v>392030.8</v>
      </c>
      <c r="F2608" t="n">
        <v>4704369.59</v>
      </c>
    </row>
    <row r="2609">
      <c r="A2609" t="n">
        <v>2027</v>
      </c>
      <c r="B2609" t="n">
        <v>8</v>
      </c>
      <c r="C2609" t="inlineStr">
        <is>
          <t>Bestandsveraend</t>
        </is>
      </c>
      <c r="D2609" t="inlineStr">
        <is>
          <t>Gesamtleistung</t>
        </is>
      </c>
      <c r="E2609" t="n">
        <v>0</v>
      </c>
      <c r="F2609" t="n">
        <v>0</v>
      </c>
    </row>
    <row r="2610">
      <c r="A2610" t="n">
        <v>2027</v>
      </c>
      <c r="B2610" t="n">
        <v>8</v>
      </c>
      <c r="C2610" t="inlineStr">
        <is>
          <t>Aufw. so. Hilfs</t>
        </is>
      </c>
      <c r="D2610" t="inlineStr">
        <is>
          <t>Vorleistungen</t>
        </is>
      </c>
      <c r="E2610" t="n">
        <v>-16362.04</v>
      </c>
      <c r="F2610" t="n">
        <v>-196344.47</v>
      </c>
    </row>
    <row r="2611">
      <c r="A2611" t="n">
        <v>2027</v>
      </c>
      <c r="B2611" t="n">
        <v>8</v>
      </c>
      <c r="C2611" t="inlineStr">
        <is>
          <t>Aufw. f. Alters</t>
        </is>
      </c>
      <c r="D2611" t="inlineStr">
        <is>
          <t>Personalaufwand</t>
        </is>
      </c>
      <c r="E2611" t="n">
        <v>1234.77</v>
      </c>
      <c r="F2611" t="n">
        <v>14817.29</v>
      </c>
    </row>
    <row r="2612">
      <c r="A2612" t="n">
        <v>2027</v>
      </c>
      <c r="B2612" t="n">
        <v>8</v>
      </c>
      <c r="C2612" t="inlineStr">
        <is>
          <t>Vertriebskosten</t>
        </is>
      </c>
      <c r="D2612" t="inlineStr">
        <is>
          <t>Vertriebskosten</t>
        </is>
      </c>
      <c r="E2612" t="n">
        <v>10833.33</v>
      </c>
      <c r="F2612" t="n">
        <v>130000</v>
      </c>
    </row>
    <row r="2613">
      <c r="A2613" t="n">
        <v>2027</v>
      </c>
      <c r="B2613" t="n">
        <v>8</v>
      </c>
      <c r="C2613" t="inlineStr">
        <is>
          <t>Ertrag KFZ-Nutz</t>
        </is>
      </c>
      <c r="D2613" t="inlineStr">
        <is>
          <t>Gesamtleistung</t>
        </is>
      </c>
      <c r="E2613" t="n">
        <v>8029.69</v>
      </c>
      <c r="F2613" t="n">
        <v>96356.3</v>
      </c>
    </row>
    <row r="2614">
      <c r="A2614" t="n">
        <v>2031</v>
      </c>
      <c r="B2614" t="n">
        <v>8</v>
      </c>
      <c r="C2614" t="inlineStr">
        <is>
          <t>Lohn + Gehalt</t>
        </is>
      </c>
      <c r="D2614" t="inlineStr">
        <is>
          <t>Personalaufwand</t>
        </is>
      </c>
      <c r="E2614" t="n">
        <v>428257.62</v>
      </c>
      <c r="F2614" t="n">
        <v>5139091.39</v>
      </c>
    </row>
    <row r="2615">
      <c r="A2615" t="n">
        <v>2031</v>
      </c>
      <c r="B2615" t="n">
        <v>8</v>
      </c>
      <c r="C2615" t="inlineStr">
        <is>
          <t>Soziale Abgaben</t>
        </is>
      </c>
      <c r="D2615" t="inlineStr">
        <is>
          <t>Personalaufwand</t>
        </is>
      </c>
      <c r="E2615" t="n">
        <v>113909.76</v>
      </c>
      <c r="F2615" t="n">
        <v>1366917.09</v>
      </c>
    </row>
    <row r="2616">
      <c r="A2616" t="n">
        <v>2031</v>
      </c>
      <c r="B2616" t="n">
        <v>8</v>
      </c>
      <c r="C2616" t="inlineStr">
        <is>
          <t>Sonst Fuhrparkkosten</t>
        </is>
      </c>
      <c r="D2616" t="inlineStr">
        <is>
          <t>Fuhrparkkosten</t>
        </is>
      </c>
      <c r="E2616" t="n">
        <v>6298.8</v>
      </c>
      <c r="F2616" t="n">
        <v>75585.56</v>
      </c>
    </row>
    <row r="2617">
      <c r="A2617" t="n">
        <v>2030</v>
      </c>
      <c r="B2617" t="n">
        <v>8</v>
      </c>
      <c r="C2617" t="inlineStr">
        <is>
          <t>Miete Behälter</t>
        </is>
      </c>
      <c r="D2617" t="inlineStr">
        <is>
          <t>Instandh. Betriebsausstattung</t>
        </is>
      </c>
      <c r="E2617" t="n">
        <v>26.55</v>
      </c>
      <c r="F2617" t="n">
        <v>318.62</v>
      </c>
    </row>
    <row r="2618">
      <c r="A2618" t="n">
        <v>2028</v>
      </c>
      <c r="B2618" t="n">
        <v>8</v>
      </c>
      <c r="C2618" t="inlineStr">
        <is>
          <t>Miete PKW</t>
        </is>
      </c>
      <c r="D2618" t="inlineStr">
        <is>
          <t>Fuhrparkkosten</t>
        </is>
      </c>
      <c r="E2618" t="n">
        <v>4890.62</v>
      </c>
      <c r="F2618" t="n">
        <v>58687.43</v>
      </c>
    </row>
    <row r="2619">
      <c r="A2619" t="n">
        <v>2030</v>
      </c>
      <c r="B2619" t="n">
        <v>8</v>
      </c>
      <c r="C2619" t="inlineStr">
        <is>
          <t>Aufwand Umlage</t>
        </is>
      </c>
      <c r="D2619" t="inlineStr">
        <is>
          <t>Verwaltungskosten</t>
        </is>
      </c>
      <c r="E2619" t="n">
        <v>3696.96</v>
      </c>
      <c r="F2619" t="n">
        <v>44363.53</v>
      </c>
    </row>
    <row r="2620">
      <c r="A2620" t="n">
        <v>2030</v>
      </c>
      <c r="B2620" t="n">
        <v>8</v>
      </c>
      <c r="C2620" t="inlineStr">
        <is>
          <t>So. betr. Aufwa</t>
        </is>
      </c>
      <c r="D2620" t="inlineStr">
        <is>
          <t>Verwaltungskosten</t>
        </is>
      </c>
      <c r="E2620" t="n">
        <v>714.05</v>
      </c>
      <c r="F2620" t="n">
        <v>8568.57</v>
      </c>
    </row>
    <row r="2621">
      <c r="A2621" t="n">
        <v>2029</v>
      </c>
      <c r="B2621" t="n">
        <v>8</v>
      </c>
      <c r="C2621" t="inlineStr">
        <is>
          <t>Versicherungskosten</t>
        </is>
      </c>
      <c r="D2621" t="inlineStr">
        <is>
          <t>Verwaltungskosten</t>
        </is>
      </c>
      <c r="E2621" t="n">
        <v>11446.7</v>
      </c>
      <c r="F2621" t="n">
        <v>137360.42</v>
      </c>
    </row>
    <row r="2622">
      <c r="A2622" t="n">
        <v>2027</v>
      </c>
      <c r="B2622" t="n">
        <v>8</v>
      </c>
      <c r="C2622" t="inlineStr">
        <is>
          <t>Sonstige Steuer</t>
        </is>
      </c>
      <c r="D2622" t="inlineStr">
        <is>
          <t>Fuhrparkkosten</t>
        </is>
      </c>
      <c r="E2622" t="n">
        <v>1497.31</v>
      </c>
      <c r="F2622" t="n">
        <v>17967.71</v>
      </c>
    </row>
    <row r="2623">
      <c r="A2623" t="n">
        <v>2031</v>
      </c>
      <c r="B2623" t="n">
        <v>8</v>
      </c>
      <c r="C2623" t="inlineStr">
        <is>
          <t>Leasing LKW</t>
        </is>
      </c>
      <c r="D2623" t="inlineStr">
        <is>
          <t>Fuhrparkkosten</t>
        </is>
      </c>
      <c r="E2623" t="n">
        <v>2910.36</v>
      </c>
      <c r="F2623" t="n">
        <v>34924.28</v>
      </c>
    </row>
    <row r="2624">
      <c r="A2624" t="n">
        <v>2029</v>
      </c>
      <c r="B2624" t="n">
        <v>8</v>
      </c>
      <c r="C2624" t="inlineStr">
        <is>
          <t>Leasing LKW</t>
        </is>
      </c>
      <c r="D2624" t="inlineStr">
        <is>
          <t>Fuhrparkkosten</t>
        </is>
      </c>
      <c r="E2624" t="n">
        <v>2590.21</v>
      </c>
      <c r="F2624" t="n">
        <v>31082.49</v>
      </c>
    </row>
    <row r="2625">
      <c r="A2625" t="n">
        <v>2027</v>
      </c>
      <c r="B2625" t="n">
        <v>8</v>
      </c>
      <c r="C2625" t="inlineStr">
        <is>
          <t>Instandh.Fuhrp</t>
        </is>
      </c>
      <c r="D2625" t="inlineStr">
        <is>
          <t>Fuhrparkkosten</t>
        </is>
      </c>
      <c r="E2625" t="n">
        <v>30358.86</v>
      </c>
      <c r="F2625" t="n">
        <v>364306.28</v>
      </c>
    </row>
    <row r="2626">
      <c r="A2626" t="n">
        <v>2029</v>
      </c>
      <c r="B2626" t="n">
        <v>8</v>
      </c>
      <c r="C2626" t="inlineStr">
        <is>
          <t>Vertriebskosten</t>
        </is>
      </c>
      <c r="D2626" t="inlineStr">
        <is>
          <t>Vertriebskosten</t>
        </is>
      </c>
      <c r="E2626" t="n">
        <v>11943.75</v>
      </c>
      <c r="F2626" t="n">
        <v>143325</v>
      </c>
    </row>
    <row r="2627">
      <c r="A2627" t="n">
        <v>2031</v>
      </c>
      <c r="B2627" t="n">
        <v>8</v>
      </c>
      <c r="C2627" t="inlineStr">
        <is>
          <t>Miete Grdst/Gebäud</t>
        </is>
      </c>
      <c r="D2627" t="inlineStr">
        <is>
          <t>Raumkosten</t>
        </is>
      </c>
      <c r="E2627" t="n">
        <v>18975.39</v>
      </c>
      <c r="F2627" t="n">
        <v>227704.65</v>
      </c>
    </row>
    <row r="2628">
      <c r="A2628" t="n">
        <v>2029</v>
      </c>
      <c r="B2628" t="n">
        <v>8</v>
      </c>
      <c r="C2628" t="inlineStr">
        <is>
          <t>Uebr.neutr. Ert</t>
        </is>
      </c>
      <c r="D2628" t="inlineStr">
        <is>
          <t>Gesamtleistung</t>
        </is>
      </c>
      <c r="E2628" t="n">
        <v>189.9</v>
      </c>
      <c r="F2628" t="n">
        <v>2278.85</v>
      </c>
    </row>
    <row r="2629">
      <c r="A2629" t="n">
        <v>2030</v>
      </c>
      <c r="B2629" t="n">
        <v>8</v>
      </c>
      <c r="C2629" t="inlineStr">
        <is>
          <t>Behaelterkosten</t>
        </is>
      </c>
      <c r="D2629" t="inlineStr">
        <is>
          <t>Instandh. Betriebsausstattung</t>
        </is>
      </c>
      <c r="E2629" t="n">
        <v>12.75</v>
      </c>
      <c r="F2629" t="n">
        <v>153.03</v>
      </c>
    </row>
    <row r="2630">
      <c r="A2630" t="n">
        <v>2029</v>
      </c>
      <c r="B2630" t="n">
        <v>8</v>
      </c>
      <c r="C2630" t="inlineStr">
        <is>
          <t>IT-Aufwendungen</t>
        </is>
      </c>
      <c r="D2630" t="inlineStr">
        <is>
          <t>Verwaltungskosten</t>
        </is>
      </c>
      <c r="E2630" t="n">
        <v>12302.44</v>
      </c>
      <c r="F2630" t="n">
        <v>147629.28</v>
      </c>
    </row>
    <row r="2631">
      <c r="A2631" t="n">
        <v>2028</v>
      </c>
      <c r="B2631" t="n">
        <v>8</v>
      </c>
      <c r="C2631" t="inlineStr">
        <is>
          <t>Instandh. BGA</t>
        </is>
      </c>
      <c r="D2631" t="inlineStr">
        <is>
          <t>Instandh. Betriebsausstattung</t>
        </is>
      </c>
      <c r="E2631" t="n">
        <v>4426.85</v>
      </c>
      <c r="F2631" t="n">
        <v>53122.2</v>
      </c>
    </row>
    <row r="2632">
      <c r="A2632" t="n">
        <v>2029</v>
      </c>
      <c r="B2632" t="n">
        <v>8</v>
      </c>
      <c r="C2632" t="inlineStr">
        <is>
          <t>Instandh.Fuhrp</t>
        </is>
      </c>
      <c r="D2632" t="inlineStr">
        <is>
          <t>Fuhrparkkosten</t>
        </is>
      </c>
      <c r="E2632" t="n">
        <v>34111.21</v>
      </c>
      <c r="F2632" t="n">
        <v>409334.56</v>
      </c>
    </row>
    <row r="2633">
      <c r="A2633" t="n">
        <v>2031</v>
      </c>
      <c r="B2633" t="n">
        <v>8</v>
      </c>
      <c r="C2633" t="inlineStr">
        <is>
          <t>Rechts- u. Beratungs</t>
        </is>
      </c>
      <c r="D2633" t="inlineStr">
        <is>
          <t>Verwaltungskosten</t>
        </is>
      </c>
      <c r="E2633" t="n">
        <v>28853.53</v>
      </c>
      <c r="F2633" t="n">
        <v>346242.38</v>
      </c>
    </row>
    <row r="2634">
      <c r="A2634" t="n">
        <v>2029</v>
      </c>
      <c r="B2634" t="n">
        <v>8</v>
      </c>
      <c r="C2634" t="inlineStr">
        <is>
          <t>Ertrag KFZ-Nutz</t>
        </is>
      </c>
      <c r="D2634" t="inlineStr">
        <is>
          <t>Gesamtleistung</t>
        </is>
      </c>
      <c r="E2634" t="n">
        <v>8815.82</v>
      </c>
      <c r="F2634" t="n">
        <v>105789.86</v>
      </c>
    </row>
    <row r="2635">
      <c r="A2635" t="n">
        <v>2030</v>
      </c>
      <c r="B2635" t="n">
        <v>8</v>
      </c>
      <c r="C2635" t="inlineStr">
        <is>
          <t>Ertr. weiterber</t>
        </is>
      </c>
      <c r="D2635" t="inlineStr">
        <is>
          <t>Gesamtleistung</t>
        </is>
      </c>
      <c r="E2635" t="n">
        <v>1104.47</v>
      </c>
      <c r="F2635" t="n">
        <v>13253.67</v>
      </c>
    </row>
    <row r="2636">
      <c r="A2636" t="n">
        <v>2028</v>
      </c>
      <c r="B2636" t="n">
        <v>8</v>
      </c>
      <c r="C2636" t="inlineStr">
        <is>
          <t>Leasing PKW</t>
        </is>
      </c>
      <c r="D2636" t="inlineStr">
        <is>
          <t>Fuhrparkkosten</t>
        </is>
      </c>
      <c r="E2636" t="n">
        <v>23256.85</v>
      </c>
      <c r="F2636" t="n">
        <v>279082.22</v>
      </c>
    </row>
    <row r="2637">
      <c r="A2637" t="n">
        <v>2028</v>
      </c>
      <c r="B2637" t="n">
        <v>8</v>
      </c>
      <c r="C2637" t="inlineStr">
        <is>
          <t>Treibstoffe, Oe</t>
        </is>
      </c>
      <c r="D2637" t="inlineStr">
        <is>
          <t>Fuhrparkkosten</t>
        </is>
      </c>
      <c r="E2637" t="n">
        <v>30417.62</v>
      </c>
      <c r="F2637" t="n">
        <v>365011.49</v>
      </c>
    </row>
    <row r="2638">
      <c r="A2638" t="n">
        <v>2029</v>
      </c>
      <c r="B2638" t="n">
        <v>8</v>
      </c>
      <c r="C2638" t="inlineStr">
        <is>
          <t>Miete PKW</t>
        </is>
      </c>
      <c r="D2638" t="inlineStr">
        <is>
          <t>Fuhrparkkosten</t>
        </is>
      </c>
      <c r="E2638" t="n">
        <v>5184.06</v>
      </c>
      <c r="F2638" t="n">
        <v>62208.67</v>
      </c>
    </row>
    <row r="2639">
      <c r="A2639" t="n">
        <v>2028</v>
      </c>
      <c r="B2639" t="n">
        <v>8</v>
      </c>
      <c r="C2639" t="inlineStr">
        <is>
          <t>Ertr. weiterber</t>
        </is>
      </c>
      <c r="D2639" t="inlineStr">
        <is>
          <t>Gesamtleistung</t>
        </is>
      </c>
      <c r="E2639" t="n">
        <v>980.91</v>
      </c>
      <c r="F2639" t="n">
        <v>11770.87</v>
      </c>
    </row>
    <row r="2640">
      <c r="A2640" t="n">
        <v>2029</v>
      </c>
      <c r="B2640" t="n">
        <v>8</v>
      </c>
      <c r="C2640" t="inlineStr">
        <is>
          <t>Instandh. BGA</t>
        </is>
      </c>
      <c r="D2640" t="inlineStr">
        <is>
          <t>Instandh. Betriebsausstattung</t>
        </is>
      </c>
      <c r="E2640" t="n">
        <v>4648.19</v>
      </c>
      <c r="F2640" t="n">
        <v>55778.31</v>
      </c>
    </row>
    <row r="2641">
      <c r="A2641" t="n">
        <v>2028</v>
      </c>
      <c r="B2641" t="n">
        <v>8</v>
      </c>
      <c r="C2641" t="inlineStr">
        <is>
          <t>Erl. so. DL Dt.</t>
        </is>
      </c>
      <c r="D2641" t="inlineStr">
        <is>
          <t>Gesamtleistung</t>
        </is>
      </c>
      <c r="E2641" t="n">
        <v>2095866.37</v>
      </c>
      <c r="F2641" t="n">
        <v>25150396.49</v>
      </c>
    </row>
    <row r="2642">
      <c r="A2642" t="n">
        <v>2028</v>
      </c>
      <c r="B2642" t="n">
        <v>8</v>
      </c>
      <c r="C2642" t="inlineStr">
        <is>
          <t>IT-Aufwendungen</t>
        </is>
      </c>
      <c r="D2642" t="inlineStr">
        <is>
          <t>Verwaltungskosten</t>
        </is>
      </c>
      <c r="E2642" t="n">
        <v>11944.12</v>
      </c>
      <c r="F2642" t="n">
        <v>143329.39</v>
      </c>
    </row>
    <row r="2643">
      <c r="A2643" t="n">
        <v>2029</v>
      </c>
      <c r="B2643" t="n">
        <v>8</v>
      </c>
      <c r="C2643" t="inlineStr">
        <is>
          <t>Ueb. bezog.Leis</t>
        </is>
      </c>
      <c r="D2643" t="inlineStr">
        <is>
          <t>Vorleistungen</t>
        </is>
      </c>
      <c r="E2643" t="n">
        <v>1364260.58</v>
      </c>
      <c r="F2643" t="n">
        <v>16371126.93</v>
      </c>
    </row>
    <row r="2644">
      <c r="A2644" t="n">
        <v>2031</v>
      </c>
      <c r="B2644" t="n">
        <v>8</v>
      </c>
      <c r="C2644" t="inlineStr">
        <is>
          <t>Sonderz. Prämie</t>
        </is>
      </c>
      <c r="D2644" t="inlineStr">
        <is>
          <t>Personalaufwand</t>
        </is>
      </c>
      <c r="E2644" t="n">
        <v>26838.18</v>
      </c>
      <c r="F2644" t="n">
        <v>322058.2</v>
      </c>
    </row>
    <row r="2645">
      <c r="A2645" t="n">
        <v>2029</v>
      </c>
      <c r="B2645" t="n">
        <v>8</v>
      </c>
      <c r="C2645" t="inlineStr">
        <is>
          <t>Verwaltungskost</t>
        </is>
      </c>
      <c r="D2645" t="inlineStr">
        <is>
          <t>Verwaltungskosten</t>
        </is>
      </c>
      <c r="E2645" t="n">
        <v>7098.98</v>
      </c>
      <c r="F2645" t="n">
        <v>85187.74000000001</v>
      </c>
    </row>
    <row r="2646">
      <c r="A2646" t="n">
        <v>2028</v>
      </c>
      <c r="B2646" t="n">
        <v>8</v>
      </c>
      <c r="C2646" t="inlineStr">
        <is>
          <t>Ertrag KFZ-Nutz</t>
        </is>
      </c>
      <c r="D2646" t="inlineStr">
        <is>
          <t>Gesamtleistung</t>
        </is>
      </c>
      <c r="E2646" t="n">
        <v>8405.780000000001</v>
      </c>
      <c r="F2646" t="n">
        <v>100869.3</v>
      </c>
    </row>
    <row r="2647">
      <c r="A2647" t="n">
        <v>2030</v>
      </c>
      <c r="B2647" t="n">
        <v>8</v>
      </c>
      <c r="C2647" t="inlineStr">
        <is>
          <t>Sonst Fuhrparkkosten</t>
        </is>
      </c>
      <c r="D2647" t="inlineStr">
        <is>
          <t>Fuhrparkkosten</t>
        </is>
      </c>
      <c r="E2647" t="n">
        <v>5942.26</v>
      </c>
      <c r="F2647" t="n">
        <v>71307.13</v>
      </c>
    </row>
    <row r="2648">
      <c r="A2648" t="n">
        <v>2028</v>
      </c>
      <c r="B2648" t="n">
        <v>8</v>
      </c>
      <c r="C2648" t="inlineStr">
        <is>
          <t>Rechts- u. Beratungs</t>
        </is>
      </c>
      <c r="D2648" t="inlineStr">
        <is>
          <t>Verwaltungskosten</t>
        </is>
      </c>
      <c r="E2648" t="n">
        <v>26405.07</v>
      </c>
      <c r="F2648" t="n">
        <v>316860.83</v>
      </c>
    </row>
    <row r="2649">
      <c r="A2649" t="n">
        <v>2027</v>
      </c>
      <c r="B2649" t="n">
        <v>8</v>
      </c>
      <c r="C2649" t="inlineStr">
        <is>
          <t>Leasing LKW</t>
        </is>
      </c>
      <c r="D2649" t="inlineStr">
        <is>
          <t>Fuhrparkkosten</t>
        </is>
      </c>
      <c r="E2649" t="n">
        <v>2305.28</v>
      </c>
      <c r="F2649" t="n">
        <v>27663.3</v>
      </c>
    </row>
    <row r="2650">
      <c r="A2650" t="n">
        <v>2031</v>
      </c>
      <c r="B2650" t="n">
        <v>8</v>
      </c>
      <c r="C2650" t="inlineStr">
        <is>
          <t>Fremdl. Fuhrlei</t>
        </is>
      </c>
      <c r="D2650" t="inlineStr">
        <is>
          <t>Vorleistungen</t>
        </is>
      </c>
      <c r="E2650" t="n">
        <v>374.24</v>
      </c>
      <c r="F2650" t="n">
        <v>4490.84</v>
      </c>
    </row>
    <row r="2651">
      <c r="A2651" t="n">
        <v>2029</v>
      </c>
      <c r="B2651" t="n">
        <v>8</v>
      </c>
      <c r="C2651" t="inlineStr">
        <is>
          <t>Fremdl. Fuhrlei</t>
        </is>
      </c>
      <c r="D2651" t="inlineStr">
        <is>
          <t>Vorleistungen</t>
        </is>
      </c>
      <c r="E2651" t="n">
        <v>362.07</v>
      </c>
      <c r="F2651" t="n">
        <v>4344.88</v>
      </c>
    </row>
    <row r="2652">
      <c r="A2652" t="n">
        <v>2028</v>
      </c>
      <c r="B2652" t="n">
        <v>8</v>
      </c>
      <c r="C2652" t="inlineStr">
        <is>
          <t>Vertriebskosten</t>
        </is>
      </c>
      <c r="D2652" t="inlineStr">
        <is>
          <t>Vertriebskosten</t>
        </is>
      </c>
      <c r="E2652" t="n">
        <v>11375</v>
      </c>
      <c r="F2652" t="n">
        <v>136500</v>
      </c>
    </row>
    <row r="2653">
      <c r="A2653" t="n">
        <v>2031</v>
      </c>
      <c r="B2653" t="n">
        <v>8</v>
      </c>
      <c r="C2653" t="inlineStr">
        <is>
          <t>Aufw. so. Hilfs</t>
        </is>
      </c>
      <c r="D2653" t="inlineStr">
        <is>
          <t>Vorleistungen</t>
        </is>
      </c>
      <c r="E2653" t="n">
        <v>-17544.22</v>
      </c>
      <c r="F2653" t="n">
        <v>-210530.6</v>
      </c>
    </row>
    <row r="2654">
      <c r="A2654" t="n">
        <v>2029</v>
      </c>
      <c r="B2654" t="n">
        <v>8</v>
      </c>
      <c r="C2654" t="inlineStr">
        <is>
          <t>Ankauf Rohstoff</t>
        </is>
      </c>
      <c r="D2654" t="inlineStr">
        <is>
          <t>Vorleistungen</t>
        </is>
      </c>
      <c r="E2654" t="n">
        <v>1473.64</v>
      </c>
      <c r="F2654" t="n">
        <v>17683.65</v>
      </c>
    </row>
    <row r="2655">
      <c r="A2655" t="n">
        <v>2028</v>
      </c>
      <c r="B2655" t="n">
        <v>8</v>
      </c>
      <c r="C2655" t="inlineStr">
        <is>
          <t>Sonstige Steuer</t>
        </is>
      </c>
      <c r="D2655" t="inlineStr">
        <is>
          <t>Fuhrparkkosten</t>
        </is>
      </c>
      <c r="E2655" t="n">
        <v>1587.15</v>
      </c>
      <c r="F2655" t="n">
        <v>19045.76</v>
      </c>
    </row>
    <row r="2656">
      <c r="A2656" t="n">
        <v>2030</v>
      </c>
      <c r="B2656" t="n">
        <v>8</v>
      </c>
      <c r="C2656" t="inlineStr">
        <is>
          <t>Weiterber. Frem</t>
        </is>
      </c>
      <c r="D2656" t="inlineStr">
        <is>
          <t>Vorleistungen</t>
        </is>
      </c>
      <c r="E2656" t="n">
        <v>0</v>
      </c>
      <c r="F2656" t="n">
        <v>0</v>
      </c>
    </row>
    <row r="2657">
      <c r="A2657" t="n">
        <v>2031</v>
      </c>
      <c r="B2657" t="n">
        <v>8</v>
      </c>
      <c r="C2657" t="inlineStr">
        <is>
          <t>Miete Behälter</t>
        </is>
      </c>
      <c r="D2657" t="inlineStr">
        <is>
          <t>Instandh. Betriebsausstattung</t>
        </is>
      </c>
      <c r="E2657" t="n">
        <v>27.88</v>
      </c>
      <c r="F2657" t="n">
        <v>334.55</v>
      </c>
    </row>
    <row r="2658">
      <c r="A2658" t="n">
        <v>2027</v>
      </c>
      <c r="B2658" t="n">
        <v>8</v>
      </c>
      <c r="C2658" t="inlineStr">
        <is>
          <t>Miete Grdst/Gebäud</t>
        </is>
      </c>
      <c r="D2658" t="inlineStr">
        <is>
          <t>Raumkosten</t>
        </is>
      </c>
      <c r="E2658" t="n">
        <v>15284.77</v>
      </c>
      <c r="F2658" t="n">
        <v>183417.26</v>
      </c>
    </row>
    <row r="2659">
      <c r="A2659" t="n">
        <v>2028</v>
      </c>
      <c r="B2659" t="n">
        <v>8</v>
      </c>
      <c r="C2659" t="inlineStr">
        <is>
          <t>Aufw. f. Alters</t>
        </is>
      </c>
      <c r="D2659" t="inlineStr">
        <is>
          <t>Personalaufwand</t>
        </is>
      </c>
      <c r="E2659" t="n">
        <v>1290.05</v>
      </c>
      <c r="F2659" t="n">
        <v>15480.56</v>
      </c>
    </row>
    <row r="2660">
      <c r="A2660" t="n">
        <v>2028</v>
      </c>
      <c r="B2660" t="n">
        <v>8</v>
      </c>
      <c r="C2660" t="inlineStr">
        <is>
          <t>Fremdl. Persona</t>
        </is>
      </c>
      <c r="D2660" t="inlineStr">
        <is>
          <t>Vorleistungen</t>
        </is>
      </c>
      <c r="E2660" t="n">
        <v>69.04000000000001</v>
      </c>
      <c r="F2660" t="n">
        <v>828.42</v>
      </c>
    </row>
    <row r="2661">
      <c r="A2661" t="n">
        <v>2030</v>
      </c>
      <c r="B2661" t="n">
        <v>8</v>
      </c>
      <c r="C2661" t="inlineStr">
        <is>
          <t>Vertriebskosten</t>
        </is>
      </c>
      <c r="D2661" t="inlineStr">
        <is>
          <t>Vertriebskosten</t>
        </is>
      </c>
      <c r="E2661" t="n">
        <v>12540.94</v>
      </c>
      <c r="F2661" t="n">
        <v>150491.26</v>
      </c>
    </row>
    <row r="2662">
      <c r="A2662" t="n">
        <v>2030</v>
      </c>
      <c r="B2662" t="n">
        <v>8</v>
      </c>
      <c r="C2662" t="inlineStr">
        <is>
          <t>Aufw. so. Hilfs</t>
        </is>
      </c>
      <c r="D2662" t="inlineStr">
        <is>
          <t>Vorleistungen</t>
        </is>
      </c>
      <c r="E2662" t="n">
        <v>-17197.35</v>
      </c>
      <c r="F2662" t="n">
        <v>-206368.2</v>
      </c>
    </row>
    <row r="2663">
      <c r="A2663" t="n">
        <v>2029</v>
      </c>
      <c r="B2663" t="n">
        <v>8</v>
      </c>
      <c r="C2663" t="inlineStr">
        <is>
          <t>Aufw. so. Hilfs</t>
        </is>
      </c>
      <c r="D2663" t="inlineStr">
        <is>
          <t>Vorleistungen</t>
        </is>
      </c>
      <c r="E2663" t="n">
        <v>-16834.66</v>
      </c>
      <c r="F2663" t="n">
        <v>-202015.88</v>
      </c>
    </row>
    <row r="2664">
      <c r="A2664" t="n">
        <v>2027</v>
      </c>
      <c r="B2664" t="n">
        <v>8</v>
      </c>
      <c r="C2664" t="inlineStr">
        <is>
          <t>Miete PKW</t>
        </is>
      </c>
      <c r="D2664" t="inlineStr">
        <is>
          <t>Fuhrparkkosten</t>
        </is>
      </c>
      <c r="E2664" t="n">
        <v>4613.79</v>
      </c>
      <c r="F2664" t="n">
        <v>55365.51</v>
      </c>
    </row>
    <row r="2665">
      <c r="A2665" t="n">
        <v>2030</v>
      </c>
      <c r="B2665" t="n">
        <v>8</v>
      </c>
      <c r="C2665" t="inlineStr">
        <is>
          <t>Fremdl. Fuhrlei</t>
        </is>
      </c>
      <c r="D2665" t="inlineStr">
        <is>
          <t>Vorleistungen</t>
        </is>
      </c>
      <c r="E2665" t="n">
        <v>368.3</v>
      </c>
      <c r="F2665" t="n">
        <v>4419.56</v>
      </c>
    </row>
    <row r="2666">
      <c r="A2666" t="n">
        <v>2030</v>
      </c>
      <c r="B2666" t="n">
        <v>8</v>
      </c>
      <c r="C2666" t="inlineStr">
        <is>
          <t>Miete PKW</t>
        </is>
      </c>
      <c r="D2666" t="inlineStr">
        <is>
          <t>Fuhrparkkosten</t>
        </is>
      </c>
      <c r="E2666" t="n">
        <v>5495.1</v>
      </c>
      <c r="F2666" t="n">
        <v>65941.19</v>
      </c>
    </row>
    <row r="2667">
      <c r="A2667" t="n">
        <v>2027</v>
      </c>
      <c r="B2667" t="n">
        <v>8</v>
      </c>
      <c r="C2667" t="inlineStr">
        <is>
          <t>Erl. Waren Dt.</t>
        </is>
      </c>
      <c r="D2667" t="inlineStr">
        <is>
          <t>Gesamtleistung</t>
        </is>
      </c>
      <c r="E2667" t="n">
        <v>42246.46</v>
      </c>
      <c r="F2667" t="n">
        <v>506957.51</v>
      </c>
    </row>
    <row r="2668">
      <c r="A2668" t="n">
        <v>2029</v>
      </c>
      <c r="B2668" t="n">
        <v>8</v>
      </c>
      <c r="C2668" t="inlineStr">
        <is>
          <t>Bestandsveraend</t>
        </is>
      </c>
      <c r="D2668" t="inlineStr">
        <is>
          <t>Gesamtleistung</t>
        </is>
      </c>
      <c r="E2668" t="n">
        <v>0</v>
      </c>
      <c r="F2668" t="n">
        <v>0</v>
      </c>
    </row>
    <row r="2669">
      <c r="A2669" t="n">
        <v>2031</v>
      </c>
      <c r="B2669" t="n">
        <v>8</v>
      </c>
      <c r="C2669" t="inlineStr">
        <is>
          <t>Leasing PKW</t>
        </is>
      </c>
      <c r="D2669" t="inlineStr">
        <is>
          <t>Fuhrparkkosten</t>
        </is>
      </c>
      <c r="E2669" t="n">
        <v>27699.28</v>
      </c>
      <c r="F2669" t="n">
        <v>332391.4</v>
      </c>
    </row>
    <row r="2670">
      <c r="A2670" t="n">
        <v>2029</v>
      </c>
      <c r="B2670" t="n">
        <v>8</v>
      </c>
      <c r="C2670" t="inlineStr">
        <is>
          <t>Behaelterkosten</t>
        </is>
      </c>
      <c r="D2670" t="inlineStr">
        <is>
          <t>Instandh. Betriebsausstattung</t>
        </is>
      </c>
      <c r="E2670" t="n">
        <v>12.15</v>
      </c>
      <c r="F2670" t="n">
        <v>145.74</v>
      </c>
    </row>
    <row r="2671">
      <c r="A2671" t="n">
        <v>2029</v>
      </c>
      <c r="B2671" t="n">
        <v>8</v>
      </c>
      <c r="C2671" t="inlineStr">
        <is>
          <t>Aufwand Umlage</t>
        </is>
      </c>
      <c r="D2671" t="inlineStr">
        <is>
          <t>Verwaltungskosten</t>
        </is>
      </c>
      <c r="E2671" t="n">
        <v>3589.28</v>
      </c>
      <c r="F2671" t="n">
        <v>43071.39</v>
      </c>
    </row>
    <row r="2672">
      <c r="A2672" t="n">
        <v>2030</v>
      </c>
      <c r="B2672" t="n">
        <v>8</v>
      </c>
      <c r="C2672" t="inlineStr">
        <is>
          <t>Instandh.Fuhrp</t>
        </is>
      </c>
      <c r="D2672" t="inlineStr">
        <is>
          <t>Fuhrparkkosten</t>
        </is>
      </c>
      <c r="E2672" t="n">
        <v>36157.89</v>
      </c>
      <c r="F2672" t="n">
        <v>433894.62</v>
      </c>
    </row>
    <row r="2673">
      <c r="A2673" t="n">
        <v>2028</v>
      </c>
      <c r="B2673" t="n">
        <v>8</v>
      </c>
      <c r="C2673" t="inlineStr">
        <is>
          <t>Sonderz. Prämie</t>
        </is>
      </c>
      <c r="D2673" t="inlineStr">
        <is>
          <t>Personalaufwand</t>
        </is>
      </c>
      <c r="E2673" t="n">
        <v>21386.26</v>
      </c>
      <c r="F2673" t="n">
        <v>256635.15</v>
      </c>
    </row>
    <row r="2674">
      <c r="A2674" t="n">
        <v>2029</v>
      </c>
      <c r="B2674" t="n">
        <v>8</v>
      </c>
      <c r="C2674" t="inlineStr">
        <is>
          <t>Aufw. f. Alters</t>
        </is>
      </c>
      <c r="D2674" t="inlineStr">
        <is>
          <t>Personalaufwand</t>
        </is>
      </c>
      <c r="E2674" t="n">
        <v>1366.43</v>
      </c>
      <c r="F2674" t="n">
        <v>16397.15</v>
      </c>
    </row>
    <row r="2675">
      <c r="A2675" t="n">
        <v>2027</v>
      </c>
      <c r="B2675" t="n">
        <v>8</v>
      </c>
      <c r="C2675" t="inlineStr">
        <is>
          <t>Ertr. weiterber</t>
        </is>
      </c>
      <c r="D2675" t="inlineStr">
        <is>
          <t>Gesamtleistung</t>
        </is>
      </c>
      <c r="E2675" t="n">
        <v>919.41</v>
      </c>
      <c r="F2675" t="n">
        <v>11032.96</v>
      </c>
    </row>
    <row r="2676">
      <c r="A2676" t="n">
        <v>2029</v>
      </c>
      <c r="B2676" t="n">
        <v>8</v>
      </c>
      <c r="C2676" t="inlineStr">
        <is>
          <t>So. betr. Aufwa</t>
        </is>
      </c>
      <c r="D2676" t="inlineStr">
        <is>
          <t>Verwaltungskosten</t>
        </is>
      </c>
      <c r="E2676" t="n">
        <v>693.25</v>
      </c>
      <c r="F2676" t="n">
        <v>8319.02</v>
      </c>
    </row>
    <row r="2677">
      <c r="A2677" t="n">
        <v>2031</v>
      </c>
      <c r="B2677" t="n">
        <v>8</v>
      </c>
      <c r="C2677" t="inlineStr">
        <is>
          <t>Ertr. weiterber</t>
        </is>
      </c>
      <c r="D2677" t="inlineStr">
        <is>
          <t>Gesamtleistung</t>
        </is>
      </c>
      <c r="E2677" t="n">
        <v>1173.93</v>
      </c>
      <c r="F2677" t="n">
        <v>14087.11</v>
      </c>
    </row>
    <row r="2678">
      <c r="A2678" t="n">
        <v>2031</v>
      </c>
      <c r="B2678" t="n">
        <v>8</v>
      </c>
      <c r="C2678" t="inlineStr">
        <is>
          <t>Ueb. bezog.Leis</t>
        </is>
      </c>
      <c r="D2678" t="inlineStr">
        <is>
          <t>Vorleistungen</t>
        </is>
      </c>
      <c r="E2678" t="n">
        <v>1404446.73</v>
      </c>
      <c r="F2678" t="n">
        <v>16853360.74</v>
      </c>
    </row>
    <row r="2679">
      <c r="A2679" t="n">
        <v>2027</v>
      </c>
      <c r="B2679" t="n">
        <v>8</v>
      </c>
      <c r="C2679" t="inlineStr">
        <is>
          <t>Fremdl. Fuhrlei</t>
        </is>
      </c>
      <c r="D2679" t="inlineStr">
        <is>
          <t>Vorleistungen</t>
        </is>
      </c>
      <c r="E2679" t="n">
        <v>371.09</v>
      </c>
      <c r="F2679" t="n">
        <v>4453.13</v>
      </c>
    </row>
    <row r="2680">
      <c r="A2680" t="n">
        <v>2027</v>
      </c>
      <c r="B2680" t="n">
        <v>8</v>
      </c>
      <c r="C2680" t="inlineStr">
        <is>
          <t>Behaelterkosten</t>
        </is>
      </c>
      <c r="D2680" t="inlineStr">
        <is>
          <t>Instandh. Betriebsausstattung</t>
        </is>
      </c>
      <c r="E2680" t="n">
        <v>11.02</v>
      </c>
      <c r="F2680" t="n">
        <v>132.19</v>
      </c>
    </row>
    <row r="2681">
      <c r="A2681" t="n">
        <v>2027</v>
      </c>
      <c r="B2681" t="n">
        <v>8</v>
      </c>
      <c r="C2681" t="inlineStr">
        <is>
          <t>Ueb Lohn-Gehalt</t>
        </is>
      </c>
      <c r="D2681" t="inlineStr">
        <is>
          <t>Personalaufwand</t>
        </is>
      </c>
      <c r="E2681" t="n">
        <v>30579.25</v>
      </c>
      <c r="F2681" t="n">
        <v>366951</v>
      </c>
    </row>
    <row r="2682">
      <c r="A2682" t="n">
        <v>2028</v>
      </c>
      <c r="B2682" t="n">
        <v>8</v>
      </c>
      <c r="C2682" t="inlineStr">
        <is>
          <t>Raumkosten</t>
        </is>
      </c>
      <c r="D2682" t="inlineStr">
        <is>
          <t>Raumkosten</t>
        </is>
      </c>
      <c r="E2682" t="n">
        <v>7023.98</v>
      </c>
      <c r="F2682" t="n">
        <v>84287.78</v>
      </c>
    </row>
    <row r="2683">
      <c r="A2683" t="n">
        <v>2031</v>
      </c>
      <c r="B2683" t="n">
        <v>8</v>
      </c>
      <c r="C2683" t="inlineStr">
        <is>
          <t>Bestandsveraend</t>
        </is>
      </c>
      <c r="D2683" t="inlineStr">
        <is>
          <t>Gesamtleistung</t>
        </is>
      </c>
      <c r="E2683" t="n">
        <v>0</v>
      </c>
      <c r="F2683" t="n">
        <v>0</v>
      </c>
    </row>
    <row r="2684">
      <c r="A2684" t="n">
        <v>2029</v>
      </c>
      <c r="B2684" t="n">
        <v>8</v>
      </c>
      <c r="C2684" t="inlineStr">
        <is>
          <t>Lohn + Gehalt</t>
        </is>
      </c>
      <c r="D2684" t="inlineStr">
        <is>
          <t>Personalaufwand</t>
        </is>
      </c>
      <c r="E2684" t="n">
        <v>356250.11</v>
      </c>
      <c r="F2684" t="n">
        <v>4275001.35</v>
      </c>
    </row>
    <row r="2685">
      <c r="A2685" t="n">
        <v>2029</v>
      </c>
      <c r="B2685" t="n">
        <v>8</v>
      </c>
      <c r="C2685" t="inlineStr">
        <is>
          <t>Aufw. Heizmat.</t>
        </is>
      </c>
      <c r="D2685" t="inlineStr">
        <is>
          <t>Vorleistungen</t>
        </is>
      </c>
      <c r="E2685" t="n">
        <v>245.07</v>
      </c>
      <c r="F2685" t="n">
        <v>2940.88</v>
      </c>
    </row>
    <row r="2686">
      <c r="A2686" t="n">
        <v>2031</v>
      </c>
      <c r="B2686" t="n">
        <v>8</v>
      </c>
      <c r="C2686" t="inlineStr">
        <is>
          <t>Verwaltungskost</t>
        </is>
      </c>
      <c r="D2686" t="inlineStr">
        <is>
          <t>Verwaltungskosten</t>
        </is>
      </c>
      <c r="E2686" t="n">
        <v>7531.31</v>
      </c>
      <c r="F2686" t="n">
        <v>90375.69</v>
      </c>
    </row>
    <row r="2687">
      <c r="A2687" t="n">
        <v>2028</v>
      </c>
      <c r="B2687" t="n">
        <v>8</v>
      </c>
      <c r="C2687" t="inlineStr">
        <is>
          <t>Erl. Waren Dt.</t>
        </is>
      </c>
      <c r="D2687" t="inlineStr">
        <is>
          <t>Gesamtleistung</t>
        </is>
      </c>
      <c r="E2687" t="n">
        <v>44950.49</v>
      </c>
      <c r="F2687" t="n">
        <v>539405.87</v>
      </c>
    </row>
    <row r="2688">
      <c r="A2688" t="n">
        <v>2030</v>
      </c>
      <c r="B2688" t="n">
        <v>8</v>
      </c>
      <c r="C2688" t="inlineStr">
        <is>
          <t>Uebr.neutr. Ert</t>
        </is>
      </c>
      <c r="D2688" t="inlineStr">
        <is>
          <t>Gesamtleistung</t>
        </is>
      </c>
      <c r="E2688" t="n">
        <v>207.38</v>
      </c>
      <c r="F2688" t="n">
        <v>2488.5</v>
      </c>
    </row>
    <row r="2689">
      <c r="A2689" t="n">
        <v>2030</v>
      </c>
      <c r="B2689" t="n">
        <v>8</v>
      </c>
      <c r="C2689" t="inlineStr">
        <is>
          <t>Raumkosten</t>
        </is>
      </c>
      <c r="D2689" t="inlineStr">
        <is>
          <t>Raumkosten</t>
        </is>
      </c>
      <c r="E2689" t="n">
        <v>7307.75</v>
      </c>
      <c r="F2689" t="n">
        <v>87693</v>
      </c>
    </row>
    <row r="2690">
      <c r="A2690" t="n">
        <v>2030</v>
      </c>
      <c r="B2690" t="n">
        <v>8</v>
      </c>
      <c r="C2690" t="inlineStr">
        <is>
          <t>Fremdl. Persona</t>
        </is>
      </c>
      <c r="D2690" t="inlineStr">
        <is>
          <t>Vorleistungen</t>
        </is>
      </c>
      <c r="E2690" t="n">
        <v>76.56999999999999</v>
      </c>
      <c r="F2690" t="n">
        <v>918.79</v>
      </c>
    </row>
    <row r="2691">
      <c r="A2691" t="n">
        <v>2027</v>
      </c>
      <c r="B2691" t="n">
        <v>8</v>
      </c>
      <c r="C2691" t="inlineStr">
        <is>
          <t>Leasing PKW</t>
        </is>
      </c>
      <c r="D2691" t="inlineStr">
        <is>
          <t>Fuhrparkkosten</t>
        </is>
      </c>
      <c r="E2691" t="n">
        <v>21940.43</v>
      </c>
      <c r="F2691" t="n">
        <v>263285.11</v>
      </c>
    </row>
    <row r="2692">
      <c r="A2692" t="n">
        <v>2030</v>
      </c>
      <c r="B2692" t="n">
        <v>8</v>
      </c>
      <c r="C2692" t="inlineStr">
        <is>
          <t>Ertrag KFZ-Nutz</t>
        </is>
      </c>
      <c r="D2692" t="inlineStr">
        <is>
          <t>Gesamtleistung</t>
        </is>
      </c>
      <c r="E2692" t="n">
        <v>9193.41</v>
      </c>
      <c r="F2692" t="n">
        <v>110320.94</v>
      </c>
    </row>
    <row r="2693">
      <c r="A2693" t="n">
        <v>2028</v>
      </c>
      <c r="B2693" t="n">
        <v>8</v>
      </c>
      <c r="C2693" t="inlineStr">
        <is>
          <t>Uebr.neutr. Ert</t>
        </is>
      </c>
      <c r="D2693" t="inlineStr">
        <is>
          <t>Gesamtleistung</t>
        </is>
      </c>
      <c r="E2693" t="n">
        <v>151.92</v>
      </c>
      <c r="F2693" t="n">
        <v>1823.08</v>
      </c>
    </row>
    <row r="2694">
      <c r="A2694" t="n">
        <v>2030</v>
      </c>
      <c r="B2694" t="n">
        <v>8</v>
      </c>
      <c r="C2694" t="inlineStr">
        <is>
          <t>Soziale Abgaben</t>
        </is>
      </c>
      <c r="D2694" t="inlineStr">
        <is>
          <t>Personalaufwand</t>
        </is>
      </c>
      <c r="E2694" t="n">
        <v>104141.87</v>
      </c>
      <c r="F2694" t="n">
        <v>1249702.47</v>
      </c>
    </row>
    <row r="2695">
      <c r="A2695" t="n">
        <v>2030</v>
      </c>
      <c r="B2695" t="n">
        <v>8</v>
      </c>
      <c r="C2695" t="inlineStr">
        <is>
          <t>Ankauf Rohstoff</t>
        </is>
      </c>
      <c r="D2695" t="inlineStr">
        <is>
          <t>Vorleistungen</t>
        </is>
      </c>
      <c r="E2695" t="n">
        <v>1483.55</v>
      </c>
      <c r="F2695" t="n">
        <v>17802.65</v>
      </c>
    </row>
    <row r="2696">
      <c r="A2696" t="n">
        <v>2031</v>
      </c>
      <c r="B2696" t="n">
        <v>8</v>
      </c>
      <c r="C2696" t="inlineStr">
        <is>
          <t>Aufw. Heizmat.</t>
        </is>
      </c>
      <c r="D2696" t="inlineStr">
        <is>
          <t>Vorleistungen</t>
        </is>
      </c>
      <c r="E2696" t="n">
        <v>216.16</v>
      </c>
      <c r="F2696" t="n">
        <v>2593.97</v>
      </c>
    </row>
    <row r="2697">
      <c r="A2697" t="n">
        <v>2030</v>
      </c>
      <c r="B2697" t="n">
        <v>8</v>
      </c>
      <c r="C2697" t="inlineStr">
        <is>
          <t>IT-Aufwendungen</t>
        </is>
      </c>
      <c r="D2697" t="inlineStr">
        <is>
          <t>Verwaltungskosten</t>
        </is>
      </c>
      <c r="E2697" t="n">
        <v>12671.51</v>
      </c>
      <c r="F2697" t="n">
        <v>152058.16</v>
      </c>
    </row>
    <row r="2698">
      <c r="A2698" t="n">
        <v>2027</v>
      </c>
      <c r="B2698" t="n">
        <v>8</v>
      </c>
      <c r="C2698" t="inlineStr">
        <is>
          <t>Treibstoffe, Oe</t>
        </is>
      </c>
      <c r="D2698" t="inlineStr">
        <is>
          <t>Fuhrparkkosten</t>
        </is>
      </c>
      <c r="E2698" t="n">
        <v>28695.87</v>
      </c>
      <c r="F2698" t="n">
        <v>344350.48</v>
      </c>
    </row>
    <row r="2699">
      <c r="A2699" t="n">
        <v>2028</v>
      </c>
      <c r="B2699" t="n">
        <v>8</v>
      </c>
      <c r="C2699" t="inlineStr">
        <is>
          <t>Aufw. Heizmat.</t>
        </is>
      </c>
      <c r="D2699" t="inlineStr">
        <is>
          <t>Vorleistungen</t>
        </is>
      </c>
      <c r="E2699" t="n">
        <v>260.43</v>
      </c>
      <c r="F2699" t="n">
        <v>3125.13</v>
      </c>
    </row>
    <row r="2700">
      <c r="A2700" t="n">
        <v>2031</v>
      </c>
      <c r="B2700" t="n">
        <v>8</v>
      </c>
      <c r="C2700" t="inlineStr">
        <is>
          <t>Ertrag KFZ-Nutz</t>
        </is>
      </c>
      <c r="D2700" t="inlineStr">
        <is>
          <t>Gesamtleistung</t>
        </is>
      </c>
      <c r="E2700" t="n">
        <v>9597.290000000001</v>
      </c>
      <c r="F2700" t="n">
        <v>115167.5</v>
      </c>
    </row>
    <row r="2701">
      <c r="A2701" t="n">
        <v>2027</v>
      </c>
      <c r="B2701" t="n">
        <v>8</v>
      </c>
      <c r="C2701" t="inlineStr">
        <is>
          <t>Raumkosten</t>
        </is>
      </c>
      <c r="D2701" t="inlineStr">
        <is>
          <t>Raumkosten</t>
        </is>
      </c>
      <c r="E2701" t="n">
        <v>5046.85</v>
      </c>
      <c r="F2701" t="n">
        <v>60562.14</v>
      </c>
    </row>
    <row r="2702">
      <c r="A2702" t="n">
        <v>2028</v>
      </c>
      <c r="B2702" t="n">
        <v>8</v>
      </c>
      <c r="C2702" t="inlineStr">
        <is>
          <t>Soziale Abgaben</t>
        </is>
      </c>
      <c r="D2702" t="inlineStr">
        <is>
          <t>Personalaufwand</t>
        </is>
      </c>
      <c r="E2702" t="n">
        <v>85007.57000000001</v>
      </c>
      <c r="F2702" t="n">
        <v>1020090.84</v>
      </c>
    </row>
    <row r="2703">
      <c r="A2703" t="n">
        <v>2029</v>
      </c>
      <c r="B2703" t="n">
        <v>8</v>
      </c>
      <c r="C2703" t="inlineStr">
        <is>
          <t>Miete Grdst/Gebäud</t>
        </is>
      </c>
      <c r="D2703" t="inlineStr">
        <is>
          <t>Raumkosten</t>
        </is>
      </c>
      <c r="E2703" t="n">
        <v>18238.55</v>
      </c>
      <c r="F2703" t="n">
        <v>218862.64</v>
      </c>
    </row>
    <row r="2704">
      <c r="A2704" t="n">
        <v>2031</v>
      </c>
      <c r="B2704" t="n">
        <v>8</v>
      </c>
      <c r="C2704" t="inlineStr">
        <is>
          <t>Raumkosten</t>
        </is>
      </c>
      <c r="D2704" t="inlineStr">
        <is>
          <t>Raumkosten</t>
        </is>
      </c>
      <c r="E2704" t="n">
        <v>7453.91</v>
      </c>
      <c r="F2704" t="n">
        <v>89446.89</v>
      </c>
    </row>
    <row r="2705">
      <c r="A2705" t="n">
        <v>2031</v>
      </c>
      <c r="B2705" t="n">
        <v>8</v>
      </c>
      <c r="C2705" t="inlineStr">
        <is>
          <t>Behaelterkosten</t>
        </is>
      </c>
      <c r="D2705" t="inlineStr">
        <is>
          <t>Instandh. Betriebsausstattung</t>
        </is>
      </c>
      <c r="E2705" t="n">
        <v>13.39</v>
      </c>
      <c r="F2705" t="n">
        <v>160.68</v>
      </c>
    </row>
    <row r="2706">
      <c r="A2706" t="n">
        <v>2031</v>
      </c>
      <c r="B2706" t="n">
        <v>8</v>
      </c>
      <c r="C2706" t="inlineStr">
        <is>
          <t>Instandh.Fuhrp</t>
        </is>
      </c>
      <c r="D2706" t="inlineStr">
        <is>
          <t>Fuhrparkkosten</t>
        </is>
      </c>
      <c r="E2706" t="n">
        <v>38327.36</v>
      </c>
      <c r="F2706" t="n">
        <v>459928.28</v>
      </c>
    </row>
    <row r="2707">
      <c r="A2707" t="n">
        <v>2030</v>
      </c>
      <c r="B2707" t="n">
        <v>8</v>
      </c>
      <c r="C2707" t="inlineStr">
        <is>
          <t>Ueb. bezog.Leis</t>
        </is>
      </c>
      <c r="D2707" t="inlineStr">
        <is>
          <t>Vorleistungen</t>
        </is>
      </c>
      <c r="E2707" t="n">
        <v>1385029.28</v>
      </c>
      <c r="F2707" t="n">
        <v>16620351.38</v>
      </c>
    </row>
    <row r="2708">
      <c r="A2708" t="n">
        <v>2027</v>
      </c>
      <c r="B2708" t="n">
        <v>8</v>
      </c>
      <c r="C2708" t="inlineStr">
        <is>
          <t>Miete LKW,Schiffe</t>
        </is>
      </c>
      <c r="D2708" t="inlineStr">
        <is>
          <t>Fuhrparkkosten</t>
        </is>
      </c>
      <c r="E2708" t="n">
        <v>36751.61</v>
      </c>
      <c r="F2708" t="n">
        <v>441019.28</v>
      </c>
    </row>
    <row r="2709">
      <c r="A2709" t="n">
        <v>2030</v>
      </c>
      <c r="B2709" t="n">
        <v>8</v>
      </c>
      <c r="C2709" t="inlineStr">
        <is>
          <t>Leasing LKW</t>
        </is>
      </c>
      <c r="D2709" t="inlineStr">
        <is>
          <t>Fuhrparkkosten</t>
        </is>
      </c>
      <c r="E2709" t="n">
        <v>2745.62</v>
      </c>
      <c r="F2709" t="n">
        <v>32947.44</v>
      </c>
    </row>
    <row r="2710">
      <c r="A2710" t="n">
        <v>2031</v>
      </c>
      <c r="B2710" t="n">
        <v>8</v>
      </c>
      <c r="C2710" t="inlineStr">
        <is>
          <t>Vertriebskosten</t>
        </is>
      </c>
      <c r="D2710" t="inlineStr">
        <is>
          <t>Vertriebskosten</t>
        </is>
      </c>
      <c r="E2710" t="n">
        <v>13167.99</v>
      </c>
      <c r="F2710" t="n">
        <v>158015.82</v>
      </c>
    </row>
    <row r="2711">
      <c r="A2711" t="n">
        <v>2028</v>
      </c>
      <c r="B2711" t="n">
        <v>8</v>
      </c>
      <c r="C2711" t="inlineStr">
        <is>
          <t>Behaelterkosten</t>
        </is>
      </c>
      <c r="D2711" t="inlineStr">
        <is>
          <t>Instandh. Betriebsausstattung</t>
        </is>
      </c>
      <c r="E2711" t="n">
        <v>11.57</v>
      </c>
      <c r="F2711" t="n">
        <v>138.8</v>
      </c>
    </row>
    <row r="2712">
      <c r="A2712" t="n">
        <v>2030</v>
      </c>
      <c r="B2712" t="n">
        <v>8</v>
      </c>
      <c r="C2712" t="inlineStr">
        <is>
          <t>Verwaltungskost</t>
        </is>
      </c>
      <c r="D2712" t="inlineStr">
        <is>
          <t>Verwaltungskosten</t>
        </is>
      </c>
      <c r="E2712" t="n">
        <v>7311.95</v>
      </c>
      <c r="F2712" t="n">
        <v>87743.38</v>
      </c>
    </row>
    <row r="2713">
      <c r="A2713" t="n">
        <v>2030</v>
      </c>
      <c r="B2713" t="n">
        <v>8</v>
      </c>
      <c r="C2713" t="inlineStr">
        <is>
          <t>Rechts- u. Beratungs</t>
        </is>
      </c>
      <c r="D2713" t="inlineStr">
        <is>
          <t>Verwaltungskosten</t>
        </is>
      </c>
      <c r="E2713" t="n">
        <v>28013.14</v>
      </c>
      <c r="F2713" t="n">
        <v>336157.66</v>
      </c>
    </row>
    <row r="2714">
      <c r="A2714" t="n">
        <v>2028</v>
      </c>
      <c r="B2714" t="n">
        <v>8</v>
      </c>
      <c r="C2714" t="inlineStr">
        <is>
          <t>Sonst Fuhrparkkosten</t>
        </is>
      </c>
      <c r="D2714" t="inlineStr">
        <is>
          <t>Fuhrparkkosten</t>
        </is>
      </c>
      <c r="E2714" t="n">
        <v>5288.59</v>
      </c>
      <c r="F2714" t="n">
        <v>63463.1</v>
      </c>
    </row>
    <row r="2715">
      <c r="A2715" t="n">
        <v>2029</v>
      </c>
      <c r="B2715" t="n">
        <v>8</v>
      </c>
      <c r="C2715" t="inlineStr">
        <is>
          <t>Erl. so. DL Dt.</t>
        </is>
      </c>
      <c r="D2715" t="inlineStr">
        <is>
          <t>Gesamtleistung</t>
        </is>
      </c>
      <c r="E2715" t="n">
        <v>2200755.15</v>
      </c>
      <c r="F2715" t="n">
        <v>26409061.76</v>
      </c>
    </row>
    <row r="2716">
      <c r="A2716" t="n">
        <v>2031</v>
      </c>
      <c r="B2716" t="n">
        <v>8</v>
      </c>
      <c r="C2716" t="inlineStr">
        <is>
          <t>Uebr.neutr. Ert</t>
        </is>
      </c>
      <c r="D2716" t="inlineStr">
        <is>
          <t>Gesamtleistung</t>
        </is>
      </c>
      <c r="E2716" t="n">
        <v>227.28</v>
      </c>
      <c r="F2716" t="n">
        <v>2727.33</v>
      </c>
    </row>
    <row r="2717">
      <c r="A2717" t="n">
        <v>2030</v>
      </c>
      <c r="B2717" t="n">
        <v>8</v>
      </c>
      <c r="C2717" t="inlineStr">
        <is>
          <t>Erl. Waren Dt.</t>
        </is>
      </c>
      <c r="D2717" t="inlineStr">
        <is>
          <t>Gesamtleistung</t>
        </is>
      </c>
      <c r="E2717" t="n">
        <v>49038.99</v>
      </c>
      <c r="F2717" t="n">
        <v>588467.85</v>
      </c>
    </row>
    <row r="2718">
      <c r="A2718" t="n">
        <v>2028</v>
      </c>
      <c r="B2718" t="n">
        <v>8</v>
      </c>
      <c r="C2718" t="inlineStr">
        <is>
          <t>Weiterber. Frem</t>
        </is>
      </c>
      <c r="D2718" t="inlineStr">
        <is>
          <t>Vorleistungen</t>
        </is>
      </c>
      <c r="E2718" t="n">
        <v>0</v>
      </c>
      <c r="F2718" t="n">
        <v>0</v>
      </c>
    </row>
    <row r="2719">
      <c r="A2719" t="n">
        <v>2027</v>
      </c>
      <c r="B2719" t="n">
        <v>8</v>
      </c>
      <c r="C2719" t="inlineStr">
        <is>
          <t>IT-Aufwendungen</t>
        </is>
      </c>
      <c r="D2719" t="inlineStr">
        <is>
          <t>Verwaltungskosten</t>
        </is>
      </c>
      <c r="E2719" t="n">
        <v>11596.23</v>
      </c>
      <c r="F2719" t="n">
        <v>139154.76</v>
      </c>
    </row>
    <row r="2720">
      <c r="A2720" t="n">
        <v>2028</v>
      </c>
      <c r="B2720" t="n">
        <v>8</v>
      </c>
      <c r="C2720" t="inlineStr">
        <is>
          <t>Leasing LKW</t>
        </is>
      </c>
      <c r="D2720" t="inlineStr">
        <is>
          <t>Fuhrparkkosten</t>
        </is>
      </c>
      <c r="E2720" t="n">
        <v>2443.59</v>
      </c>
      <c r="F2720" t="n">
        <v>29323.11</v>
      </c>
    </row>
    <row r="2721">
      <c r="A2721" t="n">
        <v>2031</v>
      </c>
      <c r="B2721" t="n">
        <v>8</v>
      </c>
      <c r="C2721" t="inlineStr">
        <is>
          <t>Weiterber. Frem</t>
        </is>
      </c>
      <c r="D2721" t="inlineStr">
        <is>
          <t>Vorleistungen</t>
        </is>
      </c>
      <c r="E2721" t="n">
        <v>0</v>
      </c>
      <c r="F2721" t="n">
        <v>0</v>
      </c>
    </row>
    <row r="2722">
      <c r="A2722" t="n">
        <v>2028</v>
      </c>
      <c r="B2722" t="n">
        <v>8</v>
      </c>
      <c r="C2722" t="inlineStr">
        <is>
          <t>Lohn + Gehalt</t>
        </is>
      </c>
      <c r="D2722" t="inlineStr">
        <is>
          <t>Personalaufwand</t>
        </is>
      </c>
      <c r="E2722" t="n">
        <v>321097.26</v>
      </c>
      <c r="F2722" t="n">
        <v>3853167.13</v>
      </c>
    </row>
    <row r="2723">
      <c r="A2723" t="n">
        <v>2029</v>
      </c>
      <c r="B2723" t="n">
        <v>8</v>
      </c>
      <c r="C2723" t="inlineStr">
        <is>
          <t>Miete LKW,Schiffe</t>
        </is>
      </c>
      <c r="D2723" t="inlineStr">
        <is>
          <t>Fuhrparkkosten</t>
        </is>
      </c>
      <c r="E2723" t="n">
        <v>41294.11</v>
      </c>
      <c r="F2723" t="n">
        <v>495529.28</v>
      </c>
    </row>
    <row r="2724">
      <c r="A2724" t="n">
        <v>2030</v>
      </c>
      <c r="B2724" t="n">
        <v>8</v>
      </c>
      <c r="C2724" t="inlineStr">
        <is>
          <t>Erl. so. DL Dt.</t>
        </is>
      </c>
      <c r="D2724" t="inlineStr">
        <is>
          <t>Gesamtleistung</t>
        </is>
      </c>
      <c r="E2724" t="n">
        <v>2311684.01</v>
      </c>
      <c r="F2724" t="n">
        <v>27740208.09</v>
      </c>
    </row>
    <row r="2725">
      <c r="A2725" t="n">
        <v>2030</v>
      </c>
      <c r="B2725" t="n">
        <v>8</v>
      </c>
      <c r="C2725" t="inlineStr">
        <is>
          <t>Versicherungskosten</t>
        </is>
      </c>
      <c r="D2725" t="inlineStr">
        <is>
          <t>Verwaltungskosten</t>
        </is>
      </c>
      <c r="E2725" t="n">
        <v>11790.1</v>
      </c>
      <c r="F2725" t="n">
        <v>141481.23</v>
      </c>
    </row>
    <row r="2726">
      <c r="A2726" t="n">
        <v>2029</v>
      </c>
      <c r="B2726" t="n">
        <v>8</v>
      </c>
      <c r="C2726" t="inlineStr">
        <is>
          <t>Sonstige Steuer</t>
        </is>
      </c>
      <c r="D2726" t="inlineStr">
        <is>
          <t>Fuhrparkkosten</t>
        </is>
      </c>
      <c r="E2726" t="n">
        <v>1682.38</v>
      </c>
      <c r="F2726" t="n">
        <v>20188.51</v>
      </c>
    </row>
    <row r="2727">
      <c r="A2727" t="n">
        <v>2027</v>
      </c>
      <c r="B2727" t="n">
        <v>8</v>
      </c>
      <c r="C2727" t="inlineStr">
        <is>
          <t>Sonst Fuhrparkkosten</t>
        </is>
      </c>
      <c r="D2727" t="inlineStr">
        <is>
          <t>Fuhrparkkosten</t>
        </is>
      </c>
      <c r="E2727" t="n">
        <v>4989.24</v>
      </c>
      <c r="F2727" t="n">
        <v>59870.86</v>
      </c>
    </row>
    <row r="2728">
      <c r="A2728" t="n">
        <v>2028</v>
      </c>
      <c r="B2728" t="n">
        <v>8</v>
      </c>
      <c r="C2728" t="inlineStr">
        <is>
          <t>Bestandsveraend</t>
        </is>
      </c>
      <c r="D2728" t="inlineStr">
        <is>
          <t>Gesamtleistung</t>
        </is>
      </c>
      <c r="E2728" t="n">
        <v>0</v>
      </c>
      <c r="F2728" t="n">
        <v>0</v>
      </c>
    </row>
    <row r="2729">
      <c r="A2729" t="n">
        <v>2028</v>
      </c>
      <c r="B2729" t="n">
        <v>8</v>
      </c>
      <c r="C2729" t="inlineStr">
        <is>
          <t>So. betr. Aufwa</t>
        </is>
      </c>
      <c r="D2729" t="inlineStr">
        <is>
          <t>Verwaltungskosten</t>
        </is>
      </c>
      <c r="E2729" t="n">
        <v>673.0599999999999</v>
      </c>
      <c r="F2729" t="n">
        <v>8076.71</v>
      </c>
    </row>
    <row r="2730">
      <c r="A2730" t="n">
        <v>2030</v>
      </c>
      <c r="B2730" t="n">
        <v>8</v>
      </c>
      <c r="C2730" t="inlineStr">
        <is>
          <t>Miete LKW,Schiffe</t>
        </is>
      </c>
      <c r="D2730" t="inlineStr">
        <is>
          <t>Fuhrparkkosten</t>
        </is>
      </c>
      <c r="E2730" t="n">
        <v>43771.75</v>
      </c>
      <c r="F2730" t="n">
        <v>525261.04</v>
      </c>
    </row>
    <row r="2731">
      <c r="A2731" t="n">
        <v>2028</v>
      </c>
      <c r="B2731" t="n">
        <v>8</v>
      </c>
      <c r="C2731" t="inlineStr">
        <is>
          <t>Miete LKW,Schiffe</t>
        </is>
      </c>
      <c r="D2731" t="inlineStr">
        <is>
          <t>Fuhrparkkosten</t>
        </is>
      </c>
      <c r="E2731" t="n">
        <v>38956.71</v>
      </c>
      <c r="F2731" t="n">
        <v>467480.47</v>
      </c>
    </row>
    <row r="2732">
      <c r="A2732" t="n">
        <v>2028</v>
      </c>
      <c r="B2732" t="n">
        <v>8</v>
      </c>
      <c r="C2732" t="inlineStr">
        <is>
          <t>sonst Personalk</t>
        </is>
      </c>
      <c r="D2732" t="inlineStr">
        <is>
          <t>Personalaufwand</t>
        </is>
      </c>
      <c r="E2732" t="n">
        <v>12597.51</v>
      </c>
      <c r="F2732" t="n">
        <v>151170.09</v>
      </c>
    </row>
    <row r="2733">
      <c r="A2733" t="n">
        <v>2030</v>
      </c>
      <c r="B2733" t="n">
        <v>8</v>
      </c>
      <c r="C2733" t="inlineStr">
        <is>
          <t>Leasing PKW</t>
        </is>
      </c>
      <c r="D2733" t="inlineStr">
        <is>
          <t>Fuhrparkkosten</t>
        </is>
      </c>
      <c r="E2733" t="n">
        <v>26131.4</v>
      </c>
      <c r="F2733" t="n">
        <v>313576.76</v>
      </c>
    </row>
    <row r="2734">
      <c r="A2734" t="n">
        <v>2031</v>
      </c>
      <c r="B2734" t="n">
        <v>8</v>
      </c>
      <c r="C2734" t="inlineStr">
        <is>
          <t>Aufwand Umlage</t>
        </is>
      </c>
      <c r="D2734" t="inlineStr">
        <is>
          <t>Verwaltungskosten</t>
        </is>
      </c>
      <c r="E2734" t="n">
        <v>3807.87</v>
      </c>
      <c r="F2734" t="n">
        <v>45694.43</v>
      </c>
    </row>
    <row r="2735">
      <c r="A2735" t="n">
        <v>2031</v>
      </c>
      <c r="B2735" t="n">
        <v>8</v>
      </c>
      <c r="C2735" t="inlineStr">
        <is>
          <t>sonst Personalk</t>
        </is>
      </c>
      <c r="D2735" t="inlineStr">
        <is>
          <t>Personalaufwand</t>
        </is>
      </c>
      <c r="E2735" t="n">
        <v>17070.54</v>
      </c>
      <c r="F2735" t="n">
        <v>204846.51</v>
      </c>
    </row>
    <row r="2736">
      <c r="A2736" t="n">
        <v>2027</v>
      </c>
      <c r="B2736" t="n">
        <v>8</v>
      </c>
      <c r="C2736" t="inlineStr">
        <is>
          <t>sonst Personalk</t>
        </is>
      </c>
      <c r="D2736" t="inlineStr">
        <is>
          <t>Personalaufwand</t>
        </is>
      </c>
      <c r="E2736" t="n">
        <v>10949.84</v>
      </c>
      <c r="F2736" t="n">
        <v>131398.1</v>
      </c>
    </row>
    <row r="2737">
      <c r="A2737" t="n">
        <v>2031</v>
      </c>
      <c r="B2737" t="n">
        <v>8</v>
      </c>
      <c r="C2737" t="inlineStr">
        <is>
          <t>Miete PKW</t>
        </is>
      </c>
      <c r="D2737" t="inlineStr">
        <is>
          <t>Fuhrparkkosten</t>
        </is>
      </c>
      <c r="E2737" t="n">
        <v>5824.81</v>
      </c>
      <c r="F2737" t="n">
        <v>69897.67</v>
      </c>
    </row>
    <row r="2738">
      <c r="A2738" t="n">
        <v>2029</v>
      </c>
      <c r="B2738" t="n">
        <v>8</v>
      </c>
      <c r="C2738" t="inlineStr">
        <is>
          <t>Raumkosten</t>
        </is>
      </c>
      <c r="D2738" t="inlineStr">
        <is>
          <t>Raumkosten</t>
        </is>
      </c>
      <c r="E2738" t="n">
        <v>7164.46</v>
      </c>
      <c r="F2738" t="n">
        <v>85973.53</v>
      </c>
    </row>
    <row r="2739">
      <c r="A2739" t="n">
        <v>2031</v>
      </c>
      <c r="B2739" t="n">
        <v>8</v>
      </c>
      <c r="C2739" t="inlineStr">
        <is>
          <t>Aufw. f. Alters</t>
        </is>
      </c>
      <c r="D2739" t="inlineStr">
        <is>
          <t>Personalaufwand</t>
        </is>
      </c>
      <c r="E2739" t="n">
        <v>1434.03</v>
      </c>
      <c r="F2739" t="n">
        <v>17208.41</v>
      </c>
    </row>
    <row r="2740">
      <c r="A2740" t="n">
        <v>2031</v>
      </c>
      <c r="B2740" t="n">
        <v>8</v>
      </c>
      <c r="C2740" t="inlineStr">
        <is>
          <t>IT-Aufwendungen</t>
        </is>
      </c>
      <c r="D2740" t="inlineStr">
        <is>
          <t>Verwaltungskosten</t>
        </is>
      </c>
      <c r="E2740" t="n">
        <v>13051.66</v>
      </c>
      <c r="F2740" t="n">
        <v>156619.9</v>
      </c>
    </row>
    <row r="2741">
      <c r="A2741" t="n">
        <v>2028</v>
      </c>
      <c r="B2741" t="n">
        <v>8</v>
      </c>
      <c r="C2741" t="inlineStr">
        <is>
          <t>Miete Grdst/Gebäud</t>
        </is>
      </c>
      <c r="D2741" t="inlineStr">
        <is>
          <t>Raumkosten</t>
        </is>
      </c>
      <c r="E2741" t="n">
        <v>17880.93</v>
      </c>
      <c r="F2741" t="n">
        <v>214571.21</v>
      </c>
    </row>
    <row r="2742">
      <c r="A2742" t="n">
        <v>2027</v>
      </c>
      <c r="B2742" t="n">
        <v>8</v>
      </c>
      <c r="C2742" t="inlineStr">
        <is>
          <t>Erloesschmaeler</t>
        </is>
      </c>
      <c r="D2742" t="inlineStr">
        <is>
          <t>Gesamtleistung</t>
        </is>
      </c>
      <c r="E2742" t="n">
        <v>-7483.88</v>
      </c>
      <c r="F2742" t="n">
        <v>-89806.53</v>
      </c>
    </row>
    <row r="2743">
      <c r="A2743" t="n">
        <v>2029</v>
      </c>
      <c r="B2743" t="n">
        <v>8</v>
      </c>
      <c r="C2743" t="inlineStr">
        <is>
          <t>sonst Personalk</t>
        </is>
      </c>
      <c r="D2743" t="inlineStr">
        <is>
          <t>Personalaufwand</t>
        </is>
      </c>
      <c r="E2743" t="n">
        <v>13957.15</v>
      </c>
      <c r="F2743" t="n">
        <v>167485.78</v>
      </c>
    </row>
    <row r="2744">
      <c r="A2744" t="n">
        <v>2028</v>
      </c>
      <c r="B2744" t="n">
        <v>8</v>
      </c>
      <c r="C2744" t="inlineStr">
        <is>
          <t>Fremdl. Fuhrlei</t>
        </is>
      </c>
      <c r="D2744" t="inlineStr">
        <is>
          <t>Vorleistungen</t>
        </is>
      </c>
      <c r="E2744" t="n">
        <v>363.29</v>
      </c>
      <c r="F2744" t="n">
        <v>4359.52</v>
      </c>
    </row>
    <row r="2745">
      <c r="A2745" t="n">
        <v>2027</v>
      </c>
      <c r="B2745" t="n">
        <v>8</v>
      </c>
      <c r="C2745" t="inlineStr">
        <is>
          <t>Erl. so. DL Dt.</t>
        </is>
      </c>
      <c r="D2745" t="inlineStr">
        <is>
          <t>Gesamtleistung</t>
        </is>
      </c>
      <c r="E2745" t="n">
        <v>1996174.37</v>
      </c>
      <c r="F2745" t="n">
        <v>23954092.45</v>
      </c>
    </row>
    <row r="2746">
      <c r="A2746" t="n">
        <v>2027</v>
      </c>
      <c r="B2746" t="n">
        <v>8</v>
      </c>
      <c r="C2746" t="inlineStr">
        <is>
          <t>Aufw. Heizmat.</t>
        </is>
      </c>
      <c r="D2746" t="inlineStr">
        <is>
          <t>Vorleistungen</t>
        </is>
      </c>
      <c r="E2746" t="n">
        <v>275.72</v>
      </c>
      <c r="F2746" t="n">
        <v>3308.65</v>
      </c>
    </row>
    <row r="2747">
      <c r="A2747" t="n">
        <v>2028</v>
      </c>
      <c r="B2747" t="n">
        <v>8</v>
      </c>
      <c r="C2747" t="inlineStr">
        <is>
          <t>Versicherungskosten</t>
        </is>
      </c>
      <c r="D2747" t="inlineStr">
        <is>
          <t>Verwaltungskosten</t>
        </is>
      </c>
      <c r="E2747" t="n">
        <v>11113.3</v>
      </c>
      <c r="F2747" t="n">
        <v>133359.63</v>
      </c>
    </row>
    <row r="2748">
      <c r="A2748" t="n">
        <v>2031</v>
      </c>
      <c r="B2748" t="n">
        <v>8</v>
      </c>
      <c r="C2748" t="inlineStr">
        <is>
          <t>Miete LKW,Schiffe</t>
        </is>
      </c>
      <c r="D2748" t="inlineStr">
        <is>
          <t>Fuhrparkkosten</t>
        </is>
      </c>
      <c r="E2748" t="n">
        <v>46398.06</v>
      </c>
      <c r="F2748" t="n">
        <v>556776.71</v>
      </c>
    </row>
    <row r="2749">
      <c r="A2749" t="n">
        <v>2027</v>
      </c>
      <c r="B2749" t="n">
        <v>8</v>
      </c>
      <c r="C2749" t="inlineStr">
        <is>
          <t>Weiterber. Frem</t>
        </is>
      </c>
      <c r="D2749" t="inlineStr">
        <is>
          <t>Vorleistungen</t>
        </is>
      </c>
      <c r="E2749" t="n">
        <v>0</v>
      </c>
      <c r="F2749" t="n">
        <v>0</v>
      </c>
    </row>
    <row r="2750">
      <c r="A2750" t="n">
        <v>2028</v>
      </c>
      <c r="B2750" t="n">
        <v>8</v>
      </c>
      <c r="C2750" t="inlineStr">
        <is>
          <t>Erloesschmaeler</t>
        </is>
      </c>
      <c r="D2750" t="inlineStr">
        <is>
          <t>Gesamtleistung</t>
        </is>
      </c>
      <c r="E2750" t="n">
        <v>-8355.469999999999</v>
      </c>
      <c r="F2750" t="n">
        <v>-100265.61</v>
      </c>
    </row>
    <row r="2751">
      <c r="A2751" t="n">
        <v>2027</v>
      </c>
      <c r="B2751" t="n">
        <v>8</v>
      </c>
      <c r="C2751" t="inlineStr">
        <is>
          <t>Uebr.neutr. Ert</t>
        </is>
      </c>
      <c r="D2751" t="inlineStr">
        <is>
          <t>Gesamtleistung</t>
        </is>
      </c>
      <c r="E2751" t="n">
        <v>113.94</v>
      </c>
      <c r="F2751" t="n">
        <v>1367.31</v>
      </c>
    </row>
    <row r="2752">
      <c r="A2752" t="n">
        <v>2028</v>
      </c>
      <c r="B2752" t="n">
        <v>8</v>
      </c>
      <c r="C2752" t="inlineStr">
        <is>
          <t>Miete Behälter</t>
        </is>
      </c>
      <c r="D2752" t="inlineStr">
        <is>
          <t>Instandh. Betriebsausstattung</t>
        </is>
      </c>
      <c r="E2752" t="n">
        <v>24.08</v>
      </c>
      <c r="F2752" t="n">
        <v>289</v>
      </c>
    </row>
    <row r="2753">
      <c r="A2753" t="n">
        <v>2028</v>
      </c>
      <c r="B2753" t="n">
        <v>8</v>
      </c>
      <c r="C2753" t="inlineStr">
        <is>
          <t>Aufw. so. Hilfs</t>
        </is>
      </c>
      <c r="D2753" t="inlineStr">
        <is>
          <t>Vorleistungen</t>
        </is>
      </c>
      <c r="E2753" t="n">
        <v>-16546.31</v>
      </c>
      <c r="F2753" t="n">
        <v>-198555.67</v>
      </c>
    </row>
    <row r="2754">
      <c r="A2754" t="n">
        <v>2030</v>
      </c>
      <c r="B2754" t="n">
        <v>8</v>
      </c>
      <c r="C2754" t="inlineStr">
        <is>
          <t>Treibstoffe, Oe</t>
        </is>
      </c>
      <c r="D2754" t="inlineStr">
        <is>
          <t>Fuhrparkkosten</t>
        </is>
      </c>
      <c r="E2754" t="n">
        <v>34177.25</v>
      </c>
      <c r="F2754" t="n">
        <v>410126.96</v>
      </c>
    </row>
    <row r="2755">
      <c r="A2755" t="n">
        <v>2030</v>
      </c>
      <c r="B2755" t="n">
        <v>8</v>
      </c>
      <c r="C2755" t="inlineStr">
        <is>
          <t>Ueb Lohn-Gehalt</t>
        </is>
      </c>
      <c r="D2755" t="inlineStr">
        <is>
          <t>Personalaufwand</t>
        </is>
      </c>
      <c r="E2755" t="n">
        <v>41842.02</v>
      </c>
      <c r="F2755" t="n">
        <v>502104.18</v>
      </c>
    </row>
    <row r="2756">
      <c r="A2756" t="n">
        <v>2030</v>
      </c>
      <c r="B2756" t="n">
        <v>8</v>
      </c>
      <c r="C2756" t="inlineStr">
        <is>
          <t>Aufw. f. Alters</t>
        </is>
      </c>
      <c r="D2756" t="inlineStr">
        <is>
          <t>Personalaufwand</t>
        </is>
      </c>
      <c r="E2756" t="n">
        <v>1387.56</v>
      </c>
      <c r="F2756" t="n">
        <v>16650.69</v>
      </c>
    </row>
    <row r="2757">
      <c r="A2757" t="n">
        <v>2031</v>
      </c>
      <c r="B2757" t="n">
        <v>8</v>
      </c>
      <c r="C2757" t="inlineStr">
        <is>
          <t>Fremdl. Persona</t>
        </is>
      </c>
      <c r="D2757" t="inlineStr">
        <is>
          <t>Vorleistungen</t>
        </is>
      </c>
      <c r="E2757" t="n">
        <v>79.40000000000001</v>
      </c>
      <c r="F2757" t="n">
        <v>952.79</v>
      </c>
    </row>
    <row r="2758">
      <c r="A2758" t="n">
        <v>2029</v>
      </c>
      <c r="B2758" t="n">
        <v>9</v>
      </c>
      <c r="C2758" t="inlineStr">
        <is>
          <t>Sonderz. Prämie</t>
        </is>
      </c>
      <c r="D2758" t="inlineStr">
        <is>
          <t>Personalaufwand</t>
        </is>
      </c>
      <c r="E2758" t="n">
        <v>23292.21</v>
      </c>
      <c r="F2758" t="n">
        <v>279506.56</v>
      </c>
    </row>
    <row r="2759">
      <c r="A2759" t="n">
        <v>2030</v>
      </c>
      <c r="B2759" t="n">
        <v>9</v>
      </c>
      <c r="C2759" t="inlineStr">
        <is>
          <t>sonst Personalk</t>
        </is>
      </c>
      <c r="D2759" t="inlineStr">
        <is>
          <t>Personalaufwand</t>
        </is>
      </c>
      <c r="E2759" t="n">
        <v>15558.93</v>
      </c>
      <c r="F2759" t="n">
        <v>186707.19</v>
      </c>
    </row>
    <row r="2760">
      <c r="A2760" t="n">
        <v>2031</v>
      </c>
      <c r="B2760" t="n">
        <v>9</v>
      </c>
      <c r="C2760" t="inlineStr">
        <is>
          <t>Ankauf Rohstoff</t>
        </is>
      </c>
      <c r="D2760" t="inlineStr">
        <is>
          <t>Vorleistungen</t>
        </is>
      </c>
      <c r="E2760" t="n">
        <v>1489.65</v>
      </c>
      <c r="F2760" t="n">
        <v>17875.76</v>
      </c>
    </row>
    <row r="2761">
      <c r="A2761" t="n">
        <v>2029</v>
      </c>
      <c r="B2761" t="n">
        <v>9</v>
      </c>
      <c r="C2761" t="inlineStr">
        <is>
          <t>Weiterber. Frem</t>
        </is>
      </c>
      <c r="D2761" t="inlineStr">
        <is>
          <t>Vorleistungen</t>
        </is>
      </c>
      <c r="E2761" t="n">
        <v>0</v>
      </c>
      <c r="F2761" t="n">
        <v>0</v>
      </c>
    </row>
    <row r="2762">
      <c r="A2762" t="n">
        <v>2031</v>
      </c>
      <c r="B2762" t="n">
        <v>9</v>
      </c>
      <c r="C2762" t="inlineStr">
        <is>
          <t>Sonstige Steuer</t>
        </is>
      </c>
      <c r="D2762" t="inlineStr">
        <is>
          <t>Fuhrparkkosten</t>
        </is>
      </c>
      <c r="E2762" t="n">
        <v>1890.32</v>
      </c>
      <c r="F2762" t="n">
        <v>22683.81</v>
      </c>
    </row>
    <row r="2763">
      <c r="A2763" t="n">
        <v>2030</v>
      </c>
      <c r="B2763" t="n">
        <v>9</v>
      </c>
      <c r="C2763" t="inlineStr">
        <is>
          <t>Bestandsveraend</t>
        </is>
      </c>
      <c r="D2763" t="inlineStr">
        <is>
          <t>Gesamtleistung</t>
        </is>
      </c>
      <c r="E2763" t="n">
        <v>0</v>
      </c>
      <c r="F2763" t="n">
        <v>0</v>
      </c>
    </row>
    <row r="2764">
      <c r="A2764" t="n">
        <v>2031</v>
      </c>
      <c r="B2764" t="n">
        <v>9</v>
      </c>
      <c r="C2764" t="inlineStr">
        <is>
          <t>Erl. so. DL Dt.</t>
        </is>
      </c>
      <c r="D2764" t="inlineStr">
        <is>
          <t>Gesamtleistung</t>
        </is>
      </c>
      <c r="E2764" t="n">
        <v>2428139.11</v>
      </c>
      <c r="F2764" t="n">
        <v>29137669.32</v>
      </c>
    </row>
    <row r="2765">
      <c r="A2765" t="n">
        <v>2030</v>
      </c>
      <c r="B2765" t="n">
        <v>9</v>
      </c>
      <c r="C2765" t="inlineStr">
        <is>
          <t>Sonstige Steuer</t>
        </is>
      </c>
      <c r="D2765" t="inlineStr">
        <is>
          <t>Fuhrparkkosten</t>
        </is>
      </c>
      <c r="E2765" t="n">
        <v>1783.32</v>
      </c>
      <c r="F2765" t="n">
        <v>21399.82</v>
      </c>
    </row>
    <row r="2766">
      <c r="A2766" t="n">
        <v>2030</v>
      </c>
      <c r="B2766" t="n">
        <v>9</v>
      </c>
      <c r="C2766" t="inlineStr">
        <is>
          <t>Sonderz. Prämie</t>
        </is>
      </c>
      <c r="D2766" t="inlineStr">
        <is>
          <t>Personalaufwand</t>
        </is>
      </c>
      <c r="E2766" t="n">
        <v>25004.1</v>
      </c>
      <c r="F2766" t="n">
        <v>300049.14</v>
      </c>
    </row>
    <row r="2767">
      <c r="A2767" t="n">
        <v>2029</v>
      </c>
      <c r="B2767" t="n">
        <v>9</v>
      </c>
      <c r="C2767" t="inlineStr">
        <is>
          <t>Soziale Abgaben</t>
        </is>
      </c>
      <c r="D2767" t="inlineStr">
        <is>
          <t>Personalaufwand</t>
        </is>
      </c>
      <c r="E2767" t="n">
        <v>94488.11</v>
      </c>
      <c r="F2767" t="n">
        <v>1133857.35</v>
      </c>
    </row>
    <row r="2768">
      <c r="A2768" t="n">
        <v>2031</v>
      </c>
      <c r="B2768" t="n">
        <v>9</v>
      </c>
      <c r="C2768" t="inlineStr">
        <is>
          <t>So. betr. Aufwa</t>
        </is>
      </c>
      <c r="D2768" t="inlineStr">
        <is>
          <t>Verwaltungskosten</t>
        </is>
      </c>
      <c r="E2768" t="n">
        <v>735.47</v>
      </c>
      <c r="F2768" t="n">
        <v>8825.639999999999</v>
      </c>
    </row>
    <row r="2769">
      <c r="A2769" t="n">
        <v>2027</v>
      </c>
      <c r="B2769" t="n">
        <v>9</v>
      </c>
      <c r="C2769" t="inlineStr">
        <is>
          <t>Lohn + Gehalt</t>
        </is>
      </c>
      <c r="D2769" t="inlineStr">
        <is>
          <t>Personalaufwand</t>
        </is>
      </c>
      <c r="E2769" t="n">
        <v>287946.36</v>
      </c>
      <c r="F2769" t="n">
        <v>3455356.33</v>
      </c>
    </row>
    <row r="2770">
      <c r="A2770" t="n">
        <v>2027</v>
      </c>
      <c r="B2770" t="n">
        <v>9</v>
      </c>
      <c r="C2770" t="inlineStr">
        <is>
          <t>So. betr. Aufwa</t>
        </is>
      </c>
      <c r="D2770" t="inlineStr">
        <is>
          <t>Verwaltungskosten</t>
        </is>
      </c>
      <c r="E2770" t="n">
        <v>653.45</v>
      </c>
      <c r="F2770" t="n">
        <v>7841.45</v>
      </c>
    </row>
    <row r="2771">
      <c r="A2771" t="n">
        <v>2028</v>
      </c>
      <c r="B2771" t="n">
        <v>9</v>
      </c>
      <c r="C2771" t="inlineStr">
        <is>
          <t>Ueb Lohn-Gehalt</t>
        </is>
      </c>
      <c r="D2771" t="inlineStr">
        <is>
          <t>Personalaufwand</t>
        </is>
      </c>
      <c r="E2771" t="n">
        <v>34332.83</v>
      </c>
      <c r="F2771" t="n">
        <v>411993.96</v>
      </c>
    </row>
    <row r="2772">
      <c r="A2772" t="n">
        <v>2027</v>
      </c>
      <c r="B2772" t="n">
        <v>9</v>
      </c>
      <c r="C2772" t="inlineStr">
        <is>
          <t>Verwaltungskost</t>
        </is>
      </c>
      <c r="D2772" t="inlineStr">
        <is>
          <t>Verwaltungskosten</t>
        </is>
      </c>
      <c r="E2772" t="n">
        <v>6691.47</v>
      </c>
      <c r="F2772" t="n">
        <v>80297.62</v>
      </c>
    </row>
    <row r="2773">
      <c r="A2773" t="n">
        <v>2030</v>
      </c>
      <c r="B2773" t="n">
        <v>9</v>
      </c>
      <c r="C2773" t="inlineStr">
        <is>
          <t>Aufw. Heizmat.</t>
        </is>
      </c>
      <c r="D2773" t="inlineStr">
        <is>
          <t>Vorleistungen</t>
        </is>
      </c>
      <c r="E2773" t="n">
        <v>230.4</v>
      </c>
      <c r="F2773" t="n">
        <v>2764.82</v>
      </c>
    </row>
    <row r="2774">
      <c r="A2774" t="n">
        <v>2027</v>
      </c>
      <c r="B2774" t="n">
        <v>9</v>
      </c>
      <c r="C2774" t="inlineStr">
        <is>
          <t>Versicherungskosten</t>
        </is>
      </c>
      <c r="D2774" t="inlineStr">
        <is>
          <t>Verwaltungskosten</t>
        </is>
      </c>
      <c r="E2774" t="n">
        <v>10789.61</v>
      </c>
      <c r="F2774" t="n">
        <v>129475.37</v>
      </c>
    </row>
    <row r="2775">
      <c r="A2775" t="n">
        <v>2031</v>
      </c>
      <c r="B2775" t="n">
        <v>9</v>
      </c>
      <c r="C2775" t="inlineStr">
        <is>
          <t>Instandh. BGA</t>
        </is>
      </c>
      <c r="D2775" t="inlineStr">
        <is>
          <t>Instandh. Betriebsausstattung</t>
        </is>
      </c>
      <c r="E2775" t="n">
        <v>5124.63</v>
      </c>
      <c r="F2775" t="n">
        <v>61495.58</v>
      </c>
    </row>
    <row r="2776">
      <c r="A2776" t="n">
        <v>2029</v>
      </c>
      <c r="B2776" t="n">
        <v>9</v>
      </c>
      <c r="C2776" t="inlineStr">
        <is>
          <t>Treibstoffe, Oe</t>
        </is>
      </c>
      <c r="D2776" t="inlineStr">
        <is>
          <t>Fuhrparkkosten</t>
        </is>
      </c>
      <c r="E2776" t="n">
        <v>32242.68</v>
      </c>
      <c r="F2776" t="n">
        <v>386912.19</v>
      </c>
    </row>
    <row r="2777">
      <c r="A2777" t="n">
        <v>2027</v>
      </c>
      <c r="B2777" t="n">
        <v>9</v>
      </c>
      <c r="C2777" t="inlineStr">
        <is>
          <t>Instandh. BGA</t>
        </is>
      </c>
      <c r="D2777" t="inlineStr">
        <is>
          <t>Instandh. Betriebsausstattung</t>
        </is>
      </c>
      <c r="E2777" t="n">
        <v>4216.05</v>
      </c>
      <c r="F2777" t="n">
        <v>50592.58</v>
      </c>
    </row>
    <row r="2778">
      <c r="A2778" t="n">
        <v>2029</v>
      </c>
      <c r="B2778" t="n">
        <v>9</v>
      </c>
      <c r="C2778" t="inlineStr">
        <is>
          <t>Ueb Lohn-Gehalt</t>
        </is>
      </c>
      <c r="D2778" t="inlineStr">
        <is>
          <t>Personalaufwand</t>
        </is>
      </c>
      <c r="E2778" t="n">
        <v>37989.9</v>
      </c>
      <c r="F2778" t="n">
        <v>455878.84</v>
      </c>
    </row>
    <row r="2779">
      <c r="A2779" t="n">
        <v>2031</v>
      </c>
      <c r="B2779" t="n">
        <v>9</v>
      </c>
      <c r="C2779" t="inlineStr">
        <is>
          <t>Erl. Waren Dt.</t>
        </is>
      </c>
      <c r="D2779" t="inlineStr">
        <is>
          <t>Gesamtleistung</t>
        </is>
      </c>
      <c r="E2779" t="n">
        <v>50865.59</v>
      </c>
      <c r="F2779" t="n">
        <v>610387.05</v>
      </c>
    </row>
    <row r="2780">
      <c r="A2780" t="n">
        <v>2027</v>
      </c>
      <c r="B2780" t="n">
        <v>9</v>
      </c>
      <c r="C2780" t="inlineStr">
        <is>
          <t>Fremdl. Persona</t>
        </is>
      </c>
      <c r="D2780" t="inlineStr">
        <is>
          <t>Vorleistungen</t>
        </is>
      </c>
      <c r="E2780" t="n">
        <v>61.31</v>
      </c>
      <c r="F2780" t="n">
        <v>735.66</v>
      </c>
    </row>
    <row r="2781">
      <c r="A2781" t="n">
        <v>2027</v>
      </c>
      <c r="B2781" t="n">
        <v>9</v>
      </c>
      <c r="C2781" t="inlineStr">
        <is>
          <t>Aufwand Umlage</t>
        </is>
      </c>
      <c r="D2781" t="inlineStr">
        <is>
          <t>Verwaltungskosten</t>
        </is>
      </c>
      <c r="E2781" t="n">
        <v>3383.24</v>
      </c>
      <c r="F2781" t="n">
        <v>40598.91</v>
      </c>
    </row>
    <row r="2782">
      <c r="A2782" t="n">
        <v>2031</v>
      </c>
      <c r="B2782" t="n">
        <v>9</v>
      </c>
      <c r="C2782" t="inlineStr">
        <is>
          <t>Ueb Lohn-Gehalt</t>
        </is>
      </c>
      <c r="D2782" t="inlineStr">
        <is>
          <t>Personalaufwand</t>
        </is>
      </c>
      <c r="E2782" t="n">
        <v>45675.82</v>
      </c>
      <c r="F2782" t="n">
        <v>548109.79</v>
      </c>
    </row>
    <row r="2783">
      <c r="A2783" t="n">
        <v>2027</v>
      </c>
      <c r="B2783" t="n">
        <v>9</v>
      </c>
      <c r="C2783" t="inlineStr">
        <is>
          <t>Rechts- u. Beratungs</t>
        </is>
      </c>
      <c r="D2783" t="inlineStr">
        <is>
          <t>Verwaltungskosten</t>
        </is>
      </c>
      <c r="E2783" t="n">
        <v>25635.99</v>
      </c>
      <c r="F2783" t="n">
        <v>307631.89</v>
      </c>
    </row>
    <row r="2784">
      <c r="A2784" t="n">
        <v>2028</v>
      </c>
      <c r="B2784" t="n">
        <v>9</v>
      </c>
      <c r="C2784" t="inlineStr">
        <is>
          <t>Verwaltungskost</t>
        </is>
      </c>
      <c r="D2784" t="inlineStr">
        <is>
          <t>Verwaltungskosten</t>
        </is>
      </c>
      <c r="E2784" t="n">
        <v>6892.21</v>
      </c>
      <c r="F2784" t="n">
        <v>82706.56</v>
      </c>
    </row>
    <row r="2785">
      <c r="A2785" t="n">
        <v>2028</v>
      </c>
      <c r="B2785" t="n">
        <v>9</v>
      </c>
      <c r="C2785" t="inlineStr">
        <is>
          <t>Ueb. bezog.Leis</t>
        </is>
      </c>
      <c r="D2785" t="inlineStr">
        <is>
          <t>Vorleistungen</t>
        </is>
      </c>
      <c r="E2785" t="n">
        <v>1342498.67</v>
      </c>
      <c r="F2785" t="n">
        <v>16109983.99</v>
      </c>
    </row>
    <row r="2786">
      <c r="A2786" t="n">
        <v>2028</v>
      </c>
      <c r="B2786" t="n">
        <v>9</v>
      </c>
      <c r="C2786" t="inlineStr">
        <is>
          <t>Ankauf Rohstoff</t>
        </is>
      </c>
      <c r="D2786" t="inlineStr">
        <is>
          <t>Vorleistungen</t>
        </is>
      </c>
      <c r="E2786" t="n">
        <v>1457.38</v>
      </c>
      <c r="F2786" t="n">
        <v>17488.61</v>
      </c>
    </row>
    <row r="2787">
      <c r="A2787" t="n">
        <v>2029</v>
      </c>
      <c r="B2787" t="n">
        <v>9</v>
      </c>
      <c r="C2787" t="inlineStr">
        <is>
          <t>Erloesschmaeler</t>
        </is>
      </c>
      <c r="D2787" t="inlineStr">
        <is>
          <t>Gesamtleistung</t>
        </is>
      </c>
      <c r="E2787" t="n">
        <v>-9048.01</v>
      </c>
      <c r="F2787" t="n">
        <v>-108576.08</v>
      </c>
    </row>
    <row r="2788">
      <c r="A2788" t="n">
        <v>2029</v>
      </c>
      <c r="B2788" t="n">
        <v>9</v>
      </c>
      <c r="C2788" t="inlineStr">
        <is>
          <t>Leasing PKW</t>
        </is>
      </c>
      <c r="D2788" t="inlineStr">
        <is>
          <t>Fuhrparkkosten</t>
        </is>
      </c>
      <c r="E2788" t="n">
        <v>24652.26</v>
      </c>
      <c r="F2788" t="n">
        <v>295827.14</v>
      </c>
    </row>
    <row r="2789">
      <c r="A2789" t="n">
        <v>2029</v>
      </c>
      <c r="B2789" t="n">
        <v>9</v>
      </c>
      <c r="C2789" t="inlineStr">
        <is>
          <t>Fremdl. Persona</t>
        </is>
      </c>
      <c r="D2789" t="inlineStr">
        <is>
          <t>Vorleistungen</t>
        </is>
      </c>
      <c r="E2789" t="n">
        <v>73.3</v>
      </c>
      <c r="F2789" t="n">
        <v>879.54</v>
      </c>
    </row>
    <row r="2790">
      <c r="A2790" t="n">
        <v>2028</v>
      </c>
      <c r="B2790" t="n">
        <v>9</v>
      </c>
      <c r="C2790" t="inlineStr">
        <is>
          <t>Aufwand Umlage</t>
        </is>
      </c>
      <c r="D2790" t="inlineStr">
        <is>
          <t>Verwaltungskosten</t>
        </is>
      </c>
      <c r="E2790" t="n">
        <v>3484.74</v>
      </c>
      <c r="F2790" t="n">
        <v>41816.88</v>
      </c>
    </row>
    <row r="2791">
      <c r="A2791" t="n">
        <v>2027</v>
      </c>
      <c r="B2791" t="n">
        <v>9</v>
      </c>
      <c r="C2791" t="inlineStr">
        <is>
          <t>Ankauf Rohstoff</t>
        </is>
      </c>
      <c r="D2791" t="inlineStr">
        <is>
          <t>Vorleistungen</t>
        </is>
      </c>
      <c r="E2791" t="n">
        <v>1408.24</v>
      </c>
      <c r="F2791" t="n">
        <v>16898.9</v>
      </c>
    </row>
    <row r="2792">
      <c r="A2792" t="n">
        <v>2030</v>
      </c>
      <c r="B2792" t="n">
        <v>9</v>
      </c>
      <c r="C2792" t="inlineStr">
        <is>
          <t>Erloesschmaeler</t>
        </is>
      </c>
      <c r="D2792" t="inlineStr">
        <is>
          <t>Gesamtleistung</t>
        </is>
      </c>
      <c r="E2792" t="n">
        <v>-9690.75</v>
      </c>
      <c r="F2792" t="n">
        <v>-116289.05</v>
      </c>
    </row>
    <row r="2793">
      <c r="A2793" t="n">
        <v>2029</v>
      </c>
      <c r="B2793" t="n">
        <v>9</v>
      </c>
      <c r="C2793" t="inlineStr">
        <is>
          <t>Sonst Fuhrparkkosten</t>
        </is>
      </c>
      <c r="D2793" t="inlineStr">
        <is>
          <t>Fuhrparkkosten</t>
        </is>
      </c>
      <c r="E2793" t="n">
        <v>5605.91</v>
      </c>
      <c r="F2793" t="n">
        <v>67270.89</v>
      </c>
    </row>
    <row r="2794">
      <c r="A2794" t="n">
        <v>2027</v>
      </c>
      <c r="B2794" t="n">
        <v>9</v>
      </c>
      <c r="C2794" t="inlineStr">
        <is>
          <t>Soziale Abgaben</t>
        </is>
      </c>
      <c r="D2794" t="inlineStr">
        <is>
          <t>Personalaufwand</t>
        </is>
      </c>
      <c r="E2794" t="n">
        <v>75903.69</v>
      </c>
      <c r="F2794" t="n">
        <v>910844.28</v>
      </c>
    </row>
    <row r="2795">
      <c r="A2795" t="n">
        <v>2031</v>
      </c>
      <c r="B2795" t="n">
        <v>9</v>
      </c>
      <c r="C2795" t="inlineStr">
        <is>
          <t>Erloesschmaeler</t>
        </is>
      </c>
      <c r="D2795" t="inlineStr">
        <is>
          <t>Gesamtleistung</t>
        </is>
      </c>
      <c r="E2795" t="n">
        <v>-10347.15</v>
      </c>
      <c r="F2795" t="n">
        <v>-124165.81</v>
      </c>
    </row>
    <row r="2796">
      <c r="A2796" t="n">
        <v>2029</v>
      </c>
      <c r="B2796" t="n">
        <v>9</v>
      </c>
      <c r="C2796" t="inlineStr">
        <is>
          <t>Ertr. weiterber</t>
        </is>
      </c>
      <c r="D2796" t="inlineStr">
        <is>
          <t>Gesamtleistung</t>
        </is>
      </c>
      <c r="E2796" t="n">
        <v>1036.39</v>
      </c>
      <c r="F2796" t="n">
        <v>12436.69</v>
      </c>
    </row>
    <row r="2797">
      <c r="A2797" t="n">
        <v>2027</v>
      </c>
      <c r="B2797" t="n">
        <v>9</v>
      </c>
      <c r="C2797" t="inlineStr">
        <is>
          <t>Sonderz. Prämie</t>
        </is>
      </c>
      <c r="D2797" t="inlineStr">
        <is>
          <t>Personalaufwand</t>
        </is>
      </c>
      <c r="E2797" t="n">
        <v>19636.08</v>
      </c>
      <c r="F2797" t="n">
        <v>235633</v>
      </c>
    </row>
    <row r="2798">
      <c r="A2798" t="n">
        <v>2027</v>
      </c>
      <c r="B2798" t="n">
        <v>9</v>
      </c>
      <c r="C2798" t="inlineStr">
        <is>
          <t>Miete Behälter</t>
        </is>
      </c>
      <c r="D2798" t="inlineStr">
        <is>
          <t>Instandh. Betriebsausstattung</t>
        </is>
      </c>
      <c r="E2798" t="n">
        <v>22.94</v>
      </c>
      <c r="F2798" t="n">
        <v>275.23</v>
      </c>
    </row>
    <row r="2799">
      <c r="A2799" t="n">
        <v>2031</v>
      </c>
      <c r="B2799" t="n">
        <v>9</v>
      </c>
      <c r="C2799" t="inlineStr">
        <is>
          <t>Versicherungskosten</t>
        </is>
      </c>
      <c r="D2799" t="inlineStr">
        <is>
          <t>Verwaltungskosten</t>
        </is>
      </c>
      <c r="E2799" t="n">
        <v>12143.81</v>
      </c>
      <c r="F2799" t="n">
        <v>145725.66</v>
      </c>
    </row>
    <row r="2800">
      <c r="A2800" t="n">
        <v>2029</v>
      </c>
      <c r="B2800" t="n">
        <v>9</v>
      </c>
      <c r="C2800" t="inlineStr">
        <is>
          <t>Rechts- u. Beratungs</t>
        </is>
      </c>
      <c r="D2800" t="inlineStr">
        <is>
          <t>Verwaltungskosten</t>
        </is>
      </c>
      <c r="E2800" t="n">
        <v>27197.22</v>
      </c>
      <c r="F2800" t="n">
        <v>326366.65</v>
      </c>
    </row>
    <row r="2801">
      <c r="A2801" t="n">
        <v>2028</v>
      </c>
      <c r="B2801" t="n">
        <v>9</v>
      </c>
      <c r="C2801" t="inlineStr">
        <is>
          <t>Instandh.Fuhrp</t>
        </is>
      </c>
      <c r="D2801" t="inlineStr">
        <is>
          <t>Fuhrparkkosten</t>
        </is>
      </c>
      <c r="E2801" t="n">
        <v>32180.39</v>
      </c>
      <c r="F2801" t="n">
        <v>386164.66</v>
      </c>
    </row>
    <row r="2802">
      <c r="A2802" t="n">
        <v>2030</v>
      </c>
      <c r="B2802" t="n">
        <v>9</v>
      </c>
      <c r="C2802" t="inlineStr">
        <is>
          <t>Miete Grdst/Gebäud</t>
        </is>
      </c>
      <c r="D2802" t="inlineStr">
        <is>
          <t>Raumkosten</t>
        </is>
      </c>
      <c r="E2802" t="n">
        <v>18603.32</v>
      </c>
      <c r="F2802" t="n">
        <v>223239.88</v>
      </c>
    </row>
    <row r="2803">
      <c r="A2803" t="n">
        <v>2027</v>
      </c>
      <c r="B2803" t="n">
        <v>9</v>
      </c>
      <c r="C2803" t="inlineStr">
        <is>
          <t>Ueb. bezog.Leis</t>
        </is>
      </c>
      <c r="D2803" t="inlineStr">
        <is>
          <t>Vorleistungen</t>
        </is>
      </c>
      <c r="E2803" t="n">
        <v>1319862.34</v>
      </c>
      <c r="F2803" t="n">
        <v>15838348.13</v>
      </c>
    </row>
    <row r="2804">
      <c r="A2804" t="n">
        <v>2029</v>
      </c>
      <c r="B2804" t="n">
        <v>9</v>
      </c>
      <c r="C2804" t="inlineStr">
        <is>
          <t>Erl. Waren Dt.</t>
        </is>
      </c>
      <c r="D2804" t="inlineStr">
        <is>
          <t>Gesamtleistung</t>
        </is>
      </c>
      <c r="E2804" t="n">
        <v>47334.08</v>
      </c>
      <c r="F2804" t="n">
        <v>568008.92</v>
      </c>
    </row>
    <row r="2805">
      <c r="A2805" t="n">
        <v>2031</v>
      </c>
      <c r="B2805" t="n">
        <v>9</v>
      </c>
      <c r="C2805" t="inlineStr">
        <is>
          <t>Treibstoffe, Oe</t>
        </is>
      </c>
      <c r="D2805" t="inlineStr">
        <is>
          <t>Fuhrparkkosten</t>
        </is>
      </c>
      <c r="E2805" t="n">
        <v>36227.88</v>
      </c>
      <c r="F2805" t="n">
        <v>434734.54</v>
      </c>
    </row>
    <row r="2806">
      <c r="A2806" t="n">
        <v>2029</v>
      </c>
      <c r="B2806" t="n">
        <v>9</v>
      </c>
      <c r="C2806" t="inlineStr">
        <is>
          <t>Miete Behälter</t>
        </is>
      </c>
      <c r="D2806" t="inlineStr">
        <is>
          <t>Instandh. Betriebsausstattung</t>
        </is>
      </c>
      <c r="E2806" t="n">
        <v>25.29</v>
      </c>
      <c r="F2806" t="n">
        <v>303.45</v>
      </c>
    </row>
    <row r="2807">
      <c r="A2807" t="n">
        <v>2030</v>
      </c>
      <c r="B2807" t="n">
        <v>9</v>
      </c>
      <c r="C2807" t="inlineStr">
        <is>
          <t>Instandh. BGA</t>
        </is>
      </c>
      <c r="D2807" t="inlineStr">
        <is>
          <t>Instandh. Betriebsausstattung</t>
        </is>
      </c>
      <c r="E2807" t="n">
        <v>4880.6</v>
      </c>
      <c r="F2807" t="n">
        <v>58567.23</v>
      </c>
    </row>
    <row r="2808">
      <c r="A2808" t="n">
        <v>2030</v>
      </c>
      <c r="B2808" t="n">
        <v>9</v>
      </c>
      <c r="C2808" t="inlineStr">
        <is>
          <t>Lohn + Gehalt</t>
        </is>
      </c>
      <c r="D2808" t="inlineStr">
        <is>
          <t>Personalaufwand</t>
        </is>
      </c>
      <c r="E2808" t="n">
        <v>392030.8</v>
      </c>
      <c r="F2808" t="n">
        <v>4704369.59</v>
      </c>
    </row>
    <row r="2809">
      <c r="A2809" t="n">
        <v>2027</v>
      </c>
      <c r="B2809" t="n">
        <v>9</v>
      </c>
      <c r="C2809" t="inlineStr">
        <is>
          <t>Bestandsveraend</t>
        </is>
      </c>
      <c r="D2809" t="inlineStr">
        <is>
          <t>Gesamtleistung</t>
        </is>
      </c>
      <c r="E2809" t="n">
        <v>0</v>
      </c>
      <c r="F2809" t="n">
        <v>0</v>
      </c>
    </row>
    <row r="2810">
      <c r="A2810" t="n">
        <v>2027</v>
      </c>
      <c r="B2810" t="n">
        <v>9</v>
      </c>
      <c r="C2810" t="inlineStr">
        <is>
          <t>Aufw. so. Hilfs</t>
        </is>
      </c>
      <c r="D2810" t="inlineStr">
        <is>
          <t>Vorleistungen</t>
        </is>
      </c>
      <c r="E2810" t="n">
        <v>-16362.04</v>
      </c>
      <c r="F2810" t="n">
        <v>-196344.47</v>
      </c>
    </row>
    <row r="2811">
      <c r="A2811" t="n">
        <v>2027</v>
      </c>
      <c r="B2811" t="n">
        <v>9</v>
      </c>
      <c r="C2811" t="inlineStr">
        <is>
          <t>Aufw. f. Alters</t>
        </is>
      </c>
      <c r="D2811" t="inlineStr">
        <is>
          <t>Personalaufwand</t>
        </is>
      </c>
      <c r="E2811" t="n">
        <v>1234.77</v>
      </c>
      <c r="F2811" t="n">
        <v>14817.29</v>
      </c>
    </row>
    <row r="2812">
      <c r="A2812" t="n">
        <v>2027</v>
      </c>
      <c r="B2812" t="n">
        <v>9</v>
      </c>
      <c r="C2812" t="inlineStr">
        <is>
          <t>Vertriebskosten</t>
        </is>
      </c>
      <c r="D2812" t="inlineStr">
        <is>
          <t>Vertriebskosten</t>
        </is>
      </c>
      <c r="E2812" t="n">
        <v>10833.33</v>
      </c>
      <c r="F2812" t="n">
        <v>130000</v>
      </c>
    </row>
    <row r="2813">
      <c r="A2813" t="n">
        <v>2027</v>
      </c>
      <c r="B2813" t="n">
        <v>9</v>
      </c>
      <c r="C2813" t="inlineStr">
        <is>
          <t>Ertrag KFZ-Nutz</t>
        </is>
      </c>
      <c r="D2813" t="inlineStr">
        <is>
          <t>Gesamtleistung</t>
        </is>
      </c>
      <c r="E2813" t="n">
        <v>8029.69</v>
      </c>
      <c r="F2813" t="n">
        <v>96356.3</v>
      </c>
    </row>
    <row r="2814">
      <c r="A2814" t="n">
        <v>2031</v>
      </c>
      <c r="B2814" t="n">
        <v>9</v>
      </c>
      <c r="C2814" t="inlineStr">
        <is>
          <t>Lohn + Gehalt</t>
        </is>
      </c>
      <c r="D2814" t="inlineStr">
        <is>
          <t>Personalaufwand</t>
        </is>
      </c>
      <c r="E2814" t="n">
        <v>428257.62</v>
      </c>
      <c r="F2814" t="n">
        <v>5139091.39</v>
      </c>
    </row>
    <row r="2815">
      <c r="A2815" t="n">
        <v>2031</v>
      </c>
      <c r="B2815" t="n">
        <v>9</v>
      </c>
      <c r="C2815" t="inlineStr">
        <is>
          <t>Soziale Abgaben</t>
        </is>
      </c>
      <c r="D2815" t="inlineStr">
        <is>
          <t>Personalaufwand</t>
        </is>
      </c>
      <c r="E2815" t="n">
        <v>113909.76</v>
      </c>
      <c r="F2815" t="n">
        <v>1366917.09</v>
      </c>
    </row>
    <row r="2816">
      <c r="A2816" t="n">
        <v>2031</v>
      </c>
      <c r="B2816" t="n">
        <v>9</v>
      </c>
      <c r="C2816" t="inlineStr">
        <is>
          <t>Sonst Fuhrparkkosten</t>
        </is>
      </c>
      <c r="D2816" t="inlineStr">
        <is>
          <t>Fuhrparkkosten</t>
        </is>
      </c>
      <c r="E2816" t="n">
        <v>6298.8</v>
      </c>
      <c r="F2816" t="n">
        <v>75585.56</v>
      </c>
    </row>
    <row r="2817">
      <c r="A2817" t="n">
        <v>2030</v>
      </c>
      <c r="B2817" t="n">
        <v>9</v>
      </c>
      <c r="C2817" t="inlineStr">
        <is>
          <t>Miete Behälter</t>
        </is>
      </c>
      <c r="D2817" t="inlineStr">
        <is>
          <t>Instandh. Betriebsausstattung</t>
        </is>
      </c>
      <c r="E2817" t="n">
        <v>26.55</v>
      </c>
      <c r="F2817" t="n">
        <v>318.62</v>
      </c>
    </row>
    <row r="2818">
      <c r="A2818" t="n">
        <v>2028</v>
      </c>
      <c r="B2818" t="n">
        <v>9</v>
      </c>
      <c r="C2818" t="inlineStr">
        <is>
          <t>Miete PKW</t>
        </is>
      </c>
      <c r="D2818" t="inlineStr">
        <is>
          <t>Fuhrparkkosten</t>
        </is>
      </c>
      <c r="E2818" t="n">
        <v>4890.62</v>
      </c>
      <c r="F2818" t="n">
        <v>58687.43</v>
      </c>
    </row>
    <row r="2819">
      <c r="A2819" t="n">
        <v>2030</v>
      </c>
      <c r="B2819" t="n">
        <v>9</v>
      </c>
      <c r="C2819" t="inlineStr">
        <is>
          <t>Aufwand Umlage</t>
        </is>
      </c>
      <c r="D2819" t="inlineStr">
        <is>
          <t>Verwaltungskosten</t>
        </is>
      </c>
      <c r="E2819" t="n">
        <v>3696.96</v>
      </c>
      <c r="F2819" t="n">
        <v>44363.53</v>
      </c>
    </row>
    <row r="2820">
      <c r="A2820" t="n">
        <v>2030</v>
      </c>
      <c r="B2820" t="n">
        <v>9</v>
      </c>
      <c r="C2820" t="inlineStr">
        <is>
          <t>So. betr. Aufwa</t>
        </is>
      </c>
      <c r="D2820" t="inlineStr">
        <is>
          <t>Verwaltungskosten</t>
        </is>
      </c>
      <c r="E2820" t="n">
        <v>714.05</v>
      </c>
      <c r="F2820" t="n">
        <v>8568.57</v>
      </c>
    </row>
    <row r="2821">
      <c r="A2821" t="n">
        <v>2029</v>
      </c>
      <c r="B2821" t="n">
        <v>9</v>
      </c>
      <c r="C2821" t="inlineStr">
        <is>
          <t>Versicherungskosten</t>
        </is>
      </c>
      <c r="D2821" t="inlineStr">
        <is>
          <t>Verwaltungskosten</t>
        </is>
      </c>
      <c r="E2821" t="n">
        <v>11446.7</v>
      </c>
      <c r="F2821" t="n">
        <v>137360.42</v>
      </c>
    </row>
    <row r="2822">
      <c r="A2822" t="n">
        <v>2027</v>
      </c>
      <c r="B2822" t="n">
        <v>9</v>
      </c>
      <c r="C2822" t="inlineStr">
        <is>
          <t>Sonstige Steuer</t>
        </is>
      </c>
      <c r="D2822" t="inlineStr">
        <is>
          <t>Fuhrparkkosten</t>
        </is>
      </c>
      <c r="E2822" t="n">
        <v>1497.31</v>
      </c>
      <c r="F2822" t="n">
        <v>17967.71</v>
      </c>
    </row>
    <row r="2823">
      <c r="A2823" t="n">
        <v>2031</v>
      </c>
      <c r="B2823" t="n">
        <v>9</v>
      </c>
      <c r="C2823" t="inlineStr">
        <is>
          <t>Leasing LKW</t>
        </is>
      </c>
      <c r="D2823" t="inlineStr">
        <is>
          <t>Fuhrparkkosten</t>
        </is>
      </c>
      <c r="E2823" t="n">
        <v>2910.36</v>
      </c>
      <c r="F2823" t="n">
        <v>34924.28</v>
      </c>
    </row>
    <row r="2824">
      <c r="A2824" t="n">
        <v>2029</v>
      </c>
      <c r="B2824" t="n">
        <v>9</v>
      </c>
      <c r="C2824" t="inlineStr">
        <is>
          <t>Leasing LKW</t>
        </is>
      </c>
      <c r="D2824" t="inlineStr">
        <is>
          <t>Fuhrparkkosten</t>
        </is>
      </c>
      <c r="E2824" t="n">
        <v>2590.21</v>
      </c>
      <c r="F2824" t="n">
        <v>31082.49</v>
      </c>
    </row>
    <row r="2825">
      <c r="A2825" t="n">
        <v>2027</v>
      </c>
      <c r="B2825" t="n">
        <v>9</v>
      </c>
      <c r="C2825" t="inlineStr">
        <is>
          <t>Instandh.Fuhrp</t>
        </is>
      </c>
      <c r="D2825" t="inlineStr">
        <is>
          <t>Fuhrparkkosten</t>
        </is>
      </c>
      <c r="E2825" t="n">
        <v>30358.86</v>
      </c>
      <c r="F2825" t="n">
        <v>364306.28</v>
      </c>
    </row>
    <row r="2826">
      <c r="A2826" t="n">
        <v>2029</v>
      </c>
      <c r="B2826" t="n">
        <v>9</v>
      </c>
      <c r="C2826" t="inlineStr">
        <is>
          <t>Vertriebskosten</t>
        </is>
      </c>
      <c r="D2826" t="inlineStr">
        <is>
          <t>Vertriebskosten</t>
        </is>
      </c>
      <c r="E2826" t="n">
        <v>11943.75</v>
      </c>
      <c r="F2826" t="n">
        <v>143325</v>
      </c>
    </row>
    <row r="2827">
      <c r="A2827" t="n">
        <v>2031</v>
      </c>
      <c r="B2827" t="n">
        <v>9</v>
      </c>
      <c r="C2827" t="inlineStr">
        <is>
          <t>Miete Grdst/Gebäud</t>
        </is>
      </c>
      <c r="D2827" t="inlineStr">
        <is>
          <t>Raumkosten</t>
        </is>
      </c>
      <c r="E2827" t="n">
        <v>18975.39</v>
      </c>
      <c r="F2827" t="n">
        <v>227704.65</v>
      </c>
    </row>
    <row r="2828">
      <c r="A2828" t="n">
        <v>2029</v>
      </c>
      <c r="B2828" t="n">
        <v>9</v>
      </c>
      <c r="C2828" t="inlineStr">
        <is>
          <t>Uebr.neutr. Ert</t>
        </is>
      </c>
      <c r="D2828" t="inlineStr">
        <is>
          <t>Gesamtleistung</t>
        </is>
      </c>
      <c r="E2828" t="n">
        <v>189.9</v>
      </c>
      <c r="F2828" t="n">
        <v>2278.85</v>
      </c>
    </row>
    <row r="2829">
      <c r="A2829" t="n">
        <v>2030</v>
      </c>
      <c r="B2829" t="n">
        <v>9</v>
      </c>
      <c r="C2829" t="inlineStr">
        <is>
          <t>Behaelterkosten</t>
        </is>
      </c>
      <c r="D2829" t="inlineStr">
        <is>
          <t>Instandh. Betriebsausstattung</t>
        </is>
      </c>
      <c r="E2829" t="n">
        <v>12.75</v>
      </c>
      <c r="F2829" t="n">
        <v>153.03</v>
      </c>
    </row>
    <row r="2830">
      <c r="A2830" t="n">
        <v>2029</v>
      </c>
      <c r="B2830" t="n">
        <v>9</v>
      </c>
      <c r="C2830" t="inlineStr">
        <is>
          <t>IT-Aufwendungen</t>
        </is>
      </c>
      <c r="D2830" t="inlineStr">
        <is>
          <t>Verwaltungskosten</t>
        </is>
      </c>
      <c r="E2830" t="n">
        <v>12302.44</v>
      </c>
      <c r="F2830" t="n">
        <v>147629.28</v>
      </c>
    </row>
    <row r="2831">
      <c r="A2831" t="n">
        <v>2028</v>
      </c>
      <c r="B2831" t="n">
        <v>9</v>
      </c>
      <c r="C2831" t="inlineStr">
        <is>
          <t>Instandh. BGA</t>
        </is>
      </c>
      <c r="D2831" t="inlineStr">
        <is>
          <t>Instandh. Betriebsausstattung</t>
        </is>
      </c>
      <c r="E2831" t="n">
        <v>4426.85</v>
      </c>
      <c r="F2831" t="n">
        <v>53122.2</v>
      </c>
    </row>
    <row r="2832">
      <c r="A2832" t="n">
        <v>2029</v>
      </c>
      <c r="B2832" t="n">
        <v>9</v>
      </c>
      <c r="C2832" t="inlineStr">
        <is>
          <t>Instandh.Fuhrp</t>
        </is>
      </c>
      <c r="D2832" t="inlineStr">
        <is>
          <t>Fuhrparkkosten</t>
        </is>
      </c>
      <c r="E2832" t="n">
        <v>34111.21</v>
      </c>
      <c r="F2832" t="n">
        <v>409334.56</v>
      </c>
    </row>
    <row r="2833">
      <c r="A2833" t="n">
        <v>2031</v>
      </c>
      <c r="B2833" t="n">
        <v>9</v>
      </c>
      <c r="C2833" t="inlineStr">
        <is>
          <t>Rechts- u. Beratungs</t>
        </is>
      </c>
      <c r="D2833" t="inlineStr">
        <is>
          <t>Verwaltungskosten</t>
        </is>
      </c>
      <c r="E2833" t="n">
        <v>28853.53</v>
      </c>
      <c r="F2833" t="n">
        <v>346242.38</v>
      </c>
    </row>
    <row r="2834">
      <c r="A2834" t="n">
        <v>2029</v>
      </c>
      <c r="B2834" t="n">
        <v>9</v>
      </c>
      <c r="C2834" t="inlineStr">
        <is>
          <t>Ertrag KFZ-Nutz</t>
        </is>
      </c>
      <c r="D2834" t="inlineStr">
        <is>
          <t>Gesamtleistung</t>
        </is>
      </c>
      <c r="E2834" t="n">
        <v>8815.82</v>
      </c>
      <c r="F2834" t="n">
        <v>105789.86</v>
      </c>
    </row>
    <row r="2835">
      <c r="A2835" t="n">
        <v>2030</v>
      </c>
      <c r="B2835" t="n">
        <v>9</v>
      </c>
      <c r="C2835" t="inlineStr">
        <is>
          <t>Ertr. weiterber</t>
        </is>
      </c>
      <c r="D2835" t="inlineStr">
        <is>
          <t>Gesamtleistung</t>
        </is>
      </c>
      <c r="E2835" t="n">
        <v>1104.47</v>
      </c>
      <c r="F2835" t="n">
        <v>13253.67</v>
      </c>
    </row>
    <row r="2836">
      <c r="A2836" t="n">
        <v>2028</v>
      </c>
      <c r="B2836" t="n">
        <v>9</v>
      </c>
      <c r="C2836" t="inlineStr">
        <is>
          <t>Leasing PKW</t>
        </is>
      </c>
      <c r="D2836" t="inlineStr">
        <is>
          <t>Fuhrparkkosten</t>
        </is>
      </c>
      <c r="E2836" t="n">
        <v>23256.85</v>
      </c>
      <c r="F2836" t="n">
        <v>279082.22</v>
      </c>
    </row>
    <row r="2837">
      <c r="A2837" t="n">
        <v>2028</v>
      </c>
      <c r="B2837" t="n">
        <v>9</v>
      </c>
      <c r="C2837" t="inlineStr">
        <is>
          <t>Treibstoffe, Oe</t>
        </is>
      </c>
      <c r="D2837" t="inlineStr">
        <is>
          <t>Fuhrparkkosten</t>
        </is>
      </c>
      <c r="E2837" t="n">
        <v>30417.62</v>
      </c>
      <c r="F2837" t="n">
        <v>365011.49</v>
      </c>
    </row>
    <row r="2838">
      <c r="A2838" t="n">
        <v>2029</v>
      </c>
      <c r="B2838" t="n">
        <v>9</v>
      </c>
      <c r="C2838" t="inlineStr">
        <is>
          <t>Miete PKW</t>
        </is>
      </c>
      <c r="D2838" t="inlineStr">
        <is>
          <t>Fuhrparkkosten</t>
        </is>
      </c>
      <c r="E2838" t="n">
        <v>5184.06</v>
      </c>
      <c r="F2838" t="n">
        <v>62208.67</v>
      </c>
    </row>
    <row r="2839">
      <c r="A2839" t="n">
        <v>2028</v>
      </c>
      <c r="B2839" t="n">
        <v>9</v>
      </c>
      <c r="C2839" t="inlineStr">
        <is>
          <t>Ertr. weiterber</t>
        </is>
      </c>
      <c r="D2839" t="inlineStr">
        <is>
          <t>Gesamtleistung</t>
        </is>
      </c>
      <c r="E2839" t="n">
        <v>980.91</v>
      </c>
      <c r="F2839" t="n">
        <v>11770.87</v>
      </c>
    </row>
    <row r="2840">
      <c r="A2840" t="n">
        <v>2029</v>
      </c>
      <c r="B2840" t="n">
        <v>9</v>
      </c>
      <c r="C2840" t="inlineStr">
        <is>
          <t>Instandh. BGA</t>
        </is>
      </c>
      <c r="D2840" t="inlineStr">
        <is>
          <t>Instandh. Betriebsausstattung</t>
        </is>
      </c>
      <c r="E2840" t="n">
        <v>4648.19</v>
      </c>
      <c r="F2840" t="n">
        <v>55778.31</v>
      </c>
    </row>
    <row r="2841">
      <c r="A2841" t="n">
        <v>2028</v>
      </c>
      <c r="B2841" t="n">
        <v>9</v>
      </c>
      <c r="C2841" t="inlineStr">
        <is>
          <t>Erl. so. DL Dt.</t>
        </is>
      </c>
      <c r="D2841" t="inlineStr">
        <is>
          <t>Gesamtleistung</t>
        </is>
      </c>
      <c r="E2841" t="n">
        <v>2095866.37</v>
      </c>
      <c r="F2841" t="n">
        <v>25150396.49</v>
      </c>
    </row>
    <row r="2842">
      <c r="A2842" t="n">
        <v>2028</v>
      </c>
      <c r="B2842" t="n">
        <v>9</v>
      </c>
      <c r="C2842" t="inlineStr">
        <is>
          <t>IT-Aufwendungen</t>
        </is>
      </c>
      <c r="D2842" t="inlineStr">
        <is>
          <t>Verwaltungskosten</t>
        </is>
      </c>
      <c r="E2842" t="n">
        <v>11944.12</v>
      </c>
      <c r="F2842" t="n">
        <v>143329.39</v>
      </c>
    </row>
    <row r="2843">
      <c r="A2843" t="n">
        <v>2029</v>
      </c>
      <c r="B2843" t="n">
        <v>9</v>
      </c>
      <c r="C2843" t="inlineStr">
        <is>
          <t>Ueb. bezog.Leis</t>
        </is>
      </c>
      <c r="D2843" t="inlineStr">
        <is>
          <t>Vorleistungen</t>
        </is>
      </c>
      <c r="E2843" t="n">
        <v>1364260.58</v>
      </c>
      <c r="F2843" t="n">
        <v>16371126.93</v>
      </c>
    </row>
    <row r="2844">
      <c r="A2844" t="n">
        <v>2031</v>
      </c>
      <c r="B2844" t="n">
        <v>9</v>
      </c>
      <c r="C2844" t="inlineStr">
        <is>
          <t>Sonderz. Prämie</t>
        </is>
      </c>
      <c r="D2844" t="inlineStr">
        <is>
          <t>Personalaufwand</t>
        </is>
      </c>
      <c r="E2844" t="n">
        <v>26838.18</v>
      </c>
      <c r="F2844" t="n">
        <v>322058.2</v>
      </c>
    </row>
    <row r="2845">
      <c r="A2845" t="n">
        <v>2029</v>
      </c>
      <c r="B2845" t="n">
        <v>9</v>
      </c>
      <c r="C2845" t="inlineStr">
        <is>
          <t>Verwaltungskost</t>
        </is>
      </c>
      <c r="D2845" t="inlineStr">
        <is>
          <t>Verwaltungskosten</t>
        </is>
      </c>
      <c r="E2845" t="n">
        <v>7098.98</v>
      </c>
      <c r="F2845" t="n">
        <v>85187.74000000001</v>
      </c>
    </row>
    <row r="2846">
      <c r="A2846" t="n">
        <v>2028</v>
      </c>
      <c r="B2846" t="n">
        <v>9</v>
      </c>
      <c r="C2846" t="inlineStr">
        <is>
          <t>Ertrag KFZ-Nutz</t>
        </is>
      </c>
      <c r="D2846" t="inlineStr">
        <is>
          <t>Gesamtleistung</t>
        </is>
      </c>
      <c r="E2846" t="n">
        <v>8405.780000000001</v>
      </c>
      <c r="F2846" t="n">
        <v>100869.3</v>
      </c>
    </row>
    <row r="2847">
      <c r="A2847" t="n">
        <v>2030</v>
      </c>
      <c r="B2847" t="n">
        <v>9</v>
      </c>
      <c r="C2847" t="inlineStr">
        <is>
          <t>Sonst Fuhrparkkosten</t>
        </is>
      </c>
      <c r="D2847" t="inlineStr">
        <is>
          <t>Fuhrparkkosten</t>
        </is>
      </c>
      <c r="E2847" t="n">
        <v>5942.26</v>
      </c>
      <c r="F2847" t="n">
        <v>71307.13</v>
      </c>
    </row>
    <row r="2848">
      <c r="A2848" t="n">
        <v>2028</v>
      </c>
      <c r="B2848" t="n">
        <v>9</v>
      </c>
      <c r="C2848" t="inlineStr">
        <is>
          <t>Rechts- u. Beratungs</t>
        </is>
      </c>
      <c r="D2848" t="inlineStr">
        <is>
          <t>Verwaltungskosten</t>
        </is>
      </c>
      <c r="E2848" t="n">
        <v>26405.07</v>
      </c>
      <c r="F2848" t="n">
        <v>316860.83</v>
      </c>
    </row>
    <row r="2849">
      <c r="A2849" t="n">
        <v>2027</v>
      </c>
      <c r="B2849" t="n">
        <v>9</v>
      </c>
      <c r="C2849" t="inlineStr">
        <is>
          <t>Leasing LKW</t>
        </is>
      </c>
      <c r="D2849" t="inlineStr">
        <is>
          <t>Fuhrparkkosten</t>
        </is>
      </c>
      <c r="E2849" t="n">
        <v>2305.28</v>
      </c>
      <c r="F2849" t="n">
        <v>27663.3</v>
      </c>
    </row>
    <row r="2850">
      <c r="A2850" t="n">
        <v>2031</v>
      </c>
      <c r="B2850" t="n">
        <v>9</v>
      </c>
      <c r="C2850" t="inlineStr">
        <is>
          <t>Fremdl. Fuhrlei</t>
        </is>
      </c>
      <c r="D2850" t="inlineStr">
        <is>
          <t>Vorleistungen</t>
        </is>
      </c>
      <c r="E2850" t="n">
        <v>374.24</v>
      </c>
      <c r="F2850" t="n">
        <v>4490.84</v>
      </c>
    </row>
    <row r="2851">
      <c r="A2851" t="n">
        <v>2029</v>
      </c>
      <c r="B2851" t="n">
        <v>9</v>
      </c>
      <c r="C2851" t="inlineStr">
        <is>
          <t>Fremdl. Fuhrlei</t>
        </is>
      </c>
      <c r="D2851" t="inlineStr">
        <is>
          <t>Vorleistungen</t>
        </is>
      </c>
      <c r="E2851" t="n">
        <v>362.07</v>
      </c>
      <c r="F2851" t="n">
        <v>4344.88</v>
      </c>
    </row>
    <row r="2852">
      <c r="A2852" t="n">
        <v>2028</v>
      </c>
      <c r="B2852" t="n">
        <v>9</v>
      </c>
      <c r="C2852" t="inlineStr">
        <is>
          <t>Vertriebskosten</t>
        </is>
      </c>
      <c r="D2852" t="inlineStr">
        <is>
          <t>Vertriebskosten</t>
        </is>
      </c>
      <c r="E2852" t="n">
        <v>11375</v>
      </c>
      <c r="F2852" t="n">
        <v>136500</v>
      </c>
    </row>
    <row r="2853">
      <c r="A2853" t="n">
        <v>2031</v>
      </c>
      <c r="B2853" t="n">
        <v>9</v>
      </c>
      <c r="C2853" t="inlineStr">
        <is>
          <t>Aufw. so. Hilfs</t>
        </is>
      </c>
      <c r="D2853" t="inlineStr">
        <is>
          <t>Vorleistungen</t>
        </is>
      </c>
      <c r="E2853" t="n">
        <v>-17544.22</v>
      </c>
      <c r="F2853" t="n">
        <v>-210530.6</v>
      </c>
    </row>
    <row r="2854">
      <c r="A2854" t="n">
        <v>2029</v>
      </c>
      <c r="B2854" t="n">
        <v>9</v>
      </c>
      <c r="C2854" t="inlineStr">
        <is>
          <t>Ankauf Rohstoff</t>
        </is>
      </c>
      <c r="D2854" t="inlineStr">
        <is>
          <t>Vorleistungen</t>
        </is>
      </c>
      <c r="E2854" t="n">
        <v>1473.64</v>
      </c>
      <c r="F2854" t="n">
        <v>17683.65</v>
      </c>
    </row>
    <row r="2855">
      <c r="A2855" t="n">
        <v>2028</v>
      </c>
      <c r="B2855" t="n">
        <v>9</v>
      </c>
      <c r="C2855" t="inlineStr">
        <is>
          <t>Sonstige Steuer</t>
        </is>
      </c>
      <c r="D2855" t="inlineStr">
        <is>
          <t>Fuhrparkkosten</t>
        </is>
      </c>
      <c r="E2855" t="n">
        <v>1587.15</v>
      </c>
      <c r="F2855" t="n">
        <v>19045.76</v>
      </c>
    </row>
    <row r="2856">
      <c r="A2856" t="n">
        <v>2030</v>
      </c>
      <c r="B2856" t="n">
        <v>9</v>
      </c>
      <c r="C2856" t="inlineStr">
        <is>
          <t>Weiterber. Frem</t>
        </is>
      </c>
      <c r="D2856" t="inlineStr">
        <is>
          <t>Vorleistungen</t>
        </is>
      </c>
      <c r="E2856" t="n">
        <v>0</v>
      </c>
      <c r="F2856" t="n">
        <v>0</v>
      </c>
    </row>
    <row r="2857">
      <c r="A2857" t="n">
        <v>2031</v>
      </c>
      <c r="B2857" t="n">
        <v>9</v>
      </c>
      <c r="C2857" t="inlineStr">
        <is>
          <t>Miete Behälter</t>
        </is>
      </c>
      <c r="D2857" t="inlineStr">
        <is>
          <t>Instandh. Betriebsausstattung</t>
        </is>
      </c>
      <c r="E2857" t="n">
        <v>27.88</v>
      </c>
      <c r="F2857" t="n">
        <v>334.55</v>
      </c>
    </row>
    <row r="2858">
      <c r="A2858" t="n">
        <v>2027</v>
      </c>
      <c r="B2858" t="n">
        <v>9</v>
      </c>
      <c r="C2858" t="inlineStr">
        <is>
          <t>Miete Grdst/Gebäud</t>
        </is>
      </c>
      <c r="D2858" t="inlineStr">
        <is>
          <t>Raumkosten</t>
        </is>
      </c>
      <c r="E2858" t="n">
        <v>15284.77</v>
      </c>
      <c r="F2858" t="n">
        <v>183417.26</v>
      </c>
    </row>
    <row r="2859">
      <c r="A2859" t="n">
        <v>2028</v>
      </c>
      <c r="B2859" t="n">
        <v>9</v>
      </c>
      <c r="C2859" t="inlineStr">
        <is>
          <t>Aufw. f. Alters</t>
        </is>
      </c>
      <c r="D2859" t="inlineStr">
        <is>
          <t>Personalaufwand</t>
        </is>
      </c>
      <c r="E2859" t="n">
        <v>1290.05</v>
      </c>
      <c r="F2859" t="n">
        <v>15480.56</v>
      </c>
    </row>
    <row r="2860">
      <c r="A2860" t="n">
        <v>2028</v>
      </c>
      <c r="B2860" t="n">
        <v>9</v>
      </c>
      <c r="C2860" t="inlineStr">
        <is>
          <t>Fremdl. Persona</t>
        </is>
      </c>
      <c r="D2860" t="inlineStr">
        <is>
          <t>Vorleistungen</t>
        </is>
      </c>
      <c r="E2860" t="n">
        <v>69.04000000000001</v>
      </c>
      <c r="F2860" t="n">
        <v>828.42</v>
      </c>
    </row>
    <row r="2861">
      <c r="A2861" t="n">
        <v>2030</v>
      </c>
      <c r="B2861" t="n">
        <v>9</v>
      </c>
      <c r="C2861" t="inlineStr">
        <is>
          <t>Vertriebskosten</t>
        </is>
      </c>
      <c r="D2861" t="inlineStr">
        <is>
          <t>Vertriebskosten</t>
        </is>
      </c>
      <c r="E2861" t="n">
        <v>12540.94</v>
      </c>
      <c r="F2861" t="n">
        <v>150491.26</v>
      </c>
    </row>
    <row r="2862">
      <c r="A2862" t="n">
        <v>2030</v>
      </c>
      <c r="B2862" t="n">
        <v>9</v>
      </c>
      <c r="C2862" t="inlineStr">
        <is>
          <t>Aufw. so. Hilfs</t>
        </is>
      </c>
      <c r="D2862" t="inlineStr">
        <is>
          <t>Vorleistungen</t>
        </is>
      </c>
      <c r="E2862" t="n">
        <v>-17197.35</v>
      </c>
      <c r="F2862" t="n">
        <v>-206368.2</v>
      </c>
    </row>
    <row r="2863">
      <c r="A2863" t="n">
        <v>2029</v>
      </c>
      <c r="B2863" t="n">
        <v>9</v>
      </c>
      <c r="C2863" t="inlineStr">
        <is>
          <t>Aufw. so. Hilfs</t>
        </is>
      </c>
      <c r="D2863" t="inlineStr">
        <is>
          <t>Vorleistungen</t>
        </is>
      </c>
      <c r="E2863" t="n">
        <v>-16834.66</v>
      </c>
      <c r="F2863" t="n">
        <v>-202015.88</v>
      </c>
    </row>
    <row r="2864">
      <c r="A2864" t="n">
        <v>2027</v>
      </c>
      <c r="B2864" t="n">
        <v>9</v>
      </c>
      <c r="C2864" t="inlineStr">
        <is>
          <t>Miete PKW</t>
        </is>
      </c>
      <c r="D2864" t="inlineStr">
        <is>
          <t>Fuhrparkkosten</t>
        </is>
      </c>
      <c r="E2864" t="n">
        <v>4613.79</v>
      </c>
      <c r="F2864" t="n">
        <v>55365.51</v>
      </c>
    </row>
    <row r="2865">
      <c r="A2865" t="n">
        <v>2030</v>
      </c>
      <c r="B2865" t="n">
        <v>9</v>
      </c>
      <c r="C2865" t="inlineStr">
        <is>
          <t>Fremdl. Fuhrlei</t>
        </is>
      </c>
      <c r="D2865" t="inlineStr">
        <is>
          <t>Vorleistungen</t>
        </is>
      </c>
      <c r="E2865" t="n">
        <v>368.3</v>
      </c>
      <c r="F2865" t="n">
        <v>4419.56</v>
      </c>
    </row>
    <row r="2866">
      <c r="A2866" t="n">
        <v>2030</v>
      </c>
      <c r="B2866" t="n">
        <v>9</v>
      </c>
      <c r="C2866" t="inlineStr">
        <is>
          <t>Miete PKW</t>
        </is>
      </c>
      <c r="D2866" t="inlineStr">
        <is>
          <t>Fuhrparkkosten</t>
        </is>
      </c>
      <c r="E2866" t="n">
        <v>5495.1</v>
      </c>
      <c r="F2866" t="n">
        <v>65941.19</v>
      </c>
    </row>
    <row r="2867">
      <c r="A2867" t="n">
        <v>2027</v>
      </c>
      <c r="B2867" t="n">
        <v>9</v>
      </c>
      <c r="C2867" t="inlineStr">
        <is>
          <t>Erl. Waren Dt.</t>
        </is>
      </c>
      <c r="D2867" t="inlineStr">
        <is>
          <t>Gesamtleistung</t>
        </is>
      </c>
      <c r="E2867" t="n">
        <v>42246.46</v>
      </c>
      <c r="F2867" t="n">
        <v>506957.51</v>
      </c>
    </row>
    <row r="2868">
      <c r="A2868" t="n">
        <v>2029</v>
      </c>
      <c r="B2868" t="n">
        <v>9</v>
      </c>
      <c r="C2868" t="inlineStr">
        <is>
          <t>Bestandsveraend</t>
        </is>
      </c>
      <c r="D2868" t="inlineStr">
        <is>
          <t>Gesamtleistung</t>
        </is>
      </c>
      <c r="E2868" t="n">
        <v>0</v>
      </c>
      <c r="F2868" t="n">
        <v>0</v>
      </c>
    </row>
    <row r="2869">
      <c r="A2869" t="n">
        <v>2031</v>
      </c>
      <c r="B2869" t="n">
        <v>9</v>
      </c>
      <c r="C2869" t="inlineStr">
        <is>
          <t>Leasing PKW</t>
        </is>
      </c>
      <c r="D2869" t="inlineStr">
        <is>
          <t>Fuhrparkkosten</t>
        </is>
      </c>
      <c r="E2869" t="n">
        <v>27699.28</v>
      </c>
      <c r="F2869" t="n">
        <v>332391.4</v>
      </c>
    </row>
    <row r="2870">
      <c r="A2870" t="n">
        <v>2029</v>
      </c>
      <c r="B2870" t="n">
        <v>9</v>
      </c>
      <c r="C2870" t="inlineStr">
        <is>
          <t>Behaelterkosten</t>
        </is>
      </c>
      <c r="D2870" t="inlineStr">
        <is>
          <t>Instandh. Betriebsausstattung</t>
        </is>
      </c>
      <c r="E2870" t="n">
        <v>12.15</v>
      </c>
      <c r="F2870" t="n">
        <v>145.74</v>
      </c>
    </row>
    <row r="2871">
      <c r="A2871" t="n">
        <v>2029</v>
      </c>
      <c r="B2871" t="n">
        <v>9</v>
      </c>
      <c r="C2871" t="inlineStr">
        <is>
          <t>Aufwand Umlage</t>
        </is>
      </c>
      <c r="D2871" t="inlineStr">
        <is>
          <t>Verwaltungskosten</t>
        </is>
      </c>
      <c r="E2871" t="n">
        <v>3589.28</v>
      </c>
      <c r="F2871" t="n">
        <v>43071.39</v>
      </c>
    </row>
    <row r="2872">
      <c r="A2872" t="n">
        <v>2030</v>
      </c>
      <c r="B2872" t="n">
        <v>9</v>
      </c>
      <c r="C2872" t="inlineStr">
        <is>
          <t>Instandh.Fuhrp</t>
        </is>
      </c>
      <c r="D2872" t="inlineStr">
        <is>
          <t>Fuhrparkkosten</t>
        </is>
      </c>
      <c r="E2872" t="n">
        <v>36157.89</v>
      </c>
      <c r="F2872" t="n">
        <v>433894.62</v>
      </c>
    </row>
    <row r="2873">
      <c r="A2873" t="n">
        <v>2028</v>
      </c>
      <c r="B2873" t="n">
        <v>9</v>
      </c>
      <c r="C2873" t="inlineStr">
        <is>
          <t>Sonderz. Prämie</t>
        </is>
      </c>
      <c r="D2873" t="inlineStr">
        <is>
          <t>Personalaufwand</t>
        </is>
      </c>
      <c r="E2873" t="n">
        <v>21386.26</v>
      </c>
      <c r="F2873" t="n">
        <v>256635.15</v>
      </c>
    </row>
    <row r="2874">
      <c r="A2874" t="n">
        <v>2029</v>
      </c>
      <c r="B2874" t="n">
        <v>9</v>
      </c>
      <c r="C2874" t="inlineStr">
        <is>
          <t>Aufw. f. Alters</t>
        </is>
      </c>
      <c r="D2874" t="inlineStr">
        <is>
          <t>Personalaufwand</t>
        </is>
      </c>
      <c r="E2874" t="n">
        <v>1366.43</v>
      </c>
      <c r="F2874" t="n">
        <v>16397.15</v>
      </c>
    </row>
    <row r="2875">
      <c r="A2875" t="n">
        <v>2027</v>
      </c>
      <c r="B2875" t="n">
        <v>9</v>
      </c>
      <c r="C2875" t="inlineStr">
        <is>
          <t>Ertr. weiterber</t>
        </is>
      </c>
      <c r="D2875" t="inlineStr">
        <is>
          <t>Gesamtleistung</t>
        </is>
      </c>
      <c r="E2875" t="n">
        <v>919.41</v>
      </c>
      <c r="F2875" t="n">
        <v>11032.96</v>
      </c>
    </row>
    <row r="2876">
      <c r="A2876" t="n">
        <v>2029</v>
      </c>
      <c r="B2876" t="n">
        <v>9</v>
      </c>
      <c r="C2876" t="inlineStr">
        <is>
          <t>So. betr. Aufwa</t>
        </is>
      </c>
      <c r="D2876" t="inlineStr">
        <is>
          <t>Verwaltungskosten</t>
        </is>
      </c>
      <c r="E2876" t="n">
        <v>693.25</v>
      </c>
      <c r="F2876" t="n">
        <v>8319.02</v>
      </c>
    </row>
    <row r="2877">
      <c r="A2877" t="n">
        <v>2031</v>
      </c>
      <c r="B2877" t="n">
        <v>9</v>
      </c>
      <c r="C2877" t="inlineStr">
        <is>
          <t>Ertr. weiterber</t>
        </is>
      </c>
      <c r="D2877" t="inlineStr">
        <is>
          <t>Gesamtleistung</t>
        </is>
      </c>
      <c r="E2877" t="n">
        <v>1173.93</v>
      </c>
      <c r="F2877" t="n">
        <v>14087.11</v>
      </c>
    </row>
    <row r="2878">
      <c r="A2878" t="n">
        <v>2031</v>
      </c>
      <c r="B2878" t="n">
        <v>9</v>
      </c>
      <c r="C2878" t="inlineStr">
        <is>
          <t>Ueb. bezog.Leis</t>
        </is>
      </c>
      <c r="D2878" t="inlineStr">
        <is>
          <t>Vorleistungen</t>
        </is>
      </c>
      <c r="E2878" t="n">
        <v>1404446.73</v>
      </c>
      <c r="F2878" t="n">
        <v>16853360.74</v>
      </c>
    </row>
    <row r="2879">
      <c r="A2879" t="n">
        <v>2027</v>
      </c>
      <c r="B2879" t="n">
        <v>9</v>
      </c>
      <c r="C2879" t="inlineStr">
        <is>
          <t>Fremdl. Fuhrlei</t>
        </is>
      </c>
      <c r="D2879" t="inlineStr">
        <is>
          <t>Vorleistungen</t>
        </is>
      </c>
      <c r="E2879" t="n">
        <v>371.09</v>
      </c>
      <c r="F2879" t="n">
        <v>4453.13</v>
      </c>
    </row>
    <row r="2880">
      <c r="A2880" t="n">
        <v>2027</v>
      </c>
      <c r="B2880" t="n">
        <v>9</v>
      </c>
      <c r="C2880" t="inlineStr">
        <is>
          <t>Behaelterkosten</t>
        </is>
      </c>
      <c r="D2880" t="inlineStr">
        <is>
          <t>Instandh. Betriebsausstattung</t>
        </is>
      </c>
      <c r="E2880" t="n">
        <v>11.02</v>
      </c>
      <c r="F2880" t="n">
        <v>132.19</v>
      </c>
    </row>
    <row r="2881">
      <c r="A2881" t="n">
        <v>2027</v>
      </c>
      <c r="B2881" t="n">
        <v>9</v>
      </c>
      <c r="C2881" t="inlineStr">
        <is>
          <t>Ueb Lohn-Gehalt</t>
        </is>
      </c>
      <c r="D2881" t="inlineStr">
        <is>
          <t>Personalaufwand</t>
        </is>
      </c>
      <c r="E2881" t="n">
        <v>30579.25</v>
      </c>
      <c r="F2881" t="n">
        <v>366951</v>
      </c>
    </row>
    <row r="2882">
      <c r="A2882" t="n">
        <v>2028</v>
      </c>
      <c r="B2882" t="n">
        <v>9</v>
      </c>
      <c r="C2882" t="inlineStr">
        <is>
          <t>Raumkosten</t>
        </is>
      </c>
      <c r="D2882" t="inlineStr">
        <is>
          <t>Raumkosten</t>
        </is>
      </c>
      <c r="E2882" t="n">
        <v>7023.98</v>
      </c>
      <c r="F2882" t="n">
        <v>84287.78</v>
      </c>
    </row>
    <row r="2883">
      <c r="A2883" t="n">
        <v>2031</v>
      </c>
      <c r="B2883" t="n">
        <v>9</v>
      </c>
      <c r="C2883" t="inlineStr">
        <is>
          <t>Bestandsveraend</t>
        </is>
      </c>
      <c r="D2883" t="inlineStr">
        <is>
          <t>Gesamtleistung</t>
        </is>
      </c>
      <c r="E2883" t="n">
        <v>0</v>
      </c>
      <c r="F2883" t="n">
        <v>0</v>
      </c>
    </row>
    <row r="2884">
      <c r="A2884" t="n">
        <v>2029</v>
      </c>
      <c r="B2884" t="n">
        <v>9</v>
      </c>
      <c r="C2884" t="inlineStr">
        <is>
          <t>Lohn + Gehalt</t>
        </is>
      </c>
      <c r="D2884" t="inlineStr">
        <is>
          <t>Personalaufwand</t>
        </is>
      </c>
      <c r="E2884" t="n">
        <v>356250.11</v>
      </c>
      <c r="F2884" t="n">
        <v>4275001.35</v>
      </c>
    </row>
    <row r="2885">
      <c r="A2885" t="n">
        <v>2029</v>
      </c>
      <c r="B2885" t="n">
        <v>9</v>
      </c>
      <c r="C2885" t="inlineStr">
        <is>
          <t>Aufw. Heizmat.</t>
        </is>
      </c>
      <c r="D2885" t="inlineStr">
        <is>
          <t>Vorleistungen</t>
        </is>
      </c>
      <c r="E2885" t="n">
        <v>245.07</v>
      </c>
      <c r="F2885" t="n">
        <v>2940.88</v>
      </c>
    </row>
    <row r="2886">
      <c r="A2886" t="n">
        <v>2031</v>
      </c>
      <c r="B2886" t="n">
        <v>9</v>
      </c>
      <c r="C2886" t="inlineStr">
        <is>
          <t>Verwaltungskost</t>
        </is>
      </c>
      <c r="D2886" t="inlineStr">
        <is>
          <t>Verwaltungskosten</t>
        </is>
      </c>
      <c r="E2886" t="n">
        <v>7531.31</v>
      </c>
      <c r="F2886" t="n">
        <v>90375.69</v>
      </c>
    </row>
    <row r="2887">
      <c r="A2887" t="n">
        <v>2028</v>
      </c>
      <c r="B2887" t="n">
        <v>9</v>
      </c>
      <c r="C2887" t="inlineStr">
        <is>
          <t>Erl. Waren Dt.</t>
        </is>
      </c>
      <c r="D2887" t="inlineStr">
        <is>
          <t>Gesamtleistung</t>
        </is>
      </c>
      <c r="E2887" t="n">
        <v>44950.49</v>
      </c>
      <c r="F2887" t="n">
        <v>539405.87</v>
      </c>
    </row>
    <row r="2888">
      <c r="A2888" t="n">
        <v>2030</v>
      </c>
      <c r="B2888" t="n">
        <v>9</v>
      </c>
      <c r="C2888" t="inlineStr">
        <is>
          <t>Uebr.neutr. Ert</t>
        </is>
      </c>
      <c r="D2888" t="inlineStr">
        <is>
          <t>Gesamtleistung</t>
        </is>
      </c>
      <c r="E2888" t="n">
        <v>207.38</v>
      </c>
      <c r="F2888" t="n">
        <v>2488.5</v>
      </c>
    </row>
    <row r="2889">
      <c r="A2889" t="n">
        <v>2030</v>
      </c>
      <c r="B2889" t="n">
        <v>9</v>
      </c>
      <c r="C2889" t="inlineStr">
        <is>
          <t>Raumkosten</t>
        </is>
      </c>
      <c r="D2889" t="inlineStr">
        <is>
          <t>Raumkosten</t>
        </is>
      </c>
      <c r="E2889" t="n">
        <v>7307.75</v>
      </c>
      <c r="F2889" t="n">
        <v>87693</v>
      </c>
    </row>
    <row r="2890">
      <c r="A2890" t="n">
        <v>2030</v>
      </c>
      <c r="B2890" t="n">
        <v>9</v>
      </c>
      <c r="C2890" t="inlineStr">
        <is>
          <t>Fremdl. Persona</t>
        </is>
      </c>
      <c r="D2890" t="inlineStr">
        <is>
          <t>Vorleistungen</t>
        </is>
      </c>
      <c r="E2890" t="n">
        <v>76.56999999999999</v>
      </c>
      <c r="F2890" t="n">
        <v>918.79</v>
      </c>
    </row>
    <row r="2891">
      <c r="A2891" t="n">
        <v>2027</v>
      </c>
      <c r="B2891" t="n">
        <v>9</v>
      </c>
      <c r="C2891" t="inlineStr">
        <is>
          <t>Leasing PKW</t>
        </is>
      </c>
      <c r="D2891" t="inlineStr">
        <is>
          <t>Fuhrparkkosten</t>
        </is>
      </c>
      <c r="E2891" t="n">
        <v>21940.43</v>
      </c>
      <c r="F2891" t="n">
        <v>263285.11</v>
      </c>
    </row>
    <row r="2892">
      <c r="A2892" t="n">
        <v>2030</v>
      </c>
      <c r="B2892" t="n">
        <v>9</v>
      </c>
      <c r="C2892" t="inlineStr">
        <is>
          <t>Ertrag KFZ-Nutz</t>
        </is>
      </c>
      <c r="D2892" t="inlineStr">
        <is>
          <t>Gesamtleistung</t>
        </is>
      </c>
      <c r="E2892" t="n">
        <v>9193.41</v>
      </c>
      <c r="F2892" t="n">
        <v>110320.94</v>
      </c>
    </row>
    <row r="2893">
      <c r="A2893" t="n">
        <v>2028</v>
      </c>
      <c r="B2893" t="n">
        <v>9</v>
      </c>
      <c r="C2893" t="inlineStr">
        <is>
          <t>Uebr.neutr. Ert</t>
        </is>
      </c>
      <c r="D2893" t="inlineStr">
        <is>
          <t>Gesamtleistung</t>
        </is>
      </c>
      <c r="E2893" t="n">
        <v>151.92</v>
      </c>
      <c r="F2893" t="n">
        <v>1823.08</v>
      </c>
    </row>
    <row r="2894">
      <c r="A2894" t="n">
        <v>2030</v>
      </c>
      <c r="B2894" t="n">
        <v>9</v>
      </c>
      <c r="C2894" t="inlineStr">
        <is>
          <t>Soziale Abgaben</t>
        </is>
      </c>
      <c r="D2894" t="inlineStr">
        <is>
          <t>Personalaufwand</t>
        </is>
      </c>
      <c r="E2894" t="n">
        <v>104141.87</v>
      </c>
      <c r="F2894" t="n">
        <v>1249702.47</v>
      </c>
    </row>
    <row r="2895">
      <c r="A2895" t="n">
        <v>2030</v>
      </c>
      <c r="B2895" t="n">
        <v>9</v>
      </c>
      <c r="C2895" t="inlineStr">
        <is>
          <t>Ankauf Rohstoff</t>
        </is>
      </c>
      <c r="D2895" t="inlineStr">
        <is>
          <t>Vorleistungen</t>
        </is>
      </c>
      <c r="E2895" t="n">
        <v>1483.55</v>
      </c>
      <c r="F2895" t="n">
        <v>17802.65</v>
      </c>
    </row>
    <row r="2896">
      <c r="A2896" t="n">
        <v>2031</v>
      </c>
      <c r="B2896" t="n">
        <v>9</v>
      </c>
      <c r="C2896" t="inlineStr">
        <is>
          <t>Aufw. Heizmat.</t>
        </is>
      </c>
      <c r="D2896" t="inlineStr">
        <is>
          <t>Vorleistungen</t>
        </is>
      </c>
      <c r="E2896" t="n">
        <v>216.16</v>
      </c>
      <c r="F2896" t="n">
        <v>2593.97</v>
      </c>
    </row>
    <row r="2897">
      <c r="A2897" t="n">
        <v>2030</v>
      </c>
      <c r="B2897" t="n">
        <v>9</v>
      </c>
      <c r="C2897" t="inlineStr">
        <is>
          <t>IT-Aufwendungen</t>
        </is>
      </c>
      <c r="D2897" t="inlineStr">
        <is>
          <t>Verwaltungskosten</t>
        </is>
      </c>
      <c r="E2897" t="n">
        <v>12671.51</v>
      </c>
      <c r="F2897" t="n">
        <v>152058.16</v>
      </c>
    </row>
    <row r="2898">
      <c r="A2898" t="n">
        <v>2027</v>
      </c>
      <c r="B2898" t="n">
        <v>9</v>
      </c>
      <c r="C2898" t="inlineStr">
        <is>
          <t>Treibstoffe, Oe</t>
        </is>
      </c>
      <c r="D2898" t="inlineStr">
        <is>
          <t>Fuhrparkkosten</t>
        </is>
      </c>
      <c r="E2898" t="n">
        <v>28695.87</v>
      </c>
      <c r="F2898" t="n">
        <v>344350.48</v>
      </c>
    </row>
    <row r="2899">
      <c r="A2899" t="n">
        <v>2028</v>
      </c>
      <c r="B2899" t="n">
        <v>9</v>
      </c>
      <c r="C2899" t="inlineStr">
        <is>
          <t>Aufw. Heizmat.</t>
        </is>
      </c>
      <c r="D2899" t="inlineStr">
        <is>
          <t>Vorleistungen</t>
        </is>
      </c>
      <c r="E2899" t="n">
        <v>260.43</v>
      </c>
      <c r="F2899" t="n">
        <v>3125.13</v>
      </c>
    </row>
    <row r="2900">
      <c r="A2900" t="n">
        <v>2031</v>
      </c>
      <c r="B2900" t="n">
        <v>9</v>
      </c>
      <c r="C2900" t="inlineStr">
        <is>
          <t>Ertrag KFZ-Nutz</t>
        </is>
      </c>
      <c r="D2900" t="inlineStr">
        <is>
          <t>Gesamtleistung</t>
        </is>
      </c>
      <c r="E2900" t="n">
        <v>9597.290000000001</v>
      </c>
      <c r="F2900" t="n">
        <v>115167.5</v>
      </c>
    </row>
    <row r="2901">
      <c r="A2901" t="n">
        <v>2027</v>
      </c>
      <c r="B2901" t="n">
        <v>9</v>
      </c>
      <c r="C2901" t="inlineStr">
        <is>
          <t>Raumkosten</t>
        </is>
      </c>
      <c r="D2901" t="inlineStr">
        <is>
          <t>Raumkosten</t>
        </is>
      </c>
      <c r="E2901" t="n">
        <v>5046.85</v>
      </c>
      <c r="F2901" t="n">
        <v>60562.14</v>
      </c>
    </row>
    <row r="2902">
      <c r="A2902" t="n">
        <v>2028</v>
      </c>
      <c r="B2902" t="n">
        <v>9</v>
      </c>
      <c r="C2902" t="inlineStr">
        <is>
          <t>Soziale Abgaben</t>
        </is>
      </c>
      <c r="D2902" t="inlineStr">
        <is>
          <t>Personalaufwand</t>
        </is>
      </c>
      <c r="E2902" t="n">
        <v>85007.57000000001</v>
      </c>
      <c r="F2902" t="n">
        <v>1020090.84</v>
      </c>
    </row>
    <row r="2903">
      <c r="A2903" t="n">
        <v>2029</v>
      </c>
      <c r="B2903" t="n">
        <v>9</v>
      </c>
      <c r="C2903" t="inlineStr">
        <is>
          <t>Miete Grdst/Gebäud</t>
        </is>
      </c>
      <c r="D2903" t="inlineStr">
        <is>
          <t>Raumkosten</t>
        </is>
      </c>
      <c r="E2903" t="n">
        <v>18238.55</v>
      </c>
      <c r="F2903" t="n">
        <v>218862.64</v>
      </c>
    </row>
    <row r="2904">
      <c r="A2904" t="n">
        <v>2031</v>
      </c>
      <c r="B2904" t="n">
        <v>9</v>
      </c>
      <c r="C2904" t="inlineStr">
        <is>
          <t>Raumkosten</t>
        </is>
      </c>
      <c r="D2904" t="inlineStr">
        <is>
          <t>Raumkosten</t>
        </is>
      </c>
      <c r="E2904" t="n">
        <v>7453.91</v>
      </c>
      <c r="F2904" t="n">
        <v>89446.89</v>
      </c>
    </row>
    <row r="2905">
      <c r="A2905" t="n">
        <v>2031</v>
      </c>
      <c r="B2905" t="n">
        <v>9</v>
      </c>
      <c r="C2905" t="inlineStr">
        <is>
          <t>Behaelterkosten</t>
        </is>
      </c>
      <c r="D2905" t="inlineStr">
        <is>
          <t>Instandh. Betriebsausstattung</t>
        </is>
      </c>
      <c r="E2905" t="n">
        <v>13.39</v>
      </c>
      <c r="F2905" t="n">
        <v>160.68</v>
      </c>
    </row>
    <row r="2906">
      <c r="A2906" t="n">
        <v>2031</v>
      </c>
      <c r="B2906" t="n">
        <v>9</v>
      </c>
      <c r="C2906" t="inlineStr">
        <is>
          <t>Instandh.Fuhrp</t>
        </is>
      </c>
      <c r="D2906" t="inlineStr">
        <is>
          <t>Fuhrparkkosten</t>
        </is>
      </c>
      <c r="E2906" t="n">
        <v>38327.36</v>
      </c>
      <c r="F2906" t="n">
        <v>459928.28</v>
      </c>
    </row>
    <row r="2907">
      <c r="A2907" t="n">
        <v>2030</v>
      </c>
      <c r="B2907" t="n">
        <v>9</v>
      </c>
      <c r="C2907" t="inlineStr">
        <is>
          <t>Ueb. bezog.Leis</t>
        </is>
      </c>
      <c r="D2907" t="inlineStr">
        <is>
          <t>Vorleistungen</t>
        </is>
      </c>
      <c r="E2907" t="n">
        <v>1385029.28</v>
      </c>
      <c r="F2907" t="n">
        <v>16620351.38</v>
      </c>
    </row>
    <row r="2908">
      <c r="A2908" t="n">
        <v>2027</v>
      </c>
      <c r="B2908" t="n">
        <v>9</v>
      </c>
      <c r="C2908" t="inlineStr">
        <is>
          <t>Miete LKW,Schiffe</t>
        </is>
      </c>
      <c r="D2908" t="inlineStr">
        <is>
          <t>Fuhrparkkosten</t>
        </is>
      </c>
      <c r="E2908" t="n">
        <v>36751.61</v>
      </c>
      <c r="F2908" t="n">
        <v>441019.28</v>
      </c>
    </row>
    <row r="2909">
      <c r="A2909" t="n">
        <v>2030</v>
      </c>
      <c r="B2909" t="n">
        <v>9</v>
      </c>
      <c r="C2909" t="inlineStr">
        <is>
          <t>Leasing LKW</t>
        </is>
      </c>
      <c r="D2909" t="inlineStr">
        <is>
          <t>Fuhrparkkosten</t>
        </is>
      </c>
      <c r="E2909" t="n">
        <v>2745.62</v>
      </c>
      <c r="F2909" t="n">
        <v>32947.44</v>
      </c>
    </row>
    <row r="2910">
      <c r="A2910" t="n">
        <v>2031</v>
      </c>
      <c r="B2910" t="n">
        <v>9</v>
      </c>
      <c r="C2910" t="inlineStr">
        <is>
          <t>Vertriebskosten</t>
        </is>
      </c>
      <c r="D2910" t="inlineStr">
        <is>
          <t>Vertriebskosten</t>
        </is>
      </c>
      <c r="E2910" t="n">
        <v>13167.99</v>
      </c>
      <c r="F2910" t="n">
        <v>158015.82</v>
      </c>
    </row>
    <row r="2911">
      <c r="A2911" t="n">
        <v>2028</v>
      </c>
      <c r="B2911" t="n">
        <v>9</v>
      </c>
      <c r="C2911" t="inlineStr">
        <is>
          <t>Behaelterkosten</t>
        </is>
      </c>
      <c r="D2911" t="inlineStr">
        <is>
          <t>Instandh. Betriebsausstattung</t>
        </is>
      </c>
      <c r="E2911" t="n">
        <v>11.57</v>
      </c>
      <c r="F2911" t="n">
        <v>138.8</v>
      </c>
    </row>
    <row r="2912">
      <c r="A2912" t="n">
        <v>2030</v>
      </c>
      <c r="B2912" t="n">
        <v>9</v>
      </c>
      <c r="C2912" t="inlineStr">
        <is>
          <t>Verwaltungskost</t>
        </is>
      </c>
      <c r="D2912" t="inlineStr">
        <is>
          <t>Verwaltungskosten</t>
        </is>
      </c>
      <c r="E2912" t="n">
        <v>7311.95</v>
      </c>
      <c r="F2912" t="n">
        <v>87743.38</v>
      </c>
    </row>
    <row r="2913">
      <c r="A2913" t="n">
        <v>2030</v>
      </c>
      <c r="B2913" t="n">
        <v>9</v>
      </c>
      <c r="C2913" t="inlineStr">
        <is>
          <t>Rechts- u. Beratungs</t>
        </is>
      </c>
      <c r="D2913" t="inlineStr">
        <is>
          <t>Verwaltungskosten</t>
        </is>
      </c>
      <c r="E2913" t="n">
        <v>28013.14</v>
      </c>
      <c r="F2913" t="n">
        <v>336157.66</v>
      </c>
    </row>
    <row r="2914">
      <c r="A2914" t="n">
        <v>2028</v>
      </c>
      <c r="B2914" t="n">
        <v>9</v>
      </c>
      <c r="C2914" t="inlineStr">
        <is>
          <t>Sonst Fuhrparkkosten</t>
        </is>
      </c>
      <c r="D2914" t="inlineStr">
        <is>
          <t>Fuhrparkkosten</t>
        </is>
      </c>
      <c r="E2914" t="n">
        <v>5288.59</v>
      </c>
      <c r="F2914" t="n">
        <v>63463.1</v>
      </c>
    </row>
    <row r="2915">
      <c r="A2915" t="n">
        <v>2029</v>
      </c>
      <c r="B2915" t="n">
        <v>9</v>
      </c>
      <c r="C2915" t="inlineStr">
        <is>
          <t>Erl. so. DL Dt.</t>
        </is>
      </c>
      <c r="D2915" t="inlineStr">
        <is>
          <t>Gesamtleistung</t>
        </is>
      </c>
      <c r="E2915" t="n">
        <v>2200755.15</v>
      </c>
      <c r="F2915" t="n">
        <v>26409061.76</v>
      </c>
    </row>
    <row r="2916">
      <c r="A2916" t="n">
        <v>2031</v>
      </c>
      <c r="B2916" t="n">
        <v>9</v>
      </c>
      <c r="C2916" t="inlineStr">
        <is>
          <t>Uebr.neutr. Ert</t>
        </is>
      </c>
      <c r="D2916" t="inlineStr">
        <is>
          <t>Gesamtleistung</t>
        </is>
      </c>
      <c r="E2916" t="n">
        <v>227.28</v>
      </c>
      <c r="F2916" t="n">
        <v>2727.33</v>
      </c>
    </row>
    <row r="2917">
      <c r="A2917" t="n">
        <v>2030</v>
      </c>
      <c r="B2917" t="n">
        <v>9</v>
      </c>
      <c r="C2917" t="inlineStr">
        <is>
          <t>Erl. Waren Dt.</t>
        </is>
      </c>
      <c r="D2917" t="inlineStr">
        <is>
          <t>Gesamtleistung</t>
        </is>
      </c>
      <c r="E2917" t="n">
        <v>49038.99</v>
      </c>
      <c r="F2917" t="n">
        <v>588467.85</v>
      </c>
    </row>
    <row r="2918">
      <c r="A2918" t="n">
        <v>2028</v>
      </c>
      <c r="B2918" t="n">
        <v>9</v>
      </c>
      <c r="C2918" t="inlineStr">
        <is>
          <t>Weiterber. Frem</t>
        </is>
      </c>
      <c r="D2918" t="inlineStr">
        <is>
          <t>Vorleistungen</t>
        </is>
      </c>
      <c r="E2918" t="n">
        <v>0</v>
      </c>
      <c r="F2918" t="n">
        <v>0</v>
      </c>
    </row>
    <row r="2919">
      <c r="A2919" t="n">
        <v>2027</v>
      </c>
      <c r="B2919" t="n">
        <v>9</v>
      </c>
      <c r="C2919" t="inlineStr">
        <is>
          <t>IT-Aufwendungen</t>
        </is>
      </c>
      <c r="D2919" t="inlineStr">
        <is>
          <t>Verwaltungskosten</t>
        </is>
      </c>
      <c r="E2919" t="n">
        <v>11596.23</v>
      </c>
      <c r="F2919" t="n">
        <v>139154.76</v>
      </c>
    </row>
    <row r="2920">
      <c r="A2920" t="n">
        <v>2028</v>
      </c>
      <c r="B2920" t="n">
        <v>9</v>
      </c>
      <c r="C2920" t="inlineStr">
        <is>
          <t>Leasing LKW</t>
        </is>
      </c>
      <c r="D2920" t="inlineStr">
        <is>
          <t>Fuhrparkkosten</t>
        </is>
      </c>
      <c r="E2920" t="n">
        <v>2443.59</v>
      </c>
      <c r="F2920" t="n">
        <v>29323.11</v>
      </c>
    </row>
    <row r="2921">
      <c r="A2921" t="n">
        <v>2031</v>
      </c>
      <c r="B2921" t="n">
        <v>9</v>
      </c>
      <c r="C2921" t="inlineStr">
        <is>
          <t>Weiterber. Frem</t>
        </is>
      </c>
      <c r="D2921" t="inlineStr">
        <is>
          <t>Vorleistungen</t>
        </is>
      </c>
      <c r="E2921" t="n">
        <v>0</v>
      </c>
      <c r="F2921" t="n">
        <v>0</v>
      </c>
    </row>
    <row r="2922">
      <c r="A2922" t="n">
        <v>2028</v>
      </c>
      <c r="B2922" t="n">
        <v>9</v>
      </c>
      <c r="C2922" t="inlineStr">
        <is>
          <t>Lohn + Gehalt</t>
        </is>
      </c>
      <c r="D2922" t="inlineStr">
        <is>
          <t>Personalaufwand</t>
        </is>
      </c>
      <c r="E2922" t="n">
        <v>321097.26</v>
      </c>
      <c r="F2922" t="n">
        <v>3853167.13</v>
      </c>
    </row>
    <row r="2923">
      <c r="A2923" t="n">
        <v>2029</v>
      </c>
      <c r="B2923" t="n">
        <v>9</v>
      </c>
      <c r="C2923" t="inlineStr">
        <is>
          <t>Miete LKW,Schiffe</t>
        </is>
      </c>
      <c r="D2923" t="inlineStr">
        <is>
          <t>Fuhrparkkosten</t>
        </is>
      </c>
      <c r="E2923" t="n">
        <v>41294.11</v>
      </c>
      <c r="F2923" t="n">
        <v>495529.28</v>
      </c>
    </row>
    <row r="2924">
      <c r="A2924" t="n">
        <v>2030</v>
      </c>
      <c r="B2924" t="n">
        <v>9</v>
      </c>
      <c r="C2924" t="inlineStr">
        <is>
          <t>Erl. so. DL Dt.</t>
        </is>
      </c>
      <c r="D2924" t="inlineStr">
        <is>
          <t>Gesamtleistung</t>
        </is>
      </c>
      <c r="E2924" t="n">
        <v>2311684.01</v>
      </c>
      <c r="F2924" t="n">
        <v>27740208.09</v>
      </c>
    </row>
    <row r="2925">
      <c r="A2925" t="n">
        <v>2030</v>
      </c>
      <c r="B2925" t="n">
        <v>9</v>
      </c>
      <c r="C2925" t="inlineStr">
        <is>
          <t>Versicherungskosten</t>
        </is>
      </c>
      <c r="D2925" t="inlineStr">
        <is>
          <t>Verwaltungskosten</t>
        </is>
      </c>
      <c r="E2925" t="n">
        <v>11790.1</v>
      </c>
      <c r="F2925" t="n">
        <v>141481.23</v>
      </c>
    </row>
    <row r="2926">
      <c r="A2926" t="n">
        <v>2029</v>
      </c>
      <c r="B2926" t="n">
        <v>9</v>
      </c>
      <c r="C2926" t="inlineStr">
        <is>
          <t>Sonstige Steuer</t>
        </is>
      </c>
      <c r="D2926" t="inlineStr">
        <is>
          <t>Fuhrparkkosten</t>
        </is>
      </c>
      <c r="E2926" t="n">
        <v>1682.38</v>
      </c>
      <c r="F2926" t="n">
        <v>20188.51</v>
      </c>
    </row>
    <row r="2927">
      <c r="A2927" t="n">
        <v>2027</v>
      </c>
      <c r="B2927" t="n">
        <v>9</v>
      </c>
      <c r="C2927" t="inlineStr">
        <is>
          <t>Sonst Fuhrparkkosten</t>
        </is>
      </c>
      <c r="D2927" t="inlineStr">
        <is>
          <t>Fuhrparkkosten</t>
        </is>
      </c>
      <c r="E2927" t="n">
        <v>4989.24</v>
      </c>
      <c r="F2927" t="n">
        <v>59870.86</v>
      </c>
    </row>
    <row r="2928">
      <c r="A2928" t="n">
        <v>2028</v>
      </c>
      <c r="B2928" t="n">
        <v>9</v>
      </c>
      <c r="C2928" t="inlineStr">
        <is>
          <t>Bestandsveraend</t>
        </is>
      </c>
      <c r="D2928" t="inlineStr">
        <is>
          <t>Gesamtleistung</t>
        </is>
      </c>
      <c r="E2928" t="n">
        <v>0</v>
      </c>
      <c r="F2928" t="n">
        <v>0</v>
      </c>
    </row>
    <row r="2929">
      <c r="A2929" t="n">
        <v>2028</v>
      </c>
      <c r="B2929" t="n">
        <v>9</v>
      </c>
      <c r="C2929" t="inlineStr">
        <is>
          <t>So. betr. Aufwa</t>
        </is>
      </c>
      <c r="D2929" t="inlineStr">
        <is>
          <t>Verwaltungskosten</t>
        </is>
      </c>
      <c r="E2929" t="n">
        <v>673.0599999999999</v>
      </c>
      <c r="F2929" t="n">
        <v>8076.71</v>
      </c>
    </row>
    <row r="2930">
      <c r="A2930" t="n">
        <v>2030</v>
      </c>
      <c r="B2930" t="n">
        <v>9</v>
      </c>
      <c r="C2930" t="inlineStr">
        <is>
          <t>Miete LKW,Schiffe</t>
        </is>
      </c>
      <c r="D2930" t="inlineStr">
        <is>
          <t>Fuhrparkkosten</t>
        </is>
      </c>
      <c r="E2930" t="n">
        <v>43771.75</v>
      </c>
      <c r="F2930" t="n">
        <v>525261.04</v>
      </c>
    </row>
    <row r="2931">
      <c r="A2931" t="n">
        <v>2028</v>
      </c>
      <c r="B2931" t="n">
        <v>9</v>
      </c>
      <c r="C2931" t="inlineStr">
        <is>
          <t>Miete LKW,Schiffe</t>
        </is>
      </c>
      <c r="D2931" t="inlineStr">
        <is>
          <t>Fuhrparkkosten</t>
        </is>
      </c>
      <c r="E2931" t="n">
        <v>38956.71</v>
      </c>
      <c r="F2931" t="n">
        <v>467480.47</v>
      </c>
    </row>
    <row r="2932">
      <c r="A2932" t="n">
        <v>2028</v>
      </c>
      <c r="B2932" t="n">
        <v>9</v>
      </c>
      <c r="C2932" t="inlineStr">
        <is>
          <t>sonst Personalk</t>
        </is>
      </c>
      <c r="D2932" t="inlineStr">
        <is>
          <t>Personalaufwand</t>
        </is>
      </c>
      <c r="E2932" t="n">
        <v>12597.51</v>
      </c>
      <c r="F2932" t="n">
        <v>151170.09</v>
      </c>
    </row>
    <row r="2933">
      <c r="A2933" t="n">
        <v>2030</v>
      </c>
      <c r="B2933" t="n">
        <v>9</v>
      </c>
      <c r="C2933" t="inlineStr">
        <is>
          <t>Leasing PKW</t>
        </is>
      </c>
      <c r="D2933" t="inlineStr">
        <is>
          <t>Fuhrparkkosten</t>
        </is>
      </c>
      <c r="E2933" t="n">
        <v>26131.4</v>
      </c>
      <c r="F2933" t="n">
        <v>313576.76</v>
      </c>
    </row>
    <row r="2934">
      <c r="A2934" t="n">
        <v>2031</v>
      </c>
      <c r="B2934" t="n">
        <v>9</v>
      </c>
      <c r="C2934" t="inlineStr">
        <is>
          <t>Aufwand Umlage</t>
        </is>
      </c>
      <c r="D2934" t="inlineStr">
        <is>
          <t>Verwaltungskosten</t>
        </is>
      </c>
      <c r="E2934" t="n">
        <v>3807.87</v>
      </c>
      <c r="F2934" t="n">
        <v>45694.43</v>
      </c>
    </row>
    <row r="2935">
      <c r="A2935" t="n">
        <v>2031</v>
      </c>
      <c r="B2935" t="n">
        <v>9</v>
      </c>
      <c r="C2935" t="inlineStr">
        <is>
          <t>sonst Personalk</t>
        </is>
      </c>
      <c r="D2935" t="inlineStr">
        <is>
          <t>Personalaufwand</t>
        </is>
      </c>
      <c r="E2935" t="n">
        <v>17070.54</v>
      </c>
      <c r="F2935" t="n">
        <v>204846.51</v>
      </c>
    </row>
    <row r="2936">
      <c r="A2936" t="n">
        <v>2027</v>
      </c>
      <c r="B2936" t="n">
        <v>9</v>
      </c>
      <c r="C2936" t="inlineStr">
        <is>
          <t>sonst Personalk</t>
        </is>
      </c>
      <c r="D2936" t="inlineStr">
        <is>
          <t>Personalaufwand</t>
        </is>
      </c>
      <c r="E2936" t="n">
        <v>10949.84</v>
      </c>
      <c r="F2936" t="n">
        <v>131398.1</v>
      </c>
    </row>
    <row r="2937">
      <c r="A2937" t="n">
        <v>2031</v>
      </c>
      <c r="B2937" t="n">
        <v>9</v>
      </c>
      <c r="C2937" t="inlineStr">
        <is>
          <t>Miete PKW</t>
        </is>
      </c>
      <c r="D2937" t="inlineStr">
        <is>
          <t>Fuhrparkkosten</t>
        </is>
      </c>
      <c r="E2937" t="n">
        <v>5824.81</v>
      </c>
      <c r="F2937" t="n">
        <v>69897.67</v>
      </c>
    </row>
    <row r="2938">
      <c r="A2938" t="n">
        <v>2029</v>
      </c>
      <c r="B2938" t="n">
        <v>9</v>
      </c>
      <c r="C2938" t="inlineStr">
        <is>
          <t>Raumkosten</t>
        </is>
      </c>
      <c r="D2938" t="inlineStr">
        <is>
          <t>Raumkosten</t>
        </is>
      </c>
      <c r="E2938" t="n">
        <v>7164.46</v>
      </c>
      <c r="F2938" t="n">
        <v>85973.53</v>
      </c>
    </row>
    <row r="2939">
      <c r="A2939" t="n">
        <v>2031</v>
      </c>
      <c r="B2939" t="n">
        <v>9</v>
      </c>
      <c r="C2939" t="inlineStr">
        <is>
          <t>Aufw. f. Alters</t>
        </is>
      </c>
      <c r="D2939" t="inlineStr">
        <is>
          <t>Personalaufwand</t>
        </is>
      </c>
      <c r="E2939" t="n">
        <v>1434.03</v>
      </c>
      <c r="F2939" t="n">
        <v>17208.41</v>
      </c>
    </row>
    <row r="2940">
      <c r="A2940" t="n">
        <v>2031</v>
      </c>
      <c r="B2940" t="n">
        <v>9</v>
      </c>
      <c r="C2940" t="inlineStr">
        <is>
          <t>IT-Aufwendungen</t>
        </is>
      </c>
      <c r="D2940" t="inlineStr">
        <is>
          <t>Verwaltungskosten</t>
        </is>
      </c>
      <c r="E2940" t="n">
        <v>13051.66</v>
      </c>
      <c r="F2940" t="n">
        <v>156619.9</v>
      </c>
    </row>
    <row r="2941">
      <c r="A2941" t="n">
        <v>2028</v>
      </c>
      <c r="B2941" t="n">
        <v>9</v>
      </c>
      <c r="C2941" t="inlineStr">
        <is>
          <t>Miete Grdst/Gebäud</t>
        </is>
      </c>
      <c r="D2941" t="inlineStr">
        <is>
          <t>Raumkosten</t>
        </is>
      </c>
      <c r="E2941" t="n">
        <v>17880.93</v>
      </c>
      <c r="F2941" t="n">
        <v>214571.21</v>
      </c>
    </row>
    <row r="2942">
      <c r="A2942" t="n">
        <v>2027</v>
      </c>
      <c r="B2942" t="n">
        <v>9</v>
      </c>
      <c r="C2942" t="inlineStr">
        <is>
          <t>Erloesschmaeler</t>
        </is>
      </c>
      <c r="D2942" t="inlineStr">
        <is>
          <t>Gesamtleistung</t>
        </is>
      </c>
      <c r="E2942" t="n">
        <v>-7483.88</v>
      </c>
      <c r="F2942" t="n">
        <v>-89806.53</v>
      </c>
    </row>
    <row r="2943">
      <c r="A2943" t="n">
        <v>2029</v>
      </c>
      <c r="B2943" t="n">
        <v>9</v>
      </c>
      <c r="C2943" t="inlineStr">
        <is>
          <t>sonst Personalk</t>
        </is>
      </c>
      <c r="D2943" t="inlineStr">
        <is>
          <t>Personalaufwand</t>
        </is>
      </c>
      <c r="E2943" t="n">
        <v>13957.15</v>
      </c>
      <c r="F2943" t="n">
        <v>167485.78</v>
      </c>
    </row>
    <row r="2944">
      <c r="A2944" t="n">
        <v>2028</v>
      </c>
      <c r="B2944" t="n">
        <v>9</v>
      </c>
      <c r="C2944" t="inlineStr">
        <is>
          <t>Fremdl. Fuhrlei</t>
        </is>
      </c>
      <c r="D2944" t="inlineStr">
        <is>
          <t>Vorleistungen</t>
        </is>
      </c>
      <c r="E2944" t="n">
        <v>363.29</v>
      </c>
      <c r="F2944" t="n">
        <v>4359.52</v>
      </c>
    </row>
    <row r="2945">
      <c r="A2945" t="n">
        <v>2027</v>
      </c>
      <c r="B2945" t="n">
        <v>9</v>
      </c>
      <c r="C2945" t="inlineStr">
        <is>
          <t>Erl. so. DL Dt.</t>
        </is>
      </c>
      <c r="D2945" t="inlineStr">
        <is>
          <t>Gesamtleistung</t>
        </is>
      </c>
      <c r="E2945" t="n">
        <v>1996174.37</v>
      </c>
      <c r="F2945" t="n">
        <v>23954092.45</v>
      </c>
    </row>
    <row r="2946">
      <c r="A2946" t="n">
        <v>2027</v>
      </c>
      <c r="B2946" t="n">
        <v>9</v>
      </c>
      <c r="C2946" t="inlineStr">
        <is>
          <t>Aufw. Heizmat.</t>
        </is>
      </c>
      <c r="D2946" t="inlineStr">
        <is>
          <t>Vorleistungen</t>
        </is>
      </c>
      <c r="E2946" t="n">
        <v>275.72</v>
      </c>
      <c r="F2946" t="n">
        <v>3308.65</v>
      </c>
    </row>
    <row r="2947">
      <c r="A2947" t="n">
        <v>2028</v>
      </c>
      <c r="B2947" t="n">
        <v>9</v>
      </c>
      <c r="C2947" t="inlineStr">
        <is>
          <t>Versicherungskosten</t>
        </is>
      </c>
      <c r="D2947" t="inlineStr">
        <is>
          <t>Verwaltungskosten</t>
        </is>
      </c>
      <c r="E2947" t="n">
        <v>11113.3</v>
      </c>
      <c r="F2947" t="n">
        <v>133359.63</v>
      </c>
    </row>
    <row r="2948">
      <c r="A2948" t="n">
        <v>2031</v>
      </c>
      <c r="B2948" t="n">
        <v>9</v>
      </c>
      <c r="C2948" t="inlineStr">
        <is>
          <t>Miete LKW,Schiffe</t>
        </is>
      </c>
      <c r="D2948" t="inlineStr">
        <is>
          <t>Fuhrparkkosten</t>
        </is>
      </c>
      <c r="E2948" t="n">
        <v>46398.06</v>
      </c>
      <c r="F2948" t="n">
        <v>556776.71</v>
      </c>
    </row>
    <row r="2949">
      <c r="A2949" t="n">
        <v>2027</v>
      </c>
      <c r="B2949" t="n">
        <v>9</v>
      </c>
      <c r="C2949" t="inlineStr">
        <is>
          <t>Weiterber. Frem</t>
        </is>
      </c>
      <c r="D2949" t="inlineStr">
        <is>
          <t>Vorleistungen</t>
        </is>
      </c>
      <c r="E2949" t="n">
        <v>0</v>
      </c>
      <c r="F2949" t="n">
        <v>0</v>
      </c>
    </row>
    <row r="2950">
      <c r="A2950" t="n">
        <v>2028</v>
      </c>
      <c r="B2950" t="n">
        <v>9</v>
      </c>
      <c r="C2950" t="inlineStr">
        <is>
          <t>Erloesschmaeler</t>
        </is>
      </c>
      <c r="D2950" t="inlineStr">
        <is>
          <t>Gesamtleistung</t>
        </is>
      </c>
      <c r="E2950" t="n">
        <v>-8355.469999999999</v>
      </c>
      <c r="F2950" t="n">
        <v>-100265.61</v>
      </c>
    </row>
    <row r="2951">
      <c r="A2951" t="n">
        <v>2027</v>
      </c>
      <c r="B2951" t="n">
        <v>9</v>
      </c>
      <c r="C2951" t="inlineStr">
        <is>
          <t>Uebr.neutr. Ert</t>
        </is>
      </c>
      <c r="D2951" t="inlineStr">
        <is>
          <t>Gesamtleistung</t>
        </is>
      </c>
      <c r="E2951" t="n">
        <v>113.94</v>
      </c>
      <c r="F2951" t="n">
        <v>1367.31</v>
      </c>
    </row>
    <row r="2952">
      <c r="A2952" t="n">
        <v>2028</v>
      </c>
      <c r="B2952" t="n">
        <v>9</v>
      </c>
      <c r="C2952" t="inlineStr">
        <is>
          <t>Miete Behälter</t>
        </is>
      </c>
      <c r="D2952" t="inlineStr">
        <is>
          <t>Instandh. Betriebsausstattung</t>
        </is>
      </c>
      <c r="E2952" t="n">
        <v>24.08</v>
      </c>
      <c r="F2952" t="n">
        <v>289</v>
      </c>
    </row>
    <row r="2953">
      <c r="A2953" t="n">
        <v>2028</v>
      </c>
      <c r="B2953" t="n">
        <v>9</v>
      </c>
      <c r="C2953" t="inlineStr">
        <is>
          <t>Aufw. so. Hilfs</t>
        </is>
      </c>
      <c r="D2953" t="inlineStr">
        <is>
          <t>Vorleistungen</t>
        </is>
      </c>
      <c r="E2953" t="n">
        <v>-16546.31</v>
      </c>
      <c r="F2953" t="n">
        <v>-198555.67</v>
      </c>
    </row>
    <row r="2954">
      <c r="A2954" t="n">
        <v>2030</v>
      </c>
      <c r="B2954" t="n">
        <v>9</v>
      </c>
      <c r="C2954" t="inlineStr">
        <is>
          <t>Treibstoffe, Oe</t>
        </is>
      </c>
      <c r="D2954" t="inlineStr">
        <is>
          <t>Fuhrparkkosten</t>
        </is>
      </c>
      <c r="E2954" t="n">
        <v>34177.25</v>
      </c>
      <c r="F2954" t="n">
        <v>410126.96</v>
      </c>
    </row>
    <row r="2955">
      <c r="A2955" t="n">
        <v>2030</v>
      </c>
      <c r="B2955" t="n">
        <v>9</v>
      </c>
      <c r="C2955" t="inlineStr">
        <is>
          <t>Ueb Lohn-Gehalt</t>
        </is>
      </c>
      <c r="D2955" t="inlineStr">
        <is>
          <t>Personalaufwand</t>
        </is>
      </c>
      <c r="E2955" t="n">
        <v>41842.02</v>
      </c>
      <c r="F2955" t="n">
        <v>502104.18</v>
      </c>
    </row>
    <row r="2956">
      <c r="A2956" t="n">
        <v>2030</v>
      </c>
      <c r="B2956" t="n">
        <v>9</v>
      </c>
      <c r="C2956" t="inlineStr">
        <is>
          <t>Aufw. f. Alters</t>
        </is>
      </c>
      <c r="D2956" t="inlineStr">
        <is>
          <t>Personalaufwand</t>
        </is>
      </c>
      <c r="E2956" t="n">
        <v>1387.56</v>
      </c>
      <c r="F2956" t="n">
        <v>16650.69</v>
      </c>
    </row>
    <row r="2957">
      <c r="A2957" t="n">
        <v>2031</v>
      </c>
      <c r="B2957" t="n">
        <v>9</v>
      </c>
      <c r="C2957" t="inlineStr">
        <is>
          <t>Fremdl. Persona</t>
        </is>
      </c>
      <c r="D2957" t="inlineStr">
        <is>
          <t>Vorleistungen</t>
        </is>
      </c>
      <c r="E2957" t="n">
        <v>79.40000000000001</v>
      </c>
      <c r="F2957" t="n">
        <v>952.79</v>
      </c>
    </row>
    <row r="2958">
      <c r="A2958" t="n">
        <v>2029</v>
      </c>
      <c r="B2958" t="n">
        <v>10</v>
      </c>
      <c r="C2958" t="inlineStr">
        <is>
          <t>Sonderz. Prämie</t>
        </is>
      </c>
      <c r="D2958" t="inlineStr">
        <is>
          <t>Personalaufwand</t>
        </is>
      </c>
      <c r="E2958" t="n">
        <v>23292.21</v>
      </c>
      <c r="F2958" t="n">
        <v>279506.56</v>
      </c>
    </row>
    <row r="2959">
      <c r="A2959" t="n">
        <v>2030</v>
      </c>
      <c r="B2959" t="n">
        <v>10</v>
      </c>
      <c r="C2959" t="inlineStr">
        <is>
          <t>sonst Personalk</t>
        </is>
      </c>
      <c r="D2959" t="inlineStr">
        <is>
          <t>Personalaufwand</t>
        </is>
      </c>
      <c r="E2959" t="n">
        <v>15558.93</v>
      </c>
      <c r="F2959" t="n">
        <v>186707.19</v>
      </c>
    </row>
    <row r="2960">
      <c r="A2960" t="n">
        <v>2031</v>
      </c>
      <c r="B2960" t="n">
        <v>10</v>
      </c>
      <c r="C2960" t="inlineStr">
        <is>
          <t>Ankauf Rohstoff</t>
        </is>
      </c>
      <c r="D2960" t="inlineStr">
        <is>
          <t>Vorleistungen</t>
        </is>
      </c>
      <c r="E2960" t="n">
        <v>1489.65</v>
      </c>
      <c r="F2960" t="n">
        <v>17875.76</v>
      </c>
    </row>
    <row r="2961">
      <c r="A2961" t="n">
        <v>2029</v>
      </c>
      <c r="B2961" t="n">
        <v>10</v>
      </c>
      <c r="C2961" t="inlineStr">
        <is>
          <t>Weiterber. Frem</t>
        </is>
      </c>
      <c r="D2961" t="inlineStr">
        <is>
          <t>Vorleistungen</t>
        </is>
      </c>
      <c r="E2961" t="n">
        <v>0</v>
      </c>
      <c r="F2961" t="n">
        <v>0</v>
      </c>
    </row>
    <row r="2962">
      <c r="A2962" t="n">
        <v>2031</v>
      </c>
      <c r="B2962" t="n">
        <v>10</v>
      </c>
      <c r="C2962" t="inlineStr">
        <is>
          <t>Sonstige Steuer</t>
        </is>
      </c>
      <c r="D2962" t="inlineStr">
        <is>
          <t>Fuhrparkkosten</t>
        </is>
      </c>
      <c r="E2962" t="n">
        <v>1890.32</v>
      </c>
      <c r="F2962" t="n">
        <v>22683.81</v>
      </c>
    </row>
    <row r="2963">
      <c r="A2963" t="n">
        <v>2030</v>
      </c>
      <c r="B2963" t="n">
        <v>10</v>
      </c>
      <c r="C2963" t="inlineStr">
        <is>
          <t>Bestandsveraend</t>
        </is>
      </c>
      <c r="D2963" t="inlineStr">
        <is>
          <t>Gesamtleistung</t>
        </is>
      </c>
      <c r="E2963" t="n">
        <v>0</v>
      </c>
      <c r="F2963" t="n">
        <v>0</v>
      </c>
    </row>
    <row r="2964">
      <c r="A2964" t="n">
        <v>2031</v>
      </c>
      <c r="B2964" t="n">
        <v>10</v>
      </c>
      <c r="C2964" t="inlineStr">
        <is>
          <t>Erl. so. DL Dt.</t>
        </is>
      </c>
      <c r="D2964" t="inlineStr">
        <is>
          <t>Gesamtleistung</t>
        </is>
      </c>
      <c r="E2964" t="n">
        <v>2428139.11</v>
      </c>
      <c r="F2964" t="n">
        <v>29137669.32</v>
      </c>
    </row>
    <row r="2965">
      <c r="A2965" t="n">
        <v>2030</v>
      </c>
      <c r="B2965" t="n">
        <v>10</v>
      </c>
      <c r="C2965" t="inlineStr">
        <is>
          <t>Sonstige Steuer</t>
        </is>
      </c>
      <c r="D2965" t="inlineStr">
        <is>
          <t>Fuhrparkkosten</t>
        </is>
      </c>
      <c r="E2965" t="n">
        <v>1783.32</v>
      </c>
      <c r="F2965" t="n">
        <v>21399.82</v>
      </c>
    </row>
    <row r="2966">
      <c r="A2966" t="n">
        <v>2030</v>
      </c>
      <c r="B2966" t="n">
        <v>10</v>
      </c>
      <c r="C2966" t="inlineStr">
        <is>
          <t>Sonderz. Prämie</t>
        </is>
      </c>
      <c r="D2966" t="inlineStr">
        <is>
          <t>Personalaufwand</t>
        </is>
      </c>
      <c r="E2966" t="n">
        <v>25004.1</v>
      </c>
      <c r="F2966" t="n">
        <v>300049.14</v>
      </c>
    </row>
    <row r="2967">
      <c r="A2967" t="n">
        <v>2029</v>
      </c>
      <c r="B2967" t="n">
        <v>10</v>
      </c>
      <c r="C2967" t="inlineStr">
        <is>
          <t>Soziale Abgaben</t>
        </is>
      </c>
      <c r="D2967" t="inlineStr">
        <is>
          <t>Personalaufwand</t>
        </is>
      </c>
      <c r="E2967" t="n">
        <v>94488.11</v>
      </c>
      <c r="F2967" t="n">
        <v>1133857.35</v>
      </c>
    </row>
    <row r="2968">
      <c r="A2968" t="n">
        <v>2031</v>
      </c>
      <c r="B2968" t="n">
        <v>10</v>
      </c>
      <c r="C2968" t="inlineStr">
        <is>
          <t>So. betr. Aufwa</t>
        </is>
      </c>
      <c r="D2968" t="inlineStr">
        <is>
          <t>Verwaltungskosten</t>
        </is>
      </c>
      <c r="E2968" t="n">
        <v>735.47</v>
      </c>
      <c r="F2968" t="n">
        <v>8825.639999999999</v>
      </c>
    </row>
    <row r="2969">
      <c r="A2969" t="n">
        <v>2027</v>
      </c>
      <c r="B2969" t="n">
        <v>10</v>
      </c>
      <c r="C2969" t="inlineStr">
        <is>
          <t>Lohn + Gehalt</t>
        </is>
      </c>
      <c r="D2969" t="inlineStr">
        <is>
          <t>Personalaufwand</t>
        </is>
      </c>
      <c r="E2969" t="n">
        <v>287946.36</v>
      </c>
      <c r="F2969" t="n">
        <v>3455356.33</v>
      </c>
    </row>
    <row r="2970">
      <c r="A2970" t="n">
        <v>2027</v>
      </c>
      <c r="B2970" t="n">
        <v>10</v>
      </c>
      <c r="C2970" t="inlineStr">
        <is>
          <t>So. betr. Aufwa</t>
        </is>
      </c>
      <c r="D2970" t="inlineStr">
        <is>
          <t>Verwaltungskosten</t>
        </is>
      </c>
      <c r="E2970" t="n">
        <v>653.45</v>
      </c>
      <c r="F2970" t="n">
        <v>7841.45</v>
      </c>
    </row>
    <row r="2971">
      <c r="A2971" t="n">
        <v>2028</v>
      </c>
      <c r="B2971" t="n">
        <v>10</v>
      </c>
      <c r="C2971" t="inlineStr">
        <is>
          <t>Ueb Lohn-Gehalt</t>
        </is>
      </c>
      <c r="D2971" t="inlineStr">
        <is>
          <t>Personalaufwand</t>
        </is>
      </c>
      <c r="E2971" t="n">
        <v>34332.83</v>
      </c>
      <c r="F2971" t="n">
        <v>411993.96</v>
      </c>
    </row>
    <row r="2972">
      <c r="A2972" t="n">
        <v>2027</v>
      </c>
      <c r="B2972" t="n">
        <v>10</v>
      </c>
      <c r="C2972" t="inlineStr">
        <is>
          <t>Verwaltungskost</t>
        </is>
      </c>
      <c r="D2972" t="inlineStr">
        <is>
          <t>Verwaltungskosten</t>
        </is>
      </c>
      <c r="E2972" t="n">
        <v>6691.47</v>
      </c>
      <c r="F2972" t="n">
        <v>80297.62</v>
      </c>
    </row>
    <row r="2973">
      <c r="A2973" t="n">
        <v>2030</v>
      </c>
      <c r="B2973" t="n">
        <v>10</v>
      </c>
      <c r="C2973" t="inlineStr">
        <is>
          <t>Aufw. Heizmat.</t>
        </is>
      </c>
      <c r="D2973" t="inlineStr">
        <is>
          <t>Vorleistungen</t>
        </is>
      </c>
      <c r="E2973" t="n">
        <v>230.4</v>
      </c>
      <c r="F2973" t="n">
        <v>2764.82</v>
      </c>
    </row>
    <row r="2974">
      <c r="A2974" t="n">
        <v>2027</v>
      </c>
      <c r="B2974" t="n">
        <v>10</v>
      </c>
      <c r="C2974" t="inlineStr">
        <is>
          <t>Versicherungskosten</t>
        </is>
      </c>
      <c r="D2974" t="inlineStr">
        <is>
          <t>Verwaltungskosten</t>
        </is>
      </c>
      <c r="E2974" t="n">
        <v>10789.61</v>
      </c>
      <c r="F2974" t="n">
        <v>129475.37</v>
      </c>
    </row>
    <row r="2975">
      <c r="A2975" t="n">
        <v>2031</v>
      </c>
      <c r="B2975" t="n">
        <v>10</v>
      </c>
      <c r="C2975" t="inlineStr">
        <is>
          <t>Instandh. BGA</t>
        </is>
      </c>
      <c r="D2975" t="inlineStr">
        <is>
          <t>Instandh. Betriebsausstattung</t>
        </is>
      </c>
      <c r="E2975" t="n">
        <v>5124.63</v>
      </c>
      <c r="F2975" t="n">
        <v>61495.58</v>
      </c>
    </row>
    <row r="2976">
      <c r="A2976" t="n">
        <v>2029</v>
      </c>
      <c r="B2976" t="n">
        <v>10</v>
      </c>
      <c r="C2976" t="inlineStr">
        <is>
          <t>Treibstoffe, Oe</t>
        </is>
      </c>
      <c r="D2976" t="inlineStr">
        <is>
          <t>Fuhrparkkosten</t>
        </is>
      </c>
      <c r="E2976" t="n">
        <v>32242.68</v>
      </c>
      <c r="F2976" t="n">
        <v>386912.19</v>
      </c>
    </row>
    <row r="2977">
      <c r="A2977" t="n">
        <v>2027</v>
      </c>
      <c r="B2977" t="n">
        <v>10</v>
      </c>
      <c r="C2977" t="inlineStr">
        <is>
          <t>Instandh. BGA</t>
        </is>
      </c>
      <c r="D2977" t="inlineStr">
        <is>
          <t>Instandh. Betriebsausstattung</t>
        </is>
      </c>
      <c r="E2977" t="n">
        <v>4216.05</v>
      </c>
      <c r="F2977" t="n">
        <v>50592.58</v>
      </c>
    </row>
    <row r="2978">
      <c r="A2978" t="n">
        <v>2029</v>
      </c>
      <c r="B2978" t="n">
        <v>10</v>
      </c>
      <c r="C2978" t="inlineStr">
        <is>
          <t>Ueb Lohn-Gehalt</t>
        </is>
      </c>
      <c r="D2978" t="inlineStr">
        <is>
          <t>Personalaufwand</t>
        </is>
      </c>
      <c r="E2978" t="n">
        <v>37989.9</v>
      </c>
      <c r="F2978" t="n">
        <v>455878.84</v>
      </c>
    </row>
    <row r="2979">
      <c r="A2979" t="n">
        <v>2031</v>
      </c>
      <c r="B2979" t="n">
        <v>10</v>
      </c>
      <c r="C2979" t="inlineStr">
        <is>
          <t>Erl. Waren Dt.</t>
        </is>
      </c>
      <c r="D2979" t="inlineStr">
        <is>
          <t>Gesamtleistung</t>
        </is>
      </c>
      <c r="E2979" t="n">
        <v>50865.59</v>
      </c>
      <c r="F2979" t="n">
        <v>610387.05</v>
      </c>
    </row>
    <row r="2980">
      <c r="A2980" t="n">
        <v>2027</v>
      </c>
      <c r="B2980" t="n">
        <v>10</v>
      </c>
      <c r="C2980" t="inlineStr">
        <is>
          <t>Fremdl. Persona</t>
        </is>
      </c>
      <c r="D2980" t="inlineStr">
        <is>
          <t>Vorleistungen</t>
        </is>
      </c>
      <c r="E2980" t="n">
        <v>61.31</v>
      </c>
      <c r="F2980" t="n">
        <v>735.66</v>
      </c>
    </row>
    <row r="2981">
      <c r="A2981" t="n">
        <v>2027</v>
      </c>
      <c r="B2981" t="n">
        <v>10</v>
      </c>
      <c r="C2981" t="inlineStr">
        <is>
          <t>Aufwand Umlage</t>
        </is>
      </c>
      <c r="D2981" t="inlineStr">
        <is>
          <t>Verwaltungskosten</t>
        </is>
      </c>
      <c r="E2981" t="n">
        <v>3383.24</v>
      </c>
      <c r="F2981" t="n">
        <v>40598.91</v>
      </c>
    </row>
    <row r="2982">
      <c r="A2982" t="n">
        <v>2031</v>
      </c>
      <c r="B2982" t="n">
        <v>10</v>
      </c>
      <c r="C2982" t="inlineStr">
        <is>
          <t>Ueb Lohn-Gehalt</t>
        </is>
      </c>
      <c r="D2982" t="inlineStr">
        <is>
          <t>Personalaufwand</t>
        </is>
      </c>
      <c r="E2982" t="n">
        <v>45675.82</v>
      </c>
      <c r="F2982" t="n">
        <v>548109.79</v>
      </c>
    </row>
    <row r="2983">
      <c r="A2983" t="n">
        <v>2027</v>
      </c>
      <c r="B2983" t="n">
        <v>10</v>
      </c>
      <c r="C2983" t="inlineStr">
        <is>
          <t>Rechts- u. Beratungs</t>
        </is>
      </c>
      <c r="D2983" t="inlineStr">
        <is>
          <t>Verwaltungskosten</t>
        </is>
      </c>
      <c r="E2983" t="n">
        <v>25635.99</v>
      </c>
      <c r="F2983" t="n">
        <v>307631.89</v>
      </c>
    </row>
    <row r="2984">
      <c r="A2984" t="n">
        <v>2028</v>
      </c>
      <c r="B2984" t="n">
        <v>10</v>
      </c>
      <c r="C2984" t="inlineStr">
        <is>
          <t>Verwaltungskost</t>
        </is>
      </c>
      <c r="D2984" t="inlineStr">
        <is>
          <t>Verwaltungskosten</t>
        </is>
      </c>
      <c r="E2984" t="n">
        <v>6892.21</v>
      </c>
      <c r="F2984" t="n">
        <v>82706.56</v>
      </c>
    </row>
    <row r="2985">
      <c r="A2985" t="n">
        <v>2028</v>
      </c>
      <c r="B2985" t="n">
        <v>10</v>
      </c>
      <c r="C2985" t="inlineStr">
        <is>
          <t>Ueb. bezog.Leis</t>
        </is>
      </c>
      <c r="D2985" t="inlineStr">
        <is>
          <t>Vorleistungen</t>
        </is>
      </c>
      <c r="E2985" t="n">
        <v>1342498.67</v>
      </c>
      <c r="F2985" t="n">
        <v>16109983.99</v>
      </c>
    </row>
    <row r="2986">
      <c r="A2986" t="n">
        <v>2028</v>
      </c>
      <c r="B2986" t="n">
        <v>10</v>
      </c>
      <c r="C2986" t="inlineStr">
        <is>
          <t>Ankauf Rohstoff</t>
        </is>
      </c>
      <c r="D2986" t="inlineStr">
        <is>
          <t>Vorleistungen</t>
        </is>
      </c>
      <c r="E2986" t="n">
        <v>1457.38</v>
      </c>
      <c r="F2986" t="n">
        <v>17488.61</v>
      </c>
    </row>
    <row r="2987">
      <c r="A2987" t="n">
        <v>2029</v>
      </c>
      <c r="B2987" t="n">
        <v>10</v>
      </c>
      <c r="C2987" t="inlineStr">
        <is>
          <t>Erloesschmaeler</t>
        </is>
      </c>
      <c r="D2987" t="inlineStr">
        <is>
          <t>Gesamtleistung</t>
        </is>
      </c>
      <c r="E2987" t="n">
        <v>-9048.01</v>
      </c>
      <c r="F2987" t="n">
        <v>-108576.08</v>
      </c>
    </row>
    <row r="2988">
      <c r="A2988" t="n">
        <v>2029</v>
      </c>
      <c r="B2988" t="n">
        <v>10</v>
      </c>
      <c r="C2988" t="inlineStr">
        <is>
          <t>Leasing PKW</t>
        </is>
      </c>
      <c r="D2988" t="inlineStr">
        <is>
          <t>Fuhrparkkosten</t>
        </is>
      </c>
      <c r="E2988" t="n">
        <v>24652.26</v>
      </c>
      <c r="F2988" t="n">
        <v>295827.14</v>
      </c>
    </row>
    <row r="2989">
      <c r="A2989" t="n">
        <v>2029</v>
      </c>
      <c r="B2989" t="n">
        <v>10</v>
      </c>
      <c r="C2989" t="inlineStr">
        <is>
          <t>Fremdl. Persona</t>
        </is>
      </c>
      <c r="D2989" t="inlineStr">
        <is>
          <t>Vorleistungen</t>
        </is>
      </c>
      <c r="E2989" t="n">
        <v>73.3</v>
      </c>
      <c r="F2989" t="n">
        <v>879.54</v>
      </c>
    </row>
    <row r="2990">
      <c r="A2990" t="n">
        <v>2028</v>
      </c>
      <c r="B2990" t="n">
        <v>10</v>
      </c>
      <c r="C2990" t="inlineStr">
        <is>
          <t>Aufwand Umlage</t>
        </is>
      </c>
      <c r="D2990" t="inlineStr">
        <is>
          <t>Verwaltungskosten</t>
        </is>
      </c>
      <c r="E2990" t="n">
        <v>3484.74</v>
      </c>
      <c r="F2990" t="n">
        <v>41816.88</v>
      </c>
    </row>
    <row r="2991">
      <c r="A2991" t="n">
        <v>2027</v>
      </c>
      <c r="B2991" t="n">
        <v>10</v>
      </c>
      <c r="C2991" t="inlineStr">
        <is>
          <t>Ankauf Rohstoff</t>
        </is>
      </c>
      <c r="D2991" t="inlineStr">
        <is>
          <t>Vorleistungen</t>
        </is>
      </c>
      <c r="E2991" t="n">
        <v>1408.24</v>
      </c>
      <c r="F2991" t="n">
        <v>16898.9</v>
      </c>
    </row>
    <row r="2992">
      <c r="A2992" t="n">
        <v>2030</v>
      </c>
      <c r="B2992" t="n">
        <v>10</v>
      </c>
      <c r="C2992" t="inlineStr">
        <is>
          <t>Erloesschmaeler</t>
        </is>
      </c>
      <c r="D2992" t="inlineStr">
        <is>
          <t>Gesamtleistung</t>
        </is>
      </c>
      <c r="E2992" t="n">
        <v>-9690.75</v>
      </c>
      <c r="F2992" t="n">
        <v>-116289.05</v>
      </c>
    </row>
    <row r="2993">
      <c r="A2993" t="n">
        <v>2029</v>
      </c>
      <c r="B2993" t="n">
        <v>10</v>
      </c>
      <c r="C2993" t="inlineStr">
        <is>
          <t>Sonst Fuhrparkkosten</t>
        </is>
      </c>
      <c r="D2993" t="inlineStr">
        <is>
          <t>Fuhrparkkosten</t>
        </is>
      </c>
      <c r="E2993" t="n">
        <v>5605.91</v>
      </c>
      <c r="F2993" t="n">
        <v>67270.89</v>
      </c>
    </row>
    <row r="2994">
      <c r="A2994" t="n">
        <v>2027</v>
      </c>
      <c r="B2994" t="n">
        <v>10</v>
      </c>
      <c r="C2994" t="inlineStr">
        <is>
          <t>Soziale Abgaben</t>
        </is>
      </c>
      <c r="D2994" t="inlineStr">
        <is>
          <t>Personalaufwand</t>
        </is>
      </c>
      <c r="E2994" t="n">
        <v>75903.69</v>
      </c>
      <c r="F2994" t="n">
        <v>910844.28</v>
      </c>
    </row>
    <row r="2995">
      <c r="A2995" t="n">
        <v>2031</v>
      </c>
      <c r="B2995" t="n">
        <v>10</v>
      </c>
      <c r="C2995" t="inlineStr">
        <is>
          <t>Erloesschmaeler</t>
        </is>
      </c>
      <c r="D2995" t="inlineStr">
        <is>
          <t>Gesamtleistung</t>
        </is>
      </c>
      <c r="E2995" t="n">
        <v>-10347.15</v>
      </c>
      <c r="F2995" t="n">
        <v>-124165.81</v>
      </c>
    </row>
    <row r="2996">
      <c r="A2996" t="n">
        <v>2029</v>
      </c>
      <c r="B2996" t="n">
        <v>10</v>
      </c>
      <c r="C2996" t="inlineStr">
        <is>
          <t>Ertr. weiterber</t>
        </is>
      </c>
      <c r="D2996" t="inlineStr">
        <is>
          <t>Gesamtleistung</t>
        </is>
      </c>
      <c r="E2996" t="n">
        <v>1036.39</v>
      </c>
      <c r="F2996" t="n">
        <v>12436.69</v>
      </c>
    </row>
    <row r="2997">
      <c r="A2997" t="n">
        <v>2027</v>
      </c>
      <c r="B2997" t="n">
        <v>10</v>
      </c>
      <c r="C2997" t="inlineStr">
        <is>
          <t>Sonderz. Prämie</t>
        </is>
      </c>
      <c r="D2997" t="inlineStr">
        <is>
          <t>Personalaufwand</t>
        </is>
      </c>
      <c r="E2997" t="n">
        <v>19636.08</v>
      </c>
      <c r="F2997" t="n">
        <v>235633</v>
      </c>
    </row>
    <row r="2998">
      <c r="A2998" t="n">
        <v>2027</v>
      </c>
      <c r="B2998" t="n">
        <v>10</v>
      </c>
      <c r="C2998" t="inlineStr">
        <is>
          <t>Miete Behälter</t>
        </is>
      </c>
      <c r="D2998" t="inlineStr">
        <is>
          <t>Instandh. Betriebsausstattung</t>
        </is>
      </c>
      <c r="E2998" t="n">
        <v>22.94</v>
      </c>
      <c r="F2998" t="n">
        <v>275.23</v>
      </c>
    </row>
    <row r="2999">
      <c r="A2999" t="n">
        <v>2031</v>
      </c>
      <c r="B2999" t="n">
        <v>10</v>
      </c>
      <c r="C2999" t="inlineStr">
        <is>
          <t>Versicherungskosten</t>
        </is>
      </c>
      <c r="D2999" t="inlineStr">
        <is>
          <t>Verwaltungskosten</t>
        </is>
      </c>
      <c r="E2999" t="n">
        <v>12143.81</v>
      </c>
      <c r="F2999" t="n">
        <v>145725.66</v>
      </c>
    </row>
    <row r="3000">
      <c r="A3000" t="n">
        <v>2029</v>
      </c>
      <c r="B3000" t="n">
        <v>10</v>
      </c>
      <c r="C3000" t="inlineStr">
        <is>
          <t>Rechts- u. Beratungs</t>
        </is>
      </c>
      <c r="D3000" t="inlineStr">
        <is>
          <t>Verwaltungskosten</t>
        </is>
      </c>
      <c r="E3000" t="n">
        <v>27197.22</v>
      </c>
      <c r="F3000" t="n">
        <v>326366.65</v>
      </c>
    </row>
    <row r="3001">
      <c r="A3001" t="n">
        <v>2028</v>
      </c>
      <c r="B3001" t="n">
        <v>10</v>
      </c>
      <c r="C3001" t="inlineStr">
        <is>
          <t>Instandh.Fuhrp</t>
        </is>
      </c>
      <c r="D3001" t="inlineStr">
        <is>
          <t>Fuhrparkkosten</t>
        </is>
      </c>
      <c r="E3001" t="n">
        <v>32180.39</v>
      </c>
      <c r="F3001" t="n">
        <v>386164.66</v>
      </c>
    </row>
    <row r="3002">
      <c r="A3002" t="n">
        <v>2030</v>
      </c>
      <c r="B3002" t="n">
        <v>10</v>
      </c>
      <c r="C3002" t="inlineStr">
        <is>
          <t>Miete Grdst/Gebäud</t>
        </is>
      </c>
      <c r="D3002" t="inlineStr">
        <is>
          <t>Raumkosten</t>
        </is>
      </c>
      <c r="E3002" t="n">
        <v>18603.32</v>
      </c>
      <c r="F3002" t="n">
        <v>223239.88</v>
      </c>
    </row>
    <row r="3003">
      <c r="A3003" t="n">
        <v>2027</v>
      </c>
      <c r="B3003" t="n">
        <v>10</v>
      </c>
      <c r="C3003" t="inlineStr">
        <is>
          <t>Ueb. bezog.Leis</t>
        </is>
      </c>
      <c r="D3003" t="inlineStr">
        <is>
          <t>Vorleistungen</t>
        </is>
      </c>
      <c r="E3003" t="n">
        <v>1319862.34</v>
      </c>
      <c r="F3003" t="n">
        <v>15838348.13</v>
      </c>
    </row>
    <row r="3004">
      <c r="A3004" t="n">
        <v>2029</v>
      </c>
      <c r="B3004" t="n">
        <v>10</v>
      </c>
      <c r="C3004" t="inlineStr">
        <is>
          <t>Erl. Waren Dt.</t>
        </is>
      </c>
      <c r="D3004" t="inlineStr">
        <is>
          <t>Gesamtleistung</t>
        </is>
      </c>
      <c r="E3004" t="n">
        <v>47334.08</v>
      </c>
      <c r="F3004" t="n">
        <v>568008.92</v>
      </c>
    </row>
    <row r="3005">
      <c r="A3005" t="n">
        <v>2031</v>
      </c>
      <c r="B3005" t="n">
        <v>10</v>
      </c>
      <c r="C3005" t="inlineStr">
        <is>
          <t>Treibstoffe, Oe</t>
        </is>
      </c>
      <c r="D3005" t="inlineStr">
        <is>
          <t>Fuhrparkkosten</t>
        </is>
      </c>
      <c r="E3005" t="n">
        <v>36227.88</v>
      </c>
      <c r="F3005" t="n">
        <v>434734.54</v>
      </c>
    </row>
    <row r="3006">
      <c r="A3006" t="n">
        <v>2029</v>
      </c>
      <c r="B3006" t="n">
        <v>10</v>
      </c>
      <c r="C3006" t="inlineStr">
        <is>
          <t>Miete Behälter</t>
        </is>
      </c>
      <c r="D3006" t="inlineStr">
        <is>
          <t>Instandh. Betriebsausstattung</t>
        </is>
      </c>
      <c r="E3006" t="n">
        <v>25.29</v>
      </c>
      <c r="F3006" t="n">
        <v>303.45</v>
      </c>
    </row>
    <row r="3007">
      <c r="A3007" t="n">
        <v>2030</v>
      </c>
      <c r="B3007" t="n">
        <v>10</v>
      </c>
      <c r="C3007" t="inlineStr">
        <is>
          <t>Instandh. BGA</t>
        </is>
      </c>
      <c r="D3007" t="inlineStr">
        <is>
          <t>Instandh. Betriebsausstattung</t>
        </is>
      </c>
      <c r="E3007" t="n">
        <v>4880.6</v>
      </c>
      <c r="F3007" t="n">
        <v>58567.23</v>
      </c>
    </row>
    <row r="3008">
      <c r="A3008" t="n">
        <v>2030</v>
      </c>
      <c r="B3008" t="n">
        <v>10</v>
      </c>
      <c r="C3008" t="inlineStr">
        <is>
          <t>Lohn + Gehalt</t>
        </is>
      </c>
      <c r="D3008" t="inlineStr">
        <is>
          <t>Personalaufwand</t>
        </is>
      </c>
      <c r="E3008" t="n">
        <v>392030.8</v>
      </c>
      <c r="F3008" t="n">
        <v>4704369.59</v>
      </c>
    </row>
    <row r="3009">
      <c r="A3009" t="n">
        <v>2027</v>
      </c>
      <c r="B3009" t="n">
        <v>10</v>
      </c>
      <c r="C3009" t="inlineStr">
        <is>
          <t>Bestandsveraend</t>
        </is>
      </c>
      <c r="D3009" t="inlineStr">
        <is>
          <t>Gesamtleistung</t>
        </is>
      </c>
      <c r="E3009" t="n">
        <v>0</v>
      </c>
      <c r="F3009" t="n">
        <v>0</v>
      </c>
    </row>
    <row r="3010">
      <c r="A3010" t="n">
        <v>2027</v>
      </c>
      <c r="B3010" t="n">
        <v>10</v>
      </c>
      <c r="C3010" t="inlineStr">
        <is>
          <t>Aufw. so. Hilfs</t>
        </is>
      </c>
      <c r="D3010" t="inlineStr">
        <is>
          <t>Vorleistungen</t>
        </is>
      </c>
      <c r="E3010" t="n">
        <v>-16362.04</v>
      </c>
      <c r="F3010" t="n">
        <v>-196344.47</v>
      </c>
    </row>
    <row r="3011">
      <c r="A3011" t="n">
        <v>2027</v>
      </c>
      <c r="B3011" t="n">
        <v>10</v>
      </c>
      <c r="C3011" t="inlineStr">
        <is>
          <t>Aufw. f. Alters</t>
        </is>
      </c>
      <c r="D3011" t="inlineStr">
        <is>
          <t>Personalaufwand</t>
        </is>
      </c>
      <c r="E3011" t="n">
        <v>1234.77</v>
      </c>
      <c r="F3011" t="n">
        <v>14817.29</v>
      </c>
    </row>
    <row r="3012">
      <c r="A3012" t="n">
        <v>2027</v>
      </c>
      <c r="B3012" t="n">
        <v>10</v>
      </c>
      <c r="C3012" t="inlineStr">
        <is>
          <t>Vertriebskosten</t>
        </is>
      </c>
      <c r="D3012" t="inlineStr">
        <is>
          <t>Vertriebskosten</t>
        </is>
      </c>
      <c r="E3012" t="n">
        <v>10833.33</v>
      </c>
      <c r="F3012" t="n">
        <v>130000</v>
      </c>
    </row>
    <row r="3013">
      <c r="A3013" t="n">
        <v>2027</v>
      </c>
      <c r="B3013" t="n">
        <v>10</v>
      </c>
      <c r="C3013" t="inlineStr">
        <is>
          <t>Ertrag KFZ-Nutz</t>
        </is>
      </c>
      <c r="D3013" t="inlineStr">
        <is>
          <t>Gesamtleistung</t>
        </is>
      </c>
      <c r="E3013" t="n">
        <v>8029.69</v>
      </c>
      <c r="F3013" t="n">
        <v>96356.3</v>
      </c>
    </row>
    <row r="3014">
      <c r="A3014" t="n">
        <v>2031</v>
      </c>
      <c r="B3014" t="n">
        <v>10</v>
      </c>
      <c r="C3014" t="inlineStr">
        <is>
          <t>Lohn + Gehalt</t>
        </is>
      </c>
      <c r="D3014" t="inlineStr">
        <is>
          <t>Personalaufwand</t>
        </is>
      </c>
      <c r="E3014" t="n">
        <v>428257.62</v>
      </c>
      <c r="F3014" t="n">
        <v>5139091.39</v>
      </c>
    </row>
    <row r="3015">
      <c r="A3015" t="n">
        <v>2031</v>
      </c>
      <c r="B3015" t="n">
        <v>10</v>
      </c>
      <c r="C3015" t="inlineStr">
        <is>
          <t>Soziale Abgaben</t>
        </is>
      </c>
      <c r="D3015" t="inlineStr">
        <is>
          <t>Personalaufwand</t>
        </is>
      </c>
      <c r="E3015" t="n">
        <v>113909.76</v>
      </c>
      <c r="F3015" t="n">
        <v>1366917.09</v>
      </c>
    </row>
    <row r="3016">
      <c r="A3016" t="n">
        <v>2031</v>
      </c>
      <c r="B3016" t="n">
        <v>10</v>
      </c>
      <c r="C3016" t="inlineStr">
        <is>
          <t>Sonst Fuhrparkkosten</t>
        </is>
      </c>
      <c r="D3016" t="inlineStr">
        <is>
          <t>Fuhrparkkosten</t>
        </is>
      </c>
      <c r="E3016" t="n">
        <v>6298.8</v>
      </c>
      <c r="F3016" t="n">
        <v>75585.56</v>
      </c>
    </row>
    <row r="3017">
      <c r="A3017" t="n">
        <v>2030</v>
      </c>
      <c r="B3017" t="n">
        <v>10</v>
      </c>
      <c r="C3017" t="inlineStr">
        <is>
          <t>Miete Behälter</t>
        </is>
      </c>
      <c r="D3017" t="inlineStr">
        <is>
          <t>Instandh. Betriebsausstattung</t>
        </is>
      </c>
      <c r="E3017" t="n">
        <v>26.55</v>
      </c>
      <c r="F3017" t="n">
        <v>318.62</v>
      </c>
    </row>
    <row r="3018">
      <c r="A3018" t="n">
        <v>2028</v>
      </c>
      <c r="B3018" t="n">
        <v>10</v>
      </c>
      <c r="C3018" t="inlineStr">
        <is>
          <t>Miete PKW</t>
        </is>
      </c>
      <c r="D3018" t="inlineStr">
        <is>
          <t>Fuhrparkkosten</t>
        </is>
      </c>
      <c r="E3018" t="n">
        <v>4890.62</v>
      </c>
      <c r="F3018" t="n">
        <v>58687.43</v>
      </c>
    </row>
    <row r="3019">
      <c r="A3019" t="n">
        <v>2030</v>
      </c>
      <c r="B3019" t="n">
        <v>10</v>
      </c>
      <c r="C3019" t="inlineStr">
        <is>
          <t>Aufwand Umlage</t>
        </is>
      </c>
      <c r="D3019" t="inlineStr">
        <is>
          <t>Verwaltungskosten</t>
        </is>
      </c>
      <c r="E3019" t="n">
        <v>3696.96</v>
      </c>
      <c r="F3019" t="n">
        <v>44363.53</v>
      </c>
    </row>
    <row r="3020">
      <c r="A3020" t="n">
        <v>2030</v>
      </c>
      <c r="B3020" t="n">
        <v>10</v>
      </c>
      <c r="C3020" t="inlineStr">
        <is>
          <t>So. betr. Aufwa</t>
        </is>
      </c>
      <c r="D3020" t="inlineStr">
        <is>
          <t>Verwaltungskosten</t>
        </is>
      </c>
      <c r="E3020" t="n">
        <v>714.05</v>
      </c>
      <c r="F3020" t="n">
        <v>8568.57</v>
      </c>
    </row>
    <row r="3021">
      <c r="A3021" t="n">
        <v>2029</v>
      </c>
      <c r="B3021" t="n">
        <v>10</v>
      </c>
      <c r="C3021" t="inlineStr">
        <is>
          <t>Versicherungskosten</t>
        </is>
      </c>
      <c r="D3021" t="inlineStr">
        <is>
          <t>Verwaltungskosten</t>
        </is>
      </c>
      <c r="E3021" t="n">
        <v>11446.7</v>
      </c>
      <c r="F3021" t="n">
        <v>137360.42</v>
      </c>
    </row>
    <row r="3022">
      <c r="A3022" t="n">
        <v>2027</v>
      </c>
      <c r="B3022" t="n">
        <v>10</v>
      </c>
      <c r="C3022" t="inlineStr">
        <is>
          <t>Sonstige Steuer</t>
        </is>
      </c>
      <c r="D3022" t="inlineStr">
        <is>
          <t>Fuhrparkkosten</t>
        </is>
      </c>
      <c r="E3022" t="n">
        <v>1497.31</v>
      </c>
      <c r="F3022" t="n">
        <v>17967.71</v>
      </c>
    </row>
    <row r="3023">
      <c r="A3023" t="n">
        <v>2031</v>
      </c>
      <c r="B3023" t="n">
        <v>10</v>
      </c>
      <c r="C3023" t="inlineStr">
        <is>
          <t>Leasing LKW</t>
        </is>
      </c>
      <c r="D3023" t="inlineStr">
        <is>
          <t>Fuhrparkkosten</t>
        </is>
      </c>
      <c r="E3023" t="n">
        <v>2910.36</v>
      </c>
      <c r="F3023" t="n">
        <v>34924.28</v>
      </c>
    </row>
    <row r="3024">
      <c r="A3024" t="n">
        <v>2029</v>
      </c>
      <c r="B3024" t="n">
        <v>10</v>
      </c>
      <c r="C3024" t="inlineStr">
        <is>
          <t>Leasing LKW</t>
        </is>
      </c>
      <c r="D3024" t="inlineStr">
        <is>
          <t>Fuhrparkkosten</t>
        </is>
      </c>
      <c r="E3024" t="n">
        <v>2590.21</v>
      </c>
      <c r="F3024" t="n">
        <v>31082.49</v>
      </c>
    </row>
    <row r="3025">
      <c r="A3025" t="n">
        <v>2027</v>
      </c>
      <c r="B3025" t="n">
        <v>10</v>
      </c>
      <c r="C3025" t="inlineStr">
        <is>
          <t>Instandh.Fuhrp</t>
        </is>
      </c>
      <c r="D3025" t="inlineStr">
        <is>
          <t>Fuhrparkkosten</t>
        </is>
      </c>
      <c r="E3025" t="n">
        <v>30358.86</v>
      </c>
      <c r="F3025" t="n">
        <v>364306.28</v>
      </c>
    </row>
    <row r="3026">
      <c r="A3026" t="n">
        <v>2029</v>
      </c>
      <c r="B3026" t="n">
        <v>10</v>
      </c>
      <c r="C3026" t="inlineStr">
        <is>
          <t>Vertriebskosten</t>
        </is>
      </c>
      <c r="D3026" t="inlineStr">
        <is>
          <t>Vertriebskosten</t>
        </is>
      </c>
      <c r="E3026" t="n">
        <v>11943.75</v>
      </c>
      <c r="F3026" t="n">
        <v>143325</v>
      </c>
    </row>
    <row r="3027">
      <c r="A3027" t="n">
        <v>2031</v>
      </c>
      <c r="B3027" t="n">
        <v>10</v>
      </c>
      <c r="C3027" t="inlineStr">
        <is>
          <t>Miete Grdst/Gebäud</t>
        </is>
      </c>
      <c r="D3027" t="inlineStr">
        <is>
          <t>Raumkosten</t>
        </is>
      </c>
      <c r="E3027" t="n">
        <v>18975.39</v>
      </c>
      <c r="F3027" t="n">
        <v>227704.65</v>
      </c>
    </row>
    <row r="3028">
      <c r="A3028" t="n">
        <v>2029</v>
      </c>
      <c r="B3028" t="n">
        <v>10</v>
      </c>
      <c r="C3028" t="inlineStr">
        <is>
          <t>Uebr.neutr. Ert</t>
        </is>
      </c>
      <c r="D3028" t="inlineStr">
        <is>
          <t>Gesamtleistung</t>
        </is>
      </c>
      <c r="E3028" t="n">
        <v>189.9</v>
      </c>
      <c r="F3028" t="n">
        <v>2278.85</v>
      </c>
    </row>
    <row r="3029">
      <c r="A3029" t="n">
        <v>2030</v>
      </c>
      <c r="B3029" t="n">
        <v>10</v>
      </c>
      <c r="C3029" t="inlineStr">
        <is>
          <t>Behaelterkosten</t>
        </is>
      </c>
      <c r="D3029" t="inlineStr">
        <is>
          <t>Instandh. Betriebsausstattung</t>
        </is>
      </c>
      <c r="E3029" t="n">
        <v>12.75</v>
      </c>
      <c r="F3029" t="n">
        <v>153.03</v>
      </c>
    </row>
    <row r="3030">
      <c r="A3030" t="n">
        <v>2029</v>
      </c>
      <c r="B3030" t="n">
        <v>10</v>
      </c>
      <c r="C3030" t="inlineStr">
        <is>
          <t>IT-Aufwendungen</t>
        </is>
      </c>
      <c r="D3030" t="inlineStr">
        <is>
          <t>Verwaltungskosten</t>
        </is>
      </c>
      <c r="E3030" t="n">
        <v>12302.44</v>
      </c>
      <c r="F3030" t="n">
        <v>147629.28</v>
      </c>
    </row>
    <row r="3031">
      <c r="A3031" t="n">
        <v>2028</v>
      </c>
      <c r="B3031" t="n">
        <v>10</v>
      </c>
      <c r="C3031" t="inlineStr">
        <is>
          <t>Instandh. BGA</t>
        </is>
      </c>
      <c r="D3031" t="inlineStr">
        <is>
          <t>Instandh. Betriebsausstattung</t>
        </is>
      </c>
      <c r="E3031" t="n">
        <v>4426.85</v>
      </c>
      <c r="F3031" t="n">
        <v>53122.2</v>
      </c>
    </row>
    <row r="3032">
      <c r="A3032" t="n">
        <v>2029</v>
      </c>
      <c r="B3032" t="n">
        <v>10</v>
      </c>
      <c r="C3032" t="inlineStr">
        <is>
          <t>Instandh.Fuhrp</t>
        </is>
      </c>
      <c r="D3032" t="inlineStr">
        <is>
          <t>Fuhrparkkosten</t>
        </is>
      </c>
      <c r="E3032" t="n">
        <v>34111.21</v>
      </c>
      <c r="F3032" t="n">
        <v>409334.56</v>
      </c>
    </row>
    <row r="3033">
      <c r="A3033" t="n">
        <v>2031</v>
      </c>
      <c r="B3033" t="n">
        <v>10</v>
      </c>
      <c r="C3033" t="inlineStr">
        <is>
          <t>Rechts- u. Beratungs</t>
        </is>
      </c>
      <c r="D3033" t="inlineStr">
        <is>
          <t>Verwaltungskosten</t>
        </is>
      </c>
      <c r="E3033" t="n">
        <v>28853.53</v>
      </c>
      <c r="F3033" t="n">
        <v>346242.38</v>
      </c>
    </row>
    <row r="3034">
      <c r="A3034" t="n">
        <v>2029</v>
      </c>
      <c r="B3034" t="n">
        <v>10</v>
      </c>
      <c r="C3034" t="inlineStr">
        <is>
          <t>Ertrag KFZ-Nutz</t>
        </is>
      </c>
      <c r="D3034" t="inlineStr">
        <is>
          <t>Gesamtleistung</t>
        </is>
      </c>
      <c r="E3034" t="n">
        <v>8815.82</v>
      </c>
      <c r="F3034" t="n">
        <v>105789.86</v>
      </c>
    </row>
    <row r="3035">
      <c r="A3035" t="n">
        <v>2030</v>
      </c>
      <c r="B3035" t="n">
        <v>10</v>
      </c>
      <c r="C3035" t="inlineStr">
        <is>
          <t>Ertr. weiterber</t>
        </is>
      </c>
      <c r="D3035" t="inlineStr">
        <is>
          <t>Gesamtleistung</t>
        </is>
      </c>
      <c r="E3035" t="n">
        <v>1104.47</v>
      </c>
      <c r="F3035" t="n">
        <v>13253.67</v>
      </c>
    </row>
    <row r="3036">
      <c r="A3036" t="n">
        <v>2028</v>
      </c>
      <c r="B3036" t="n">
        <v>10</v>
      </c>
      <c r="C3036" t="inlineStr">
        <is>
          <t>Leasing PKW</t>
        </is>
      </c>
      <c r="D3036" t="inlineStr">
        <is>
          <t>Fuhrparkkosten</t>
        </is>
      </c>
      <c r="E3036" t="n">
        <v>23256.85</v>
      </c>
      <c r="F3036" t="n">
        <v>279082.22</v>
      </c>
    </row>
    <row r="3037">
      <c r="A3037" t="n">
        <v>2028</v>
      </c>
      <c r="B3037" t="n">
        <v>10</v>
      </c>
      <c r="C3037" t="inlineStr">
        <is>
          <t>Treibstoffe, Oe</t>
        </is>
      </c>
      <c r="D3037" t="inlineStr">
        <is>
          <t>Fuhrparkkosten</t>
        </is>
      </c>
      <c r="E3037" t="n">
        <v>30417.62</v>
      </c>
      <c r="F3037" t="n">
        <v>365011.49</v>
      </c>
    </row>
    <row r="3038">
      <c r="A3038" t="n">
        <v>2029</v>
      </c>
      <c r="B3038" t="n">
        <v>10</v>
      </c>
      <c r="C3038" t="inlineStr">
        <is>
          <t>Miete PKW</t>
        </is>
      </c>
      <c r="D3038" t="inlineStr">
        <is>
          <t>Fuhrparkkosten</t>
        </is>
      </c>
      <c r="E3038" t="n">
        <v>5184.06</v>
      </c>
      <c r="F3038" t="n">
        <v>62208.67</v>
      </c>
    </row>
    <row r="3039">
      <c r="A3039" t="n">
        <v>2028</v>
      </c>
      <c r="B3039" t="n">
        <v>10</v>
      </c>
      <c r="C3039" t="inlineStr">
        <is>
          <t>Ertr. weiterber</t>
        </is>
      </c>
      <c r="D3039" t="inlineStr">
        <is>
          <t>Gesamtleistung</t>
        </is>
      </c>
      <c r="E3039" t="n">
        <v>980.91</v>
      </c>
      <c r="F3039" t="n">
        <v>11770.87</v>
      </c>
    </row>
    <row r="3040">
      <c r="A3040" t="n">
        <v>2029</v>
      </c>
      <c r="B3040" t="n">
        <v>10</v>
      </c>
      <c r="C3040" t="inlineStr">
        <is>
          <t>Instandh. BGA</t>
        </is>
      </c>
      <c r="D3040" t="inlineStr">
        <is>
          <t>Instandh. Betriebsausstattung</t>
        </is>
      </c>
      <c r="E3040" t="n">
        <v>4648.19</v>
      </c>
      <c r="F3040" t="n">
        <v>55778.31</v>
      </c>
    </row>
    <row r="3041">
      <c r="A3041" t="n">
        <v>2028</v>
      </c>
      <c r="B3041" t="n">
        <v>10</v>
      </c>
      <c r="C3041" t="inlineStr">
        <is>
          <t>Erl. so. DL Dt.</t>
        </is>
      </c>
      <c r="D3041" t="inlineStr">
        <is>
          <t>Gesamtleistung</t>
        </is>
      </c>
      <c r="E3041" t="n">
        <v>2095866.37</v>
      </c>
      <c r="F3041" t="n">
        <v>25150396.49</v>
      </c>
    </row>
    <row r="3042">
      <c r="A3042" t="n">
        <v>2028</v>
      </c>
      <c r="B3042" t="n">
        <v>10</v>
      </c>
      <c r="C3042" t="inlineStr">
        <is>
          <t>IT-Aufwendungen</t>
        </is>
      </c>
      <c r="D3042" t="inlineStr">
        <is>
          <t>Verwaltungskosten</t>
        </is>
      </c>
      <c r="E3042" t="n">
        <v>11944.12</v>
      </c>
      <c r="F3042" t="n">
        <v>143329.39</v>
      </c>
    </row>
    <row r="3043">
      <c r="A3043" t="n">
        <v>2029</v>
      </c>
      <c r="B3043" t="n">
        <v>10</v>
      </c>
      <c r="C3043" t="inlineStr">
        <is>
          <t>Ueb. bezog.Leis</t>
        </is>
      </c>
      <c r="D3043" t="inlineStr">
        <is>
          <t>Vorleistungen</t>
        </is>
      </c>
      <c r="E3043" t="n">
        <v>1364260.58</v>
      </c>
      <c r="F3043" t="n">
        <v>16371126.93</v>
      </c>
    </row>
    <row r="3044">
      <c r="A3044" t="n">
        <v>2031</v>
      </c>
      <c r="B3044" t="n">
        <v>10</v>
      </c>
      <c r="C3044" t="inlineStr">
        <is>
          <t>Sonderz. Prämie</t>
        </is>
      </c>
      <c r="D3044" t="inlineStr">
        <is>
          <t>Personalaufwand</t>
        </is>
      </c>
      <c r="E3044" t="n">
        <v>26838.18</v>
      </c>
      <c r="F3044" t="n">
        <v>322058.2</v>
      </c>
    </row>
    <row r="3045">
      <c r="A3045" t="n">
        <v>2029</v>
      </c>
      <c r="B3045" t="n">
        <v>10</v>
      </c>
      <c r="C3045" t="inlineStr">
        <is>
          <t>Verwaltungskost</t>
        </is>
      </c>
      <c r="D3045" t="inlineStr">
        <is>
          <t>Verwaltungskosten</t>
        </is>
      </c>
      <c r="E3045" t="n">
        <v>7098.98</v>
      </c>
      <c r="F3045" t="n">
        <v>85187.74000000001</v>
      </c>
    </row>
    <row r="3046">
      <c r="A3046" t="n">
        <v>2028</v>
      </c>
      <c r="B3046" t="n">
        <v>10</v>
      </c>
      <c r="C3046" t="inlineStr">
        <is>
          <t>Ertrag KFZ-Nutz</t>
        </is>
      </c>
      <c r="D3046" t="inlineStr">
        <is>
          <t>Gesamtleistung</t>
        </is>
      </c>
      <c r="E3046" t="n">
        <v>8405.780000000001</v>
      </c>
      <c r="F3046" t="n">
        <v>100869.3</v>
      </c>
    </row>
    <row r="3047">
      <c r="A3047" t="n">
        <v>2030</v>
      </c>
      <c r="B3047" t="n">
        <v>10</v>
      </c>
      <c r="C3047" t="inlineStr">
        <is>
          <t>Sonst Fuhrparkkosten</t>
        </is>
      </c>
      <c r="D3047" t="inlineStr">
        <is>
          <t>Fuhrparkkosten</t>
        </is>
      </c>
      <c r="E3047" t="n">
        <v>5942.26</v>
      </c>
      <c r="F3047" t="n">
        <v>71307.13</v>
      </c>
    </row>
    <row r="3048">
      <c r="A3048" t="n">
        <v>2028</v>
      </c>
      <c r="B3048" t="n">
        <v>10</v>
      </c>
      <c r="C3048" t="inlineStr">
        <is>
          <t>Rechts- u. Beratungs</t>
        </is>
      </c>
      <c r="D3048" t="inlineStr">
        <is>
          <t>Verwaltungskosten</t>
        </is>
      </c>
      <c r="E3048" t="n">
        <v>26405.07</v>
      </c>
      <c r="F3048" t="n">
        <v>316860.83</v>
      </c>
    </row>
    <row r="3049">
      <c r="A3049" t="n">
        <v>2027</v>
      </c>
      <c r="B3049" t="n">
        <v>10</v>
      </c>
      <c r="C3049" t="inlineStr">
        <is>
          <t>Leasing LKW</t>
        </is>
      </c>
      <c r="D3049" t="inlineStr">
        <is>
          <t>Fuhrparkkosten</t>
        </is>
      </c>
      <c r="E3049" t="n">
        <v>2305.28</v>
      </c>
      <c r="F3049" t="n">
        <v>27663.3</v>
      </c>
    </row>
    <row r="3050">
      <c r="A3050" t="n">
        <v>2031</v>
      </c>
      <c r="B3050" t="n">
        <v>10</v>
      </c>
      <c r="C3050" t="inlineStr">
        <is>
          <t>Fremdl. Fuhrlei</t>
        </is>
      </c>
      <c r="D3050" t="inlineStr">
        <is>
          <t>Vorleistungen</t>
        </is>
      </c>
      <c r="E3050" t="n">
        <v>374.24</v>
      </c>
      <c r="F3050" t="n">
        <v>4490.84</v>
      </c>
    </row>
    <row r="3051">
      <c r="A3051" t="n">
        <v>2029</v>
      </c>
      <c r="B3051" t="n">
        <v>10</v>
      </c>
      <c r="C3051" t="inlineStr">
        <is>
          <t>Fremdl. Fuhrlei</t>
        </is>
      </c>
      <c r="D3051" t="inlineStr">
        <is>
          <t>Vorleistungen</t>
        </is>
      </c>
      <c r="E3051" t="n">
        <v>362.07</v>
      </c>
      <c r="F3051" t="n">
        <v>4344.88</v>
      </c>
    </row>
    <row r="3052">
      <c r="A3052" t="n">
        <v>2028</v>
      </c>
      <c r="B3052" t="n">
        <v>10</v>
      </c>
      <c r="C3052" t="inlineStr">
        <is>
          <t>Vertriebskosten</t>
        </is>
      </c>
      <c r="D3052" t="inlineStr">
        <is>
          <t>Vertriebskosten</t>
        </is>
      </c>
      <c r="E3052" t="n">
        <v>11375</v>
      </c>
      <c r="F3052" t="n">
        <v>136500</v>
      </c>
    </row>
    <row r="3053">
      <c r="A3053" t="n">
        <v>2031</v>
      </c>
      <c r="B3053" t="n">
        <v>10</v>
      </c>
      <c r="C3053" t="inlineStr">
        <is>
          <t>Aufw. so. Hilfs</t>
        </is>
      </c>
      <c r="D3053" t="inlineStr">
        <is>
          <t>Vorleistungen</t>
        </is>
      </c>
      <c r="E3053" t="n">
        <v>-17544.22</v>
      </c>
      <c r="F3053" t="n">
        <v>-210530.6</v>
      </c>
    </row>
    <row r="3054">
      <c r="A3054" t="n">
        <v>2029</v>
      </c>
      <c r="B3054" t="n">
        <v>10</v>
      </c>
      <c r="C3054" t="inlineStr">
        <is>
          <t>Ankauf Rohstoff</t>
        </is>
      </c>
      <c r="D3054" t="inlineStr">
        <is>
          <t>Vorleistungen</t>
        </is>
      </c>
      <c r="E3054" t="n">
        <v>1473.64</v>
      </c>
      <c r="F3054" t="n">
        <v>17683.65</v>
      </c>
    </row>
    <row r="3055">
      <c r="A3055" t="n">
        <v>2028</v>
      </c>
      <c r="B3055" t="n">
        <v>10</v>
      </c>
      <c r="C3055" t="inlineStr">
        <is>
          <t>Sonstige Steuer</t>
        </is>
      </c>
      <c r="D3055" t="inlineStr">
        <is>
          <t>Fuhrparkkosten</t>
        </is>
      </c>
      <c r="E3055" t="n">
        <v>1587.15</v>
      </c>
      <c r="F3055" t="n">
        <v>19045.76</v>
      </c>
    </row>
    <row r="3056">
      <c r="A3056" t="n">
        <v>2030</v>
      </c>
      <c r="B3056" t="n">
        <v>10</v>
      </c>
      <c r="C3056" t="inlineStr">
        <is>
          <t>Weiterber. Frem</t>
        </is>
      </c>
      <c r="D3056" t="inlineStr">
        <is>
          <t>Vorleistungen</t>
        </is>
      </c>
      <c r="E3056" t="n">
        <v>0</v>
      </c>
      <c r="F3056" t="n">
        <v>0</v>
      </c>
    </row>
    <row r="3057">
      <c r="A3057" t="n">
        <v>2031</v>
      </c>
      <c r="B3057" t="n">
        <v>10</v>
      </c>
      <c r="C3057" t="inlineStr">
        <is>
          <t>Miete Behälter</t>
        </is>
      </c>
      <c r="D3057" t="inlineStr">
        <is>
          <t>Instandh. Betriebsausstattung</t>
        </is>
      </c>
      <c r="E3057" t="n">
        <v>27.88</v>
      </c>
      <c r="F3057" t="n">
        <v>334.55</v>
      </c>
    </row>
    <row r="3058">
      <c r="A3058" t="n">
        <v>2027</v>
      </c>
      <c r="B3058" t="n">
        <v>10</v>
      </c>
      <c r="C3058" t="inlineStr">
        <is>
          <t>Miete Grdst/Gebäud</t>
        </is>
      </c>
      <c r="D3058" t="inlineStr">
        <is>
          <t>Raumkosten</t>
        </is>
      </c>
      <c r="E3058" t="n">
        <v>15284.77</v>
      </c>
      <c r="F3058" t="n">
        <v>183417.26</v>
      </c>
    </row>
    <row r="3059">
      <c r="A3059" t="n">
        <v>2028</v>
      </c>
      <c r="B3059" t="n">
        <v>10</v>
      </c>
      <c r="C3059" t="inlineStr">
        <is>
          <t>Aufw. f. Alters</t>
        </is>
      </c>
      <c r="D3059" t="inlineStr">
        <is>
          <t>Personalaufwand</t>
        </is>
      </c>
      <c r="E3059" t="n">
        <v>1290.05</v>
      </c>
      <c r="F3059" t="n">
        <v>15480.56</v>
      </c>
    </row>
    <row r="3060">
      <c r="A3060" t="n">
        <v>2028</v>
      </c>
      <c r="B3060" t="n">
        <v>10</v>
      </c>
      <c r="C3060" t="inlineStr">
        <is>
          <t>Fremdl. Persona</t>
        </is>
      </c>
      <c r="D3060" t="inlineStr">
        <is>
          <t>Vorleistungen</t>
        </is>
      </c>
      <c r="E3060" t="n">
        <v>69.04000000000001</v>
      </c>
      <c r="F3060" t="n">
        <v>828.42</v>
      </c>
    </row>
    <row r="3061">
      <c r="A3061" t="n">
        <v>2030</v>
      </c>
      <c r="B3061" t="n">
        <v>10</v>
      </c>
      <c r="C3061" t="inlineStr">
        <is>
          <t>Vertriebskosten</t>
        </is>
      </c>
      <c r="D3061" t="inlineStr">
        <is>
          <t>Vertriebskosten</t>
        </is>
      </c>
      <c r="E3061" t="n">
        <v>12540.94</v>
      </c>
      <c r="F3061" t="n">
        <v>150491.26</v>
      </c>
    </row>
    <row r="3062">
      <c r="A3062" t="n">
        <v>2030</v>
      </c>
      <c r="B3062" t="n">
        <v>10</v>
      </c>
      <c r="C3062" t="inlineStr">
        <is>
          <t>Aufw. so. Hilfs</t>
        </is>
      </c>
      <c r="D3062" t="inlineStr">
        <is>
          <t>Vorleistungen</t>
        </is>
      </c>
      <c r="E3062" t="n">
        <v>-17197.35</v>
      </c>
      <c r="F3062" t="n">
        <v>-206368.2</v>
      </c>
    </row>
    <row r="3063">
      <c r="A3063" t="n">
        <v>2029</v>
      </c>
      <c r="B3063" t="n">
        <v>10</v>
      </c>
      <c r="C3063" t="inlineStr">
        <is>
          <t>Aufw. so. Hilfs</t>
        </is>
      </c>
      <c r="D3063" t="inlineStr">
        <is>
          <t>Vorleistungen</t>
        </is>
      </c>
      <c r="E3063" t="n">
        <v>-16834.66</v>
      </c>
      <c r="F3063" t="n">
        <v>-202015.88</v>
      </c>
    </row>
    <row r="3064">
      <c r="A3064" t="n">
        <v>2027</v>
      </c>
      <c r="B3064" t="n">
        <v>10</v>
      </c>
      <c r="C3064" t="inlineStr">
        <is>
          <t>Miete PKW</t>
        </is>
      </c>
      <c r="D3064" t="inlineStr">
        <is>
          <t>Fuhrparkkosten</t>
        </is>
      </c>
      <c r="E3064" t="n">
        <v>4613.79</v>
      </c>
      <c r="F3064" t="n">
        <v>55365.51</v>
      </c>
    </row>
    <row r="3065">
      <c r="A3065" t="n">
        <v>2030</v>
      </c>
      <c r="B3065" t="n">
        <v>10</v>
      </c>
      <c r="C3065" t="inlineStr">
        <is>
          <t>Fremdl. Fuhrlei</t>
        </is>
      </c>
      <c r="D3065" t="inlineStr">
        <is>
          <t>Vorleistungen</t>
        </is>
      </c>
      <c r="E3065" t="n">
        <v>368.3</v>
      </c>
      <c r="F3065" t="n">
        <v>4419.56</v>
      </c>
    </row>
    <row r="3066">
      <c r="A3066" t="n">
        <v>2030</v>
      </c>
      <c r="B3066" t="n">
        <v>10</v>
      </c>
      <c r="C3066" t="inlineStr">
        <is>
          <t>Miete PKW</t>
        </is>
      </c>
      <c r="D3066" t="inlineStr">
        <is>
          <t>Fuhrparkkosten</t>
        </is>
      </c>
      <c r="E3066" t="n">
        <v>5495.1</v>
      </c>
      <c r="F3066" t="n">
        <v>65941.19</v>
      </c>
    </row>
    <row r="3067">
      <c r="A3067" t="n">
        <v>2027</v>
      </c>
      <c r="B3067" t="n">
        <v>10</v>
      </c>
      <c r="C3067" t="inlineStr">
        <is>
          <t>Erl. Waren Dt.</t>
        </is>
      </c>
      <c r="D3067" t="inlineStr">
        <is>
          <t>Gesamtleistung</t>
        </is>
      </c>
      <c r="E3067" t="n">
        <v>42246.46</v>
      </c>
      <c r="F3067" t="n">
        <v>506957.51</v>
      </c>
    </row>
    <row r="3068">
      <c r="A3068" t="n">
        <v>2029</v>
      </c>
      <c r="B3068" t="n">
        <v>10</v>
      </c>
      <c r="C3068" t="inlineStr">
        <is>
          <t>Bestandsveraend</t>
        </is>
      </c>
      <c r="D3068" t="inlineStr">
        <is>
          <t>Gesamtleistung</t>
        </is>
      </c>
      <c r="E3068" t="n">
        <v>0</v>
      </c>
      <c r="F3068" t="n">
        <v>0</v>
      </c>
    </row>
    <row r="3069">
      <c r="A3069" t="n">
        <v>2031</v>
      </c>
      <c r="B3069" t="n">
        <v>10</v>
      </c>
      <c r="C3069" t="inlineStr">
        <is>
          <t>Leasing PKW</t>
        </is>
      </c>
      <c r="D3069" t="inlineStr">
        <is>
          <t>Fuhrparkkosten</t>
        </is>
      </c>
      <c r="E3069" t="n">
        <v>27699.28</v>
      </c>
      <c r="F3069" t="n">
        <v>332391.4</v>
      </c>
    </row>
    <row r="3070">
      <c r="A3070" t="n">
        <v>2029</v>
      </c>
      <c r="B3070" t="n">
        <v>10</v>
      </c>
      <c r="C3070" t="inlineStr">
        <is>
          <t>Behaelterkosten</t>
        </is>
      </c>
      <c r="D3070" t="inlineStr">
        <is>
          <t>Instandh. Betriebsausstattung</t>
        </is>
      </c>
      <c r="E3070" t="n">
        <v>12.15</v>
      </c>
      <c r="F3070" t="n">
        <v>145.74</v>
      </c>
    </row>
    <row r="3071">
      <c r="A3071" t="n">
        <v>2029</v>
      </c>
      <c r="B3071" t="n">
        <v>10</v>
      </c>
      <c r="C3071" t="inlineStr">
        <is>
          <t>Aufwand Umlage</t>
        </is>
      </c>
      <c r="D3071" t="inlineStr">
        <is>
          <t>Verwaltungskosten</t>
        </is>
      </c>
      <c r="E3071" t="n">
        <v>3589.28</v>
      </c>
      <c r="F3071" t="n">
        <v>43071.39</v>
      </c>
    </row>
    <row r="3072">
      <c r="A3072" t="n">
        <v>2030</v>
      </c>
      <c r="B3072" t="n">
        <v>10</v>
      </c>
      <c r="C3072" t="inlineStr">
        <is>
          <t>Instandh.Fuhrp</t>
        </is>
      </c>
      <c r="D3072" t="inlineStr">
        <is>
          <t>Fuhrparkkosten</t>
        </is>
      </c>
      <c r="E3072" t="n">
        <v>36157.89</v>
      </c>
      <c r="F3072" t="n">
        <v>433894.62</v>
      </c>
    </row>
    <row r="3073">
      <c r="A3073" t="n">
        <v>2028</v>
      </c>
      <c r="B3073" t="n">
        <v>10</v>
      </c>
      <c r="C3073" t="inlineStr">
        <is>
          <t>Sonderz. Prämie</t>
        </is>
      </c>
      <c r="D3073" t="inlineStr">
        <is>
          <t>Personalaufwand</t>
        </is>
      </c>
      <c r="E3073" t="n">
        <v>21386.26</v>
      </c>
      <c r="F3073" t="n">
        <v>256635.15</v>
      </c>
    </row>
    <row r="3074">
      <c r="A3074" t="n">
        <v>2029</v>
      </c>
      <c r="B3074" t="n">
        <v>10</v>
      </c>
      <c r="C3074" t="inlineStr">
        <is>
          <t>Aufw. f. Alters</t>
        </is>
      </c>
      <c r="D3074" t="inlineStr">
        <is>
          <t>Personalaufwand</t>
        </is>
      </c>
      <c r="E3074" t="n">
        <v>1366.43</v>
      </c>
      <c r="F3074" t="n">
        <v>16397.15</v>
      </c>
    </row>
    <row r="3075">
      <c r="A3075" t="n">
        <v>2027</v>
      </c>
      <c r="B3075" t="n">
        <v>10</v>
      </c>
      <c r="C3075" t="inlineStr">
        <is>
          <t>Ertr. weiterber</t>
        </is>
      </c>
      <c r="D3075" t="inlineStr">
        <is>
          <t>Gesamtleistung</t>
        </is>
      </c>
      <c r="E3075" t="n">
        <v>919.41</v>
      </c>
      <c r="F3075" t="n">
        <v>11032.96</v>
      </c>
    </row>
    <row r="3076">
      <c r="A3076" t="n">
        <v>2029</v>
      </c>
      <c r="B3076" t="n">
        <v>10</v>
      </c>
      <c r="C3076" t="inlineStr">
        <is>
          <t>So. betr. Aufwa</t>
        </is>
      </c>
      <c r="D3076" t="inlineStr">
        <is>
          <t>Verwaltungskosten</t>
        </is>
      </c>
      <c r="E3076" t="n">
        <v>693.25</v>
      </c>
      <c r="F3076" t="n">
        <v>8319.02</v>
      </c>
    </row>
    <row r="3077">
      <c r="A3077" t="n">
        <v>2031</v>
      </c>
      <c r="B3077" t="n">
        <v>10</v>
      </c>
      <c r="C3077" t="inlineStr">
        <is>
          <t>Ertr. weiterber</t>
        </is>
      </c>
      <c r="D3077" t="inlineStr">
        <is>
          <t>Gesamtleistung</t>
        </is>
      </c>
      <c r="E3077" t="n">
        <v>1173.93</v>
      </c>
      <c r="F3077" t="n">
        <v>14087.11</v>
      </c>
    </row>
    <row r="3078">
      <c r="A3078" t="n">
        <v>2031</v>
      </c>
      <c r="B3078" t="n">
        <v>10</v>
      </c>
      <c r="C3078" t="inlineStr">
        <is>
          <t>Ueb. bezog.Leis</t>
        </is>
      </c>
      <c r="D3078" t="inlineStr">
        <is>
          <t>Vorleistungen</t>
        </is>
      </c>
      <c r="E3078" t="n">
        <v>1404446.73</v>
      </c>
      <c r="F3078" t="n">
        <v>16853360.74</v>
      </c>
    </row>
    <row r="3079">
      <c r="A3079" t="n">
        <v>2027</v>
      </c>
      <c r="B3079" t="n">
        <v>10</v>
      </c>
      <c r="C3079" t="inlineStr">
        <is>
          <t>Fremdl. Fuhrlei</t>
        </is>
      </c>
      <c r="D3079" t="inlineStr">
        <is>
          <t>Vorleistungen</t>
        </is>
      </c>
      <c r="E3079" t="n">
        <v>371.09</v>
      </c>
      <c r="F3079" t="n">
        <v>4453.13</v>
      </c>
    </row>
    <row r="3080">
      <c r="A3080" t="n">
        <v>2027</v>
      </c>
      <c r="B3080" t="n">
        <v>10</v>
      </c>
      <c r="C3080" t="inlineStr">
        <is>
          <t>Behaelterkosten</t>
        </is>
      </c>
      <c r="D3080" t="inlineStr">
        <is>
          <t>Instandh. Betriebsausstattung</t>
        </is>
      </c>
      <c r="E3080" t="n">
        <v>11.02</v>
      </c>
      <c r="F3080" t="n">
        <v>132.19</v>
      </c>
    </row>
    <row r="3081">
      <c r="A3081" t="n">
        <v>2027</v>
      </c>
      <c r="B3081" t="n">
        <v>10</v>
      </c>
      <c r="C3081" t="inlineStr">
        <is>
          <t>Ueb Lohn-Gehalt</t>
        </is>
      </c>
      <c r="D3081" t="inlineStr">
        <is>
          <t>Personalaufwand</t>
        </is>
      </c>
      <c r="E3081" t="n">
        <v>30579.25</v>
      </c>
      <c r="F3081" t="n">
        <v>366951</v>
      </c>
    </row>
    <row r="3082">
      <c r="A3082" t="n">
        <v>2028</v>
      </c>
      <c r="B3082" t="n">
        <v>10</v>
      </c>
      <c r="C3082" t="inlineStr">
        <is>
          <t>Raumkosten</t>
        </is>
      </c>
      <c r="D3082" t="inlineStr">
        <is>
          <t>Raumkosten</t>
        </is>
      </c>
      <c r="E3082" t="n">
        <v>7023.98</v>
      </c>
      <c r="F3082" t="n">
        <v>84287.78</v>
      </c>
    </row>
    <row r="3083">
      <c r="A3083" t="n">
        <v>2031</v>
      </c>
      <c r="B3083" t="n">
        <v>10</v>
      </c>
      <c r="C3083" t="inlineStr">
        <is>
          <t>Bestandsveraend</t>
        </is>
      </c>
      <c r="D3083" t="inlineStr">
        <is>
          <t>Gesamtleistung</t>
        </is>
      </c>
      <c r="E3083" t="n">
        <v>0</v>
      </c>
      <c r="F3083" t="n">
        <v>0</v>
      </c>
    </row>
    <row r="3084">
      <c r="A3084" t="n">
        <v>2029</v>
      </c>
      <c r="B3084" t="n">
        <v>10</v>
      </c>
      <c r="C3084" t="inlineStr">
        <is>
          <t>Lohn + Gehalt</t>
        </is>
      </c>
      <c r="D3084" t="inlineStr">
        <is>
          <t>Personalaufwand</t>
        </is>
      </c>
      <c r="E3084" t="n">
        <v>356250.11</v>
      </c>
      <c r="F3084" t="n">
        <v>4275001.35</v>
      </c>
    </row>
    <row r="3085">
      <c r="A3085" t="n">
        <v>2029</v>
      </c>
      <c r="B3085" t="n">
        <v>10</v>
      </c>
      <c r="C3085" t="inlineStr">
        <is>
          <t>Aufw. Heizmat.</t>
        </is>
      </c>
      <c r="D3085" t="inlineStr">
        <is>
          <t>Vorleistungen</t>
        </is>
      </c>
      <c r="E3085" t="n">
        <v>245.07</v>
      </c>
      <c r="F3085" t="n">
        <v>2940.88</v>
      </c>
    </row>
    <row r="3086">
      <c r="A3086" t="n">
        <v>2031</v>
      </c>
      <c r="B3086" t="n">
        <v>10</v>
      </c>
      <c r="C3086" t="inlineStr">
        <is>
          <t>Verwaltungskost</t>
        </is>
      </c>
      <c r="D3086" t="inlineStr">
        <is>
          <t>Verwaltungskosten</t>
        </is>
      </c>
      <c r="E3086" t="n">
        <v>7531.31</v>
      </c>
      <c r="F3086" t="n">
        <v>90375.69</v>
      </c>
    </row>
    <row r="3087">
      <c r="A3087" t="n">
        <v>2028</v>
      </c>
      <c r="B3087" t="n">
        <v>10</v>
      </c>
      <c r="C3087" t="inlineStr">
        <is>
          <t>Erl. Waren Dt.</t>
        </is>
      </c>
      <c r="D3087" t="inlineStr">
        <is>
          <t>Gesamtleistung</t>
        </is>
      </c>
      <c r="E3087" t="n">
        <v>44950.49</v>
      </c>
      <c r="F3087" t="n">
        <v>539405.87</v>
      </c>
    </row>
    <row r="3088">
      <c r="A3088" t="n">
        <v>2030</v>
      </c>
      <c r="B3088" t="n">
        <v>10</v>
      </c>
      <c r="C3088" t="inlineStr">
        <is>
          <t>Uebr.neutr. Ert</t>
        </is>
      </c>
      <c r="D3088" t="inlineStr">
        <is>
          <t>Gesamtleistung</t>
        </is>
      </c>
      <c r="E3088" t="n">
        <v>207.38</v>
      </c>
      <c r="F3088" t="n">
        <v>2488.5</v>
      </c>
    </row>
    <row r="3089">
      <c r="A3089" t="n">
        <v>2030</v>
      </c>
      <c r="B3089" t="n">
        <v>10</v>
      </c>
      <c r="C3089" t="inlineStr">
        <is>
          <t>Raumkosten</t>
        </is>
      </c>
      <c r="D3089" t="inlineStr">
        <is>
          <t>Raumkosten</t>
        </is>
      </c>
      <c r="E3089" t="n">
        <v>7307.75</v>
      </c>
      <c r="F3089" t="n">
        <v>87693</v>
      </c>
    </row>
    <row r="3090">
      <c r="A3090" t="n">
        <v>2030</v>
      </c>
      <c r="B3090" t="n">
        <v>10</v>
      </c>
      <c r="C3090" t="inlineStr">
        <is>
          <t>Fremdl. Persona</t>
        </is>
      </c>
      <c r="D3090" t="inlineStr">
        <is>
          <t>Vorleistungen</t>
        </is>
      </c>
      <c r="E3090" t="n">
        <v>76.56999999999999</v>
      </c>
      <c r="F3090" t="n">
        <v>918.79</v>
      </c>
    </row>
    <row r="3091">
      <c r="A3091" t="n">
        <v>2027</v>
      </c>
      <c r="B3091" t="n">
        <v>10</v>
      </c>
      <c r="C3091" t="inlineStr">
        <is>
          <t>Leasing PKW</t>
        </is>
      </c>
      <c r="D3091" t="inlineStr">
        <is>
          <t>Fuhrparkkosten</t>
        </is>
      </c>
      <c r="E3091" t="n">
        <v>21940.43</v>
      </c>
      <c r="F3091" t="n">
        <v>263285.11</v>
      </c>
    </row>
    <row r="3092">
      <c r="A3092" t="n">
        <v>2030</v>
      </c>
      <c r="B3092" t="n">
        <v>10</v>
      </c>
      <c r="C3092" t="inlineStr">
        <is>
          <t>Ertrag KFZ-Nutz</t>
        </is>
      </c>
      <c r="D3092" t="inlineStr">
        <is>
          <t>Gesamtleistung</t>
        </is>
      </c>
      <c r="E3092" t="n">
        <v>9193.41</v>
      </c>
      <c r="F3092" t="n">
        <v>110320.94</v>
      </c>
    </row>
    <row r="3093">
      <c r="A3093" t="n">
        <v>2028</v>
      </c>
      <c r="B3093" t="n">
        <v>10</v>
      </c>
      <c r="C3093" t="inlineStr">
        <is>
          <t>Uebr.neutr. Ert</t>
        </is>
      </c>
      <c r="D3093" t="inlineStr">
        <is>
          <t>Gesamtleistung</t>
        </is>
      </c>
      <c r="E3093" t="n">
        <v>151.92</v>
      </c>
      <c r="F3093" t="n">
        <v>1823.08</v>
      </c>
    </row>
    <row r="3094">
      <c r="A3094" t="n">
        <v>2030</v>
      </c>
      <c r="B3094" t="n">
        <v>10</v>
      </c>
      <c r="C3094" t="inlineStr">
        <is>
          <t>Soziale Abgaben</t>
        </is>
      </c>
      <c r="D3094" t="inlineStr">
        <is>
          <t>Personalaufwand</t>
        </is>
      </c>
      <c r="E3094" t="n">
        <v>104141.87</v>
      </c>
      <c r="F3094" t="n">
        <v>1249702.47</v>
      </c>
    </row>
    <row r="3095">
      <c r="A3095" t="n">
        <v>2030</v>
      </c>
      <c r="B3095" t="n">
        <v>10</v>
      </c>
      <c r="C3095" t="inlineStr">
        <is>
          <t>Ankauf Rohstoff</t>
        </is>
      </c>
      <c r="D3095" t="inlineStr">
        <is>
          <t>Vorleistungen</t>
        </is>
      </c>
      <c r="E3095" t="n">
        <v>1483.55</v>
      </c>
      <c r="F3095" t="n">
        <v>17802.65</v>
      </c>
    </row>
    <row r="3096">
      <c r="A3096" t="n">
        <v>2031</v>
      </c>
      <c r="B3096" t="n">
        <v>10</v>
      </c>
      <c r="C3096" t="inlineStr">
        <is>
          <t>Aufw. Heizmat.</t>
        </is>
      </c>
      <c r="D3096" t="inlineStr">
        <is>
          <t>Vorleistungen</t>
        </is>
      </c>
      <c r="E3096" t="n">
        <v>216.16</v>
      </c>
      <c r="F3096" t="n">
        <v>2593.97</v>
      </c>
    </row>
    <row r="3097">
      <c r="A3097" t="n">
        <v>2030</v>
      </c>
      <c r="B3097" t="n">
        <v>10</v>
      </c>
      <c r="C3097" t="inlineStr">
        <is>
          <t>IT-Aufwendungen</t>
        </is>
      </c>
      <c r="D3097" t="inlineStr">
        <is>
          <t>Verwaltungskosten</t>
        </is>
      </c>
      <c r="E3097" t="n">
        <v>12671.51</v>
      </c>
      <c r="F3097" t="n">
        <v>152058.16</v>
      </c>
    </row>
    <row r="3098">
      <c r="A3098" t="n">
        <v>2027</v>
      </c>
      <c r="B3098" t="n">
        <v>10</v>
      </c>
      <c r="C3098" t="inlineStr">
        <is>
          <t>Treibstoffe, Oe</t>
        </is>
      </c>
      <c r="D3098" t="inlineStr">
        <is>
          <t>Fuhrparkkosten</t>
        </is>
      </c>
      <c r="E3098" t="n">
        <v>28695.87</v>
      </c>
      <c r="F3098" t="n">
        <v>344350.48</v>
      </c>
    </row>
    <row r="3099">
      <c r="A3099" t="n">
        <v>2028</v>
      </c>
      <c r="B3099" t="n">
        <v>10</v>
      </c>
      <c r="C3099" t="inlineStr">
        <is>
          <t>Aufw. Heizmat.</t>
        </is>
      </c>
      <c r="D3099" t="inlineStr">
        <is>
          <t>Vorleistungen</t>
        </is>
      </c>
      <c r="E3099" t="n">
        <v>260.43</v>
      </c>
      <c r="F3099" t="n">
        <v>3125.13</v>
      </c>
    </row>
    <row r="3100">
      <c r="A3100" t="n">
        <v>2031</v>
      </c>
      <c r="B3100" t="n">
        <v>10</v>
      </c>
      <c r="C3100" t="inlineStr">
        <is>
          <t>Ertrag KFZ-Nutz</t>
        </is>
      </c>
      <c r="D3100" t="inlineStr">
        <is>
          <t>Gesamtleistung</t>
        </is>
      </c>
      <c r="E3100" t="n">
        <v>9597.290000000001</v>
      </c>
      <c r="F3100" t="n">
        <v>115167.5</v>
      </c>
    </row>
    <row r="3101">
      <c r="A3101" t="n">
        <v>2027</v>
      </c>
      <c r="B3101" t="n">
        <v>10</v>
      </c>
      <c r="C3101" t="inlineStr">
        <is>
          <t>Raumkosten</t>
        </is>
      </c>
      <c r="D3101" t="inlineStr">
        <is>
          <t>Raumkosten</t>
        </is>
      </c>
      <c r="E3101" t="n">
        <v>5046.85</v>
      </c>
      <c r="F3101" t="n">
        <v>60562.14</v>
      </c>
    </row>
    <row r="3102">
      <c r="A3102" t="n">
        <v>2028</v>
      </c>
      <c r="B3102" t="n">
        <v>10</v>
      </c>
      <c r="C3102" t="inlineStr">
        <is>
          <t>Soziale Abgaben</t>
        </is>
      </c>
      <c r="D3102" t="inlineStr">
        <is>
          <t>Personalaufwand</t>
        </is>
      </c>
      <c r="E3102" t="n">
        <v>85007.57000000001</v>
      </c>
      <c r="F3102" t="n">
        <v>1020090.84</v>
      </c>
    </row>
    <row r="3103">
      <c r="A3103" t="n">
        <v>2029</v>
      </c>
      <c r="B3103" t="n">
        <v>10</v>
      </c>
      <c r="C3103" t="inlineStr">
        <is>
          <t>Miete Grdst/Gebäud</t>
        </is>
      </c>
      <c r="D3103" t="inlineStr">
        <is>
          <t>Raumkosten</t>
        </is>
      </c>
      <c r="E3103" t="n">
        <v>18238.55</v>
      </c>
      <c r="F3103" t="n">
        <v>218862.64</v>
      </c>
    </row>
    <row r="3104">
      <c r="A3104" t="n">
        <v>2031</v>
      </c>
      <c r="B3104" t="n">
        <v>10</v>
      </c>
      <c r="C3104" t="inlineStr">
        <is>
          <t>Raumkosten</t>
        </is>
      </c>
      <c r="D3104" t="inlineStr">
        <is>
          <t>Raumkosten</t>
        </is>
      </c>
      <c r="E3104" t="n">
        <v>7453.91</v>
      </c>
      <c r="F3104" t="n">
        <v>89446.89</v>
      </c>
    </row>
    <row r="3105">
      <c r="A3105" t="n">
        <v>2031</v>
      </c>
      <c r="B3105" t="n">
        <v>10</v>
      </c>
      <c r="C3105" t="inlineStr">
        <is>
          <t>Behaelterkosten</t>
        </is>
      </c>
      <c r="D3105" t="inlineStr">
        <is>
          <t>Instandh. Betriebsausstattung</t>
        </is>
      </c>
      <c r="E3105" t="n">
        <v>13.39</v>
      </c>
      <c r="F3105" t="n">
        <v>160.68</v>
      </c>
    </row>
    <row r="3106">
      <c r="A3106" t="n">
        <v>2031</v>
      </c>
      <c r="B3106" t="n">
        <v>10</v>
      </c>
      <c r="C3106" t="inlineStr">
        <is>
          <t>Instandh.Fuhrp</t>
        </is>
      </c>
      <c r="D3106" t="inlineStr">
        <is>
          <t>Fuhrparkkosten</t>
        </is>
      </c>
      <c r="E3106" t="n">
        <v>38327.36</v>
      </c>
      <c r="F3106" t="n">
        <v>459928.28</v>
      </c>
    </row>
    <row r="3107">
      <c r="A3107" t="n">
        <v>2030</v>
      </c>
      <c r="B3107" t="n">
        <v>10</v>
      </c>
      <c r="C3107" t="inlineStr">
        <is>
          <t>Ueb. bezog.Leis</t>
        </is>
      </c>
      <c r="D3107" t="inlineStr">
        <is>
          <t>Vorleistungen</t>
        </is>
      </c>
      <c r="E3107" t="n">
        <v>1385029.28</v>
      </c>
      <c r="F3107" t="n">
        <v>16620351.38</v>
      </c>
    </row>
    <row r="3108">
      <c r="A3108" t="n">
        <v>2027</v>
      </c>
      <c r="B3108" t="n">
        <v>10</v>
      </c>
      <c r="C3108" t="inlineStr">
        <is>
          <t>Miete LKW,Schiffe</t>
        </is>
      </c>
      <c r="D3108" t="inlineStr">
        <is>
          <t>Fuhrparkkosten</t>
        </is>
      </c>
      <c r="E3108" t="n">
        <v>36751.61</v>
      </c>
      <c r="F3108" t="n">
        <v>441019.28</v>
      </c>
    </row>
    <row r="3109">
      <c r="A3109" t="n">
        <v>2030</v>
      </c>
      <c r="B3109" t="n">
        <v>10</v>
      </c>
      <c r="C3109" t="inlineStr">
        <is>
          <t>Leasing LKW</t>
        </is>
      </c>
      <c r="D3109" t="inlineStr">
        <is>
          <t>Fuhrparkkosten</t>
        </is>
      </c>
      <c r="E3109" t="n">
        <v>2745.62</v>
      </c>
      <c r="F3109" t="n">
        <v>32947.44</v>
      </c>
    </row>
    <row r="3110">
      <c r="A3110" t="n">
        <v>2031</v>
      </c>
      <c r="B3110" t="n">
        <v>10</v>
      </c>
      <c r="C3110" t="inlineStr">
        <is>
          <t>Vertriebskosten</t>
        </is>
      </c>
      <c r="D3110" t="inlineStr">
        <is>
          <t>Vertriebskosten</t>
        </is>
      </c>
      <c r="E3110" t="n">
        <v>13167.99</v>
      </c>
      <c r="F3110" t="n">
        <v>158015.82</v>
      </c>
    </row>
    <row r="3111">
      <c r="A3111" t="n">
        <v>2028</v>
      </c>
      <c r="B3111" t="n">
        <v>10</v>
      </c>
      <c r="C3111" t="inlineStr">
        <is>
          <t>Behaelterkosten</t>
        </is>
      </c>
      <c r="D3111" t="inlineStr">
        <is>
          <t>Instandh. Betriebsausstattung</t>
        </is>
      </c>
      <c r="E3111" t="n">
        <v>11.57</v>
      </c>
      <c r="F3111" t="n">
        <v>138.8</v>
      </c>
    </row>
    <row r="3112">
      <c r="A3112" t="n">
        <v>2030</v>
      </c>
      <c r="B3112" t="n">
        <v>10</v>
      </c>
      <c r="C3112" t="inlineStr">
        <is>
          <t>Verwaltungskost</t>
        </is>
      </c>
      <c r="D3112" t="inlineStr">
        <is>
          <t>Verwaltungskosten</t>
        </is>
      </c>
      <c r="E3112" t="n">
        <v>7311.95</v>
      </c>
      <c r="F3112" t="n">
        <v>87743.38</v>
      </c>
    </row>
    <row r="3113">
      <c r="A3113" t="n">
        <v>2030</v>
      </c>
      <c r="B3113" t="n">
        <v>10</v>
      </c>
      <c r="C3113" t="inlineStr">
        <is>
          <t>Rechts- u. Beratungs</t>
        </is>
      </c>
      <c r="D3113" t="inlineStr">
        <is>
          <t>Verwaltungskosten</t>
        </is>
      </c>
      <c r="E3113" t="n">
        <v>28013.14</v>
      </c>
      <c r="F3113" t="n">
        <v>336157.66</v>
      </c>
    </row>
    <row r="3114">
      <c r="A3114" t="n">
        <v>2028</v>
      </c>
      <c r="B3114" t="n">
        <v>10</v>
      </c>
      <c r="C3114" t="inlineStr">
        <is>
          <t>Sonst Fuhrparkkosten</t>
        </is>
      </c>
      <c r="D3114" t="inlineStr">
        <is>
          <t>Fuhrparkkosten</t>
        </is>
      </c>
      <c r="E3114" t="n">
        <v>5288.59</v>
      </c>
      <c r="F3114" t="n">
        <v>63463.1</v>
      </c>
    </row>
    <row r="3115">
      <c r="A3115" t="n">
        <v>2029</v>
      </c>
      <c r="B3115" t="n">
        <v>10</v>
      </c>
      <c r="C3115" t="inlineStr">
        <is>
          <t>Erl. so. DL Dt.</t>
        </is>
      </c>
      <c r="D3115" t="inlineStr">
        <is>
          <t>Gesamtleistung</t>
        </is>
      </c>
      <c r="E3115" t="n">
        <v>2200755.15</v>
      </c>
      <c r="F3115" t="n">
        <v>26409061.76</v>
      </c>
    </row>
    <row r="3116">
      <c r="A3116" t="n">
        <v>2031</v>
      </c>
      <c r="B3116" t="n">
        <v>10</v>
      </c>
      <c r="C3116" t="inlineStr">
        <is>
          <t>Uebr.neutr. Ert</t>
        </is>
      </c>
      <c r="D3116" t="inlineStr">
        <is>
          <t>Gesamtleistung</t>
        </is>
      </c>
      <c r="E3116" t="n">
        <v>227.28</v>
      </c>
      <c r="F3116" t="n">
        <v>2727.33</v>
      </c>
    </row>
    <row r="3117">
      <c r="A3117" t="n">
        <v>2030</v>
      </c>
      <c r="B3117" t="n">
        <v>10</v>
      </c>
      <c r="C3117" t="inlineStr">
        <is>
          <t>Erl. Waren Dt.</t>
        </is>
      </c>
      <c r="D3117" t="inlineStr">
        <is>
          <t>Gesamtleistung</t>
        </is>
      </c>
      <c r="E3117" t="n">
        <v>49038.99</v>
      </c>
      <c r="F3117" t="n">
        <v>588467.85</v>
      </c>
    </row>
    <row r="3118">
      <c r="A3118" t="n">
        <v>2028</v>
      </c>
      <c r="B3118" t="n">
        <v>10</v>
      </c>
      <c r="C3118" t="inlineStr">
        <is>
          <t>Weiterber. Frem</t>
        </is>
      </c>
      <c r="D3118" t="inlineStr">
        <is>
          <t>Vorleistungen</t>
        </is>
      </c>
      <c r="E3118" t="n">
        <v>0</v>
      </c>
      <c r="F3118" t="n">
        <v>0</v>
      </c>
    </row>
    <row r="3119">
      <c r="A3119" t="n">
        <v>2027</v>
      </c>
      <c r="B3119" t="n">
        <v>10</v>
      </c>
      <c r="C3119" t="inlineStr">
        <is>
          <t>IT-Aufwendungen</t>
        </is>
      </c>
      <c r="D3119" t="inlineStr">
        <is>
          <t>Verwaltungskosten</t>
        </is>
      </c>
      <c r="E3119" t="n">
        <v>11596.23</v>
      </c>
      <c r="F3119" t="n">
        <v>139154.76</v>
      </c>
    </row>
    <row r="3120">
      <c r="A3120" t="n">
        <v>2028</v>
      </c>
      <c r="B3120" t="n">
        <v>10</v>
      </c>
      <c r="C3120" t="inlineStr">
        <is>
          <t>Leasing LKW</t>
        </is>
      </c>
      <c r="D3120" t="inlineStr">
        <is>
          <t>Fuhrparkkosten</t>
        </is>
      </c>
      <c r="E3120" t="n">
        <v>2443.59</v>
      </c>
      <c r="F3120" t="n">
        <v>29323.11</v>
      </c>
    </row>
    <row r="3121">
      <c r="A3121" t="n">
        <v>2031</v>
      </c>
      <c r="B3121" t="n">
        <v>10</v>
      </c>
      <c r="C3121" t="inlineStr">
        <is>
          <t>Weiterber. Frem</t>
        </is>
      </c>
      <c r="D3121" t="inlineStr">
        <is>
          <t>Vorleistungen</t>
        </is>
      </c>
      <c r="E3121" t="n">
        <v>0</v>
      </c>
      <c r="F3121" t="n">
        <v>0</v>
      </c>
    </row>
    <row r="3122">
      <c r="A3122" t="n">
        <v>2028</v>
      </c>
      <c r="B3122" t="n">
        <v>10</v>
      </c>
      <c r="C3122" t="inlineStr">
        <is>
          <t>Lohn + Gehalt</t>
        </is>
      </c>
      <c r="D3122" t="inlineStr">
        <is>
          <t>Personalaufwand</t>
        </is>
      </c>
      <c r="E3122" t="n">
        <v>321097.26</v>
      </c>
      <c r="F3122" t="n">
        <v>3853167.13</v>
      </c>
    </row>
    <row r="3123">
      <c r="A3123" t="n">
        <v>2029</v>
      </c>
      <c r="B3123" t="n">
        <v>10</v>
      </c>
      <c r="C3123" t="inlineStr">
        <is>
          <t>Miete LKW,Schiffe</t>
        </is>
      </c>
      <c r="D3123" t="inlineStr">
        <is>
          <t>Fuhrparkkosten</t>
        </is>
      </c>
      <c r="E3123" t="n">
        <v>41294.11</v>
      </c>
      <c r="F3123" t="n">
        <v>495529.28</v>
      </c>
    </row>
    <row r="3124">
      <c r="A3124" t="n">
        <v>2030</v>
      </c>
      <c r="B3124" t="n">
        <v>10</v>
      </c>
      <c r="C3124" t="inlineStr">
        <is>
          <t>Erl. so. DL Dt.</t>
        </is>
      </c>
      <c r="D3124" t="inlineStr">
        <is>
          <t>Gesamtleistung</t>
        </is>
      </c>
      <c r="E3124" t="n">
        <v>2311684.01</v>
      </c>
      <c r="F3124" t="n">
        <v>27740208.09</v>
      </c>
    </row>
    <row r="3125">
      <c r="A3125" t="n">
        <v>2030</v>
      </c>
      <c r="B3125" t="n">
        <v>10</v>
      </c>
      <c r="C3125" t="inlineStr">
        <is>
          <t>Versicherungskosten</t>
        </is>
      </c>
      <c r="D3125" t="inlineStr">
        <is>
          <t>Verwaltungskosten</t>
        </is>
      </c>
      <c r="E3125" t="n">
        <v>11790.1</v>
      </c>
      <c r="F3125" t="n">
        <v>141481.23</v>
      </c>
    </row>
    <row r="3126">
      <c r="A3126" t="n">
        <v>2029</v>
      </c>
      <c r="B3126" t="n">
        <v>10</v>
      </c>
      <c r="C3126" t="inlineStr">
        <is>
          <t>Sonstige Steuer</t>
        </is>
      </c>
      <c r="D3126" t="inlineStr">
        <is>
          <t>Fuhrparkkosten</t>
        </is>
      </c>
      <c r="E3126" t="n">
        <v>1682.38</v>
      </c>
      <c r="F3126" t="n">
        <v>20188.51</v>
      </c>
    </row>
    <row r="3127">
      <c r="A3127" t="n">
        <v>2027</v>
      </c>
      <c r="B3127" t="n">
        <v>10</v>
      </c>
      <c r="C3127" t="inlineStr">
        <is>
          <t>Sonst Fuhrparkkosten</t>
        </is>
      </c>
      <c r="D3127" t="inlineStr">
        <is>
          <t>Fuhrparkkosten</t>
        </is>
      </c>
      <c r="E3127" t="n">
        <v>4989.24</v>
      </c>
      <c r="F3127" t="n">
        <v>59870.86</v>
      </c>
    </row>
    <row r="3128">
      <c r="A3128" t="n">
        <v>2028</v>
      </c>
      <c r="B3128" t="n">
        <v>10</v>
      </c>
      <c r="C3128" t="inlineStr">
        <is>
          <t>Bestandsveraend</t>
        </is>
      </c>
      <c r="D3128" t="inlineStr">
        <is>
          <t>Gesamtleistung</t>
        </is>
      </c>
      <c r="E3128" t="n">
        <v>0</v>
      </c>
      <c r="F3128" t="n">
        <v>0</v>
      </c>
    </row>
    <row r="3129">
      <c r="A3129" t="n">
        <v>2028</v>
      </c>
      <c r="B3129" t="n">
        <v>10</v>
      </c>
      <c r="C3129" t="inlineStr">
        <is>
          <t>So. betr. Aufwa</t>
        </is>
      </c>
      <c r="D3129" t="inlineStr">
        <is>
          <t>Verwaltungskosten</t>
        </is>
      </c>
      <c r="E3129" t="n">
        <v>673.0599999999999</v>
      </c>
      <c r="F3129" t="n">
        <v>8076.71</v>
      </c>
    </row>
    <row r="3130">
      <c r="A3130" t="n">
        <v>2030</v>
      </c>
      <c r="B3130" t="n">
        <v>10</v>
      </c>
      <c r="C3130" t="inlineStr">
        <is>
          <t>Miete LKW,Schiffe</t>
        </is>
      </c>
      <c r="D3130" t="inlineStr">
        <is>
          <t>Fuhrparkkosten</t>
        </is>
      </c>
      <c r="E3130" t="n">
        <v>43771.75</v>
      </c>
      <c r="F3130" t="n">
        <v>525261.04</v>
      </c>
    </row>
    <row r="3131">
      <c r="A3131" t="n">
        <v>2028</v>
      </c>
      <c r="B3131" t="n">
        <v>10</v>
      </c>
      <c r="C3131" t="inlineStr">
        <is>
          <t>Miete LKW,Schiffe</t>
        </is>
      </c>
      <c r="D3131" t="inlineStr">
        <is>
          <t>Fuhrparkkosten</t>
        </is>
      </c>
      <c r="E3131" t="n">
        <v>38956.71</v>
      </c>
      <c r="F3131" t="n">
        <v>467480.47</v>
      </c>
    </row>
    <row r="3132">
      <c r="A3132" t="n">
        <v>2028</v>
      </c>
      <c r="B3132" t="n">
        <v>10</v>
      </c>
      <c r="C3132" t="inlineStr">
        <is>
          <t>sonst Personalk</t>
        </is>
      </c>
      <c r="D3132" t="inlineStr">
        <is>
          <t>Personalaufwand</t>
        </is>
      </c>
      <c r="E3132" t="n">
        <v>12597.51</v>
      </c>
      <c r="F3132" t="n">
        <v>151170.09</v>
      </c>
    </row>
    <row r="3133">
      <c r="A3133" t="n">
        <v>2030</v>
      </c>
      <c r="B3133" t="n">
        <v>10</v>
      </c>
      <c r="C3133" t="inlineStr">
        <is>
          <t>Leasing PKW</t>
        </is>
      </c>
      <c r="D3133" t="inlineStr">
        <is>
          <t>Fuhrparkkosten</t>
        </is>
      </c>
      <c r="E3133" t="n">
        <v>26131.4</v>
      </c>
      <c r="F3133" t="n">
        <v>313576.76</v>
      </c>
    </row>
    <row r="3134">
      <c r="A3134" t="n">
        <v>2031</v>
      </c>
      <c r="B3134" t="n">
        <v>10</v>
      </c>
      <c r="C3134" t="inlineStr">
        <is>
          <t>Aufwand Umlage</t>
        </is>
      </c>
      <c r="D3134" t="inlineStr">
        <is>
          <t>Verwaltungskosten</t>
        </is>
      </c>
      <c r="E3134" t="n">
        <v>3807.87</v>
      </c>
      <c r="F3134" t="n">
        <v>45694.43</v>
      </c>
    </row>
    <row r="3135">
      <c r="A3135" t="n">
        <v>2031</v>
      </c>
      <c r="B3135" t="n">
        <v>10</v>
      </c>
      <c r="C3135" t="inlineStr">
        <is>
          <t>sonst Personalk</t>
        </is>
      </c>
      <c r="D3135" t="inlineStr">
        <is>
          <t>Personalaufwand</t>
        </is>
      </c>
      <c r="E3135" t="n">
        <v>17070.54</v>
      </c>
      <c r="F3135" t="n">
        <v>204846.51</v>
      </c>
    </row>
    <row r="3136">
      <c r="A3136" t="n">
        <v>2027</v>
      </c>
      <c r="B3136" t="n">
        <v>10</v>
      </c>
      <c r="C3136" t="inlineStr">
        <is>
          <t>sonst Personalk</t>
        </is>
      </c>
      <c r="D3136" t="inlineStr">
        <is>
          <t>Personalaufwand</t>
        </is>
      </c>
      <c r="E3136" t="n">
        <v>10949.84</v>
      </c>
      <c r="F3136" t="n">
        <v>131398.1</v>
      </c>
    </row>
    <row r="3137">
      <c r="A3137" t="n">
        <v>2031</v>
      </c>
      <c r="B3137" t="n">
        <v>10</v>
      </c>
      <c r="C3137" t="inlineStr">
        <is>
          <t>Miete PKW</t>
        </is>
      </c>
      <c r="D3137" t="inlineStr">
        <is>
          <t>Fuhrparkkosten</t>
        </is>
      </c>
      <c r="E3137" t="n">
        <v>5824.81</v>
      </c>
      <c r="F3137" t="n">
        <v>69897.67</v>
      </c>
    </row>
    <row r="3138">
      <c r="A3138" t="n">
        <v>2029</v>
      </c>
      <c r="B3138" t="n">
        <v>10</v>
      </c>
      <c r="C3138" t="inlineStr">
        <is>
          <t>Raumkosten</t>
        </is>
      </c>
      <c r="D3138" t="inlineStr">
        <is>
          <t>Raumkosten</t>
        </is>
      </c>
      <c r="E3138" t="n">
        <v>7164.46</v>
      </c>
      <c r="F3138" t="n">
        <v>85973.53</v>
      </c>
    </row>
    <row r="3139">
      <c r="A3139" t="n">
        <v>2031</v>
      </c>
      <c r="B3139" t="n">
        <v>10</v>
      </c>
      <c r="C3139" t="inlineStr">
        <is>
          <t>Aufw. f. Alters</t>
        </is>
      </c>
      <c r="D3139" t="inlineStr">
        <is>
          <t>Personalaufwand</t>
        </is>
      </c>
      <c r="E3139" t="n">
        <v>1434.03</v>
      </c>
      <c r="F3139" t="n">
        <v>17208.41</v>
      </c>
    </row>
    <row r="3140">
      <c r="A3140" t="n">
        <v>2031</v>
      </c>
      <c r="B3140" t="n">
        <v>10</v>
      </c>
      <c r="C3140" t="inlineStr">
        <is>
          <t>IT-Aufwendungen</t>
        </is>
      </c>
      <c r="D3140" t="inlineStr">
        <is>
          <t>Verwaltungskosten</t>
        </is>
      </c>
      <c r="E3140" t="n">
        <v>13051.66</v>
      </c>
      <c r="F3140" t="n">
        <v>156619.9</v>
      </c>
    </row>
    <row r="3141">
      <c r="A3141" t="n">
        <v>2028</v>
      </c>
      <c r="B3141" t="n">
        <v>10</v>
      </c>
      <c r="C3141" t="inlineStr">
        <is>
          <t>Miete Grdst/Gebäud</t>
        </is>
      </c>
      <c r="D3141" t="inlineStr">
        <is>
          <t>Raumkosten</t>
        </is>
      </c>
      <c r="E3141" t="n">
        <v>17880.93</v>
      </c>
      <c r="F3141" t="n">
        <v>214571.21</v>
      </c>
    </row>
    <row r="3142">
      <c r="A3142" t="n">
        <v>2027</v>
      </c>
      <c r="B3142" t="n">
        <v>10</v>
      </c>
      <c r="C3142" t="inlineStr">
        <is>
          <t>Erloesschmaeler</t>
        </is>
      </c>
      <c r="D3142" t="inlineStr">
        <is>
          <t>Gesamtleistung</t>
        </is>
      </c>
      <c r="E3142" t="n">
        <v>-7483.88</v>
      </c>
      <c r="F3142" t="n">
        <v>-89806.53</v>
      </c>
    </row>
    <row r="3143">
      <c r="A3143" t="n">
        <v>2029</v>
      </c>
      <c r="B3143" t="n">
        <v>10</v>
      </c>
      <c r="C3143" t="inlineStr">
        <is>
          <t>sonst Personalk</t>
        </is>
      </c>
      <c r="D3143" t="inlineStr">
        <is>
          <t>Personalaufwand</t>
        </is>
      </c>
      <c r="E3143" t="n">
        <v>13957.15</v>
      </c>
      <c r="F3143" t="n">
        <v>167485.78</v>
      </c>
    </row>
    <row r="3144">
      <c r="A3144" t="n">
        <v>2028</v>
      </c>
      <c r="B3144" t="n">
        <v>10</v>
      </c>
      <c r="C3144" t="inlineStr">
        <is>
          <t>Fremdl. Fuhrlei</t>
        </is>
      </c>
      <c r="D3144" t="inlineStr">
        <is>
          <t>Vorleistungen</t>
        </is>
      </c>
      <c r="E3144" t="n">
        <v>363.29</v>
      </c>
      <c r="F3144" t="n">
        <v>4359.52</v>
      </c>
    </row>
    <row r="3145">
      <c r="A3145" t="n">
        <v>2027</v>
      </c>
      <c r="B3145" t="n">
        <v>10</v>
      </c>
      <c r="C3145" t="inlineStr">
        <is>
          <t>Erl. so. DL Dt.</t>
        </is>
      </c>
      <c r="D3145" t="inlineStr">
        <is>
          <t>Gesamtleistung</t>
        </is>
      </c>
      <c r="E3145" t="n">
        <v>1996174.37</v>
      </c>
      <c r="F3145" t="n">
        <v>23954092.45</v>
      </c>
    </row>
    <row r="3146">
      <c r="A3146" t="n">
        <v>2027</v>
      </c>
      <c r="B3146" t="n">
        <v>10</v>
      </c>
      <c r="C3146" t="inlineStr">
        <is>
          <t>Aufw. Heizmat.</t>
        </is>
      </c>
      <c r="D3146" t="inlineStr">
        <is>
          <t>Vorleistungen</t>
        </is>
      </c>
      <c r="E3146" t="n">
        <v>275.72</v>
      </c>
      <c r="F3146" t="n">
        <v>3308.65</v>
      </c>
    </row>
    <row r="3147">
      <c r="A3147" t="n">
        <v>2028</v>
      </c>
      <c r="B3147" t="n">
        <v>10</v>
      </c>
      <c r="C3147" t="inlineStr">
        <is>
          <t>Versicherungskosten</t>
        </is>
      </c>
      <c r="D3147" t="inlineStr">
        <is>
          <t>Verwaltungskosten</t>
        </is>
      </c>
      <c r="E3147" t="n">
        <v>11113.3</v>
      </c>
      <c r="F3147" t="n">
        <v>133359.63</v>
      </c>
    </row>
    <row r="3148">
      <c r="A3148" t="n">
        <v>2031</v>
      </c>
      <c r="B3148" t="n">
        <v>10</v>
      </c>
      <c r="C3148" t="inlineStr">
        <is>
          <t>Miete LKW,Schiffe</t>
        </is>
      </c>
      <c r="D3148" t="inlineStr">
        <is>
          <t>Fuhrparkkosten</t>
        </is>
      </c>
      <c r="E3148" t="n">
        <v>46398.06</v>
      </c>
      <c r="F3148" t="n">
        <v>556776.71</v>
      </c>
    </row>
    <row r="3149">
      <c r="A3149" t="n">
        <v>2027</v>
      </c>
      <c r="B3149" t="n">
        <v>10</v>
      </c>
      <c r="C3149" t="inlineStr">
        <is>
          <t>Weiterber. Frem</t>
        </is>
      </c>
      <c r="D3149" t="inlineStr">
        <is>
          <t>Vorleistungen</t>
        </is>
      </c>
      <c r="E3149" t="n">
        <v>0</v>
      </c>
      <c r="F3149" t="n">
        <v>0</v>
      </c>
    </row>
    <row r="3150">
      <c r="A3150" t="n">
        <v>2028</v>
      </c>
      <c r="B3150" t="n">
        <v>10</v>
      </c>
      <c r="C3150" t="inlineStr">
        <is>
          <t>Erloesschmaeler</t>
        </is>
      </c>
      <c r="D3150" t="inlineStr">
        <is>
          <t>Gesamtleistung</t>
        </is>
      </c>
      <c r="E3150" t="n">
        <v>-8355.469999999999</v>
      </c>
      <c r="F3150" t="n">
        <v>-100265.61</v>
      </c>
    </row>
    <row r="3151">
      <c r="A3151" t="n">
        <v>2027</v>
      </c>
      <c r="B3151" t="n">
        <v>10</v>
      </c>
      <c r="C3151" t="inlineStr">
        <is>
          <t>Uebr.neutr. Ert</t>
        </is>
      </c>
      <c r="D3151" t="inlineStr">
        <is>
          <t>Gesamtleistung</t>
        </is>
      </c>
      <c r="E3151" t="n">
        <v>113.94</v>
      </c>
      <c r="F3151" t="n">
        <v>1367.31</v>
      </c>
    </row>
    <row r="3152">
      <c r="A3152" t="n">
        <v>2028</v>
      </c>
      <c r="B3152" t="n">
        <v>10</v>
      </c>
      <c r="C3152" t="inlineStr">
        <is>
          <t>Miete Behälter</t>
        </is>
      </c>
      <c r="D3152" t="inlineStr">
        <is>
          <t>Instandh. Betriebsausstattung</t>
        </is>
      </c>
      <c r="E3152" t="n">
        <v>24.08</v>
      </c>
      <c r="F3152" t="n">
        <v>289</v>
      </c>
    </row>
    <row r="3153">
      <c r="A3153" t="n">
        <v>2028</v>
      </c>
      <c r="B3153" t="n">
        <v>10</v>
      </c>
      <c r="C3153" t="inlineStr">
        <is>
          <t>Aufw. so. Hilfs</t>
        </is>
      </c>
      <c r="D3153" t="inlineStr">
        <is>
          <t>Vorleistungen</t>
        </is>
      </c>
      <c r="E3153" t="n">
        <v>-16546.31</v>
      </c>
      <c r="F3153" t="n">
        <v>-198555.67</v>
      </c>
    </row>
    <row r="3154">
      <c r="A3154" t="n">
        <v>2030</v>
      </c>
      <c r="B3154" t="n">
        <v>10</v>
      </c>
      <c r="C3154" t="inlineStr">
        <is>
          <t>Treibstoffe, Oe</t>
        </is>
      </c>
      <c r="D3154" t="inlineStr">
        <is>
          <t>Fuhrparkkosten</t>
        </is>
      </c>
      <c r="E3154" t="n">
        <v>34177.25</v>
      </c>
      <c r="F3154" t="n">
        <v>410126.96</v>
      </c>
    </row>
    <row r="3155">
      <c r="A3155" t="n">
        <v>2030</v>
      </c>
      <c r="B3155" t="n">
        <v>10</v>
      </c>
      <c r="C3155" t="inlineStr">
        <is>
          <t>Ueb Lohn-Gehalt</t>
        </is>
      </c>
      <c r="D3155" t="inlineStr">
        <is>
          <t>Personalaufwand</t>
        </is>
      </c>
      <c r="E3155" t="n">
        <v>41842.02</v>
      </c>
      <c r="F3155" t="n">
        <v>502104.18</v>
      </c>
    </row>
    <row r="3156">
      <c r="A3156" t="n">
        <v>2030</v>
      </c>
      <c r="B3156" t="n">
        <v>10</v>
      </c>
      <c r="C3156" t="inlineStr">
        <is>
          <t>Aufw. f. Alters</t>
        </is>
      </c>
      <c r="D3156" t="inlineStr">
        <is>
          <t>Personalaufwand</t>
        </is>
      </c>
      <c r="E3156" t="n">
        <v>1387.56</v>
      </c>
      <c r="F3156" t="n">
        <v>16650.69</v>
      </c>
    </row>
    <row r="3157">
      <c r="A3157" t="n">
        <v>2031</v>
      </c>
      <c r="B3157" t="n">
        <v>10</v>
      </c>
      <c r="C3157" t="inlineStr">
        <is>
          <t>Fremdl. Persona</t>
        </is>
      </c>
      <c r="D3157" t="inlineStr">
        <is>
          <t>Vorleistungen</t>
        </is>
      </c>
      <c r="E3157" t="n">
        <v>79.40000000000001</v>
      </c>
      <c r="F3157" t="n">
        <v>952.79</v>
      </c>
    </row>
    <row r="3158">
      <c r="A3158" t="n">
        <v>2029</v>
      </c>
      <c r="B3158" t="n">
        <v>11</v>
      </c>
      <c r="C3158" t="inlineStr">
        <is>
          <t>Sonderz. Prämie</t>
        </is>
      </c>
      <c r="D3158" t="inlineStr">
        <is>
          <t>Personalaufwand</t>
        </is>
      </c>
      <c r="E3158" t="n">
        <v>23292.21</v>
      </c>
      <c r="F3158" t="n">
        <v>279506.56</v>
      </c>
    </row>
    <row r="3159">
      <c r="A3159" t="n">
        <v>2030</v>
      </c>
      <c r="B3159" t="n">
        <v>11</v>
      </c>
      <c r="C3159" t="inlineStr">
        <is>
          <t>sonst Personalk</t>
        </is>
      </c>
      <c r="D3159" t="inlineStr">
        <is>
          <t>Personalaufwand</t>
        </is>
      </c>
      <c r="E3159" t="n">
        <v>15558.93</v>
      </c>
      <c r="F3159" t="n">
        <v>186707.19</v>
      </c>
    </row>
    <row r="3160">
      <c r="A3160" t="n">
        <v>2031</v>
      </c>
      <c r="B3160" t="n">
        <v>11</v>
      </c>
      <c r="C3160" t="inlineStr">
        <is>
          <t>Ankauf Rohstoff</t>
        </is>
      </c>
      <c r="D3160" t="inlineStr">
        <is>
          <t>Vorleistungen</t>
        </is>
      </c>
      <c r="E3160" t="n">
        <v>1489.65</v>
      </c>
      <c r="F3160" t="n">
        <v>17875.76</v>
      </c>
    </row>
    <row r="3161">
      <c r="A3161" t="n">
        <v>2029</v>
      </c>
      <c r="B3161" t="n">
        <v>11</v>
      </c>
      <c r="C3161" t="inlineStr">
        <is>
          <t>Weiterber. Frem</t>
        </is>
      </c>
      <c r="D3161" t="inlineStr">
        <is>
          <t>Vorleistungen</t>
        </is>
      </c>
      <c r="E3161" t="n">
        <v>0</v>
      </c>
      <c r="F3161" t="n">
        <v>0</v>
      </c>
    </row>
    <row r="3162">
      <c r="A3162" t="n">
        <v>2031</v>
      </c>
      <c r="B3162" t="n">
        <v>11</v>
      </c>
      <c r="C3162" t="inlineStr">
        <is>
          <t>Sonstige Steuer</t>
        </is>
      </c>
      <c r="D3162" t="inlineStr">
        <is>
          <t>Fuhrparkkosten</t>
        </is>
      </c>
      <c r="E3162" t="n">
        <v>1890.32</v>
      </c>
      <c r="F3162" t="n">
        <v>22683.81</v>
      </c>
    </row>
    <row r="3163">
      <c r="A3163" t="n">
        <v>2030</v>
      </c>
      <c r="B3163" t="n">
        <v>11</v>
      </c>
      <c r="C3163" t="inlineStr">
        <is>
          <t>Bestandsveraend</t>
        </is>
      </c>
      <c r="D3163" t="inlineStr">
        <is>
          <t>Gesamtleistung</t>
        </is>
      </c>
      <c r="E3163" t="n">
        <v>0</v>
      </c>
      <c r="F3163" t="n">
        <v>0</v>
      </c>
    </row>
    <row r="3164">
      <c r="A3164" t="n">
        <v>2031</v>
      </c>
      <c r="B3164" t="n">
        <v>11</v>
      </c>
      <c r="C3164" t="inlineStr">
        <is>
          <t>Erl. so. DL Dt.</t>
        </is>
      </c>
      <c r="D3164" t="inlineStr">
        <is>
          <t>Gesamtleistung</t>
        </is>
      </c>
      <c r="E3164" t="n">
        <v>2428139.11</v>
      </c>
      <c r="F3164" t="n">
        <v>29137669.32</v>
      </c>
    </row>
    <row r="3165">
      <c r="A3165" t="n">
        <v>2030</v>
      </c>
      <c r="B3165" t="n">
        <v>11</v>
      </c>
      <c r="C3165" t="inlineStr">
        <is>
          <t>Sonstige Steuer</t>
        </is>
      </c>
      <c r="D3165" t="inlineStr">
        <is>
          <t>Fuhrparkkosten</t>
        </is>
      </c>
      <c r="E3165" t="n">
        <v>1783.32</v>
      </c>
      <c r="F3165" t="n">
        <v>21399.82</v>
      </c>
    </row>
    <row r="3166">
      <c r="A3166" t="n">
        <v>2030</v>
      </c>
      <c r="B3166" t="n">
        <v>11</v>
      </c>
      <c r="C3166" t="inlineStr">
        <is>
          <t>Sonderz. Prämie</t>
        </is>
      </c>
      <c r="D3166" t="inlineStr">
        <is>
          <t>Personalaufwand</t>
        </is>
      </c>
      <c r="E3166" t="n">
        <v>25004.1</v>
      </c>
      <c r="F3166" t="n">
        <v>300049.14</v>
      </c>
    </row>
    <row r="3167">
      <c r="A3167" t="n">
        <v>2029</v>
      </c>
      <c r="B3167" t="n">
        <v>11</v>
      </c>
      <c r="C3167" t="inlineStr">
        <is>
          <t>Soziale Abgaben</t>
        </is>
      </c>
      <c r="D3167" t="inlineStr">
        <is>
          <t>Personalaufwand</t>
        </is>
      </c>
      <c r="E3167" t="n">
        <v>94488.11</v>
      </c>
      <c r="F3167" t="n">
        <v>1133857.35</v>
      </c>
    </row>
    <row r="3168">
      <c r="A3168" t="n">
        <v>2031</v>
      </c>
      <c r="B3168" t="n">
        <v>11</v>
      </c>
      <c r="C3168" t="inlineStr">
        <is>
          <t>So. betr. Aufwa</t>
        </is>
      </c>
      <c r="D3168" t="inlineStr">
        <is>
          <t>Verwaltungskosten</t>
        </is>
      </c>
      <c r="E3168" t="n">
        <v>735.47</v>
      </c>
      <c r="F3168" t="n">
        <v>8825.639999999999</v>
      </c>
    </row>
    <row r="3169">
      <c r="A3169" t="n">
        <v>2027</v>
      </c>
      <c r="B3169" t="n">
        <v>11</v>
      </c>
      <c r="C3169" t="inlineStr">
        <is>
          <t>Lohn + Gehalt</t>
        </is>
      </c>
      <c r="D3169" t="inlineStr">
        <is>
          <t>Personalaufwand</t>
        </is>
      </c>
      <c r="E3169" t="n">
        <v>287946.36</v>
      </c>
      <c r="F3169" t="n">
        <v>3455356.33</v>
      </c>
    </row>
    <row r="3170">
      <c r="A3170" t="n">
        <v>2027</v>
      </c>
      <c r="B3170" t="n">
        <v>11</v>
      </c>
      <c r="C3170" t="inlineStr">
        <is>
          <t>So. betr. Aufwa</t>
        </is>
      </c>
      <c r="D3170" t="inlineStr">
        <is>
          <t>Verwaltungskosten</t>
        </is>
      </c>
      <c r="E3170" t="n">
        <v>653.45</v>
      </c>
      <c r="F3170" t="n">
        <v>7841.45</v>
      </c>
    </row>
    <row r="3171">
      <c r="A3171" t="n">
        <v>2028</v>
      </c>
      <c r="B3171" t="n">
        <v>11</v>
      </c>
      <c r="C3171" t="inlineStr">
        <is>
          <t>Ueb Lohn-Gehalt</t>
        </is>
      </c>
      <c r="D3171" t="inlineStr">
        <is>
          <t>Personalaufwand</t>
        </is>
      </c>
      <c r="E3171" t="n">
        <v>34332.83</v>
      </c>
      <c r="F3171" t="n">
        <v>411993.96</v>
      </c>
    </row>
    <row r="3172">
      <c r="A3172" t="n">
        <v>2027</v>
      </c>
      <c r="B3172" t="n">
        <v>11</v>
      </c>
      <c r="C3172" t="inlineStr">
        <is>
          <t>Verwaltungskost</t>
        </is>
      </c>
      <c r="D3172" t="inlineStr">
        <is>
          <t>Verwaltungskosten</t>
        </is>
      </c>
      <c r="E3172" t="n">
        <v>6691.47</v>
      </c>
      <c r="F3172" t="n">
        <v>80297.62</v>
      </c>
    </row>
    <row r="3173">
      <c r="A3173" t="n">
        <v>2030</v>
      </c>
      <c r="B3173" t="n">
        <v>11</v>
      </c>
      <c r="C3173" t="inlineStr">
        <is>
          <t>Aufw. Heizmat.</t>
        </is>
      </c>
      <c r="D3173" t="inlineStr">
        <is>
          <t>Vorleistungen</t>
        </is>
      </c>
      <c r="E3173" t="n">
        <v>230.4</v>
      </c>
      <c r="F3173" t="n">
        <v>2764.82</v>
      </c>
    </row>
    <row r="3174">
      <c r="A3174" t="n">
        <v>2027</v>
      </c>
      <c r="B3174" t="n">
        <v>11</v>
      </c>
      <c r="C3174" t="inlineStr">
        <is>
          <t>Versicherungskosten</t>
        </is>
      </c>
      <c r="D3174" t="inlineStr">
        <is>
          <t>Verwaltungskosten</t>
        </is>
      </c>
      <c r="E3174" t="n">
        <v>10789.61</v>
      </c>
      <c r="F3174" t="n">
        <v>129475.37</v>
      </c>
    </row>
    <row r="3175">
      <c r="A3175" t="n">
        <v>2031</v>
      </c>
      <c r="B3175" t="n">
        <v>11</v>
      </c>
      <c r="C3175" t="inlineStr">
        <is>
          <t>Instandh. BGA</t>
        </is>
      </c>
      <c r="D3175" t="inlineStr">
        <is>
          <t>Instandh. Betriebsausstattung</t>
        </is>
      </c>
      <c r="E3175" t="n">
        <v>5124.63</v>
      </c>
      <c r="F3175" t="n">
        <v>61495.58</v>
      </c>
    </row>
    <row r="3176">
      <c r="A3176" t="n">
        <v>2029</v>
      </c>
      <c r="B3176" t="n">
        <v>11</v>
      </c>
      <c r="C3176" t="inlineStr">
        <is>
          <t>Treibstoffe, Oe</t>
        </is>
      </c>
      <c r="D3176" t="inlineStr">
        <is>
          <t>Fuhrparkkosten</t>
        </is>
      </c>
      <c r="E3176" t="n">
        <v>32242.68</v>
      </c>
      <c r="F3176" t="n">
        <v>386912.19</v>
      </c>
    </row>
    <row r="3177">
      <c r="A3177" t="n">
        <v>2027</v>
      </c>
      <c r="B3177" t="n">
        <v>11</v>
      </c>
      <c r="C3177" t="inlineStr">
        <is>
          <t>Instandh. BGA</t>
        </is>
      </c>
      <c r="D3177" t="inlineStr">
        <is>
          <t>Instandh. Betriebsausstattung</t>
        </is>
      </c>
      <c r="E3177" t="n">
        <v>4216.05</v>
      </c>
      <c r="F3177" t="n">
        <v>50592.58</v>
      </c>
    </row>
    <row r="3178">
      <c r="A3178" t="n">
        <v>2029</v>
      </c>
      <c r="B3178" t="n">
        <v>11</v>
      </c>
      <c r="C3178" t="inlineStr">
        <is>
          <t>Ueb Lohn-Gehalt</t>
        </is>
      </c>
      <c r="D3178" t="inlineStr">
        <is>
          <t>Personalaufwand</t>
        </is>
      </c>
      <c r="E3178" t="n">
        <v>37989.9</v>
      </c>
      <c r="F3178" t="n">
        <v>455878.84</v>
      </c>
    </row>
    <row r="3179">
      <c r="A3179" t="n">
        <v>2031</v>
      </c>
      <c r="B3179" t="n">
        <v>11</v>
      </c>
      <c r="C3179" t="inlineStr">
        <is>
          <t>Erl. Waren Dt.</t>
        </is>
      </c>
      <c r="D3179" t="inlineStr">
        <is>
          <t>Gesamtleistung</t>
        </is>
      </c>
      <c r="E3179" t="n">
        <v>50865.59</v>
      </c>
      <c r="F3179" t="n">
        <v>610387.05</v>
      </c>
    </row>
    <row r="3180">
      <c r="A3180" t="n">
        <v>2027</v>
      </c>
      <c r="B3180" t="n">
        <v>11</v>
      </c>
      <c r="C3180" t="inlineStr">
        <is>
          <t>Fremdl. Persona</t>
        </is>
      </c>
      <c r="D3180" t="inlineStr">
        <is>
          <t>Vorleistungen</t>
        </is>
      </c>
      <c r="E3180" t="n">
        <v>61.31</v>
      </c>
      <c r="F3180" t="n">
        <v>735.66</v>
      </c>
    </row>
    <row r="3181">
      <c r="A3181" t="n">
        <v>2027</v>
      </c>
      <c r="B3181" t="n">
        <v>11</v>
      </c>
      <c r="C3181" t="inlineStr">
        <is>
          <t>Aufwand Umlage</t>
        </is>
      </c>
      <c r="D3181" t="inlineStr">
        <is>
          <t>Verwaltungskosten</t>
        </is>
      </c>
      <c r="E3181" t="n">
        <v>3383.24</v>
      </c>
      <c r="F3181" t="n">
        <v>40598.91</v>
      </c>
    </row>
    <row r="3182">
      <c r="A3182" t="n">
        <v>2031</v>
      </c>
      <c r="B3182" t="n">
        <v>11</v>
      </c>
      <c r="C3182" t="inlineStr">
        <is>
          <t>Ueb Lohn-Gehalt</t>
        </is>
      </c>
      <c r="D3182" t="inlineStr">
        <is>
          <t>Personalaufwand</t>
        </is>
      </c>
      <c r="E3182" t="n">
        <v>45675.82</v>
      </c>
      <c r="F3182" t="n">
        <v>548109.79</v>
      </c>
    </row>
    <row r="3183">
      <c r="A3183" t="n">
        <v>2027</v>
      </c>
      <c r="B3183" t="n">
        <v>11</v>
      </c>
      <c r="C3183" t="inlineStr">
        <is>
          <t>Rechts- u. Beratungs</t>
        </is>
      </c>
      <c r="D3183" t="inlineStr">
        <is>
          <t>Verwaltungskosten</t>
        </is>
      </c>
      <c r="E3183" t="n">
        <v>25635.99</v>
      </c>
      <c r="F3183" t="n">
        <v>307631.89</v>
      </c>
    </row>
    <row r="3184">
      <c r="A3184" t="n">
        <v>2028</v>
      </c>
      <c r="B3184" t="n">
        <v>11</v>
      </c>
      <c r="C3184" t="inlineStr">
        <is>
          <t>Verwaltungskost</t>
        </is>
      </c>
      <c r="D3184" t="inlineStr">
        <is>
          <t>Verwaltungskosten</t>
        </is>
      </c>
      <c r="E3184" t="n">
        <v>6892.21</v>
      </c>
      <c r="F3184" t="n">
        <v>82706.56</v>
      </c>
    </row>
    <row r="3185">
      <c r="A3185" t="n">
        <v>2028</v>
      </c>
      <c r="B3185" t="n">
        <v>11</v>
      </c>
      <c r="C3185" t="inlineStr">
        <is>
          <t>Ueb. bezog.Leis</t>
        </is>
      </c>
      <c r="D3185" t="inlineStr">
        <is>
          <t>Vorleistungen</t>
        </is>
      </c>
      <c r="E3185" t="n">
        <v>1342498.67</v>
      </c>
      <c r="F3185" t="n">
        <v>16109983.99</v>
      </c>
    </row>
    <row r="3186">
      <c r="A3186" t="n">
        <v>2028</v>
      </c>
      <c r="B3186" t="n">
        <v>11</v>
      </c>
      <c r="C3186" t="inlineStr">
        <is>
          <t>Ankauf Rohstoff</t>
        </is>
      </c>
      <c r="D3186" t="inlineStr">
        <is>
          <t>Vorleistungen</t>
        </is>
      </c>
      <c r="E3186" t="n">
        <v>1457.38</v>
      </c>
      <c r="F3186" t="n">
        <v>17488.61</v>
      </c>
    </row>
    <row r="3187">
      <c r="A3187" t="n">
        <v>2029</v>
      </c>
      <c r="B3187" t="n">
        <v>11</v>
      </c>
      <c r="C3187" t="inlineStr">
        <is>
          <t>Erloesschmaeler</t>
        </is>
      </c>
      <c r="D3187" t="inlineStr">
        <is>
          <t>Gesamtleistung</t>
        </is>
      </c>
      <c r="E3187" t="n">
        <v>-9048.01</v>
      </c>
      <c r="F3187" t="n">
        <v>-108576.08</v>
      </c>
    </row>
    <row r="3188">
      <c r="A3188" t="n">
        <v>2029</v>
      </c>
      <c r="B3188" t="n">
        <v>11</v>
      </c>
      <c r="C3188" t="inlineStr">
        <is>
          <t>Leasing PKW</t>
        </is>
      </c>
      <c r="D3188" t="inlineStr">
        <is>
          <t>Fuhrparkkosten</t>
        </is>
      </c>
      <c r="E3188" t="n">
        <v>24652.26</v>
      </c>
      <c r="F3188" t="n">
        <v>295827.14</v>
      </c>
    </row>
    <row r="3189">
      <c r="A3189" t="n">
        <v>2029</v>
      </c>
      <c r="B3189" t="n">
        <v>11</v>
      </c>
      <c r="C3189" t="inlineStr">
        <is>
          <t>Fremdl. Persona</t>
        </is>
      </c>
      <c r="D3189" t="inlineStr">
        <is>
          <t>Vorleistungen</t>
        </is>
      </c>
      <c r="E3189" t="n">
        <v>73.3</v>
      </c>
      <c r="F3189" t="n">
        <v>879.54</v>
      </c>
    </row>
    <row r="3190">
      <c r="A3190" t="n">
        <v>2028</v>
      </c>
      <c r="B3190" t="n">
        <v>11</v>
      </c>
      <c r="C3190" t="inlineStr">
        <is>
          <t>Aufwand Umlage</t>
        </is>
      </c>
      <c r="D3190" t="inlineStr">
        <is>
          <t>Verwaltungskosten</t>
        </is>
      </c>
      <c r="E3190" t="n">
        <v>3484.74</v>
      </c>
      <c r="F3190" t="n">
        <v>41816.88</v>
      </c>
    </row>
    <row r="3191">
      <c r="A3191" t="n">
        <v>2027</v>
      </c>
      <c r="B3191" t="n">
        <v>11</v>
      </c>
      <c r="C3191" t="inlineStr">
        <is>
          <t>Ankauf Rohstoff</t>
        </is>
      </c>
      <c r="D3191" t="inlineStr">
        <is>
          <t>Vorleistungen</t>
        </is>
      </c>
      <c r="E3191" t="n">
        <v>1408.24</v>
      </c>
      <c r="F3191" t="n">
        <v>16898.9</v>
      </c>
    </row>
    <row r="3192">
      <c r="A3192" t="n">
        <v>2030</v>
      </c>
      <c r="B3192" t="n">
        <v>11</v>
      </c>
      <c r="C3192" t="inlineStr">
        <is>
          <t>Erloesschmaeler</t>
        </is>
      </c>
      <c r="D3192" t="inlineStr">
        <is>
          <t>Gesamtleistung</t>
        </is>
      </c>
      <c r="E3192" t="n">
        <v>-9690.75</v>
      </c>
      <c r="F3192" t="n">
        <v>-116289.05</v>
      </c>
    </row>
    <row r="3193">
      <c r="A3193" t="n">
        <v>2029</v>
      </c>
      <c r="B3193" t="n">
        <v>11</v>
      </c>
      <c r="C3193" t="inlineStr">
        <is>
          <t>Sonst Fuhrparkkosten</t>
        </is>
      </c>
      <c r="D3193" t="inlineStr">
        <is>
          <t>Fuhrparkkosten</t>
        </is>
      </c>
      <c r="E3193" t="n">
        <v>5605.91</v>
      </c>
      <c r="F3193" t="n">
        <v>67270.89</v>
      </c>
    </row>
    <row r="3194">
      <c r="A3194" t="n">
        <v>2027</v>
      </c>
      <c r="B3194" t="n">
        <v>11</v>
      </c>
      <c r="C3194" t="inlineStr">
        <is>
          <t>Soziale Abgaben</t>
        </is>
      </c>
      <c r="D3194" t="inlineStr">
        <is>
          <t>Personalaufwand</t>
        </is>
      </c>
      <c r="E3194" t="n">
        <v>75903.69</v>
      </c>
      <c r="F3194" t="n">
        <v>910844.28</v>
      </c>
    </row>
    <row r="3195">
      <c r="A3195" t="n">
        <v>2031</v>
      </c>
      <c r="B3195" t="n">
        <v>11</v>
      </c>
      <c r="C3195" t="inlineStr">
        <is>
          <t>Erloesschmaeler</t>
        </is>
      </c>
      <c r="D3195" t="inlineStr">
        <is>
          <t>Gesamtleistung</t>
        </is>
      </c>
      <c r="E3195" t="n">
        <v>-10347.15</v>
      </c>
      <c r="F3195" t="n">
        <v>-124165.81</v>
      </c>
    </row>
    <row r="3196">
      <c r="A3196" t="n">
        <v>2029</v>
      </c>
      <c r="B3196" t="n">
        <v>11</v>
      </c>
      <c r="C3196" t="inlineStr">
        <is>
          <t>Ertr. weiterber</t>
        </is>
      </c>
      <c r="D3196" t="inlineStr">
        <is>
          <t>Gesamtleistung</t>
        </is>
      </c>
      <c r="E3196" t="n">
        <v>1036.39</v>
      </c>
      <c r="F3196" t="n">
        <v>12436.69</v>
      </c>
    </row>
    <row r="3197">
      <c r="A3197" t="n">
        <v>2027</v>
      </c>
      <c r="B3197" t="n">
        <v>11</v>
      </c>
      <c r="C3197" t="inlineStr">
        <is>
          <t>Sonderz. Prämie</t>
        </is>
      </c>
      <c r="D3197" t="inlineStr">
        <is>
          <t>Personalaufwand</t>
        </is>
      </c>
      <c r="E3197" t="n">
        <v>19636.08</v>
      </c>
      <c r="F3197" t="n">
        <v>235633</v>
      </c>
    </row>
    <row r="3198">
      <c r="A3198" t="n">
        <v>2027</v>
      </c>
      <c r="B3198" t="n">
        <v>11</v>
      </c>
      <c r="C3198" t="inlineStr">
        <is>
          <t>Miete Behälter</t>
        </is>
      </c>
      <c r="D3198" t="inlineStr">
        <is>
          <t>Instandh. Betriebsausstattung</t>
        </is>
      </c>
      <c r="E3198" t="n">
        <v>22.94</v>
      </c>
      <c r="F3198" t="n">
        <v>275.23</v>
      </c>
    </row>
    <row r="3199">
      <c r="A3199" t="n">
        <v>2031</v>
      </c>
      <c r="B3199" t="n">
        <v>11</v>
      </c>
      <c r="C3199" t="inlineStr">
        <is>
          <t>Versicherungskosten</t>
        </is>
      </c>
      <c r="D3199" t="inlineStr">
        <is>
          <t>Verwaltungskosten</t>
        </is>
      </c>
      <c r="E3199" t="n">
        <v>12143.81</v>
      </c>
      <c r="F3199" t="n">
        <v>145725.66</v>
      </c>
    </row>
    <row r="3200">
      <c r="A3200" t="n">
        <v>2029</v>
      </c>
      <c r="B3200" t="n">
        <v>11</v>
      </c>
      <c r="C3200" t="inlineStr">
        <is>
          <t>Rechts- u. Beratungs</t>
        </is>
      </c>
      <c r="D3200" t="inlineStr">
        <is>
          <t>Verwaltungskosten</t>
        </is>
      </c>
      <c r="E3200" t="n">
        <v>27197.22</v>
      </c>
      <c r="F3200" t="n">
        <v>326366.65</v>
      </c>
    </row>
    <row r="3201">
      <c r="A3201" t="n">
        <v>2028</v>
      </c>
      <c r="B3201" t="n">
        <v>11</v>
      </c>
      <c r="C3201" t="inlineStr">
        <is>
          <t>Instandh.Fuhrp</t>
        </is>
      </c>
      <c r="D3201" t="inlineStr">
        <is>
          <t>Fuhrparkkosten</t>
        </is>
      </c>
      <c r="E3201" t="n">
        <v>32180.39</v>
      </c>
      <c r="F3201" t="n">
        <v>386164.66</v>
      </c>
    </row>
    <row r="3202">
      <c r="A3202" t="n">
        <v>2030</v>
      </c>
      <c r="B3202" t="n">
        <v>11</v>
      </c>
      <c r="C3202" t="inlineStr">
        <is>
          <t>Miete Grdst/Gebäud</t>
        </is>
      </c>
      <c r="D3202" t="inlineStr">
        <is>
          <t>Raumkosten</t>
        </is>
      </c>
      <c r="E3202" t="n">
        <v>18603.32</v>
      </c>
      <c r="F3202" t="n">
        <v>223239.88</v>
      </c>
    </row>
    <row r="3203">
      <c r="A3203" t="n">
        <v>2027</v>
      </c>
      <c r="B3203" t="n">
        <v>11</v>
      </c>
      <c r="C3203" t="inlineStr">
        <is>
          <t>Ueb. bezog.Leis</t>
        </is>
      </c>
      <c r="D3203" t="inlineStr">
        <is>
          <t>Vorleistungen</t>
        </is>
      </c>
      <c r="E3203" t="n">
        <v>1319862.34</v>
      </c>
      <c r="F3203" t="n">
        <v>15838348.13</v>
      </c>
    </row>
    <row r="3204">
      <c r="A3204" t="n">
        <v>2029</v>
      </c>
      <c r="B3204" t="n">
        <v>11</v>
      </c>
      <c r="C3204" t="inlineStr">
        <is>
          <t>Erl. Waren Dt.</t>
        </is>
      </c>
      <c r="D3204" t="inlineStr">
        <is>
          <t>Gesamtleistung</t>
        </is>
      </c>
      <c r="E3204" t="n">
        <v>47334.08</v>
      </c>
      <c r="F3204" t="n">
        <v>568008.92</v>
      </c>
    </row>
    <row r="3205">
      <c r="A3205" t="n">
        <v>2031</v>
      </c>
      <c r="B3205" t="n">
        <v>11</v>
      </c>
      <c r="C3205" t="inlineStr">
        <is>
          <t>Treibstoffe, Oe</t>
        </is>
      </c>
      <c r="D3205" t="inlineStr">
        <is>
          <t>Fuhrparkkosten</t>
        </is>
      </c>
      <c r="E3205" t="n">
        <v>36227.88</v>
      </c>
      <c r="F3205" t="n">
        <v>434734.54</v>
      </c>
    </row>
    <row r="3206">
      <c r="A3206" t="n">
        <v>2029</v>
      </c>
      <c r="B3206" t="n">
        <v>11</v>
      </c>
      <c r="C3206" t="inlineStr">
        <is>
          <t>Miete Behälter</t>
        </is>
      </c>
      <c r="D3206" t="inlineStr">
        <is>
          <t>Instandh. Betriebsausstattung</t>
        </is>
      </c>
      <c r="E3206" t="n">
        <v>25.29</v>
      </c>
      <c r="F3206" t="n">
        <v>303.45</v>
      </c>
    </row>
    <row r="3207">
      <c r="A3207" t="n">
        <v>2030</v>
      </c>
      <c r="B3207" t="n">
        <v>11</v>
      </c>
      <c r="C3207" t="inlineStr">
        <is>
          <t>Instandh. BGA</t>
        </is>
      </c>
      <c r="D3207" t="inlineStr">
        <is>
          <t>Instandh. Betriebsausstattung</t>
        </is>
      </c>
      <c r="E3207" t="n">
        <v>4880.6</v>
      </c>
      <c r="F3207" t="n">
        <v>58567.23</v>
      </c>
    </row>
    <row r="3208">
      <c r="A3208" t="n">
        <v>2030</v>
      </c>
      <c r="B3208" t="n">
        <v>11</v>
      </c>
      <c r="C3208" t="inlineStr">
        <is>
          <t>Lohn + Gehalt</t>
        </is>
      </c>
      <c r="D3208" t="inlineStr">
        <is>
          <t>Personalaufwand</t>
        </is>
      </c>
      <c r="E3208" t="n">
        <v>392030.8</v>
      </c>
      <c r="F3208" t="n">
        <v>4704369.59</v>
      </c>
    </row>
    <row r="3209">
      <c r="A3209" t="n">
        <v>2027</v>
      </c>
      <c r="B3209" t="n">
        <v>11</v>
      </c>
      <c r="C3209" t="inlineStr">
        <is>
          <t>Bestandsveraend</t>
        </is>
      </c>
      <c r="D3209" t="inlineStr">
        <is>
          <t>Gesamtleistung</t>
        </is>
      </c>
      <c r="E3209" t="n">
        <v>0</v>
      </c>
      <c r="F3209" t="n">
        <v>0</v>
      </c>
    </row>
    <row r="3210">
      <c r="A3210" t="n">
        <v>2027</v>
      </c>
      <c r="B3210" t="n">
        <v>11</v>
      </c>
      <c r="C3210" t="inlineStr">
        <is>
          <t>Aufw. so. Hilfs</t>
        </is>
      </c>
      <c r="D3210" t="inlineStr">
        <is>
          <t>Vorleistungen</t>
        </is>
      </c>
      <c r="E3210" t="n">
        <v>-16362.04</v>
      </c>
      <c r="F3210" t="n">
        <v>-196344.47</v>
      </c>
    </row>
    <row r="3211">
      <c r="A3211" t="n">
        <v>2027</v>
      </c>
      <c r="B3211" t="n">
        <v>11</v>
      </c>
      <c r="C3211" t="inlineStr">
        <is>
          <t>Aufw. f. Alters</t>
        </is>
      </c>
      <c r="D3211" t="inlineStr">
        <is>
          <t>Personalaufwand</t>
        </is>
      </c>
      <c r="E3211" t="n">
        <v>1234.77</v>
      </c>
      <c r="F3211" t="n">
        <v>14817.29</v>
      </c>
    </row>
    <row r="3212">
      <c r="A3212" t="n">
        <v>2027</v>
      </c>
      <c r="B3212" t="n">
        <v>11</v>
      </c>
      <c r="C3212" t="inlineStr">
        <is>
          <t>Vertriebskosten</t>
        </is>
      </c>
      <c r="D3212" t="inlineStr">
        <is>
          <t>Vertriebskosten</t>
        </is>
      </c>
      <c r="E3212" t="n">
        <v>10833.33</v>
      </c>
      <c r="F3212" t="n">
        <v>130000</v>
      </c>
    </row>
    <row r="3213">
      <c r="A3213" t="n">
        <v>2027</v>
      </c>
      <c r="B3213" t="n">
        <v>11</v>
      </c>
      <c r="C3213" t="inlineStr">
        <is>
          <t>Ertrag KFZ-Nutz</t>
        </is>
      </c>
      <c r="D3213" t="inlineStr">
        <is>
          <t>Gesamtleistung</t>
        </is>
      </c>
      <c r="E3213" t="n">
        <v>8029.69</v>
      </c>
      <c r="F3213" t="n">
        <v>96356.3</v>
      </c>
    </row>
    <row r="3214">
      <c r="A3214" t="n">
        <v>2031</v>
      </c>
      <c r="B3214" t="n">
        <v>11</v>
      </c>
      <c r="C3214" t="inlineStr">
        <is>
          <t>Lohn + Gehalt</t>
        </is>
      </c>
      <c r="D3214" t="inlineStr">
        <is>
          <t>Personalaufwand</t>
        </is>
      </c>
      <c r="E3214" t="n">
        <v>428257.62</v>
      </c>
      <c r="F3214" t="n">
        <v>5139091.39</v>
      </c>
    </row>
    <row r="3215">
      <c r="A3215" t="n">
        <v>2031</v>
      </c>
      <c r="B3215" t="n">
        <v>11</v>
      </c>
      <c r="C3215" t="inlineStr">
        <is>
          <t>Soziale Abgaben</t>
        </is>
      </c>
      <c r="D3215" t="inlineStr">
        <is>
          <t>Personalaufwand</t>
        </is>
      </c>
      <c r="E3215" t="n">
        <v>113909.76</v>
      </c>
      <c r="F3215" t="n">
        <v>1366917.09</v>
      </c>
    </row>
    <row r="3216">
      <c r="A3216" t="n">
        <v>2031</v>
      </c>
      <c r="B3216" t="n">
        <v>11</v>
      </c>
      <c r="C3216" t="inlineStr">
        <is>
          <t>Sonst Fuhrparkkosten</t>
        </is>
      </c>
      <c r="D3216" t="inlineStr">
        <is>
          <t>Fuhrparkkosten</t>
        </is>
      </c>
      <c r="E3216" t="n">
        <v>6298.8</v>
      </c>
      <c r="F3216" t="n">
        <v>75585.56</v>
      </c>
    </row>
    <row r="3217">
      <c r="A3217" t="n">
        <v>2030</v>
      </c>
      <c r="B3217" t="n">
        <v>11</v>
      </c>
      <c r="C3217" t="inlineStr">
        <is>
          <t>Miete Behälter</t>
        </is>
      </c>
      <c r="D3217" t="inlineStr">
        <is>
          <t>Instandh. Betriebsausstattung</t>
        </is>
      </c>
      <c r="E3217" t="n">
        <v>26.55</v>
      </c>
      <c r="F3217" t="n">
        <v>318.62</v>
      </c>
    </row>
    <row r="3218">
      <c r="A3218" t="n">
        <v>2028</v>
      </c>
      <c r="B3218" t="n">
        <v>11</v>
      </c>
      <c r="C3218" t="inlineStr">
        <is>
          <t>Miete PKW</t>
        </is>
      </c>
      <c r="D3218" t="inlineStr">
        <is>
          <t>Fuhrparkkosten</t>
        </is>
      </c>
      <c r="E3218" t="n">
        <v>4890.62</v>
      </c>
      <c r="F3218" t="n">
        <v>58687.43</v>
      </c>
    </row>
    <row r="3219">
      <c r="A3219" t="n">
        <v>2030</v>
      </c>
      <c r="B3219" t="n">
        <v>11</v>
      </c>
      <c r="C3219" t="inlineStr">
        <is>
          <t>Aufwand Umlage</t>
        </is>
      </c>
      <c r="D3219" t="inlineStr">
        <is>
          <t>Verwaltungskosten</t>
        </is>
      </c>
      <c r="E3219" t="n">
        <v>3696.96</v>
      </c>
      <c r="F3219" t="n">
        <v>44363.53</v>
      </c>
    </row>
    <row r="3220">
      <c r="A3220" t="n">
        <v>2030</v>
      </c>
      <c r="B3220" t="n">
        <v>11</v>
      </c>
      <c r="C3220" t="inlineStr">
        <is>
          <t>So. betr. Aufwa</t>
        </is>
      </c>
      <c r="D3220" t="inlineStr">
        <is>
          <t>Verwaltungskosten</t>
        </is>
      </c>
      <c r="E3220" t="n">
        <v>714.05</v>
      </c>
      <c r="F3220" t="n">
        <v>8568.57</v>
      </c>
    </row>
    <row r="3221">
      <c r="A3221" t="n">
        <v>2029</v>
      </c>
      <c r="B3221" t="n">
        <v>11</v>
      </c>
      <c r="C3221" t="inlineStr">
        <is>
          <t>Versicherungskosten</t>
        </is>
      </c>
      <c r="D3221" t="inlineStr">
        <is>
          <t>Verwaltungskosten</t>
        </is>
      </c>
      <c r="E3221" t="n">
        <v>11446.7</v>
      </c>
      <c r="F3221" t="n">
        <v>137360.42</v>
      </c>
    </row>
    <row r="3222">
      <c r="A3222" t="n">
        <v>2027</v>
      </c>
      <c r="B3222" t="n">
        <v>11</v>
      </c>
      <c r="C3222" t="inlineStr">
        <is>
          <t>Sonstige Steuer</t>
        </is>
      </c>
      <c r="D3222" t="inlineStr">
        <is>
          <t>Fuhrparkkosten</t>
        </is>
      </c>
      <c r="E3222" t="n">
        <v>1497.31</v>
      </c>
      <c r="F3222" t="n">
        <v>17967.71</v>
      </c>
    </row>
    <row r="3223">
      <c r="A3223" t="n">
        <v>2031</v>
      </c>
      <c r="B3223" t="n">
        <v>11</v>
      </c>
      <c r="C3223" t="inlineStr">
        <is>
          <t>Leasing LKW</t>
        </is>
      </c>
      <c r="D3223" t="inlineStr">
        <is>
          <t>Fuhrparkkosten</t>
        </is>
      </c>
      <c r="E3223" t="n">
        <v>2910.36</v>
      </c>
      <c r="F3223" t="n">
        <v>34924.28</v>
      </c>
    </row>
    <row r="3224">
      <c r="A3224" t="n">
        <v>2029</v>
      </c>
      <c r="B3224" t="n">
        <v>11</v>
      </c>
      <c r="C3224" t="inlineStr">
        <is>
          <t>Leasing LKW</t>
        </is>
      </c>
      <c r="D3224" t="inlineStr">
        <is>
          <t>Fuhrparkkosten</t>
        </is>
      </c>
      <c r="E3224" t="n">
        <v>2590.21</v>
      </c>
      <c r="F3224" t="n">
        <v>31082.49</v>
      </c>
    </row>
    <row r="3225">
      <c r="A3225" t="n">
        <v>2027</v>
      </c>
      <c r="B3225" t="n">
        <v>11</v>
      </c>
      <c r="C3225" t="inlineStr">
        <is>
          <t>Instandh.Fuhrp</t>
        </is>
      </c>
      <c r="D3225" t="inlineStr">
        <is>
          <t>Fuhrparkkosten</t>
        </is>
      </c>
      <c r="E3225" t="n">
        <v>30358.86</v>
      </c>
      <c r="F3225" t="n">
        <v>364306.28</v>
      </c>
    </row>
    <row r="3226">
      <c r="A3226" t="n">
        <v>2029</v>
      </c>
      <c r="B3226" t="n">
        <v>11</v>
      </c>
      <c r="C3226" t="inlineStr">
        <is>
          <t>Vertriebskosten</t>
        </is>
      </c>
      <c r="D3226" t="inlineStr">
        <is>
          <t>Vertriebskosten</t>
        </is>
      </c>
      <c r="E3226" t="n">
        <v>11943.75</v>
      </c>
      <c r="F3226" t="n">
        <v>143325</v>
      </c>
    </row>
    <row r="3227">
      <c r="A3227" t="n">
        <v>2031</v>
      </c>
      <c r="B3227" t="n">
        <v>11</v>
      </c>
      <c r="C3227" t="inlineStr">
        <is>
          <t>Miete Grdst/Gebäud</t>
        </is>
      </c>
      <c r="D3227" t="inlineStr">
        <is>
          <t>Raumkosten</t>
        </is>
      </c>
      <c r="E3227" t="n">
        <v>18975.39</v>
      </c>
      <c r="F3227" t="n">
        <v>227704.65</v>
      </c>
    </row>
    <row r="3228">
      <c r="A3228" t="n">
        <v>2029</v>
      </c>
      <c r="B3228" t="n">
        <v>11</v>
      </c>
      <c r="C3228" t="inlineStr">
        <is>
          <t>Uebr.neutr. Ert</t>
        </is>
      </c>
      <c r="D3228" t="inlineStr">
        <is>
          <t>Gesamtleistung</t>
        </is>
      </c>
      <c r="E3228" t="n">
        <v>189.9</v>
      </c>
      <c r="F3228" t="n">
        <v>2278.85</v>
      </c>
    </row>
    <row r="3229">
      <c r="A3229" t="n">
        <v>2030</v>
      </c>
      <c r="B3229" t="n">
        <v>11</v>
      </c>
      <c r="C3229" t="inlineStr">
        <is>
          <t>Behaelterkosten</t>
        </is>
      </c>
      <c r="D3229" t="inlineStr">
        <is>
          <t>Instandh. Betriebsausstattung</t>
        </is>
      </c>
      <c r="E3229" t="n">
        <v>12.75</v>
      </c>
      <c r="F3229" t="n">
        <v>153.03</v>
      </c>
    </row>
    <row r="3230">
      <c r="A3230" t="n">
        <v>2029</v>
      </c>
      <c r="B3230" t="n">
        <v>11</v>
      </c>
      <c r="C3230" t="inlineStr">
        <is>
          <t>IT-Aufwendungen</t>
        </is>
      </c>
      <c r="D3230" t="inlineStr">
        <is>
          <t>Verwaltungskosten</t>
        </is>
      </c>
      <c r="E3230" t="n">
        <v>12302.44</v>
      </c>
      <c r="F3230" t="n">
        <v>147629.28</v>
      </c>
    </row>
    <row r="3231">
      <c r="A3231" t="n">
        <v>2028</v>
      </c>
      <c r="B3231" t="n">
        <v>11</v>
      </c>
      <c r="C3231" t="inlineStr">
        <is>
          <t>Instandh. BGA</t>
        </is>
      </c>
      <c r="D3231" t="inlineStr">
        <is>
          <t>Instandh. Betriebsausstattung</t>
        </is>
      </c>
      <c r="E3231" t="n">
        <v>4426.85</v>
      </c>
      <c r="F3231" t="n">
        <v>53122.2</v>
      </c>
    </row>
    <row r="3232">
      <c r="A3232" t="n">
        <v>2029</v>
      </c>
      <c r="B3232" t="n">
        <v>11</v>
      </c>
      <c r="C3232" t="inlineStr">
        <is>
          <t>Instandh.Fuhrp</t>
        </is>
      </c>
      <c r="D3232" t="inlineStr">
        <is>
          <t>Fuhrparkkosten</t>
        </is>
      </c>
      <c r="E3232" t="n">
        <v>34111.21</v>
      </c>
      <c r="F3232" t="n">
        <v>409334.56</v>
      </c>
    </row>
    <row r="3233">
      <c r="A3233" t="n">
        <v>2031</v>
      </c>
      <c r="B3233" t="n">
        <v>11</v>
      </c>
      <c r="C3233" t="inlineStr">
        <is>
          <t>Rechts- u. Beratungs</t>
        </is>
      </c>
      <c r="D3233" t="inlineStr">
        <is>
          <t>Verwaltungskosten</t>
        </is>
      </c>
      <c r="E3233" t="n">
        <v>28853.53</v>
      </c>
      <c r="F3233" t="n">
        <v>346242.38</v>
      </c>
    </row>
    <row r="3234">
      <c r="A3234" t="n">
        <v>2029</v>
      </c>
      <c r="B3234" t="n">
        <v>11</v>
      </c>
      <c r="C3234" t="inlineStr">
        <is>
          <t>Ertrag KFZ-Nutz</t>
        </is>
      </c>
      <c r="D3234" t="inlineStr">
        <is>
          <t>Gesamtleistung</t>
        </is>
      </c>
      <c r="E3234" t="n">
        <v>8815.82</v>
      </c>
      <c r="F3234" t="n">
        <v>105789.86</v>
      </c>
    </row>
    <row r="3235">
      <c r="A3235" t="n">
        <v>2030</v>
      </c>
      <c r="B3235" t="n">
        <v>11</v>
      </c>
      <c r="C3235" t="inlineStr">
        <is>
          <t>Ertr. weiterber</t>
        </is>
      </c>
      <c r="D3235" t="inlineStr">
        <is>
          <t>Gesamtleistung</t>
        </is>
      </c>
      <c r="E3235" t="n">
        <v>1104.47</v>
      </c>
      <c r="F3235" t="n">
        <v>13253.67</v>
      </c>
    </row>
    <row r="3236">
      <c r="A3236" t="n">
        <v>2028</v>
      </c>
      <c r="B3236" t="n">
        <v>11</v>
      </c>
      <c r="C3236" t="inlineStr">
        <is>
          <t>Leasing PKW</t>
        </is>
      </c>
      <c r="D3236" t="inlineStr">
        <is>
          <t>Fuhrparkkosten</t>
        </is>
      </c>
      <c r="E3236" t="n">
        <v>23256.85</v>
      </c>
      <c r="F3236" t="n">
        <v>279082.22</v>
      </c>
    </row>
    <row r="3237">
      <c r="A3237" t="n">
        <v>2028</v>
      </c>
      <c r="B3237" t="n">
        <v>11</v>
      </c>
      <c r="C3237" t="inlineStr">
        <is>
          <t>Treibstoffe, Oe</t>
        </is>
      </c>
      <c r="D3237" t="inlineStr">
        <is>
          <t>Fuhrparkkosten</t>
        </is>
      </c>
      <c r="E3237" t="n">
        <v>30417.62</v>
      </c>
      <c r="F3237" t="n">
        <v>365011.49</v>
      </c>
    </row>
    <row r="3238">
      <c r="A3238" t="n">
        <v>2029</v>
      </c>
      <c r="B3238" t="n">
        <v>11</v>
      </c>
      <c r="C3238" t="inlineStr">
        <is>
          <t>Miete PKW</t>
        </is>
      </c>
      <c r="D3238" t="inlineStr">
        <is>
          <t>Fuhrparkkosten</t>
        </is>
      </c>
      <c r="E3238" t="n">
        <v>5184.06</v>
      </c>
      <c r="F3238" t="n">
        <v>62208.67</v>
      </c>
    </row>
    <row r="3239">
      <c r="A3239" t="n">
        <v>2028</v>
      </c>
      <c r="B3239" t="n">
        <v>11</v>
      </c>
      <c r="C3239" t="inlineStr">
        <is>
          <t>Ertr. weiterber</t>
        </is>
      </c>
      <c r="D3239" t="inlineStr">
        <is>
          <t>Gesamtleistung</t>
        </is>
      </c>
      <c r="E3239" t="n">
        <v>980.91</v>
      </c>
      <c r="F3239" t="n">
        <v>11770.87</v>
      </c>
    </row>
    <row r="3240">
      <c r="A3240" t="n">
        <v>2029</v>
      </c>
      <c r="B3240" t="n">
        <v>11</v>
      </c>
      <c r="C3240" t="inlineStr">
        <is>
          <t>Instandh. BGA</t>
        </is>
      </c>
      <c r="D3240" t="inlineStr">
        <is>
          <t>Instandh. Betriebsausstattung</t>
        </is>
      </c>
      <c r="E3240" t="n">
        <v>4648.19</v>
      </c>
      <c r="F3240" t="n">
        <v>55778.31</v>
      </c>
    </row>
    <row r="3241">
      <c r="A3241" t="n">
        <v>2028</v>
      </c>
      <c r="B3241" t="n">
        <v>11</v>
      </c>
      <c r="C3241" t="inlineStr">
        <is>
          <t>Erl. so. DL Dt.</t>
        </is>
      </c>
      <c r="D3241" t="inlineStr">
        <is>
          <t>Gesamtleistung</t>
        </is>
      </c>
      <c r="E3241" t="n">
        <v>2095866.37</v>
      </c>
      <c r="F3241" t="n">
        <v>25150396.49</v>
      </c>
    </row>
    <row r="3242">
      <c r="A3242" t="n">
        <v>2028</v>
      </c>
      <c r="B3242" t="n">
        <v>11</v>
      </c>
      <c r="C3242" t="inlineStr">
        <is>
          <t>IT-Aufwendungen</t>
        </is>
      </c>
      <c r="D3242" t="inlineStr">
        <is>
          <t>Verwaltungskosten</t>
        </is>
      </c>
      <c r="E3242" t="n">
        <v>11944.12</v>
      </c>
      <c r="F3242" t="n">
        <v>143329.39</v>
      </c>
    </row>
    <row r="3243">
      <c r="A3243" t="n">
        <v>2029</v>
      </c>
      <c r="B3243" t="n">
        <v>11</v>
      </c>
      <c r="C3243" t="inlineStr">
        <is>
          <t>Ueb. bezog.Leis</t>
        </is>
      </c>
      <c r="D3243" t="inlineStr">
        <is>
          <t>Vorleistungen</t>
        </is>
      </c>
      <c r="E3243" t="n">
        <v>1364260.58</v>
      </c>
      <c r="F3243" t="n">
        <v>16371126.93</v>
      </c>
    </row>
    <row r="3244">
      <c r="A3244" t="n">
        <v>2031</v>
      </c>
      <c r="B3244" t="n">
        <v>11</v>
      </c>
      <c r="C3244" t="inlineStr">
        <is>
          <t>Sonderz. Prämie</t>
        </is>
      </c>
      <c r="D3244" t="inlineStr">
        <is>
          <t>Personalaufwand</t>
        </is>
      </c>
      <c r="E3244" t="n">
        <v>26838.18</v>
      </c>
      <c r="F3244" t="n">
        <v>322058.2</v>
      </c>
    </row>
    <row r="3245">
      <c r="A3245" t="n">
        <v>2029</v>
      </c>
      <c r="B3245" t="n">
        <v>11</v>
      </c>
      <c r="C3245" t="inlineStr">
        <is>
          <t>Verwaltungskost</t>
        </is>
      </c>
      <c r="D3245" t="inlineStr">
        <is>
          <t>Verwaltungskosten</t>
        </is>
      </c>
      <c r="E3245" t="n">
        <v>7098.98</v>
      </c>
      <c r="F3245" t="n">
        <v>85187.74000000001</v>
      </c>
    </row>
    <row r="3246">
      <c r="A3246" t="n">
        <v>2028</v>
      </c>
      <c r="B3246" t="n">
        <v>11</v>
      </c>
      <c r="C3246" t="inlineStr">
        <is>
          <t>Ertrag KFZ-Nutz</t>
        </is>
      </c>
      <c r="D3246" t="inlineStr">
        <is>
          <t>Gesamtleistung</t>
        </is>
      </c>
      <c r="E3246" t="n">
        <v>8405.780000000001</v>
      </c>
      <c r="F3246" t="n">
        <v>100869.3</v>
      </c>
    </row>
    <row r="3247">
      <c r="A3247" t="n">
        <v>2030</v>
      </c>
      <c r="B3247" t="n">
        <v>11</v>
      </c>
      <c r="C3247" t="inlineStr">
        <is>
          <t>Sonst Fuhrparkkosten</t>
        </is>
      </c>
      <c r="D3247" t="inlineStr">
        <is>
          <t>Fuhrparkkosten</t>
        </is>
      </c>
      <c r="E3247" t="n">
        <v>5942.26</v>
      </c>
      <c r="F3247" t="n">
        <v>71307.13</v>
      </c>
    </row>
    <row r="3248">
      <c r="A3248" t="n">
        <v>2028</v>
      </c>
      <c r="B3248" t="n">
        <v>11</v>
      </c>
      <c r="C3248" t="inlineStr">
        <is>
          <t>Rechts- u. Beratungs</t>
        </is>
      </c>
      <c r="D3248" t="inlineStr">
        <is>
          <t>Verwaltungskosten</t>
        </is>
      </c>
      <c r="E3248" t="n">
        <v>26405.07</v>
      </c>
      <c r="F3248" t="n">
        <v>316860.83</v>
      </c>
    </row>
    <row r="3249">
      <c r="A3249" t="n">
        <v>2027</v>
      </c>
      <c r="B3249" t="n">
        <v>11</v>
      </c>
      <c r="C3249" t="inlineStr">
        <is>
          <t>Leasing LKW</t>
        </is>
      </c>
      <c r="D3249" t="inlineStr">
        <is>
          <t>Fuhrparkkosten</t>
        </is>
      </c>
      <c r="E3249" t="n">
        <v>2305.28</v>
      </c>
      <c r="F3249" t="n">
        <v>27663.3</v>
      </c>
    </row>
    <row r="3250">
      <c r="A3250" t="n">
        <v>2031</v>
      </c>
      <c r="B3250" t="n">
        <v>11</v>
      </c>
      <c r="C3250" t="inlineStr">
        <is>
          <t>Fremdl. Fuhrlei</t>
        </is>
      </c>
      <c r="D3250" t="inlineStr">
        <is>
          <t>Vorleistungen</t>
        </is>
      </c>
      <c r="E3250" t="n">
        <v>374.24</v>
      </c>
      <c r="F3250" t="n">
        <v>4490.84</v>
      </c>
    </row>
    <row r="3251">
      <c r="A3251" t="n">
        <v>2029</v>
      </c>
      <c r="B3251" t="n">
        <v>11</v>
      </c>
      <c r="C3251" t="inlineStr">
        <is>
          <t>Fremdl. Fuhrlei</t>
        </is>
      </c>
      <c r="D3251" t="inlineStr">
        <is>
          <t>Vorleistungen</t>
        </is>
      </c>
      <c r="E3251" t="n">
        <v>362.07</v>
      </c>
      <c r="F3251" t="n">
        <v>4344.88</v>
      </c>
    </row>
    <row r="3252">
      <c r="A3252" t="n">
        <v>2028</v>
      </c>
      <c r="B3252" t="n">
        <v>11</v>
      </c>
      <c r="C3252" t="inlineStr">
        <is>
          <t>Vertriebskosten</t>
        </is>
      </c>
      <c r="D3252" t="inlineStr">
        <is>
          <t>Vertriebskosten</t>
        </is>
      </c>
      <c r="E3252" t="n">
        <v>11375</v>
      </c>
      <c r="F3252" t="n">
        <v>136500</v>
      </c>
    </row>
    <row r="3253">
      <c r="A3253" t="n">
        <v>2031</v>
      </c>
      <c r="B3253" t="n">
        <v>11</v>
      </c>
      <c r="C3253" t="inlineStr">
        <is>
          <t>Aufw. so. Hilfs</t>
        </is>
      </c>
      <c r="D3253" t="inlineStr">
        <is>
          <t>Vorleistungen</t>
        </is>
      </c>
      <c r="E3253" t="n">
        <v>-17544.22</v>
      </c>
      <c r="F3253" t="n">
        <v>-210530.6</v>
      </c>
    </row>
    <row r="3254">
      <c r="A3254" t="n">
        <v>2029</v>
      </c>
      <c r="B3254" t="n">
        <v>11</v>
      </c>
      <c r="C3254" t="inlineStr">
        <is>
          <t>Ankauf Rohstoff</t>
        </is>
      </c>
      <c r="D3254" t="inlineStr">
        <is>
          <t>Vorleistungen</t>
        </is>
      </c>
      <c r="E3254" t="n">
        <v>1473.64</v>
      </c>
      <c r="F3254" t="n">
        <v>17683.65</v>
      </c>
    </row>
    <row r="3255">
      <c r="A3255" t="n">
        <v>2028</v>
      </c>
      <c r="B3255" t="n">
        <v>11</v>
      </c>
      <c r="C3255" t="inlineStr">
        <is>
          <t>Sonstige Steuer</t>
        </is>
      </c>
      <c r="D3255" t="inlineStr">
        <is>
          <t>Fuhrparkkosten</t>
        </is>
      </c>
      <c r="E3255" t="n">
        <v>1587.15</v>
      </c>
      <c r="F3255" t="n">
        <v>19045.76</v>
      </c>
    </row>
    <row r="3256">
      <c r="A3256" t="n">
        <v>2030</v>
      </c>
      <c r="B3256" t="n">
        <v>11</v>
      </c>
      <c r="C3256" t="inlineStr">
        <is>
          <t>Weiterber. Frem</t>
        </is>
      </c>
      <c r="D3256" t="inlineStr">
        <is>
          <t>Vorleistungen</t>
        </is>
      </c>
      <c r="E3256" t="n">
        <v>0</v>
      </c>
      <c r="F3256" t="n">
        <v>0</v>
      </c>
    </row>
    <row r="3257">
      <c r="A3257" t="n">
        <v>2031</v>
      </c>
      <c r="B3257" t="n">
        <v>11</v>
      </c>
      <c r="C3257" t="inlineStr">
        <is>
          <t>Miete Behälter</t>
        </is>
      </c>
      <c r="D3257" t="inlineStr">
        <is>
          <t>Instandh. Betriebsausstattung</t>
        </is>
      </c>
      <c r="E3257" t="n">
        <v>27.88</v>
      </c>
      <c r="F3257" t="n">
        <v>334.55</v>
      </c>
    </row>
    <row r="3258">
      <c r="A3258" t="n">
        <v>2027</v>
      </c>
      <c r="B3258" t="n">
        <v>11</v>
      </c>
      <c r="C3258" t="inlineStr">
        <is>
          <t>Miete Grdst/Gebäud</t>
        </is>
      </c>
      <c r="D3258" t="inlineStr">
        <is>
          <t>Raumkosten</t>
        </is>
      </c>
      <c r="E3258" t="n">
        <v>15284.77</v>
      </c>
      <c r="F3258" t="n">
        <v>183417.26</v>
      </c>
    </row>
    <row r="3259">
      <c r="A3259" t="n">
        <v>2028</v>
      </c>
      <c r="B3259" t="n">
        <v>11</v>
      </c>
      <c r="C3259" t="inlineStr">
        <is>
          <t>Aufw. f. Alters</t>
        </is>
      </c>
      <c r="D3259" t="inlineStr">
        <is>
          <t>Personalaufwand</t>
        </is>
      </c>
      <c r="E3259" t="n">
        <v>1290.05</v>
      </c>
      <c r="F3259" t="n">
        <v>15480.56</v>
      </c>
    </row>
    <row r="3260">
      <c r="A3260" t="n">
        <v>2028</v>
      </c>
      <c r="B3260" t="n">
        <v>11</v>
      </c>
      <c r="C3260" t="inlineStr">
        <is>
          <t>Fremdl. Persona</t>
        </is>
      </c>
      <c r="D3260" t="inlineStr">
        <is>
          <t>Vorleistungen</t>
        </is>
      </c>
      <c r="E3260" t="n">
        <v>69.04000000000001</v>
      </c>
      <c r="F3260" t="n">
        <v>828.42</v>
      </c>
    </row>
    <row r="3261">
      <c r="A3261" t="n">
        <v>2030</v>
      </c>
      <c r="B3261" t="n">
        <v>11</v>
      </c>
      <c r="C3261" t="inlineStr">
        <is>
          <t>Vertriebskosten</t>
        </is>
      </c>
      <c r="D3261" t="inlineStr">
        <is>
          <t>Vertriebskosten</t>
        </is>
      </c>
      <c r="E3261" t="n">
        <v>12540.94</v>
      </c>
      <c r="F3261" t="n">
        <v>150491.26</v>
      </c>
    </row>
    <row r="3262">
      <c r="A3262" t="n">
        <v>2030</v>
      </c>
      <c r="B3262" t="n">
        <v>11</v>
      </c>
      <c r="C3262" t="inlineStr">
        <is>
          <t>Aufw. so. Hilfs</t>
        </is>
      </c>
      <c r="D3262" t="inlineStr">
        <is>
          <t>Vorleistungen</t>
        </is>
      </c>
      <c r="E3262" t="n">
        <v>-17197.35</v>
      </c>
      <c r="F3262" t="n">
        <v>-206368.2</v>
      </c>
    </row>
    <row r="3263">
      <c r="A3263" t="n">
        <v>2029</v>
      </c>
      <c r="B3263" t="n">
        <v>11</v>
      </c>
      <c r="C3263" t="inlineStr">
        <is>
          <t>Aufw. so. Hilfs</t>
        </is>
      </c>
      <c r="D3263" t="inlineStr">
        <is>
          <t>Vorleistungen</t>
        </is>
      </c>
      <c r="E3263" t="n">
        <v>-16834.66</v>
      </c>
      <c r="F3263" t="n">
        <v>-202015.88</v>
      </c>
    </row>
    <row r="3264">
      <c r="A3264" t="n">
        <v>2027</v>
      </c>
      <c r="B3264" t="n">
        <v>11</v>
      </c>
      <c r="C3264" t="inlineStr">
        <is>
          <t>Miete PKW</t>
        </is>
      </c>
      <c r="D3264" t="inlineStr">
        <is>
          <t>Fuhrparkkosten</t>
        </is>
      </c>
      <c r="E3264" t="n">
        <v>4613.79</v>
      </c>
      <c r="F3264" t="n">
        <v>55365.51</v>
      </c>
    </row>
    <row r="3265">
      <c r="A3265" t="n">
        <v>2030</v>
      </c>
      <c r="B3265" t="n">
        <v>11</v>
      </c>
      <c r="C3265" t="inlineStr">
        <is>
          <t>Fremdl. Fuhrlei</t>
        </is>
      </c>
      <c r="D3265" t="inlineStr">
        <is>
          <t>Vorleistungen</t>
        </is>
      </c>
      <c r="E3265" t="n">
        <v>368.3</v>
      </c>
      <c r="F3265" t="n">
        <v>4419.56</v>
      </c>
    </row>
    <row r="3266">
      <c r="A3266" t="n">
        <v>2030</v>
      </c>
      <c r="B3266" t="n">
        <v>11</v>
      </c>
      <c r="C3266" t="inlineStr">
        <is>
          <t>Miete PKW</t>
        </is>
      </c>
      <c r="D3266" t="inlineStr">
        <is>
          <t>Fuhrparkkosten</t>
        </is>
      </c>
      <c r="E3266" t="n">
        <v>5495.1</v>
      </c>
      <c r="F3266" t="n">
        <v>65941.19</v>
      </c>
    </row>
    <row r="3267">
      <c r="A3267" t="n">
        <v>2027</v>
      </c>
      <c r="B3267" t="n">
        <v>11</v>
      </c>
      <c r="C3267" t="inlineStr">
        <is>
          <t>Erl. Waren Dt.</t>
        </is>
      </c>
      <c r="D3267" t="inlineStr">
        <is>
          <t>Gesamtleistung</t>
        </is>
      </c>
      <c r="E3267" t="n">
        <v>42246.46</v>
      </c>
      <c r="F3267" t="n">
        <v>506957.51</v>
      </c>
    </row>
    <row r="3268">
      <c r="A3268" t="n">
        <v>2029</v>
      </c>
      <c r="B3268" t="n">
        <v>11</v>
      </c>
      <c r="C3268" t="inlineStr">
        <is>
          <t>Bestandsveraend</t>
        </is>
      </c>
      <c r="D3268" t="inlineStr">
        <is>
          <t>Gesamtleistung</t>
        </is>
      </c>
      <c r="E3268" t="n">
        <v>0</v>
      </c>
      <c r="F3268" t="n">
        <v>0</v>
      </c>
    </row>
    <row r="3269">
      <c r="A3269" t="n">
        <v>2031</v>
      </c>
      <c r="B3269" t="n">
        <v>11</v>
      </c>
      <c r="C3269" t="inlineStr">
        <is>
          <t>Leasing PKW</t>
        </is>
      </c>
      <c r="D3269" t="inlineStr">
        <is>
          <t>Fuhrparkkosten</t>
        </is>
      </c>
      <c r="E3269" t="n">
        <v>27699.28</v>
      </c>
      <c r="F3269" t="n">
        <v>332391.4</v>
      </c>
    </row>
    <row r="3270">
      <c r="A3270" t="n">
        <v>2029</v>
      </c>
      <c r="B3270" t="n">
        <v>11</v>
      </c>
      <c r="C3270" t="inlineStr">
        <is>
          <t>Behaelterkosten</t>
        </is>
      </c>
      <c r="D3270" t="inlineStr">
        <is>
          <t>Instandh. Betriebsausstattung</t>
        </is>
      </c>
      <c r="E3270" t="n">
        <v>12.15</v>
      </c>
      <c r="F3270" t="n">
        <v>145.74</v>
      </c>
    </row>
    <row r="3271">
      <c r="A3271" t="n">
        <v>2029</v>
      </c>
      <c r="B3271" t="n">
        <v>11</v>
      </c>
      <c r="C3271" t="inlineStr">
        <is>
          <t>Aufwand Umlage</t>
        </is>
      </c>
      <c r="D3271" t="inlineStr">
        <is>
          <t>Verwaltungskosten</t>
        </is>
      </c>
      <c r="E3271" t="n">
        <v>3589.28</v>
      </c>
      <c r="F3271" t="n">
        <v>43071.39</v>
      </c>
    </row>
    <row r="3272">
      <c r="A3272" t="n">
        <v>2030</v>
      </c>
      <c r="B3272" t="n">
        <v>11</v>
      </c>
      <c r="C3272" t="inlineStr">
        <is>
          <t>Instandh.Fuhrp</t>
        </is>
      </c>
      <c r="D3272" t="inlineStr">
        <is>
          <t>Fuhrparkkosten</t>
        </is>
      </c>
      <c r="E3272" t="n">
        <v>36157.89</v>
      </c>
      <c r="F3272" t="n">
        <v>433894.62</v>
      </c>
    </row>
    <row r="3273">
      <c r="A3273" t="n">
        <v>2028</v>
      </c>
      <c r="B3273" t="n">
        <v>11</v>
      </c>
      <c r="C3273" t="inlineStr">
        <is>
          <t>Sonderz. Prämie</t>
        </is>
      </c>
      <c r="D3273" t="inlineStr">
        <is>
          <t>Personalaufwand</t>
        </is>
      </c>
      <c r="E3273" t="n">
        <v>21386.26</v>
      </c>
      <c r="F3273" t="n">
        <v>256635.15</v>
      </c>
    </row>
    <row r="3274">
      <c r="A3274" t="n">
        <v>2029</v>
      </c>
      <c r="B3274" t="n">
        <v>11</v>
      </c>
      <c r="C3274" t="inlineStr">
        <is>
          <t>Aufw. f. Alters</t>
        </is>
      </c>
      <c r="D3274" t="inlineStr">
        <is>
          <t>Personalaufwand</t>
        </is>
      </c>
      <c r="E3274" t="n">
        <v>1366.43</v>
      </c>
      <c r="F3274" t="n">
        <v>16397.15</v>
      </c>
    </row>
    <row r="3275">
      <c r="A3275" t="n">
        <v>2027</v>
      </c>
      <c r="B3275" t="n">
        <v>11</v>
      </c>
      <c r="C3275" t="inlineStr">
        <is>
          <t>Ertr. weiterber</t>
        </is>
      </c>
      <c r="D3275" t="inlineStr">
        <is>
          <t>Gesamtleistung</t>
        </is>
      </c>
      <c r="E3275" t="n">
        <v>919.41</v>
      </c>
      <c r="F3275" t="n">
        <v>11032.96</v>
      </c>
    </row>
    <row r="3276">
      <c r="A3276" t="n">
        <v>2029</v>
      </c>
      <c r="B3276" t="n">
        <v>11</v>
      </c>
      <c r="C3276" t="inlineStr">
        <is>
          <t>So. betr. Aufwa</t>
        </is>
      </c>
      <c r="D3276" t="inlineStr">
        <is>
          <t>Verwaltungskosten</t>
        </is>
      </c>
      <c r="E3276" t="n">
        <v>693.25</v>
      </c>
      <c r="F3276" t="n">
        <v>8319.02</v>
      </c>
    </row>
    <row r="3277">
      <c r="A3277" t="n">
        <v>2031</v>
      </c>
      <c r="B3277" t="n">
        <v>11</v>
      </c>
      <c r="C3277" t="inlineStr">
        <is>
          <t>Ertr. weiterber</t>
        </is>
      </c>
      <c r="D3277" t="inlineStr">
        <is>
          <t>Gesamtleistung</t>
        </is>
      </c>
      <c r="E3277" t="n">
        <v>1173.93</v>
      </c>
      <c r="F3277" t="n">
        <v>14087.11</v>
      </c>
    </row>
    <row r="3278">
      <c r="A3278" t="n">
        <v>2031</v>
      </c>
      <c r="B3278" t="n">
        <v>11</v>
      </c>
      <c r="C3278" t="inlineStr">
        <is>
          <t>Ueb. bezog.Leis</t>
        </is>
      </c>
      <c r="D3278" t="inlineStr">
        <is>
          <t>Vorleistungen</t>
        </is>
      </c>
      <c r="E3278" t="n">
        <v>1404446.73</v>
      </c>
      <c r="F3278" t="n">
        <v>16853360.74</v>
      </c>
    </row>
    <row r="3279">
      <c r="A3279" t="n">
        <v>2027</v>
      </c>
      <c r="B3279" t="n">
        <v>11</v>
      </c>
      <c r="C3279" t="inlineStr">
        <is>
          <t>Fremdl. Fuhrlei</t>
        </is>
      </c>
      <c r="D3279" t="inlineStr">
        <is>
          <t>Vorleistungen</t>
        </is>
      </c>
      <c r="E3279" t="n">
        <v>371.09</v>
      </c>
      <c r="F3279" t="n">
        <v>4453.13</v>
      </c>
    </row>
    <row r="3280">
      <c r="A3280" t="n">
        <v>2027</v>
      </c>
      <c r="B3280" t="n">
        <v>11</v>
      </c>
      <c r="C3280" t="inlineStr">
        <is>
          <t>Behaelterkosten</t>
        </is>
      </c>
      <c r="D3280" t="inlineStr">
        <is>
          <t>Instandh. Betriebsausstattung</t>
        </is>
      </c>
      <c r="E3280" t="n">
        <v>11.02</v>
      </c>
      <c r="F3280" t="n">
        <v>132.19</v>
      </c>
    </row>
    <row r="3281">
      <c r="A3281" t="n">
        <v>2027</v>
      </c>
      <c r="B3281" t="n">
        <v>11</v>
      </c>
      <c r="C3281" t="inlineStr">
        <is>
          <t>Ueb Lohn-Gehalt</t>
        </is>
      </c>
      <c r="D3281" t="inlineStr">
        <is>
          <t>Personalaufwand</t>
        </is>
      </c>
      <c r="E3281" t="n">
        <v>30579.25</v>
      </c>
      <c r="F3281" t="n">
        <v>366951</v>
      </c>
    </row>
    <row r="3282">
      <c r="A3282" t="n">
        <v>2028</v>
      </c>
      <c r="B3282" t="n">
        <v>11</v>
      </c>
      <c r="C3282" t="inlineStr">
        <is>
          <t>Raumkosten</t>
        </is>
      </c>
      <c r="D3282" t="inlineStr">
        <is>
          <t>Raumkosten</t>
        </is>
      </c>
      <c r="E3282" t="n">
        <v>7023.98</v>
      </c>
      <c r="F3282" t="n">
        <v>84287.78</v>
      </c>
    </row>
    <row r="3283">
      <c r="A3283" t="n">
        <v>2031</v>
      </c>
      <c r="B3283" t="n">
        <v>11</v>
      </c>
      <c r="C3283" t="inlineStr">
        <is>
          <t>Bestandsveraend</t>
        </is>
      </c>
      <c r="D3283" t="inlineStr">
        <is>
          <t>Gesamtleistung</t>
        </is>
      </c>
      <c r="E3283" t="n">
        <v>0</v>
      </c>
      <c r="F3283" t="n">
        <v>0</v>
      </c>
    </row>
    <row r="3284">
      <c r="A3284" t="n">
        <v>2029</v>
      </c>
      <c r="B3284" t="n">
        <v>11</v>
      </c>
      <c r="C3284" t="inlineStr">
        <is>
          <t>Lohn + Gehalt</t>
        </is>
      </c>
      <c r="D3284" t="inlineStr">
        <is>
          <t>Personalaufwand</t>
        </is>
      </c>
      <c r="E3284" t="n">
        <v>356250.11</v>
      </c>
      <c r="F3284" t="n">
        <v>4275001.35</v>
      </c>
    </row>
    <row r="3285">
      <c r="A3285" t="n">
        <v>2029</v>
      </c>
      <c r="B3285" t="n">
        <v>11</v>
      </c>
      <c r="C3285" t="inlineStr">
        <is>
          <t>Aufw. Heizmat.</t>
        </is>
      </c>
      <c r="D3285" t="inlineStr">
        <is>
          <t>Vorleistungen</t>
        </is>
      </c>
      <c r="E3285" t="n">
        <v>245.07</v>
      </c>
      <c r="F3285" t="n">
        <v>2940.88</v>
      </c>
    </row>
    <row r="3286">
      <c r="A3286" t="n">
        <v>2031</v>
      </c>
      <c r="B3286" t="n">
        <v>11</v>
      </c>
      <c r="C3286" t="inlineStr">
        <is>
          <t>Verwaltungskost</t>
        </is>
      </c>
      <c r="D3286" t="inlineStr">
        <is>
          <t>Verwaltungskosten</t>
        </is>
      </c>
      <c r="E3286" t="n">
        <v>7531.31</v>
      </c>
      <c r="F3286" t="n">
        <v>90375.69</v>
      </c>
    </row>
    <row r="3287">
      <c r="A3287" t="n">
        <v>2028</v>
      </c>
      <c r="B3287" t="n">
        <v>11</v>
      </c>
      <c r="C3287" t="inlineStr">
        <is>
          <t>Erl. Waren Dt.</t>
        </is>
      </c>
      <c r="D3287" t="inlineStr">
        <is>
          <t>Gesamtleistung</t>
        </is>
      </c>
      <c r="E3287" t="n">
        <v>44950.49</v>
      </c>
      <c r="F3287" t="n">
        <v>539405.87</v>
      </c>
    </row>
    <row r="3288">
      <c r="A3288" t="n">
        <v>2030</v>
      </c>
      <c r="B3288" t="n">
        <v>11</v>
      </c>
      <c r="C3288" t="inlineStr">
        <is>
          <t>Uebr.neutr. Ert</t>
        </is>
      </c>
      <c r="D3288" t="inlineStr">
        <is>
          <t>Gesamtleistung</t>
        </is>
      </c>
      <c r="E3288" t="n">
        <v>207.38</v>
      </c>
      <c r="F3288" t="n">
        <v>2488.5</v>
      </c>
    </row>
    <row r="3289">
      <c r="A3289" t="n">
        <v>2030</v>
      </c>
      <c r="B3289" t="n">
        <v>11</v>
      </c>
      <c r="C3289" t="inlineStr">
        <is>
          <t>Raumkosten</t>
        </is>
      </c>
      <c r="D3289" t="inlineStr">
        <is>
          <t>Raumkosten</t>
        </is>
      </c>
      <c r="E3289" t="n">
        <v>7307.75</v>
      </c>
      <c r="F3289" t="n">
        <v>87693</v>
      </c>
    </row>
    <row r="3290">
      <c r="A3290" t="n">
        <v>2030</v>
      </c>
      <c r="B3290" t="n">
        <v>11</v>
      </c>
      <c r="C3290" t="inlineStr">
        <is>
          <t>Fremdl. Persona</t>
        </is>
      </c>
      <c r="D3290" t="inlineStr">
        <is>
          <t>Vorleistungen</t>
        </is>
      </c>
      <c r="E3290" t="n">
        <v>76.56999999999999</v>
      </c>
      <c r="F3290" t="n">
        <v>918.79</v>
      </c>
    </row>
    <row r="3291">
      <c r="A3291" t="n">
        <v>2027</v>
      </c>
      <c r="B3291" t="n">
        <v>11</v>
      </c>
      <c r="C3291" t="inlineStr">
        <is>
          <t>Leasing PKW</t>
        </is>
      </c>
      <c r="D3291" t="inlineStr">
        <is>
          <t>Fuhrparkkosten</t>
        </is>
      </c>
      <c r="E3291" t="n">
        <v>21940.43</v>
      </c>
      <c r="F3291" t="n">
        <v>263285.11</v>
      </c>
    </row>
    <row r="3292">
      <c r="A3292" t="n">
        <v>2030</v>
      </c>
      <c r="B3292" t="n">
        <v>11</v>
      </c>
      <c r="C3292" t="inlineStr">
        <is>
          <t>Ertrag KFZ-Nutz</t>
        </is>
      </c>
      <c r="D3292" t="inlineStr">
        <is>
          <t>Gesamtleistung</t>
        </is>
      </c>
      <c r="E3292" t="n">
        <v>9193.41</v>
      </c>
      <c r="F3292" t="n">
        <v>110320.94</v>
      </c>
    </row>
    <row r="3293">
      <c r="A3293" t="n">
        <v>2028</v>
      </c>
      <c r="B3293" t="n">
        <v>11</v>
      </c>
      <c r="C3293" t="inlineStr">
        <is>
          <t>Uebr.neutr. Ert</t>
        </is>
      </c>
      <c r="D3293" t="inlineStr">
        <is>
          <t>Gesamtleistung</t>
        </is>
      </c>
      <c r="E3293" t="n">
        <v>151.92</v>
      </c>
      <c r="F3293" t="n">
        <v>1823.08</v>
      </c>
    </row>
    <row r="3294">
      <c r="A3294" t="n">
        <v>2030</v>
      </c>
      <c r="B3294" t="n">
        <v>11</v>
      </c>
      <c r="C3294" t="inlineStr">
        <is>
          <t>Soziale Abgaben</t>
        </is>
      </c>
      <c r="D3294" t="inlineStr">
        <is>
          <t>Personalaufwand</t>
        </is>
      </c>
      <c r="E3294" t="n">
        <v>104141.87</v>
      </c>
      <c r="F3294" t="n">
        <v>1249702.47</v>
      </c>
    </row>
    <row r="3295">
      <c r="A3295" t="n">
        <v>2030</v>
      </c>
      <c r="B3295" t="n">
        <v>11</v>
      </c>
      <c r="C3295" t="inlineStr">
        <is>
          <t>Ankauf Rohstoff</t>
        </is>
      </c>
      <c r="D3295" t="inlineStr">
        <is>
          <t>Vorleistungen</t>
        </is>
      </c>
      <c r="E3295" t="n">
        <v>1483.55</v>
      </c>
      <c r="F3295" t="n">
        <v>17802.65</v>
      </c>
    </row>
    <row r="3296">
      <c r="A3296" t="n">
        <v>2031</v>
      </c>
      <c r="B3296" t="n">
        <v>11</v>
      </c>
      <c r="C3296" t="inlineStr">
        <is>
          <t>Aufw. Heizmat.</t>
        </is>
      </c>
      <c r="D3296" t="inlineStr">
        <is>
          <t>Vorleistungen</t>
        </is>
      </c>
      <c r="E3296" t="n">
        <v>216.16</v>
      </c>
      <c r="F3296" t="n">
        <v>2593.97</v>
      </c>
    </row>
    <row r="3297">
      <c r="A3297" t="n">
        <v>2030</v>
      </c>
      <c r="B3297" t="n">
        <v>11</v>
      </c>
      <c r="C3297" t="inlineStr">
        <is>
          <t>IT-Aufwendungen</t>
        </is>
      </c>
      <c r="D3297" t="inlineStr">
        <is>
          <t>Verwaltungskosten</t>
        </is>
      </c>
      <c r="E3297" t="n">
        <v>12671.51</v>
      </c>
      <c r="F3297" t="n">
        <v>152058.16</v>
      </c>
    </row>
    <row r="3298">
      <c r="A3298" t="n">
        <v>2027</v>
      </c>
      <c r="B3298" t="n">
        <v>11</v>
      </c>
      <c r="C3298" t="inlineStr">
        <is>
          <t>Treibstoffe, Oe</t>
        </is>
      </c>
      <c r="D3298" t="inlineStr">
        <is>
          <t>Fuhrparkkosten</t>
        </is>
      </c>
      <c r="E3298" t="n">
        <v>28695.87</v>
      </c>
      <c r="F3298" t="n">
        <v>344350.48</v>
      </c>
    </row>
    <row r="3299">
      <c r="A3299" t="n">
        <v>2028</v>
      </c>
      <c r="B3299" t="n">
        <v>11</v>
      </c>
      <c r="C3299" t="inlineStr">
        <is>
          <t>Aufw. Heizmat.</t>
        </is>
      </c>
      <c r="D3299" t="inlineStr">
        <is>
          <t>Vorleistungen</t>
        </is>
      </c>
      <c r="E3299" t="n">
        <v>260.43</v>
      </c>
      <c r="F3299" t="n">
        <v>3125.13</v>
      </c>
    </row>
    <row r="3300">
      <c r="A3300" t="n">
        <v>2031</v>
      </c>
      <c r="B3300" t="n">
        <v>11</v>
      </c>
      <c r="C3300" t="inlineStr">
        <is>
          <t>Ertrag KFZ-Nutz</t>
        </is>
      </c>
      <c r="D3300" t="inlineStr">
        <is>
          <t>Gesamtleistung</t>
        </is>
      </c>
      <c r="E3300" t="n">
        <v>9597.290000000001</v>
      </c>
      <c r="F3300" t="n">
        <v>115167.5</v>
      </c>
    </row>
    <row r="3301">
      <c r="A3301" t="n">
        <v>2027</v>
      </c>
      <c r="B3301" t="n">
        <v>11</v>
      </c>
      <c r="C3301" t="inlineStr">
        <is>
          <t>Raumkosten</t>
        </is>
      </c>
      <c r="D3301" t="inlineStr">
        <is>
          <t>Raumkosten</t>
        </is>
      </c>
      <c r="E3301" t="n">
        <v>5046.85</v>
      </c>
      <c r="F3301" t="n">
        <v>60562.14</v>
      </c>
    </row>
    <row r="3302">
      <c r="A3302" t="n">
        <v>2028</v>
      </c>
      <c r="B3302" t="n">
        <v>11</v>
      </c>
      <c r="C3302" t="inlineStr">
        <is>
          <t>Soziale Abgaben</t>
        </is>
      </c>
      <c r="D3302" t="inlineStr">
        <is>
          <t>Personalaufwand</t>
        </is>
      </c>
      <c r="E3302" t="n">
        <v>85007.57000000001</v>
      </c>
      <c r="F3302" t="n">
        <v>1020090.84</v>
      </c>
    </row>
    <row r="3303">
      <c r="A3303" t="n">
        <v>2029</v>
      </c>
      <c r="B3303" t="n">
        <v>11</v>
      </c>
      <c r="C3303" t="inlineStr">
        <is>
          <t>Miete Grdst/Gebäud</t>
        </is>
      </c>
      <c r="D3303" t="inlineStr">
        <is>
          <t>Raumkosten</t>
        </is>
      </c>
      <c r="E3303" t="n">
        <v>18238.55</v>
      </c>
      <c r="F3303" t="n">
        <v>218862.64</v>
      </c>
    </row>
    <row r="3304">
      <c r="A3304" t="n">
        <v>2031</v>
      </c>
      <c r="B3304" t="n">
        <v>11</v>
      </c>
      <c r="C3304" t="inlineStr">
        <is>
          <t>Raumkosten</t>
        </is>
      </c>
      <c r="D3304" t="inlineStr">
        <is>
          <t>Raumkosten</t>
        </is>
      </c>
      <c r="E3304" t="n">
        <v>7453.91</v>
      </c>
      <c r="F3304" t="n">
        <v>89446.89</v>
      </c>
    </row>
    <row r="3305">
      <c r="A3305" t="n">
        <v>2031</v>
      </c>
      <c r="B3305" t="n">
        <v>11</v>
      </c>
      <c r="C3305" t="inlineStr">
        <is>
          <t>Behaelterkosten</t>
        </is>
      </c>
      <c r="D3305" t="inlineStr">
        <is>
          <t>Instandh. Betriebsausstattung</t>
        </is>
      </c>
      <c r="E3305" t="n">
        <v>13.39</v>
      </c>
      <c r="F3305" t="n">
        <v>160.68</v>
      </c>
    </row>
    <row r="3306">
      <c r="A3306" t="n">
        <v>2031</v>
      </c>
      <c r="B3306" t="n">
        <v>11</v>
      </c>
      <c r="C3306" t="inlineStr">
        <is>
          <t>Instandh.Fuhrp</t>
        </is>
      </c>
      <c r="D3306" t="inlineStr">
        <is>
          <t>Fuhrparkkosten</t>
        </is>
      </c>
      <c r="E3306" t="n">
        <v>38327.36</v>
      </c>
      <c r="F3306" t="n">
        <v>459928.28</v>
      </c>
    </row>
    <row r="3307">
      <c r="A3307" t="n">
        <v>2030</v>
      </c>
      <c r="B3307" t="n">
        <v>11</v>
      </c>
      <c r="C3307" t="inlineStr">
        <is>
          <t>Ueb. bezog.Leis</t>
        </is>
      </c>
      <c r="D3307" t="inlineStr">
        <is>
          <t>Vorleistungen</t>
        </is>
      </c>
      <c r="E3307" t="n">
        <v>1385029.28</v>
      </c>
      <c r="F3307" t="n">
        <v>16620351.38</v>
      </c>
    </row>
    <row r="3308">
      <c r="A3308" t="n">
        <v>2027</v>
      </c>
      <c r="B3308" t="n">
        <v>11</v>
      </c>
      <c r="C3308" t="inlineStr">
        <is>
          <t>Miete LKW,Schiffe</t>
        </is>
      </c>
      <c r="D3308" t="inlineStr">
        <is>
          <t>Fuhrparkkosten</t>
        </is>
      </c>
      <c r="E3308" t="n">
        <v>36751.61</v>
      </c>
      <c r="F3308" t="n">
        <v>441019.28</v>
      </c>
    </row>
    <row r="3309">
      <c r="A3309" t="n">
        <v>2030</v>
      </c>
      <c r="B3309" t="n">
        <v>11</v>
      </c>
      <c r="C3309" t="inlineStr">
        <is>
          <t>Leasing LKW</t>
        </is>
      </c>
      <c r="D3309" t="inlineStr">
        <is>
          <t>Fuhrparkkosten</t>
        </is>
      </c>
      <c r="E3309" t="n">
        <v>2745.62</v>
      </c>
      <c r="F3309" t="n">
        <v>32947.44</v>
      </c>
    </row>
    <row r="3310">
      <c r="A3310" t="n">
        <v>2031</v>
      </c>
      <c r="B3310" t="n">
        <v>11</v>
      </c>
      <c r="C3310" t="inlineStr">
        <is>
          <t>Vertriebskosten</t>
        </is>
      </c>
      <c r="D3310" t="inlineStr">
        <is>
          <t>Vertriebskosten</t>
        </is>
      </c>
      <c r="E3310" t="n">
        <v>13167.99</v>
      </c>
      <c r="F3310" t="n">
        <v>158015.82</v>
      </c>
    </row>
    <row r="3311">
      <c r="A3311" t="n">
        <v>2028</v>
      </c>
      <c r="B3311" t="n">
        <v>11</v>
      </c>
      <c r="C3311" t="inlineStr">
        <is>
          <t>Behaelterkosten</t>
        </is>
      </c>
      <c r="D3311" t="inlineStr">
        <is>
          <t>Instandh. Betriebsausstattung</t>
        </is>
      </c>
      <c r="E3311" t="n">
        <v>11.57</v>
      </c>
      <c r="F3311" t="n">
        <v>138.8</v>
      </c>
    </row>
    <row r="3312">
      <c r="A3312" t="n">
        <v>2030</v>
      </c>
      <c r="B3312" t="n">
        <v>11</v>
      </c>
      <c r="C3312" t="inlineStr">
        <is>
          <t>Verwaltungskost</t>
        </is>
      </c>
      <c r="D3312" t="inlineStr">
        <is>
          <t>Verwaltungskosten</t>
        </is>
      </c>
      <c r="E3312" t="n">
        <v>7311.95</v>
      </c>
      <c r="F3312" t="n">
        <v>87743.38</v>
      </c>
    </row>
    <row r="3313">
      <c r="A3313" t="n">
        <v>2030</v>
      </c>
      <c r="B3313" t="n">
        <v>11</v>
      </c>
      <c r="C3313" t="inlineStr">
        <is>
          <t>Rechts- u. Beratungs</t>
        </is>
      </c>
      <c r="D3313" t="inlineStr">
        <is>
          <t>Verwaltungskosten</t>
        </is>
      </c>
      <c r="E3313" t="n">
        <v>28013.14</v>
      </c>
      <c r="F3313" t="n">
        <v>336157.66</v>
      </c>
    </row>
    <row r="3314">
      <c r="A3314" t="n">
        <v>2028</v>
      </c>
      <c r="B3314" t="n">
        <v>11</v>
      </c>
      <c r="C3314" t="inlineStr">
        <is>
          <t>Sonst Fuhrparkkosten</t>
        </is>
      </c>
      <c r="D3314" t="inlineStr">
        <is>
          <t>Fuhrparkkosten</t>
        </is>
      </c>
      <c r="E3314" t="n">
        <v>5288.59</v>
      </c>
      <c r="F3314" t="n">
        <v>63463.1</v>
      </c>
    </row>
    <row r="3315">
      <c r="A3315" t="n">
        <v>2029</v>
      </c>
      <c r="B3315" t="n">
        <v>11</v>
      </c>
      <c r="C3315" t="inlineStr">
        <is>
          <t>Erl. so. DL Dt.</t>
        </is>
      </c>
      <c r="D3315" t="inlineStr">
        <is>
          <t>Gesamtleistung</t>
        </is>
      </c>
      <c r="E3315" t="n">
        <v>2200755.15</v>
      </c>
      <c r="F3315" t="n">
        <v>26409061.76</v>
      </c>
    </row>
    <row r="3316">
      <c r="A3316" t="n">
        <v>2031</v>
      </c>
      <c r="B3316" t="n">
        <v>11</v>
      </c>
      <c r="C3316" t="inlineStr">
        <is>
          <t>Uebr.neutr. Ert</t>
        </is>
      </c>
      <c r="D3316" t="inlineStr">
        <is>
          <t>Gesamtleistung</t>
        </is>
      </c>
      <c r="E3316" t="n">
        <v>227.28</v>
      </c>
      <c r="F3316" t="n">
        <v>2727.33</v>
      </c>
    </row>
    <row r="3317">
      <c r="A3317" t="n">
        <v>2030</v>
      </c>
      <c r="B3317" t="n">
        <v>11</v>
      </c>
      <c r="C3317" t="inlineStr">
        <is>
          <t>Erl. Waren Dt.</t>
        </is>
      </c>
      <c r="D3317" t="inlineStr">
        <is>
          <t>Gesamtleistung</t>
        </is>
      </c>
      <c r="E3317" t="n">
        <v>49038.99</v>
      </c>
      <c r="F3317" t="n">
        <v>588467.85</v>
      </c>
    </row>
    <row r="3318">
      <c r="A3318" t="n">
        <v>2028</v>
      </c>
      <c r="B3318" t="n">
        <v>11</v>
      </c>
      <c r="C3318" t="inlineStr">
        <is>
          <t>Weiterber. Frem</t>
        </is>
      </c>
      <c r="D3318" t="inlineStr">
        <is>
          <t>Vorleistungen</t>
        </is>
      </c>
      <c r="E3318" t="n">
        <v>0</v>
      </c>
      <c r="F3318" t="n">
        <v>0</v>
      </c>
    </row>
    <row r="3319">
      <c r="A3319" t="n">
        <v>2027</v>
      </c>
      <c r="B3319" t="n">
        <v>11</v>
      </c>
      <c r="C3319" t="inlineStr">
        <is>
          <t>IT-Aufwendungen</t>
        </is>
      </c>
      <c r="D3319" t="inlineStr">
        <is>
          <t>Verwaltungskosten</t>
        </is>
      </c>
      <c r="E3319" t="n">
        <v>11596.23</v>
      </c>
      <c r="F3319" t="n">
        <v>139154.76</v>
      </c>
    </row>
    <row r="3320">
      <c r="A3320" t="n">
        <v>2028</v>
      </c>
      <c r="B3320" t="n">
        <v>11</v>
      </c>
      <c r="C3320" t="inlineStr">
        <is>
          <t>Leasing LKW</t>
        </is>
      </c>
      <c r="D3320" t="inlineStr">
        <is>
          <t>Fuhrparkkosten</t>
        </is>
      </c>
      <c r="E3320" t="n">
        <v>2443.59</v>
      </c>
      <c r="F3320" t="n">
        <v>29323.11</v>
      </c>
    </row>
    <row r="3321">
      <c r="A3321" t="n">
        <v>2031</v>
      </c>
      <c r="B3321" t="n">
        <v>11</v>
      </c>
      <c r="C3321" t="inlineStr">
        <is>
          <t>Weiterber. Frem</t>
        </is>
      </c>
      <c r="D3321" t="inlineStr">
        <is>
          <t>Vorleistungen</t>
        </is>
      </c>
      <c r="E3321" t="n">
        <v>0</v>
      </c>
      <c r="F3321" t="n">
        <v>0</v>
      </c>
    </row>
    <row r="3322">
      <c r="A3322" t="n">
        <v>2028</v>
      </c>
      <c r="B3322" t="n">
        <v>11</v>
      </c>
      <c r="C3322" t="inlineStr">
        <is>
          <t>Lohn + Gehalt</t>
        </is>
      </c>
      <c r="D3322" t="inlineStr">
        <is>
          <t>Personalaufwand</t>
        </is>
      </c>
      <c r="E3322" t="n">
        <v>321097.26</v>
      </c>
      <c r="F3322" t="n">
        <v>3853167.13</v>
      </c>
    </row>
    <row r="3323">
      <c r="A3323" t="n">
        <v>2029</v>
      </c>
      <c r="B3323" t="n">
        <v>11</v>
      </c>
      <c r="C3323" t="inlineStr">
        <is>
          <t>Miete LKW,Schiffe</t>
        </is>
      </c>
      <c r="D3323" t="inlineStr">
        <is>
          <t>Fuhrparkkosten</t>
        </is>
      </c>
      <c r="E3323" t="n">
        <v>41294.11</v>
      </c>
      <c r="F3323" t="n">
        <v>495529.28</v>
      </c>
    </row>
    <row r="3324">
      <c r="A3324" t="n">
        <v>2030</v>
      </c>
      <c r="B3324" t="n">
        <v>11</v>
      </c>
      <c r="C3324" t="inlineStr">
        <is>
          <t>Erl. so. DL Dt.</t>
        </is>
      </c>
      <c r="D3324" t="inlineStr">
        <is>
          <t>Gesamtleistung</t>
        </is>
      </c>
      <c r="E3324" t="n">
        <v>2311684.01</v>
      </c>
      <c r="F3324" t="n">
        <v>27740208.09</v>
      </c>
    </row>
    <row r="3325">
      <c r="A3325" t="n">
        <v>2030</v>
      </c>
      <c r="B3325" t="n">
        <v>11</v>
      </c>
      <c r="C3325" t="inlineStr">
        <is>
          <t>Versicherungskosten</t>
        </is>
      </c>
      <c r="D3325" t="inlineStr">
        <is>
          <t>Verwaltungskosten</t>
        </is>
      </c>
      <c r="E3325" t="n">
        <v>11790.1</v>
      </c>
      <c r="F3325" t="n">
        <v>141481.23</v>
      </c>
    </row>
    <row r="3326">
      <c r="A3326" t="n">
        <v>2029</v>
      </c>
      <c r="B3326" t="n">
        <v>11</v>
      </c>
      <c r="C3326" t="inlineStr">
        <is>
          <t>Sonstige Steuer</t>
        </is>
      </c>
      <c r="D3326" t="inlineStr">
        <is>
          <t>Fuhrparkkosten</t>
        </is>
      </c>
      <c r="E3326" t="n">
        <v>1682.38</v>
      </c>
      <c r="F3326" t="n">
        <v>20188.51</v>
      </c>
    </row>
    <row r="3327">
      <c r="A3327" t="n">
        <v>2027</v>
      </c>
      <c r="B3327" t="n">
        <v>11</v>
      </c>
      <c r="C3327" t="inlineStr">
        <is>
          <t>Sonst Fuhrparkkosten</t>
        </is>
      </c>
      <c r="D3327" t="inlineStr">
        <is>
          <t>Fuhrparkkosten</t>
        </is>
      </c>
      <c r="E3327" t="n">
        <v>4989.24</v>
      </c>
      <c r="F3327" t="n">
        <v>59870.86</v>
      </c>
    </row>
    <row r="3328">
      <c r="A3328" t="n">
        <v>2028</v>
      </c>
      <c r="B3328" t="n">
        <v>11</v>
      </c>
      <c r="C3328" t="inlineStr">
        <is>
          <t>Bestandsveraend</t>
        </is>
      </c>
      <c r="D3328" t="inlineStr">
        <is>
          <t>Gesamtleistung</t>
        </is>
      </c>
      <c r="E3328" t="n">
        <v>0</v>
      </c>
      <c r="F3328" t="n">
        <v>0</v>
      </c>
    </row>
    <row r="3329">
      <c r="A3329" t="n">
        <v>2028</v>
      </c>
      <c r="B3329" t="n">
        <v>11</v>
      </c>
      <c r="C3329" t="inlineStr">
        <is>
          <t>So. betr. Aufwa</t>
        </is>
      </c>
      <c r="D3329" t="inlineStr">
        <is>
          <t>Verwaltungskosten</t>
        </is>
      </c>
      <c r="E3329" t="n">
        <v>673.0599999999999</v>
      </c>
      <c r="F3329" t="n">
        <v>8076.71</v>
      </c>
    </row>
    <row r="3330">
      <c r="A3330" t="n">
        <v>2030</v>
      </c>
      <c r="B3330" t="n">
        <v>11</v>
      </c>
      <c r="C3330" t="inlineStr">
        <is>
          <t>Miete LKW,Schiffe</t>
        </is>
      </c>
      <c r="D3330" t="inlineStr">
        <is>
          <t>Fuhrparkkosten</t>
        </is>
      </c>
      <c r="E3330" t="n">
        <v>43771.75</v>
      </c>
      <c r="F3330" t="n">
        <v>525261.04</v>
      </c>
    </row>
    <row r="3331">
      <c r="A3331" t="n">
        <v>2028</v>
      </c>
      <c r="B3331" t="n">
        <v>11</v>
      </c>
      <c r="C3331" t="inlineStr">
        <is>
          <t>Miete LKW,Schiffe</t>
        </is>
      </c>
      <c r="D3331" t="inlineStr">
        <is>
          <t>Fuhrparkkosten</t>
        </is>
      </c>
      <c r="E3331" t="n">
        <v>38956.71</v>
      </c>
      <c r="F3331" t="n">
        <v>467480.47</v>
      </c>
    </row>
    <row r="3332">
      <c r="A3332" t="n">
        <v>2028</v>
      </c>
      <c r="B3332" t="n">
        <v>11</v>
      </c>
      <c r="C3332" t="inlineStr">
        <is>
          <t>sonst Personalk</t>
        </is>
      </c>
      <c r="D3332" t="inlineStr">
        <is>
          <t>Personalaufwand</t>
        </is>
      </c>
      <c r="E3332" t="n">
        <v>12597.51</v>
      </c>
      <c r="F3332" t="n">
        <v>151170.09</v>
      </c>
    </row>
    <row r="3333">
      <c r="A3333" t="n">
        <v>2030</v>
      </c>
      <c r="B3333" t="n">
        <v>11</v>
      </c>
      <c r="C3333" t="inlineStr">
        <is>
          <t>Leasing PKW</t>
        </is>
      </c>
      <c r="D3333" t="inlineStr">
        <is>
          <t>Fuhrparkkosten</t>
        </is>
      </c>
      <c r="E3333" t="n">
        <v>26131.4</v>
      </c>
      <c r="F3333" t="n">
        <v>313576.76</v>
      </c>
    </row>
    <row r="3334">
      <c r="A3334" t="n">
        <v>2031</v>
      </c>
      <c r="B3334" t="n">
        <v>11</v>
      </c>
      <c r="C3334" t="inlineStr">
        <is>
          <t>Aufwand Umlage</t>
        </is>
      </c>
      <c r="D3334" t="inlineStr">
        <is>
          <t>Verwaltungskosten</t>
        </is>
      </c>
      <c r="E3334" t="n">
        <v>3807.87</v>
      </c>
      <c r="F3334" t="n">
        <v>45694.43</v>
      </c>
    </row>
    <row r="3335">
      <c r="A3335" t="n">
        <v>2031</v>
      </c>
      <c r="B3335" t="n">
        <v>11</v>
      </c>
      <c r="C3335" t="inlineStr">
        <is>
          <t>sonst Personalk</t>
        </is>
      </c>
      <c r="D3335" t="inlineStr">
        <is>
          <t>Personalaufwand</t>
        </is>
      </c>
      <c r="E3335" t="n">
        <v>17070.54</v>
      </c>
      <c r="F3335" t="n">
        <v>204846.51</v>
      </c>
    </row>
    <row r="3336">
      <c r="A3336" t="n">
        <v>2027</v>
      </c>
      <c r="B3336" t="n">
        <v>11</v>
      </c>
      <c r="C3336" t="inlineStr">
        <is>
          <t>sonst Personalk</t>
        </is>
      </c>
      <c r="D3336" t="inlineStr">
        <is>
          <t>Personalaufwand</t>
        </is>
      </c>
      <c r="E3336" t="n">
        <v>10949.84</v>
      </c>
      <c r="F3336" t="n">
        <v>131398.1</v>
      </c>
    </row>
    <row r="3337">
      <c r="A3337" t="n">
        <v>2031</v>
      </c>
      <c r="B3337" t="n">
        <v>11</v>
      </c>
      <c r="C3337" t="inlineStr">
        <is>
          <t>Miete PKW</t>
        </is>
      </c>
      <c r="D3337" t="inlineStr">
        <is>
          <t>Fuhrparkkosten</t>
        </is>
      </c>
      <c r="E3337" t="n">
        <v>5824.81</v>
      </c>
      <c r="F3337" t="n">
        <v>69897.67</v>
      </c>
    </row>
    <row r="3338">
      <c r="A3338" t="n">
        <v>2029</v>
      </c>
      <c r="B3338" t="n">
        <v>11</v>
      </c>
      <c r="C3338" t="inlineStr">
        <is>
          <t>Raumkosten</t>
        </is>
      </c>
      <c r="D3338" t="inlineStr">
        <is>
          <t>Raumkosten</t>
        </is>
      </c>
      <c r="E3338" t="n">
        <v>7164.46</v>
      </c>
      <c r="F3338" t="n">
        <v>85973.53</v>
      </c>
    </row>
    <row r="3339">
      <c r="A3339" t="n">
        <v>2031</v>
      </c>
      <c r="B3339" t="n">
        <v>11</v>
      </c>
      <c r="C3339" t="inlineStr">
        <is>
          <t>Aufw. f. Alters</t>
        </is>
      </c>
      <c r="D3339" t="inlineStr">
        <is>
          <t>Personalaufwand</t>
        </is>
      </c>
      <c r="E3339" t="n">
        <v>1434.03</v>
      </c>
      <c r="F3339" t="n">
        <v>17208.41</v>
      </c>
    </row>
    <row r="3340">
      <c r="A3340" t="n">
        <v>2031</v>
      </c>
      <c r="B3340" t="n">
        <v>11</v>
      </c>
      <c r="C3340" t="inlineStr">
        <is>
          <t>IT-Aufwendungen</t>
        </is>
      </c>
      <c r="D3340" t="inlineStr">
        <is>
          <t>Verwaltungskosten</t>
        </is>
      </c>
      <c r="E3340" t="n">
        <v>13051.66</v>
      </c>
      <c r="F3340" t="n">
        <v>156619.9</v>
      </c>
    </row>
    <row r="3341">
      <c r="A3341" t="n">
        <v>2028</v>
      </c>
      <c r="B3341" t="n">
        <v>11</v>
      </c>
      <c r="C3341" t="inlineStr">
        <is>
          <t>Miete Grdst/Gebäud</t>
        </is>
      </c>
      <c r="D3341" t="inlineStr">
        <is>
          <t>Raumkosten</t>
        </is>
      </c>
      <c r="E3341" t="n">
        <v>17880.93</v>
      </c>
      <c r="F3341" t="n">
        <v>214571.21</v>
      </c>
    </row>
    <row r="3342">
      <c r="A3342" t="n">
        <v>2027</v>
      </c>
      <c r="B3342" t="n">
        <v>11</v>
      </c>
      <c r="C3342" t="inlineStr">
        <is>
          <t>Erloesschmaeler</t>
        </is>
      </c>
      <c r="D3342" t="inlineStr">
        <is>
          <t>Gesamtleistung</t>
        </is>
      </c>
      <c r="E3342" t="n">
        <v>-7483.88</v>
      </c>
      <c r="F3342" t="n">
        <v>-89806.53</v>
      </c>
    </row>
    <row r="3343">
      <c r="A3343" t="n">
        <v>2029</v>
      </c>
      <c r="B3343" t="n">
        <v>11</v>
      </c>
      <c r="C3343" t="inlineStr">
        <is>
          <t>sonst Personalk</t>
        </is>
      </c>
      <c r="D3343" t="inlineStr">
        <is>
          <t>Personalaufwand</t>
        </is>
      </c>
      <c r="E3343" t="n">
        <v>13957.15</v>
      </c>
      <c r="F3343" t="n">
        <v>167485.78</v>
      </c>
    </row>
    <row r="3344">
      <c r="A3344" t="n">
        <v>2028</v>
      </c>
      <c r="B3344" t="n">
        <v>11</v>
      </c>
      <c r="C3344" t="inlineStr">
        <is>
          <t>Fremdl. Fuhrlei</t>
        </is>
      </c>
      <c r="D3344" t="inlineStr">
        <is>
          <t>Vorleistungen</t>
        </is>
      </c>
      <c r="E3344" t="n">
        <v>363.29</v>
      </c>
      <c r="F3344" t="n">
        <v>4359.52</v>
      </c>
    </row>
    <row r="3345">
      <c r="A3345" t="n">
        <v>2027</v>
      </c>
      <c r="B3345" t="n">
        <v>11</v>
      </c>
      <c r="C3345" t="inlineStr">
        <is>
          <t>Erl. so. DL Dt.</t>
        </is>
      </c>
      <c r="D3345" t="inlineStr">
        <is>
          <t>Gesamtleistung</t>
        </is>
      </c>
      <c r="E3345" t="n">
        <v>1996174.37</v>
      </c>
      <c r="F3345" t="n">
        <v>23954092.45</v>
      </c>
    </row>
    <row r="3346">
      <c r="A3346" t="n">
        <v>2027</v>
      </c>
      <c r="B3346" t="n">
        <v>11</v>
      </c>
      <c r="C3346" t="inlineStr">
        <is>
          <t>Aufw. Heizmat.</t>
        </is>
      </c>
      <c r="D3346" t="inlineStr">
        <is>
          <t>Vorleistungen</t>
        </is>
      </c>
      <c r="E3346" t="n">
        <v>275.72</v>
      </c>
      <c r="F3346" t="n">
        <v>3308.65</v>
      </c>
    </row>
    <row r="3347">
      <c r="A3347" t="n">
        <v>2028</v>
      </c>
      <c r="B3347" t="n">
        <v>11</v>
      </c>
      <c r="C3347" t="inlineStr">
        <is>
          <t>Versicherungskosten</t>
        </is>
      </c>
      <c r="D3347" t="inlineStr">
        <is>
          <t>Verwaltungskosten</t>
        </is>
      </c>
      <c r="E3347" t="n">
        <v>11113.3</v>
      </c>
      <c r="F3347" t="n">
        <v>133359.63</v>
      </c>
    </row>
    <row r="3348">
      <c r="A3348" t="n">
        <v>2031</v>
      </c>
      <c r="B3348" t="n">
        <v>11</v>
      </c>
      <c r="C3348" t="inlineStr">
        <is>
          <t>Miete LKW,Schiffe</t>
        </is>
      </c>
      <c r="D3348" t="inlineStr">
        <is>
          <t>Fuhrparkkosten</t>
        </is>
      </c>
      <c r="E3348" t="n">
        <v>46398.06</v>
      </c>
      <c r="F3348" t="n">
        <v>556776.71</v>
      </c>
    </row>
    <row r="3349">
      <c r="A3349" t="n">
        <v>2027</v>
      </c>
      <c r="B3349" t="n">
        <v>11</v>
      </c>
      <c r="C3349" t="inlineStr">
        <is>
          <t>Weiterber. Frem</t>
        </is>
      </c>
      <c r="D3349" t="inlineStr">
        <is>
          <t>Vorleistungen</t>
        </is>
      </c>
      <c r="E3349" t="n">
        <v>0</v>
      </c>
      <c r="F3349" t="n">
        <v>0</v>
      </c>
    </row>
    <row r="3350">
      <c r="A3350" t="n">
        <v>2028</v>
      </c>
      <c r="B3350" t="n">
        <v>11</v>
      </c>
      <c r="C3350" t="inlineStr">
        <is>
          <t>Erloesschmaeler</t>
        </is>
      </c>
      <c r="D3350" t="inlineStr">
        <is>
          <t>Gesamtleistung</t>
        </is>
      </c>
      <c r="E3350" t="n">
        <v>-8355.469999999999</v>
      </c>
      <c r="F3350" t="n">
        <v>-100265.61</v>
      </c>
    </row>
    <row r="3351">
      <c r="A3351" t="n">
        <v>2027</v>
      </c>
      <c r="B3351" t="n">
        <v>11</v>
      </c>
      <c r="C3351" t="inlineStr">
        <is>
          <t>Uebr.neutr. Ert</t>
        </is>
      </c>
      <c r="D3351" t="inlineStr">
        <is>
          <t>Gesamtleistung</t>
        </is>
      </c>
      <c r="E3351" t="n">
        <v>113.94</v>
      </c>
      <c r="F3351" t="n">
        <v>1367.31</v>
      </c>
    </row>
    <row r="3352">
      <c r="A3352" t="n">
        <v>2028</v>
      </c>
      <c r="B3352" t="n">
        <v>11</v>
      </c>
      <c r="C3352" t="inlineStr">
        <is>
          <t>Miete Behälter</t>
        </is>
      </c>
      <c r="D3352" t="inlineStr">
        <is>
          <t>Instandh. Betriebsausstattung</t>
        </is>
      </c>
      <c r="E3352" t="n">
        <v>24.08</v>
      </c>
      <c r="F3352" t="n">
        <v>289</v>
      </c>
    </row>
    <row r="3353">
      <c r="A3353" t="n">
        <v>2028</v>
      </c>
      <c r="B3353" t="n">
        <v>11</v>
      </c>
      <c r="C3353" t="inlineStr">
        <is>
          <t>Aufw. so. Hilfs</t>
        </is>
      </c>
      <c r="D3353" t="inlineStr">
        <is>
          <t>Vorleistungen</t>
        </is>
      </c>
      <c r="E3353" t="n">
        <v>-16546.31</v>
      </c>
      <c r="F3353" t="n">
        <v>-198555.67</v>
      </c>
    </row>
    <row r="3354">
      <c r="A3354" t="n">
        <v>2030</v>
      </c>
      <c r="B3354" t="n">
        <v>11</v>
      </c>
      <c r="C3354" t="inlineStr">
        <is>
          <t>Treibstoffe, Oe</t>
        </is>
      </c>
      <c r="D3354" t="inlineStr">
        <is>
          <t>Fuhrparkkosten</t>
        </is>
      </c>
      <c r="E3354" t="n">
        <v>34177.25</v>
      </c>
      <c r="F3354" t="n">
        <v>410126.96</v>
      </c>
    </row>
    <row r="3355">
      <c r="A3355" t="n">
        <v>2030</v>
      </c>
      <c r="B3355" t="n">
        <v>11</v>
      </c>
      <c r="C3355" t="inlineStr">
        <is>
          <t>Ueb Lohn-Gehalt</t>
        </is>
      </c>
      <c r="D3355" t="inlineStr">
        <is>
          <t>Personalaufwand</t>
        </is>
      </c>
      <c r="E3355" t="n">
        <v>41842.02</v>
      </c>
      <c r="F3355" t="n">
        <v>502104.18</v>
      </c>
    </row>
    <row r="3356">
      <c r="A3356" t="n">
        <v>2030</v>
      </c>
      <c r="B3356" t="n">
        <v>11</v>
      </c>
      <c r="C3356" t="inlineStr">
        <is>
          <t>Aufw. f. Alters</t>
        </is>
      </c>
      <c r="D3356" t="inlineStr">
        <is>
          <t>Personalaufwand</t>
        </is>
      </c>
      <c r="E3356" t="n">
        <v>1387.56</v>
      </c>
      <c r="F3356" t="n">
        <v>16650.69</v>
      </c>
    </row>
    <row r="3357">
      <c r="A3357" t="n">
        <v>2031</v>
      </c>
      <c r="B3357" t="n">
        <v>11</v>
      </c>
      <c r="C3357" t="inlineStr">
        <is>
          <t>Fremdl. Persona</t>
        </is>
      </c>
      <c r="D3357" t="inlineStr">
        <is>
          <t>Vorleistungen</t>
        </is>
      </c>
      <c r="E3357" t="n">
        <v>79.40000000000001</v>
      </c>
      <c r="F3357" t="n">
        <v>952.79</v>
      </c>
    </row>
    <row r="3358">
      <c r="A3358" t="n">
        <v>2029</v>
      </c>
      <c r="B3358" t="n">
        <v>12</v>
      </c>
      <c r="C3358" t="inlineStr">
        <is>
          <t>Sonderz. Prämie</t>
        </is>
      </c>
      <c r="D3358" t="inlineStr">
        <is>
          <t>Personalaufwand</t>
        </is>
      </c>
      <c r="E3358" t="n">
        <v>23292.21</v>
      </c>
      <c r="F3358" t="n">
        <v>279506.56</v>
      </c>
    </row>
    <row r="3359">
      <c r="A3359" t="n">
        <v>2030</v>
      </c>
      <c r="B3359" t="n">
        <v>12</v>
      </c>
      <c r="C3359" t="inlineStr">
        <is>
          <t>sonst Personalk</t>
        </is>
      </c>
      <c r="D3359" t="inlineStr">
        <is>
          <t>Personalaufwand</t>
        </is>
      </c>
      <c r="E3359" t="n">
        <v>15558.93</v>
      </c>
      <c r="F3359" t="n">
        <v>186707.19</v>
      </c>
    </row>
    <row r="3360">
      <c r="A3360" t="n">
        <v>2031</v>
      </c>
      <c r="B3360" t="n">
        <v>12</v>
      </c>
      <c r="C3360" t="inlineStr">
        <is>
          <t>Ankauf Rohstoff</t>
        </is>
      </c>
      <c r="D3360" t="inlineStr">
        <is>
          <t>Vorleistungen</t>
        </is>
      </c>
      <c r="E3360" t="n">
        <v>1489.65</v>
      </c>
      <c r="F3360" t="n">
        <v>17875.76</v>
      </c>
    </row>
    <row r="3361">
      <c r="A3361" t="n">
        <v>2029</v>
      </c>
      <c r="B3361" t="n">
        <v>12</v>
      </c>
      <c r="C3361" t="inlineStr">
        <is>
          <t>Weiterber. Frem</t>
        </is>
      </c>
      <c r="D3361" t="inlineStr">
        <is>
          <t>Vorleistungen</t>
        </is>
      </c>
      <c r="E3361" t="n">
        <v>0</v>
      </c>
      <c r="F3361" t="n">
        <v>0</v>
      </c>
    </row>
    <row r="3362">
      <c r="A3362" t="n">
        <v>2031</v>
      </c>
      <c r="B3362" t="n">
        <v>12</v>
      </c>
      <c r="C3362" t="inlineStr">
        <is>
          <t>Sonstige Steuer</t>
        </is>
      </c>
      <c r="D3362" t="inlineStr">
        <is>
          <t>Fuhrparkkosten</t>
        </is>
      </c>
      <c r="E3362" t="n">
        <v>1890.32</v>
      </c>
      <c r="F3362" t="n">
        <v>22683.81</v>
      </c>
    </row>
    <row r="3363">
      <c r="A3363" t="n">
        <v>2030</v>
      </c>
      <c r="B3363" t="n">
        <v>12</v>
      </c>
      <c r="C3363" t="inlineStr">
        <is>
          <t>Bestandsveraend</t>
        </is>
      </c>
      <c r="D3363" t="inlineStr">
        <is>
          <t>Gesamtleistung</t>
        </is>
      </c>
      <c r="E3363" t="n">
        <v>0</v>
      </c>
      <c r="F3363" t="n">
        <v>0</v>
      </c>
    </row>
    <row r="3364">
      <c r="A3364" t="n">
        <v>2031</v>
      </c>
      <c r="B3364" t="n">
        <v>12</v>
      </c>
      <c r="C3364" t="inlineStr">
        <is>
          <t>Erl. so. DL Dt.</t>
        </is>
      </c>
      <c r="D3364" t="inlineStr">
        <is>
          <t>Gesamtleistung</t>
        </is>
      </c>
      <c r="E3364" t="n">
        <v>2428139.11</v>
      </c>
      <c r="F3364" t="n">
        <v>29137669.32</v>
      </c>
    </row>
    <row r="3365">
      <c r="A3365" t="n">
        <v>2030</v>
      </c>
      <c r="B3365" t="n">
        <v>12</v>
      </c>
      <c r="C3365" t="inlineStr">
        <is>
          <t>Sonstige Steuer</t>
        </is>
      </c>
      <c r="D3365" t="inlineStr">
        <is>
          <t>Fuhrparkkosten</t>
        </is>
      </c>
      <c r="E3365" t="n">
        <v>1783.32</v>
      </c>
      <c r="F3365" t="n">
        <v>21399.82</v>
      </c>
    </row>
    <row r="3366">
      <c r="A3366" t="n">
        <v>2030</v>
      </c>
      <c r="B3366" t="n">
        <v>12</v>
      </c>
      <c r="C3366" t="inlineStr">
        <is>
          <t>Sonderz. Prämie</t>
        </is>
      </c>
      <c r="D3366" t="inlineStr">
        <is>
          <t>Personalaufwand</t>
        </is>
      </c>
      <c r="E3366" t="n">
        <v>25004.1</v>
      </c>
      <c r="F3366" t="n">
        <v>300049.14</v>
      </c>
    </row>
    <row r="3367">
      <c r="A3367" t="n">
        <v>2029</v>
      </c>
      <c r="B3367" t="n">
        <v>12</v>
      </c>
      <c r="C3367" t="inlineStr">
        <is>
          <t>Soziale Abgaben</t>
        </is>
      </c>
      <c r="D3367" t="inlineStr">
        <is>
          <t>Personalaufwand</t>
        </is>
      </c>
      <c r="E3367" t="n">
        <v>94488.11</v>
      </c>
      <c r="F3367" t="n">
        <v>1133857.35</v>
      </c>
    </row>
    <row r="3368">
      <c r="A3368" t="n">
        <v>2031</v>
      </c>
      <c r="B3368" t="n">
        <v>12</v>
      </c>
      <c r="C3368" t="inlineStr">
        <is>
          <t>So. betr. Aufwa</t>
        </is>
      </c>
      <c r="D3368" t="inlineStr">
        <is>
          <t>Verwaltungskosten</t>
        </is>
      </c>
      <c r="E3368" t="n">
        <v>735.47</v>
      </c>
      <c r="F3368" t="n">
        <v>8825.639999999999</v>
      </c>
    </row>
    <row r="3369">
      <c r="A3369" t="n">
        <v>2027</v>
      </c>
      <c r="B3369" t="n">
        <v>12</v>
      </c>
      <c r="C3369" t="inlineStr">
        <is>
          <t>Lohn + Gehalt</t>
        </is>
      </c>
      <c r="D3369" t="inlineStr">
        <is>
          <t>Personalaufwand</t>
        </is>
      </c>
      <c r="E3369" t="n">
        <v>287946.36</v>
      </c>
      <c r="F3369" t="n">
        <v>3455356.33</v>
      </c>
    </row>
    <row r="3370">
      <c r="A3370" t="n">
        <v>2027</v>
      </c>
      <c r="B3370" t="n">
        <v>12</v>
      </c>
      <c r="C3370" t="inlineStr">
        <is>
          <t>So. betr. Aufwa</t>
        </is>
      </c>
      <c r="D3370" t="inlineStr">
        <is>
          <t>Verwaltungskosten</t>
        </is>
      </c>
      <c r="E3370" t="n">
        <v>653.45</v>
      </c>
      <c r="F3370" t="n">
        <v>7841.45</v>
      </c>
    </row>
    <row r="3371">
      <c r="A3371" t="n">
        <v>2028</v>
      </c>
      <c r="B3371" t="n">
        <v>12</v>
      </c>
      <c r="C3371" t="inlineStr">
        <is>
          <t>Ueb Lohn-Gehalt</t>
        </is>
      </c>
      <c r="D3371" t="inlineStr">
        <is>
          <t>Personalaufwand</t>
        </is>
      </c>
      <c r="E3371" t="n">
        <v>34332.83</v>
      </c>
      <c r="F3371" t="n">
        <v>411993.96</v>
      </c>
    </row>
    <row r="3372">
      <c r="A3372" t="n">
        <v>2027</v>
      </c>
      <c r="B3372" t="n">
        <v>12</v>
      </c>
      <c r="C3372" t="inlineStr">
        <is>
          <t>Verwaltungskost</t>
        </is>
      </c>
      <c r="D3372" t="inlineStr">
        <is>
          <t>Verwaltungskosten</t>
        </is>
      </c>
      <c r="E3372" t="n">
        <v>6691.47</v>
      </c>
      <c r="F3372" t="n">
        <v>80297.62</v>
      </c>
    </row>
    <row r="3373">
      <c r="A3373" t="n">
        <v>2030</v>
      </c>
      <c r="B3373" t="n">
        <v>12</v>
      </c>
      <c r="C3373" t="inlineStr">
        <is>
          <t>Aufw. Heizmat.</t>
        </is>
      </c>
      <c r="D3373" t="inlineStr">
        <is>
          <t>Vorleistungen</t>
        </is>
      </c>
      <c r="E3373" t="n">
        <v>230.4</v>
      </c>
      <c r="F3373" t="n">
        <v>2764.82</v>
      </c>
    </row>
    <row r="3374">
      <c r="A3374" t="n">
        <v>2027</v>
      </c>
      <c r="B3374" t="n">
        <v>12</v>
      </c>
      <c r="C3374" t="inlineStr">
        <is>
          <t>Versicherungskosten</t>
        </is>
      </c>
      <c r="D3374" t="inlineStr">
        <is>
          <t>Verwaltungskosten</t>
        </is>
      </c>
      <c r="E3374" t="n">
        <v>10789.61</v>
      </c>
      <c r="F3374" t="n">
        <v>129475.37</v>
      </c>
    </row>
    <row r="3375">
      <c r="A3375" t="n">
        <v>2031</v>
      </c>
      <c r="B3375" t="n">
        <v>12</v>
      </c>
      <c r="C3375" t="inlineStr">
        <is>
          <t>Instandh. BGA</t>
        </is>
      </c>
      <c r="D3375" t="inlineStr">
        <is>
          <t>Instandh. Betriebsausstattung</t>
        </is>
      </c>
      <c r="E3375" t="n">
        <v>5124.63</v>
      </c>
      <c r="F3375" t="n">
        <v>61495.58</v>
      </c>
    </row>
    <row r="3376">
      <c r="A3376" t="n">
        <v>2029</v>
      </c>
      <c r="B3376" t="n">
        <v>12</v>
      </c>
      <c r="C3376" t="inlineStr">
        <is>
          <t>Treibstoffe, Oe</t>
        </is>
      </c>
      <c r="D3376" t="inlineStr">
        <is>
          <t>Fuhrparkkosten</t>
        </is>
      </c>
      <c r="E3376" t="n">
        <v>32242.68</v>
      </c>
      <c r="F3376" t="n">
        <v>386912.19</v>
      </c>
    </row>
    <row r="3377">
      <c r="A3377" t="n">
        <v>2027</v>
      </c>
      <c r="B3377" t="n">
        <v>12</v>
      </c>
      <c r="C3377" t="inlineStr">
        <is>
          <t>Instandh. BGA</t>
        </is>
      </c>
      <c r="D3377" t="inlineStr">
        <is>
          <t>Instandh. Betriebsausstattung</t>
        </is>
      </c>
      <c r="E3377" t="n">
        <v>4216.05</v>
      </c>
      <c r="F3377" t="n">
        <v>50592.58</v>
      </c>
    </row>
    <row r="3378">
      <c r="A3378" t="n">
        <v>2029</v>
      </c>
      <c r="B3378" t="n">
        <v>12</v>
      </c>
      <c r="C3378" t="inlineStr">
        <is>
          <t>Ueb Lohn-Gehalt</t>
        </is>
      </c>
      <c r="D3378" t="inlineStr">
        <is>
          <t>Personalaufwand</t>
        </is>
      </c>
      <c r="E3378" t="n">
        <v>37989.9</v>
      </c>
      <c r="F3378" t="n">
        <v>455878.84</v>
      </c>
    </row>
    <row r="3379">
      <c r="A3379" t="n">
        <v>2031</v>
      </c>
      <c r="B3379" t="n">
        <v>12</v>
      </c>
      <c r="C3379" t="inlineStr">
        <is>
          <t>Erl. Waren Dt.</t>
        </is>
      </c>
      <c r="D3379" t="inlineStr">
        <is>
          <t>Gesamtleistung</t>
        </is>
      </c>
      <c r="E3379" t="n">
        <v>50865.59</v>
      </c>
      <c r="F3379" t="n">
        <v>610387.05</v>
      </c>
    </row>
    <row r="3380">
      <c r="A3380" t="n">
        <v>2027</v>
      </c>
      <c r="B3380" t="n">
        <v>12</v>
      </c>
      <c r="C3380" t="inlineStr">
        <is>
          <t>Fremdl. Persona</t>
        </is>
      </c>
      <c r="D3380" t="inlineStr">
        <is>
          <t>Vorleistungen</t>
        </is>
      </c>
      <c r="E3380" t="n">
        <v>61.31</v>
      </c>
      <c r="F3380" t="n">
        <v>735.66</v>
      </c>
    </row>
    <row r="3381">
      <c r="A3381" t="n">
        <v>2027</v>
      </c>
      <c r="B3381" t="n">
        <v>12</v>
      </c>
      <c r="C3381" t="inlineStr">
        <is>
          <t>Aufwand Umlage</t>
        </is>
      </c>
      <c r="D3381" t="inlineStr">
        <is>
          <t>Verwaltungskosten</t>
        </is>
      </c>
      <c r="E3381" t="n">
        <v>3383.24</v>
      </c>
      <c r="F3381" t="n">
        <v>40598.91</v>
      </c>
    </row>
    <row r="3382">
      <c r="A3382" t="n">
        <v>2031</v>
      </c>
      <c r="B3382" t="n">
        <v>12</v>
      </c>
      <c r="C3382" t="inlineStr">
        <is>
          <t>Ueb Lohn-Gehalt</t>
        </is>
      </c>
      <c r="D3382" t="inlineStr">
        <is>
          <t>Personalaufwand</t>
        </is>
      </c>
      <c r="E3382" t="n">
        <v>45675.82</v>
      </c>
      <c r="F3382" t="n">
        <v>548109.79</v>
      </c>
    </row>
    <row r="3383">
      <c r="A3383" t="n">
        <v>2027</v>
      </c>
      <c r="B3383" t="n">
        <v>12</v>
      </c>
      <c r="C3383" t="inlineStr">
        <is>
          <t>Rechts- u. Beratungs</t>
        </is>
      </c>
      <c r="D3383" t="inlineStr">
        <is>
          <t>Verwaltungskosten</t>
        </is>
      </c>
      <c r="E3383" t="n">
        <v>25635.99</v>
      </c>
      <c r="F3383" t="n">
        <v>307631.89</v>
      </c>
    </row>
    <row r="3384">
      <c r="A3384" t="n">
        <v>2028</v>
      </c>
      <c r="B3384" t="n">
        <v>12</v>
      </c>
      <c r="C3384" t="inlineStr">
        <is>
          <t>Verwaltungskost</t>
        </is>
      </c>
      <c r="D3384" t="inlineStr">
        <is>
          <t>Verwaltungskosten</t>
        </is>
      </c>
      <c r="E3384" t="n">
        <v>6892.21</v>
      </c>
      <c r="F3384" t="n">
        <v>82706.56</v>
      </c>
    </row>
    <row r="3385">
      <c r="A3385" t="n">
        <v>2028</v>
      </c>
      <c r="B3385" t="n">
        <v>12</v>
      </c>
      <c r="C3385" t="inlineStr">
        <is>
          <t>Ueb. bezog.Leis</t>
        </is>
      </c>
      <c r="D3385" t="inlineStr">
        <is>
          <t>Vorleistungen</t>
        </is>
      </c>
      <c r="E3385" t="n">
        <v>1342498.67</v>
      </c>
      <c r="F3385" t="n">
        <v>16109983.99</v>
      </c>
    </row>
    <row r="3386">
      <c r="A3386" t="n">
        <v>2028</v>
      </c>
      <c r="B3386" t="n">
        <v>12</v>
      </c>
      <c r="C3386" t="inlineStr">
        <is>
          <t>Ankauf Rohstoff</t>
        </is>
      </c>
      <c r="D3386" t="inlineStr">
        <is>
          <t>Vorleistungen</t>
        </is>
      </c>
      <c r="E3386" t="n">
        <v>1457.38</v>
      </c>
      <c r="F3386" t="n">
        <v>17488.61</v>
      </c>
    </row>
    <row r="3387">
      <c r="A3387" t="n">
        <v>2029</v>
      </c>
      <c r="B3387" t="n">
        <v>12</v>
      </c>
      <c r="C3387" t="inlineStr">
        <is>
          <t>Erloesschmaeler</t>
        </is>
      </c>
      <c r="D3387" t="inlineStr">
        <is>
          <t>Gesamtleistung</t>
        </is>
      </c>
      <c r="E3387" t="n">
        <v>-9048.01</v>
      </c>
      <c r="F3387" t="n">
        <v>-108576.08</v>
      </c>
    </row>
    <row r="3388">
      <c r="A3388" t="n">
        <v>2029</v>
      </c>
      <c r="B3388" t="n">
        <v>12</v>
      </c>
      <c r="C3388" t="inlineStr">
        <is>
          <t>Leasing PKW</t>
        </is>
      </c>
      <c r="D3388" t="inlineStr">
        <is>
          <t>Fuhrparkkosten</t>
        </is>
      </c>
      <c r="E3388" t="n">
        <v>24652.26</v>
      </c>
      <c r="F3388" t="n">
        <v>295827.14</v>
      </c>
    </row>
    <row r="3389">
      <c r="A3389" t="n">
        <v>2029</v>
      </c>
      <c r="B3389" t="n">
        <v>12</v>
      </c>
      <c r="C3389" t="inlineStr">
        <is>
          <t>Fremdl. Persona</t>
        </is>
      </c>
      <c r="D3389" t="inlineStr">
        <is>
          <t>Vorleistungen</t>
        </is>
      </c>
      <c r="E3389" t="n">
        <v>73.3</v>
      </c>
      <c r="F3389" t="n">
        <v>879.54</v>
      </c>
    </row>
    <row r="3390">
      <c r="A3390" t="n">
        <v>2028</v>
      </c>
      <c r="B3390" t="n">
        <v>12</v>
      </c>
      <c r="C3390" t="inlineStr">
        <is>
          <t>Aufwand Umlage</t>
        </is>
      </c>
      <c r="D3390" t="inlineStr">
        <is>
          <t>Verwaltungskosten</t>
        </is>
      </c>
      <c r="E3390" t="n">
        <v>3484.74</v>
      </c>
      <c r="F3390" t="n">
        <v>41816.88</v>
      </c>
    </row>
    <row r="3391">
      <c r="A3391" t="n">
        <v>2027</v>
      </c>
      <c r="B3391" t="n">
        <v>12</v>
      </c>
      <c r="C3391" t="inlineStr">
        <is>
          <t>Ankauf Rohstoff</t>
        </is>
      </c>
      <c r="D3391" t="inlineStr">
        <is>
          <t>Vorleistungen</t>
        </is>
      </c>
      <c r="E3391" t="n">
        <v>1408.24</v>
      </c>
      <c r="F3391" t="n">
        <v>16898.9</v>
      </c>
    </row>
    <row r="3392">
      <c r="A3392" t="n">
        <v>2030</v>
      </c>
      <c r="B3392" t="n">
        <v>12</v>
      </c>
      <c r="C3392" t="inlineStr">
        <is>
          <t>Erloesschmaeler</t>
        </is>
      </c>
      <c r="D3392" t="inlineStr">
        <is>
          <t>Gesamtleistung</t>
        </is>
      </c>
      <c r="E3392" t="n">
        <v>-9690.75</v>
      </c>
      <c r="F3392" t="n">
        <v>-116289.05</v>
      </c>
    </row>
    <row r="3393">
      <c r="A3393" t="n">
        <v>2029</v>
      </c>
      <c r="B3393" t="n">
        <v>12</v>
      </c>
      <c r="C3393" t="inlineStr">
        <is>
          <t>Sonst Fuhrparkkosten</t>
        </is>
      </c>
      <c r="D3393" t="inlineStr">
        <is>
          <t>Fuhrparkkosten</t>
        </is>
      </c>
      <c r="E3393" t="n">
        <v>5605.91</v>
      </c>
      <c r="F3393" t="n">
        <v>67270.89</v>
      </c>
    </row>
    <row r="3394">
      <c r="A3394" t="n">
        <v>2027</v>
      </c>
      <c r="B3394" t="n">
        <v>12</v>
      </c>
      <c r="C3394" t="inlineStr">
        <is>
          <t>Soziale Abgaben</t>
        </is>
      </c>
      <c r="D3394" t="inlineStr">
        <is>
          <t>Personalaufwand</t>
        </is>
      </c>
      <c r="E3394" t="n">
        <v>75903.69</v>
      </c>
      <c r="F3394" t="n">
        <v>910844.28</v>
      </c>
    </row>
    <row r="3395">
      <c r="A3395" t="n">
        <v>2031</v>
      </c>
      <c r="B3395" t="n">
        <v>12</v>
      </c>
      <c r="C3395" t="inlineStr">
        <is>
          <t>Erloesschmaeler</t>
        </is>
      </c>
      <c r="D3395" t="inlineStr">
        <is>
          <t>Gesamtleistung</t>
        </is>
      </c>
      <c r="E3395" t="n">
        <v>-10347.15</v>
      </c>
      <c r="F3395" t="n">
        <v>-124165.81</v>
      </c>
    </row>
    <row r="3396">
      <c r="A3396" t="n">
        <v>2029</v>
      </c>
      <c r="B3396" t="n">
        <v>12</v>
      </c>
      <c r="C3396" t="inlineStr">
        <is>
          <t>Ertr. weiterber</t>
        </is>
      </c>
      <c r="D3396" t="inlineStr">
        <is>
          <t>Gesamtleistung</t>
        </is>
      </c>
      <c r="E3396" t="n">
        <v>1036.39</v>
      </c>
      <c r="F3396" t="n">
        <v>12436.69</v>
      </c>
    </row>
    <row r="3397">
      <c r="A3397" t="n">
        <v>2027</v>
      </c>
      <c r="B3397" t="n">
        <v>12</v>
      </c>
      <c r="C3397" t="inlineStr">
        <is>
          <t>Sonderz. Prämie</t>
        </is>
      </c>
      <c r="D3397" t="inlineStr">
        <is>
          <t>Personalaufwand</t>
        </is>
      </c>
      <c r="E3397" t="n">
        <v>19636.08</v>
      </c>
      <c r="F3397" t="n">
        <v>235633</v>
      </c>
    </row>
    <row r="3398">
      <c r="A3398" t="n">
        <v>2027</v>
      </c>
      <c r="B3398" t="n">
        <v>12</v>
      </c>
      <c r="C3398" t="inlineStr">
        <is>
          <t>Miete Behälter</t>
        </is>
      </c>
      <c r="D3398" t="inlineStr">
        <is>
          <t>Instandh. Betriebsausstattung</t>
        </is>
      </c>
      <c r="E3398" t="n">
        <v>22.94</v>
      </c>
      <c r="F3398" t="n">
        <v>275.23</v>
      </c>
    </row>
    <row r="3399">
      <c r="A3399" t="n">
        <v>2031</v>
      </c>
      <c r="B3399" t="n">
        <v>12</v>
      </c>
      <c r="C3399" t="inlineStr">
        <is>
          <t>Versicherungskosten</t>
        </is>
      </c>
      <c r="D3399" t="inlineStr">
        <is>
          <t>Verwaltungskosten</t>
        </is>
      </c>
      <c r="E3399" t="n">
        <v>12143.81</v>
      </c>
      <c r="F3399" t="n">
        <v>145725.66</v>
      </c>
    </row>
    <row r="3400">
      <c r="A3400" t="n">
        <v>2029</v>
      </c>
      <c r="B3400" t="n">
        <v>12</v>
      </c>
      <c r="C3400" t="inlineStr">
        <is>
          <t>Rechts- u. Beratungs</t>
        </is>
      </c>
      <c r="D3400" t="inlineStr">
        <is>
          <t>Verwaltungskosten</t>
        </is>
      </c>
      <c r="E3400" t="n">
        <v>27197.22</v>
      </c>
      <c r="F3400" t="n">
        <v>326366.65</v>
      </c>
    </row>
    <row r="3401">
      <c r="A3401" t="n">
        <v>2028</v>
      </c>
      <c r="B3401" t="n">
        <v>12</v>
      </c>
      <c r="C3401" t="inlineStr">
        <is>
          <t>Instandh.Fuhrp</t>
        </is>
      </c>
      <c r="D3401" t="inlineStr">
        <is>
          <t>Fuhrparkkosten</t>
        </is>
      </c>
      <c r="E3401" t="n">
        <v>32180.39</v>
      </c>
      <c r="F3401" t="n">
        <v>386164.66</v>
      </c>
    </row>
    <row r="3402">
      <c r="A3402" t="n">
        <v>2030</v>
      </c>
      <c r="B3402" t="n">
        <v>12</v>
      </c>
      <c r="C3402" t="inlineStr">
        <is>
          <t>Miete Grdst/Gebäud</t>
        </is>
      </c>
      <c r="D3402" t="inlineStr">
        <is>
          <t>Raumkosten</t>
        </is>
      </c>
      <c r="E3402" t="n">
        <v>18603.32</v>
      </c>
      <c r="F3402" t="n">
        <v>223239.88</v>
      </c>
    </row>
    <row r="3403">
      <c r="A3403" t="n">
        <v>2027</v>
      </c>
      <c r="B3403" t="n">
        <v>12</v>
      </c>
      <c r="C3403" t="inlineStr">
        <is>
          <t>Ueb. bezog.Leis</t>
        </is>
      </c>
      <c r="D3403" t="inlineStr">
        <is>
          <t>Vorleistungen</t>
        </is>
      </c>
      <c r="E3403" t="n">
        <v>1319862.34</v>
      </c>
      <c r="F3403" t="n">
        <v>15838348.13</v>
      </c>
    </row>
    <row r="3404">
      <c r="A3404" t="n">
        <v>2029</v>
      </c>
      <c r="B3404" t="n">
        <v>12</v>
      </c>
      <c r="C3404" t="inlineStr">
        <is>
          <t>Erl. Waren Dt.</t>
        </is>
      </c>
      <c r="D3404" t="inlineStr">
        <is>
          <t>Gesamtleistung</t>
        </is>
      </c>
      <c r="E3404" t="n">
        <v>47334.08</v>
      </c>
      <c r="F3404" t="n">
        <v>568008.92</v>
      </c>
    </row>
    <row r="3405">
      <c r="A3405" t="n">
        <v>2031</v>
      </c>
      <c r="B3405" t="n">
        <v>12</v>
      </c>
      <c r="C3405" t="inlineStr">
        <is>
          <t>Treibstoffe, Oe</t>
        </is>
      </c>
      <c r="D3405" t="inlineStr">
        <is>
          <t>Fuhrparkkosten</t>
        </is>
      </c>
      <c r="E3405" t="n">
        <v>36227.88</v>
      </c>
      <c r="F3405" t="n">
        <v>434734.54</v>
      </c>
    </row>
    <row r="3406">
      <c r="A3406" t="n">
        <v>2029</v>
      </c>
      <c r="B3406" t="n">
        <v>12</v>
      </c>
      <c r="C3406" t="inlineStr">
        <is>
          <t>Miete Behälter</t>
        </is>
      </c>
      <c r="D3406" t="inlineStr">
        <is>
          <t>Instandh. Betriebsausstattung</t>
        </is>
      </c>
      <c r="E3406" t="n">
        <v>25.29</v>
      </c>
      <c r="F3406" t="n">
        <v>303.45</v>
      </c>
    </row>
    <row r="3407">
      <c r="A3407" t="n">
        <v>2030</v>
      </c>
      <c r="B3407" t="n">
        <v>12</v>
      </c>
      <c r="C3407" t="inlineStr">
        <is>
          <t>Instandh. BGA</t>
        </is>
      </c>
      <c r="D3407" t="inlineStr">
        <is>
          <t>Instandh. Betriebsausstattung</t>
        </is>
      </c>
      <c r="E3407" t="n">
        <v>4880.6</v>
      </c>
      <c r="F3407" t="n">
        <v>58567.23</v>
      </c>
    </row>
    <row r="3408">
      <c r="A3408" t="n">
        <v>2030</v>
      </c>
      <c r="B3408" t="n">
        <v>12</v>
      </c>
      <c r="C3408" t="inlineStr">
        <is>
          <t>Lohn + Gehalt</t>
        </is>
      </c>
      <c r="D3408" t="inlineStr">
        <is>
          <t>Personalaufwand</t>
        </is>
      </c>
      <c r="E3408" t="n">
        <v>392030.8</v>
      </c>
      <c r="F3408" t="n">
        <v>4704369.59</v>
      </c>
    </row>
    <row r="3409">
      <c r="A3409" t="n">
        <v>2027</v>
      </c>
      <c r="B3409" t="n">
        <v>12</v>
      </c>
      <c r="C3409" t="inlineStr">
        <is>
          <t>Bestandsveraend</t>
        </is>
      </c>
      <c r="D3409" t="inlineStr">
        <is>
          <t>Gesamtleistung</t>
        </is>
      </c>
      <c r="E3409" t="n">
        <v>0</v>
      </c>
      <c r="F3409" t="n">
        <v>0</v>
      </c>
    </row>
    <row r="3410">
      <c r="A3410" t="n">
        <v>2027</v>
      </c>
      <c r="B3410" t="n">
        <v>12</v>
      </c>
      <c r="C3410" t="inlineStr">
        <is>
          <t>Aufw. so. Hilfs</t>
        </is>
      </c>
      <c r="D3410" t="inlineStr">
        <is>
          <t>Vorleistungen</t>
        </is>
      </c>
      <c r="E3410" t="n">
        <v>-16362.04</v>
      </c>
      <c r="F3410" t="n">
        <v>-196344.47</v>
      </c>
    </row>
    <row r="3411">
      <c r="A3411" t="n">
        <v>2027</v>
      </c>
      <c r="B3411" t="n">
        <v>12</v>
      </c>
      <c r="C3411" t="inlineStr">
        <is>
          <t>Aufw. f. Alters</t>
        </is>
      </c>
      <c r="D3411" t="inlineStr">
        <is>
          <t>Personalaufwand</t>
        </is>
      </c>
      <c r="E3411" t="n">
        <v>1234.77</v>
      </c>
      <c r="F3411" t="n">
        <v>14817.29</v>
      </c>
    </row>
    <row r="3412">
      <c r="A3412" t="n">
        <v>2027</v>
      </c>
      <c r="B3412" t="n">
        <v>12</v>
      </c>
      <c r="C3412" t="inlineStr">
        <is>
          <t>Vertriebskosten</t>
        </is>
      </c>
      <c r="D3412" t="inlineStr">
        <is>
          <t>Vertriebskosten</t>
        </is>
      </c>
      <c r="E3412" t="n">
        <v>10833.33</v>
      </c>
      <c r="F3412" t="n">
        <v>130000</v>
      </c>
    </row>
    <row r="3413">
      <c r="A3413" t="n">
        <v>2027</v>
      </c>
      <c r="B3413" t="n">
        <v>12</v>
      </c>
      <c r="C3413" t="inlineStr">
        <is>
          <t>Ertrag KFZ-Nutz</t>
        </is>
      </c>
      <c r="D3413" t="inlineStr">
        <is>
          <t>Gesamtleistung</t>
        </is>
      </c>
      <c r="E3413" t="n">
        <v>8029.69</v>
      </c>
      <c r="F3413" t="n">
        <v>96356.3</v>
      </c>
    </row>
    <row r="3414">
      <c r="A3414" t="n">
        <v>2031</v>
      </c>
      <c r="B3414" t="n">
        <v>12</v>
      </c>
      <c r="C3414" t="inlineStr">
        <is>
          <t>Lohn + Gehalt</t>
        </is>
      </c>
      <c r="D3414" t="inlineStr">
        <is>
          <t>Personalaufwand</t>
        </is>
      </c>
      <c r="E3414" t="n">
        <v>428257.62</v>
      </c>
      <c r="F3414" t="n">
        <v>5139091.39</v>
      </c>
    </row>
    <row r="3415">
      <c r="A3415" t="n">
        <v>2031</v>
      </c>
      <c r="B3415" t="n">
        <v>12</v>
      </c>
      <c r="C3415" t="inlineStr">
        <is>
          <t>Soziale Abgaben</t>
        </is>
      </c>
      <c r="D3415" t="inlineStr">
        <is>
          <t>Personalaufwand</t>
        </is>
      </c>
      <c r="E3415" t="n">
        <v>113909.76</v>
      </c>
      <c r="F3415" t="n">
        <v>1366917.09</v>
      </c>
    </row>
    <row r="3416">
      <c r="A3416" t="n">
        <v>2031</v>
      </c>
      <c r="B3416" t="n">
        <v>12</v>
      </c>
      <c r="C3416" t="inlineStr">
        <is>
          <t>Sonst Fuhrparkkosten</t>
        </is>
      </c>
      <c r="D3416" t="inlineStr">
        <is>
          <t>Fuhrparkkosten</t>
        </is>
      </c>
      <c r="E3416" t="n">
        <v>6298.8</v>
      </c>
      <c r="F3416" t="n">
        <v>75585.56</v>
      </c>
    </row>
    <row r="3417">
      <c r="A3417" t="n">
        <v>2030</v>
      </c>
      <c r="B3417" t="n">
        <v>12</v>
      </c>
      <c r="C3417" t="inlineStr">
        <is>
          <t>Miete Behälter</t>
        </is>
      </c>
      <c r="D3417" t="inlineStr">
        <is>
          <t>Instandh. Betriebsausstattung</t>
        </is>
      </c>
      <c r="E3417" t="n">
        <v>26.55</v>
      </c>
      <c r="F3417" t="n">
        <v>318.62</v>
      </c>
    </row>
    <row r="3418">
      <c r="A3418" t="n">
        <v>2028</v>
      </c>
      <c r="B3418" t="n">
        <v>12</v>
      </c>
      <c r="C3418" t="inlineStr">
        <is>
          <t>Miete PKW</t>
        </is>
      </c>
      <c r="D3418" t="inlineStr">
        <is>
          <t>Fuhrparkkosten</t>
        </is>
      </c>
      <c r="E3418" t="n">
        <v>4890.62</v>
      </c>
      <c r="F3418" t="n">
        <v>58687.43</v>
      </c>
    </row>
    <row r="3419">
      <c r="A3419" t="n">
        <v>2030</v>
      </c>
      <c r="B3419" t="n">
        <v>12</v>
      </c>
      <c r="C3419" t="inlineStr">
        <is>
          <t>Aufwand Umlage</t>
        </is>
      </c>
      <c r="D3419" t="inlineStr">
        <is>
          <t>Verwaltungskosten</t>
        </is>
      </c>
      <c r="E3419" t="n">
        <v>3696.96</v>
      </c>
      <c r="F3419" t="n">
        <v>44363.53</v>
      </c>
    </row>
    <row r="3420">
      <c r="A3420" t="n">
        <v>2030</v>
      </c>
      <c r="B3420" t="n">
        <v>12</v>
      </c>
      <c r="C3420" t="inlineStr">
        <is>
          <t>So. betr. Aufwa</t>
        </is>
      </c>
      <c r="D3420" t="inlineStr">
        <is>
          <t>Verwaltungskosten</t>
        </is>
      </c>
      <c r="E3420" t="n">
        <v>714.05</v>
      </c>
      <c r="F3420" t="n">
        <v>8568.57</v>
      </c>
    </row>
    <row r="3421">
      <c r="A3421" t="n">
        <v>2029</v>
      </c>
      <c r="B3421" t="n">
        <v>12</v>
      </c>
      <c r="C3421" t="inlineStr">
        <is>
          <t>Versicherungskosten</t>
        </is>
      </c>
      <c r="D3421" t="inlineStr">
        <is>
          <t>Verwaltungskosten</t>
        </is>
      </c>
      <c r="E3421" t="n">
        <v>11446.7</v>
      </c>
      <c r="F3421" t="n">
        <v>137360.42</v>
      </c>
    </row>
    <row r="3422">
      <c r="A3422" t="n">
        <v>2027</v>
      </c>
      <c r="B3422" t="n">
        <v>12</v>
      </c>
      <c r="C3422" t="inlineStr">
        <is>
          <t>Sonstige Steuer</t>
        </is>
      </c>
      <c r="D3422" t="inlineStr">
        <is>
          <t>Fuhrparkkosten</t>
        </is>
      </c>
      <c r="E3422" t="n">
        <v>1497.31</v>
      </c>
      <c r="F3422" t="n">
        <v>17967.71</v>
      </c>
    </row>
    <row r="3423">
      <c r="A3423" t="n">
        <v>2031</v>
      </c>
      <c r="B3423" t="n">
        <v>12</v>
      </c>
      <c r="C3423" t="inlineStr">
        <is>
          <t>Leasing LKW</t>
        </is>
      </c>
      <c r="D3423" t="inlineStr">
        <is>
          <t>Fuhrparkkosten</t>
        </is>
      </c>
      <c r="E3423" t="n">
        <v>2910.36</v>
      </c>
      <c r="F3423" t="n">
        <v>34924.28</v>
      </c>
    </row>
    <row r="3424">
      <c r="A3424" t="n">
        <v>2029</v>
      </c>
      <c r="B3424" t="n">
        <v>12</v>
      </c>
      <c r="C3424" t="inlineStr">
        <is>
          <t>Leasing LKW</t>
        </is>
      </c>
      <c r="D3424" t="inlineStr">
        <is>
          <t>Fuhrparkkosten</t>
        </is>
      </c>
      <c r="E3424" t="n">
        <v>2590.21</v>
      </c>
      <c r="F3424" t="n">
        <v>31082.49</v>
      </c>
    </row>
    <row r="3425">
      <c r="A3425" t="n">
        <v>2027</v>
      </c>
      <c r="B3425" t="n">
        <v>12</v>
      </c>
      <c r="C3425" t="inlineStr">
        <is>
          <t>Instandh.Fuhrp</t>
        </is>
      </c>
      <c r="D3425" t="inlineStr">
        <is>
          <t>Fuhrparkkosten</t>
        </is>
      </c>
      <c r="E3425" t="n">
        <v>30358.86</v>
      </c>
      <c r="F3425" t="n">
        <v>364306.28</v>
      </c>
    </row>
    <row r="3426">
      <c r="A3426" t="n">
        <v>2029</v>
      </c>
      <c r="B3426" t="n">
        <v>12</v>
      </c>
      <c r="C3426" t="inlineStr">
        <is>
          <t>Vertriebskosten</t>
        </is>
      </c>
      <c r="D3426" t="inlineStr">
        <is>
          <t>Vertriebskosten</t>
        </is>
      </c>
      <c r="E3426" t="n">
        <v>11943.75</v>
      </c>
      <c r="F3426" t="n">
        <v>143325</v>
      </c>
    </row>
    <row r="3427">
      <c r="A3427" t="n">
        <v>2031</v>
      </c>
      <c r="B3427" t="n">
        <v>12</v>
      </c>
      <c r="C3427" t="inlineStr">
        <is>
          <t>Miete Grdst/Gebäud</t>
        </is>
      </c>
      <c r="D3427" t="inlineStr">
        <is>
          <t>Raumkosten</t>
        </is>
      </c>
      <c r="E3427" t="n">
        <v>18975.39</v>
      </c>
      <c r="F3427" t="n">
        <v>227704.65</v>
      </c>
    </row>
    <row r="3428">
      <c r="A3428" t="n">
        <v>2029</v>
      </c>
      <c r="B3428" t="n">
        <v>12</v>
      </c>
      <c r="C3428" t="inlineStr">
        <is>
          <t>Uebr.neutr. Ert</t>
        </is>
      </c>
      <c r="D3428" t="inlineStr">
        <is>
          <t>Gesamtleistung</t>
        </is>
      </c>
      <c r="E3428" t="n">
        <v>189.9</v>
      </c>
      <c r="F3428" t="n">
        <v>2278.85</v>
      </c>
    </row>
    <row r="3429">
      <c r="A3429" t="n">
        <v>2030</v>
      </c>
      <c r="B3429" t="n">
        <v>12</v>
      </c>
      <c r="C3429" t="inlineStr">
        <is>
          <t>Behaelterkosten</t>
        </is>
      </c>
      <c r="D3429" t="inlineStr">
        <is>
          <t>Instandh. Betriebsausstattung</t>
        </is>
      </c>
      <c r="E3429" t="n">
        <v>12.75</v>
      </c>
      <c r="F3429" t="n">
        <v>153.03</v>
      </c>
    </row>
    <row r="3430">
      <c r="A3430" t="n">
        <v>2029</v>
      </c>
      <c r="B3430" t="n">
        <v>12</v>
      </c>
      <c r="C3430" t="inlineStr">
        <is>
          <t>IT-Aufwendungen</t>
        </is>
      </c>
      <c r="D3430" t="inlineStr">
        <is>
          <t>Verwaltungskosten</t>
        </is>
      </c>
      <c r="E3430" t="n">
        <v>12302.44</v>
      </c>
      <c r="F3430" t="n">
        <v>147629.28</v>
      </c>
    </row>
    <row r="3431">
      <c r="A3431" t="n">
        <v>2028</v>
      </c>
      <c r="B3431" t="n">
        <v>12</v>
      </c>
      <c r="C3431" t="inlineStr">
        <is>
          <t>Instandh. BGA</t>
        </is>
      </c>
      <c r="D3431" t="inlineStr">
        <is>
          <t>Instandh. Betriebsausstattung</t>
        </is>
      </c>
      <c r="E3431" t="n">
        <v>4426.85</v>
      </c>
      <c r="F3431" t="n">
        <v>53122.2</v>
      </c>
    </row>
    <row r="3432">
      <c r="A3432" t="n">
        <v>2029</v>
      </c>
      <c r="B3432" t="n">
        <v>12</v>
      </c>
      <c r="C3432" t="inlineStr">
        <is>
          <t>Instandh.Fuhrp</t>
        </is>
      </c>
      <c r="D3432" t="inlineStr">
        <is>
          <t>Fuhrparkkosten</t>
        </is>
      </c>
      <c r="E3432" t="n">
        <v>34111.21</v>
      </c>
      <c r="F3432" t="n">
        <v>409334.56</v>
      </c>
    </row>
    <row r="3433">
      <c r="A3433" t="n">
        <v>2031</v>
      </c>
      <c r="B3433" t="n">
        <v>12</v>
      </c>
      <c r="C3433" t="inlineStr">
        <is>
          <t>Rechts- u. Beratungs</t>
        </is>
      </c>
      <c r="D3433" t="inlineStr">
        <is>
          <t>Verwaltungskosten</t>
        </is>
      </c>
      <c r="E3433" t="n">
        <v>28853.53</v>
      </c>
      <c r="F3433" t="n">
        <v>346242.38</v>
      </c>
    </row>
    <row r="3434">
      <c r="A3434" t="n">
        <v>2029</v>
      </c>
      <c r="B3434" t="n">
        <v>12</v>
      </c>
      <c r="C3434" t="inlineStr">
        <is>
          <t>Ertrag KFZ-Nutz</t>
        </is>
      </c>
      <c r="D3434" t="inlineStr">
        <is>
          <t>Gesamtleistung</t>
        </is>
      </c>
      <c r="E3434" t="n">
        <v>8815.82</v>
      </c>
      <c r="F3434" t="n">
        <v>105789.86</v>
      </c>
    </row>
    <row r="3435">
      <c r="A3435" t="n">
        <v>2030</v>
      </c>
      <c r="B3435" t="n">
        <v>12</v>
      </c>
      <c r="C3435" t="inlineStr">
        <is>
          <t>Ertr. weiterber</t>
        </is>
      </c>
      <c r="D3435" t="inlineStr">
        <is>
          <t>Gesamtleistung</t>
        </is>
      </c>
      <c r="E3435" t="n">
        <v>1104.47</v>
      </c>
      <c r="F3435" t="n">
        <v>13253.67</v>
      </c>
    </row>
    <row r="3436">
      <c r="A3436" t="n">
        <v>2028</v>
      </c>
      <c r="B3436" t="n">
        <v>12</v>
      </c>
      <c r="C3436" t="inlineStr">
        <is>
          <t>Leasing PKW</t>
        </is>
      </c>
      <c r="D3436" t="inlineStr">
        <is>
          <t>Fuhrparkkosten</t>
        </is>
      </c>
      <c r="E3436" t="n">
        <v>23256.85</v>
      </c>
      <c r="F3436" t="n">
        <v>279082.22</v>
      </c>
    </row>
    <row r="3437">
      <c r="A3437" t="n">
        <v>2028</v>
      </c>
      <c r="B3437" t="n">
        <v>12</v>
      </c>
      <c r="C3437" t="inlineStr">
        <is>
          <t>Treibstoffe, Oe</t>
        </is>
      </c>
      <c r="D3437" t="inlineStr">
        <is>
          <t>Fuhrparkkosten</t>
        </is>
      </c>
      <c r="E3437" t="n">
        <v>30417.62</v>
      </c>
      <c r="F3437" t="n">
        <v>365011.49</v>
      </c>
    </row>
    <row r="3438">
      <c r="A3438" t="n">
        <v>2029</v>
      </c>
      <c r="B3438" t="n">
        <v>12</v>
      </c>
      <c r="C3438" t="inlineStr">
        <is>
          <t>Miete PKW</t>
        </is>
      </c>
      <c r="D3438" t="inlineStr">
        <is>
          <t>Fuhrparkkosten</t>
        </is>
      </c>
      <c r="E3438" t="n">
        <v>5184.06</v>
      </c>
      <c r="F3438" t="n">
        <v>62208.67</v>
      </c>
    </row>
    <row r="3439">
      <c r="A3439" t="n">
        <v>2028</v>
      </c>
      <c r="B3439" t="n">
        <v>12</v>
      </c>
      <c r="C3439" t="inlineStr">
        <is>
          <t>Ertr. weiterber</t>
        </is>
      </c>
      <c r="D3439" t="inlineStr">
        <is>
          <t>Gesamtleistung</t>
        </is>
      </c>
      <c r="E3439" t="n">
        <v>980.91</v>
      </c>
      <c r="F3439" t="n">
        <v>11770.87</v>
      </c>
    </row>
    <row r="3440">
      <c r="A3440" t="n">
        <v>2029</v>
      </c>
      <c r="B3440" t="n">
        <v>12</v>
      </c>
      <c r="C3440" t="inlineStr">
        <is>
          <t>Instandh. BGA</t>
        </is>
      </c>
      <c r="D3440" t="inlineStr">
        <is>
          <t>Instandh. Betriebsausstattung</t>
        </is>
      </c>
      <c r="E3440" t="n">
        <v>4648.19</v>
      </c>
      <c r="F3440" t="n">
        <v>55778.31</v>
      </c>
    </row>
    <row r="3441">
      <c r="A3441" t="n">
        <v>2028</v>
      </c>
      <c r="B3441" t="n">
        <v>12</v>
      </c>
      <c r="C3441" t="inlineStr">
        <is>
          <t>Erl. so. DL Dt.</t>
        </is>
      </c>
      <c r="D3441" t="inlineStr">
        <is>
          <t>Gesamtleistung</t>
        </is>
      </c>
      <c r="E3441" t="n">
        <v>2095866.37</v>
      </c>
      <c r="F3441" t="n">
        <v>25150396.49</v>
      </c>
    </row>
    <row r="3442">
      <c r="A3442" t="n">
        <v>2028</v>
      </c>
      <c r="B3442" t="n">
        <v>12</v>
      </c>
      <c r="C3442" t="inlineStr">
        <is>
          <t>IT-Aufwendungen</t>
        </is>
      </c>
      <c r="D3442" t="inlineStr">
        <is>
          <t>Verwaltungskosten</t>
        </is>
      </c>
      <c r="E3442" t="n">
        <v>11944.12</v>
      </c>
      <c r="F3442" t="n">
        <v>143329.39</v>
      </c>
    </row>
    <row r="3443">
      <c r="A3443" t="n">
        <v>2029</v>
      </c>
      <c r="B3443" t="n">
        <v>12</v>
      </c>
      <c r="C3443" t="inlineStr">
        <is>
          <t>Ueb. bezog.Leis</t>
        </is>
      </c>
      <c r="D3443" t="inlineStr">
        <is>
          <t>Vorleistungen</t>
        </is>
      </c>
      <c r="E3443" t="n">
        <v>1364260.58</v>
      </c>
      <c r="F3443" t="n">
        <v>16371126.93</v>
      </c>
    </row>
    <row r="3444">
      <c r="A3444" t="n">
        <v>2031</v>
      </c>
      <c r="B3444" t="n">
        <v>12</v>
      </c>
      <c r="C3444" t="inlineStr">
        <is>
          <t>Sonderz. Prämie</t>
        </is>
      </c>
      <c r="D3444" t="inlineStr">
        <is>
          <t>Personalaufwand</t>
        </is>
      </c>
      <c r="E3444" t="n">
        <v>26838.18</v>
      </c>
      <c r="F3444" t="n">
        <v>322058.2</v>
      </c>
    </row>
    <row r="3445">
      <c r="A3445" t="n">
        <v>2029</v>
      </c>
      <c r="B3445" t="n">
        <v>12</v>
      </c>
      <c r="C3445" t="inlineStr">
        <is>
          <t>Verwaltungskost</t>
        </is>
      </c>
      <c r="D3445" t="inlineStr">
        <is>
          <t>Verwaltungskosten</t>
        </is>
      </c>
      <c r="E3445" t="n">
        <v>7098.98</v>
      </c>
      <c r="F3445" t="n">
        <v>85187.74000000001</v>
      </c>
    </row>
    <row r="3446">
      <c r="A3446" t="n">
        <v>2028</v>
      </c>
      <c r="B3446" t="n">
        <v>12</v>
      </c>
      <c r="C3446" t="inlineStr">
        <is>
          <t>Ertrag KFZ-Nutz</t>
        </is>
      </c>
      <c r="D3446" t="inlineStr">
        <is>
          <t>Gesamtleistung</t>
        </is>
      </c>
      <c r="E3446" t="n">
        <v>8405.780000000001</v>
      </c>
      <c r="F3446" t="n">
        <v>100869.3</v>
      </c>
    </row>
    <row r="3447">
      <c r="A3447" t="n">
        <v>2030</v>
      </c>
      <c r="B3447" t="n">
        <v>12</v>
      </c>
      <c r="C3447" t="inlineStr">
        <is>
          <t>Sonst Fuhrparkkosten</t>
        </is>
      </c>
      <c r="D3447" t="inlineStr">
        <is>
          <t>Fuhrparkkosten</t>
        </is>
      </c>
      <c r="E3447" t="n">
        <v>5942.26</v>
      </c>
      <c r="F3447" t="n">
        <v>71307.13</v>
      </c>
    </row>
    <row r="3448">
      <c r="A3448" t="n">
        <v>2028</v>
      </c>
      <c r="B3448" t="n">
        <v>12</v>
      </c>
      <c r="C3448" t="inlineStr">
        <is>
          <t>Rechts- u. Beratungs</t>
        </is>
      </c>
      <c r="D3448" t="inlineStr">
        <is>
          <t>Verwaltungskosten</t>
        </is>
      </c>
      <c r="E3448" t="n">
        <v>26405.07</v>
      </c>
      <c r="F3448" t="n">
        <v>316860.83</v>
      </c>
    </row>
    <row r="3449">
      <c r="A3449" t="n">
        <v>2027</v>
      </c>
      <c r="B3449" t="n">
        <v>12</v>
      </c>
      <c r="C3449" t="inlineStr">
        <is>
          <t>Leasing LKW</t>
        </is>
      </c>
      <c r="D3449" t="inlineStr">
        <is>
          <t>Fuhrparkkosten</t>
        </is>
      </c>
      <c r="E3449" t="n">
        <v>2305.28</v>
      </c>
      <c r="F3449" t="n">
        <v>27663.3</v>
      </c>
    </row>
    <row r="3450">
      <c r="A3450" t="n">
        <v>2031</v>
      </c>
      <c r="B3450" t="n">
        <v>12</v>
      </c>
      <c r="C3450" t="inlineStr">
        <is>
          <t>Fremdl. Fuhrlei</t>
        </is>
      </c>
      <c r="D3450" t="inlineStr">
        <is>
          <t>Vorleistungen</t>
        </is>
      </c>
      <c r="E3450" t="n">
        <v>374.24</v>
      </c>
      <c r="F3450" t="n">
        <v>4490.84</v>
      </c>
    </row>
    <row r="3451">
      <c r="A3451" t="n">
        <v>2029</v>
      </c>
      <c r="B3451" t="n">
        <v>12</v>
      </c>
      <c r="C3451" t="inlineStr">
        <is>
          <t>Fremdl. Fuhrlei</t>
        </is>
      </c>
      <c r="D3451" t="inlineStr">
        <is>
          <t>Vorleistungen</t>
        </is>
      </c>
      <c r="E3451" t="n">
        <v>362.07</v>
      </c>
      <c r="F3451" t="n">
        <v>4344.88</v>
      </c>
    </row>
    <row r="3452">
      <c r="A3452" t="n">
        <v>2028</v>
      </c>
      <c r="B3452" t="n">
        <v>12</v>
      </c>
      <c r="C3452" t="inlineStr">
        <is>
          <t>Vertriebskosten</t>
        </is>
      </c>
      <c r="D3452" t="inlineStr">
        <is>
          <t>Vertriebskosten</t>
        </is>
      </c>
      <c r="E3452" t="n">
        <v>11375</v>
      </c>
      <c r="F3452" t="n">
        <v>136500</v>
      </c>
    </row>
    <row r="3453">
      <c r="A3453" t="n">
        <v>2031</v>
      </c>
      <c r="B3453" t="n">
        <v>12</v>
      </c>
      <c r="C3453" t="inlineStr">
        <is>
          <t>Aufw. so. Hilfs</t>
        </is>
      </c>
      <c r="D3453" t="inlineStr">
        <is>
          <t>Vorleistungen</t>
        </is>
      </c>
      <c r="E3453" t="n">
        <v>-17544.22</v>
      </c>
      <c r="F3453" t="n">
        <v>-210530.6</v>
      </c>
    </row>
    <row r="3454">
      <c r="A3454" t="n">
        <v>2029</v>
      </c>
      <c r="B3454" t="n">
        <v>12</v>
      </c>
      <c r="C3454" t="inlineStr">
        <is>
          <t>Ankauf Rohstoff</t>
        </is>
      </c>
      <c r="D3454" t="inlineStr">
        <is>
          <t>Vorleistungen</t>
        </is>
      </c>
      <c r="E3454" t="n">
        <v>1473.64</v>
      </c>
      <c r="F3454" t="n">
        <v>17683.65</v>
      </c>
    </row>
    <row r="3455">
      <c r="A3455" t="n">
        <v>2028</v>
      </c>
      <c r="B3455" t="n">
        <v>12</v>
      </c>
      <c r="C3455" t="inlineStr">
        <is>
          <t>Sonstige Steuer</t>
        </is>
      </c>
      <c r="D3455" t="inlineStr">
        <is>
          <t>Fuhrparkkosten</t>
        </is>
      </c>
      <c r="E3455" t="n">
        <v>1587.15</v>
      </c>
      <c r="F3455" t="n">
        <v>19045.76</v>
      </c>
    </row>
    <row r="3456">
      <c r="A3456" t="n">
        <v>2030</v>
      </c>
      <c r="B3456" t="n">
        <v>12</v>
      </c>
      <c r="C3456" t="inlineStr">
        <is>
          <t>Weiterber. Frem</t>
        </is>
      </c>
      <c r="D3456" t="inlineStr">
        <is>
          <t>Vorleistungen</t>
        </is>
      </c>
      <c r="E3456" t="n">
        <v>0</v>
      </c>
      <c r="F3456" t="n">
        <v>0</v>
      </c>
    </row>
    <row r="3457">
      <c r="A3457" t="n">
        <v>2031</v>
      </c>
      <c r="B3457" t="n">
        <v>12</v>
      </c>
      <c r="C3457" t="inlineStr">
        <is>
          <t>Miete Behälter</t>
        </is>
      </c>
      <c r="D3457" t="inlineStr">
        <is>
          <t>Instandh. Betriebsausstattung</t>
        </is>
      </c>
      <c r="E3457" t="n">
        <v>27.88</v>
      </c>
      <c r="F3457" t="n">
        <v>334.55</v>
      </c>
    </row>
    <row r="3458">
      <c r="A3458" t="n">
        <v>2027</v>
      </c>
      <c r="B3458" t="n">
        <v>12</v>
      </c>
      <c r="C3458" t="inlineStr">
        <is>
          <t>Miete Grdst/Gebäud</t>
        </is>
      </c>
      <c r="D3458" t="inlineStr">
        <is>
          <t>Raumkosten</t>
        </is>
      </c>
      <c r="E3458" t="n">
        <v>15284.77</v>
      </c>
      <c r="F3458" t="n">
        <v>183417.26</v>
      </c>
    </row>
    <row r="3459">
      <c r="A3459" t="n">
        <v>2028</v>
      </c>
      <c r="B3459" t="n">
        <v>12</v>
      </c>
      <c r="C3459" t="inlineStr">
        <is>
          <t>Aufw. f. Alters</t>
        </is>
      </c>
      <c r="D3459" t="inlineStr">
        <is>
          <t>Personalaufwand</t>
        </is>
      </c>
      <c r="E3459" t="n">
        <v>1290.05</v>
      </c>
      <c r="F3459" t="n">
        <v>15480.56</v>
      </c>
    </row>
    <row r="3460">
      <c r="A3460" t="n">
        <v>2028</v>
      </c>
      <c r="B3460" t="n">
        <v>12</v>
      </c>
      <c r="C3460" t="inlineStr">
        <is>
          <t>Fremdl. Persona</t>
        </is>
      </c>
      <c r="D3460" t="inlineStr">
        <is>
          <t>Vorleistungen</t>
        </is>
      </c>
      <c r="E3460" t="n">
        <v>69.04000000000001</v>
      </c>
      <c r="F3460" t="n">
        <v>828.42</v>
      </c>
    </row>
    <row r="3461">
      <c r="A3461" t="n">
        <v>2030</v>
      </c>
      <c r="B3461" t="n">
        <v>12</v>
      </c>
      <c r="C3461" t="inlineStr">
        <is>
          <t>Vertriebskosten</t>
        </is>
      </c>
      <c r="D3461" t="inlineStr">
        <is>
          <t>Vertriebskosten</t>
        </is>
      </c>
      <c r="E3461" t="n">
        <v>12540.94</v>
      </c>
      <c r="F3461" t="n">
        <v>150491.26</v>
      </c>
    </row>
    <row r="3462">
      <c r="A3462" t="n">
        <v>2030</v>
      </c>
      <c r="B3462" t="n">
        <v>12</v>
      </c>
      <c r="C3462" t="inlineStr">
        <is>
          <t>Aufw. so. Hilfs</t>
        </is>
      </c>
      <c r="D3462" t="inlineStr">
        <is>
          <t>Vorleistungen</t>
        </is>
      </c>
      <c r="E3462" t="n">
        <v>-17197.35</v>
      </c>
      <c r="F3462" t="n">
        <v>-206368.2</v>
      </c>
    </row>
    <row r="3463">
      <c r="A3463" t="n">
        <v>2029</v>
      </c>
      <c r="B3463" t="n">
        <v>12</v>
      </c>
      <c r="C3463" t="inlineStr">
        <is>
          <t>Aufw. so. Hilfs</t>
        </is>
      </c>
      <c r="D3463" t="inlineStr">
        <is>
          <t>Vorleistungen</t>
        </is>
      </c>
      <c r="E3463" t="n">
        <v>-16834.66</v>
      </c>
      <c r="F3463" t="n">
        <v>-202015.88</v>
      </c>
    </row>
    <row r="3464">
      <c r="A3464" t="n">
        <v>2027</v>
      </c>
      <c r="B3464" t="n">
        <v>12</v>
      </c>
      <c r="C3464" t="inlineStr">
        <is>
          <t>Miete PKW</t>
        </is>
      </c>
      <c r="D3464" t="inlineStr">
        <is>
          <t>Fuhrparkkosten</t>
        </is>
      </c>
      <c r="E3464" t="n">
        <v>4613.79</v>
      </c>
      <c r="F3464" t="n">
        <v>55365.51</v>
      </c>
    </row>
    <row r="3465">
      <c r="A3465" t="n">
        <v>2030</v>
      </c>
      <c r="B3465" t="n">
        <v>12</v>
      </c>
      <c r="C3465" t="inlineStr">
        <is>
          <t>Fremdl. Fuhrlei</t>
        </is>
      </c>
      <c r="D3465" t="inlineStr">
        <is>
          <t>Vorleistungen</t>
        </is>
      </c>
      <c r="E3465" t="n">
        <v>368.3</v>
      </c>
      <c r="F3465" t="n">
        <v>4419.56</v>
      </c>
    </row>
    <row r="3466">
      <c r="A3466" t="n">
        <v>2030</v>
      </c>
      <c r="B3466" t="n">
        <v>12</v>
      </c>
      <c r="C3466" t="inlineStr">
        <is>
          <t>Miete PKW</t>
        </is>
      </c>
      <c r="D3466" t="inlineStr">
        <is>
          <t>Fuhrparkkosten</t>
        </is>
      </c>
      <c r="E3466" t="n">
        <v>5495.1</v>
      </c>
      <c r="F3466" t="n">
        <v>65941.19</v>
      </c>
    </row>
    <row r="3467">
      <c r="A3467" t="n">
        <v>2027</v>
      </c>
      <c r="B3467" t="n">
        <v>12</v>
      </c>
      <c r="C3467" t="inlineStr">
        <is>
          <t>Erl. Waren Dt.</t>
        </is>
      </c>
      <c r="D3467" t="inlineStr">
        <is>
          <t>Gesamtleistung</t>
        </is>
      </c>
      <c r="E3467" t="n">
        <v>42246.46</v>
      </c>
      <c r="F3467" t="n">
        <v>506957.51</v>
      </c>
    </row>
    <row r="3468">
      <c r="A3468" t="n">
        <v>2029</v>
      </c>
      <c r="B3468" t="n">
        <v>12</v>
      </c>
      <c r="C3468" t="inlineStr">
        <is>
          <t>Bestandsveraend</t>
        </is>
      </c>
      <c r="D3468" t="inlineStr">
        <is>
          <t>Gesamtleistung</t>
        </is>
      </c>
      <c r="E3468" t="n">
        <v>0</v>
      </c>
      <c r="F3468" t="n">
        <v>0</v>
      </c>
    </row>
    <row r="3469">
      <c r="A3469" t="n">
        <v>2031</v>
      </c>
      <c r="B3469" t="n">
        <v>12</v>
      </c>
      <c r="C3469" t="inlineStr">
        <is>
          <t>Leasing PKW</t>
        </is>
      </c>
      <c r="D3469" t="inlineStr">
        <is>
          <t>Fuhrparkkosten</t>
        </is>
      </c>
      <c r="E3469" t="n">
        <v>27699.28</v>
      </c>
      <c r="F3469" t="n">
        <v>332391.4</v>
      </c>
    </row>
    <row r="3470">
      <c r="A3470" t="n">
        <v>2029</v>
      </c>
      <c r="B3470" t="n">
        <v>12</v>
      </c>
      <c r="C3470" t="inlineStr">
        <is>
          <t>Behaelterkosten</t>
        </is>
      </c>
      <c r="D3470" t="inlineStr">
        <is>
          <t>Instandh. Betriebsausstattung</t>
        </is>
      </c>
      <c r="E3470" t="n">
        <v>12.15</v>
      </c>
      <c r="F3470" t="n">
        <v>145.74</v>
      </c>
    </row>
    <row r="3471">
      <c r="A3471" t="n">
        <v>2029</v>
      </c>
      <c r="B3471" t="n">
        <v>12</v>
      </c>
      <c r="C3471" t="inlineStr">
        <is>
          <t>Aufwand Umlage</t>
        </is>
      </c>
      <c r="D3471" t="inlineStr">
        <is>
          <t>Verwaltungskosten</t>
        </is>
      </c>
      <c r="E3471" t="n">
        <v>3589.28</v>
      </c>
      <c r="F3471" t="n">
        <v>43071.39</v>
      </c>
    </row>
    <row r="3472">
      <c r="A3472" t="n">
        <v>2030</v>
      </c>
      <c r="B3472" t="n">
        <v>12</v>
      </c>
      <c r="C3472" t="inlineStr">
        <is>
          <t>Instandh.Fuhrp</t>
        </is>
      </c>
      <c r="D3472" t="inlineStr">
        <is>
          <t>Fuhrparkkosten</t>
        </is>
      </c>
      <c r="E3472" t="n">
        <v>36157.89</v>
      </c>
      <c r="F3472" t="n">
        <v>433894.62</v>
      </c>
    </row>
    <row r="3473">
      <c r="A3473" t="n">
        <v>2028</v>
      </c>
      <c r="B3473" t="n">
        <v>12</v>
      </c>
      <c r="C3473" t="inlineStr">
        <is>
          <t>Sonderz. Prämie</t>
        </is>
      </c>
      <c r="D3473" t="inlineStr">
        <is>
          <t>Personalaufwand</t>
        </is>
      </c>
      <c r="E3473" t="n">
        <v>21386.26</v>
      </c>
      <c r="F3473" t="n">
        <v>256635.15</v>
      </c>
    </row>
    <row r="3474">
      <c r="A3474" t="n">
        <v>2029</v>
      </c>
      <c r="B3474" t="n">
        <v>12</v>
      </c>
      <c r="C3474" t="inlineStr">
        <is>
          <t>Aufw. f. Alters</t>
        </is>
      </c>
      <c r="D3474" t="inlineStr">
        <is>
          <t>Personalaufwand</t>
        </is>
      </c>
      <c r="E3474" t="n">
        <v>1366.43</v>
      </c>
      <c r="F3474" t="n">
        <v>16397.15</v>
      </c>
    </row>
    <row r="3475">
      <c r="A3475" t="n">
        <v>2027</v>
      </c>
      <c r="B3475" t="n">
        <v>12</v>
      </c>
      <c r="C3475" t="inlineStr">
        <is>
          <t>Ertr. weiterber</t>
        </is>
      </c>
      <c r="D3475" t="inlineStr">
        <is>
          <t>Gesamtleistung</t>
        </is>
      </c>
      <c r="E3475" t="n">
        <v>919.41</v>
      </c>
      <c r="F3475" t="n">
        <v>11032.96</v>
      </c>
    </row>
    <row r="3476">
      <c r="A3476" t="n">
        <v>2029</v>
      </c>
      <c r="B3476" t="n">
        <v>12</v>
      </c>
      <c r="C3476" t="inlineStr">
        <is>
          <t>So. betr. Aufwa</t>
        </is>
      </c>
      <c r="D3476" t="inlineStr">
        <is>
          <t>Verwaltungskosten</t>
        </is>
      </c>
      <c r="E3476" t="n">
        <v>693.25</v>
      </c>
      <c r="F3476" t="n">
        <v>8319.02</v>
      </c>
    </row>
    <row r="3477">
      <c r="A3477" t="n">
        <v>2031</v>
      </c>
      <c r="B3477" t="n">
        <v>12</v>
      </c>
      <c r="C3477" t="inlineStr">
        <is>
          <t>Ertr. weiterber</t>
        </is>
      </c>
      <c r="D3477" t="inlineStr">
        <is>
          <t>Gesamtleistung</t>
        </is>
      </c>
      <c r="E3477" t="n">
        <v>1173.93</v>
      </c>
      <c r="F3477" t="n">
        <v>14087.11</v>
      </c>
    </row>
    <row r="3478">
      <c r="A3478" t="n">
        <v>2031</v>
      </c>
      <c r="B3478" t="n">
        <v>12</v>
      </c>
      <c r="C3478" t="inlineStr">
        <is>
          <t>Ueb. bezog.Leis</t>
        </is>
      </c>
      <c r="D3478" t="inlineStr">
        <is>
          <t>Vorleistungen</t>
        </is>
      </c>
      <c r="E3478" t="n">
        <v>1404446.73</v>
      </c>
      <c r="F3478" t="n">
        <v>16853360.74</v>
      </c>
    </row>
    <row r="3479">
      <c r="A3479" t="n">
        <v>2027</v>
      </c>
      <c r="B3479" t="n">
        <v>12</v>
      </c>
      <c r="C3479" t="inlineStr">
        <is>
          <t>Fremdl. Fuhrlei</t>
        </is>
      </c>
      <c r="D3479" t="inlineStr">
        <is>
          <t>Vorleistungen</t>
        </is>
      </c>
      <c r="E3479" t="n">
        <v>371.09</v>
      </c>
      <c r="F3479" t="n">
        <v>4453.13</v>
      </c>
    </row>
    <row r="3480">
      <c r="A3480" t="n">
        <v>2027</v>
      </c>
      <c r="B3480" t="n">
        <v>12</v>
      </c>
      <c r="C3480" t="inlineStr">
        <is>
          <t>Behaelterkosten</t>
        </is>
      </c>
      <c r="D3480" t="inlineStr">
        <is>
          <t>Instandh. Betriebsausstattung</t>
        </is>
      </c>
      <c r="E3480" t="n">
        <v>11.02</v>
      </c>
      <c r="F3480" t="n">
        <v>132.19</v>
      </c>
    </row>
    <row r="3481">
      <c r="A3481" t="n">
        <v>2027</v>
      </c>
      <c r="B3481" t="n">
        <v>12</v>
      </c>
      <c r="C3481" t="inlineStr">
        <is>
          <t>Ueb Lohn-Gehalt</t>
        </is>
      </c>
      <c r="D3481" t="inlineStr">
        <is>
          <t>Personalaufwand</t>
        </is>
      </c>
      <c r="E3481" t="n">
        <v>30579.25</v>
      </c>
      <c r="F3481" t="n">
        <v>366951</v>
      </c>
    </row>
    <row r="3482">
      <c r="A3482" t="n">
        <v>2028</v>
      </c>
      <c r="B3482" t="n">
        <v>12</v>
      </c>
      <c r="C3482" t="inlineStr">
        <is>
          <t>Raumkosten</t>
        </is>
      </c>
      <c r="D3482" t="inlineStr">
        <is>
          <t>Raumkosten</t>
        </is>
      </c>
      <c r="E3482" t="n">
        <v>7023.98</v>
      </c>
      <c r="F3482" t="n">
        <v>84287.78</v>
      </c>
    </row>
    <row r="3483">
      <c r="A3483" t="n">
        <v>2031</v>
      </c>
      <c r="B3483" t="n">
        <v>12</v>
      </c>
      <c r="C3483" t="inlineStr">
        <is>
          <t>Bestandsveraend</t>
        </is>
      </c>
      <c r="D3483" t="inlineStr">
        <is>
          <t>Gesamtleistung</t>
        </is>
      </c>
      <c r="E3483" t="n">
        <v>0</v>
      </c>
      <c r="F3483" t="n">
        <v>0</v>
      </c>
    </row>
    <row r="3484">
      <c r="A3484" t="n">
        <v>2029</v>
      </c>
      <c r="B3484" t="n">
        <v>12</v>
      </c>
      <c r="C3484" t="inlineStr">
        <is>
          <t>Lohn + Gehalt</t>
        </is>
      </c>
      <c r="D3484" t="inlineStr">
        <is>
          <t>Personalaufwand</t>
        </is>
      </c>
      <c r="E3484" t="n">
        <v>356250.11</v>
      </c>
      <c r="F3484" t="n">
        <v>4275001.35</v>
      </c>
    </row>
    <row r="3485">
      <c r="A3485" t="n">
        <v>2029</v>
      </c>
      <c r="B3485" t="n">
        <v>12</v>
      </c>
      <c r="C3485" t="inlineStr">
        <is>
          <t>Aufw. Heizmat.</t>
        </is>
      </c>
      <c r="D3485" t="inlineStr">
        <is>
          <t>Vorleistungen</t>
        </is>
      </c>
      <c r="E3485" t="n">
        <v>245.07</v>
      </c>
      <c r="F3485" t="n">
        <v>2940.88</v>
      </c>
    </row>
    <row r="3486">
      <c r="A3486" t="n">
        <v>2031</v>
      </c>
      <c r="B3486" t="n">
        <v>12</v>
      </c>
      <c r="C3486" t="inlineStr">
        <is>
          <t>Verwaltungskost</t>
        </is>
      </c>
      <c r="D3486" t="inlineStr">
        <is>
          <t>Verwaltungskosten</t>
        </is>
      </c>
      <c r="E3486" t="n">
        <v>7531.31</v>
      </c>
      <c r="F3486" t="n">
        <v>90375.69</v>
      </c>
    </row>
    <row r="3487">
      <c r="A3487" t="n">
        <v>2028</v>
      </c>
      <c r="B3487" t="n">
        <v>12</v>
      </c>
      <c r="C3487" t="inlineStr">
        <is>
          <t>Erl. Waren Dt.</t>
        </is>
      </c>
      <c r="D3487" t="inlineStr">
        <is>
          <t>Gesamtleistung</t>
        </is>
      </c>
      <c r="E3487" t="n">
        <v>44950.49</v>
      </c>
      <c r="F3487" t="n">
        <v>539405.87</v>
      </c>
    </row>
    <row r="3488">
      <c r="A3488" t="n">
        <v>2030</v>
      </c>
      <c r="B3488" t="n">
        <v>12</v>
      </c>
      <c r="C3488" t="inlineStr">
        <is>
          <t>Uebr.neutr. Ert</t>
        </is>
      </c>
      <c r="D3488" t="inlineStr">
        <is>
          <t>Gesamtleistung</t>
        </is>
      </c>
      <c r="E3488" t="n">
        <v>207.38</v>
      </c>
      <c r="F3488" t="n">
        <v>2488.5</v>
      </c>
    </row>
    <row r="3489">
      <c r="A3489" t="n">
        <v>2030</v>
      </c>
      <c r="B3489" t="n">
        <v>12</v>
      </c>
      <c r="C3489" t="inlineStr">
        <is>
          <t>Raumkosten</t>
        </is>
      </c>
      <c r="D3489" t="inlineStr">
        <is>
          <t>Raumkosten</t>
        </is>
      </c>
      <c r="E3489" t="n">
        <v>7307.75</v>
      </c>
      <c r="F3489" t="n">
        <v>87693</v>
      </c>
    </row>
    <row r="3490">
      <c r="A3490" t="n">
        <v>2030</v>
      </c>
      <c r="B3490" t="n">
        <v>12</v>
      </c>
      <c r="C3490" t="inlineStr">
        <is>
          <t>Fremdl. Persona</t>
        </is>
      </c>
      <c r="D3490" t="inlineStr">
        <is>
          <t>Vorleistungen</t>
        </is>
      </c>
      <c r="E3490" t="n">
        <v>76.56999999999999</v>
      </c>
      <c r="F3490" t="n">
        <v>918.79</v>
      </c>
    </row>
    <row r="3491">
      <c r="A3491" t="n">
        <v>2027</v>
      </c>
      <c r="B3491" t="n">
        <v>12</v>
      </c>
      <c r="C3491" t="inlineStr">
        <is>
          <t>Leasing PKW</t>
        </is>
      </c>
      <c r="D3491" t="inlineStr">
        <is>
          <t>Fuhrparkkosten</t>
        </is>
      </c>
      <c r="E3491" t="n">
        <v>21940.43</v>
      </c>
      <c r="F3491" t="n">
        <v>263285.11</v>
      </c>
    </row>
    <row r="3492">
      <c r="A3492" t="n">
        <v>2030</v>
      </c>
      <c r="B3492" t="n">
        <v>12</v>
      </c>
      <c r="C3492" t="inlineStr">
        <is>
          <t>Ertrag KFZ-Nutz</t>
        </is>
      </c>
      <c r="D3492" t="inlineStr">
        <is>
          <t>Gesamtleistung</t>
        </is>
      </c>
      <c r="E3492" t="n">
        <v>9193.41</v>
      </c>
      <c r="F3492" t="n">
        <v>110320.94</v>
      </c>
    </row>
    <row r="3493">
      <c r="A3493" t="n">
        <v>2028</v>
      </c>
      <c r="B3493" t="n">
        <v>12</v>
      </c>
      <c r="C3493" t="inlineStr">
        <is>
          <t>Uebr.neutr. Ert</t>
        </is>
      </c>
      <c r="D3493" t="inlineStr">
        <is>
          <t>Gesamtleistung</t>
        </is>
      </c>
      <c r="E3493" t="n">
        <v>151.92</v>
      </c>
      <c r="F3493" t="n">
        <v>1823.08</v>
      </c>
    </row>
    <row r="3494">
      <c r="A3494" t="n">
        <v>2030</v>
      </c>
      <c r="B3494" t="n">
        <v>12</v>
      </c>
      <c r="C3494" t="inlineStr">
        <is>
          <t>Soziale Abgaben</t>
        </is>
      </c>
      <c r="D3494" t="inlineStr">
        <is>
          <t>Personalaufwand</t>
        </is>
      </c>
      <c r="E3494" t="n">
        <v>104141.87</v>
      </c>
      <c r="F3494" t="n">
        <v>1249702.47</v>
      </c>
    </row>
    <row r="3495">
      <c r="A3495" t="n">
        <v>2030</v>
      </c>
      <c r="B3495" t="n">
        <v>12</v>
      </c>
      <c r="C3495" t="inlineStr">
        <is>
          <t>Ankauf Rohstoff</t>
        </is>
      </c>
      <c r="D3495" t="inlineStr">
        <is>
          <t>Vorleistungen</t>
        </is>
      </c>
      <c r="E3495" t="n">
        <v>1483.55</v>
      </c>
      <c r="F3495" t="n">
        <v>17802.65</v>
      </c>
    </row>
    <row r="3496">
      <c r="A3496" t="n">
        <v>2031</v>
      </c>
      <c r="B3496" t="n">
        <v>12</v>
      </c>
      <c r="C3496" t="inlineStr">
        <is>
          <t>Aufw. Heizmat.</t>
        </is>
      </c>
      <c r="D3496" t="inlineStr">
        <is>
          <t>Vorleistungen</t>
        </is>
      </c>
      <c r="E3496" t="n">
        <v>216.16</v>
      </c>
      <c r="F3496" t="n">
        <v>2593.97</v>
      </c>
    </row>
    <row r="3497">
      <c r="A3497" t="n">
        <v>2030</v>
      </c>
      <c r="B3497" t="n">
        <v>12</v>
      </c>
      <c r="C3497" t="inlineStr">
        <is>
          <t>IT-Aufwendungen</t>
        </is>
      </c>
      <c r="D3497" t="inlineStr">
        <is>
          <t>Verwaltungskosten</t>
        </is>
      </c>
      <c r="E3497" t="n">
        <v>12671.51</v>
      </c>
      <c r="F3497" t="n">
        <v>152058.16</v>
      </c>
    </row>
    <row r="3498">
      <c r="A3498" t="n">
        <v>2027</v>
      </c>
      <c r="B3498" t="n">
        <v>12</v>
      </c>
      <c r="C3498" t="inlineStr">
        <is>
          <t>Treibstoffe, Oe</t>
        </is>
      </c>
      <c r="D3498" t="inlineStr">
        <is>
          <t>Fuhrparkkosten</t>
        </is>
      </c>
      <c r="E3498" t="n">
        <v>28695.87</v>
      </c>
      <c r="F3498" t="n">
        <v>344350.48</v>
      </c>
    </row>
    <row r="3499">
      <c r="A3499" t="n">
        <v>2028</v>
      </c>
      <c r="B3499" t="n">
        <v>12</v>
      </c>
      <c r="C3499" t="inlineStr">
        <is>
          <t>Aufw. Heizmat.</t>
        </is>
      </c>
      <c r="D3499" t="inlineStr">
        <is>
          <t>Vorleistungen</t>
        </is>
      </c>
      <c r="E3499" t="n">
        <v>260.43</v>
      </c>
      <c r="F3499" t="n">
        <v>3125.13</v>
      </c>
    </row>
    <row r="3500">
      <c r="A3500" t="n">
        <v>2031</v>
      </c>
      <c r="B3500" t="n">
        <v>12</v>
      </c>
      <c r="C3500" t="inlineStr">
        <is>
          <t>Ertrag KFZ-Nutz</t>
        </is>
      </c>
      <c r="D3500" t="inlineStr">
        <is>
          <t>Gesamtleistung</t>
        </is>
      </c>
      <c r="E3500" t="n">
        <v>9597.290000000001</v>
      </c>
      <c r="F3500" t="n">
        <v>115167.5</v>
      </c>
    </row>
    <row r="3501">
      <c r="A3501" t="n">
        <v>2027</v>
      </c>
      <c r="B3501" t="n">
        <v>12</v>
      </c>
      <c r="C3501" t="inlineStr">
        <is>
          <t>Raumkosten</t>
        </is>
      </c>
      <c r="D3501" t="inlineStr">
        <is>
          <t>Raumkosten</t>
        </is>
      </c>
      <c r="E3501" t="n">
        <v>5046.85</v>
      </c>
      <c r="F3501" t="n">
        <v>60562.14</v>
      </c>
    </row>
    <row r="3502">
      <c r="A3502" t="n">
        <v>2028</v>
      </c>
      <c r="B3502" t="n">
        <v>12</v>
      </c>
      <c r="C3502" t="inlineStr">
        <is>
          <t>Soziale Abgaben</t>
        </is>
      </c>
      <c r="D3502" t="inlineStr">
        <is>
          <t>Personalaufwand</t>
        </is>
      </c>
      <c r="E3502" t="n">
        <v>85007.57000000001</v>
      </c>
      <c r="F3502" t="n">
        <v>1020090.84</v>
      </c>
    </row>
    <row r="3503">
      <c r="A3503" t="n">
        <v>2029</v>
      </c>
      <c r="B3503" t="n">
        <v>12</v>
      </c>
      <c r="C3503" t="inlineStr">
        <is>
          <t>Miete Grdst/Gebäud</t>
        </is>
      </c>
      <c r="D3503" t="inlineStr">
        <is>
          <t>Raumkosten</t>
        </is>
      </c>
      <c r="E3503" t="n">
        <v>18238.55</v>
      </c>
      <c r="F3503" t="n">
        <v>218862.64</v>
      </c>
    </row>
    <row r="3504">
      <c r="A3504" t="n">
        <v>2031</v>
      </c>
      <c r="B3504" t="n">
        <v>12</v>
      </c>
      <c r="C3504" t="inlineStr">
        <is>
          <t>Raumkosten</t>
        </is>
      </c>
      <c r="D3504" t="inlineStr">
        <is>
          <t>Raumkosten</t>
        </is>
      </c>
      <c r="E3504" t="n">
        <v>7453.91</v>
      </c>
      <c r="F3504" t="n">
        <v>89446.89</v>
      </c>
    </row>
    <row r="3505">
      <c r="A3505" t="n">
        <v>2031</v>
      </c>
      <c r="B3505" t="n">
        <v>12</v>
      </c>
      <c r="C3505" t="inlineStr">
        <is>
          <t>Behaelterkosten</t>
        </is>
      </c>
      <c r="D3505" t="inlineStr">
        <is>
          <t>Instandh. Betriebsausstattung</t>
        </is>
      </c>
      <c r="E3505" t="n">
        <v>13.39</v>
      </c>
      <c r="F3505" t="n">
        <v>160.68</v>
      </c>
    </row>
    <row r="3506">
      <c r="A3506" t="n">
        <v>2031</v>
      </c>
      <c r="B3506" t="n">
        <v>12</v>
      </c>
      <c r="C3506" t="inlineStr">
        <is>
          <t>Instandh.Fuhrp</t>
        </is>
      </c>
      <c r="D3506" t="inlineStr">
        <is>
          <t>Fuhrparkkosten</t>
        </is>
      </c>
      <c r="E3506" t="n">
        <v>38327.36</v>
      </c>
      <c r="F3506" t="n">
        <v>459928.28</v>
      </c>
    </row>
    <row r="3507">
      <c r="A3507" t="n">
        <v>2030</v>
      </c>
      <c r="B3507" t="n">
        <v>12</v>
      </c>
      <c r="C3507" t="inlineStr">
        <is>
          <t>Ueb. bezog.Leis</t>
        </is>
      </c>
      <c r="D3507" t="inlineStr">
        <is>
          <t>Vorleistungen</t>
        </is>
      </c>
      <c r="E3507" t="n">
        <v>1385029.28</v>
      </c>
      <c r="F3507" t="n">
        <v>16620351.38</v>
      </c>
    </row>
    <row r="3508">
      <c r="A3508" t="n">
        <v>2027</v>
      </c>
      <c r="B3508" t="n">
        <v>12</v>
      </c>
      <c r="C3508" t="inlineStr">
        <is>
          <t>Miete LKW,Schiffe</t>
        </is>
      </c>
      <c r="D3508" t="inlineStr">
        <is>
          <t>Fuhrparkkosten</t>
        </is>
      </c>
      <c r="E3508" t="n">
        <v>36751.61</v>
      </c>
      <c r="F3508" t="n">
        <v>441019.28</v>
      </c>
    </row>
    <row r="3509">
      <c r="A3509" t="n">
        <v>2030</v>
      </c>
      <c r="B3509" t="n">
        <v>12</v>
      </c>
      <c r="C3509" t="inlineStr">
        <is>
          <t>Leasing LKW</t>
        </is>
      </c>
      <c r="D3509" t="inlineStr">
        <is>
          <t>Fuhrparkkosten</t>
        </is>
      </c>
      <c r="E3509" t="n">
        <v>2745.62</v>
      </c>
      <c r="F3509" t="n">
        <v>32947.44</v>
      </c>
    </row>
    <row r="3510">
      <c r="A3510" t="n">
        <v>2031</v>
      </c>
      <c r="B3510" t="n">
        <v>12</v>
      </c>
      <c r="C3510" t="inlineStr">
        <is>
          <t>Vertriebskosten</t>
        </is>
      </c>
      <c r="D3510" t="inlineStr">
        <is>
          <t>Vertriebskosten</t>
        </is>
      </c>
      <c r="E3510" t="n">
        <v>13167.99</v>
      </c>
      <c r="F3510" t="n">
        <v>158015.82</v>
      </c>
    </row>
    <row r="3511">
      <c r="A3511" t="n">
        <v>2028</v>
      </c>
      <c r="B3511" t="n">
        <v>12</v>
      </c>
      <c r="C3511" t="inlineStr">
        <is>
          <t>Behaelterkosten</t>
        </is>
      </c>
      <c r="D3511" t="inlineStr">
        <is>
          <t>Instandh. Betriebsausstattung</t>
        </is>
      </c>
      <c r="E3511" t="n">
        <v>11.57</v>
      </c>
      <c r="F3511" t="n">
        <v>138.8</v>
      </c>
    </row>
    <row r="3512">
      <c r="A3512" t="n">
        <v>2030</v>
      </c>
      <c r="B3512" t="n">
        <v>12</v>
      </c>
      <c r="C3512" t="inlineStr">
        <is>
          <t>Verwaltungskost</t>
        </is>
      </c>
      <c r="D3512" t="inlineStr">
        <is>
          <t>Verwaltungskosten</t>
        </is>
      </c>
      <c r="E3512" t="n">
        <v>7311.95</v>
      </c>
      <c r="F3512" t="n">
        <v>87743.38</v>
      </c>
    </row>
    <row r="3513">
      <c r="A3513" t="n">
        <v>2030</v>
      </c>
      <c r="B3513" t="n">
        <v>12</v>
      </c>
      <c r="C3513" t="inlineStr">
        <is>
          <t>Rechts- u. Beratungs</t>
        </is>
      </c>
      <c r="D3513" t="inlineStr">
        <is>
          <t>Verwaltungskosten</t>
        </is>
      </c>
      <c r="E3513" t="n">
        <v>28013.14</v>
      </c>
      <c r="F3513" t="n">
        <v>336157.66</v>
      </c>
    </row>
    <row r="3514">
      <c r="A3514" t="n">
        <v>2028</v>
      </c>
      <c r="B3514" t="n">
        <v>12</v>
      </c>
      <c r="C3514" t="inlineStr">
        <is>
          <t>Sonst Fuhrparkkosten</t>
        </is>
      </c>
      <c r="D3514" t="inlineStr">
        <is>
          <t>Fuhrparkkosten</t>
        </is>
      </c>
      <c r="E3514" t="n">
        <v>5288.59</v>
      </c>
      <c r="F3514" t="n">
        <v>63463.1</v>
      </c>
    </row>
    <row r="3515">
      <c r="A3515" t="n">
        <v>2029</v>
      </c>
      <c r="B3515" t="n">
        <v>12</v>
      </c>
      <c r="C3515" t="inlineStr">
        <is>
          <t>Erl. so. DL Dt.</t>
        </is>
      </c>
      <c r="D3515" t="inlineStr">
        <is>
          <t>Gesamtleistung</t>
        </is>
      </c>
      <c r="E3515" t="n">
        <v>2200755.15</v>
      </c>
      <c r="F3515" t="n">
        <v>26409061.76</v>
      </c>
    </row>
    <row r="3516">
      <c r="A3516" t="n">
        <v>2031</v>
      </c>
      <c r="B3516" t="n">
        <v>12</v>
      </c>
      <c r="C3516" t="inlineStr">
        <is>
          <t>Uebr.neutr. Ert</t>
        </is>
      </c>
      <c r="D3516" t="inlineStr">
        <is>
          <t>Gesamtleistung</t>
        </is>
      </c>
      <c r="E3516" t="n">
        <v>227.28</v>
      </c>
      <c r="F3516" t="n">
        <v>2727.33</v>
      </c>
    </row>
    <row r="3517">
      <c r="A3517" t="n">
        <v>2030</v>
      </c>
      <c r="B3517" t="n">
        <v>12</v>
      </c>
      <c r="C3517" t="inlineStr">
        <is>
          <t>Erl. Waren Dt.</t>
        </is>
      </c>
      <c r="D3517" t="inlineStr">
        <is>
          <t>Gesamtleistung</t>
        </is>
      </c>
      <c r="E3517" t="n">
        <v>49038.99</v>
      </c>
      <c r="F3517" t="n">
        <v>588467.85</v>
      </c>
    </row>
    <row r="3518">
      <c r="A3518" t="n">
        <v>2028</v>
      </c>
      <c r="B3518" t="n">
        <v>12</v>
      </c>
      <c r="C3518" t="inlineStr">
        <is>
          <t>Weiterber. Frem</t>
        </is>
      </c>
      <c r="D3518" t="inlineStr">
        <is>
          <t>Vorleistungen</t>
        </is>
      </c>
      <c r="E3518" t="n">
        <v>0</v>
      </c>
      <c r="F3518" t="n">
        <v>0</v>
      </c>
    </row>
    <row r="3519">
      <c r="A3519" t="n">
        <v>2027</v>
      </c>
      <c r="B3519" t="n">
        <v>12</v>
      </c>
      <c r="C3519" t="inlineStr">
        <is>
          <t>IT-Aufwendungen</t>
        </is>
      </c>
      <c r="D3519" t="inlineStr">
        <is>
          <t>Verwaltungskosten</t>
        </is>
      </c>
      <c r="E3519" t="n">
        <v>11596.23</v>
      </c>
      <c r="F3519" t="n">
        <v>139154.76</v>
      </c>
    </row>
    <row r="3520">
      <c r="A3520" t="n">
        <v>2028</v>
      </c>
      <c r="B3520" t="n">
        <v>12</v>
      </c>
      <c r="C3520" t="inlineStr">
        <is>
          <t>Leasing LKW</t>
        </is>
      </c>
      <c r="D3520" t="inlineStr">
        <is>
          <t>Fuhrparkkosten</t>
        </is>
      </c>
      <c r="E3520" t="n">
        <v>2443.59</v>
      </c>
      <c r="F3520" t="n">
        <v>29323.11</v>
      </c>
    </row>
    <row r="3521">
      <c r="A3521" t="n">
        <v>2031</v>
      </c>
      <c r="B3521" t="n">
        <v>12</v>
      </c>
      <c r="C3521" t="inlineStr">
        <is>
          <t>Weiterber. Frem</t>
        </is>
      </c>
      <c r="D3521" t="inlineStr">
        <is>
          <t>Vorleistungen</t>
        </is>
      </c>
      <c r="E3521" t="n">
        <v>0</v>
      </c>
      <c r="F3521" t="n">
        <v>0</v>
      </c>
    </row>
    <row r="3522">
      <c r="A3522" t="n">
        <v>2028</v>
      </c>
      <c r="B3522" t="n">
        <v>12</v>
      </c>
      <c r="C3522" t="inlineStr">
        <is>
          <t>Lohn + Gehalt</t>
        </is>
      </c>
      <c r="D3522" t="inlineStr">
        <is>
          <t>Personalaufwand</t>
        </is>
      </c>
      <c r="E3522" t="n">
        <v>321097.26</v>
      </c>
      <c r="F3522" t="n">
        <v>3853167.13</v>
      </c>
    </row>
    <row r="3523">
      <c r="A3523" t="n">
        <v>2029</v>
      </c>
      <c r="B3523" t="n">
        <v>12</v>
      </c>
      <c r="C3523" t="inlineStr">
        <is>
          <t>Miete LKW,Schiffe</t>
        </is>
      </c>
      <c r="D3523" t="inlineStr">
        <is>
          <t>Fuhrparkkosten</t>
        </is>
      </c>
      <c r="E3523" t="n">
        <v>41294.11</v>
      </c>
      <c r="F3523" t="n">
        <v>495529.28</v>
      </c>
    </row>
    <row r="3524">
      <c r="A3524" t="n">
        <v>2030</v>
      </c>
      <c r="B3524" t="n">
        <v>12</v>
      </c>
      <c r="C3524" t="inlineStr">
        <is>
          <t>Erl. so. DL Dt.</t>
        </is>
      </c>
      <c r="D3524" t="inlineStr">
        <is>
          <t>Gesamtleistung</t>
        </is>
      </c>
      <c r="E3524" t="n">
        <v>2311684.01</v>
      </c>
      <c r="F3524" t="n">
        <v>27740208.09</v>
      </c>
    </row>
    <row r="3525">
      <c r="A3525" t="n">
        <v>2030</v>
      </c>
      <c r="B3525" t="n">
        <v>12</v>
      </c>
      <c r="C3525" t="inlineStr">
        <is>
          <t>Versicherungskosten</t>
        </is>
      </c>
      <c r="D3525" t="inlineStr">
        <is>
          <t>Verwaltungskosten</t>
        </is>
      </c>
      <c r="E3525" t="n">
        <v>11790.1</v>
      </c>
      <c r="F3525" t="n">
        <v>141481.23</v>
      </c>
    </row>
    <row r="3526">
      <c r="A3526" t="n">
        <v>2029</v>
      </c>
      <c r="B3526" t="n">
        <v>12</v>
      </c>
      <c r="C3526" t="inlineStr">
        <is>
          <t>Sonstige Steuer</t>
        </is>
      </c>
      <c r="D3526" t="inlineStr">
        <is>
          <t>Fuhrparkkosten</t>
        </is>
      </c>
      <c r="E3526" t="n">
        <v>1682.38</v>
      </c>
      <c r="F3526" t="n">
        <v>20188.51</v>
      </c>
    </row>
    <row r="3527">
      <c r="A3527" t="n">
        <v>2027</v>
      </c>
      <c r="B3527" t="n">
        <v>12</v>
      </c>
      <c r="C3527" t="inlineStr">
        <is>
          <t>Sonst Fuhrparkkosten</t>
        </is>
      </c>
      <c r="D3527" t="inlineStr">
        <is>
          <t>Fuhrparkkosten</t>
        </is>
      </c>
      <c r="E3527" t="n">
        <v>4989.24</v>
      </c>
      <c r="F3527" t="n">
        <v>59870.86</v>
      </c>
    </row>
    <row r="3528">
      <c r="A3528" t="n">
        <v>2028</v>
      </c>
      <c r="B3528" t="n">
        <v>12</v>
      </c>
      <c r="C3528" t="inlineStr">
        <is>
          <t>Bestandsveraend</t>
        </is>
      </c>
      <c r="D3528" t="inlineStr">
        <is>
          <t>Gesamtleistung</t>
        </is>
      </c>
      <c r="E3528" t="n">
        <v>0</v>
      </c>
      <c r="F3528" t="n">
        <v>0</v>
      </c>
    </row>
    <row r="3529">
      <c r="A3529" t="n">
        <v>2028</v>
      </c>
      <c r="B3529" t="n">
        <v>12</v>
      </c>
      <c r="C3529" t="inlineStr">
        <is>
          <t>So. betr. Aufwa</t>
        </is>
      </c>
      <c r="D3529" t="inlineStr">
        <is>
          <t>Verwaltungskosten</t>
        </is>
      </c>
      <c r="E3529" t="n">
        <v>673.0599999999999</v>
      </c>
      <c r="F3529" t="n">
        <v>8076.71</v>
      </c>
    </row>
    <row r="3530">
      <c r="A3530" t="n">
        <v>2030</v>
      </c>
      <c r="B3530" t="n">
        <v>12</v>
      </c>
      <c r="C3530" t="inlineStr">
        <is>
          <t>Miete LKW,Schiffe</t>
        </is>
      </c>
      <c r="D3530" t="inlineStr">
        <is>
          <t>Fuhrparkkosten</t>
        </is>
      </c>
      <c r="E3530" t="n">
        <v>43771.75</v>
      </c>
      <c r="F3530" t="n">
        <v>525261.04</v>
      </c>
    </row>
    <row r="3531">
      <c r="A3531" t="n">
        <v>2028</v>
      </c>
      <c r="B3531" t="n">
        <v>12</v>
      </c>
      <c r="C3531" t="inlineStr">
        <is>
          <t>Miete LKW,Schiffe</t>
        </is>
      </c>
      <c r="D3531" t="inlineStr">
        <is>
          <t>Fuhrparkkosten</t>
        </is>
      </c>
      <c r="E3531" t="n">
        <v>38956.71</v>
      </c>
      <c r="F3531" t="n">
        <v>467480.47</v>
      </c>
    </row>
    <row r="3532">
      <c r="A3532" t="n">
        <v>2028</v>
      </c>
      <c r="B3532" t="n">
        <v>12</v>
      </c>
      <c r="C3532" t="inlineStr">
        <is>
          <t>sonst Personalk</t>
        </is>
      </c>
      <c r="D3532" t="inlineStr">
        <is>
          <t>Personalaufwand</t>
        </is>
      </c>
      <c r="E3532" t="n">
        <v>12597.51</v>
      </c>
      <c r="F3532" t="n">
        <v>151170.09</v>
      </c>
    </row>
    <row r="3533">
      <c r="A3533" t="n">
        <v>2030</v>
      </c>
      <c r="B3533" t="n">
        <v>12</v>
      </c>
      <c r="C3533" t="inlineStr">
        <is>
          <t>Leasing PKW</t>
        </is>
      </c>
      <c r="D3533" t="inlineStr">
        <is>
          <t>Fuhrparkkosten</t>
        </is>
      </c>
      <c r="E3533" t="n">
        <v>26131.4</v>
      </c>
      <c r="F3533" t="n">
        <v>313576.76</v>
      </c>
    </row>
    <row r="3534">
      <c r="A3534" t="n">
        <v>2031</v>
      </c>
      <c r="B3534" t="n">
        <v>12</v>
      </c>
      <c r="C3534" t="inlineStr">
        <is>
          <t>Aufwand Umlage</t>
        </is>
      </c>
      <c r="D3534" t="inlineStr">
        <is>
          <t>Verwaltungskosten</t>
        </is>
      </c>
      <c r="E3534" t="n">
        <v>3807.87</v>
      </c>
      <c r="F3534" t="n">
        <v>45694.43</v>
      </c>
    </row>
    <row r="3535">
      <c r="A3535" t="n">
        <v>2031</v>
      </c>
      <c r="B3535" t="n">
        <v>12</v>
      </c>
      <c r="C3535" t="inlineStr">
        <is>
          <t>sonst Personalk</t>
        </is>
      </c>
      <c r="D3535" t="inlineStr">
        <is>
          <t>Personalaufwand</t>
        </is>
      </c>
      <c r="E3535" t="n">
        <v>17070.54</v>
      </c>
      <c r="F3535" t="n">
        <v>204846.51</v>
      </c>
    </row>
    <row r="3536">
      <c r="A3536" t="n">
        <v>2027</v>
      </c>
      <c r="B3536" t="n">
        <v>12</v>
      </c>
      <c r="C3536" t="inlineStr">
        <is>
          <t>sonst Personalk</t>
        </is>
      </c>
      <c r="D3536" t="inlineStr">
        <is>
          <t>Personalaufwand</t>
        </is>
      </c>
      <c r="E3536" t="n">
        <v>10949.84</v>
      </c>
      <c r="F3536" t="n">
        <v>131398.1</v>
      </c>
    </row>
    <row r="3537">
      <c r="A3537" t="n">
        <v>2031</v>
      </c>
      <c r="B3537" t="n">
        <v>12</v>
      </c>
      <c r="C3537" t="inlineStr">
        <is>
          <t>Miete PKW</t>
        </is>
      </c>
      <c r="D3537" t="inlineStr">
        <is>
          <t>Fuhrparkkosten</t>
        </is>
      </c>
      <c r="E3537" t="n">
        <v>5824.81</v>
      </c>
      <c r="F3537" t="n">
        <v>69897.67</v>
      </c>
    </row>
    <row r="3538">
      <c r="A3538" t="n">
        <v>2029</v>
      </c>
      <c r="B3538" t="n">
        <v>12</v>
      </c>
      <c r="C3538" t="inlineStr">
        <is>
          <t>Raumkosten</t>
        </is>
      </c>
      <c r="D3538" t="inlineStr">
        <is>
          <t>Raumkosten</t>
        </is>
      </c>
      <c r="E3538" t="n">
        <v>7164.46</v>
      </c>
      <c r="F3538" t="n">
        <v>85973.53</v>
      </c>
    </row>
    <row r="3539">
      <c r="A3539" t="n">
        <v>2031</v>
      </c>
      <c r="B3539" t="n">
        <v>12</v>
      </c>
      <c r="C3539" t="inlineStr">
        <is>
          <t>Aufw. f. Alters</t>
        </is>
      </c>
      <c r="D3539" t="inlineStr">
        <is>
          <t>Personalaufwand</t>
        </is>
      </c>
      <c r="E3539" t="n">
        <v>1434.03</v>
      </c>
      <c r="F3539" t="n">
        <v>17208.41</v>
      </c>
    </row>
    <row r="3540">
      <c r="A3540" t="n">
        <v>2031</v>
      </c>
      <c r="B3540" t="n">
        <v>12</v>
      </c>
      <c r="C3540" t="inlineStr">
        <is>
          <t>IT-Aufwendungen</t>
        </is>
      </c>
      <c r="D3540" t="inlineStr">
        <is>
          <t>Verwaltungskosten</t>
        </is>
      </c>
      <c r="E3540" t="n">
        <v>13051.66</v>
      </c>
      <c r="F3540" t="n">
        <v>156619.9</v>
      </c>
    </row>
    <row r="3541">
      <c r="A3541" t="n">
        <v>2028</v>
      </c>
      <c r="B3541" t="n">
        <v>12</v>
      </c>
      <c r="C3541" t="inlineStr">
        <is>
          <t>Miete Grdst/Gebäud</t>
        </is>
      </c>
      <c r="D3541" t="inlineStr">
        <is>
          <t>Raumkosten</t>
        </is>
      </c>
      <c r="E3541" t="n">
        <v>17880.93</v>
      </c>
      <c r="F3541" t="n">
        <v>214571.21</v>
      </c>
    </row>
    <row r="3542">
      <c r="A3542" t="n">
        <v>2027</v>
      </c>
      <c r="B3542" t="n">
        <v>12</v>
      </c>
      <c r="C3542" t="inlineStr">
        <is>
          <t>Erloesschmaeler</t>
        </is>
      </c>
      <c r="D3542" t="inlineStr">
        <is>
          <t>Gesamtleistung</t>
        </is>
      </c>
      <c r="E3542" t="n">
        <v>-7483.88</v>
      </c>
      <c r="F3542" t="n">
        <v>-89806.53</v>
      </c>
    </row>
    <row r="3543">
      <c r="A3543" t="n">
        <v>2029</v>
      </c>
      <c r="B3543" t="n">
        <v>12</v>
      </c>
      <c r="C3543" t="inlineStr">
        <is>
          <t>sonst Personalk</t>
        </is>
      </c>
      <c r="D3543" t="inlineStr">
        <is>
          <t>Personalaufwand</t>
        </is>
      </c>
      <c r="E3543" t="n">
        <v>13957.15</v>
      </c>
      <c r="F3543" t="n">
        <v>167485.78</v>
      </c>
    </row>
    <row r="3544">
      <c r="A3544" t="n">
        <v>2028</v>
      </c>
      <c r="B3544" t="n">
        <v>12</v>
      </c>
      <c r="C3544" t="inlineStr">
        <is>
          <t>Fremdl. Fuhrlei</t>
        </is>
      </c>
      <c r="D3544" t="inlineStr">
        <is>
          <t>Vorleistungen</t>
        </is>
      </c>
      <c r="E3544" t="n">
        <v>363.29</v>
      </c>
      <c r="F3544" t="n">
        <v>4359.52</v>
      </c>
    </row>
    <row r="3545">
      <c r="A3545" t="n">
        <v>2027</v>
      </c>
      <c r="B3545" t="n">
        <v>12</v>
      </c>
      <c r="C3545" t="inlineStr">
        <is>
          <t>Erl. so. DL Dt.</t>
        </is>
      </c>
      <c r="D3545" t="inlineStr">
        <is>
          <t>Gesamtleistung</t>
        </is>
      </c>
      <c r="E3545" t="n">
        <v>1996174.37</v>
      </c>
      <c r="F3545" t="n">
        <v>23954092.45</v>
      </c>
    </row>
    <row r="3546">
      <c r="A3546" t="n">
        <v>2027</v>
      </c>
      <c r="B3546" t="n">
        <v>12</v>
      </c>
      <c r="C3546" t="inlineStr">
        <is>
          <t>Aufw. Heizmat.</t>
        </is>
      </c>
      <c r="D3546" t="inlineStr">
        <is>
          <t>Vorleistungen</t>
        </is>
      </c>
      <c r="E3546" t="n">
        <v>275.72</v>
      </c>
      <c r="F3546" t="n">
        <v>3308.65</v>
      </c>
    </row>
    <row r="3547">
      <c r="A3547" t="n">
        <v>2028</v>
      </c>
      <c r="B3547" t="n">
        <v>12</v>
      </c>
      <c r="C3547" t="inlineStr">
        <is>
          <t>Versicherungskosten</t>
        </is>
      </c>
      <c r="D3547" t="inlineStr">
        <is>
          <t>Verwaltungskosten</t>
        </is>
      </c>
      <c r="E3547" t="n">
        <v>11113.3</v>
      </c>
      <c r="F3547" t="n">
        <v>133359.63</v>
      </c>
    </row>
    <row r="3548">
      <c r="A3548" t="n">
        <v>2031</v>
      </c>
      <c r="B3548" t="n">
        <v>12</v>
      </c>
      <c r="C3548" t="inlineStr">
        <is>
          <t>Miete LKW,Schiffe</t>
        </is>
      </c>
      <c r="D3548" t="inlineStr">
        <is>
          <t>Fuhrparkkosten</t>
        </is>
      </c>
      <c r="E3548" t="n">
        <v>46398.06</v>
      </c>
      <c r="F3548" t="n">
        <v>556776.71</v>
      </c>
    </row>
    <row r="3549">
      <c r="A3549" t="n">
        <v>2027</v>
      </c>
      <c r="B3549" t="n">
        <v>12</v>
      </c>
      <c r="C3549" t="inlineStr">
        <is>
          <t>Weiterber. Frem</t>
        </is>
      </c>
      <c r="D3549" t="inlineStr">
        <is>
          <t>Vorleistungen</t>
        </is>
      </c>
      <c r="E3549" t="n">
        <v>0</v>
      </c>
      <c r="F3549" t="n">
        <v>0</v>
      </c>
    </row>
    <row r="3550">
      <c r="A3550" t="n">
        <v>2028</v>
      </c>
      <c r="B3550" t="n">
        <v>12</v>
      </c>
      <c r="C3550" t="inlineStr">
        <is>
          <t>Erloesschmaeler</t>
        </is>
      </c>
      <c r="D3550" t="inlineStr">
        <is>
          <t>Gesamtleistung</t>
        </is>
      </c>
      <c r="E3550" t="n">
        <v>-8355.469999999999</v>
      </c>
      <c r="F3550" t="n">
        <v>-100265.61</v>
      </c>
    </row>
    <row r="3551">
      <c r="A3551" t="n">
        <v>2027</v>
      </c>
      <c r="B3551" t="n">
        <v>12</v>
      </c>
      <c r="C3551" t="inlineStr">
        <is>
          <t>Uebr.neutr. Ert</t>
        </is>
      </c>
      <c r="D3551" t="inlineStr">
        <is>
          <t>Gesamtleistung</t>
        </is>
      </c>
      <c r="E3551" t="n">
        <v>113.94</v>
      </c>
      <c r="F3551" t="n">
        <v>1367.31</v>
      </c>
    </row>
    <row r="3552">
      <c r="A3552" t="n">
        <v>2028</v>
      </c>
      <c r="B3552" t="n">
        <v>12</v>
      </c>
      <c r="C3552" t="inlineStr">
        <is>
          <t>Miete Behälter</t>
        </is>
      </c>
      <c r="D3552" t="inlineStr">
        <is>
          <t>Instandh. Betriebsausstattung</t>
        </is>
      </c>
      <c r="E3552" t="n">
        <v>24.08</v>
      </c>
      <c r="F3552" t="n">
        <v>289</v>
      </c>
    </row>
    <row r="3553">
      <c r="A3553" t="n">
        <v>2028</v>
      </c>
      <c r="B3553" t="n">
        <v>12</v>
      </c>
      <c r="C3553" t="inlineStr">
        <is>
          <t>Aufw. so. Hilfs</t>
        </is>
      </c>
      <c r="D3553" t="inlineStr">
        <is>
          <t>Vorleistungen</t>
        </is>
      </c>
      <c r="E3553" t="n">
        <v>-16546.31</v>
      </c>
      <c r="F3553" t="n">
        <v>-198555.67</v>
      </c>
    </row>
    <row r="3554">
      <c r="A3554" t="n">
        <v>2030</v>
      </c>
      <c r="B3554" t="n">
        <v>12</v>
      </c>
      <c r="C3554" t="inlineStr">
        <is>
          <t>Treibstoffe, Oe</t>
        </is>
      </c>
      <c r="D3554" t="inlineStr">
        <is>
          <t>Fuhrparkkosten</t>
        </is>
      </c>
      <c r="E3554" t="n">
        <v>34177.25</v>
      </c>
      <c r="F3554" t="n">
        <v>410126.96</v>
      </c>
    </row>
    <row r="3555">
      <c r="A3555" t="n">
        <v>2030</v>
      </c>
      <c r="B3555" t="n">
        <v>12</v>
      </c>
      <c r="C3555" t="inlineStr">
        <is>
          <t>Ueb Lohn-Gehalt</t>
        </is>
      </c>
      <c r="D3555" t="inlineStr">
        <is>
          <t>Personalaufwand</t>
        </is>
      </c>
      <c r="E3555" t="n">
        <v>41842.02</v>
      </c>
      <c r="F3555" t="n">
        <v>502104.18</v>
      </c>
    </row>
    <row r="3556">
      <c r="A3556" t="n">
        <v>2030</v>
      </c>
      <c r="B3556" t="n">
        <v>12</v>
      </c>
      <c r="C3556" t="inlineStr">
        <is>
          <t>Aufw. f. Alters</t>
        </is>
      </c>
      <c r="D3556" t="inlineStr">
        <is>
          <t>Personalaufwand</t>
        </is>
      </c>
      <c r="E3556" t="n">
        <v>1387.56</v>
      </c>
      <c r="F3556" t="n">
        <v>16650.69</v>
      </c>
    </row>
    <row r="3557">
      <c r="A3557" t="n">
        <v>2031</v>
      </c>
      <c r="B3557" t="n">
        <v>12</v>
      </c>
      <c r="C3557" t="inlineStr">
        <is>
          <t>Fremdl. Persona</t>
        </is>
      </c>
      <c r="D3557" t="inlineStr">
        <is>
          <t>Vorleistungen</t>
        </is>
      </c>
      <c r="E3557" t="n">
        <v>79.40000000000001</v>
      </c>
      <c r="F3557" t="n">
        <v>952.79</v>
      </c>
    </row>
    <row r="3561">
      <c r="A3561" t="inlineStr">
        <is>
          <t>v_guv_quelle</t>
        </is>
      </c>
    </row>
    <row r="3562">
      <c r="A3562" t="inlineStr">
        <is>
          <t>jahr</t>
        </is>
      </c>
      <c r="B3562" t="inlineStr">
        <is>
          <t>monat</t>
        </is>
      </c>
      <c r="C3562" t="inlineStr">
        <is>
          <t>co_belege</t>
        </is>
      </c>
      <c r="D3562" t="inlineStr">
        <is>
          <t>co_vollstaendig</t>
        </is>
      </c>
      <c r="E3562" t="inlineStr">
        <is>
          <t>fi_belege</t>
        </is>
      </c>
      <c r="F3562" t="inlineStr">
        <is>
          <t>fi_vollstaendig</t>
        </is>
      </c>
      <c r="G3562" t="inlineStr">
        <is>
          <t>quelle</t>
        </is>
      </c>
    </row>
    <row r="3563">
      <c r="A3563" t="n">
        <v>2026</v>
      </c>
      <c r="B3563" t="n">
        <v>1</v>
      </c>
      <c r="C3563" t="n">
        <v>2029</v>
      </c>
      <c r="D3563" t="b">
        <v>1</v>
      </c>
      <c r="E3563" t="n">
        <v>4079</v>
      </c>
      <c r="F3563" t="b">
        <v>1</v>
      </c>
      <c r="G3563" t="inlineStr">
        <is>
          <t>CO</t>
        </is>
      </c>
    </row>
    <row r="3564">
      <c r="A3564" t="n">
        <v>2026</v>
      </c>
      <c r="B3564" t="n">
        <v>9</v>
      </c>
      <c r="C3564" t="n">
        <v>320</v>
      </c>
      <c r="D3564" t="b">
        <v>0</v>
      </c>
      <c r="E3564" t="n">
        <v>3575</v>
      </c>
      <c r="F3564" t="b">
        <v>1</v>
      </c>
      <c r="G3564" t="inlineStr">
        <is>
          <t>FI</t>
        </is>
      </c>
    </row>
    <row r="3565">
      <c r="A3565" t="n">
        <v>2026</v>
      </c>
      <c r="B3565" t="n">
        <v>3</v>
      </c>
      <c r="C3565" t="n">
        <v>2844</v>
      </c>
      <c r="D3565" t="b">
        <v>1</v>
      </c>
      <c r="E3565" t="n">
        <v>5430</v>
      </c>
      <c r="F3565" t="b">
        <v>1</v>
      </c>
      <c r="G3565" t="inlineStr">
        <is>
          <t>CO</t>
        </is>
      </c>
    </row>
    <row r="3566">
      <c r="A3566" t="n">
        <v>2026</v>
      </c>
      <c r="B3566" t="n">
        <v>2</v>
      </c>
      <c r="C3566" t="n">
        <v>2483</v>
      </c>
      <c r="D3566" t="b">
        <v>1</v>
      </c>
      <c r="E3566" t="n">
        <v>4768</v>
      </c>
      <c r="F3566" t="b">
        <v>1</v>
      </c>
      <c r="G3566" t="inlineStr">
        <is>
          <t>CO</t>
        </is>
      </c>
    </row>
    <row r="3567">
      <c r="A3567" t="n">
        <v>2026</v>
      </c>
      <c r="B3567" t="n">
        <v>8</v>
      </c>
      <c r="C3567" t="n">
        <v>468</v>
      </c>
      <c r="D3567" t="b">
        <v>0</v>
      </c>
      <c r="E3567" t="n">
        <v>4907</v>
      </c>
      <c r="F3567" t="b">
        <v>1</v>
      </c>
      <c r="G3567" t="inlineStr">
        <is>
          <t>FI</t>
        </is>
      </c>
    </row>
    <row r="3568">
      <c r="A3568" t="n">
        <v>2026</v>
      </c>
      <c r="B3568" t="n">
        <v>7</v>
      </c>
      <c r="C3568" t="n">
        <v>2773</v>
      </c>
      <c r="D3568" t="b">
        <v>1</v>
      </c>
      <c r="E3568" t="n">
        <v>5450</v>
      </c>
      <c r="F3568" t="b">
        <v>1</v>
      </c>
      <c r="G3568" t="inlineStr">
        <is>
          <t>CO</t>
        </is>
      </c>
    </row>
    <row r="3569">
      <c r="A3569" t="n">
        <v>2026</v>
      </c>
      <c r="B3569" t="n">
        <v>4</v>
      </c>
      <c r="C3569" t="n">
        <v>2674</v>
      </c>
      <c r="D3569" t="b">
        <v>1</v>
      </c>
      <c r="E3569" t="n">
        <v>5281</v>
      </c>
      <c r="F3569" t="b">
        <v>1</v>
      </c>
      <c r="G3569" t="inlineStr">
        <is>
          <t>CO</t>
        </is>
      </c>
    </row>
    <row r="3570">
      <c r="A3570" t="n">
        <v>2026</v>
      </c>
      <c r="B3570" t="n">
        <v>6</v>
      </c>
      <c r="C3570" t="n">
        <v>2517</v>
      </c>
      <c r="D3570" t="b">
        <v>1</v>
      </c>
      <c r="E3570" t="n">
        <v>5044</v>
      </c>
      <c r="F3570" t="b">
        <v>1</v>
      </c>
      <c r="G3570" t="inlineStr">
        <is>
          <t>CO</t>
        </is>
      </c>
    </row>
    <row r="3571">
      <c r="A3571" t="n">
        <v>2026</v>
      </c>
      <c r="B3571" t="n">
        <v>5</v>
      </c>
      <c r="C3571" t="n">
        <v>2476</v>
      </c>
      <c r="D3571" t="b">
        <v>1</v>
      </c>
      <c r="E3571" t="n">
        <v>4878</v>
      </c>
      <c r="F3571" t="b">
        <v>1</v>
      </c>
      <c r="G3571" t="inlineStr">
        <is>
          <t>CO</t>
        </is>
      </c>
    </row>
    <row r="3574">
      <c r="C3574" t="inlineStr">
        <is>
          <t>SharePoint-Verknüpfungen (Dateien im selben Ordner)</t>
        </is>
      </c>
    </row>
    <row r="3575">
      <c r="C3575" t="inlineStr">
        <is>
          <t>Diese Datei</t>
        </is>
      </c>
      <c r="D3575" t="inlineStr">
        <is>
          <t>D Finanzen.xlsx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1150"/>
  <sheetViews>
    <sheetView workbookViewId="0">
      <selection activeCell="A1" sqref="A1"/>
    </sheetView>
  </sheetViews>
  <sheetFormatPr baseColWidth="8" defaultRowHeight="15"/>
  <sheetData>
    <row r="2">
      <c r="C2" t="inlineStr">
        <is>
          <t>KLR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v_db_monat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leistung</t>
        </is>
      </c>
      <c r="D7" t="inlineStr">
        <is>
          <t>variable_kosten</t>
        </is>
      </c>
      <c r="E7" t="inlineStr">
        <is>
          <t>fixe_projektkosten</t>
        </is>
      </c>
      <c r="F7" t="inlineStr">
        <is>
          <t>verrechnete_gk</t>
        </is>
      </c>
      <c r="G7" t="inlineStr">
        <is>
          <t>bereichskosten_ist</t>
        </is>
      </c>
      <c r="H7" t="inlineStr">
        <is>
          <t>bereichsentlastung</t>
        </is>
      </c>
      <c r="I7" t="inlineStr">
        <is>
          <t>bereichs_deckungsdifferenz</t>
        </is>
      </c>
      <c r="J7" t="inlineStr">
        <is>
          <t>unternehmensgemeinkosten</t>
        </is>
      </c>
      <c r="K7" t="inlineStr">
        <is>
          <t>zentralentlastung</t>
        </is>
      </c>
      <c r="L7" t="inlineStr">
        <is>
          <t>zentral_deckungsdifferenz</t>
        </is>
      </c>
      <c r="M7" t="inlineStr">
        <is>
          <t>neutrales_ergebnis</t>
        </is>
      </c>
      <c r="N7" t="inlineStr">
        <is>
          <t>db1</t>
        </is>
      </c>
      <c r="O7" t="inlineStr">
        <is>
          <t>db2</t>
        </is>
      </c>
      <c r="P7" t="inlineStr">
        <is>
          <t>db3</t>
        </is>
      </c>
      <c r="Q7" t="inlineStr">
        <is>
          <t>db4</t>
        </is>
      </c>
      <c r="R7" t="inlineStr">
        <is>
          <t>ergebnis_vor_steuern</t>
        </is>
      </c>
      <c r="S7" t="inlineStr">
        <is>
          <t>belege</t>
        </is>
      </c>
    </row>
    <row r="8">
      <c r="A8" t="n">
        <v>2026</v>
      </c>
      <c r="B8" t="n">
        <v>1</v>
      </c>
      <c r="C8" t="n">
        <v>1918210.96</v>
      </c>
      <c r="D8" t="n">
        <v>1084847.47</v>
      </c>
      <c r="E8" t="n">
        <v>796.87</v>
      </c>
      <c r="F8" t="n">
        <v>0</v>
      </c>
      <c r="G8" t="n">
        <v>101674.28</v>
      </c>
      <c r="H8" t="n">
        <v>-158739.37</v>
      </c>
      <c r="I8" t="n">
        <v>-57065.09</v>
      </c>
      <c r="J8" t="n">
        <v>50356.1</v>
      </c>
      <c r="K8" t="n">
        <v>0</v>
      </c>
      <c r="L8" t="n">
        <v>50356.1</v>
      </c>
      <c r="M8" t="n">
        <v>9921.48</v>
      </c>
      <c r="N8" t="n">
        <v>833363.49</v>
      </c>
      <c r="O8" t="n">
        <v>832566.62</v>
      </c>
      <c r="P8" t="n">
        <v>832566.62</v>
      </c>
      <c r="Q8" t="n">
        <v>839275.61</v>
      </c>
      <c r="R8" t="n">
        <v>829354.13</v>
      </c>
      <c r="S8" t="n">
        <v>1016</v>
      </c>
    </row>
    <row r="9">
      <c r="A9" t="n">
        <v>2026</v>
      </c>
      <c r="B9" t="n">
        <v>2</v>
      </c>
      <c r="C9" t="n">
        <v>2577067.73</v>
      </c>
      <c r="D9" t="n">
        <v>1730963.89</v>
      </c>
      <c r="E9" t="n">
        <v>7075.12</v>
      </c>
      <c r="F9" t="n">
        <v>0</v>
      </c>
      <c r="G9" t="n">
        <v>59583.79</v>
      </c>
      <c r="H9" t="n">
        <v>-235868.56</v>
      </c>
      <c r="I9" t="n">
        <v>-176284.77</v>
      </c>
      <c r="J9" t="n">
        <v>52795.58</v>
      </c>
      <c r="K9" t="n">
        <v>0</v>
      </c>
      <c r="L9" t="n">
        <v>52795.58</v>
      </c>
      <c r="M9" t="n">
        <v>22920.79</v>
      </c>
      <c r="N9" t="n">
        <v>846103.84</v>
      </c>
      <c r="O9" t="n">
        <v>839028.72</v>
      </c>
      <c r="P9" t="n">
        <v>839028.72</v>
      </c>
      <c r="Q9" t="n">
        <v>962517.91</v>
      </c>
      <c r="R9" t="n">
        <v>939597.12</v>
      </c>
      <c r="S9" t="n">
        <v>1317</v>
      </c>
    </row>
    <row r="10">
      <c r="A10" t="n">
        <v>2026</v>
      </c>
      <c r="B10" t="n">
        <v>3</v>
      </c>
      <c r="C10" t="n">
        <v>2407542.34</v>
      </c>
      <c r="D10" t="n">
        <v>1767771.17</v>
      </c>
      <c r="E10" t="n">
        <v>3015.13</v>
      </c>
      <c r="F10" t="n">
        <v>0</v>
      </c>
      <c r="G10" t="n">
        <v>93001.03999999999</v>
      </c>
      <c r="H10" t="n">
        <v>-245657.98</v>
      </c>
      <c r="I10" t="n">
        <v>-152656.94</v>
      </c>
      <c r="J10" t="n">
        <v>80518.91</v>
      </c>
      <c r="K10" t="n">
        <v>0</v>
      </c>
      <c r="L10" t="n">
        <v>80518.91</v>
      </c>
      <c r="M10" t="n">
        <v>45401.35</v>
      </c>
      <c r="N10" t="n">
        <v>639771.17</v>
      </c>
      <c r="O10" t="n">
        <v>636756.04</v>
      </c>
      <c r="P10" t="n">
        <v>636756.04</v>
      </c>
      <c r="Q10" t="n">
        <v>708894.0699999999</v>
      </c>
      <c r="R10" t="n">
        <v>663492.72</v>
      </c>
      <c r="S10" t="n">
        <v>1535</v>
      </c>
    </row>
    <row r="11">
      <c r="A11" t="n">
        <v>2026</v>
      </c>
      <c r="B11" t="n">
        <v>4</v>
      </c>
      <c r="C11" t="n">
        <v>1934642.03</v>
      </c>
      <c r="D11" t="n">
        <v>1525433.97</v>
      </c>
      <c r="E11" t="n">
        <v>4695.74</v>
      </c>
      <c r="F11" t="n">
        <v>0</v>
      </c>
      <c r="G11" t="n">
        <v>78387.89</v>
      </c>
      <c r="H11" t="n">
        <v>-254828.72</v>
      </c>
      <c r="I11" t="n">
        <v>-176440.83</v>
      </c>
      <c r="J11" t="n">
        <v>80089.74000000001</v>
      </c>
      <c r="K11" t="n">
        <v>0</v>
      </c>
      <c r="L11" t="n">
        <v>80089.74000000001</v>
      </c>
      <c r="M11" t="n">
        <v>-21060.8</v>
      </c>
      <c r="N11" t="n">
        <v>409208.06</v>
      </c>
      <c r="O11" t="n">
        <v>404512.32</v>
      </c>
      <c r="P11" t="n">
        <v>404512.32</v>
      </c>
      <c r="Q11" t="n">
        <v>500863.41</v>
      </c>
      <c r="R11" t="n">
        <v>521924.21</v>
      </c>
      <c r="S11" t="n">
        <v>1474</v>
      </c>
    </row>
    <row r="12">
      <c r="A12" t="n">
        <v>2026</v>
      </c>
      <c r="B12" t="n">
        <v>5</v>
      </c>
      <c r="C12" t="n">
        <v>1088379.51</v>
      </c>
      <c r="D12" t="n">
        <v>591663.62</v>
      </c>
      <c r="E12" t="n">
        <v>2428.23</v>
      </c>
      <c r="F12" t="n">
        <v>0</v>
      </c>
      <c r="G12" t="n">
        <v>85716.50999999999</v>
      </c>
      <c r="H12" t="n">
        <v>-114916.47</v>
      </c>
      <c r="I12" t="n">
        <v>-29199.96</v>
      </c>
      <c r="J12" t="n">
        <v>61602.01</v>
      </c>
      <c r="K12" t="n">
        <v>0</v>
      </c>
      <c r="L12" t="n">
        <v>61602.01</v>
      </c>
      <c r="M12" t="n">
        <v>32230.59</v>
      </c>
      <c r="N12" t="n">
        <v>496715.89</v>
      </c>
      <c r="O12" t="n">
        <v>494287.66</v>
      </c>
      <c r="P12" t="n">
        <v>494287.66</v>
      </c>
      <c r="Q12" t="n">
        <v>461885.61</v>
      </c>
      <c r="R12" t="n">
        <v>429655.02</v>
      </c>
      <c r="S12" t="n">
        <v>1364</v>
      </c>
    </row>
    <row r="13">
      <c r="A13" t="n">
        <v>2026</v>
      </c>
      <c r="B13" t="n">
        <v>6</v>
      </c>
      <c r="C13" t="n">
        <v>2780738.46</v>
      </c>
      <c r="D13" t="n">
        <v>2119489.65</v>
      </c>
      <c r="E13" t="n">
        <v>24361.48</v>
      </c>
      <c r="F13" t="n">
        <v>0</v>
      </c>
      <c r="G13" t="n">
        <v>62817.15</v>
      </c>
      <c r="H13" t="n">
        <v>-200446.31</v>
      </c>
      <c r="I13" t="n">
        <v>-137629.16</v>
      </c>
      <c r="J13" t="n">
        <v>67124.73</v>
      </c>
      <c r="K13" t="n">
        <v>0</v>
      </c>
      <c r="L13" t="n">
        <v>67124.73</v>
      </c>
      <c r="M13" t="n">
        <v>30367.14</v>
      </c>
      <c r="N13" t="n">
        <v>661248.8100000001</v>
      </c>
      <c r="O13" t="n">
        <v>636887.33</v>
      </c>
      <c r="P13" t="n">
        <v>636887.33</v>
      </c>
      <c r="Q13" t="n">
        <v>707391.76</v>
      </c>
      <c r="R13" t="n">
        <v>677024.62</v>
      </c>
      <c r="S13" t="n">
        <v>1469</v>
      </c>
    </row>
    <row r="14">
      <c r="A14" t="n">
        <v>2026</v>
      </c>
      <c r="B14" t="n">
        <v>7</v>
      </c>
      <c r="C14" t="n">
        <v>1615953.83</v>
      </c>
      <c r="D14" t="n">
        <v>1532184.2</v>
      </c>
      <c r="E14" t="n">
        <v>2493.62</v>
      </c>
      <c r="F14" t="n">
        <v>0</v>
      </c>
      <c r="G14" t="n">
        <v>61537.65</v>
      </c>
      <c r="H14" t="n">
        <v>-156483.77</v>
      </c>
      <c r="I14" t="n">
        <v>-94946.12</v>
      </c>
      <c r="J14" t="n">
        <v>61244.52</v>
      </c>
      <c r="K14" t="n">
        <v>0</v>
      </c>
      <c r="L14" t="n">
        <v>61244.52</v>
      </c>
      <c r="M14" t="n">
        <v>22212.3</v>
      </c>
      <c r="N14" t="n">
        <v>83769.63</v>
      </c>
      <c r="O14" t="n">
        <v>81276.00999999999</v>
      </c>
      <c r="P14" t="n">
        <v>81276.00999999999</v>
      </c>
      <c r="Q14" t="n">
        <v>114977.61</v>
      </c>
      <c r="R14" t="n">
        <v>92765.31</v>
      </c>
      <c r="S14" t="n">
        <v>1478</v>
      </c>
    </row>
    <row r="15">
      <c r="A15" t="n">
        <v>2026</v>
      </c>
      <c r="B15" t="n">
        <v>8</v>
      </c>
      <c r="C15" t="n">
        <v>0</v>
      </c>
      <c r="D15" t="n">
        <v>247016.5</v>
      </c>
      <c r="E15" t="n">
        <v>0</v>
      </c>
      <c r="F15" t="n">
        <v>148296.89</v>
      </c>
      <c r="G15" t="n">
        <v>36612.56</v>
      </c>
      <c r="H15" t="n">
        <v>-148296.89</v>
      </c>
      <c r="I15" t="n">
        <v>-111684.33</v>
      </c>
      <c r="J15" t="n">
        <v>59143.57</v>
      </c>
      <c r="K15" t="n">
        <v>0</v>
      </c>
      <c r="L15" t="n">
        <v>59143.57</v>
      </c>
      <c r="M15" t="n">
        <v>51584.81</v>
      </c>
      <c r="N15" t="n">
        <v>-247016.5</v>
      </c>
      <c r="O15" t="n">
        <v>-247016.5</v>
      </c>
      <c r="P15" t="n">
        <v>-395313.39</v>
      </c>
      <c r="Q15" t="n">
        <v>-342772.63</v>
      </c>
      <c r="R15" t="n">
        <v>-394357.44</v>
      </c>
      <c r="S15" t="n">
        <v>1106</v>
      </c>
    </row>
    <row r="16">
      <c r="A16" t="n">
        <v>2026</v>
      </c>
      <c r="B16" t="n">
        <v>9</v>
      </c>
      <c r="C16" t="n">
        <v>887356.29</v>
      </c>
      <c r="D16" t="n">
        <v>1762216.69</v>
      </c>
      <c r="E16" t="n">
        <v>18620.03</v>
      </c>
      <c r="F16" t="n">
        <v>0</v>
      </c>
      <c r="G16" t="n">
        <v>66065.95</v>
      </c>
      <c r="H16" t="n">
        <v>0</v>
      </c>
      <c r="I16" t="n">
        <v>66065.95</v>
      </c>
      <c r="J16" t="n">
        <v>54298.21</v>
      </c>
      <c r="K16" t="n">
        <v>0</v>
      </c>
      <c r="L16" t="n">
        <v>54298.21</v>
      </c>
      <c r="M16" t="n">
        <v>-320317.63</v>
      </c>
      <c r="N16" t="n">
        <v>-874860.4</v>
      </c>
      <c r="O16" t="n">
        <v>-893480.4300000001</v>
      </c>
      <c r="P16" t="n">
        <v>-893480.4300000001</v>
      </c>
      <c r="Q16" t="n">
        <v>-1013844.59</v>
      </c>
      <c r="R16" t="n">
        <v>-693526.96</v>
      </c>
      <c r="S16" t="n">
        <v>835</v>
      </c>
    </row>
    <row r="20">
      <c r="A20" t="inlineStr">
        <is>
          <t>v_db_monat_region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regionscode</t>
        </is>
      </c>
      <c r="D21" t="inlineStr">
        <is>
          <t>region</t>
        </is>
      </c>
      <c r="E21" t="inlineStr">
        <is>
          <t>leistung</t>
        </is>
      </c>
      <c r="F21" t="inlineStr">
        <is>
          <t>variable_kosten</t>
        </is>
      </c>
      <c r="G21" t="inlineStr">
        <is>
          <t>fixe_projektkosten</t>
        </is>
      </c>
      <c r="H21" t="inlineStr">
        <is>
          <t>verrechnete_gk</t>
        </is>
      </c>
      <c r="I21" t="inlineStr">
        <is>
          <t>bereichskosten_ist</t>
        </is>
      </c>
      <c r="J21" t="inlineStr">
        <is>
          <t>bereichsentlastung</t>
        </is>
      </c>
      <c r="K21" t="inlineStr">
        <is>
          <t>unternehmensgemeinkosten</t>
        </is>
      </c>
      <c r="L21" t="inlineStr">
        <is>
          <t>zentralentlastung</t>
        </is>
      </c>
      <c r="M21" t="inlineStr">
        <is>
          <t>neutrales_ergebnis</t>
        </is>
      </c>
      <c r="N21" t="inlineStr">
        <is>
          <t>saldo_wert</t>
        </is>
      </c>
      <c r="O21" t="inlineStr">
        <is>
          <t>belege</t>
        </is>
      </c>
      <c r="P21" t="inlineStr">
        <is>
          <t>bereichs_deckungsdifferenz</t>
        </is>
      </c>
      <c r="Q21" t="inlineStr">
        <is>
          <t>zentral_deckungsdifferenz</t>
        </is>
      </c>
      <c r="R21" t="inlineStr">
        <is>
          <t>db1</t>
        </is>
      </c>
      <c r="S21" t="inlineStr">
        <is>
          <t>db2</t>
        </is>
      </c>
      <c r="T21" t="inlineStr">
        <is>
          <t>db3</t>
        </is>
      </c>
      <c r="U21" t="inlineStr">
        <is>
          <t>db4</t>
        </is>
      </c>
    </row>
    <row r="22">
      <c r="A22" t="n">
        <v>2026</v>
      </c>
      <c r="B22" t="n">
        <v>4</v>
      </c>
      <c r="C22" t="inlineStr">
        <is>
          <t>60</t>
        </is>
      </c>
      <c r="D22" t="inlineStr">
        <is>
          <t>Ost</t>
        </is>
      </c>
      <c r="E22" t="n">
        <v>627748.29</v>
      </c>
      <c r="F22" t="n">
        <v>450829.59</v>
      </c>
      <c r="G22" t="n">
        <v>1233.95</v>
      </c>
      <c r="H22" t="n">
        <v>0</v>
      </c>
      <c r="I22" t="n">
        <v>22439.26</v>
      </c>
      <c r="J22" t="n">
        <v>-61425.93</v>
      </c>
      <c r="K22" t="n">
        <v>0</v>
      </c>
      <c r="L22" t="n">
        <v>0</v>
      </c>
      <c r="M22" t="n">
        <v>1845.81</v>
      </c>
      <c r="N22" t="n">
        <v>-212825.61</v>
      </c>
      <c r="O22" t="n">
        <v>304</v>
      </c>
      <c r="P22" t="n">
        <v>-38986.67</v>
      </c>
      <c r="Q22" t="n">
        <v>0</v>
      </c>
      <c r="R22" t="n">
        <v>176918.7</v>
      </c>
      <c r="S22" t="n">
        <v>175684.75</v>
      </c>
      <c r="T22" t="n">
        <v>175684.75</v>
      </c>
      <c r="U22" t="n">
        <v>214671.42</v>
      </c>
    </row>
    <row r="23">
      <c r="A23" t="n">
        <v>2026</v>
      </c>
      <c r="B23" t="n">
        <v>5</v>
      </c>
      <c r="C23" t="inlineStr">
        <is>
          <t>65</t>
        </is>
      </c>
      <c r="D23" t="inlineStr">
        <is>
          <t>Berlin</t>
        </is>
      </c>
      <c r="E23" t="n">
        <v>52843.96</v>
      </c>
      <c r="F23" t="n">
        <v>-4723.13</v>
      </c>
      <c r="G23" t="n">
        <v>645.51</v>
      </c>
      <c r="H23" t="n">
        <v>0</v>
      </c>
      <c r="I23" t="n">
        <v>10642.91</v>
      </c>
      <c r="J23" t="n">
        <v>-1389</v>
      </c>
      <c r="K23" t="n">
        <v>0</v>
      </c>
      <c r="L23" t="n">
        <v>0</v>
      </c>
      <c r="M23" t="n">
        <v>-277.28</v>
      </c>
      <c r="N23" t="n">
        <v>-47944.95</v>
      </c>
      <c r="O23" t="n">
        <v>168</v>
      </c>
      <c r="P23" t="n">
        <v>9253.91</v>
      </c>
      <c r="Q23" t="n">
        <v>0</v>
      </c>
      <c r="R23" t="n">
        <v>57567.09</v>
      </c>
      <c r="S23" t="n">
        <v>56921.58</v>
      </c>
      <c r="T23" t="n">
        <v>56921.58</v>
      </c>
      <c r="U23" t="n">
        <v>47667.67</v>
      </c>
    </row>
    <row r="24">
      <c r="A24" t="n">
        <v>2026</v>
      </c>
      <c r="B24" t="n">
        <v>5</v>
      </c>
      <c r="C24" t="inlineStr">
        <is>
          <t>60</t>
        </is>
      </c>
      <c r="D24" t="inlineStr">
        <is>
          <t>Ost</t>
        </is>
      </c>
      <c r="E24" t="n">
        <v>374445.48</v>
      </c>
      <c r="F24" t="n">
        <v>249715.57</v>
      </c>
      <c r="G24" t="n">
        <v>1246.31</v>
      </c>
      <c r="H24" t="n">
        <v>0</v>
      </c>
      <c r="I24" t="n">
        <v>17998.37</v>
      </c>
      <c r="J24" t="n">
        <v>-35498.99</v>
      </c>
      <c r="K24" t="n">
        <v>0</v>
      </c>
      <c r="L24" t="n">
        <v>0</v>
      </c>
      <c r="M24" t="n">
        <v>55.49</v>
      </c>
      <c r="N24" t="n">
        <v>-140928.73</v>
      </c>
      <c r="O24" t="n">
        <v>288</v>
      </c>
      <c r="P24" t="n">
        <v>-17500.62</v>
      </c>
      <c r="Q24" t="n">
        <v>0</v>
      </c>
      <c r="R24" t="n">
        <v>124729.91</v>
      </c>
      <c r="S24" t="n">
        <v>123483.6</v>
      </c>
      <c r="T24" t="n">
        <v>123483.6</v>
      </c>
      <c r="U24" t="n">
        <v>140984.22</v>
      </c>
    </row>
    <row r="25">
      <c r="A25" t="n">
        <v>2026</v>
      </c>
      <c r="B25" t="n">
        <v>1</v>
      </c>
      <c r="C25" t="inlineStr">
        <is>
          <t>15</t>
        </is>
      </c>
      <c r="D25" t="inlineStr">
        <is>
          <t>West</t>
        </is>
      </c>
      <c r="E25" t="n">
        <v>1042162.51</v>
      </c>
      <c r="F25" t="n">
        <v>558384.29</v>
      </c>
      <c r="G25" t="n">
        <v>349.98</v>
      </c>
      <c r="H25" t="n">
        <v>0</v>
      </c>
      <c r="I25" t="n">
        <v>14886.46</v>
      </c>
      <c r="J25" t="n">
        <v>-79355.25</v>
      </c>
      <c r="K25" t="n">
        <v>0</v>
      </c>
      <c r="L25" t="n">
        <v>0</v>
      </c>
      <c r="M25" t="n">
        <v>1930.22</v>
      </c>
      <c r="N25" t="n">
        <v>-545966.8100000001</v>
      </c>
      <c r="O25" t="n">
        <v>274</v>
      </c>
      <c r="P25" t="n">
        <v>-64468.79</v>
      </c>
      <c r="Q25" t="n">
        <v>0</v>
      </c>
      <c r="R25" t="n">
        <v>483778.22</v>
      </c>
      <c r="S25" t="n">
        <v>483428.24</v>
      </c>
      <c r="T25" t="n">
        <v>483428.24</v>
      </c>
      <c r="U25" t="n">
        <v>547897.03</v>
      </c>
    </row>
    <row r="26">
      <c r="A26" t="n">
        <v>2026</v>
      </c>
      <c r="B26" t="n">
        <v>7</v>
      </c>
      <c r="C26" t="inlineStr">
        <is>
          <t>15</t>
        </is>
      </c>
      <c r="D26" t="inlineStr">
        <is>
          <t>West</t>
        </is>
      </c>
      <c r="E26" t="n">
        <v>590478.17</v>
      </c>
      <c r="F26" t="n">
        <v>801377.5</v>
      </c>
      <c r="G26" t="n">
        <v>147.44</v>
      </c>
      <c r="H26" t="n">
        <v>0</v>
      </c>
      <c r="I26" t="n">
        <v>17689.9</v>
      </c>
      <c r="J26" t="n">
        <v>-44085.81</v>
      </c>
      <c r="K26" t="n">
        <v>0</v>
      </c>
      <c r="L26" t="n">
        <v>0</v>
      </c>
      <c r="M26" t="n">
        <v>248.58</v>
      </c>
      <c r="N26" t="n">
        <v>184899.44</v>
      </c>
      <c r="O26" t="n">
        <v>629</v>
      </c>
      <c r="P26" t="n">
        <v>-26395.91</v>
      </c>
      <c r="Q26" t="n">
        <v>0</v>
      </c>
      <c r="R26" t="n">
        <v>-210899.33</v>
      </c>
      <c r="S26" t="n">
        <v>-211046.77</v>
      </c>
      <c r="T26" t="n">
        <v>-211046.77</v>
      </c>
      <c r="U26" t="n">
        <v>-184650.86</v>
      </c>
    </row>
    <row r="27">
      <c r="A27" t="n">
        <v>2026</v>
      </c>
      <c r="B27" t="n">
        <v>4</v>
      </c>
      <c r="C27" t="inlineStr">
        <is>
          <t>65</t>
        </is>
      </c>
      <c r="D27" t="inlineStr">
        <is>
          <t>Berlin</t>
        </is>
      </c>
      <c r="E27" t="n">
        <v>32483.42</v>
      </c>
      <c r="F27" t="n">
        <v>38248.45</v>
      </c>
      <c r="G27" t="n">
        <v>760.52</v>
      </c>
      <c r="H27" t="n">
        <v>0</v>
      </c>
      <c r="I27" t="n">
        <v>7948.97</v>
      </c>
      <c r="J27" t="n">
        <v>-7252.41</v>
      </c>
      <c r="K27" t="n">
        <v>0</v>
      </c>
      <c r="L27" t="n">
        <v>0</v>
      </c>
      <c r="M27" t="n">
        <v>-36476.47</v>
      </c>
      <c r="N27" t="n">
        <v>-29254.36</v>
      </c>
      <c r="O27" t="n">
        <v>214</v>
      </c>
      <c r="P27" t="n">
        <v>696.5599999999999</v>
      </c>
      <c r="Q27" t="n">
        <v>0</v>
      </c>
      <c r="R27" t="n">
        <v>-5765.03</v>
      </c>
      <c r="S27" t="n">
        <v>-6525.55</v>
      </c>
      <c r="T27" t="n">
        <v>-6525.55</v>
      </c>
      <c r="U27" t="n">
        <v>-7222.11</v>
      </c>
    </row>
    <row r="28">
      <c r="A28" t="n">
        <v>2026</v>
      </c>
      <c r="B28" t="n">
        <v>8</v>
      </c>
      <c r="C28" t="inlineStr">
        <is>
          <t>--</t>
        </is>
      </c>
      <c r="D28" t="inlineStr">
        <is>
          <t>Ohne Zuordnung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-407058.94</v>
      </c>
      <c r="O28" t="n">
        <v>468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2026</v>
      </c>
      <c r="B29" t="n">
        <v>8</v>
      </c>
      <c r="C29" t="inlineStr">
        <is>
          <t>15</t>
        </is>
      </c>
      <c r="D29" t="inlineStr">
        <is>
          <t>West</t>
        </is>
      </c>
      <c r="E29" t="n">
        <v>0</v>
      </c>
      <c r="F29" t="n">
        <v>88783.5</v>
      </c>
      <c r="G29" t="n">
        <v>0</v>
      </c>
      <c r="H29" t="n">
        <v>41204.21</v>
      </c>
      <c r="I29" t="n">
        <v>21903.28</v>
      </c>
      <c r="J29" t="n">
        <v>-41204.21</v>
      </c>
      <c r="K29" t="n">
        <v>0</v>
      </c>
      <c r="L29" t="n">
        <v>0</v>
      </c>
      <c r="M29" t="n">
        <v>178.05</v>
      </c>
      <c r="N29" t="n">
        <v>110864.83</v>
      </c>
      <c r="O29" t="n">
        <v>154</v>
      </c>
      <c r="P29" t="n">
        <v>-19300.93</v>
      </c>
      <c r="Q29" t="n">
        <v>0</v>
      </c>
      <c r="R29" t="n">
        <v>-88783.5</v>
      </c>
      <c r="S29" t="n">
        <v>-88783.5</v>
      </c>
      <c r="T29" t="n">
        <v>-129987.71</v>
      </c>
      <c r="U29" t="n">
        <v>-110686.78</v>
      </c>
    </row>
    <row r="30">
      <c r="A30" t="n">
        <v>2026</v>
      </c>
      <c r="B30" t="n">
        <v>2</v>
      </c>
      <c r="C30" t="inlineStr">
        <is>
          <t>50</t>
        </is>
      </c>
      <c r="D30" t="inlineStr">
        <is>
          <t>Verwaltung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52795.58</v>
      </c>
      <c r="L30" t="n">
        <v>0</v>
      </c>
      <c r="M30" t="n">
        <v>27186.44</v>
      </c>
      <c r="N30" t="n">
        <v>79982.02</v>
      </c>
      <c r="O30" t="n">
        <v>124</v>
      </c>
      <c r="P30" t="n">
        <v>0</v>
      </c>
      <c r="Q30" t="n">
        <v>52795.58</v>
      </c>
      <c r="R30" t="n">
        <v>0</v>
      </c>
      <c r="S30" t="n">
        <v>0</v>
      </c>
      <c r="T30" t="n">
        <v>0</v>
      </c>
      <c r="U30" t="n">
        <v>-52795.58</v>
      </c>
    </row>
    <row r="31">
      <c r="A31" t="n">
        <v>2026</v>
      </c>
      <c r="B31" t="n">
        <v>8</v>
      </c>
      <c r="C31" t="inlineStr">
        <is>
          <t>65</t>
        </is>
      </c>
      <c r="D31" t="inlineStr">
        <is>
          <t>Berlin</t>
        </is>
      </c>
      <c r="E31" t="n">
        <v>0</v>
      </c>
      <c r="F31" t="n">
        <v>33615.5</v>
      </c>
      <c r="G31" t="n">
        <v>0</v>
      </c>
      <c r="H31" t="n">
        <v>12753.8</v>
      </c>
      <c r="I31" t="n">
        <v>5998.69</v>
      </c>
      <c r="J31" t="n">
        <v>-12753.8</v>
      </c>
      <c r="K31" t="n">
        <v>0</v>
      </c>
      <c r="L31" t="n">
        <v>0</v>
      </c>
      <c r="M31" t="n">
        <v>15.36</v>
      </c>
      <c r="N31" t="n">
        <v>39629.55</v>
      </c>
      <c r="O31" t="n">
        <v>68</v>
      </c>
      <c r="P31" t="n">
        <v>-6755.11</v>
      </c>
      <c r="Q31" t="n">
        <v>0</v>
      </c>
      <c r="R31" t="n">
        <v>-33615.5</v>
      </c>
      <c r="S31" t="n">
        <v>-33615.5</v>
      </c>
      <c r="T31" t="n">
        <v>-46369.3</v>
      </c>
      <c r="U31" t="n">
        <v>-39614.19</v>
      </c>
    </row>
    <row r="32">
      <c r="A32" t="n">
        <v>2026</v>
      </c>
      <c r="B32" t="n">
        <v>1</v>
      </c>
      <c r="C32" t="inlineStr">
        <is>
          <t>30</t>
        </is>
      </c>
      <c r="D32" t="inlineStr">
        <is>
          <t>Süd-West</t>
        </is>
      </c>
      <c r="E32" t="n">
        <v>425326.69</v>
      </c>
      <c r="F32" t="n">
        <v>195495.74</v>
      </c>
      <c r="G32" t="n">
        <v>0</v>
      </c>
      <c r="H32" t="n">
        <v>0</v>
      </c>
      <c r="I32" t="n">
        <v>19863.45</v>
      </c>
      <c r="J32" t="n">
        <v>-30742.02</v>
      </c>
      <c r="K32" t="n">
        <v>0</v>
      </c>
      <c r="L32" t="n">
        <v>0</v>
      </c>
      <c r="M32" t="n">
        <v>149.11</v>
      </c>
      <c r="N32" t="n">
        <v>-240560.41</v>
      </c>
      <c r="O32" t="n">
        <v>262</v>
      </c>
      <c r="P32" t="n">
        <v>-10878.57</v>
      </c>
      <c r="Q32" t="n">
        <v>0</v>
      </c>
      <c r="R32" t="n">
        <v>229830.95</v>
      </c>
      <c r="S32" t="n">
        <v>229830.95</v>
      </c>
      <c r="T32" t="n">
        <v>229830.95</v>
      </c>
      <c r="U32" t="n">
        <v>240709.52</v>
      </c>
    </row>
    <row r="33">
      <c r="A33" t="n">
        <v>2026</v>
      </c>
      <c r="B33" t="n">
        <v>1</v>
      </c>
      <c r="C33" t="inlineStr">
        <is>
          <t>60</t>
        </is>
      </c>
      <c r="D33" t="inlineStr">
        <is>
          <t>Ost</t>
        </is>
      </c>
      <c r="E33" t="n">
        <v>381141.59</v>
      </c>
      <c r="F33" t="n">
        <v>278967.32</v>
      </c>
      <c r="G33" t="n">
        <v>346.16</v>
      </c>
      <c r="H33" t="n">
        <v>0</v>
      </c>
      <c r="I33" t="n">
        <v>15010.14</v>
      </c>
      <c r="J33" t="n">
        <v>-40939.21</v>
      </c>
      <c r="K33" t="n">
        <v>0</v>
      </c>
      <c r="L33" t="n">
        <v>0</v>
      </c>
      <c r="M33" t="n">
        <v>-753.76</v>
      </c>
      <c r="N33" t="n">
        <v>-128510.94</v>
      </c>
      <c r="O33" t="n">
        <v>233</v>
      </c>
      <c r="P33" t="n">
        <v>-25929.07</v>
      </c>
      <c r="Q33" t="n">
        <v>0</v>
      </c>
      <c r="R33" t="n">
        <v>102174.27</v>
      </c>
      <c r="S33" t="n">
        <v>101828.11</v>
      </c>
      <c r="T33" t="n">
        <v>101828.11</v>
      </c>
      <c r="U33" t="n">
        <v>127757.18</v>
      </c>
    </row>
    <row r="34">
      <c r="A34" t="n">
        <v>2026</v>
      </c>
      <c r="B34" t="n">
        <v>9</v>
      </c>
      <c r="C34" t="inlineStr">
        <is>
          <t>60</t>
        </is>
      </c>
      <c r="D34" t="inlineStr">
        <is>
          <t>Ost</t>
        </is>
      </c>
      <c r="E34" t="n">
        <v>18169.04</v>
      </c>
      <c r="F34" t="n">
        <v>41809.14</v>
      </c>
      <c r="G34" t="n">
        <v>123.15</v>
      </c>
      <c r="H34" t="n">
        <v>0</v>
      </c>
      <c r="I34" t="n">
        <v>12961.58</v>
      </c>
      <c r="J34" t="n">
        <v>0</v>
      </c>
      <c r="K34" t="n">
        <v>0</v>
      </c>
      <c r="L34" t="n">
        <v>0</v>
      </c>
      <c r="M34" t="n">
        <v>55.48</v>
      </c>
      <c r="N34" t="n">
        <v>36780.31</v>
      </c>
      <c r="O34" t="n">
        <v>180</v>
      </c>
      <c r="P34" t="n">
        <v>12961.58</v>
      </c>
      <c r="Q34" t="n">
        <v>0</v>
      </c>
      <c r="R34" t="n">
        <v>-23640.1</v>
      </c>
      <c r="S34" t="n">
        <v>-23763.25</v>
      </c>
      <c r="T34" t="n">
        <v>-23763.25</v>
      </c>
      <c r="U34" t="n">
        <v>-36724.83</v>
      </c>
    </row>
    <row r="35">
      <c r="A35" t="n">
        <v>2026</v>
      </c>
      <c r="B35" t="n">
        <v>5</v>
      </c>
      <c r="C35" t="inlineStr">
        <is>
          <t>15</t>
        </is>
      </c>
      <c r="D35" t="inlineStr">
        <is>
          <t>West</t>
        </is>
      </c>
      <c r="E35" t="n">
        <v>414524.95</v>
      </c>
      <c r="F35" t="n">
        <v>203251.14</v>
      </c>
      <c r="G35" t="n">
        <v>479.58</v>
      </c>
      <c r="H35" t="n">
        <v>0</v>
      </c>
      <c r="I35" t="n">
        <v>29594.38</v>
      </c>
      <c r="J35" t="n">
        <v>-13440.95</v>
      </c>
      <c r="K35" t="n">
        <v>0</v>
      </c>
      <c r="L35" t="n">
        <v>0</v>
      </c>
      <c r="M35" t="n">
        <v>4820.92</v>
      </c>
      <c r="N35" t="n">
        <v>-189819.88</v>
      </c>
      <c r="O35" t="n">
        <v>461</v>
      </c>
      <c r="P35" t="n">
        <v>16153.43</v>
      </c>
      <c r="Q35" t="n">
        <v>0</v>
      </c>
      <c r="R35" t="n">
        <v>211273.81</v>
      </c>
      <c r="S35" t="n">
        <v>210794.23</v>
      </c>
      <c r="T35" t="n">
        <v>210794.23</v>
      </c>
      <c r="U35" t="n">
        <v>194640.8</v>
      </c>
    </row>
    <row r="36">
      <c r="A36" t="n">
        <v>2026</v>
      </c>
      <c r="B36" t="n">
        <v>8</v>
      </c>
      <c r="C36" t="inlineStr">
        <is>
          <t>60</t>
        </is>
      </c>
      <c r="D36" t="inlineStr">
        <is>
          <t>Ost</t>
        </is>
      </c>
      <c r="E36" t="n">
        <v>0</v>
      </c>
      <c r="F36" t="n">
        <v>70515</v>
      </c>
      <c r="G36" t="n">
        <v>0</v>
      </c>
      <c r="H36" t="n">
        <v>44918.02</v>
      </c>
      <c r="I36" t="n">
        <v>23528.27</v>
      </c>
      <c r="J36" t="n">
        <v>-44918.02</v>
      </c>
      <c r="K36" t="n">
        <v>0</v>
      </c>
      <c r="L36" t="n">
        <v>0</v>
      </c>
      <c r="M36" t="n">
        <v>418.15</v>
      </c>
      <c r="N36" t="n">
        <v>94461.42</v>
      </c>
      <c r="O36" t="n">
        <v>130</v>
      </c>
      <c r="P36" t="n">
        <v>-21389.75</v>
      </c>
      <c r="Q36" t="n">
        <v>0</v>
      </c>
      <c r="R36" t="n">
        <v>-70515</v>
      </c>
      <c r="S36" t="n">
        <v>-70515</v>
      </c>
      <c r="T36" t="n">
        <v>-115433.02</v>
      </c>
      <c r="U36" t="n">
        <v>-94043.27</v>
      </c>
    </row>
    <row r="37">
      <c r="A37" t="n">
        <v>2026</v>
      </c>
      <c r="B37" t="n">
        <v>7</v>
      </c>
      <c r="C37" t="inlineStr">
        <is>
          <t>65</t>
        </is>
      </c>
      <c r="D37" t="inlineStr">
        <is>
          <t>Berlin</t>
        </is>
      </c>
      <c r="E37" t="n">
        <v>52375.1</v>
      </c>
      <c r="F37" t="n">
        <v>18654.89</v>
      </c>
      <c r="G37" t="n">
        <v>637.35</v>
      </c>
      <c r="H37" t="n">
        <v>0</v>
      </c>
      <c r="I37" t="n">
        <v>8402.469999999999</v>
      </c>
      <c r="J37" t="n">
        <v>-4443.75</v>
      </c>
      <c r="K37" t="n">
        <v>0</v>
      </c>
      <c r="L37" t="n">
        <v>0</v>
      </c>
      <c r="M37" t="n">
        <v>-303.67</v>
      </c>
      <c r="N37" t="n">
        <v>-29427.81</v>
      </c>
      <c r="O37" t="n">
        <v>139</v>
      </c>
      <c r="P37" t="n">
        <v>3958.72</v>
      </c>
      <c r="Q37" t="n">
        <v>0</v>
      </c>
      <c r="R37" t="n">
        <v>33720.21</v>
      </c>
      <c r="S37" t="n">
        <v>33082.86</v>
      </c>
      <c r="T37" t="n">
        <v>33082.86</v>
      </c>
      <c r="U37" t="n">
        <v>29124.14</v>
      </c>
    </row>
    <row r="38">
      <c r="A38" t="n">
        <v>2026</v>
      </c>
      <c r="B38" t="n">
        <v>8</v>
      </c>
      <c r="C38" t="inlineStr">
        <is>
          <t>30</t>
        </is>
      </c>
      <c r="D38" t="inlineStr">
        <is>
          <t>Süd-West</t>
        </is>
      </c>
      <c r="E38" t="n">
        <v>0</v>
      </c>
      <c r="F38" t="n">
        <v>54102.5</v>
      </c>
      <c r="G38" t="n">
        <v>0</v>
      </c>
      <c r="H38" t="n">
        <v>49420.86</v>
      </c>
      <c r="I38" t="n">
        <v>-14817.68</v>
      </c>
      <c r="J38" t="n">
        <v>-49420.86</v>
      </c>
      <c r="K38" t="n">
        <v>0</v>
      </c>
      <c r="L38" t="n">
        <v>0</v>
      </c>
      <c r="M38" t="n">
        <v>168.91</v>
      </c>
      <c r="N38" t="n">
        <v>39453.73</v>
      </c>
      <c r="O38" t="n">
        <v>121</v>
      </c>
      <c r="P38" t="n">
        <v>-64238.54</v>
      </c>
      <c r="Q38" t="n">
        <v>0</v>
      </c>
      <c r="R38" t="n">
        <v>-54102.5</v>
      </c>
      <c r="S38" t="n">
        <v>-54102.5</v>
      </c>
      <c r="T38" t="n">
        <v>-103523.36</v>
      </c>
      <c r="U38" t="n">
        <v>-39284.82</v>
      </c>
    </row>
    <row r="39">
      <c r="A39" t="n">
        <v>2026</v>
      </c>
      <c r="B39" t="n">
        <v>6</v>
      </c>
      <c r="C39" t="inlineStr">
        <is>
          <t>30</t>
        </is>
      </c>
      <c r="D39" t="inlineStr">
        <is>
          <t>Süd-West</t>
        </is>
      </c>
      <c r="E39" t="n">
        <v>672893.39</v>
      </c>
      <c r="F39" t="n">
        <v>513303.37</v>
      </c>
      <c r="G39" t="n">
        <v>5459.3</v>
      </c>
      <c r="H39" t="n">
        <v>0</v>
      </c>
      <c r="I39" t="n">
        <v>20851.2</v>
      </c>
      <c r="J39" t="n">
        <v>-76480.28999999999</v>
      </c>
      <c r="K39" t="n">
        <v>0</v>
      </c>
      <c r="L39" t="n">
        <v>0</v>
      </c>
      <c r="M39" t="n">
        <v>42.38</v>
      </c>
      <c r="N39" t="n">
        <v>-209717.43</v>
      </c>
      <c r="O39" t="n">
        <v>387</v>
      </c>
      <c r="P39" t="n">
        <v>-55629.09</v>
      </c>
      <c r="Q39" t="n">
        <v>0</v>
      </c>
      <c r="R39" t="n">
        <v>159590.02</v>
      </c>
      <c r="S39" t="n">
        <v>154130.72</v>
      </c>
      <c r="T39" t="n">
        <v>154130.72</v>
      </c>
      <c r="U39" t="n">
        <v>209759.81</v>
      </c>
    </row>
    <row r="40">
      <c r="A40" t="n">
        <v>2026</v>
      </c>
      <c r="B40" t="n">
        <v>7</v>
      </c>
      <c r="C40" t="inlineStr">
        <is>
          <t>60</t>
        </is>
      </c>
      <c r="D40" t="inlineStr">
        <is>
          <t>Ost</t>
        </is>
      </c>
      <c r="E40" t="n">
        <v>619292.62</v>
      </c>
      <c r="F40" t="n">
        <v>374986.26</v>
      </c>
      <c r="G40" t="n">
        <v>1584.46</v>
      </c>
      <c r="H40" t="n">
        <v>0</v>
      </c>
      <c r="I40" t="n">
        <v>15377.18</v>
      </c>
      <c r="J40" t="n">
        <v>-62242.77</v>
      </c>
      <c r="K40" t="n">
        <v>0</v>
      </c>
      <c r="L40" t="n">
        <v>0</v>
      </c>
      <c r="M40" t="n">
        <v>1319.77</v>
      </c>
      <c r="N40" t="n">
        <v>-288267.72</v>
      </c>
      <c r="O40" t="n">
        <v>284</v>
      </c>
      <c r="P40" t="n">
        <v>-46865.59</v>
      </c>
      <c r="Q40" t="n">
        <v>0</v>
      </c>
      <c r="R40" t="n">
        <v>244306.36</v>
      </c>
      <c r="S40" t="n">
        <v>242721.9</v>
      </c>
      <c r="T40" t="n">
        <v>242721.9</v>
      </c>
      <c r="U40" t="n">
        <v>289587.49</v>
      </c>
    </row>
    <row r="41">
      <c r="A41" t="n">
        <v>2026</v>
      </c>
      <c r="B41" t="n">
        <v>3</v>
      </c>
      <c r="C41" t="inlineStr">
        <is>
          <t>15</t>
        </is>
      </c>
      <c r="D41" t="inlineStr">
        <is>
          <t>West</t>
        </is>
      </c>
      <c r="E41" t="n">
        <v>1111344.07</v>
      </c>
      <c r="F41" t="n">
        <v>764558.8100000001</v>
      </c>
      <c r="G41" t="n">
        <v>843.78</v>
      </c>
      <c r="H41" t="n">
        <v>0</v>
      </c>
      <c r="I41" t="n">
        <v>25184.07</v>
      </c>
      <c r="J41" t="n">
        <v>-101825.41</v>
      </c>
      <c r="K41" t="n">
        <v>0</v>
      </c>
      <c r="L41" t="n">
        <v>0</v>
      </c>
      <c r="M41" t="n">
        <v>60.92</v>
      </c>
      <c r="N41" t="n">
        <v>-422521.9</v>
      </c>
      <c r="O41" t="n">
        <v>487</v>
      </c>
      <c r="P41" t="n">
        <v>-76641.34</v>
      </c>
      <c r="Q41" t="n">
        <v>0</v>
      </c>
      <c r="R41" t="n">
        <v>346785.26</v>
      </c>
      <c r="S41" t="n">
        <v>345941.48</v>
      </c>
      <c r="T41" t="n">
        <v>345941.48</v>
      </c>
      <c r="U41" t="n">
        <v>422582.82</v>
      </c>
    </row>
    <row r="42">
      <c r="A42" t="n">
        <v>2026</v>
      </c>
      <c r="B42" t="n">
        <v>4</v>
      </c>
      <c r="C42" t="inlineStr">
        <is>
          <t>50</t>
        </is>
      </c>
      <c r="D42" t="inlineStr">
        <is>
          <t>Verwaltung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80089.74000000001</v>
      </c>
      <c r="L42" t="n">
        <v>0</v>
      </c>
      <c r="M42" t="n">
        <v>5606.15</v>
      </c>
      <c r="N42" t="n">
        <v>85695.89</v>
      </c>
      <c r="O42" t="n">
        <v>176</v>
      </c>
      <c r="P42" t="n">
        <v>0</v>
      </c>
      <c r="Q42" t="n">
        <v>80089.74000000001</v>
      </c>
      <c r="R42" t="n">
        <v>0</v>
      </c>
      <c r="S42" t="n">
        <v>0</v>
      </c>
      <c r="T42" t="n">
        <v>0</v>
      </c>
      <c r="U42" t="n">
        <v>-80089.74000000001</v>
      </c>
    </row>
    <row r="43">
      <c r="A43" t="n">
        <v>2026</v>
      </c>
      <c r="B43" t="n">
        <v>3</v>
      </c>
      <c r="C43" t="inlineStr">
        <is>
          <t>30</t>
        </is>
      </c>
      <c r="D43" t="inlineStr">
        <is>
          <t>Süd-West</t>
        </is>
      </c>
      <c r="E43" t="n">
        <v>144183.31</v>
      </c>
      <c r="F43" t="n">
        <v>198454.92</v>
      </c>
      <c r="G43" t="n">
        <v>733.72</v>
      </c>
      <c r="H43" t="n">
        <v>0</v>
      </c>
      <c r="I43" t="n">
        <v>42636.41</v>
      </c>
      <c r="J43" t="n">
        <v>-32426.07</v>
      </c>
      <c r="K43" t="n">
        <v>0</v>
      </c>
      <c r="L43" t="n">
        <v>0</v>
      </c>
      <c r="M43" t="n">
        <v>13026.86</v>
      </c>
      <c r="N43" t="n">
        <v>78242.53</v>
      </c>
      <c r="O43" t="n">
        <v>335</v>
      </c>
      <c r="P43" t="n">
        <v>10210.34</v>
      </c>
      <c r="Q43" t="n">
        <v>0</v>
      </c>
      <c r="R43" t="n">
        <v>-54271.61</v>
      </c>
      <c r="S43" t="n">
        <v>-55005.33</v>
      </c>
      <c r="T43" t="n">
        <v>-55005.33</v>
      </c>
      <c r="U43" t="n">
        <v>-65215.67</v>
      </c>
    </row>
    <row r="44">
      <c r="A44" t="n">
        <v>2026</v>
      </c>
      <c r="B44" t="n">
        <v>3</v>
      </c>
      <c r="C44" t="inlineStr">
        <is>
          <t>50</t>
        </is>
      </c>
      <c r="D44" t="inlineStr">
        <is>
          <t>Verwaltung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80518.91</v>
      </c>
      <c r="L44" t="n">
        <v>0</v>
      </c>
      <c r="M44" t="n">
        <v>32150.92</v>
      </c>
      <c r="N44" t="n">
        <v>112669.83</v>
      </c>
      <c r="O44" t="n">
        <v>171</v>
      </c>
      <c r="P44" t="n">
        <v>0</v>
      </c>
      <c r="Q44" t="n">
        <v>80518.91</v>
      </c>
      <c r="R44" t="n">
        <v>0</v>
      </c>
      <c r="S44" t="n">
        <v>0</v>
      </c>
      <c r="T44" t="n">
        <v>0</v>
      </c>
      <c r="U44" t="n">
        <v>-80518.91</v>
      </c>
    </row>
    <row r="45">
      <c r="A45" t="n">
        <v>2026</v>
      </c>
      <c r="B45" t="n">
        <v>4</v>
      </c>
      <c r="C45" t="inlineStr">
        <is>
          <t>30</t>
        </is>
      </c>
      <c r="D45" t="inlineStr">
        <is>
          <t>Süd-West</t>
        </is>
      </c>
      <c r="E45" t="n">
        <v>128134.06</v>
      </c>
      <c r="F45" t="n">
        <v>73641.96000000001</v>
      </c>
      <c r="G45" t="n">
        <v>1831.98</v>
      </c>
      <c r="H45" t="n">
        <v>0</v>
      </c>
      <c r="I45" t="n">
        <v>31827.29</v>
      </c>
      <c r="J45" t="n">
        <v>-61840.56</v>
      </c>
      <c r="K45" t="n">
        <v>0</v>
      </c>
      <c r="L45" t="n">
        <v>0</v>
      </c>
      <c r="M45" t="n">
        <v>543.27</v>
      </c>
      <c r="N45" t="n">
        <v>-82130.12</v>
      </c>
      <c r="O45" t="n">
        <v>334</v>
      </c>
      <c r="P45" t="n">
        <v>-30013.27</v>
      </c>
      <c r="Q45" t="n">
        <v>0</v>
      </c>
      <c r="R45" t="n">
        <v>54492.1</v>
      </c>
      <c r="S45" t="n">
        <v>52660.12</v>
      </c>
      <c r="T45" t="n">
        <v>52660.12</v>
      </c>
      <c r="U45" t="n">
        <v>82673.39</v>
      </c>
    </row>
    <row r="46">
      <c r="A46" t="n">
        <v>2026</v>
      </c>
      <c r="B46" t="n">
        <v>5</v>
      </c>
      <c r="C46" t="inlineStr">
        <is>
          <t>30</t>
        </is>
      </c>
      <c r="D46" t="inlineStr">
        <is>
          <t>Süd-West</t>
        </is>
      </c>
      <c r="E46" t="n">
        <v>246565.12</v>
      </c>
      <c r="F46" t="n">
        <v>143420.04</v>
      </c>
      <c r="G46" t="n">
        <v>56.83</v>
      </c>
      <c r="H46" t="n">
        <v>0</v>
      </c>
      <c r="I46" t="n">
        <v>27480.85</v>
      </c>
      <c r="J46" t="n">
        <v>-64587.53</v>
      </c>
      <c r="K46" t="n">
        <v>0</v>
      </c>
      <c r="L46" t="n">
        <v>0</v>
      </c>
      <c r="M46" t="n">
        <v>930.1900000000001</v>
      </c>
      <c r="N46" t="n">
        <v>-139264.74</v>
      </c>
      <c r="O46" t="n">
        <v>295</v>
      </c>
      <c r="P46" t="n">
        <v>-37106.68</v>
      </c>
      <c r="Q46" t="n">
        <v>0</v>
      </c>
      <c r="R46" t="n">
        <v>103145.08</v>
      </c>
      <c r="S46" t="n">
        <v>103088.25</v>
      </c>
      <c r="T46" t="n">
        <v>103088.25</v>
      </c>
      <c r="U46" t="n">
        <v>140194.93</v>
      </c>
    </row>
    <row r="47">
      <c r="A47" t="n">
        <v>2026</v>
      </c>
      <c r="B47" t="n">
        <v>2</v>
      </c>
      <c r="C47" t="inlineStr">
        <is>
          <t>65</t>
        </is>
      </c>
      <c r="D47" t="inlineStr">
        <is>
          <t>Berlin</t>
        </is>
      </c>
      <c r="E47" t="n">
        <v>29347.46</v>
      </c>
      <c r="F47" t="n">
        <v>18764.06</v>
      </c>
      <c r="G47" t="n">
        <v>361.05</v>
      </c>
      <c r="H47" t="n">
        <v>0</v>
      </c>
      <c r="I47" t="n">
        <v>7449.96</v>
      </c>
      <c r="J47" t="n">
        <v>-4988.3</v>
      </c>
      <c r="K47" t="n">
        <v>0</v>
      </c>
      <c r="L47" t="n">
        <v>0</v>
      </c>
      <c r="M47" t="n">
        <v>53.5</v>
      </c>
      <c r="N47" t="n">
        <v>-7707.19</v>
      </c>
      <c r="O47" t="n">
        <v>186</v>
      </c>
      <c r="P47" t="n">
        <v>2461.66</v>
      </c>
      <c r="Q47" t="n">
        <v>0</v>
      </c>
      <c r="R47" t="n">
        <v>10583.4</v>
      </c>
      <c r="S47" t="n">
        <v>10222.35</v>
      </c>
      <c r="T47" t="n">
        <v>10222.35</v>
      </c>
      <c r="U47" t="n">
        <v>7760.69</v>
      </c>
    </row>
    <row r="48">
      <c r="A48" t="n">
        <v>2026</v>
      </c>
      <c r="B48" t="n">
        <v>3</v>
      </c>
      <c r="C48" t="inlineStr">
        <is>
          <t>65</t>
        </is>
      </c>
      <c r="D48" t="inlineStr">
        <is>
          <t>Berlin</t>
        </is>
      </c>
      <c r="E48" t="n">
        <v>413588.23</v>
      </c>
      <c r="F48" t="n">
        <v>353846.18</v>
      </c>
      <c r="G48" t="n">
        <v>517.28</v>
      </c>
      <c r="H48" t="n">
        <v>0</v>
      </c>
      <c r="I48" t="n">
        <v>8930.15</v>
      </c>
      <c r="J48" t="n">
        <v>-49303.22</v>
      </c>
      <c r="K48" t="n">
        <v>0</v>
      </c>
      <c r="L48" t="n">
        <v>0</v>
      </c>
      <c r="M48" t="n">
        <v>77.67</v>
      </c>
      <c r="N48" t="n">
        <v>-99520.17</v>
      </c>
      <c r="O48" t="n">
        <v>226</v>
      </c>
      <c r="P48" t="n">
        <v>-40373.07</v>
      </c>
      <c r="Q48" t="n">
        <v>0</v>
      </c>
      <c r="R48" t="n">
        <v>59742.05</v>
      </c>
      <c r="S48" t="n">
        <v>59224.77</v>
      </c>
      <c r="T48" t="n">
        <v>59224.77</v>
      </c>
      <c r="U48" t="n">
        <v>99597.84</v>
      </c>
    </row>
    <row r="49">
      <c r="A49" t="n">
        <v>2026</v>
      </c>
      <c r="B49" t="n">
        <v>9</v>
      </c>
      <c r="C49" t="inlineStr">
        <is>
          <t>65</t>
        </is>
      </c>
      <c r="D49" t="inlineStr">
        <is>
          <t>Berlin</t>
        </is>
      </c>
      <c r="E49" t="n">
        <v>18269.27</v>
      </c>
      <c r="F49" t="n">
        <v>6401.75</v>
      </c>
      <c r="G49" t="n">
        <v>218.25</v>
      </c>
      <c r="H49" t="n">
        <v>0</v>
      </c>
      <c r="I49" t="n">
        <v>8518.6</v>
      </c>
      <c r="J49" t="n">
        <v>0</v>
      </c>
      <c r="K49" t="n">
        <v>0</v>
      </c>
      <c r="L49" t="n">
        <v>0</v>
      </c>
      <c r="M49" t="n">
        <v>-0.02</v>
      </c>
      <c r="N49" t="n">
        <v>-3130.69</v>
      </c>
      <c r="O49" t="n">
        <v>85</v>
      </c>
      <c r="P49" t="n">
        <v>8518.6</v>
      </c>
      <c r="Q49" t="n">
        <v>0</v>
      </c>
      <c r="R49" t="n">
        <v>11867.52</v>
      </c>
      <c r="S49" t="n">
        <v>11649.27</v>
      </c>
      <c r="T49" t="n">
        <v>11649.27</v>
      </c>
      <c r="U49" t="n">
        <v>3130.67</v>
      </c>
    </row>
    <row r="50">
      <c r="A50" t="n">
        <v>2026</v>
      </c>
      <c r="B50" t="n">
        <v>9</v>
      </c>
      <c r="C50" t="inlineStr">
        <is>
          <t>15</t>
        </is>
      </c>
      <c r="D50" t="inlineStr">
        <is>
          <t>West</t>
        </is>
      </c>
      <c r="E50" t="n">
        <v>845719.74</v>
      </c>
      <c r="F50" t="n">
        <v>1417690.39</v>
      </c>
      <c r="G50" t="n">
        <v>18278.63</v>
      </c>
      <c r="H50" t="n">
        <v>0</v>
      </c>
      <c r="I50" t="n">
        <v>17029.38</v>
      </c>
      <c r="J50" t="n">
        <v>0</v>
      </c>
      <c r="K50" t="n">
        <v>0</v>
      </c>
      <c r="L50" t="n">
        <v>0</v>
      </c>
      <c r="M50" t="n">
        <v>-312402.34</v>
      </c>
      <c r="N50" t="n">
        <v>294876.32</v>
      </c>
      <c r="O50" t="n">
        <v>259</v>
      </c>
      <c r="P50" t="n">
        <v>17029.38</v>
      </c>
      <c r="Q50" t="n">
        <v>0</v>
      </c>
      <c r="R50" t="n">
        <v>-571970.65</v>
      </c>
      <c r="S50" t="n">
        <v>-590249.28</v>
      </c>
      <c r="T50" t="n">
        <v>-590249.28</v>
      </c>
      <c r="U50" t="n">
        <v>-607278.66</v>
      </c>
    </row>
    <row r="51">
      <c r="A51" t="n">
        <v>2026</v>
      </c>
      <c r="B51" t="n">
        <v>6</v>
      </c>
      <c r="C51" t="inlineStr">
        <is>
          <t>15</t>
        </is>
      </c>
      <c r="D51" t="inlineStr">
        <is>
          <t>West</t>
        </is>
      </c>
      <c r="E51" t="n">
        <v>1404357.27</v>
      </c>
      <c r="F51" t="n">
        <v>1219012.26</v>
      </c>
      <c r="G51" t="n">
        <v>17321.98</v>
      </c>
      <c r="H51" t="n">
        <v>0</v>
      </c>
      <c r="I51" t="n">
        <v>8571.07</v>
      </c>
      <c r="J51" t="n">
        <v>-66439.17999999999</v>
      </c>
      <c r="K51" t="n">
        <v>0</v>
      </c>
      <c r="L51" t="n">
        <v>0</v>
      </c>
      <c r="M51" t="n">
        <v>256.38</v>
      </c>
      <c r="N51" t="n">
        <v>-225634.76</v>
      </c>
      <c r="O51" t="n">
        <v>477</v>
      </c>
      <c r="P51" t="n">
        <v>-57868.11</v>
      </c>
      <c r="Q51" t="n">
        <v>0</v>
      </c>
      <c r="R51" t="n">
        <v>185345.01</v>
      </c>
      <c r="S51" t="n">
        <v>168023.03</v>
      </c>
      <c r="T51" t="n">
        <v>168023.03</v>
      </c>
      <c r="U51" t="n">
        <v>225891.14</v>
      </c>
    </row>
    <row r="52">
      <c r="A52" t="n">
        <v>2026</v>
      </c>
      <c r="B52" t="n">
        <v>1</v>
      </c>
      <c r="C52" t="inlineStr">
        <is>
          <t>50</t>
        </is>
      </c>
      <c r="D52" t="inlineStr">
        <is>
          <t>Verwaltung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50356.1</v>
      </c>
      <c r="L52" t="n">
        <v>0</v>
      </c>
      <c r="M52" t="n">
        <v>8420.309999999999</v>
      </c>
      <c r="N52" t="n">
        <v>58776.41</v>
      </c>
      <c r="O52" t="n">
        <v>111</v>
      </c>
      <c r="P52" t="n">
        <v>0</v>
      </c>
      <c r="Q52" t="n">
        <v>50356.1</v>
      </c>
      <c r="R52" t="n">
        <v>0</v>
      </c>
      <c r="S52" t="n">
        <v>0</v>
      </c>
      <c r="T52" t="n">
        <v>0</v>
      </c>
      <c r="U52" t="n">
        <v>-50356.1</v>
      </c>
    </row>
    <row r="53">
      <c r="A53" t="n">
        <v>2026</v>
      </c>
      <c r="B53" t="n">
        <v>2</v>
      </c>
      <c r="C53" t="inlineStr">
        <is>
          <t>30</t>
        </is>
      </c>
      <c r="D53" t="inlineStr">
        <is>
          <t>Süd-West</t>
        </is>
      </c>
      <c r="E53" t="n">
        <v>340104.76</v>
      </c>
      <c r="F53" t="n">
        <v>298637.71</v>
      </c>
      <c r="G53" t="n">
        <v>1972.33</v>
      </c>
      <c r="H53" t="n">
        <v>0</v>
      </c>
      <c r="I53" t="n">
        <v>24825.75</v>
      </c>
      <c r="J53" t="n">
        <v>-43322.55</v>
      </c>
      <c r="K53" t="n">
        <v>0</v>
      </c>
      <c r="L53" t="n">
        <v>0</v>
      </c>
      <c r="M53" t="n">
        <v>-6795.99</v>
      </c>
      <c r="N53" t="n">
        <v>-64787.51</v>
      </c>
      <c r="O53" t="n">
        <v>290</v>
      </c>
      <c r="P53" t="n">
        <v>-18496.8</v>
      </c>
      <c r="Q53" t="n">
        <v>0</v>
      </c>
      <c r="R53" t="n">
        <v>41467.05</v>
      </c>
      <c r="S53" t="n">
        <v>39494.72</v>
      </c>
      <c r="T53" t="n">
        <v>39494.72</v>
      </c>
      <c r="U53" t="n">
        <v>57991.52</v>
      </c>
    </row>
    <row r="54">
      <c r="A54" t="n">
        <v>2026</v>
      </c>
      <c r="B54" t="n">
        <v>4</v>
      </c>
      <c r="C54" t="inlineStr">
        <is>
          <t>15</t>
        </is>
      </c>
      <c r="D54" t="inlineStr">
        <is>
          <t>West</t>
        </is>
      </c>
      <c r="E54" t="n">
        <v>1146276.26</v>
      </c>
      <c r="F54" t="n">
        <v>962713.97</v>
      </c>
      <c r="G54" t="n">
        <v>869.29</v>
      </c>
      <c r="H54" t="n">
        <v>0</v>
      </c>
      <c r="I54" t="n">
        <v>16172.37</v>
      </c>
      <c r="J54" t="n">
        <v>-124309.82</v>
      </c>
      <c r="K54" t="n">
        <v>0</v>
      </c>
      <c r="L54" t="n">
        <v>0</v>
      </c>
      <c r="M54" t="n">
        <v>7420.44</v>
      </c>
      <c r="N54" t="n">
        <v>-283410.01</v>
      </c>
      <c r="O54" t="n">
        <v>446</v>
      </c>
      <c r="P54" t="n">
        <v>-108137.45</v>
      </c>
      <c r="Q54" t="n">
        <v>0</v>
      </c>
      <c r="R54" t="n">
        <v>183562.29</v>
      </c>
      <c r="S54" t="n">
        <v>182693</v>
      </c>
      <c r="T54" t="n">
        <v>182693</v>
      </c>
      <c r="U54" t="n">
        <v>290830.45</v>
      </c>
    </row>
    <row r="55">
      <c r="A55" t="n">
        <v>2026</v>
      </c>
      <c r="B55" t="n">
        <v>6</v>
      </c>
      <c r="C55" t="inlineStr">
        <is>
          <t>60</t>
        </is>
      </c>
      <c r="D55" t="inlineStr">
        <is>
          <t>Ost</t>
        </is>
      </c>
      <c r="E55" t="n">
        <v>563444.28</v>
      </c>
      <c r="F55" t="n">
        <v>366908.52</v>
      </c>
      <c r="G55" t="n">
        <v>1462.7</v>
      </c>
      <c r="H55" t="n">
        <v>0</v>
      </c>
      <c r="I55" t="n">
        <v>24226.14</v>
      </c>
      <c r="J55" t="n">
        <v>-52495.72</v>
      </c>
      <c r="K55" t="n">
        <v>0</v>
      </c>
      <c r="L55" t="n">
        <v>0</v>
      </c>
      <c r="M55" t="n">
        <v>-66.01000000000001</v>
      </c>
      <c r="N55" t="n">
        <v>-223408.65</v>
      </c>
      <c r="O55" t="n">
        <v>292</v>
      </c>
      <c r="P55" t="n">
        <v>-28269.58</v>
      </c>
      <c r="Q55" t="n">
        <v>0</v>
      </c>
      <c r="R55" t="n">
        <v>196535.76</v>
      </c>
      <c r="S55" t="n">
        <v>195073.06</v>
      </c>
      <c r="T55" t="n">
        <v>195073.06</v>
      </c>
      <c r="U55" t="n">
        <v>223342.64</v>
      </c>
    </row>
    <row r="56">
      <c r="A56" t="n">
        <v>2026</v>
      </c>
      <c r="B56" t="n">
        <v>7</v>
      </c>
      <c r="C56" t="inlineStr">
        <is>
          <t>30</t>
        </is>
      </c>
      <c r="D56" t="inlineStr">
        <is>
          <t>Süd-West</t>
        </is>
      </c>
      <c r="E56" t="n">
        <v>353807.94</v>
      </c>
      <c r="F56" t="n">
        <v>337165.55</v>
      </c>
      <c r="G56" t="n">
        <v>124.37</v>
      </c>
      <c r="H56" t="n">
        <v>0</v>
      </c>
      <c r="I56" t="n">
        <v>20068.1</v>
      </c>
      <c r="J56" t="n">
        <v>-45711.44</v>
      </c>
      <c r="K56" t="n">
        <v>0</v>
      </c>
      <c r="L56" t="n">
        <v>0</v>
      </c>
      <c r="M56" t="n">
        <v>18009.23</v>
      </c>
      <c r="N56" t="n">
        <v>-24152.13</v>
      </c>
      <c r="O56" t="n">
        <v>300</v>
      </c>
      <c r="P56" t="n">
        <v>-25643.34</v>
      </c>
      <c r="Q56" t="n">
        <v>0</v>
      </c>
      <c r="R56" t="n">
        <v>16642.39</v>
      </c>
      <c r="S56" t="n">
        <v>16518.02</v>
      </c>
      <c r="T56" t="n">
        <v>16518.02</v>
      </c>
      <c r="U56" t="n">
        <v>42161.36</v>
      </c>
    </row>
    <row r="57">
      <c r="A57" t="n">
        <v>2026</v>
      </c>
      <c r="B57" t="n">
        <v>9</v>
      </c>
      <c r="C57" t="inlineStr">
        <is>
          <t>--</t>
        </is>
      </c>
      <c r="D57" t="inlineStr">
        <is>
          <t>Ohne Zuordnung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3843.33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2026</v>
      </c>
      <c r="B58" t="n">
        <v>6</v>
      </c>
      <c r="C58" t="inlineStr">
        <is>
          <t>50</t>
        </is>
      </c>
      <c r="D58" t="inlineStr">
        <is>
          <t>Verwaltung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67124.73</v>
      </c>
      <c r="L58" t="n">
        <v>0</v>
      </c>
      <c r="M58" t="n">
        <v>29817.31</v>
      </c>
      <c r="N58" t="n">
        <v>96942.03999999999</v>
      </c>
      <c r="O58" t="n">
        <v>134</v>
      </c>
      <c r="P58" t="n">
        <v>0</v>
      </c>
      <c r="Q58" t="n">
        <v>67124.73</v>
      </c>
      <c r="R58" t="n">
        <v>0</v>
      </c>
      <c r="S58" t="n">
        <v>0</v>
      </c>
      <c r="T58" t="n">
        <v>0</v>
      </c>
      <c r="U58" t="n">
        <v>-67124.73</v>
      </c>
    </row>
    <row r="59">
      <c r="A59" t="n">
        <v>2026</v>
      </c>
      <c r="B59" t="n">
        <v>2</v>
      </c>
      <c r="C59" t="inlineStr">
        <is>
          <t>60</t>
        </is>
      </c>
      <c r="D59" t="inlineStr">
        <is>
          <t>Ost</t>
        </is>
      </c>
      <c r="E59" t="n">
        <v>1004459.49</v>
      </c>
      <c r="F59" t="n">
        <v>518297.02</v>
      </c>
      <c r="G59" t="n">
        <v>1627.54</v>
      </c>
      <c r="H59" t="n">
        <v>0</v>
      </c>
      <c r="I59" t="n">
        <v>16179</v>
      </c>
      <c r="J59" t="n">
        <v>-69760.03</v>
      </c>
      <c r="K59" t="n">
        <v>0</v>
      </c>
      <c r="L59" t="n">
        <v>0</v>
      </c>
      <c r="M59" t="n">
        <v>238.87</v>
      </c>
      <c r="N59" t="n">
        <v>-537877.09</v>
      </c>
      <c r="O59" t="n">
        <v>328</v>
      </c>
      <c r="P59" t="n">
        <v>-53581.03</v>
      </c>
      <c r="Q59" t="n">
        <v>0</v>
      </c>
      <c r="R59" t="n">
        <v>486162.47</v>
      </c>
      <c r="S59" t="n">
        <v>484534.93</v>
      </c>
      <c r="T59" t="n">
        <v>484534.93</v>
      </c>
      <c r="U59" t="n">
        <v>538115.96</v>
      </c>
    </row>
    <row r="60">
      <c r="A60" t="n">
        <v>2026</v>
      </c>
      <c r="B60" t="n">
        <v>9</v>
      </c>
      <c r="C60" t="inlineStr">
        <is>
          <t>30</t>
        </is>
      </c>
      <c r="D60" t="inlineStr">
        <is>
          <t>Süd-West</t>
        </is>
      </c>
      <c r="E60" t="n">
        <v>5198.24</v>
      </c>
      <c r="F60" t="n">
        <v>296315.41</v>
      </c>
      <c r="G60" t="n">
        <v>0</v>
      </c>
      <c r="H60" t="n">
        <v>0</v>
      </c>
      <c r="I60" t="n">
        <v>27556.39</v>
      </c>
      <c r="J60" t="n">
        <v>0</v>
      </c>
      <c r="K60" t="n">
        <v>0</v>
      </c>
      <c r="L60" t="n">
        <v>0</v>
      </c>
      <c r="M60" t="n">
        <v>-360.32</v>
      </c>
      <c r="N60" t="n">
        <v>318313.24</v>
      </c>
      <c r="O60" t="n">
        <v>189</v>
      </c>
      <c r="P60" t="n">
        <v>27556.39</v>
      </c>
      <c r="Q60" t="n">
        <v>0</v>
      </c>
      <c r="R60" t="n">
        <v>-291117.17</v>
      </c>
      <c r="S60" t="n">
        <v>-291117.17</v>
      </c>
      <c r="T60" t="n">
        <v>-291117.17</v>
      </c>
      <c r="U60" t="n">
        <v>-318673.56</v>
      </c>
    </row>
    <row r="61">
      <c r="A61" t="n">
        <v>2026</v>
      </c>
      <c r="B61" t="n">
        <v>1</v>
      </c>
      <c r="C61" t="inlineStr">
        <is>
          <t>65</t>
        </is>
      </c>
      <c r="D61" t="inlineStr">
        <is>
          <t>Berlin</t>
        </is>
      </c>
      <c r="E61" t="n">
        <v>69580.17</v>
      </c>
      <c r="F61" t="n">
        <v>52000.12</v>
      </c>
      <c r="G61" t="n">
        <v>100.73</v>
      </c>
      <c r="H61" t="n">
        <v>0</v>
      </c>
      <c r="I61" t="n">
        <v>51914.23</v>
      </c>
      <c r="J61" t="n">
        <v>-7702.89</v>
      </c>
      <c r="K61" t="n">
        <v>0</v>
      </c>
      <c r="L61" t="n">
        <v>0</v>
      </c>
      <c r="M61" t="n">
        <v>175.6</v>
      </c>
      <c r="N61" t="n">
        <v>26907.62</v>
      </c>
      <c r="O61" t="n">
        <v>136</v>
      </c>
      <c r="P61" t="n">
        <v>44211.34</v>
      </c>
      <c r="Q61" t="n">
        <v>0</v>
      </c>
      <c r="R61" t="n">
        <v>17580.05</v>
      </c>
      <c r="S61" t="n">
        <v>17479.32</v>
      </c>
      <c r="T61" t="n">
        <v>17479.32</v>
      </c>
      <c r="U61" t="n">
        <v>-26732.02</v>
      </c>
    </row>
    <row r="62">
      <c r="A62" t="n">
        <v>2026</v>
      </c>
      <c r="B62" t="n">
        <v>3</v>
      </c>
      <c r="C62" t="inlineStr">
        <is>
          <t>60</t>
        </is>
      </c>
      <c r="D62" t="inlineStr">
        <is>
          <t>Ost</t>
        </is>
      </c>
      <c r="E62" t="n">
        <v>738426.73</v>
      </c>
      <c r="F62" t="n">
        <v>450911.26</v>
      </c>
      <c r="G62" t="n">
        <v>920.35</v>
      </c>
      <c r="H62" t="n">
        <v>0</v>
      </c>
      <c r="I62" t="n">
        <v>16250.41</v>
      </c>
      <c r="J62" t="n">
        <v>-62103.28</v>
      </c>
      <c r="K62" t="n">
        <v>0</v>
      </c>
      <c r="L62" t="n">
        <v>0</v>
      </c>
      <c r="M62" t="n">
        <v>84.98</v>
      </c>
      <c r="N62" t="n">
        <v>-332363.01</v>
      </c>
      <c r="O62" t="n">
        <v>316</v>
      </c>
      <c r="P62" t="n">
        <v>-45852.87</v>
      </c>
      <c r="Q62" t="n">
        <v>0</v>
      </c>
      <c r="R62" t="n">
        <v>287515.47</v>
      </c>
      <c r="S62" t="n">
        <v>286595.12</v>
      </c>
      <c r="T62" t="n">
        <v>286595.12</v>
      </c>
      <c r="U62" t="n">
        <v>332447.99</v>
      </c>
    </row>
    <row r="63">
      <c r="A63" t="n">
        <v>2026</v>
      </c>
      <c r="B63" t="n">
        <v>6</v>
      </c>
      <c r="C63" t="inlineStr">
        <is>
          <t>65</t>
        </is>
      </c>
      <c r="D63" t="inlineStr">
        <is>
          <t>Berlin</t>
        </is>
      </c>
      <c r="E63" t="n">
        <v>140043.52</v>
      </c>
      <c r="F63" t="n">
        <v>20265.5</v>
      </c>
      <c r="G63" t="n">
        <v>117.5</v>
      </c>
      <c r="H63" t="n">
        <v>0</v>
      </c>
      <c r="I63" t="n">
        <v>9168.74</v>
      </c>
      <c r="J63" t="n">
        <v>-5031.12</v>
      </c>
      <c r="K63" t="n">
        <v>0</v>
      </c>
      <c r="L63" t="n">
        <v>0</v>
      </c>
      <c r="M63" t="n">
        <v>317.08</v>
      </c>
      <c r="N63" t="n">
        <v>-115205.82</v>
      </c>
      <c r="O63" t="n">
        <v>179</v>
      </c>
      <c r="P63" t="n">
        <v>4137.62</v>
      </c>
      <c r="Q63" t="n">
        <v>0</v>
      </c>
      <c r="R63" t="n">
        <v>119778.02</v>
      </c>
      <c r="S63" t="n">
        <v>119660.52</v>
      </c>
      <c r="T63" t="n">
        <v>119660.52</v>
      </c>
      <c r="U63" t="n">
        <v>115522.9</v>
      </c>
    </row>
    <row r="64">
      <c r="A64" t="n">
        <v>2026</v>
      </c>
      <c r="B64" t="n">
        <v>5</v>
      </c>
      <c r="C64" t="inlineStr">
        <is>
          <t>50</t>
        </is>
      </c>
      <c r="D64" t="inlineStr">
        <is>
          <t>Verwaltung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61602.01</v>
      </c>
      <c r="L64" t="n">
        <v>0</v>
      </c>
      <c r="M64" t="n">
        <v>26701.27</v>
      </c>
      <c r="N64" t="n">
        <v>88303.28</v>
      </c>
      <c r="O64" t="n">
        <v>152</v>
      </c>
      <c r="P64" t="n">
        <v>0</v>
      </c>
      <c r="Q64" t="n">
        <v>61602.01</v>
      </c>
      <c r="R64" t="n">
        <v>0</v>
      </c>
      <c r="S64" t="n">
        <v>0</v>
      </c>
      <c r="T64" t="n">
        <v>0</v>
      </c>
      <c r="U64" t="n">
        <v>-61602.01</v>
      </c>
    </row>
    <row r="65">
      <c r="A65" t="n">
        <v>2026</v>
      </c>
      <c r="B65" t="n">
        <v>9</v>
      </c>
      <c r="C65" t="inlineStr">
        <is>
          <t>50</t>
        </is>
      </c>
      <c r="D65" t="inlineStr">
        <is>
          <t>Verwaltung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54298.21</v>
      </c>
      <c r="L65" t="n">
        <v>0</v>
      </c>
      <c r="M65" t="n">
        <v>-7610.43</v>
      </c>
      <c r="N65" t="n">
        <v>46687.78</v>
      </c>
      <c r="O65" t="n">
        <v>112</v>
      </c>
      <c r="P65" t="n">
        <v>0</v>
      </c>
      <c r="Q65" t="n">
        <v>54298.21</v>
      </c>
      <c r="R65" t="n">
        <v>0</v>
      </c>
      <c r="S65" t="n">
        <v>0</v>
      </c>
      <c r="T65" t="n">
        <v>0</v>
      </c>
      <c r="U65" t="n">
        <v>-54298.21</v>
      </c>
    </row>
    <row r="66">
      <c r="A66" t="n">
        <v>2026</v>
      </c>
      <c r="B66" t="n">
        <v>8</v>
      </c>
      <c r="C66" t="inlineStr">
        <is>
          <t>50</t>
        </is>
      </c>
      <c r="D66" t="inlineStr">
        <is>
          <t>Verwaltung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59143.57</v>
      </c>
      <c r="L66" t="n">
        <v>0</v>
      </c>
      <c r="M66" t="n">
        <v>50804.34</v>
      </c>
      <c r="N66" t="n">
        <v>109947.91</v>
      </c>
      <c r="O66" t="n">
        <v>165</v>
      </c>
      <c r="P66" t="n">
        <v>0</v>
      </c>
      <c r="Q66" t="n">
        <v>59143.57</v>
      </c>
      <c r="R66" t="n">
        <v>0</v>
      </c>
      <c r="S66" t="n">
        <v>0</v>
      </c>
      <c r="T66" t="n">
        <v>0</v>
      </c>
      <c r="U66" t="n">
        <v>-59143.57</v>
      </c>
    </row>
    <row r="67">
      <c r="A67" t="n">
        <v>2026</v>
      </c>
      <c r="B67" t="n">
        <v>2</v>
      </c>
      <c r="C67" t="inlineStr">
        <is>
          <t>15</t>
        </is>
      </c>
      <c r="D67" t="inlineStr">
        <is>
          <t>West</t>
        </is>
      </c>
      <c r="E67" t="n">
        <v>1203156.02</v>
      </c>
      <c r="F67" t="n">
        <v>895265.1</v>
      </c>
      <c r="G67" t="n">
        <v>3114.2</v>
      </c>
      <c r="H67" t="n">
        <v>0</v>
      </c>
      <c r="I67" t="n">
        <v>11129.08</v>
      </c>
      <c r="J67" t="n">
        <v>-117797.68</v>
      </c>
      <c r="K67" t="n">
        <v>0</v>
      </c>
      <c r="L67" t="n">
        <v>0</v>
      </c>
      <c r="M67" t="n">
        <v>2237.97</v>
      </c>
      <c r="N67" t="n">
        <v>-409207.35</v>
      </c>
      <c r="O67" t="n">
        <v>389</v>
      </c>
      <c r="P67" t="n">
        <v>-106668.6</v>
      </c>
      <c r="Q67" t="n">
        <v>0</v>
      </c>
      <c r="R67" t="n">
        <v>307890.92</v>
      </c>
      <c r="S67" t="n">
        <v>304776.72</v>
      </c>
      <c r="T67" t="n">
        <v>304776.72</v>
      </c>
      <c r="U67" t="n">
        <v>411445.32</v>
      </c>
    </row>
    <row r="68">
      <c r="A68" t="n">
        <v>2026</v>
      </c>
      <c r="B68" t="n">
        <v>7</v>
      </c>
      <c r="C68" t="inlineStr">
        <is>
          <t>50</t>
        </is>
      </c>
      <c r="D68" t="inlineStr">
        <is>
          <t>Verwaltung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61244.52</v>
      </c>
      <c r="L68" t="n">
        <v>0</v>
      </c>
      <c r="M68" t="n">
        <v>2938.39</v>
      </c>
      <c r="N68" t="n">
        <v>64182.91</v>
      </c>
      <c r="O68" t="n">
        <v>126</v>
      </c>
      <c r="P68" t="n">
        <v>0</v>
      </c>
      <c r="Q68" t="n">
        <v>61244.52</v>
      </c>
      <c r="R68" t="n">
        <v>0</v>
      </c>
      <c r="S68" t="n">
        <v>0</v>
      </c>
      <c r="T68" t="n">
        <v>0</v>
      </c>
      <c r="U68" t="n">
        <v>-61244.52</v>
      </c>
    </row>
    <row r="72">
      <c r="A72" t="inlineStr">
        <is>
          <t>v_stunden_jahr</t>
        </is>
      </c>
    </row>
    <row r="73">
      <c r="A73" t="inlineStr">
        <is>
          <t>jahr</t>
        </is>
      </c>
      <c r="B73" t="inlineStr">
        <is>
          <t>produktiv</t>
        </is>
      </c>
      <c r="C73" t="inlineStr">
        <is>
          <t>unproduktiv</t>
        </is>
      </c>
      <c r="D73" t="inlineStr">
        <is>
          <t>urlaub</t>
        </is>
      </c>
      <c r="E73" t="inlineStr">
        <is>
          <t>krankheit</t>
        </is>
      </c>
      <c r="F73" t="inlineStr">
        <is>
          <t>feiertag</t>
        </is>
      </c>
      <c r="G73" t="inlineStr">
        <is>
          <t>gesamt</t>
        </is>
      </c>
      <c r="H73" t="inlineStr">
        <is>
          <t>mitarbeiter</t>
        </is>
      </c>
      <c r="I73" t="inlineStr">
        <is>
          <t>bis_monat</t>
        </is>
      </c>
      <c r="J73" t="inlineStr">
        <is>
          <t>auslastung</t>
        </is>
      </c>
      <c r="K73" t="inlineStr">
        <is>
          <t>produktivquote</t>
        </is>
      </c>
    </row>
    <row r="74">
      <c r="A74" t="n">
        <v>2026</v>
      </c>
      <c r="B74" t="n">
        <v>43294</v>
      </c>
      <c r="C74" t="n">
        <v>5284.5</v>
      </c>
      <c r="D74" t="n">
        <v>6475</v>
      </c>
      <c r="E74" t="n">
        <v>5359.5</v>
      </c>
      <c r="F74" t="n">
        <v>2135</v>
      </c>
      <c r="G74" t="n">
        <v>64530</v>
      </c>
      <c r="H74" t="n">
        <v>51</v>
      </c>
      <c r="I74" t="n">
        <v>9</v>
      </c>
      <c r="J74" t="n">
        <v>89.09999999999999</v>
      </c>
      <c r="K74" t="n">
        <v>67.09999999999999</v>
      </c>
    </row>
    <row r="78">
      <c r="A78" t="inlineStr">
        <is>
          <t>v_kostenart_monat</t>
        </is>
      </c>
    </row>
    <row r="79">
      <c r="A79" t="inlineStr">
        <is>
          <t>jahr</t>
        </is>
      </c>
      <c r="B79" t="inlineStr">
        <is>
          <t>monat</t>
        </is>
      </c>
      <c r="C79" t="inlineStr">
        <is>
          <t>kostenart_nr</t>
        </is>
      </c>
      <c r="D79" t="inlineStr">
        <is>
          <t>kostenart_bez</t>
        </is>
      </c>
      <c r="E79" t="inlineStr">
        <is>
          <t>klr_typ</t>
        </is>
      </c>
      <c r="F79" t="inlineStr">
        <is>
          <t>klr_gruppe</t>
        </is>
      </c>
      <c r="G79" t="inlineStr">
        <is>
          <t>db_stufe</t>
        </is>
      </c>
      <c r="H79" t="inlineStr">
        <is>
          <t>wert</t>
        </is>
      </c>
      <c r="I79" t="inlineStr">
        <is>
          <t>leistung</t>
        </is>
      </c>
      <c r="J79" t="inlineStr">
        <is>
          <t>k_var</t>
        </is>
      </c>
      <c r="K79" t="inlineStr">
        <is>
          <t>k_fix</t>
        </is>
      </c>
      <c r="L79" t="inlineStr">
        <is>
          <t>umlage</t>
        </is>
      </c>
      <c r="M79" t="inlineStr">
        <is>
          <t>neutral</t>
        </is>
      </c>
      <c r="N79" t="inlineStr">
        <is>
          <t>belege</t>
        </is>
      </c>
    </row>
    <row r="80">
      <c r="A80" t="n">
        <v>2026</v>
      </c>
      <c r="B80" t="n">
        <v>1</v>
      </c>
      <c r="C80" t="inlineStr">
        <is>
          <t>201000</t>
        </is>
      </c>
      <c r="D80" t="inlineStr">
        <is>
          <t>Sonstige periodenfremde Aufwendungen</t>
        </is>
      </c>
      <c r="E80" t="inlineStr">
        <is>
          <t>NEUTRALER_AUFWAND</t>
        </is>
      </c>
      <c r="F80" t="inlineStr">
        <is>
          <t>Sonstiges</t>
        </is>
      </c>
      <c r="G80" t="n">
        <v>9</v>
      </c>
      <c r="H80" t="n">
        <v>8538.67</v>
      </c>
      <c r="I80" t="n">
        <v>0</v>
      </c>
      <c r="J80" t="n">
        <v>0</v>
      </c>
      <c r="K80" t="n">
        <v>0</v>
      </c>
      <c r="L80" t="n">
        <v>0</v>
      </c>
      <c r="M80" t="n">
        <v>8538.67</v>
      </c>
      <c r="N80" t="n">
        <v>26</v>
      </c>
    </row>
    <row r="81">
      <c r="A81" t="n">
        <v>2026</v>
      </c>
      <c r="B81" t="n">
        <v>1</v>
      </c>
      <c r="C81" t="inlineStr">
        <is>
          <t>213101</t>
        </is>
      </c>
      <c r="D81" t="inlineStr">
        <is>
          <t>Zinsen Factoring</t>
        </is>
      </c>
      <c r="E81" t="inlineStr">
        <is>
          <t>ZINSEN</t>
        </is>
      </c>
      <c r="F81" t="inlineStr">
        <is>
          <t>Zinsergebnis</t>
        </is>
      </c>
      <c r="G81" t="n">
        <v>9</v>
      </c>
      <c r="H81" t="n">
        <v>4261.58</v>
      </c>
      <c r="I81" t="n">
        <v>0</v>
      </c>
      <c r="J81" t="n">
        <v>0</v>
      </c>
      <c r="K81" t="n">
        <v>0</v>
      </c>
      <c r="L81" t="n">
        <v>0</v>
      </c>
      <c r="M81" t="n">
        <v>4261.58</v>
      </c>
      <c r="N81" t="n">
        <v>1</v>
      </c>
    </row>
    <row r="82">
      <c r="A82" t="n">
        <v>2026</v>
      </c>
      <c r="B82" t="n">
        <v>1</v>
      </c>
      <c r="C82" t="inlineStr">
        <is>
          <t>251000</t>
        </is>
      </c>
      <c r="D82" t="inlineStr">
        <is>
          <t>Sonstige periodenfremde Erträge</t>
        </is>
      </c>
      <c r="E82" t="inlineStr">
        <is>
          <t>NEUTRALER_ERTRAG</t>
        </is>
      </c>
      <c r="F82" t="inlineStr">
        <is>
          <t>Sonstiges</t>
        </is>
      </c>
      <c r="G82" t="n">
        <v>9</v>
      </c>
      <c r="H82" t="n">
        <v>-3828.47</v>
      </c>
      <c r="I82" t="n">
        <v>0</v>
      </c>
      <c r="J82" t="n">
        <v>0</v>
      </c>
      <c r="K82" t="n">
        <v>0</v>
      </c>
      <c r="L82" t="n">
        <v>0</v>
      </c>
      <c r="M82" t="n">
        <v>-3828.47</v>
      </c>
      <c r="N82" t="n">
        <v>4</v>
      </c>
    </row>
    <row r="83">
      <c r="A83" t="n">
        <v>2026</v>
      </c>
      <c r="B83" t="n">
        <v>1</v>
      </c>
      <c r="C83" t="inlineStr">
        <is>
          <t>265900</t>
        </is>
      </c>
      <c r="D83" t="inlineStr">
        <is>
          <t>Sonstige Zinsen und ähnl. Erträge verb.U</t>
        </is>
      </c>
      <c r="E83" t="inlineStr">
        <is>
          <t>NEUTRALER_ERTRAG</t>
        </is>
      </c>
      <c r="F83" t="inlineStr">
        <is>
          <t>Zinsergebnis</t>
        </is>
      </c>
      <c r="G83" t="n">
        <v>9</v>
      </c>
      <c r="H83" t="n">
        <v>-30.98</v>
      </c>
      <c r="I83" t="n">
        <v>0</v>
      </c>
      <c r="J83" t="n">
        <v>0</v>
      </c>
      <c r="K83" t="n">
        <v>0</v>
      </c>
      <c r="L83" t="n">
        <v>0</v>
      </c>
      <c r="M83" t="n">
        <v>-30.98</v>
      </c>
      <c r="N83" t="n">
        <v>1</v>
      </c>
    </row>
    <row r="84">
      <c r="A84" t="n">
        <v>2026</v>
      </c>
      <c r="B84" t="n">
        <v>1</v>
      </c>
      <c r="C84" t="inlineStr">
        <is>
          <t>289200</t>
        </is>
      </c>
      <c r="D84" t="inlineStr">
        <is>
          <t>Verr. kalk. Zinsen</t>
        </is>
      </c>
      <c r="E84" t="inlineStr">
        <is>
          <t>KALKULATORISCH</t>
        </is>
      </c>
      <c r="F84" t="inlineStr">
        <is>
          <t>Kalkulatorische Kosten</t>
        </is>
      </c>
      <c r="G84" t="n">
        <v>9</v>
      </c>
      <c r="H84" t="n">
        <v>-607</v>
      </c>
      <c r="I84" t="n">
        <v>0</v>
      </c>
      <c r="J84" t="n">
        <v>0</v>
      </c>
      <c r="K84" t="n">
        <v>0</v>
      </c>
      <c r="L84" t="n">
        <v>0</v>
      </c>
      <c r="M84" t="n">
        <v>-607</v>
      </c>
      <c r="N84" t="n">
        <v>21</v>
      </c>
    </row>
    <row r="85">
      <c r="A85" t="n">
        <v>2026</v>
      </c>
      <c r="B85" t="n">
        <v>1</v>
      </c>
      <c r="C85" t="inlineStr">
        <is>
          <t>289300</t>
        </is>
      </c>
      <c r="D85" t="inlineStr">
        <is>
          <t>Verr. kalk. Abschreibungen</t>
        </is>
      </c>
      <c r="E85" t="inlineStr">
        <is>
          <t>KALKULATORISCH</t>
        </is>
      </c>
      <c r="F85" t="inlineStr">
        <is>
          <t>Kalkulatorische Kosten</t>
        </is>
      </c>
      <c r="G85" t="n">
        <v>9</v>
      </c>
      <c r="H85" t="n">
        <v>-3320</v>
      </c>
      <c r="I85" t="n">
        <v>0</v>
      </c>
      <c r="J85" t="n">
        <v>0</v>
      </c>
      <c r="K85" t="n">
        <v>0</v>
      </c>
      <c r="L85" t="n">
        <v>0</v>
      </c>
      <c r="M85" t="n">
        <v>-3320</v>
      </c>
      <c r="N85" t="n">
        <v>24</v>
      </c>
    </row>
    <row r="86">
      <c r="A86" t="n">
        <v>2026</v>
      </c>
      <c r="B86" t="n">
        <v>1</v>
      </c>
      <c r="C86" t="inlineStr">
        <is>
          <t>310040</t>
        </is>
      </c>
      <c r="D86" t="inlineStr">
        <is>
          <t>Gas (vornehmlich industr. Anlagen)</t>
        </is>
      </c>
      <c r="E86" t="inlineStr">
        <is>
          <t>MATERIAL</t>
        </is>
      </c>
      <c r="F86" t="inlineStr">
        <is>
          <t>Material und Fremdleistungen</t>
        </is>
      </c>
      <c r="G86" t="n">
        <v>1</v>
      </c>
      <c r="H86" t="n">
        <v>3091.07</v>
      </c>
      <c r="I86" t="n">
        <v>0</v>
      </c>
      <c r="J86" t="n">
        <v>3091.07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2026</v>
      </c>
      <c r="B87" t="n">
        <v>1</v>
      </c>
      <c r="C87" t="inlineStr">
        <is>
          <t>310080</t>
        </is>
      </c>
      <c r="D87" t="inlineStr">
        <is>
          <t>Technische Gase</t>
        </is>
      </c>
      <c r="E87" t="inlineStr">
        <is>
          <t>MATERIAL</t>
        </is>
      </c>
      <c r="F87" t="inlineStr">
        <is>
          <t>Material und Fremdleistungen</t>
        </is>
      </c>
      <c r="G87" t="n">
        <v>1</v>
      </c>
      <c r="H87" t="n">
        <v>56.73</v>
      </c>
      <c r="I87" t="n">
        <v>0</v>
      </c>
      <c r="J87" t="n">
        <v>56.73</v>
      </c>
      <c r="K87" t="n">
        <v>0</v>
      </c>
      <c r="L87" t="n">
        <v>0</v>
      </c>
      <c r="M87" t="n">
        <v>0</v>
      </c>
      <c r="N87" t="n">
        <v>1</v>
      </c>
    </row>
    <row r="88">
      <c r="A88" t="n">
        <v>2026</v>
      </c>
      <c r="B88" t="n">
        <v>1</v>
      </c>
      <c r="C88" t="inlineStr">
        <is>
          <t>330900</t>
        </is>
      </c>
      <c r="D88" t="inlineStr">
        <is>
          <t>Erhaltene Skonti</t>
        </is>
      </c>
      <c r="E88" t="inlineStr">
        <is>
          <t>MATERIAL</t>
        </is>
      </c>
      <c r="F88" t="inlineStr">
        <is>
          <t>Material und Fremdleistungen</t>
        </is>
      </c>
      <c r="G88" t="n">
        <v>1</v>
      </c>
      <c r="H88" t="n">
        <v>-11427.57</v>
      </c>
      <c r="I88" t="n">
        <v>0</v>
      </c>
      <c r="J88" t="n">
        <v>-11427.57</v>
      </c>
      <c r="K88" t="n">
        <v>0</v>
      </c>
      <c r="L88" t="n">
        <v>0</v>
      </c>
      <c r="M88" t="n">
        <v>0</v>
      </c>
      <c r="N88" t="n">
        <v>34</v>
      </c>
    </row>
    <row r="89">
      <c r="A89" t="n">
        <v>2026</v>
      </c>
      <c r="B89" t="n">
        <v>1</v>
      </c>
      <c r="C89" t="inlineStr">
        <is>
          <t>340030</t>
        </is>
      </c>
      <c r="D89" t="inlineStr">
        <is>
          <t>Fremdleistungen Personal</t>
        </is>
      </c>
      <c r="E89" t="inlineStr">
        <is>
          <t>FREMDLEISTUNG</t>
        </is>
      </c>
      <c r="F89" t="inlineStr">
        <is>
          <t>Material und Fremdleistungen</t>
        </is>
      </c>
      <c r="G89" t="n">
        <v>1</v>
      </c>
      <c r="H89" t="n">
        <v>2412.23</v>
      </c>
      <c r="I89" t="n">
        <v>0</v>
      </c>
      <c r="J89" t="n">
        <v>2412.23</v>
      </c>
      <c r="K89" t="n">
        <v>0</v>
      </c>
      <c r="L89" t="n">
        <v>0</v>
      </c>
      <c r="M89" t="n">
        <v>0</v>
      </c>
      <c r="N89" t="n">
        <v>5</v>
      </c>
    </row>
    <row r="90">
      <c r="A90" t="n">
        <v>2026</v>
      </c>
      <c r="B90" t="n">
        <v>1</v>
      </c>
      <c r="C90" t="inlineStr">
        <is>
          <t>340050</t>
        </is>
      </c>
      <c r="D90" t="inlineStr">
        <is>
          <t>Fremdleistungen Wartung/Pflege</t>
        </is>
      </c>
      <c r="E90" t="inlineStr">
        <is>
          <t>FREMDLEISTUNG</t>
        </is>
      </c>
      <c r="F90" t="inlineStr">
        <is>
          <t>Material und Fremdleistungen</t>
        </is>
      </c>
      <c r="G90" t="n">
        <v>1</v>
      </c>
      <c r="H90" t="n">
        <v>1082725.56</v>
      </c>
      <c r="I90" t="n">
        <v>0</v>
      </c>
      <c r="J90" t="n">
        <v>1082725.56</v>
      </c>
      <c r="K90" t="n">
        <v>0</v>
      </c>
      <c r="L90" t="n">
        <v>0</v>
      </c>
      <c r="M90" t="n">
        <v>0</v>
      </c>
      <c r="N90" t="n">
        <v>170</v>
      </c>
    </row>
    <row r="91">
      <c r="A91" t="n">
        <v>2026</v>
      </c>
      <c r="B91" t="n">
        <v>1</v>
      </c>
      <c r="C91" t="inlineStr">
        <is>
          <t>340600</t>
        </is>
      </c>
      <c r="D91" t="inlineStr">
        <is>
          <t>Bezogene Leistung periodenfremd</t>
        </is>
      </c>
      <c r="E91" t="inlineStr">
        <is>
          <t>FREMDLEISTUNG</t>
        </is>
      </c>
      <c r="F91" t="inlineStr">
        <is>
          <t>Material und Fremdleistungen</t>
        </is>
      </c>
      <c r="G91" t="n">
        <v>1</v>
      </c>
      <c r="H91" t="n">
        <v>3206.3</v>
      </c>
      <c r="I91" t="n">
        <v>0</v>
      </c>
      <c r="J91" t="n">
        <v>3206.3</v>
      </c>
      <c r="K91" t="n">
        <v>0</v>
      </c>
      <c r="L91" t="n">
        <v>0</v>
      </c>
      <c r="M91" t="n">
        <v>0</v>
      </c>
      <c r="N91" t="n">
        <v>9</v>
      </c>
    </row>
    <row r="92">
      <c r="A92" t="n">
        <v>2026</v>
      </c>
      <c r="B92" t="n">
        <v>1</v>
      </c>
      <c r="C92" t="inlineStr">
        <is>
          <t>392000</t>
        </is>
      </c>
      <c r="D92" t="inlineStr">
        <is>
          <t>Bestandsveränderungen unfertige Erzeugni</t>
        </is>
      </c>
      <c r="E92" t="inlineStr">
        <is>
          <t>BESTANDSVERAENDERUNG</t>
        </is>
      </c>
      <c r="F92" t="inlineStr">
        <is>
          <t>Bestandsveränderung</t>
        </is>
      </c>
      <c r="G92" t="n">
        <v>0</v>
      </c>
      <c r="H92" t="n">
        <v>-1280847.26</v>
      </c>
      <c r="I92" t="n">
        <v>1280847.26</v>
      </c>
      <c r="J92" t="n">
        <v>0</v>
      </c>
      <c r="K92" t="n">
        <v>0</v>
      </c>
      <c r="L92" t="n">
        <v>0</v>
      </c>
      <c r="M92" t="n">
        <v>0</v>
      </c>
      <c r="N92" t="n">
        <v>22</v>
      </c>
    </row>
    <row r="93">
      <c r="A93" t="n">
        <v>2026</v>
      </c>
      <c r="B93" t="n">
        <v>1</v>
      </c>
      <c r="C93" t="inlineStr">
        <is>
          <t>400030</t>
        </is>
      </c>
      <c r="D93" t="inlineStr">
        <is>
          <t>Instandhaltung selbstfahrende Arbeitsmas</t>
        </is>
      </c>
      <c r="E93" t="inlineStr">
        <is>
          <t>FUHRPARK</t>
        </is>
      </c>
      <c r="F93" t="inlineStr">
        <is>
          <t>Fuhrpark</t>
        </is>
      </c>
      <c r="G93" t="n">
        <v>2</v>
      </c>
      <c r="H93" t="n">
        <v>46967.97</v>
      </c>
      <c r="I93" t="n">
        <v>0</v>
      </c>
      <c r="J93" t="n">
        <v>0</v>
      </c>
      <c r="K93" t="n">
        <v>46967.97</v>
      </c>
      <c r="L93" t="n">
        <v>0</v>
      </c>
      <c r="M93" t="n">
        <v>0</v>
      </c>
      <c r="N93" t="n">
        <v>1</v>
      </c>
    </row>
    <row r="94">
      <c r="A94" t="n">
        <v>2026</v>
      </c>
      <c r="B94" t="n">
        <v>1</v>
      </c>
      <c r="C94" t="inlineStr">
        <is>
          <t>400035</t>
        </is>
      </c>
      <c r="D94" t="inlineStr">
        <is>
          <t>Instandhaltung Miet-und Leasingfahrzeuge</t>
        </is>
      </c>
      <c r="E94" t="inlineStr">
        <is>
          <t>FUHRPARK</t>
        </is>
      </c>
      <c r="F94" t="inlineStr">
        <is>
          <t>Fuhrpark</t>
        </is>
      </c>
      <c r="G94" t="n">
        <v>2</v>
      </c>
      <c r="H94" t="n">
        <v>2306.69</v>
      </c>
      <c r="I94" t="n">
        <v>0</v>
      </c>
      <c r="J94" t="n">
        <v>0</v>
      </c>
      <c r="K94" t="n">
        <v>2306.69</v>
      </c>
      <c r="L94" t="n">
        <v>0</v>
      </c>
      <c r="M94" t="n">
        <v>0</v>
      </c>
      <c r="N94" t="n">
        <v>15</v>
      </c>
    </row>
    <row r="95">
      <c r="A95" t="n">
        <v>2026</v>
      </c>
      <c r="B95" t="n">
        <v>1</v>
      </c>
      <c r="C95" t="inlineStr">
        <is>
          <t>400121</t>
        </is>
      </c>
      <c r="D95" t="inlineStr">
        <is>
          <t>Anmietung PKW</t>
        </is>
      </c>
      <c r="E95" t="inlineStr">
        <is>
          <t>FUHRPARK</t>
        </is>
      </c>
      <c r="F95" t="inlineStr">
        <is>
          <t>Fuhrpark</t>
        </is>
      </c>
      <c r="G95" t="n">
        <v>2</v>
      </c>
      <c r="H95" t="n">
        <v>1426.82</v>
      </c>
      <c r="I95" t="n">
        <v>0</v>
      </c>
      <c r="J95" t="n">
        <v>0</v>
      </c>
      <c r="K95" t="n">
        <v>1426.82</v>
      </c>
      <c r="L95" t="n">
        <v>0</v>
      </c>
      <c r="M95" t="n">
        <v>0</v>
      </c>
      <c r="N95" t="n">
        <v>2</v>
      </c>
    </row>
    <row r="96">
      <c r="A96" t="n">
        <v>2026</v>
      </c>
      <c r="B96" t="n">
        <v>1</v>
      </c>
      <c r="C96" t="inlineStr">
        <is>
          <t>400122</t>
        </is>
      </c>
      <c r="D96" t="inlineStr">
        <is>
          <t>Leasing PKW</t>
        </is>
      </c>
      <c r="E96" t="inlineStr">
        <is>
          <t>FUHRPARK</t>
        </is>
      </c>
      <c r="F96" t="inlineStr">
        <is>
          <t>Fuhrpark</t>
        </is>
      </c>
      <c r="G96" t="n">
        <v>2</v>
      </c>
      <c r="H96" t="n">
        <v>7702.95</v>
      </c>
      <c r="I96" t="n">
        <v>0</v>
      </c>
      <c r="J96" t="n">
        <v>0</v>
      </c>
      <c r="K96" t="n">
        <v>7702.95</v>
      </c>
      <c r="L96" t="n">
        <v>0</v>
      </c>
      <c r="M96" t="n">
        <v>0</v>
      </c>
      <c r="N96" t="n">
        <v>16</v>
      </c>
    </row>
    <row r="97">
      <c r="A97" t="n">
        <v>2026</v>
      </c>
      <c r="B97" t="n">
        <v>1</v>
      </c>
      <c r="C97" t="inlineStr">
        <is>
          <t>401000</t>
        </is>
      </c>
      <c r="D97" t="inlineStr">
        <is>
          <t>Aufwand Diesel</t>
        </is>
      </c>
      <c r="E97" t="inlineStr">
        <is>
          <t>FUHRPARK</t>
        </is>
      </c>
      <c r="F97" t="inlineStr">
        <is>
          <t>Fuhrpark</t>
        </is>
      </c>
      <c r="G97" t="n">
        <v>1</v>
      </c>
      <c r="H97" t="n">
        <v>17066.75</v>
      </c>
      <c r="I97" t="n">
        <v>0</v>
      </c>
      <c r="J97" t="n">
        <v>17066.75</v>
      </c>
      <c r="K97" t="n">
        <v>0</v>
      </c>
      <c r="L97" t="n">
        <v>0</v>
      </c>
      <c r="M97" t="n">
        <v>0</v>
      </c>
      <c r="N97" t="n">
        <v>19</v>
      </c>
    </row>
    <row r="98">
      <c r="A98" t="n">
        <v>2026</v>
      </c>
      <c r="B98" t="n">
        <v>1</v>
      </c>
      <c r="C98" t="inlineStr">
        <is>
          <t>401030</t>
        </is>
      </c>
      <c r="D98" t="inlineStr">
        <is>
          <t>Kfz-Steuern</t>
        </is>
      </c>
      <c r="E98" t="inlineStr">
        <is>
          <t>STEUERN</t>
        </is>
      </c>
      <c r="F98" t="inlineStr">
        <is>
          <t>Versicherungen, Mieten, Steuern</t>
        </is>
      </c>
      <c r="G98" t="n">
        <v>9</v>
      </c>
      <c r="H98" t="n">
        <v>980.6799999999999</v>
      </c>
      <c r="I98" t="n">
        <v>0</v>
      </c>
      <c r="J98" t="n">
        <v>0</v>
      </c>
      <c r="K98" t="n">
        <v>0</v>
      </c>
      <c r="L98" t="n">
        <v>0</v>
      </c>
      <c r="M98" t="n">
        <v>980.6799999999999</v>
      </c>
      <c r="N98" t="n">
        <v>23</v>
      </c>
    </row>
    <row r="99">
      <c r="A99" t="n">
        <v>2026</v>
      </c>
      <c r="B99" t="n">
        <v>1</v>
      </c>
      <c r="C99" t="inlineStr">
        <is>
          <t>401050</t>
        </is>
      </c>
      <c r="D99" t="inlineStr">
        <is>
          <t>Autobahngebühren LKW</t>
        </is>
      </c>
      <c r="E99" t="inlineStr">
        <is>
          <t>FUHRPARK</t>
        </is>
      </c>
      <c r="F99" t="inlineStr">
        <is>
          <t>Fuhrpark</t>
        </is>
      </c>
      <c r="G99" t="n">
        <v>2</v>
      </c>
      <c r="H99" t="n">
        <v>361.63</v>
      </c>
      <c r="I99" t="n">
        <v>0</v>
      </c>
      <c r="J99" t="n">
        <v>0</v>
      </c>
      <c r="K99" t="n">
        <v>361.63</v>
      </c>
      <c r="L99" t="n">
        <v>0</v>
      </c>
      <c r="M99" t="n">
        <v>0</v>
      </c>
      <c r="N99" t="n">
        <v>5</v>
      </c>
    </row>
    <row r="100">
      <c r="A100" t="n">
        <v>2026</v>
      </c>
      <c r="B100" t="n">
        <v>1</v>
      </c>
      <c r="C100" t="inlineStr">
        <is>
          <t>410130</t>
        </is>
      </c>
      <c r="D100" t="inlineStr">
        <is>
          <t>Sonderzahlungen und Prämien Gehaltsempfä</t>
        </is>
      </c>
      <c r="E100" t="inlineStr">
        <is>
          <t>PERSONAL</t>
        </is>
      </c>
      <c r="F100" t="inlineStr">
        <is>
          <t>Personal</t>
        </is>
      </c>
      <c r="G100" t="n">
        <v>2</v>
      </c>
      <c r="H100" t="n">
        <v>7858</v>
      </c>
      <c r="I100" t="n">
        <v>0</v>
      </c>
      <c r="J100" t="n">
        <v>0</v>
      </c>
      <c r="K100" t="n">
        <v>7858</v>
      </c>
      <c r="L100" t="n">
        <v>0</v>
      </c>
      <c r="M100" t="n">
        <v>0</v>
      </c>
      <c r="N100" t="n">
        <v>4</v>
      </c>
    </row>
    <row r="101">
      <c r="A101" t="n">
        <v>2026</v>
      </c>
      <c r="B101" t="n">
        <v>1</v>
      </c>
      <c r="C101" t="inlineStr">
        <is>
          <t>411070</t>
        </is>
      </c>
      <c r="D101" t="inlineStr">
        <is>
          <t>Personalwerbung</t>
        </is>
      </c>
      <c r="E101" t="inlineStr">
        <is>
          <t>PERSONAL</t>
        </is>
      </c>
      <c r="F101" t="inlineStr">
        <is>
          <t>Personal</t>
        </is>
      </c>
      <c r="G101" t="n">
        <v>2</v>
      </c>
      <c r="H101" t="n">
        <v>1350</v>
      </c>
      <c r="I101" t="n">
        <v>0</v>
      </c>
      <c r="J101" t="n">
        <v>0</v>
      </c>
      <c r="K101" t="n">
        <v>1350</v>
      </c>
      <c r="L101" t="n">
        <v>0</v>
      </c>
      <c r="M101" t="n">
        <v>0</v>
      </c>
      <c r="N101" t="n">
        <v>2</v>
      </c>
    </row>
    <row r="102">
      <c r="A102" t="n">
        <v>2026</v>
      </c>
      <c r="B102" t="n">
        <v>1</v>
      </c>
      <c r="C102" t="inlineStr">
        <is>
          <t>411090</t>
        </is>
      </c>
      <c r="D102" t="inlineStr">
        <is>
          <t>Schulung und Ausbildung</t>
        </is>
      </c>
      <c r="E102" t="inlineStr">
        <is>
          <t>PERSONAL</t>
        </is>
      </c>
      <c r="F102" t="inlineStr">
        <is>
          <t>Personal</t>
        </is>
      </c>
      <c r="G102" t="n">
        <v>2</v>
      </c>
      <c r="H102" t="n">
        <v>243</v>
      </c>
      <c r="I102" t="n">
        <v>0</v>
      </c>
      <c r="J102" t="n">
        <v>0</v>
      </c>
      <c r="K102" t="n">
        <v>243</v>
      </c>
      <c r="L102" t="n">
        <v>0</v>
      </c>
      <c r="M102" t="n">
        <v>0</v>
      </c>
      <c r="N102" t="n">
        <v>1</v>
      </c>
    </row>
    <row r="103">
      <c r="A103" t="n">
        <v>2026</v>
      </c>
      <c r="B103" t="n">
        <v>1</v>
      </c>
      <c r="C103" t="inlineStr">
        <is>
          <t>411100</t>
        </is>
      </c>
      <c r="D103" t="inlineStr">
        <is>
          <t>Arbeitskleidung und Arbeitschutzbedarf</t>
        </is>
      </c>
      <c r="E103" t="inlineStr">
        <is>
          <t>PERSONAL</t>
        </is>
      </c>
      <c r="F103" t="inlineStr">
        <is>
          <t>Personal</t>
        </is>
      </c>
      <c r="G103" t="n">
        <v>2</v>
      </c>
      <c r="H103" t="n">
        <v>4776.24</v>
      </c>
      <c r="I103" t="n">
        <v>0</v>
      </c>
      <c r="J103" t="n">
        <v>0</v>
      </c>
      <c r="K103" t="n">
        <v>4776.24</v>
      </c>
      <c r="L103" t="n">
        <v>0</v>
      </c>
      <c r="M103" t="n">
        <v>0</v>
      </c>
      <c r="N103" t="n">
        <v>11</v>
      </c>
    </row>
    <row r="104">
      <c r="A104" t="n">
        <v>2026</v>
      </c>
      <c r="B104" t="n">
        <v>1</v>
      </c>
      <c r="C104" t="inlineStr">
        <is>
          <t>411900</t>
        </is>
      </c>
      <c r="D104" t="inlineStr">
        <is>
          <t>Sonstige Personalkosten</t>
        </is>
      </c>
      <c r="E104" t="inlineStr">
        <is>
          <t>PERSONAL</t>
        </is>
      </c>
      <c r="F104" t="inlineStr">
        <is>
          <t>Personal</t>
        </is>
      </c>
      <c r="G104" t="n">
        <v>2</v>
      </c>
      <c r="H104" t="n">
        <v>352.36</v>
      </c>
      <c r="I104" t="n">
        <v>0</v>
      </c>
      <c r="J104" t="n">
        <v>0</v>
      </c>
      <c r="K104" t="n">
        <v>352.36</v>
      </c>
      <c r="L104" t="n">
        <v>0</v>
      </c>
      <c r="M104" t="n">
        <v>0</v>
      </c>
      <c r="N104" t="n">
        <v>5</v>
      </c>
    </row>
    <row r="105">
      <c r="A105" t="n">
        <v>2026</v>
      </c>
      <c r="B105" t="n">
        <v>1</v>
      </c>
      <c r="C105" t="inlineStr">
        <is>
          <t>420012</t>
        </is>
      </c>
      <c r="D105" t="inlineStr">
        <is>
          <t>Sonstige Kosten Grundstücke und Gebäude</t>
        </is>
      </c>
      <c r="E105" t="inlineStr">
        <is>
          <t>RAUM_ANLAGEN</t>
        </is>
      </c>
      <c r="F105" t="inlineStr">
        <is>
          <t>Raum, Energie, Instandhaltung</t>
        </is>
      </c>
      <c r="G105" t="n">
        <v>2</v>
      </c>
      <c r="H105" t="n">
        <v>1161.31</v>
      </c>
      <c r="I105" t="n">
        <v>0</v>
      </c>
      <c r="J105" t="n">
        <v>0</v>
      </c>
      <c r="K105" t="n">
        <v>1161.31</v>
      </c>
      <c r="L105" t="n">
        <v>0</v>
      </c>
      <c r="M105" t="n">
        <v>0</v>
      </c>
      <c r="N105" t="n">
        <v>4</v>
      </c>
    </row>
    <row r="106">
      <c r="A106" t="n">
        <v>2026</v>
      </c>
      <c r="B106" t="n">
        <v>1</v>
      </c>
      <c r="C106" t="inlineStr">
        <is>
          <t>420022</t>
        </is>
      </c>
      <c r="D106" t="inlineStr">
        <is>
          <t>Raumpflege fremde Gebäude</t>
        </is>
      </c>
      <c r="E106" t="inlineStr">
        <is>
          <t>RAUM_ANLAGEN</t>
        </is>
      </c>
      <c r="F106" t="inlineStr">
        <is>
          <t>Raum, Energie, Instandhaltung</t>
        </is>
      </c>
      <c r="G106" t="n">
        <v>2</v>
      </c>
      <c r="H106" t="n">
        <v>760.48</v>
      </c>
      <c r="I106" t="n">
        <v>0</v>
      </c>
      <c r="J106" t="n">
        <v>0</v>
      </c>
      <c r="K106" t="n">
        <v>760.48</v>
      </c>
      <c r="L106" t="n">
        <v>0</v>
      </c>
      <c r="M106" t="n">
        <v>0</v>
      </c>
      <c r="N106" t="n">
        <v>5</v>
      </c>
    </row>
    <row r="107">
      <c r="A107" t="n">
        <v>2026</v>
      </c>
      <c r="B107" t="n">
        <v>1</v>
      </c>
      <c r="C107" t="inlineStr">
        <is>
          <t>420030</t>
        </is>
      </c>
      <c r="D107" t="inlineStr">
        <is>
          <t>Aufwand Energie</t>
        </is>
      </c>
      <c r="E107" t="inlineStr">
        <is>
          <t>RAUM_ANLAGEN</t>
        </is>
      </c>
      <c r="F107" t="inlineStr">
        <is>
          <t>Raum, Energie, Instandhaltung</t>
        </is>
      </c>
      <c r="G107" t="n">
        <v>2</v>
      </c>
      <c r="H107" t="n">
        <v>142.26</v>
      </c>
      <c r="I107" t="n">
        <v>0</v>
      </c>
      <c r="J107" t="n">
        <v>0</v>
      </c>
      <c r="K107" t="n">
        <v>142.26</v>
      </c>
      <c r="L107" t="n">
        <v>0</v>
      </c>
      <c r="M107" t="n">
        <v>0</v>
      </c>
      <c r="N107" t="n">
        <v>2</v>
      </c>
    </row>
    <row r="108">
      <c r="A108" t="n">
        <v>2026</v>
      </c>
      <c r="B108" t="n">
        <v>1</v>
      </c>
      <c r="C108" t="inlineStr">
        <is>
          <t>420100</t>
        </is>
      </c>
      <c r="D108" t="inlineStr">
        <is>
          <t>Instandhaltung Betriebsausstattung</t>
        </is>
      </c>
      <c r="E108" t="inlineStr">
        <is>
          <t>RAUM_ANLAGEN</t>
        </is>
      </c>
      <c r="F108" t="inlineStr">
        <is>
          <t>Raum, Energie, Instandhaltung</t>
        </is>
      </c>
      <c r="G108" t="n">
        <v>2</v>
      </c>
      <c r="H108" t="n">
        <v>89.58</v>
      </c>
      <c r="I108" t="n">
        <v>0</v>
      </c>
      <c r="J108" t="n">
        <v>0</v>
      </c>
      <c r="K108" t="n">
        <v>89.58</v>
      </c>
      <c r="L108" t="n">
        <v>0</v>
      </c>
      <c r="M108" t="n">
        <v>0</v>
      </c>
      <c r="N108" t="n">
        <v>3</v>
      </c>
    </row>
    <row r="109">
      <c r="A109" t="n">
        <v>2026</v>
      </c>
      <c r="B109" t="n">
        <v>1</v>
      </c>
      <c r="C109" t="inlineStr">
        <is>
          <t>420400</t>
        </is>
      </c>
      <c r="D109" t="inlineStr">
        <is>
          <t>Instandhaltung Geschäftsausstattung</t>
        </is>
      </c>
      <c r="E109" t="inlineStr">
        <is>
          <t>RAUM_ANLAGEN</t>
        </is>
      </c>
      <c r="F109" t="inlineStr">
        <is>
          <t>Raum, Energie, Instandhaltung</t>
        </is>
      </c>
      <c r="G109" t="n">
        <v>2</v>
      </c>
      <c r="H109" t="n">
        <v>847.78</v>
      </c>
      <c r="I109" t="n">
        <v>0</v>
      </c>
      <c r="J109" t="n">
        <v>0</v>
      </c>
      <c r="K109" t="n">
        <v>847.78</v>
      </c>
      <c r="L109" t="n">
        <v>0</v>
      </c>
      <c r="M109" t="n">
        <v>0</v>
      </c>
      <c r="N109" t="n">
        <v>16</v>
      </c>
    </row>
    <row r="110">
      <c r="A110" t="n">
        <v>2026</v>
      </c>
      <c r="B110" t="n">
        <v>1</v>
      </c>
      <c r="C110" t="inlineStr">
        <is>
          <t>420600</t>
        </is>
      </c>
      <c r="D110" t="inlineStr">
        <is>
          <t>Werkstattbedarf (Kleinwerkzeuge b.100,-D</t>
        </is>
      </c>
      <c r="E110" t="inlineStr">
        <is>
          <t>RAUM_ANLAGEN</t>
        </is>
      </c>
      <c r="F110" t="inlineStr">
        <is>
          <t>Raum, Energie, Instandhaltung</t>
        </is>
      </c>
      <c r="G110" t="n">
        <v>2</v>
      </c>
      <c r="H110" t="n">
        <v>119.54</v>
      </c>
      <c r="I110" t="n">
        <v>0</v>
      </c>
      <c r="J110" t="n">
        <v>0</v>
      </c>
      <c r="K110" t="n">
        <v>119.54</v>
      </c>
      <c r="L110" t="n">
        <v>0</v>
      </c>
      <c r="M110" t="n">
        <v>0</v>
      </c>
      <c r="N110" t="n">
        <v>2</v>
      </c>
    </row>
    <row r="111">
      <c r="A111" t="n">
        <v>2026</v>
      </c>
      <c r="B111" t="n">
        <v>1</v>
      </c>
      <c r="C111" t="inlineStr">
        <is>
          <t>430120</t>
        </is>
      </c>
      <c r="D111" t="inlineStr">
        <is>
          <t>Sonstige Versicherungen</t>
        </is>
      </c>
      <c r="E111" t="inlineStr">
        <is>
          <t>VERSICHERUNG_MIETE</t>
        </is>
      </c>
      <c r="F111" t="inlineStr">
        <is>
          <t>Versicherungen, Mieten, Steuern</t>
        </is>
      </c>
      <c r="G111" t="n">
        <v>2</v>
      </c>
      <c r="H111" t="n">
        <v>11775.89</v>
      </c>
      <c r="I111" t="n">
        <v>0</v>
      </c>
      <c r="J111" t="n">
        <v>0</v>
      </c>
      <c r="K111" t="n">
        <v>11775.89</v>
      </c>
      <c r="L111" t="n">
        <v>0</v>
      </c>
      <c r="M111" t="n">
        <v>0</v>
      </c>
      <c r="N111" t="n">
        <v>5</v>
      </c>
    </row>
    <row r="112">
      <c r="A112" t="n">
        <v>2026</v>
      </c>
      <c r="B112" t="n">
        <v>1</v>
      </c>
      <c r="C112" t="inlineStr">
        <is>
          <t>431010</t>
        </is>
      </c>
      <c r="D112" t="inlineStr">
        <is>
          <t>Mieten Räume</t>
        </is>
      </c>
      <c r="E112" t="inlineStr">
        <is>
          <t>VERSICHERUNG_MIETE</t>
        </is>
      </c>
      <c r="F112" t="inlineStr">
        <is>
          <t>Versicherungen, Mieten, Steuern</t>
        </is>
      </c>
      <c r="G112" t="n">
        <v>2</v>
      </c>
      <c r="H112" t="n">
        <v>9301.450000000001</v>
      </c>
      <c r="I112" t="n">
        <v>0</v>
      </c>
      <c r="J112" t="n">
        <v>0</v>
      </c>
      <c r="K112" t="n">
        <v>9301.450000000001</v>
      </c>
      <c r="L112" t="n">
        <v>0</v>
      </c>
      <c r="M112" t="n">
        <v>0</v>
      </c>
      <c r="N112" t="n">
        <v>7</v>
      </c>
    </row>
    <row r="113">
      <c r="A113" t="n">
        <v>2026</v>
      </c>
      <c r="B113" t="n">
        <v>1</v>
      </c>
      <c r="C113" t="inlineStr">
        <is>
          <t>431020</t>
        </is>
      </c>
      <c r="D113" t="inlineStr">
        <is>
          <t>Mieten Plätze</t>
        </is>
      </c>
      <c r="E113" t="inlineStr">
        <is>
          <t>VERSICHERUNG_MIETE</t>
        </is>
      </c>
      <c r="F113" t="inlineStr">
        <is>
          <t>Versicherungen, Mieten, Steuern</t>
        </is>
      </c>
      <c r="G113" t="n">
        <v>2</v>
      </c>
      <c r="H113" t="n">
        <v>4412.19</v>
      </c>
      <c r="I113" t="n">
        <v>0</v>
      </c>
      <c r="J113" t="n">
        <v>0</v>
      </c>
      <c r="K113" t="n">
        <v>4412.19</v>
      </c>
      <c r="L113" t="n">
        <v>0</v>
      </c>
      <c r="M113" t="n">
        <v>0</v>
      </c>
      <c r="N113" t="n">
        <v>12</v>
      </c>
    </row>
    <row r="114">
      <c r="A114" t="n">
        <v>2026</v>
      </c>
      <c r="B114" t="n">
        <v>1</v>
      </c>
      <c r="C114" t="inlineStr">
        <is>
          <t>431041</t>
        </is>
      </c>
      <c r="D114" t="inlineStr">
        <is>
          <t>Miete Behälter</t>
        </is>
      </c>
      <c r="E114" t="inlineStr">
        <is>
          <t>VERSICHERUNG_MIETE</t>
        </is>
      </c>
      <c r="F114" t="inlineStr">
        <is>
          <t>Versicherungen, Mieten, Steuern</t>
        </is>
      </c>
      <c r="G114" t="n">
        <v>2</v>
      </c>
      <c r="H114" t="n">
        <v>5.06</v>
      </c>
      <c r="I114" t="n">
        <v>0</v>
      </c>
      <c r="J114" t="n">
        <v>0</v>
      </c>
      <c r="K114" t="n">
        <v>5.06</v>
      </c>
      <c r="L114" t="n">
        <v>0</v>
      </c>
      <c r="M114" t="n">
        <v>0</v>
      </c>
      <c r="N114" t="n">
        <v>1</v>
      </c>
    </row>
    <row r="115">
      <c r="A115" t="n">
        <v>2026</v>
      </c>
      <c r="B115" t="n">
        <v>1</v>
      </c>
      <c r="C115" t="inlineStr">
        <is>
          <t>440050</t>
        </is>
      </c>
      <c r="D115" t="inlineStr">
        <is>
          <t>Transportkosten (außerhalb Recy)</t>
        </is>
      </c>
      <c r="E115" t="inlineStr">
        <is>
          <t>TRANSPORT</t>
        </is>
      </c>
      <c r="F115" t="inlineStr">
        <is>
          <t>Transport, Reise, Werbung</t>
        </is>
      </c>
      <c r="G115" t="n">
        <v>1</v>
      </c>
      <c r="H115" t="n">
        <v>100</v>
      </c>
      <c r="I115" t="n">
        <v>0</v>
      </c>
      <c r="J115" t="n">
        <v>100</v>
      </c>
      <c r="K115" t="n">
        <v>0</v>
      </c>
      <c r="L115" t="n">
        <v>0</v>
      </c>
      <c r="M115" t="n">
        <v>0</v>
      </c>
      <c r="N115" t="n">
        <v>1</v>
      </c>
    </row>
    <row r="116">
      <c r="A116" t="n">
        <v>2026</v>
      </c>
      <c r="B116" t="n">
        <v>1</v>
      </c>
      <c r="C116" t="inlineStr">
        <is>
          <t>450010</t>
        </is>
      </c>
      <c r="D116" t="inlineStr">
        <is>
          <t>Reisekosten Betriebsangehörige</t>
        </is>
      </c>
      <c r="E116" t="inlineStr">
        <is>
          <t>REISE_WERBUNG</t>
        </is>
      </c>
      <c r="F116" t="inlineStr">
        <is>
          <t>Transport, Reise, Werbung</t>
        </is>
      </c>
      <c r="G116" t="n">
        <v>2</v>
      </c>
      <c r="H116" t="n">
        <v>690.64</v>
      </c>
      <c r="I116" t="n">
        <v>0</v>
      </c>
      <c r="J116" t="n">
        <v>0</v>
      </c>
      <c r="K116" t="n">
        <v>690.64</v>
      </c>
      <c r="L116" t="n">
        <v>0</v>
      </c>
      <c r="M116" t="n">
        <v>0</v>
      </c>
      <c r="N116" t="n">
        <v>11</v>
      </c>
    </row>
    <row r="117">
      <c r="A117" t="n">
        <v>2026</v>
      </c>
      <c r="B117" t="n">
        <v>1</v>
      </c>
      <c r="C117" t="inlineStr">
        <is>
          <t>450030</t>
        </is>
      </c>
      <c r="D117" t="inlineStr">
        <is>
          <t>Bewirtung zu 100 % abzugsfähig</t>
        </is>
      </c>
      <c r="E117" t="inlineStr">
        <is>
          <t>REISE_WERBUNG</t>
        </is>
      </c>
      <c r="F117" t="inlineStr">
        <is>
          <t>Transport, Reise, Werbung</t>
        </is>
      </c>
      <c r="G117" t="n">
        <v>2</v>
      </c>
      <c r="H117" t="n">
        <v>423.86</v>
      </c>
      <c r="I117" t="n">
        <v>0</v>
      </c>
      <c r="J117" t="n">
        <v>0</v>
      </c>
      <c r="K117" t="n">
        <v>423.86</v>
      </c>
      <c r="L117" t="n">
        <v>0</v>
      </c>
      <c r="M117" t="n">
        <v>0</v>
      </c>
      <c r="N117" t="n">
        <v>5</v>
      </c>
    </row>
    <row r="118">
      <c r="A118" t="n">
        <v>2026</v>
      </c>
      <c r="B118" t="n">
        <v>1</v>
      </c>
      <c r="C118" t="inlineStr">
        <is>
          <t>450061</t>
        </is>
      </c>
      <c r="D118" t="inlineStr">
        <is>
          <t>Geschenke Zuwend. &lt; Wertgrenze Dritte/Ar</t>
        </is>
      </c>
      <c r="E118" t="inlineStr">
        <is>
          <t>REISE_WERBUNG</t>
        </is>
      </c>
      <c r="F118" t="inlineStr">
        <is>
          <t>Transport, Reise, Werbung</t>
        </is>
      </c>
      <c r="G118" t="n">
        <v>2</v>
      </c>
      <c r="H118" t="n">
        <v>29.52</v>
      </c>
      <c r="I118" t="n">
        <v>0</v>
      </c>
      <c r="J118" t="n">
        <v>0</v>
      </c>
      <c r="K118" t="n">
        <v>29.52</v>
      </c>
      <c r="L118" t="n">
        <v>0</v>
      </c>
      <c r="M118" t="n">
        <v>0</v>
      </c>
      <c r="N118" t="n">
        <v>3</v>
      </c>
    </row>
    <row r="119">
      <c r="A119" t="n">
        <v>2026</v>
      </c>
      <c r="B119" t="n">
        <v>1</v>
      </c>
      <c r="C119" t="inlineStr">
        <is>
          <t>450080</t>
        </is>
      </c>
      <c r="D119" t="inlineStr">
        <is>
          <t>Werbung</t>
        </is>
      </c>
      <c r="E119" t="inlineStr">
        <is>
          <t>REISE_WERBUNG</t>
        </is>
      </c>
      <c r="F119" t="inlineStr">
        <is>
          <t>Transport, Reise, Werbung</t>
        </is>
      </c>
      <c r="G119" t="n">
        <v>2</v>
      </c>
      <c r="H119" t="n">
        <v>937</v>
      </c>
      <c r="I119" t="n">
        <v>0</v>
      </c>
      <c r="J119" t="n">
        <v>0</v>
      </c>
      <c r="K119" t="n">
        <v>937</v>
      </c>
      <c r="L119" t="n">
        <v>0</v>
      </c>
      <c r="M119" t="n">
        <v>0</v>
      </c>
      <c r="N119" t="n">
        <v>3</v>
      </c>
    </row>
    <row r="120">
      <c r="A120" t="n">
        <v>2026</v>
      </c>
      <c r="B120" t="n">
        <v>1</v>
      </c>
      <c r="C120" t="inlineStr">
        <is>
          <t>460010</t>
        </is>
      </c>
      <c r="D120" t="inlineStr">
        <is>
          <t>Büromaterial</t>
        </is>
      </c>
      <c r="E120" t="inlineStr">
        <is>
          <t>VERWALTUNG</t>
        </is>
      </c>
      <c r="F120" t="inlineStr">
        <is>
          <t>Verwaltung und Beratung</t>
        </is>
      </c>
      <c r="G120" t="n">
        <v>2</v>
      </c>
      <c r="H120" t="n">
        <v>776.63</v>
      </c>
      <c r="I120" t="n">
        <v>0</v>
      </c>
      <c r="J120" t="n">
        <v>0</v>
      </c>
      <c r="K120" t="n">
        <v>776.63</v>
      </c>
      <c r="L120" t="n">
        <v>0</v>
      </c>
      <c r="M120" t="n">
        <v>0</v>
      </c>
      <c r="N120" t="n">
        <v>6</v>
      </c>
    </row>
    <row r="121">
      <c r="A121" t="n">
        <v>2026</v>
      </c>
      <c r="B121" t="n">
        <v>1</v>
      </c>
      <c r="C121" t="inlineStr">
        <is>
          <t>460020</t>
        </is>
      </c>
      <c r="D121" t="inlineStr">
        <is>
          <t>Zeitungen, Zeitschrift.und Bücher</t>
        </is>
      </c>
      <c r="E121" t="inlineStr">
        <is>
          <t>VERWALTUNG</t>
        </is>
      </c>
      <c r="F121" t="inlineStr">
        <is>
          <t>Verwaltung und Beratung</t>
        </is>
      </c>
      <c r="G121" t="n">
        <v>2</v>
      </c>
      <c r="H121" t="n">
        <v>793.5</v>
      </c>
      <c r="I121" t="n">
        <v>0</v>
      </c>
      <c r="J121" t="n">
        <v>0</v>
      </c>
      <c r="K121" t="n">
        <v>793.5</v>
      </c>
      <c r="L121" t="n">
        <v>0</v>
      </c>
      <c r="M121" t="n">
        <v>0</v>
      </c>
      <c r="N121" t="n">
        <v>4</v>
      </c>
    </row>
    <row r="122">
      <c r="A122" t="n">
        <v>2026</v>
      </c>
      <c r="B122" t="n">
        <v>1</v>
      </c>
      <c r="C122" t="inlineStr">
        <is>
          <t>460030</t>
        </is>
      </c>
      <c r="D122" t="inlineStr">
        <is>
          <t>Telekommunikation</t>
        </is>
      </c>
      <c r="E122" t="inlineStr">
        <is>
          <t>VERWALTUNG</t>
        </is>
      </c>
      <c r="F122" t="inlineStr">
        <is>
          <t>Verwaltung und Beratung</t>
        </is>
      </c>
      <c r="G122" t="n">
        <v>2</v>
      </c>
      <c r="H122" t="n">
        <v>655.88</v>
      </c>
      <c r="I122" t="n">
        <v>0</v>
      </c>
      <c r="J122" t="n">
        <v>0</v>
      </c>
      <c r="K122" t="n">
        <v>655.88</v>
      </c>
      <c r="L122" t="n">
        <v>0</v>
      </c>
      <c r="M122" t="n">
        <v>0</v>
      </c>
      <c r="N122" t="n">
        <v>8</v>
      </c>
    </row>
    <row r="123">
      <c r="A123" t="n">
        <v>2026</v>
      </c>
      <c r="B123" t="n">
        <v>1</v>
      </c>
      <c r="C123" t="inlineStr">
        <is>
          <t>460040</t>
        </is>
      </c>
      <c r="D123" t="inlineStr">
        <is>
          <t>Portogebühren</t>
        </is>
      </c>
      <c r="E123" t="inlineStr">
        <is>
          <t>VERWALTUNG</t>
        </is>
      </c>
      <c r="F123" t="inlineStr">
        <is>
          <t>Verwaltung und Beratung</t>
        </is>
      </c>
      <c r="G123" t="n">
        <v>2</v>
      </c>
      <c r="H123" t="n">
        <v>89.25</v>
      </c>
      <c r="I123" t="n">
        <v>0</v>
      </c>
      <c r="J123" t="n">
        <v>0</v>
      </c>
      <c r="K123" t="n">
        <v>89.25</v>
      </c>
      <c r="L123" t="n">
        <v>0</v>
      </c>
      <c r="M123" t="n">
        <v>0</v>
      </c>
      <c r="N123" t="n">
        <v>4</v>
      </c>
    </row>
    <row r="124">
      <c r="A124" t="n">
        <v>2026</v>
      </c>
      <c r="B124" t="n">
        <v>1</v>
      </c>
      <c r="C124" t="inlineStr">
        <is>
          <t>460060</t>
        </is>
      </c>
      <c r="D124" t="inlineStr">
        <is>
          <t>Kosten EDV</t>
        </is>
      </c>
      <c r="E124" t="inlineStr">
        <is>
          <t>VERWALTUNG</t>
        </is>
      </c>
      <c r="F124" t="inlineStr">
        <is>
          <t>Verwaltung und Beratung</t>
        </is>
      </c>
      <c r="G124" t="n">
        <v>2</v>
      </c>
      <c r="H124" t="n">
        <v>749.3099999999999</v>
      </c>
      <c r="I124" t="n">
        <v>0</v>
      </c>
      <c r="J124" t="n">
        <v>0</v>
      </c>
      <c r="K124" t="n">
        <v>749.3099999999999</v>
      </c>
      <c r="L124" t="n">
        <v>0</v>
      </c>
      <c r="M124" t="n">
        <v>0</v>
      </c>
      <c r="N124" t="n">
        <v>8</v>
      </c>
    </row>
    <row r="125">
      <c r="A125" t="n">
        <v>2026</v>
      </c>
      <c r="B125" t="n">
        <v>1</v>
      </c>
      <c r="C125" t="inlineStr">
        <is>
          <t>460065</t>
        </is>
      </c>
      <c r="D125" t="inlineStr">
        <is>
          <t>IT Lizenzgebühren</t>
        </is>
      </c>
      <c r="E125" t="inlineStr">
        <is>
          <t>VERWALTUNG</t>
        </is>
      </c>
      <c r="F125" t="inlineStr">
        <is>
          <t>Verwaltung und Beratung</t>
        </is>
      </c>
      <c r="G125" t="n">
        <v>2</v>
      </c>
      <c r="H125" t="n">
        <v>950.17</v>
      </c>
      <c r="I125" t="n">
        <v>0</v>
      </c>
      <c r="J125" t="n">
        <v>0</v>
      </c>
      <c r="K125" t="n">
        <v>950.17</v>
      </c>
      <c r="L125" t="n">
        <v>0</v>
      </c>
      <c r="M125" t="n">
        <v>0</v>
      </c>
      <c r="N125" t="n">
        <v>3</v>
      </c>
    </row>
    <row r="126">
      <c r="A126" t="n">
        <v>2026</v>
      </c>
      <c r="B126" t="n">
        <v>1</v>
      </c>
      <c r="C126" t="inlineStr">
        <is>
          <t>460080</t>
        </is>
      </c>
      <c r="D126" t="inlineStr">
        <is>
          <t>Pflichtbeiträge zu Verbänden</t>
        </is>
      </c>
      <c r="E126" t="inlineStr">
        <is>
          <t>VERWALTUNG</t>
        </is>
      </c>
      <c r="F126" t="inlineStr">
        <is>
          <t>Verwaltung und Beratung</t>
        </is>
      </c>
      <c r="G126" t="n">
        <v>2</v>
      </c>
      <c r="H126" t="n">
        <v>2910.59</v>
      </c>
      <c r="I126" t="n">
        <v>0</v>
      </c>
      <c r="J126" t="n">
        <v>0</v>
      </c>
      <c r="K126" t="n">
        <v>2910.59</v>
      </c>
      <c r="L126" t="n">
        <v>0</v>
      </c>
      <c r="M126" t="n">
        <v>0</v>
      </c>
      <c r="N126" t="n">
        <v>2</v>
      </c>
    </row>
    <row r="127">
      <c r="A127" t="n">
        <v>2026</v>
      </c>
      <c r="B127" t="n">
        <v>1</v>
      </c>
      <c r="C127" t="inlineStr">
        <is>
          <t>460081</t>
        </is>
      </c>
      <c r="D127" t="inlineStr">
        <is>
          <t>Beiträge zu sonstigen Vereinigungen</t>
        </is>
      </c>
      <c r="E127" t="inlineStr">
        <is>
          <t>VERWALTUNG</t>
        </is>
      </c>
      <c r="F127" t="inlineStr">
        <is>
          <t>Verwaltung und Beratung</t>
        </is>
      </c>
      <c r="G127" t="n">
        <v>2</v>
      </c>
      <c r="H127" t="n">
        <v>1600</v>
      </c>
      <c r="I127" t="n">
        <v>0</v>
      </c>
      <c r="J127" t="n">
        <v>0</v>
      </c>
      <c r="K127" t="n">
        <v>1600</v>
      </c>
      <c r="L127" t="n">
        <v>0</v>
      </c>
      <c r="M127" t="n">
        <v>0</v>
      </c>
      <c r="N127" t="n">
        <v>1</v>
      </c>
    </row>
    <row r="128">
      <c r="A128" t="n">
        <v>2026</v>
      </c>
      <c r="B128" t="n">
        <v>1</v>
      </c>
      <c r="C128" t="inlineStr">
        <is>
          <t>460090</t>
        </is>
      </c>
      <c r="D128" t="inlineStr">
        <is>
          <t>Schreib- und Verwaltungsgebühren an Behö</t>
        </is>
      </c>
      <c r="E128" t="inlineStr">
        <is>
          <t>VERWALTUNG</t>
        </is>
      </c>
      <c r="F128" t="inlineStr">
        <is>
          <t>Verwaltung und Beratung</t>
        </is>
      </c>
      <c r="G128" t="n">
        <v>2</v>
      </c>
      <c r="H128" t="n">
        <v>253.6</v>
      </c>
      <c r="I128" t="n">
        <v>0</v>
      </c>
      <c r="J128" t="n">
        <v>0</v>
      </c>
      <c r="K128" t="n">
        <v>253.6</v>
      </c>
      <c r="L128" t="n">
        <v>0</v>
      </c>
      <c r="M128" t="n">
        <v>0</v>
      </c>
      <c r="N128" t="n">
        <v>3</v>
      </c>
    </row>
    <row r="129">
      <c r="A129" t="n">
        <v>2026</v>
      </c>
      <c r="B129" t="n">
        <v>1</v>
      </c>
      <c r="C129" t="inlineStr">
        <is>
          <t>460200</t>
        </is>
      </c>
      <c r="D129" t="inlineStr">
        <is>
          <t>Beiträge Fachtagungen</t>
        </is>
      </c>
      <c r="E129" t="inlineStr">
        <is>
          <t>VERWALTUNG</t>
        </is>
      </c>
      <c r="F129" t="inlineStr">
        <is>
          <t>Verwaltung und Beratung</t>
        </is>
      </c>
      <c r="G129" t="n">
        <v>2</v>
      </c>
      <c r="H129" t="n">
        <v>5970</v>
      </c>
      <c r="I129" t="n">
        <v>0</v>
      </c>
      <c r="J129" t="n">
        <v>0</v>
      </c>
      <c r="K129" t="n">
        <v>5970</v>
      </c>
      <c r="L129" t="n">
        <v>0</v>
      </c>
      <c r="M129" t="n">
        <v>0</v>
      </c>
      <c r="N129" t="n">
        <v>3</v>
      </c>
    </row>
    <row r="130">
      <c r="A130" t="n">
        <v>2026</v>
      </c>
      <c r="B130" t="n">
        <v>1</v>
      </c>
      <c r="C130" t="inlineStr">
        <is>
          <t>460900</t>
        </is>
      </c>
      <c r="D130" t="inlineStr">
        <is>
          <t>Sonstige Verwaltungskosten</t>
        </is>
      </c>
      <c r="E130" t="inlineStr">
        <is>
          <t>VERWALTUNG</t>
        </is>
      </c>
      <c r="F130" t="inlineStr">
        <is>
          <t>Verwaltung und Beratung</t>
        </is>
      </c>
      <c r="G130" t="n">
        <v>2</v>
      </c>
      <c r="H130" t="n">
        <v>1283</v>
      </c>
      <c r="I130" t="n">
        <v>0</v>
      </c>
      <c r="J130" t="n">
        <v>0</v>
      </c>
      <c r="K130" t="n">
        <v>1283</v>
      </c>
      <c r="L130" t="n">
        <v>0</v>
      </c>
      <c r="M130" t="n">
        <v>0</v>
      </c>
      <c r="N130" t="n">
        <v>3</v>
      </c>
    </row>
    <row r="131">
      <c r="A131" t="n">
        <v>2026</v>
      </c>
      <c r="B131" t="n">
        <v>1</v>
      </c>
      <c r="C131" t="inlineStr">
        <is>
          <t>470020</t>
        </is>
      </c>
      <c r="D131" t="inlineStr">
        <is>
          <t>kaufm. Beratung und Buchführung</t>
        </is>
      </c>
      <c r="E131" t="inlineStr">
        <is>
          <t>BERATUNG_UMLAGE</t>
        </is>
      </c>
      <c r="F131" t="inlineStr">
        <is>
          <t>Verwaltung und Beratung</t>
        </is>
      </c>
      <c r="G131" t="n">
        <v>2</v>
      </c>
      <c r="H131" t="n">
        <v>14123</v>
      </c>
      <c r="I131" t="n">
        <v>0</v>
      </c>
      <c r="J131" t="n">
        <v>0</v>
      </c>
      <c r="K131" t="n">
        <v>14123</v>
      </c>
      <c r="L131" t="n">
        <v>0</v>
      </c>
      <c r="M131" t="n">
        <v>0</v>
      </c>
      <c r="N131" t="n">
        <v>19</v>
      </c>
    </row>
    <row r="132">
      <c r="A132" t="n">
        <v>2026</v>
      </c>
      <c r="B132" t="n">
        <v>1</v>
      </c>
      <c r="C132" t="inlineStr">
        <is>
          <t>470030</t>
        </is>
      </c>
      <c r="D132" t="inlineStr">
        <is>
          <t>Beratungskosten Allgemeine Verwaltung</t>
        </is>
      </c>
      <c r="E132" t="inlineStr">
        <is>
          <t>BERATUNG_UMLAGE</t>
        </is>
      </c>
      <c r="F132" t="inlineStr">
        <is>
          <t>Verwaltung und Beratung</t>
        </is>
      </c>
      <c r="G132" t="n">
        <v>2</v>
      </c>
      <c r="H132" t="n">
        <v>262.5</v>
      </c>
      <c r="I132" t="n">
        <v>0</v>
      </c>
      <c r="J132" t="n">
        <v>0</v>
      </c>
      <c r="K132" t="n">
        <v>262.5</v>
      </c>
      <c r="L132" t="n">
        <v>0</v>
      </c>
      <c r="M132" t="n">
        <v>0</v>
      </c>
      <c r="N132" t="n">
        <v>1</v>
      </c>
    </row>
    <row r="133">
      <c r="A133" t="n">
        <v>2026</v>
      </c>
      <c r="B133" t="n">
        <v>1</v>
      </c>
      <c r="C133" t="inlineStr">
        <is>
          <t>470036</t>
        </is>
      </c>
      <c r="D133" t="inlineStr">
        <is>
          <t>Aufwendungen Umlage zentrale Verwaltung</t>
        </is>
      </c>
      <c r="E133" t="inlineStr">
        <is>
          <t>BERATUNG_UMLAGE</t>
        </is>
      </c>
      <c r="F133" t="inlineStr">
        <is>
          <t>Verwaltung und Beratung</t>
        </is>
      </c>
      <c r="G133" t="n">
        <v>2</v>
      </c>
      <c r="H133" t="n">
        <v>3098</v>
      </c>
      <c r="I133" t="n">
        <v>0</v>
      </c>
      <c r="J133" t="n">
        <v>0</v>
      </c>
      <c r="K133" t="n">
        <v>3098</v>
      </c>
      <c r="L133" t="n">
        <v>0</v>
      </c>
      <c r="M133" t="n">
        <v>0</v>
      </c>
      <c r="N133" t="n">
        <v>6</v>
      </c>
    </row>
    <row r="134">
      <c r="A134" t="n">
        <v>2026</v>
      </c>
      <c r="B134" t="n">
        <v>1</v>
      </c>
      <c r="C134" t="inlineStr">
        <is>
          <t>480100</t>
        </is>
      </c>
      <c r="D134" t="inlineStr">
        <is>
          <t>Normalabschreibung auf Anlagen</t>
        </is>
      </c>
      <c r="E134" t="inlineStr">
        <is>
          <t>ABSCHREIBUNG</t>
        </is>
      </c>
      <c r="F134" t="inlineStr">
        <is>
          <t>Abschreibungen</t>
        </is>
      </c>
      <c r="G134" t="n">
        <v>2</v>
      </c>
      <c r="H134" t="n">
        <v>2586</v>
      </c>
      <c r="I134" t="n">
        <v>0</v>
      </c>
      <c r="J134" t="n">
        <v>0</v>
      </c>
      <c r="K134" t="n">
        <v>2586</v>
      </c>
      <c r="L134" t="n">
        <v>0</v>
      </c>
      <c r="M134" t="n">
        <v>0</v>
      </c>
      <c r="N134" t="n">
        <v>12</v>
      </c>
    </row>
    <row r="135">
      <c r="A135" t="n">
        <v>2026</v>
      </c>
      <c r="B135" t="n">
        <v>1</v>
      </c>
      <c r="C135" t="inlineStr">
        <is>
          <t>480110</t>
        </is>
      </c>
      <c r="D135" t="inlineStr">
        <is>
          <t>Abschreibungen auf Anlagen (GWG)</t>
        </is>
      </c>
      <c r="E135" t="inlineStr">
        <is>
          <t>ABSCHREIBUNG</t>
        </is>
      </c>
      <c r="F135" t="inlineStr">
        <is>
          <t>Abschreibungen</t>
        </is>
      </c>
      <c r="G135" t="n">
        <v>2</v>
      </c>
      <c r="H135" t="n">
        <v>286</v>
      </c>
      <c r="I135" t="n">
        <v>0</v>
      </c>
      <c r="J135" t="n">
        <v>0</v>
      </c>
      <c r="K135" t="n">
        <v>286</v>
      </c>
      <c r="L135" t="n">
        <v>0</v>
      </c>
      <c r="M135" t="n">
        <v>0</v>
      </c>
      <c r="N135" t="n">
        <v>10</v>
      </c>
    </row>
    <row r="136">
      <c r="A136" t="n">
        <v>2026</v>
      </c>
      <c r="B136" t="n">
        <v>1</v>
      </c>
      <c r="C136" t="inlineStr">
        <is>
          <t>499200</t>
        </is>
      </c>
      <c r="D136" t="inlineStr">
        <is>
          <t>Kalk. Zinsen</t>
        </is>
      </c>
      <c r="E136" t="inlineStr">
        <is>
          <t>KALKULATORISCH</t>
        </is>
      </c>
      <c r="F136" t="inlineStr">
        <is>
          <t>Kalkulatorische Kosten</t>
        </is>
      </c>
      <c r="G136" t="n">
        <v>9</v>
      </c>
      <c r="H136" t="n">
        <v>607</v>
      </c>
      <c r="I136" t="n">
        <v>0</v>
      </c>
      <c r="J136" t="n">
        <v>0</v>
      </c>
      <c r="K136" t="n">
        <v>0</v>
      </c>
      <c r="L136" t="n">
        <v>0</v>
      </c>
      <c r="M136" t="n">
        <v>607</v>
      </c>
      <c r="N136" t="n">
        <v>21</v>
      </c>
    </row>
    <row r="137">
      <c r="A137" t="n">
        <v>2026</v>
      </c>
      <c r="B137" t="n">
        <v>1</v>
      </c>
      <c r="C137" t="inlineStr">
        <is>
          <t>499300</t>
        </is>
      </c>
      <c r="D137" t="inlineStr">
        <is>
          <t>Kalk. Abschreibungen</t>
        </is>
      </c>
      <c r="E137" t="inlineStr">
        <is>
          <t>KALKULATORISCH</t>
        </is>
      </c>
      <c r="F137" t="inlineStr">
        <is>
          <t>Kalkulatorische Kosten</t>
        </is>
      </c>
      <c r="G137" t="n">
        <v>9</v>
      </c>
      <c r="H137" t="n">
        <v>3320</v>
      </c>
      <c r="I137" t="n">
        <v>0</v>
      </c>
      <c r="J137" t="n">
        <v>0</v>
      </c>
      <c r="K137" t="n">
        <v>0</v>
      </c>
      <c r="L137" t="n">
        <v>0</v>
      </c>
      <c r="M137" t="n">
        <v>3320</v>
      </c>
      <c r="N137" t="n">
        <v>24</v>
      </c>
    </row>
    <row r="138">
      <c r="A138" t="n">
        <v>2026</v>
      </c>
      <c r="B138" t="n">
        <v>1</v>
      </c>
      <c r="C138" t="inlineStr">
        <is>
          <t>7611100</t>
        </is>
      </c>
      <c r="D138" t="inlineStr">
        <is>
          <t>Lohnverr. Gruppe1</t>
        </is>
      </c>
      <c r="E138" t="inlineStr">
        <is>
          <t>LOHNVERRECHNUNG</t>
        </is>
      </c>
      <c r="F138" t="inlineStr">
        <is>
          <t>Innerbetriebliche Verrechnung</t>
        </is>
      </c>
      <c r="G138" t="n">
        <v>1</v>
      </c>
      <c r="H138" t="n">
        <v>95</v>
      </c>
      <c r="I138" t="n">
        <v>0</v>
      </c>
      <c r="J138" t="n">
        <v>95</v>
      </c>
      <c r="K138" t="n">
        <v>0</v>
      </c>
      <c r="L138" t="n">
        <v>0</v>
      </c>
      <c r="M138" t="n">
        <v>0</v>
      </c>
      <c r="N138" t="n">
        <v>29</v>
      </c>
    </row>
    <row r="139">
      <c r="A139" t="n">
        <v>2026</v>
      </c>
      <c r="B139" t="n">
        <v>1</v>
      </c>
      <c r="C139" t="inlineStr">
        <is>
          <t>7611200</t>
        </is>
      </c>
      <c r="D139" t="inlineStr">
        <is>
          <t>Lohnverr. Gruppe 2</t>
        </is>
      </c>
      <c r="E139" t="inlineStr">
        <is>
          <t>LOHNVERRECHNUNG</t>
        </is>
      </c>
      <c r="F139" t="inlineStr">
        <is>
          <t>Innerbetriebliche Verrechnung</t>
        </is>
      </c>
      <c r="G139" t="n">
        <v>1</v>
      </c>
      <c r="H139" t="n">
        <v>99</v>
      </c>
      <c r="I139" t="n">
        <v>0</v>
      </c>
      <c r="J139" t="n">
        <v>99</v>
      </c>
      <c r="K139" t="n">
        <v>0</v>
      </c>
      <c r="L139" t="n">
        <v>0</v>
      </c>
      <c r="M139" t="n">
        <v>0</v>
      </c>
      <c r="N139" t="n">
        <v>28</v>
      </c>
    </row>
    <row r="140">
      <c r="A140" t="n">
        <v>2026</v>
      </c>
      <c r="B140" t="n">
        <v>1</v>
      </c>
      <c r="C140" t="inlineStr">
        <is>
          <t>7612000</t>
        </is>
      </c>
      <c r="D140" t="inlineStr">
        <is>
          <t>Verrechnung Geräte</t>
        </is>
      </c>
      <c r="E140" t="inlineStr">
        <is>
          <t>GERAETEVERRECHNUNG</t>
        </is>
      </c>
      <c r="F140" t="inlineStr">
        <is>
          <t>Innerbetriebliche Verrechnung</t>
        </is>
      </c>
      <c r="G140" t="n">
        <v>1</v>
      </c>
      <c r="H140" t="n">
        <v>240</v>
      </c>
      <c r="I140" t="n">
        <v>0</v>
      </c>
      <c r="J140" t="n">
        <v>240</v>
      </c>
      <c r="K140" t="n">
        <v>0</v>
      </c>
      <c r="L140" t="n">
        <v>0</v>
      </c>
      <c r="M140" t="n">
        <v>0</v>
      </c>
      <c r="N140" t="n">
        <v>121</v>
      </c>
    </row>
    <row r="141">
      <c r="A141" t="n">
        <v>2026</v>
      </c>
      <c r="B141" t="n">
        <v>1</v>
      </c>
      <c r="C141" t="inlineStr">
        <is>
          <t>7801020</t>
        </is>
      </c>
      <c r="D141" t="inlineStr">
        <is>
          <t>Gemeinkostenzuschläge 12 % TVF Altwert</t>
        </is>
      </c>
      <c r="E141" t="inlineStr">
        <is>
          <t>GEMEINKOSTENUMLAGE</t>
        </is>
      </c>
      <c r="F141" t="inlineStr">
        <is>
          <t>Innerbetriebliche Verrechnung</t>
        </is>
      </c>
      <c r="G141" t="n">
        <v>2</v>
      </c>
      <c r="H141" t="n">
        <v>-158739.37</v>
      </c>
      <c r="I141" t="n">
        <v>0</v>
      </c>
      <c r="J141" t="n">
        <v>0</v>
      </c>
      <c r="K141" t="n">
        <v>0</v>
      </c>
      <c r="L141" t="n">
        <v>-158739.37</v>
      </c>
      <c r="M141" t="n">
        <v>0</v>
      </c>
      <c r="N141" t="n">
        <v>102</v>
      </c>
    </row>
    <row r="142">
      <c r="A142" t="n">
        <v>2026</v>
      </c>
      <c r="B142" t="n">
        <v>1</v>
      </c>
      <c r="C142" t="inlineStr">
        <is>
          <t>830510</t>
        </is>
      </c>
      <c r="D142" t="inlineStr">
        <is>
          <t>Erlöse Abrisse/Demontagen</t>
        </is>
      </c>
      <c r="E142" t="inlineStr">
        <is>
          <t>ERLOES</t>
        </is>
      </c>
      <c r="F142" t="inlineStr">
        <is>
          <t>Umsatzerlöse</t>
        </is>
      </c>
      <c r="G142" t="n">
        <v>0</v>
      </c>
      <c r="H142" t="n">
        <v>-606817.78</v>
      </c>
      <c r="I142" t="n">
        <v>606817.78</v>
      </c>
      <c r="J142" t="n">
        <v>0</v>
      </c>
      <c r="K142" t="n">
        <v>0</v>
      </c>
      <c r="L142" t="n">
        <v>0</v>
      </c>
      <c r="M142" t="n">
        <v>0</v>
      </c>
      <c r="N142" t="n">
        <v>78</v>
      </c>
    </row>
    <row r="143">
      <c r="A143" t="n">
        <v>2026</v>
      </c>
      <c r="B143" t="n">
        <v>1</v>
      </c>
      <c r="C143" t="inlineStr">
        <is>
          <t>840040</t>
        </is>
      </c>
      <c r="D143" t="inlineStr">
        <is>
          <t>Erlöse Verkauf HW Schrott</t>
        </is>
      </c>
      <c r="E143" t="inlineStr">
        <is>
          <t>ERLOES</t>
        </is>
      </c>
      <c r="F143" t="inlineStr">
        <is>
          <t>Umsatzerlöse</t>
        </is>
      </c>
      <c r="G143" t="n">
        <v>0</v>
      </c>
      <c r="H143" t="n">
        <v>-32792.74</v>
      </c>
      <c r="I143" t="n">
        <v>32792.74</v>
      </c>
      <c r="J143" t="n">
        <v>0</v>
      </c>
      <c r="K143" t="n">
        <v>0</v>
      </c>
      <c r="L143" t="n">
        <v>0</v>
      </c>
      <c r="M143" t="n">
        <v>0</v>
      </c>
      <c r="N143" t="n">
        <v>9</v>
      </c>
    </row>
    <row r="144">
      <c r="A144" t="n">
        <v>2026</v>
      </c>
      <c r="B144" t="n">
        <v>1</v>
      </c>
      <c r="C144" t="inlineStr">
        <is>
          <t>860000</t>
        </is>
      </c>
      <c r="D144" t="inlineStr">
        <is>
          <t>Erlöse weiterberechnete Fremdkosten</t>
        </is>
      </c>
      <c r="E144" t="inlineStr">
        <is>
          <t>ERLOES</t>
        </is>
      </c>
      <c r="F144" t="inlineStr">
        <is>
          <t>Umsatzerlöse</t>
        </is>
      </c>
      <c r="G144" t="n">
        <v>0</v>
      </c>
      <c r="H144" t="n">
        <v>-420</v>
      </c>
      <c r="I144" t="n">
        <v>420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2026</v>
      </c>
      <c r="B145" t="n">
        <v>1</v>
      </c>
      <c r="C145" t="inlineStr">
        <is>
          <t>890100</t>
        </is>
      </c>
      <c r="D145" t="inlineStr">
        <is>
          <t>Gewährte Skonti</t>
        </is>
      </c>
      <c r="E145" t="inlineStr">
        <is>
          <t>ERLOESSCHMAELERUNG</t>
        </is>
      </c>
      <c r="F145" t="inlineStr">
        <is>
          <t>Umsatzerlöse</t>
        </is>
      </c>
      <c r="G145" t="n">
        <v>0</v>
      </c>
      <c r="H145" t="n">
        <v>2246.82</v>
      </c>
      <c r="I145" t="n">
        <v>-2246.82</v>
      </c>
      <c r="J145" t="n">
        <v>0</v>
      </c>
      <c r="K145" t="n">
        <v>0</v>
      </c>
      <c r="L145" t="n">
        <v>0</v>
      </c>
      <c r="M145" t="n">
        <v>0</v>
      </c>
      <c r="N145" t="n">
        <v>7</v>
      </c>
    </row>
    <row r="146">
      <c r="A146" t="n">
        <v>2026</v>
      </c>
      <c r="B146" t="n">
        <v>2</v>
      </c>
      <c r="C146" t="inlineStr">
        <is>
          <t>201000</t>
        </is>
      </c>
      <c r="D146" t="inlineStr">
        <is>
          <t>Sonstige periodenfremde Aufwendungen</t>
        </is>
      </c>
      <c r="E146" t="inlineStr">
        <is>
          <t>NEUTRALER_AUFWAND</t>
        </is>
      </c>
      <c r="F146" t="inlineStr">
        <is>
          <t>Sonstiges</t>
        </is>
      </c>
      <c r="G146" t="n">
        <v>9</v>
      </c>
      <c r="H146" t="n">
        <v>3757.94</v>
      </c>
      <c r="I146" t="n">
        <v>0</v>
      </c>
      <c r="J146" t="n">
        <v>0</v>
      </c>
      <c r="K146" t="n">
        <v>0</v>
      </c>
      <c r="L146" t="n">
        <v>0</v>
      </c>
      <c r="M146" t="n">
        <v>3757.94</v>
      </c>
      <c r="N146" t="n">
        <v>12</v>
      </c>
    </row>
    <row r="147">
      <c r="A147" t="n">
        <v>2026</v>
      </c>
      <c r="B147" t="n">
        <v>2</v>
      </c>
      <c r="C147" t="inlineStr">
        <is>
          <t>210000</t>
        </is>
      </c>
      <c r="D147" t="inlineStr">
        <is>
          <t>Übrige Zinsen und ähnliche Aufwendungen</t>
        </is>
      </c>
      <c r="E147" t="inlineStr">
        <is>
          <t>ZINSEN</t>
        </is>
      </c>
      <c r="F147" t="inlineStr">
        <is>
          <t>Zinsergebnis</t>
        </is>
      </c>
      <c r="G147" t="n">
        <v>9</v>
      </c>
      <c r="H147" t="n">
        <v>0.77</v>
      </c>
      <c r="I147" t="n">
        <v>0</v>
      </c>
      <c r="J147" t="n">
        <v>0</v>
      </c>
      <c r="K147" t="n">
        <v>0</v>
      </c>
      <c r="L147" t="n">
        <v>0</v>
      </c>
      <c r="M147" t="n">
        <v>0.77</v>
      </c>
      <c r="N147" t="n">
        <v>1</v>
      </c>
    </row>
    <row r="148">
      <c r="A148" t="n">
        <v>2026</v>
      </c>
      <c r="B148" t="n">
        <v>2</v>
      </c>
      <c r="C148" t="inlineStr">
        <is>
          <t>213101</t>
        </is>
      </c>
      <c r="D148" t="inlineStr">
        <is>
          <t>Zinsen Factoring</t>
        </is>
      </c>
      <c r="E148" t="inlineStr">
        <is>
          <t>ZINSEN</t>
        </is>
      </c>
      <c r="F148" t="inlineStr">
        <is>
          <t>Zinsergebnis</t>
        </is>
      </c>
      <c r="G148" t="n">
        <v>9</v>
      </c>
      <c r="H148" t="n">
        <v>3416.75</v>
      </c>
      <c r="I148" t="n">
        <v>0</v>
      </c>
      <c r="J148" t="n">
        <v>0</v>
      </c>
      <c r="K148" t="n">
        <v>0</v>
      </c>
      <c r="L148" t="n">
        <v>0</v>
      </c>
      <c r="M148" t="n">
        <v>3416.75</v>
      </c>
      <c r="N148" t="n">
        <v>1</v>
      </c>
    </row>
    <row r="149">
      <c r="A149" t="n">
        <v>2026</v>
      </c>
      <c r="B149" t="n">
        <v>2</v>
      </c>
      <c r="C149" t="inlineStr">
        <is>
          <t>251000</t>
        </is>
      </c>
      <c r="D149" t="inlineStr">
        <is>
          <t>Sonstige periodenfremde Erträge</t>
        </is>
      </c>
      <c r="E149" t="inlineStr">
        <is>
          <t>NEUTRALER_ERTRAG</t>
        </is>
      </c>
      <c r="F149" t="inlineStr">
        <is>
          <t>Sonstiges</t>
        </is>
      </c>
      <c r="G149" t="n">
        <v>9</v>
      </c>
      <c r="H149" t="n">
        <v>-262.35</v>
      </c>
      <c r="I149" t="n">
        <v>0</v>
      </c>
      <c r="J149" t="n">
        <v>0</v>
      </c>
      <c r="K149" t="n">
        <v>0</v>
      </c>
      <c r="L149" t="n">
        <v>0</v>
      </c>
      <c r="M149" t="n">
        <v>-262.35</v>
      </c>
      <c r="N149" t="n">
        <v>5</v>
      </c>
    </row>
    <row r="150">
      <c r="A150" t="n">
        <v>2026</v>
      </c>
      <c r="B150" t="n">
        <v>2</v>
      </c>
      <c r="C150" t="inlineStr">
        <is>
          <t>265900</t>
        </is>
      </c>
      <c r="D150" t="inlineStr">
        <is>
          <t>Sonstige Zinsen und ähnl. Erträge verb.U</t>
        </is>
      </c>
      <c r="E150" t="inlineStr">
        <is>
          <t>NEUTRALER_ERTRAG</t>
        </is>
      </c>
      <c r="F150" t="inlineStr">
        <is>
          <t>Zinsergebnis</t>
        </is>
      </c>
      <c r="G150" t="n">
        <v>9</v>
      </c>
      <c r="H150" t="n">
        <v>30.98</v>
      </c>
      <c r="I150" t="n">
        <v>0</v>
      </c>
      <c r="J150" t="n">
        <v>0</v>
      </c>
      <c r="K150" t="n">
        <v>0</v>
      </c>
      <c r="L150" t="n">
        <v>0</v>
      </c>
      <c r="M150" t="n">
        <v>30.98</v>
      </c>
      <c r="N150" t="n">
        <v>1</v>
      </c>
    </row>
    <row r="151">
      <c r="A151" t="n">
        <v>2026</v>
      </c>
      <c r="B151" t="n">
        <v>2</v>
      </c>
      <c r="C151" t="inlineStr">
        <is>
          <t>274200</t>
        </is>
      </c>
      <c r="D151" t="inlineStr">
        <is>
          <t>Versicherungsentschädigungen</t>
        </is>
      </c>
      <c r="E151" t="inlineStr">
        <is>
          <t>SONSTIGER_ERTRAG</t>
        </is>
      </c>
      <c r="F151" t="inlineStr">
        <is>
          <t>Sonstige betriebliche Erträge</t>
        </is>
      </c>
      <c r="G151" t="n">
        <v>9</v>
      </c>
      <c r="H151" t="n">
        <v>-8076.07</v>
      </c>
      <c r="I151" t="n">
        <v>0</v>
      </c>
      <c r="J151" t="n">
        <v>0</v>
      </c>
      <c r="K151" t="n">
        <v>0</v>
      </c>
      <c r="L151" t="n">
        <v>0</v>
      </c>
      <c r="M151" t="n">
        <v>-8076.07</v>
      </c>
      <c r="N151" t="n">
        <v>1</v>
      </c>
    </row>
    <row r="152">
      <c r="A152" t="n">
        <v>2026</v>
      </c>
      <c r="B152" t="n">
        <v>2</v>
      </c>
      <c r="C152" t="inlineStr">
        <is>
          <t>289200</t>
        </is>
      </c>
      <c r="D152" t="inlineStr">
        <is>
          <t>Verr. kalk. Zinsen</t>
        </is>
      </c>
      <c r="E152" t="inlineStr">
        <is>
          <t>KALKULATORISCH</t>
        </is>
      </c>
      <c r="F152" t="inlineStr">
        <is>
          <t>Kalkulatorische Kosten</t>
        </is>
      </c>
      <c r="G152" t="n">
        <v>9</v>
      </c>
      <c r="H152" t="n">
        <v>-632</v>
      </c>
      <c r="I152" t="n">
        <v>0</v>
      </c>
      <c r="J152" t="n">
        <v>0</v>
      </c>
      <c r="K152" t="n">
        <v>0</v>
      </c>
      <c r="L152" t="n">
        <v>0</v>
      </c>
      <c r="M152" t="n">
        <v>-632</v>
      </c>
      <c r="N152" t="n">
        <v>22</v>
      </c>
    </row>
    <row r="153">
      <c r="A153" t="n">
        <v>2026</v>
      </c>
      <c r="B153" t="n">
        <v>2</v>
      </c>
      <c r="C153" t="inlineStr">
        <is>
          <t>289300</t>
        </is>
      </c>
      <c r="D153" t="inlineStr">
        <is>
          <t>Verr. kalk. Abschreibungen</t>
        </is>
      </c>
      <c r="E153" t="inlineStr">
        <is>
          <t>KALKULATORISCH</t>
        </is>
      </c>
      <c r="F153" t="inlineStr">
        <is>
          <t>Kalkulatorische Kosten</t>
        </is>
      </c>
      <c r="G153" t="n">
        <v>9</v>
      </c>
      <c r="H153" t="n">
        <v>-3394.51</v>
      </c>
      <c r="I153" t="n">
        <v>0</v>
      </c>
      <c r="J153" t="n">
        <v>0</v>
      </c>
      <c r="K153" t="n">
        <v>0</v>
      </c>
      <c r="L153" t="n">
        <v>0</v>
      </c>
      <c r="M153" t="n">
        <v>-3394.51</v>
      </c>
      <c r="N153" t="n">
        <v>25</v>
      </c>
    </row>
    <row r="154">
      <c r="A154" t="n">
        <v>2026</v>
      </c>
      <c r="B154" t="n">
        <v>2</v>
      </c>
      <c r="C154" t="inlineStr">
        <is>
          <t>310010</t>
        </is>
      </c>
      <c r="D154" t="inlineStr">
        <is>
          <t>Reinigungsmaterial</t>
        </is>
      </c>
      <c r="E154" t="inlineStr">
        <is>
          <t>MATERIAL</t>
        </is>
      </c>
      <c r="F154" t="inlineStr">
        <is>
          <t>Material und Fremdleistungen</t>
        </is>
      </c>
      <c r="G154" t="n">
        <v>1</v>
      </c>
      <c r="H154" t="n">
        <v>2.59</v>
      </c>
      <c r="I154" t="n">
        <v>0</v>
      </c>
      <c r="J154" t="n">
        <v>2.59</v>
      </c>
      <c r="K154" t="n">
        <v>0</v>
      </c>
      <c r="L154" t="n">
        <v>0</v>
      </c>
      <c r="M154" t="n">
        <v>0</v>
      </c>
      <c r="N154" t="n">
        <v>1</v>
      </c>
    </row>
    <row r="155">
      <c r="A155" t="n">
        <v>2026</v>
      </c>
      <c r="B155" t="n">
        <v>2</v>
      </c>
      <c r="C155" t="inlineStr">
        <is>
          <t>310080</t>
        </is>
      </c>
      <c r="D155" t="inlineStr">
        <is>
          <t>Technische Gase</t>
        </is>
      </c>
      <c r="E155" t="inlineStr">
        <is>
          <t>MATERIAL</t>
        </is>
      </c>
      <c r="F155" t="inlineStr">
        <is>
          <t>Material und Fremdleistungen</t>
        </is>
      </c>
      <c r="G155" t="n">
        <v>1</v>
      </c>
      <c r="H155" t="n">
        <v>463.41</v>
      </c>
      <c r="I155" t="n">
        <v>0</v>
      </c>
      <c r="J155" t="n">
        <v>463.41</v>
      </c>
      <c r="K155" t="n">
        <v>0</v>
      </c>
      <c r="L155" t="n">
        <v>0</v>
      </c>
      <c r="M155" t="n">
        <v>0</v>
      </c>
      <c r="N155" t="n">
        <v>3</v>
      </c>
    </row>
    <row r="156">
      <c r="A156" t="n">
        <v>2026</v>
      </c>
      <c r="B156" t="n">
        <v>2</v>
      </c>
      <c r="C156" t="inlineStr">
        <is>
          <t>330900</t>
        </is>
      </c>
      <c r="D156" t="inlineStr">
        <is>
          <t>Erhaltene Skonti</t>
        </is>
      </c>
      <c r="E156" t="inlineStr">
        <is>
          <t>MATERIAL</t>
        </is>
      </c>
      <c r="F156" t="inlineStr">
        <is>
          <t>Material und Fremdleistungen</t>
        </is>
      </c>
      <c r="G156" t="n">
        <v>1</v>
      </c>
      <c r="H156" t="n">
        <v>-12503.51</v>
      </c>
      <c r="I156" t="n">
        <v>0</v>
      </c>
      <c r="J156" t="n">
        <v>-12503.51</v>
      </c>
      <c r="K156" t="n">
        <v>0</v>
      </c>
      <c r="L156" t="n">
        <v>0</v>
      </c>
      <c r="M156" t="n">
        <v>0</v>
      </c>
      <c r="N156" t="n">
        <v>35</v>
      </c>
    </row>
    <row r="157">
      <c r="A157" t="n">
        <v>2026</v>
      </c>
      <c r="B157" t="n">
        <v>2</v>
      </c>
      <c r="C157" t="inlineStr">
        <is>
          <t>340030</t>
        </is>
      </c>
      <c r="D157" t="inlineStr">
        <is>
          <t>Fremdleistungen Personal</t>
        </is>
      </c>
      <c r="E157" t="inlineStr">
        <is>
          <t>FREMDLEISTUNG</t>
        </is>
      </c>
      <c r="F157" t="inlineStr">
        <is>
          <t>Material und Fremdleistungen</t>
        </is>
      </c>
      <c r="G157" t="n">
        <v>1</v>
      </c>
      <c r="H157" t="n">
        <v>4328.88</v>
      </c>
      <c r="I157" t="n">
        <v>0</v>
      </c>
      <c r="J157" t="n">
        <v>4328.88</v>
      </c>
      <c r="K157" t="n">
        <v>0</v>
      </c>
      <c r="L157" t="n">
        <v>0</v>
      </c>
      <c r="M157" t="n">
        <v>0</v>
      </c>
      <c r="N157" t="n">
        <v>3</v>
      </c>
    </row>
    <row r="158">
      <c r="A158" t="n">
        <v>2026</v>
      </c>
      <c r="B158" t="n">
        <v>2</v>
      </c>
      <c r="C158" t="inlineStr">
        <is>
          <t>340050</t>
        </is>
      </c>
      <c r="D158" t="inlineStr">
        <is>
          <t>Fremdleistungen Wartung/Pflege</t>
        </is>
      </c>
      <c r="E158" t="inlineStr">
        <is>
          <t>FREMDLEISTUNG</t>
        </is>
      </c>
      <c r="F158" t="inlineStr">
        <is>
          <t>Material und Fremdleistungen</t>
        </is>
      </c>
      <c r="G158" t="n">
        <v>1</v>
      </c>
      <c r="H158" t="n">
        <v>1713716.72</v>
      </c>
      <c r="I158" t="n">
        <v>0</v>
      </c>
      <c r="J158" t="n">
        <v>1713716.72</v>
      </c>
      <c r="K158" t="n">
        <v>0</v>
      </c>
      <c r="L158" t="n">
        <v>0</v>
      </c>
      <c r="M158" t="n">
        <v>0</v>
      </c>
      <c r="N158" t="n">
        <v>292</v>
      </c>
    </row>
    <row r="159">
      <c r="A159" t="n">
        <v>2026</v>
      </c>
      <c r="B159" t="n">
        <v>2</v>
      </c>
      <c r="C159" t="inlineStr">
        <is>
          <t>392000</t>
        </is>
      </c>
      <c r="D159" t="inlineStr">
        <is>
          <t>Bestandsveränderungen unfertige Erzeugni</t>
        </is>
      </c>
      <c r="E159" t="inlineStr">
        <is>
          <t>BESTANDSVERAENDERUNG</t>
        </is>
      </c>
      <c r="F159" t="inlineStr">
        <is>
          <t>Bestandsveränderung</t>
        </is>
      </c>
      <c r="G159" t="n">
        <v>0</v>
      </c>
      <c r="H159" t="n">
        <v>200176.92</v>
      </c>
      <c r="I159" t="n">
        <v>-200176.92</v>
      </c>
      <c r="J159" t="n">
        <v>0</v>
      </c>
      <c r="K159" t="n">
        <v>0</v>
      </c>
      <c r="L159" t="n">
        <v>0</v>
      </c>
      <c r="M159" t="n">
        <v>0</v>
      </c>
      <c r="N159" t="n">
        <v>19</v>
      </c>
    </row>
    <row r="160">
      <c r="A160" t="n">
        <v>2026</v>
      </c>
      <c r="B160" t="n">
        <v>2</v>
      </c>
      <c r="C160" t="inlineStr">
        <is>
          <t>400020</t>
        </is>
      </c>
      <c r="D160" t="inlineStr">
        <is>
          <t>Instandhaltung Personenkraftwagen</t>
        </is>
      </c>
      <c r="E160" t="inlineStr">
        <is>
          <t>FUHRPARK</t>
        </is>
      </c>
      <c r="F160" t="inlineStr">
        <is>
          <t>Fuhrpark</t>
        </is>
      </c>
      <c r="G160" t="n">
        <v>2</v>
      </c>
      <c r="H160" t="n">
        <v>5.87</v>
      </c>
      <c r="I160" t="n">
        <v>0</v>
      </c>
      <c r="J160" t="n">
        <v>0</v>
      </c>
      <c r="K160" t="n">
        <v>5.87</v>
      </c>
      <c r="L160" t="n">
        <v>0</v>
      </c>
      <c r="M160" t="n">
        <v>0</v>
      </c>
      <c r="N160" t="n">
        <v>1</v>
      </c>
    </row>
    <row r="161">
      <c r="A161" t="n">
        <v>2026</v>
      </c>
      <c r="B161" t="n">
        <v>2</v>
      </c>
      <c r="C161" t="inlineStr">
        <is>
          <t>400030</t>
        </is>
      </c>
      <c r="D161" t="inlineStr">
        <is>
          <t>Instandhaltung selbstfahrende Arbeitsmas</t>
        </is>
      </c>
      <c r="E161" t="inlineStr">
        <is>
          <t>FUHRPARK</t>
        </is>
      </c>
      <c r="F161" t="inlineStr">
        <is>
          <t>Fuhrpark</t>
        </is>
      </c>
      <c r="G161" t="n">
        <v>2</v>
      </c>
      <c r="H161" t="n">
        <v>1536.73</v>
      </c>
      <c r="I161" t="n">
        <v>0</v>
      </c>
      <c r="J161" t="n">
        <v>0</v>
      </c>
      <c r="K161" t="n">
        <v>1536.73</v>
      </c>
      <c r="L161" t="n">
        <v>0</v>
      </c>
      <c r="M161" t="n">
        <v>0</v>
      </c>
      <c r="N161" t="n">
        <v>2</v>
      </c>
    </row>
    <row r="162">
      <c r="A162" t="n">
        <v>2026</v>
      </c>
      <c r="B162" t="n">
        <v>2</v>
      </c>
      <c r="C162" t="inlineStr">
        <is>
          <t>400035</t>
        </is>
      </c>
      <c r="D162" t="inlineStr">
        <is>
          <t>Instandhaltung Miet-und Leasingfahrzeuge</t>
        </is>
      </c>
      <c r="E162" t="inlineStr">
        <is>
          <t>FUHRPARK</t>
        </is>
      </c>
      <c r="F162" t="inlineStr">
        <is>
          <t>Fuhrpark</t>
        </is>
      </c>
      <c r="G162" t="n">
        <v>2</v>
      </c>
      <c r="H162" t="n">
        <v>783.22</v>
      </c>
      <c r="I162" t="n">
        <v>0</v>
      </c>
      <c r="J162" t="n">
        <v>0</v>
      </c>
      <c r="K162" t="n">
        <v>783.22</v>
      </c>
      <c r="L162" t="n">
        <v>0</v>
      </c>
      <c r="M162" t="n">
        <v>0</v>
      </c>
      <c r="N162" t="n">
        <v>8</v>
      </c>
    </row>
    <row r="163">
      <c r="A163" t="n">
        <v>2026</v>
      </c>
      <c r="B163" t="n">
        <v>2</v>
      </c>
      <c r="C163" t="inlineStr">
        <is>
          <t>400122</t>
        </is>
      </c>
      <c r="D163" t="inlineStr">
        <is>
          <t>Leasing PKW</t>
        </is>
      </c>
      <c r="E163" t="inlineStr">
        <is>
          <t>FUHRPARK</t>
        </is>
      </c>
      <c r="F163" t="inlineStr">
        <is>
          <t>Fuhrpark</t>
        </is>
      </c>
      <c r="G163" t="n">
        <v>2</v>
      </c>
      <c r="H163" t="n">
        <v>4000.57</v>
      </c>
      <c r="I163" t="n">
        <v>0</v>
      </c>
      <c r="J163" t="n">
        <v>0</v>
      </c>
      <c r="K163" t="n">
        <v>4000.57</v>
      </c>
      <c r="L163" t="n">
        <v>0</v>
      </c>
      <c r="M163" t="n">
        <v>0</v>
      </c>
      <c r="N163" t="n">
        <v>8</v>
      </c>
    </row>
    <row r="164">
      <c r="A164" t="n">
        <v>2026</v>
      </c>
      <c r="B164" t="n">
        <v>2</v>
      </c>
      <c r="C164" t="inlineStr">
        <is>
          <t>401000</t>
        </is>
      </c>
      <c r="D164" t="inlineStr">
        <is>
          <t>Aufwand Diesel</t>
        </is>
      </c>
      <c r="E164" t="inlineStr">
        <is>
          <t>FUHRPARK</t>
        </is>
      </c>
      <c r="F164" t="inlineStr">
        <is>
          <t>Fuhrpark</t>
        </is>
      </c>
      <c r="G164" t="n">
        <v>1</v>
      </c>
      <c r="H164" t="n">
        <v>37804.49</v>
      </c>
      <c r="I164" t="n">
        <v>0</v>
      </c>
      <c r="J164" t="n">
        <v>37804.49</v>
      </c>
      <c r="K164" t="n">
        <v>0</v>
      </c>
      <c r="L164" t="n">
        <v>0</v>
      </c>
      <c r="M164" t="n">
        <v>0</v>
      </c>
      <c r="N164" t="n">
        <v>75</v>
      </c>
    </row>
    <row r="165">
      <c r="A165" t="n">
        <v>2026</v>
      </c>
      <c r="B165" t="n">
        <v>2</v>
      </c>
      <c r="C165" t="inlineStr">
        <is>
          <t>401015</t>
        </is>
      </c>
      <c r="D165" t="inlineStr">
        <is>
          <t>Alternative Antriebe (u.a. Strom, Wasser</t>
        </is>
      </c>
      <c r="E165" t="inlineStr">
        <is>
          <t>FUHRPARK</t>
        </is>
      </c>
      <c r="F165" t="inlineStr">
        <is>
          <t>Fuhrpark</t>
        </is>
      </c>
      <c r="G165" t="n">
        <v>2</v>
      </c>
      <c r="H165" t="n">
        <v>169.13</v>
      </c>
      <c r="I165" t="n">
        <v>0</v>
      </c>
      <c r="J165" t="n">
        <v>0</v>
      </c>
      <c r="K165" t="n">
        <v>169.13</v>
      </c>
      <c r="L165" t="n">
        <v>0</v>
      </c>
      <c r="M165" t="n">
        <v>0</v>
      </c>
      <c r="N165" t="n">
        <v>3</v>
      </c>
    </row>
    <row r="166">
      <c r="A166" t="n">
        <v>2026</v>
      </c>
      <c r="B166" t="n">
        <v>2</v>
      </c>
      <c r="C166" t="inlineStr">
        <is>
          <t>401020</t>
        </is>
      </c>
      <c r="D166" t="inlineStr">
        <is>
          <t>Öle und Fette</t>
        </is>
      </c>
      <c r="E166" t="inlineStr">
        <is>
          <t>FUHRPARK</t>
        </is>
      </c>
      <c r="F166" t="inlineStr">
        <is>
          <t>Fuhrpark</t>
        </is>
      </c>
      <c r="G166" t="n">
        <v>2</v>
      </c>
      <c r="H166" t="n">
        <v>76.61</v>
      </c>
      <c r="I166" t="n">
        <v>0</v>
      </c>
      <c r="J166" t="n">
        <v>0</v>
      </c>
      <c r="K166" t="n">
        <v>76.61</v>
      </c>
      <c r="L166" t="n">
        <v>0</v>
      </c>
      <c r="M166" t="n">
        <v>0</v>
      </c>
      <c r="N166" t="n">
        <v>1</v>
      </c>
    </row>
    <row r="167">
      <c r="A167" t="n">
        <v>2026</v>
      </c>
      <c r="B167" t="n">
        <v>2</v>
      </c>
      <c r="C167" t="inlineStr">
        <is>
          <t>401030</t>
        </is>
      </c>
      <c r="D167" t="inlineStr">
        <is>
          <t>Kfz-Steuern</t>
        </is>
      </c>
      <c r="E167" t="inlineStr">
        <is>
          <t>STEUERN</t>
        </is>
      </c>
      <c r="F167" t="inlineStr">
        <is>
          <t>Versicherungen, Mieten, Steuern</t>
        </is>
      </c>
      <c r="G167" t="n">
        <v>9</v>
      </c>
      <c r="H167" t="n">
        <v>296.68</v>
      </c>
      <c r="I167" t="n">
        <v>0</v>
      </c>
      <c r="J167" t="n">
        <v>0</v>
      </c>
      <c r="K167" t="n">
        <v>0</v>
      </c>
      <c r="L167" t="n">
        <v>0</v>
      </c>
      <c r="M167" t="n">
        <v>296.68</v>
      </c>
      <c r="N167" t="n">
        <v>19</v>
      </c>
    </row>
    <row r="168">
      <c r="A168" t="n">
        <v>2026</v>
      </c>
      <c r="B168" t="n">
        <v>2</v>
      </c>
      <c r="C168" t="inlineStr">
        <is>
          <t>401040</t>
        </is>
      </c>
      <c r="D168" t="inlineStr">
        <is>
          <t>Kfz-Versicherungen</t>
        </is>
      </c>
      <c r="E168" t="inlineStr">
        <is>
          <t>FUHRPARK</t>
        </is>
      </c>
      <c r="F168" t="inlineStr">
        <is>
          <t>Fuhrpark</t>
        </is>
      </c>
      <c r="G168" t="n">
        <v>2</v>
      </c>
      <c r="H168" t="n">
        <v>2086.16</v>
      </c>
      <c r="I168" t="n">
        <v>0</v>
      </c>
      <c r="J168" t="n">
        <v>0</v>
      </c>
      <c r="K168" t="n">
        <v>2086.16</v>
      </c>
      <c r="L168" t="n">
        <v>0</v>
      </c>
      <c r="M168" t="n">
        <v>0</v>
      </c>
      <c r="N168" t="n">
        <v>22</v>
      </c>
    </row>
    <row r="169">
      <c r="A169" t="n">
        <v>2026</v>
      </c>
      <c r="B169" t="n">
        <v>2</v>
      </c>
      <c r="C169" t="inlineStr">
        <is>
          <t>401050</t>
        </is>
      </c>
      <c r="D169" t="inlineStr">
        <is>
          <t>Autobahngebühren LKW</t>
        </is>
      </c>
      <c r="E169" t="inlineStr">
        <is>
          <t>FUHRPARK</t>
        </is>
      </c>
      <c r="F169" t="inlineStr">
        <is>
          <t>Fuhrpark</t>
        </is>
      </c>
      <c r="G169" t="n">
        <v>2</v>
      </c>
      <c r="H169" t="n">
        <v>305.01</v>
      </c>
      <c r="I169" t="n">
        <v>0</v>
      </c>
      <c r="J169" t="n">
        <v>0</v>
      </c>
      <c r="K169" t="n">
        <v>305.01</v>
      </c>
      <c r="L169" t="n">
        <v>0</v>
      </c>
      <c r="M169" t="n">
        <v>0</v>
      </c>
      <c r="N169" t="n">
        <v>4</v>
      </c>
    </row>
    <row r="170">
      <c r="A170" t="n">
        <v>2026</v>
      </c>
      <c r="B170" t="n">
        <v>2</v>
      </c>
      <c r="C170" t="inlineStr">
        <is>
          <t>410130</t>
        </is>
      </c>
      <c r="D170" t="inlineStr">
        <is>
          <t>Sonderzahlungen und Prämien Gehaltsempfä</t>
        </is>
      </c>
      <c r="E170" t="inlineStr">
        <is>
          <t>PERSONAL</t>
        </is>
      </c>
      <c r="F170" t="inlineStr">
        <is>
          <t>Personal</t>
        </is>
      </c>
      <c r="G170" t="n">
        <v>2</v>
      </c>
      <c r="H170" t="n">
        <v>7858</v>
      </c>
      <c r="I170" t="n">
        <v>0</v>
      </c>
      <c r="J170" t="n">
        <v>0</v>
      </c>
      <c r="K170" t="n">
        <v>7858</v>
      </c>
      <c r="L170" t="n">
        <v>0</v>
      </c>
      <c r="M170" t="n">
        <v>0</v>
      </c>
      <c r="N170" t="n">
        <v>4</v>
      </c>
    </row>
    <row r="171">
      <c r="A171" t="n">
        <v>2026</v>
      </c>
      <c r="B171" t="n">
        <v>2</v>
      </c>
      <c r="C171" t="inlineStr">
        <is>
          <t>411070</t>
        </is>
      </c>
      <c r="D171" t="inlineStr">
        <is>
          <t>Personalwerbung</t>
        </is>
      </c>
      <c r="E171" t="inlineStr">
        <is>
          <t>PERSONAL</t>
        </is>
      </c>
      <c r="F171" t="inlineStr">
        <is>
          <t>Personal</t>
        </is>
      </c>
      <c r="G171" t="n">
        <v>2</v>
      </c>
      <c r="H171" t="n">
        <v>1350</v>
      </c>
      <c r="I171" t="n">
        <v>0</v>
      </c>
      <c r="J171" t="n">
        <v>0</v>
      </c>
      <c r="K171" t="n">
        <v>1350</v>
      </c>
      <c r="L171" t="n">
        <v>0</v>
      </c>
      <c r="M171" t="n">
        <v>0</v>
      </c>
      <c r="N171" t="n">
        <v>2</v>
      </c>
    </row>
    <row r="172">
      <c r="A172" t="n">
        <v>2026</v>
      </c>
      <c r="B172" t="n">
        <v>2</v>
      </c>
      <c r="C172" t="inlineStr">
        <is>
          <t>411090</t>
        </is>
      </c>
      <c r="D172" t="inlineStr">
        <is>
          <t>Schulung und Ausbildung</t>
        </is>
      </c>
      <c r="E172" t="inlineStr">
        <is>
          <t>PERSONAL</t>
        </is>
      </c>
      <c r="F172" t="inlineStr">
        <is>
          <t>Personal</t>
        </is>
      </c>
      <c r="G172" t="n">
        <v>2</v>
      </c>
      <c r="H172" t="n">
        <v>1822</v>
      </c>
      <c r="I172" t="n">
        <v>0</v>
      </c>
      <c r="J172" t="n">
        <v>0</v>
      </c>
      <c r="K172" t="n">
        <v>1822</v>
      </c>
      <c r="L172" t="n">
        <v>0</v>
      </c>
      <c r="M172" t="n">
        <v>0</v>
      </c>
      <c r="N172" t="n">
        <v>2</v>
      </c>
    </row>
    <row r="173">
      <c r="A173" t="n">
        <v>2026</v>
      </c>
      <c r="B173" t="n">
        <v>2</v>
      </c>
      <c r="C173" t="inlineStr">
        <is>
          <t>411100</t>
        </is>
      </c>
      <c r="D173" t="inlineStr">
        <is>
          <t>Arbeitskleidung und Arbeitschutzbedarf</t>
        </is>
      </c>
      <c r="E173" t="inlineStr">
        <is>
          <t>PERSONAL</t>
        </is>
      </c>
      <c r="F173" t="inlineStr">
        <is>
          <t>Personal</t>
        </is>
      </c>
      <c r="G173" t="n">
        <v>2</v>
      </c>
      <c r="H173" t="n">
        <v>7243.02</v>
      </c>
      <c r="I173" t="n">
        <v>0</v>
      </c>
      <c r="J173" t="n">
        <v>0</v>
      </c>
      <c r="K173" t="n">
        <v>7243.02</v>
      </c>
      <c r="L173" t="n">
        <v>0</v>
      </c>
      <c r="M173" t="n">
        <v>0</v>
      </c>
      <c r="N173" t="n">
        <v>17</v>
      </c>
    </row>
    <row r="174">
      <c r="A174" t="n">
        <v>2026</v>
      </c>
      <c r="B174" t="n">
        <v>2</v>
      </c>
      <c r="C174" t="inlineStr">
        <is>
          <t>411900</t>
        </is>
      </c>
      <c r="D174" t="inlineStr">
        <is>
          <t>Sonstige Personalkosten</t>
        </is>
      </c>
      <c r="E174" t="inlineStr">
        <is>
          <t>PERSONAL</t>
        </is>
      </c>
      <c r="F174" t="inlineStr">
        <is>
          <t>Personal</t>
        </is>
      </c>
      <c r="G174" t="n">
        <v>2</v>
      </c>
      <c r="H174" t="n">
        <v>2949.43</v>
      </c>
      <c r="I174" t="n">
        <v>0</v>
      </c>
      <c r="J174" t="n">
        <v>0</v>
      </c>
      <c r="K174" t="n">
        <v>2949.43</v>
      </c>
      <c r="L174" t="n">
        <v>0</v>
      </c>
      <c r="M174" t="n">
        <v>0</v>
      </c>
      <c r="N174" t="n">
        <v>15</v>
      </c>
    </row>
    <row r="175">
      <c r="A175" t="n">
        <v>2026</v>
      </c>
      <c r="B175" t="n">
        <v>2</v>
      </c>
      <c r="C175" t="inlineStr">
        <is>
          <t>420012</t>
        </is>
      </c>
      <c r="D175" t="inlineStr">
        <is>
          <t>Sonstige Kosten Grundstücke und Gebäude</t>
        </is>
      </c>
      <c r="E175" t="inlineStr">
        <is>
          <t>RAUM_ANLAGEN</t>
        </is>
      </c>
      <c r="F175" t="inlineStr">
        <is>
          <t>Raum, Energie, Instandhaltung</t>
        </is>
      </c>
      <c r="G175" t="n">
        <v>2</v>
      </c>
      <c r="H175" t="n">
        <v>4046.4</v>
      </c>
      <c r="I175" t="n">
        <v>0</v>
      </c>
      <c r="J175" t="n">
        <v>0</v>
      </c>
      <c r="K175" t="n">
        <v>4046.4</v>
      </c>
      <c r="L175" t="n">
        <v>0</v>
      </c>
      <c r="M175" t="n">
        <v>0</v>
      </c>
      <c r="N175" t="n">
        <v>13</v>
      </c>
    </row>
    <row r="176">
      <c r="A176" t="n">
        <v>2026</v>
      </c>
      <c r="B176" t="n">
        <v>2</v>
      </c>
      <c r="C176" t="inlineStr">
        <is>
          <t>420021</t>
        </is>
      </c>
      <c r="D176" t="inlineStr">
        <is>
          <t>Raumpflege eigene Gebäude</t>
        </is>
      </c>
      <c r="E176" t="inlineStr">
        <is>
          <t>RAUM_ANLAGEN</t>
        </is>
      </c>
      <c r="F176" t="inlineStr">
        <is>
          <t>Raum, Energie, Instandhaltung</t>
        </is>
      </c>
      <c r="G176" t="n">
        <v>2</v>
      </c>
      <c r="H176" t="n">
        <v>267.99</v>
      </c>
      <c r="I176" t="n">
        <v>0</v>
      </c>
      <c r="J176" t="n">
        <v>0</v>
      </c>
      <c r="K176" t="n">
        <v>267.99</v>
      </c>
      <c r="L176" t="n">
        <v>0</v>
      </c>
      <c r="M176" t="n">
        <v>0</v>
      </c>
      <c r="N176" t="n">
        <v>1</v>
      </c>
    </row>
    <row r="177">
      <c r="A177" t="n">
        <v>2026</v>
      </c>
      <c r="B177" t="n">
        <v>2</v>
      </c>
      <c r="C177" t="inlineStr">
        <is>
          <t>420022</t>
        </is>
      </c>
      <c r="D177" t="inlineStr">
        <is>
          <t>Raumpflege fremde Gebäude</t>
        </is>
      </c>
      <c r="E177" t="inlineStr">
        <is>
          <t>RAUM_ANLAGEN</t>
        </is>
      </c>
      <c r="F177" t="inlineStr">
        <is>
          <t>Raum, Energie, Instandhaltung</t>
        </is>
      </c>
      <c r="G177" t="n">
        <v>2</v>
      </c>
      <c r="H177" t="n">
        <v>2065.78</v>
      </c>
      <c r="I177" t="n">
        <v>0</v>
      </c>
      <c r="J177" t="n">
        <v>0</v>
      </c>
      <c r="K177" t="n">
        <v>2065.78</v>
      </c>
      <c r="L177" t="n">
        <v>0</v>
      </c>
      <c r="M177" t="n">
        <v>0</v>
      </c>
      <c r="N177" t="n">
        <v>7</v>
      </c>
    </row>
    <row r="178">
      <c r="A178" t="n">
        <v>2026</v>
      </c>
      <c r="B178" t="n">
        <v>2</v>
      </c>
      <c r="C178" t="inlineStr">
        <is>
          <t>420030</t>
        </is>
      </c>
      <c r="D178" t="inlineStr">
        <is>
          <t>Aufwand Energie</t>
        </is>
      </c>
      <c r="E178" t="inlineStr">
        <is>
          <t>RAUM_ANLAGEN</t>
        </is>
      </c>
      <c r="F178" t="inlineStr">
        <is>
          <t>Raum, Energie, Instandhaltung</t>
        </is>
      </c>
      <c r="G178" t="n">
        <v>2</v>
      </c>
      <c r="H178" t="n">
        <v>1184.27</v>
      </c>
      <c r="I178" t="n">
        <v>0</v>
      </c>
      <c r="J178" t="n">
        <v>0</v>
      </c>
      <c r="K178" t="n">
        <v>1184.27</v>
      </c>
      <c r="L178" t="n">
        <v>0</v>
      </c>
      <c r="M178" t="n">
        <v>0</v>
      </c>
      <c r="N178" t="n">
        <v>6</v>
      </c>
    </row>
    <row r="179">
      <c r="A179" t="n">
        <v>2026</v>
      </c>
      <c r="B179" t="n">
        <v>2</v>
      </c>
      <c r="C179" t="inlineStr">
        <is>
          <t>420100</t>
        </is>
      </c>
      <c r="D179" t="inlineStr">
        <is>
          <t>Instandhaltung Betriebsausstattung</t>
        </is>
      </c>
      <c r="E179" t="inlineStr">
        <is>
          <t>RAUM_ANLAGEN</t>
        </is>
      </c>
      <c r="F179" t="inlineStr">
        <is>
          <t>Raum, Energie, Instandhaltung</t>
        </is>
      </c>
      <c r="G179" t="n">
        <v>2</v>
      </c>
      <c r="H179" t="n">
        <v>1906.1</v>
      </c>
      <c r="I179" t="n">
        <v>0</v>
      </c>
      <c r="J179" t="n">
        <v>0</v>
      </c>
      <c r="K179" t="n">
        <v>1906.1</v>
      </c>
      <c r="L179" t="n">
        <v>0</v>
      </c>
      <c r="M179" t="n">
        <v>0</v>
      </c>
      <c r="N179" t="n">
        <v>4</v>
      </c>
    </row>
    <row r="180">
      <c r="A180" t="n">
        <v>2026</v>
      </c>
      <c r="B180" t="n">
        <v>2</v>
      </c>
      <c r="C180" t="inlineStr">
        <is>
          <t>420400</t>
        </is>
      </c>
      <c r="D180" t="inlineStr">
        <is>
          <t>Instandhaltung Geschäftsausstattung</t>
        </is>
      </c>
      <c r="E180" t="inlineStr">
        <is>
          <t>RAUM_ANLAGEN</t>
        </is>
      </c>
      <c r="F180" t="inlineStr">
        <is>
          <t>Raum, Energie, Instandhaltung</t>
        </is>
      </c>
      <c r="G180" t="n">
        <v>2</v>
      </c>
      <c r="H180" t="n">
        <v>1053.07</v>
      </c>
      <c r="I180" t="n">
        <v>0</v>
      </c>
      <c r="J180" t="n">
        <v>0</v>
      </c>
      <c r="K180" t="n">
        <v>1053.07</v>
      </c>
      <c r="L180" t="n">
        <v>0</v>
      </c>
      <c r="M180" t="n">
        <v>0</v>
      </c>
      <c r="N180" t="n">
        <v>13</v>
      </c>
    </row>
    <row r="181">
      <c r="A181" t="n">
        <v>2026</v>
      </c>
      <c r="B181" t="n">
        <v>2</v>
      </c>
      <c r="C181" t="inlineStr">
        <is>
          <t>420500</t>
        </is>
      </c>
      <c r="D181" t="inlineStr">
        <is>
          <t>Instandhaltung Behälter</t>
        </is>
      </c>
      <c r="E181" t="inlineStr">
        <is>
          <t>RAUM_ANLAGEN</t>
        </is>
      </c>
      <c r="F181" t="inlineStr">
        <is>
          <t>Raum, Energie, Instandhaltung</t>
        </is>
      </c>
      <c r="G181" t="n">
        <v>2</v>
      </c>
      <c r="H181" t="n">
        <v>1200</v>
      </c>
      <c r="I181" t="n">
        <v>0</v>
      </c>
      <c r="J181" t="n">
        <v>0</v>
      </c>
      <c r="K181" t="n">
        <v>1200</v>
      </c>
      <c r="L181" t="n">
        <v>0</v>
      </c>
      <c r="M181" t="n">
        <v>0</v>
      </c>
      <c r="N181" t="n">
        <v>1</v>
      </c>
    </row>
    <row r="182">
      <c r="A182" t="n">
        <v>2026</v>
      </c>
      <c r="B182" t="n">
        <v>2</v>
      </c>
      <c r="C182" t="inlineStr">
        <is>
          <t>420600</t>
        </is>
      </c>
      <c r="D182" t="inlineStr">
        <is>
          <t>Werkstattbedarf (Kleinwerkzeuge b.100,-D</t>
        </is>
      </c>
      <c r="E182" t="inlineStr">
        <is>
          <t>RAUM_ANLAGEN</t>
        </is>
      </c>
      <c r="F182" t="inlineStr">
        <is>
          <t>Raum, Energie, Instandhaltung</t>
        </is>
      </c>
      <c r="G182" t="n">
        <v>2</v>
      </c>
      <c r="H182" t="n">
        <v>459.85</v>
      </c>
      <c r="I182" t="n">
        <v>0</v>
      </c>
      <c r="J182" t="n">
        <v>0</v>
      </c>
      <c r="K182" t="n">
        <v>459.85</v>
      </c>
      <c r="L182" t="n">
        <v>0</v>
      </c>
      <c r="M182" t="n">
        <v>0</v>
      </c>
      <c r="N182" t="n">
        <v>6</v>
      </c>
    </row>
    <row r="183">
      <c r="A183" t="n">
        <v>2026</v>
      </c>
      <c r="B183" t="n">
        <v>2</v>
      </c>
      <c r="C183" t="inlineStr">
        <is>
          <t>430010</t>
        </is>
      </c>
      <c r="D183" t="inlineStr">
        <is>
          <t>Vermögensteuer, Grundsteuer u.a.</t>
        </is>
      </c>
      <c r="E183" t="inlineStr">
        <is>
          <t>STEUERN</t>
        </is>
      </c>
      <c r="F183" t="inlineStr">
        <is>
          <t>Versicherungen, Mieten, Steuern</t>
        </is>
      </c>
      <c r="G183" t="n">
        <v>9</v>
      </c>
      <c r="H183" t="n">
        <v>148.09</v>
      </c>
      <c r="I183" t="n">
        <v>0</v>
      </c>
      <c r="J183" t="n">
        <v>0</v>
      </c>
      <c r="K183" t="n">
        <v>0</v>
      </c>
      <c r="L183" t="n">
        <v>0</v>
      </c>
      <c r="M183" t="n">
        <v>148.09</v>
      </c>
      <c r="N183" t="n">
        <v>1</v>
      </c>
    </row>
    <row r="184">
      <c r="A184" t="n">
        <v>2026</v>
      </c>
      <c r="B184" t="n">
        <v>2</v>
      </c>
      <c r="C184" t="inlineStr">
        <is>
          <t>430020</t>
        </is>
      </c>
      <c r="D184" t="inlineStr">
        <is>
          <t>Gewerbeertragsteuer</t>
        </is>
      </c>
      <c r="E184" t="inlineStr">
        <is>
          <t>STEUERN</t>
        </is>
      </c>
      <c r="F184" t="inlineStr">
        <is>
          <t>Versicherungen, Mieten, Steuern</t>
        </is>
      </c>
      <c r="G184" t="n">
        <v>9</v>
      </c>
      <c r="H184" t="n">
        <v>23608</v>
      </c>
      <c r="I184" t="n">
        <v>0</v>
      </c>
      <c r="J184" t="n">
        <v>0</v>
      </c>
      <c r="K184" t="n">
        <v>0</v>
      </c>
      <c r="L184" t="n">
        <v>0</v>
      </c>
      <c r="M184" t="n">
        <v>23608</v>
      </c>
      <c r="N184" t="n">
        <v>12</v>
      </c>
    </row>
    <row r="185">
      <c r="A185" t="n">
        <v>2026</v>
      </c>
      <c r="B185" t="n">
        <v>2</v>
      </c>
      <c r="C185" t="inlineStr">
        <is>
          <t>430110</t>
        </is>
      </c>
      <c r="D185" t="inlineStr">
        <is>
          <t>Aufwendungen für Versicherungsschäden</t>
        </is>
      </c>
      <c r="E185" t="inlineStr">
        <is>
          <t>VERSICHERUNG_MIETE</t>
        </is>
      </c>
      <c r="F185" t="inlineStr">
        <is>
          <t>Versicherungen, Mieten, Steuern</t>
        </is>
      </c>
      <c r="G185" t="n">
        <v>2</v>
      </c>
      <c r="H185" t="n">
        <v>1913.15</v>
      </c>
      <c r="I185" t="n">
        <v>0</v>
      </c>
      <c r="J185" t="n">
        <v>0</v>
      </c>
      <c r="K185" t="n">
        <v>1913.15</v>
      </c>
      <c r="L185" t="n">
        <v>0</v>
      </c>
      <c r="M185" t="n">
        <v>0</v>
      </c>
      <c r="N185" t="n">
        <v>1</v>
      </c>
    </row>
    <row r="186">
      <c r="A186" t="n">
        <v>2026</v>
      </c>
      <c r="B186" t="n">
        <v>2</v>
      </c>
      <c r="C186" t="inlineStr">
        <is>
          <t>430120</t>
        </is>
      </c>
      <c r="D186" t="inlineStr">
        <is>
          <t>Sonstige Versicherungen</t>
        </is>
      </c>
      <c r="E186" t="inlineStr">
        <is>
          <t>VERSICHERUNG_MIETE</t>
        </is>
      </c>
      <c r="F186" t="inlineStr">
        <is>
          <t>Versicherungen, Mieten, Steuern</t>
        </is>
      </c>
      <c r="G186" t="n">
        <v>2</v>
      </c>
      <c r="H186" t="n">
        <v>3431.18</v>
      </c>
      <c r="I186" t="n">
        <v>0</v>
      </c>
      <c r="J186" t="n">
        <v>0</v>
      </c>
      <c r="K186" t="n">
        <v>3431.18</v>
      </c>
      <c r="L186" t="n">
        <v>0</v>
      </c>
      <c r="M186" t="n">
        <v>0</v>
      </c>
      <c r="N186" t="n">
        <v>15</v>
      </c>
    </row>
    <row r="187">
      <c r="A187" t="n">
        <v>2026</v>
      </c>
      <c r="B187" t="n">
        <v>2</v>
      </c>
      <c r="C187" t="inlineStr">
        <is>
          <t>430121</t>
        </is>
      </c>
      <c r="D187" t="inlineStr">
        <is>
          <t>Warenkreditversicherung</t>
        </is>
      </c>
      <c r="E187" t="inlineStr">
        <is>
          <t>VERSICHERUNG_MIETE</t>
        </is>
      </c>
      <c r="F187" t="inlineStr">
        <is>
          <t>Versicherungen, Mieten, Steuern</t>
        </is>
      </c>
      <c r="G187" t="n">
        <v>2</v>
      </c>
      <c r="H187" t="n">
        <v>5142.17</v>
      </c>
      <c r="I187" t="n">
        <v>0</v>
      </c>
      <c r="J187" t="n">
        <v>0</v>
      </c>
      <c r="K187" t="n">
        <v>5142.17</v>
      </c>
      <c r="L187" t="n">
        <v>0</v>
      </c>
      <c r="M187" t="n">
        <v>0</v>
      </c>
      <c r="N187" t="n">
        <v>3</v>
      </c>
    </row>
    <row r="188">
      <c r="A188" t="n">
        <v>2026</v>
      </c>
      <c r="B188" t="n">
        <v>2</v>
      </c>
      <c r="C188" t="inlineStr">
        <is>
          <t>431010</t>
        </is>
      </c>
      <c r="D188" t="inlineStr">
        <is>
          <t>Mieten Räume</t>
        </is>
      </c>
      <c r="E188" t="inlineStr">
        <is>
          <t>VERSICHERUNG_MIETE</t>
        </is>
      </c>
      <c r="F188" t="inlineStr">
        <is>
          <t>Versicherungen, Mieten, Steuern</t>
        </is>
      </c>
      <c r="G188" t="n">
        <v>2</v>
      </c>
      <c r="H188" t="n">
        <v>6847.45</v>
      </c>
      <c r="I188" t="n">
        <v>0</v>
      </c>
      <c r="J188" t="n">
        <v>0</v>
      </c>
      <c r="K188" t="n">
        <v>6847.45</v>
      </c>
      <c r="L188" t="n">
        <v>0</v>
      </c>
      <c r="M188" t="n">
        <v>0</v>
      </c>
      <c r="N188" t="n">
        <v>21</v>
      </c>
    </row>
    <row r="189">
      <c r="A189" t="n">
        <v>2026</v>
      </c>
      <c r="B189" t="n">
        <v>2</v>
      </c>
      <c r="C189" t="inlineStr">
        <is>
          <t>431020</t>
        </is>
      </c>
      <c r="D189" t="inlineStr">
        <is>
          <t>Mieten Plätze</t>
        </is>
      </c>
      <c r="E189" t="inlineStr">
        <is>
          <t>VERSICHERUNG_MIETE</t>
        </is>
      </c>
      <c r="F189" t="inlineStr">
        <is>
          <t>Versicherungen, Mieten, Steuern</t>
        </is>
      </c>
      <c r="G189" t="n">
        <v>2</v>
      </c>
      <c r="H189" t="n">
        <v>4818.19</v>
      </c>
      <c r="I189" t="n">
        <v>0</v>
      </c>
      <c r="J189" t="n">
        <v>0</v>
      </c>
      <c r="K189" t="n">
        <v>4818.19</v>
      </c>
      <c r="L189" t="n">
        <v>0</v>
      </c>
      <c r="M189" t="n">
        <v>0</v>
      </c>
      <c r="N189" t="n">
        <v>18</v>
      </c>
    </row>
    <row r="190">
      <c r="A190" t="n">
        <v>2026</v>
      </c>
      <c r="B190" t="n">
        <v>2</v>
      </c>
      <c r="C190" t="inlineStr">
        <is>
          <t>431041</t>
        </is>
      </c>
      <c r="D190" t="inlineStr">
        <is>
          <t>Miete Behälter</t>
        </is>
      </c>
      <c r="E190" t="inlineStr">
        <is>
          <t>VERSICHERUNG_MIETE</t>
        </is>
      </c>
      <c r="F190" t="inlineStr">
        <is>
          <t>Versicherungen, Mieten, Steuern</t>
        </is>
      </c>
      <c r="G190" t="n">
        <v>2</v>
      </c>
      <c r="H190" t="n">
        <v>493.25</v>
      </c>
      <c r="I190" t="n">
        <v>0</v>
      </c>
      <c r="J190" t="n">
        <v>0</v>
      </c>
      <c r="K190" t="n">
        <v>493.25</v>
      </c>
      <c r="L190" t="n">
        <v>0</v>
      </c>
      <c r="M190" t="n">
        <v>0</v>
      </c>
      <c r="N190" t="n">
        <v>3</v>
      </c>
    </row>
    <row r="191">
      <c r="A191" t="n">
        <v>2026</v>
      </c>
      <c r="B191" t="n">
        <v>2</v>
      </c>
      <c r="C191" t="inlineStr">
        <is>
          <t>450010</t>
        </is>
      </c>
      <c r="D191" t="inlineStr">
        <is>
          <t>Reisekosten Betriebsangehörige</t>
        </is>
      </c>
      <c r="E191" t="inlineStr">
        <is>
          <t>REISE_WERBUNG</t>
        </is>
      </c>
      <c r="F191" t="inlineStr">
        <is>
          <t>Transport, Reise, Werbung</t>
        </is>
      </c>
      <c r="G191" t="n">
        <v>2</v>
      </c>
      <c r="H191" t="n">
        <v>713.02</v>
      </c>
      <c r="I191" t="n">
        <v>0</v>
      </c>
      <c r="J191" t="n">
        <v>0</v>
      </c>
      <c r="K191" t="n">
        <v>713.02</v>
      </c>
      <c r="L191" t="n">
        <v>0</v>
      </c>
      <c r="M191" t="n">
        <v>0</v>
      </c>
      <c r="N191" t="n">
        <v>3</v>
      </c>
    </row>
    <row r="192">
      <c r="A192" t="n">
        <v>2026</v>
      </c>
      <c r="B192" t="n">
        <v>2</v>
      </c>
      <c r="C192" t="inlineStr">
        <is>
          <t>450011</t>
        </is>
      </c>
      <c r="D192" t="inlineStr">
        <is>
          <t>Verpfl.mehraufwand (pauschal)</t>
        </is>
      </c>
      <c r="E192" t="inlineStr">
        <is>
          <t>REISE_WERBUNG</t>
        </is>
      </c>
      <c r="F192" t="inlineStr">
        <is>
          <t>Transport, Reise, Werbung</t>
        </is>
      </c>
      <c r="G192" t="n">
        <v>2</v>
      </c>
      <c r="H192" t="n">
        <v>98</v>
      </c>
      <c r="I192" t="n">
        <v>0</v>
      </c>
      <c r="J192" t="n">
        <v>0</v>
      </c>
      <c r="K192" t="n">
        <v>98</v>
      </c>
      <c r="L192" t="n">
        <v>0</v>
      </c>
      <c r="M192" t="n">
        <v>0</v>
      </c>
      <c r="N192" t="n">
        <v>2</v>
      </c>
    </row>
    <row r="193">
      <c r="A193" t="n">
        <v>2026</v>
      </c>
      <c r="B193" t="n">
        <v>2</v>
      </c>
      <c r="C193" t="inlineStr">
        <is>
          <t>450012</t>
        </is>
      </c>
      <c r="D193" t="inlineStr">
        <is>
          <t>Kilometergeld (pauschal)</t>
        </is>
      </c>
      <c r="E193" t="inlineStr">
        <is>
          <t>REISE_WERBUNG</t>
        </is>
      </c>
      <c r="F193" t="inlineStr">
        <is>
          <t>Transport, Reise, Werbung</t>
        </is>
      </c>
      <c r="G193" t="n">
        <v>2</v>
      </c>
      <c r="H193" t="n">
        <v>669.4400000000001</v>
      </c>
      <c r="I193" t="n">
        <v>0</v>
      </c>
      <c r="J193" t="n">
        <v>0</v>
      </c>
      <c r="K193" t="n">
        <v>669.4400000000001</v>
      </c>
      <c r="L193" t="n">
        <v>0</v>
      </c>
      <c r="M193" t="n">
        <v>0</v>
      </c>
      <c r="N193" t="n">
        <v>2</v>
      </c>
    </row>
    <row r="194">
      <c r="A194" t="n">
        <v>2026</v>
      </c>
      <c r="B194" t="n">
        <v>2</v>
      </c>
      <c r="C194" t="inlineStr">
        <is>
          <t>450020</t>
        </is>
      </c>
      <c r="D194" t="inlineStr">
        <is>
          <t>Reisekosten Betriebsfremde</t>
        </is>
      </c>
      <c r="E194" t="inlineStr">
        <is>
          <t>REISE_WERBUNG</t>
        </is>
      </c>
      <c r="F194" t="inlineStr">
        <is>
          <t>Transport, Reise, Werbung</t>
        </is>
      </c>
      <c r="G194" t="n">
        <v>2</v>
      </c>
      <c r="H194" t="n">
        <v>186.46</v>
      </c>
      <c r="I194" t="n">
        <v>0</v>
      </c>
      <c r="J194" t="n">
        <v>0</v>
      </c>
      <c r="K194" t="n">
        <v>186.46</v>
      </c>
      <c r="L194" t="n">
        <v>0</v>
      </c>
      <c r="M194" t="n">
        <v>0</v>
      </c>
      <c r="N194" t="n">
        <v>4</v>
      </c>
    </row>
    <row r="195">
      <c r="A195" t="n">
        <v>2026</v>
      </c>
      <c r="B195" t="n">
        <v>2</v>
      </c>
      <c r="C195" t="inlineStr">
        <is>
          <t>450030</t>
        </is>
      </c>
      <c r="D195" t="inlineStr">
        <is>
          <t>Bewirtung zu 100 % abzugsfähig</t>
        </is>
      </c>
      <c r="E195" t="inlineStr">
        <is>
          <t>REISE_WERBUNG</t>
        </is>
      </c>
      <c r="F195" t="inlineStr">
        <is>
          <t>Transport, Reise, Werbung</t>
        </is>
      </c>
      <c r="G195" t="n">
        <v>2</v>
      </c>
      <c r="H195" t="n">
        <v>437.41</v>
      </c>
      <c r="I195" t="n">
        <v>0</v>
      </c>
      <c r="J195" t="n">
        <v>0</v>
      </c>
      <c r="K195" t="n">
        <v>437.41</v>
      </c>
      <c r="L195" t="n">
        <v>0</v>
      </c>
      <c r="M195" t="n">
        <v>0</v>
      </c>
      <c r="N195" t="n">
        <v>16</v>
      </c>
    </row>
    <row r="196">
      <c r="A196" t="n">
        <v>2026</v>
      </c>
      <c r="B196" t="n">
        <v>2</v>
      </c>
      <c r="C196" t="inlineStr">
        <is>
          <t>450039</t>
        </is>
      </c>
      <c r="D196" t="inlineStr">
        <is>
          <t>Bewirtung zu 70 % abzugsfähig</t>
        </is>
      </c>
      <c r="E196" t="inlineStr">
        <is>
          <t>REISE_WERBUNG</t>
        </is>
      </c>
      <c r="F196" t="inlineStr">
        <is>
          <t>Transport, Reise, Werbung</t>
        </is>
      </c>
      <c r="G196" t="n">
        <v>2</v>
      </c>
      <c r="H196" t="n">
        <v>142.25</v>
      </c>
      <c r="I196" t="n">
        <v>0</v>
      </c>
      <c r="J196" t="n">
        <v>0</v>
      </c>
      <c r="K196" t="n">
        <v>142.25</v>
      </c>
      <c r="L196" t="n">
        <v>0</v>
      </c>
      <c r="M196" t="n">
        <v>0</v>
      </c>
      <c r="N196" t="n">
        <v>5</v>
      </c>
    </row>
    <row r="197">
      <c r="A197" t="n">
        <v>2026</v>
      </c>
      <c r="B197" t="n">
        <v>2</v>
      </c>
      <c r="C197" t="inlineStr">
        <is>
          <t>450050</t>
        </is>
      </c>
      <c r="D197" t="inlineStr">
        <is>
          <t>Allgemeine Repräsentationskosten</t>
        </is>
      </c>
      <c r="E197" t="inlineStr">
        <is>
          <t>REISE_WERBUNG</t>
        </is>
      </c>
      <c r="F197" t="inlineStr">
        <is>
          <t>Transport, Reise, Werbung</t>
        </is>
      </c>
      <c r="G197" t="n">
        <v>2</v>
      </c>
      <c r="H197" t="n">
        <v>321.75</v>
      </c>
      <c r="I197" t="n">
        <v>0</v>
      </c>
      <c r="J197" t="n">
        <v>0</v>
      </c>
      <c r="K197" t="n">
        <v>321.75</v>
      </c>
      <c r="L197" t="n">
        <v>0</v>
      </c>
      <c r="M197" t="n">
        <v>0</v>
      </c>
      <c r="N197" t="n">
        <v>3</v>
      </c>
    </row>
    <row r="198">
      <c r="A198" t="n">
        <v>2026</v>
      </c>
      <c r="B198" t="n">
        <v>2</v>
      </c>
      <c r="C198" t="inlineStr">
        <is>
          <t>460010</t>
        </is>
      </c>
      <c r="D198" t="inlineStr">
        <is>
          <t>Büromaterial</t>
        </is>
      </c>
      <c r="E198" t="inlineStr">
        <is>
          <t>VERWALTUNG</t>
        </is>
      </c>
      <c r="F198" t="inlineStr">
        <is>
          <t>Verwaltung und Beratung</t>
        </is>
      </c>
      <c r="G198" t="n">
        <v>2</v>
      </c>
      <c r="H198" t="n">
        <v>1172.86</v>
      </c>
      <c r="I198" t="n">
        <v>0</v>
      </c>
      <c r="J198" t="n">
        <v>0</v>
      </c>
      <c r="K198" t="n">
        <v>1172.86</v>
      </c>
      <c r="L198" t="n">
        <v>0</v>
      </c>
      <c r="M198" t="n">
        <v>0</v>
      </c>
      <c r="N198" t="n">
        <v>11</v>
      </c>
    </row>
    <row r="199">
      <c r="A199" t="n">
        <v>2026</v>
      </c>
      <c r="B199" t="n">
        <v>2</v>
      </c>
      <c r="C199" t="inlineStr">
        <is>
          <t>460020</t>
        </is>
      </c>
      <c r="D199" t="inlineStr">
        <is>
          <t>Zeitungen, Zeitschrift.und Bücher</t>
        </is>
      </c>
      <c r="E199" t="inlineStr">
        <is>
          <t>VERWALTUNG</t>
        </is>
      </c>
      <c r="F199" t="inlineStr">
        <is>
          <t>Verwaltung und Beratung</t>
        </is>
      </c>
      <c r="G199" t="n">
        <v>2</v>
      </c>
      <c r="H199" t="n">
        <v>336.94</v>
      </c>
      <c r="I199" t="n">
        <v>0</v>
      </c>
      <c r="J199" t="n">
        <v>0</v>
      </c>
      <c r="K199" t="n">
        <v>336.94</v>
      </c>
      <c r="L199" t="n">
        <v>0</v>
      </c>
      <c r="M199" t="n">
        <v>0</v>
      </c>
      <c r="N199" t="n">
        <v>2</v>
      </c>
    </row>
    <row r="200">
      <c r="A200" t="n">
        <v>2026</v>
      </c>
      <c r="B200" t="n">
        <v>2</v>
      </c>
      <c r="C200" t="inlineStr">
        <is>
          <t>460030</t>
        </is>
      </c>
      <c r="D200" t="inlineStr">
        <is>
          <t>Telekommunikation</t>
        </is>
      </c>
      <c r="E200" t="inlineStr">
        <is>
          <t>VERWALTUNG</t>
        </is>
      </c>
      <c r="F200" t="inlineStr">
        <is>
          <t>Verwaltung und Beratung</t>
        </is>
      </c>
      <c r="G200" t="n">
        <v>2</v>
      </c>
      <c r="H200" t="n">
        <v>1576.91</v>
      </c>
      <c r="I200" t="n">
        <v>0</v>
      </c>
      <c r="J200" t="n">
        <v>0</v>
      </c>
      <c r="K200" t="n">
        <v>1576.91</v>
      </c>
      <c r="L200" t="n">
        <v>0</v>
      </c>
      <c r="M200" t="n">
        <v>0</v>
      </c>
      <c r="N200" t="n">
        <v>17</v>
      </c>
    </row>
    <row r="201">
      <c r="A201" t="n">
        <v>2026</v>
      </c>
      <c r="B201" t="n">
        <v>2</v>
      </c>
      <c r="C201" t="inlineStr">
        <is>
          <t>460040</t>
        </is>
      </c>
      <c r="D201" t="inlineStr">
        <is>
          <t>Portogebühren</t>
        </is>
      </c>
      <c r="E201" t="inlineStr">
        <is>
          <t>VERWALTUNG</t>
        </is>
      </c>
      <c r="F201" t="inlineStr">
        <is>
          <t>Verwaltung und Beratung</t>
        </is>
      </c>
      <c r="G201" t="n">
        <v>2</v>
      </c>
      <c r="H201" t="n">
        <v>281.15</v>
      </c>
      <c r="I201" t="n">
        <v>0</v>
      </c>
      <c r="J201" t="n">
        <v>0</v>
      </c>
      <c r="K201" t="n">
        <v>281.15</v>
      </c>
      <c r="L201" t="n">
        <v>0</v>
      </c>
      <c r="M201" t="n">
        <v>0</v>
      </c>
      <c r="N201" t="n">
        <v>7</v>
      </c>
    </row>
    <row r="202">
      <c r="A202" t="n">
        <v>2026</v>
      </c>
      <c r="B202" t="n">
        <v>2</v>
      </c>
      <c r="C202" t="inlineStr">
        <is>
          <t>460060</t>
        </is>
      </c>
      <c r="D202" t="inlineStr">
        <is>
          <t>Kosten EDV</t>
        </is>
      </c>
      <c r="E202" t="inlineStr">
        <is>
          <t>VERWALTUNG</t>
        </is>
      </c>
      <c r="F202" t="inlineStr">
        <is>
          <t>Verwaltung und Beratung</t>
        </is>
      </c>
      <c r="G202" t="n">
        <v>2</v>
      </c>
      <c r="H202" t="n">
        <v>2313.35</v>
      </c>
      <c r="I202" t="n">
        <v>0</v>
      </c>
      <c r="J202" t="n">
        <v>0</v>
      </c>
      <c r="K202" t="n">
        <v>2313.35</v>
      </c>
      <c r="L202" t="n">
        <v>0</v>
      </c>
      <c r="M202" t="n">
        <v>0</v>
      </c>
      <c r="N202" t="n">
        <v>9</v>
      </c>
    </row>
    <row r="203">
      <c r="A203" t="n">
        <v>2026</v>
      </c>
      <c r="B203" t="n">
        <v>2</v>
      </c>
      <c r="C203" t="inlineStr">
        <is>
          <t>460065</t>
        </is>
      </c>
      <c r="D203" t="inlineStr">
        <is>
          <t>IT Lizenzgebühren</t>
        </is>
      </c>
      <c r="E203" t="inlineStr">
        <is>
          <t>VERWALTUNG</t>
        </is>
      </c>
      <c r="F203" t="inlineStr">
        <is>
          <t>Verwaltung und Beratung</t>
        </is>
      </c>
      <c r="G203" t="n">
        <v>2</v>
      </c>
      <c r="H203" t="n">
        <v>2903.85</v>
      </c>
      <c r="I203" t="n">
        <v>0</v>
      </c>
      <c r="J203" t="n">
        <v>0</v>
      </c>
      <c r="K203" t="n">
        <v>2903.85</v>
      </c>
      <c r="L203" t="n">
        <v>0</v>
      </c>
      <c r="M203" t="n">
        <v>0</v>
      </c>
      <c r="N203" t="n">
        <v>5</v>
      </c>
    </row>
    <row r="204">
      <c r="A204" t="n">
        <v>2026</v>
      </c>
      <c r="B204" t="n">
        <v>2</v>
      </c>
      <c r="C204" t="inlineStr">
        <is>
          <t>460080</t>
        </is>
      </c>
      <c r="D204" t="inlineStr">
        <is>
          <t>Pflichtbeiträge zu Verbänden</t>
        </is>
      </c>
      <c r="E204" t="inlineStr">
        <is>
          <t>VERWALTUNG</t>
        </is>
      </c>
      <c r="F204" t="inlineStr">
        <is>
          <t>Verwaltung und Beratung</t>
        </is>
      </c>
      <c r="G204" t="n">
        <v>2</v>
      </c>
      <c r="H204" t="n">
        <v>1390.8</v>
      </c>
      <c r="I204" t="n">
        <v>0</v>
      </c>
      <c r="J204" t="n">
        <v>0</v>
      </c>
      <c r="K204" t="n">
        <v>1390.8</v>
      </c>
      <c r="L204" t="n">
        <v>0</v>
      </c>
      <c r="M204" t="n">
        <v>0</v>
      </c>
      <c r="N204" t="n">
        <v>3</v>
      </c>
    </row>
    <row r="205">
      <c r="A205" t="n">
        <v>2026</v>
      </c>
      <c r="B205" t="n">
        <v>2</v>
      </c>
      <c r="C205" t="inlineStr">
        <is>
          <t>460900</t>
        </is>
      </c>
      <c r="D205" t="inlineStr">
        <is>
          <t>Sonstige Verwaltungskosten</t>
        </is>
      </c>
      <c r="E205" t="inlineStr">
        <is>
          <t>VERWALTUNG</t>
        </is>
      </c>
      <c r="F205" t="inlineStr">
        <is>
          <t>Verwaltung und Beratung</t>
        </is>
      </c>
      <c r="G205" t="n">
        <v>2</v>
      </c>
      <c r="H205" t="n">
        <v>375.7</v>
      </c>
      <c r="I205" t="n">
        <v>0</v>
      </c>
      <c r="J205" t="n">
        <v>0</v>
      </c>
      <c r="K205" t="n">
        <v>375.7</v>
      </c>
      <c r="L205" t="n">
        <v>0</v>
      </c>
      <c r="M205" t="n">
        <v>0</v>
      </c>
      <c r="N205" t="n">
        <v>20</v>
      </c>
    </row>
    <row r="206">
      <c r="A206" t="n">
        <v>2026</v>
      </c>
      <c r="B206" t="n">
        <v>2</v>
      </c>
      <c r="C206" t="inlineStr">
        <is>
          <t>470010</t>
        </is>
      </c>
      <c r="D206" t="inlineStr">
        <is>
          <t>Anwalts- und Gerichtskosten</t>
        </is>
      </c>
      <c r="E206" t="inlineStr">
        <is>
          <t>BERATUNG_UMLAGE</t>
        </is>
      </c>
      <c r="F206" t="inlineStr">
        <is>
          <t>Verwaltung und Beratung</t>
        </is>
      </c>
      <c r="G206" t="n">
        <v>2</v>
      </c>
      <c r="H206" t="n">
        <v>95</v>
      </c>
      <c r="I206" t="n">
        <v>0</v>
      </c>
      <c r="J206" t="n">
        <v>0</v>
      </c>
      <c r="K206" t="n">
        <v>95</v>
      </c>
      <c r="L206" t="n">
        <v>0</v>
      </c>
      <c r="M206" t="n">
        <v>0</v>
      </c>
      <c r="N206" t="n">
        <v>1</v>
      </c>
    </row>
    <row r="207">
      <c r="A207" t="n">
        <v>2026</v>
      </c>
      <c r="B207" t="n">
        <v>2</v>
      </c>
      <c r="C207" t="inlineStr">
        <is>
          <t>470020</t>
        </is>
      </c>
      <c r="D207" t="inlineStr">
        <is>
          <t>kaufm. Beratung und Buchführung</t>
        </is>
      </c>
      <c r="E207" t="inlineStr">
        <is>
          <t>BERATUNG_UMLAGE</t>
        </is>
      </c>
      <c r="F207" t="inlineStr">
        <is>
          <t>Verwaltung und Beratung</t>
        </is>
      </c>
      <c r="G207" t="n">
        <v>2</v>
      </c>
      <c r="H207" t="n">
        <v>11123</v>
      </c>
      <c r="I207" t="n">
        <v>0</v>
      </c>
      <c r="J207" t="n">
        <v>0</v>
      </c>
      <c r="K207" t="n">
        <v>11123</v>
      </c>
      <c r="L207" t="n">
        <v>0</v>
      </c>
      <c r="M207" t="n">
        <v>0</v>
      </c>
      <c r="N207" t="n">
        <v>6</v>
      </c>
    </row>
    <row r="208">
      <c r="A208" t="n">
        <v>2026</v>
      </c>
      <c r="B208" t="n">
        <v>2</v>
      </c>
      <c r="C208" t="inlineStr">
        <is>
          <t>470025</t>
        </is>
      </c>
      <c r="D208" t="inlineStr">
        <is>
          <t>Steuerberatungskosten</t>
        </is>
      </c>
      <c r="E208" t="inlineStr">
        <is>
          <t>BERATUNG_UMLAGE</t>
        </is>
      </c>
      <c r="F208" t="inlineStr">
        <is>
          <t>Verwaltung und Beratung</t>
        </is>
      </c>
      <c r="G208" t="n">
        <v>2</v>
      </c>
      <c r="H208" t="n">
        <v>9000</v>
      </c>
      <c r="I208" t="n">
        <v>0</v>
      </c>
      <c r="J208" t="n">
        <v>0</v>
      </c>
      <c r="K208" t="n">
        <v>9000</v>
      </c>
      <c r="L208" t="n">
        <v>0</v>
      </c>
      <c r="M208" t="n">
        <v>0</v>
      </c>
      <c r="N208" t="n">
        <v>1</v>
      </c>
    </row>
    <row r="209">
      <c r="A209" t="n">
        <v>2026</v>
      </c>
      <c r="B209" t="n">
        <v>2</v>
      </c>
      <c r="C209" t="inlineStr">
        <is>
          <t>470030</t>
        </is>
      </c>
      <c r="D209" t="inlineStr">
        <is>
          <t>Beratungskosten Allgemeine Verwaltung</t>
        </is>
      </c>
      <c r="E209" t="inlineStr">
        <is>
          <t>BERATUNG_UMLAGE</t>
        </is>
      </c>
      <c r="F209" t="inlineStr">
        <is>
          <t>Verwaltung und Beratung</t>
        </is>
      </c>
      <c r="G209" t="n">
        <v>2</v>
      </c>
      <c r="H209" t="n">
        <v>29.8</v>
      </c>
      <c r="I209" t="n">
        <v>0</v>
      </c>
      <c r="J209" t="n">
        <v>0</v>
      </c>
      <c r="K209" t="n">
        <v>29.8</v>
      </c>
      <c r="L209" t="n">
        <v>0</v>
      </c>
      <c r="M209" t="n">
        <v>0</v>
      </c>
      <c r="N209" t="n">
        <v>1</v>
      </c>
    </row>
    <row r="210">
      <c r="A210" t="n">
        <v>2026</v>
      </c>
      <c r="B210" t="n">
        <v>2</v>
      </c>
      <c r="C210" t="inlineStr">
        <is>
          <t>470036</t>
        </is>
      </c>
      <c r="D210" t="inlineStr">
        <is>
          <t>Aufwendungen Umlage zentrale Verwaltung</t>
        </is>
      </c>
      <c r="E210" t="inlineStr">
        <is>
          <t>BERATUNG_UMLAGE</t>
        </is>
      </c>
      <c r="F210" t="inlineStr">
        <is>
          <t>Verwaltung und Beratung</t>
        </is>
      </c>
      <c r="G210" t="n">
        <v>2</v>
      </c>
      <c r="H210" t="n">
        <v>3098</v>
      </c>
      <c r="I210" t="n">
        <v>0</v>
      </c>
      <c r="J210" t="n">
        <v>0</v>
      </c>
      <c r="K210" t="n">
        <v>3098</v>
      </c>
      <c r="L210" t="n">
        <v>0</v>
      </c>
      <c r="M210" t="n">
        <v>0</v>
      </c>
      <c r="N210" t="n">
        <v>2</v>
      </c>
    </row>
    <row r="211">
      <c r="A211" t="n">
        <v>2026</v>
      </c>
      <c r="B211" t="n">
        <v>2</v>
      </c>
      <c r="C211" t="inlineStr">
        <is>
          <t>480100</t>
        </is>
      </c>
      <c r="D211" t="inlineStr">
        <is>
          <t>Normalabschreibung auf Anlagen</t>
        </is>
      </c>
      <c r="E211" t="inlineStr">
        <is>
          <t>ABSCHREIBUNG</t>
        </is>
      </c>
      <c r="F211" t="inlineStr">
        <is>
          <t>Abschreibungen</t>
        </is>
      </c>
      <c r="G211" t="n">
        <v>2</v>
      </c>
      <c r="H211" t="n">
        <v>2674</v>
      </c>
      <c r="I211" t="n">
        <v>0</v>
      </c>
      <c r="J211" t="n">
        <v>0</v>
      </c>
      <c r="K211" t="n">
        <v>2674</v>
      </c>
      <c r="L211" t="n">
        <v>0</v>
      </c>
      <c r="M211" t="n">
        <v>0</v>
      </c>
      <c r="N211" t="n">
        <v>14</v>
      </c>
    </row>
    <row r="212">
      <c r="A212" t="n">
        <v>2026</v>
      </c>
      <c r="B212" t="n">
        <v>2</v>
      </c>
      <c r="C212" t="inlineStr">
        <is>
          <t>480110</t>
        </is>
      </c>
      <c r="D212" t="inlineStr">
        <is>
          <t>Abschreibungen auf Anlagen (GWG)</t>
        </is>
      </c>
      <c r="E212" t="inlineStr">
        <is>
          <t>ABSCHREIBUNG</t>
        </is>
      </c>
      <c r="F212" t="inlineStr">
        <is>
          <t>Abschreibungen</t>
        </is>
      </c>
      <c r="G212" t="n">
        <v>2</v>
      </c>
      <c r="H212" t="n">
        <v>275.51</v>
      </c>
      <c r="I212" t="n">
        <v>0</v>
      </c>
      <c r="J212" t="n">
        <v>0</v>
      </c>
      <c r="K212" t="n">
        <v>275.51</v>
      </c>
      <c r="L212" t="n">
        <v>0</v>
      </c>
      <c r="M212" t="n">
        <v>0</v>
      </c>
      <c r="N212" t="n">
        <v>11</v>
      </c>
    </row>
    <row r="213">
      <c r="A213" t="n">
        <v>2026</v>
      </c>
      <c r="B213" t="n">
        <v>2</v>
      </c>
      <c r="C213" t="inlineStr">
        <is>
          <t>499200</t>
        </is>
      </c>
      <c r="D213" t="inlineStr">
        <is>
          <t>Kalk. Zinsen</t>
        </is>
      </c>
      <c r="E213" t="inlineStr">
        <is>
          <t>KALKULATORISCH</t>
        </is>
      </c>
      <c r="F213" t="inlineStr">
        <is>
          <t>Kalkulatorische Kosten</t>
        </is>
      </c>
      <c r="G213" t="n">
        <v>9</v>
      </c>
      <c r="H213" t="n">
        <v>632</v>
      </c>
      <c r="I213" t="n">
        <v>0</v>
      </c>
      <c r="J213" t="n">
        <v>0</v>
      </c>
      <c r="K213" t="n">
        <v>0</v>
      </c>
      <c r="L213" t="n">
        <v>0</v>
      </c>
      <c r="M213" t="n">
        <v>632</v>
      </c>
      <c r="N213" t="n">
        <v>22</v>
      </c>
    </row>
    <row r="214">
      <c r="A214" t="n">
        <v>2026</v>
      </c>
      <c r="B214" t="n">
        <v>2</v>
      </c>
      <c r="C214" t="inlineStr">
        <is>
          <t>499300</t>
        </is>
      </c>
      <c r="D214" t="inlineStr">
        <is>
          <t>Kalk. Abschreibungen</t>
        </is>
      </c>
      <c r="E214" t="inlineStr">
        <is>
          <t>KALKULATORISCH</t>
        </is>
      </c>
      <c r="F214" t="inlineStr">
        <is>
          <t>Kalkulatorische Kosten</t>
        </is>
      </c>
      <c r="G214" t="n">
        <v>9</v>
      </c>
      <c r="H214" t="n">
        <v>3394.51</v>
      </c>
      <c r="I214" t="n">
        <v>0</v>
      </c>
      <c r="J214" t="n">
        <v>0</v>
      </c>
      <c r="K214" t="n">
        <v>0</v>
      </c>
      <c r="L214" t="n">
        <v>0</v>
      </c>
      <c r="M214" t="n">
        <v>3394.51</v>
      </c>
      <c r="N214" t="n">
        <v>25</v>
      </c>
    </row>
    <row r="215">
      <c r="A215" t="n">
        <v>2026</v>
      </c>
      <c r="B215" t="n">
        <v>2</v>
      </c>
      <c r="C215" t="inlineStr">
        <is>
          <t>7611100</t>
        </is>
      </c>
      <c r="D215" t="inlineStr">
        <is>
          <t>Lohnverr. Gruppe1</t>
        </is>
      </c>
      <c r="E215" t="inlineStr">
        <is>
          <t>LOHNVERRECHNUNG</t>
        </is>
      </c>
      <c r="F215" t="inlineStr">
        <is>
          <t>Innerbetriebliche Verrechnung</t>
        </is>
      </c>
      <c r="G215" t="n">
        <v>1</v>
      </c>
      <c r="H215" t="n">
        <v>627</v>
      </c>
      <c r="I215" t="n">
        <v>0</v>
      </c>
      <c r="J215" t="n">
        <v>627</v>
      </c>
      <c r="K215" t="n">
        <v>0</v>
      </c>
      <c r="L215" t="n">
        <v>0</v>
      </c>
      <c r="M215" t="n">
        <v>0</v>
      </c>
      <c r="N215" t="n">
        <v>33</v>
      </c>
    </row>
    <row r="216">
      <c r="A216" t="n">
        <v>2026</v>
      </c>
      <c r="B216" t="n">
        <v>2</v>
      </c>
      <c r="C216" t="inlineStr">
        <is>
          <t>7611200</t>
        </is>
      </c>
      <c r="D216" t="inlineStr">
        <is>
          <t>Lohnverr. Gruppe 2</t>
        </is>
      </c>
      <c r="E216" t="inlineStr">
        <is>
          <t>LOHNVERRECHNUNG</t>
        </is>
      </c>
      <c r="F216" t="inlineStr">
        <is>
          <t>Innerbetriebliche Verrechnung</t>
        </is>
      </c>
      <c r="G216" t="n">
        <v>1</v>
      </c>
      <c r="H216" t="n">
        <v>429</v>
      </c>
      <c r="I216" t="n">
        <v>0</v>
      </c>
      <c r="J216" t="n">
        <v>429</v>
      </c>
      <c r="K216" t="n">
        <v>0</v>
      </c>
      <c r="L216" t="n">
        <v>0</v>
      </c>
      <c r="M216" t="n">
        <v>0</v>
      </c>
      <c r="N216" t="n">
        <v>44</v>
      </c>
    </row>
    <row r="217">
      <c r="A217" t="n">
        <v>2026</v>
      </c>
      <c r="B217" t="n">
        <v>2</v>
      </c>
      <c r="C217" t="inlineStr">
        <is>
          <t>7612000</t>
        </is>
      </c>
      <c r="D217" t="inlineStr">
        <is>
          <t>Verrechnung Geräte</t>
        </is>
      </c>
      <c r="E217" t="inlineStr">
        <is>
          <t>GERAETEVERRECHNUNG</t>
        </is>
      </c>
      <c r="F217" t="inlineStr">
        <is>
          <t>Innerbetriebliche Verrechnung</t>
        </is>
      </c>
      <c r="G217" t="n">
        <v>1</v>
      </c>
      <c r="H217" t="n">
        <v>1320</v>
      </c>
      <c r="I217" t="n">
        <v>0</v>
      </c>
      <c r="J217" t="n">
        <v>1320</v>
      </c>
      <c r="K217" t="n">
        <v>0</v>
      </c>
      <c r="L217" t="n">
        <v>0</v>
      </c>
      <c r="M217" t="n">
        <v>0</v>
      </c>
      <c r="N217" t="n">
        <v>114</v>
      </c>
    </row>
    <row r="218">
      <c r="A218" t="n">
        <v>2026</v>
      </c>
      <c r="B218" t="n">
        <v>2</v>
      </c>
      <c r="C218" t="inlineStr">
        <is>
          <t>7801020</t>
        </is>
      </c>
      <c r="D218" t="inlineStr">
        <is>
          <t>Gemeinkostenzuschläge 12 % TVF Altwert</t>
        </is>
      </c>
      <c r="E218" t="inlineStr">
        <is>
          <t>GEMEINKOSTENUMLAGE</t>
        </is>
      </c>
      <c r="F218" t="inlineStr">
        <is>
          <t>Innerbetriebliche Verrechnung</t>
        </is>
      </c>
      <c r="G218" t="n">
        <v>2</v>
      </c>
      <c r="H218" t="n">
        <v>-235868.56</v>
      </c>
      <c r="I218" t="n">
        <v>0</v>
      </c>
      <c r="J218" t="n">
        <v>0</v>
      </c>
      <c r="K218" t="n">
        <v>0</v>
      </c>
      <c r="L218" t="n">
        <v>-235868.56</v>
      </c>
      <c r="M218" t="n">
        <v>0</v>
      </c>
      <c r="N218" t="n">
        <v>114</v>
      </c>
    </row>
    <row r="219">
      <c r="A219" t="n">
        <v>2026</v>
      </c>
      <c r="B219" t="n">
        <v>2</v>
      </c>
      <c r="C219" t="inlineStr">
        <is>
          <t>830510</t>
        </is>
      </c>
      <c r="D219" t="inlineStr">
        <is>
          <t>Erlöse Abrisse/Demontagen</t>
        </is>
      </c>
      <c r="E219" t="inlineStr">
        <is>
          <t>ERLOES</t>
        </is>
      </c>
      <c r="F219" t="inlineStr">
        <is>
          <t>Umsatzerlöse</t>
        </is>
      </c>
      <c r="G219" t="n">
        <v>0</v>
      </c>
      <c r="H219" t="n">
        <v>-2754976.41</v>
      </c>
      <c r="I219" t="n">
        <v>2754976.41</v>
      </c>
      <c r="J219" t="n">
        <v>0</v>
      </c>
      <c r="K219" t="n">
        <v>0</v>
      </c>
      <c r="L219" t="n">
        <v>0</v>
      </c>
      <c r="M219" t="n">
        <v>0</v>
      </c>
      <c r="N219" t="n">
        <v>82</v>
      </c>
    </row>
    <row r="220">
      <c r="A220" t="n">
        <v>2026</v>
      </c>
      <c r="B220" t="n">
        <v>2</v>
      </c>
      <c r="C220" t="inlineStr">
        <is>
          <t>840040</t>
        </is>
      </c>
      <c r="D220" t="inlineStr">
        <is>
          <t>Erlöse Verkauf HW Schrott</t>
        </is>
      </c>
      <c r="E220" t="inlineStr">
        <is>
          <t>ERLOES</t>
        </is>
      </c>
      <c r="F220" t="inlineStr">
        <is>
          <t>Umsatzerlöse</t>
        </is>
      </c>
      <c r="G220" t="n">
        <v>0</v>
      </c>
      <c r="H220" t="n">
        <v>-26116.4</v>
      </c>
      <c r="I220" t="n">
        <v>26116.4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</row>
    <row r="221">
      <c r="A221" t="n">
        <v>2026</v>
      </c>
      <c r="B221" t="n">
        <v>2</v>
      </c>
      <c r="C221" t="inlineStr">
        <is>
          <t>890100</t>
        </is>
      </c>
      <c r="D221" t="inlineStr">
        <is>
          <t>Gewährte Skonti</t>
        </is>
      </c>
      <c r="E221" t="inlineStr">
        <is>
          <t>ERLOESSCHMAELERUNG</t>
        </is>
      </c>
      <c r="F221" t="inlineStr">
        <is>
          <t>Umsatzerlöse</t>
        </is>
      </c>
      <c r="G221" t="n">
        <v>0</v>
      </c>
      <c r="H221" t="n">
        <v>3848.16</v>
      </c>
      <c r="I221" t="n">
        <v>-3848.16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</row>
    <row r="222">
      <c r="A222" t="n">
        <v>2026</v>
      </c>
      <c r="B222" t="n">
        <v>3</v>
      </c>
      <c r="C222" t="inlineStr">
        <is>
          <t>201000</t>
        </is>
      </c>
      <c r="D222" t="inlineStr">
        <is>
          <t>Sonstige periodenfremde Aufwendungen</t>
        </is>
      </c>
      <c r="E222" t="inlineStr">
        <is>
          <t>NEUTRALER_AUFWAND</t>
        </is>
      </c>
      <c r="F222" t="inlineStr">
        <is>
          <t>Sonstiges</t>
        </is>
      </c>
      <c r="G222" t="n">
        <v>9</v>
      </c>
      <c r="H222" t="n">
        <v>17375.51</v>
      </c>
      <c r="I222" t="n">
        <v>0</v>
      </c>
      <c r="J222" t="n">
        <v>0</v>
      </c>
      <c r="K222" t="n">
        <v>0</v>
      </c>
      <c r="L222" t="n">
        <v>0</v>
      </c>
      <c r="M222" t="n">
        <v>17375.51</v>
      </c>
      <c r="N222" t="n">
        <v>6</v>
      </c>
    </row>
    <row r="223">
      <c r="A223" t="n">
        <v>2026</v>
      </c>
      <c r="B223" t="n">
        <v>3</v>
      </c>
      <c r="C223" t="inlineStr">
        <is>
          <t>210000</t>
        </is>
      </c>
      <c r="D223" t="inlineStr">
        <is>
          <t>Übrige Zinsen und ähnliche Aufwendungen</t>
        </is>
      </c>
      <c r="E223" t="inlineStr">
        <is>
          <t>ZINSEN</t>
        </is>
      </c>
      <c r="F223" t="inlineStr">
        <is>
          <t>Zinsergebnis</t>
        </is>
      </c>
      <c r="G223" t="n">
        <v>9</v>
      </c>
      <c r="H223" t="n">
        <v>12.11</v>
      </c>
      <c r="I223" t="n">
        <v>0</v>
      </c>
      <c r="J223" t="n">
        <v>0</v>
      </c>
      <c r="K223" t="n">
        <v>0</v>
      </c>
      <c r="L223" t="n">
        <v>0</v>
      </c>
      <c r="M223" t="n">
        <v>12.11</v>
      </c>
      <c r="N223" t="n">
        <v>1</v>
      </c>
    </row>
    <row r="224">
      <c r="A224" t="n">
        <v>2026</v>
      </c>
      <c r="B224" t="n">
        <v>3</v>
      </c>
      <c r="C224" t="inlineStr">
        <is>
          <t>213101</t>
        </is>
      </c>
      <c r="D224" t="inlineStr">
        <is>
          <t>Zinsen Factoring</t>
        </is>
      </c>
      <c r="E224" t="inlineStr">
        <is>
          <t>ZINSEN</t>
        </is>
      </c>
      <c r="F224" t="inlineStr">
        <is>
          <t>Zinsergebnis</t>
        </is>
      </c>
      <c r="G224" t="n">
        <v>9</v>
      </c>
      <c r="H224" t="n">
        <v>4798.96</v>
      </c>
      <c r="I224" t="n">
        <v>0</v>
      </c>
      <c r="J224" t="n">
        <v>0</v>
      </c>
      <c r="K224" t="n">
        <v>0</v>
      </c>
      <c r="L224" t="n">
        <v>0</v>
      </c>
      <c r="M224" t="n">
        <v>4798.96</v>
      </c>
      <c r="N224" t="n">
        <v>1</v>
      </c>
    </row>
    <row r="225">
      <c r="A225" t="n">
        <v>2026</v>
      </c>
      <c r="B225" t="n">
        <v>3</v>
      </c>
      <c r="C225" t="inlineStr">
        <is>
          <t>220000</t>
        </is>
      </c>
      <c r="D225" t="inlineStr">
        <is>
          <t>Körperschaftsteuer</t>
        </is>
      </c>
      <c r="E225" t="inlineStr">
        <is>
          <t>STEUERN</t>
        </is>
      </c>
      <c r="F225" t="inlineStr">
        <is>
          <t>Sonstiges</t>
        </is>
      </c>
      <c r="G225" t="n">
        <v>9</v>
      </c>
      <c r="H225" t="n">
        <v>25796</v>
      </c>
      <c r="I225" t="n">
        <v>0</v>
      </c>
      <c r="J225" t="n">
        <v>0</v>
      </c>
      <c r="K225" t="n">
        <v>0</v>
      </c>
      <c r="L225" t="n">
        <v>0</v>
      </c>
      <c r="M225" t="n">
        <v>25796</v>
      </c>
      <c r="N225" t="n">
        <v>1</v>
      </c>
    </row>
    <row r="226">
      <c r="A226" t="n">
        <v>2026</v>
      </c>
      <c r="B226" t="n">
        <v>3</v>
      </c>
      <c r="C226" t="inlineStr">
        <is>
          <t>221200</t>
        </is>
      </c>
      <c r="D226" t="inlineStr">
        <is>
          <t>Solidaritätszuschlag</t>
        </is>
      </c>
      <c r="E226" t="inlineStr">
        <is>
          <t>STEUERN</t>
        </is>
      </c>
      <c r="F226" t="inlineStr">
        <is>
          <t>Sonstiges</t>
        </is>
      </c>
      <c r="G226" t="n">
        <v>9</v>
      </c>
      <c r="H226" t="n">
        <v>1418.78</v>
      </c>
      <c r="I226" t="n">
        <v>0</v>
      </c>
      <c r="J226" t="n">
        <v>0</v>
      </c>
      <c r="K226" t="n">
        <v>0</v>
      </c>
      <c r="L226" t="n">
        <v>0</v>
      </c>
      <c r="M226" t="n">
        <v>1418.78</v>
      </c>
      <c r="N226" t="n">
        <v>1</v>
      </c>
    </row>
    <row r="227">
      <c r="A227" t="n">
        <v>2026</v>
      </c>
      <c r="B227" t="n">
        <v>3</v>
      </c>
      <c r="C227" t="inlineStr">
        <is>
          <t>251000</t>
        </is>
      </c>
      <c r="D227" t="inlineStr">
        <is>
          <t>Sonstige periodenfremde Erträge</t>
        </is>
      </c>
      <c r="E227" t="inlineStr">
        <is>
          <t>NEUTRALER_ERTRAG</t>
        </is>
      </c>
      <c r="F227" t="inlineStr">
        <is>
          <t>Sonstiges</t>
        </is>
      </c>
      <c r="G227" t="n">
        <v>9</v>
      </c>
      <c r="H227" t="n">
        <v>-4280.63</v>
      </c>
      <c r="I227" t="n">
        <v>0</v>
      </c>
      <c r="J227" t="n">
        <v>0</v>
      </c>
      <c r="K227" t="n">
        <v>0</v>
      </c>
      <c r="L227" t="n">
        <v>0</v>
      </c>
      <c r="M227" t="n">
        <v>-4280.63</v>
      </c>
      <c r="N227" t="n">
        <v>5</v>
      </c>
    </row>
    <row r="228">
      <c r="A228" t="n">
        <v>2026</v>
      </c>
      <c r="B228" t="n">
        <v>3</v>
      </c>
      <c r="C228" t="inlineStr">
        <is>
          <t>289200</t>
        </is>
      </c>
      <c r="D228" t="inlineStr">
        <is>
          <t>Verr. kalk. Zinsen</t>
        </is>
      </c>
      <c r="E228" t="inlineStr">
        <is>
          <t>KALKULATORISCH</t>
        </is>
      </c>
      <c r="F228" t="inlineStr">
        <is>
          <t>Kalkulatorische Kosten</t>
        </is>
      </c>
      <c r="G228" t="n">
        <v>9</v>
      </c>
      <c r="H228" t="n">
        <v>-670</v>
      </c>
      <c r="I228" t="n">
        <v>0</v>
      </c>
      <c r="J228" t="n">
        <v>0</v>
      </c>
      <c r="K228" t="n">
        <v>0</v>
      </c>
      <c r="L228" t="n">
        <v>0</v>
      </c>
      <c r="M228" t="n">
        <v>-670</v>
      </c>
      <c r="N228" t="n">
        <v>22</v>
      </c>
    </row>
    <row r="229">
      <c r="A229" t="n">
        <v>2026</v>
      </c>
      <c r="B229" t="n">
        <v>3</v>
      </c>
      <c r="C229" t="inlineStr">
        <is>
          <t>289300</t>
        </is>
      </c>
      <c r="D229" t="inlineStr">
        <is>
          <t>Verr. kalk. Abschreibungen</t>
        </is>
      </c>
      <c r="E229" t="inlineStr">
        <is>
          <t>KALKULATORISCH</t>
        </is>
      </c>
      <c r="F229" t="inlineStr">
        <is>
          <t>Kalkulatorische Kosten</t>
        </is>
      </c>
      <c r="G229" t="n">
        <v>9</v>
      </c>
      <c r="H229" t="n">
        <v>-3506.14</v>
      </c>
      <c r="I229" t="n">
        <v>0</v>
      </c>
      <c r="J229" t="n">
        <v>0</v>
      </c>
      <c r="K229" t="n">
        <v>0</v>
      </c>
      <c r="L229" t="n">
        <v>0</v>
      </c>
      <c r="M229" t="n">
        <v>-3506.14</v>
      </c>
      <c r="N229" t="n">
        <v>24</v>
      </c>
    </row>
    <row r="230">
      <c r="A230" t="n">
        <v>2026</v>
      </c>
      <c r="B230" t="n">
        <v>3</v>
      </c>
      <c r="C230" t="inlineStr">
        <is>
          <t>300075</t>
        </is>
      </c>
      <c r="D230" t="inlineStr">
        <is>
          <t>Materialaufwand Abbruch u. Rückbau</t>
        </is>
      </c>
      <c r="E230" t="inlineStr">
        <is>
          <t>MATERIAL</t>
        </is>
      </c>
      <c r="F230" t="inlineStr">
        <is>
          <t>Material und Fremdleistungen</t>
        </is>
      </c>
      <c r="G230" t="n">
        <v>1</v>
      </c>
      <c r="H230" t="n">
        <v>168.52</v>
      </c>
      <c r="I230" t="n">
        <v>0</v>
      </c>
      <c r="J230" t="n">
        <v>168.52</v>
      </c>
      <c r="K230" t="n">
        <v>0</v>
      </c>
      <c r="L230" t="n">
        <v>0</v>
      </c>
      <c r="M230" t="n">
        <v>0</v>
      </c>
      <c r="N230" t="n">
        <v>1</v>
      </c>
    </row>
    <row r="231">
      <c r="A231" t="n">
        <v>2026</v>
      </c>
      <c r="B231" t="n">
        <v>3</v>
      </c>
      <c r="C231" t="inlineStr">
        <is>
          <t>310900</t>
        </is>
      </c>
      <c r="D231" t="inlineStr">
        <is>
          <t>Sonstige Hilfs- und Betriebsstoffe</t>
        </is>
      </c>
      <c r="E231" t="inlineStr">
        <is>
          <t>MATERIAL</t>
        </is>
      </c>
      <c r="F231" t="inlineStr">
        <is>
          <t>Material und Fremdleistungen</t>
        </is>
      </c>
      <c r="G231" t="n">
        <v>1</v>
      </c>
      <c r="H231" t="n">
        <v>700</v>
      </c>
      <c r="I231" t="n">
        <v>0</v>
      </c>
      <c r="J231" t="n">
        <v>700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2026</v>
      </c>
      <c r="B232" t="n">
        <v>3</v>
      </c>
      <c r="C232" t="inlineStr">
        <is>
          <t>330900</t>
        </is>
      </c>
      <c r="D232" t="inlineStr">
        <is>
          <t>Erhaltene Skonti</t>
        </is>
      </c>
      <c r="E232" t="inlineStr">
        <is>
          <t>MATERIAL</t>
        </is>
      </c>
      <c r="F232" t="inlineStr">
        <is>
          <t>Material und Fremdleistungen</t>
        </is>
      </c>
      <c r="G232" t="n">
        <v>1</v>
      </c>
      <c r="H232" t="n">
        <v>-10506.25</v>
      </c>
      <c r="I232" t="n">
        <v>0</v>
      </c>
      <c r="J232" t="n">
        <v>-10506.25</v>
      </c>
      <c r="K232" t="n">
        <v>0</v>
      </c>
      <c r="L232" t="n">
        <v>0</v>
      </c>
      <c r="M232" t="n">
        <v>0</v>
      </c>
      <c r="N232" t="n">
        <v>38</v>
      </c>
    </row>
    <row r="233">
      <c r="A233" t="n">
        <v>2026</v>
      </c>
      <c r="B233" t="n">
        <v>3</v>
      </c>
      <c r="C233" t="inlineStr">
        <is>
          <t>340030</t>
        </is>
      </c>
      <c r="D233" t="inlineStr">
        <is>
          <t>Fremdleistungen Personal</t>
        </is>
      </c>
      <c r="E233" t="inlineStr">
        <is>
          <t>FREMDLEISTUNG</t>
        </is>
      </c>
      <c r="F233" t="inlineStr">
        <is>
          <t>Material und Fremdleistungen</t>
        </is>
      </c>
      <c r="G233" t="n">
        <v>1</v>
      </c>
      <c r="H233" t="n">
        <v>3620.6</v>
      </c>
      <c r="I233" t="n">
        <v>0</v>
      </c>
      <c r="J233" t="n">
        <v>3620.6</v>
      </c>
      <c r="K233" t="n">
        <v>0</v>
      </c>
      <c r="L233" t="n">
        <v>0</v>
      </c>
      <c r="M233" t="n">
        <v>0</v>
      </c>
      <c r="N233" t="n">
        <v>2</v>
      </c>
    </row>
    <row r="234">
      <c r="A234" t="n">
        <v>2026</v>
      </c>
      <c r="B234" t="n">
        <v>3</v>
      </c>
      <c r="C234" t="inlineStr">
        <is>
          <t>340050</t>
        </is>
      </c>
      <c r="D234" t="inlineStr">
        <is>
          <t>Fremdleistungen Wartung/Pflege</t>
        </is>
      </c>
      <c r="E234" t="inlineStr">
        <is>
          <t>FREMDLEISTUNG</t>
        </is>
      </c>
      <c r="F234" t="inlineStr">
        <is>
          <t>Material und Fremdleistungen</t>
        </is>
      </c>
      <c r="G234" t="n">
        <v>1</v>
      </c>
      <c r="H234" t="n">
        <v>1749364.41</v>
      </c>
      <c r="I234" t="n">
        <v>0</v>
      </c>
      <c r="J234" t="n">
        <v>1749364.41</v>
      </c>
      <c r="K234" t="n">
        <v>0</v>
      </c>
      <c r="L234" t="n">
        <v>0</v>
      </c>
      <c r="M234" t="n">
        <v>0</v>
      </c>
      <c r="N234" t="n">
        <v>344</v>
      </c>
    </row>
    <row r="235">
      <c r="A235" t="n">
        <v>2026</v>
      </c>
      <c r="B235" t="n">
        <v>3</v>
      </c>
      <c r="C235" t="inlineStr">
        <is>
          <t>340600</t>
        </is>
      </c>
      <c r="D235" t="inlineStr">
        <is>
          <t>Bezogene Leistung periodenfremd</t>
        </is>
      </c>
      <c r="E235" t="inlineStr">
        <is>
          <t>FREMDLEISTUNG</t>
        </is>
      </c>
      <c r="F235" t="inlineStr">
        <is>
          <t>Material und Fremdleistungen</t>
        </is>
      </c>
      <c r="G235" t="n">
        <v>1</v>
      </c>
      <c r="H235" t="n">
        <v>92.18000000000001</v>
      </c>
      <c r="I235" t="n">
        <v>0</v>
      </c>
      <c r="J235" t="n">
        <v>92.18000000000001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2026</v>
      </c>
      <c r="B236" t="n">
        <v>3</v>
      </c>
      <c r="C236" t="inlineStr">
        <is>
          <t>392000</t>
        </is>
      </c>
      <c r="D236" t="inlineStr">
        <is>
          <t>Bestandsveränderungen unfertige Erzeugni</t>
        </is>
      </c>
      <c r="E236" t="inlineStr">
        <is>
          <t>BESTANDSVERAENDERUNG</t>
        </is>
      </c>
      <c r="F236" t="inlineStr">
        <is>
          <t>Bestandsveränderung</t>
        </is>
      </c>
      <c r="G236" t="n">
        <v>0</v>
      </c>
      <c r="H236" t="n">
        <v>-1198671.49</v>
      </c>
      <c r="I236" t="n">
        <v>1198671.49</v>
      </c>
      <c r="J236" t="n">
        <v>0</v>
      </c>
      <c r="K236" t="n">
        <v>0</v>
      </c>
      <c r="L236" t="n">
        <v>0</v>
      </c>
      <c r="M236" t="n">
        <v>0</v>
      </c>
      <c r="N236" t="n">
        <v>17</v>
      </c>
    </row>
    <row r="237">
      <c r="A237" t="n">
        <v>2026</v>
      </c>
      <c r="B237" t="n">
        <v>3</v>
      </c>
      <c r="C237" t="inlineStr">
        <is>
          <t>400011</t>
        </is>
      </c>
      <c r="D237" t="inlineStr">
        <is>
          <t>Reifenkosten</t>
        </is>
      </c>
      <c r="E237" t="inlineStr">
        <is>
          <t>FUHRPARK</t>
        </is>
      </c>
      <c r="F237" t="inlineStr">
        <is>
          <t>Fuhrpark</t>
        </is>
      </c>
      <c r="G237" t="n">
        <v>2</v>
      </c>
      <c r="H237" t="n">
        <v>756.37</v>
      </c>
      <c r="I237" t="n">
        <v>0</v>
      </c>
      <c r="J237" t="n">
        <v>0</v>
      </c>
      <c r="K237" t="n">
        <v>756.37</v>
      </c>
      <c r="L237" t="n">
        <v>0</v>
      </c>
      <c r="M237" t="n">
        <v>0</v>
      </c>
      <c r="N237" t="n">
        <v>3</v>
      </c>
    </row>
    <row r="238">
      <c r="A238" t="n">
        <v>2026</v>
      </c>
      <c r="B238" t="n">
        <v>3</v>
      </c>
      <c r="C238" t="inlineStr">
        <is>
          <t>400020</t>
        </is>
      </c>
      <c r="D238" t="inlineStr">
        <is>
          <t>Instandhaltung Personenkraftwagen</t>
        </is>
      </c>
      <c r="E238" t="inlineStr">
        <is>
          <t>FUHRPARK</t>
        </is>
      </c>
      <c r="F238" t="inlineStr">
        <is>
          <t>Fuhrpark</t>
        </is>
      </c>
      <c r="G238" t="n">
        <v>2</v>
      </c>
      <c r="H238" t="n">
        <v>51.04</v>
      </c>
      <c r="I238" t="n">
        <v>0</v>
      </c>
      <c r="J238" t="n">
        <v>0</v>
      </c>
      <c r="K238" t="n">
        <v>51.04</v>
      </c>
      <c r="L238" t="n">
        <v>0</v>
      </c>
      <c r="M238" t="n">
        <v>0</v>
      </c>
      <c r="N238" t="n">
        <v>2</v>
      </c>
    </row>
    <row r="239">
      <c r="A239" t="n">
        <v>2026</v>
      </c>
      <c r="B239" t="n">
        <v>3</v>
      </c>
      <c r="C239" t="inlineStr">
        <is>
          <t>400035</t>
        </is>
      </c>
      <c r="D239" t="inlineStr">
        <is>
          <t>Instandhaltung Miet-und Leasingfahrzeuge</t>
        </is>
      </c>
      <c r="E239" t="inlineStr">
        <is>
          <t>FUHRPARK</t>
        </is>
      </c>
      <c r="F239" t="inlineStr">
        <is>
          <t>Fuhrpark</t>
        </is>
      </c>
      <c r="G239" t="n">
        <v>2</v>
      </c>
      <c r="H239" t="n">
        <v>2284.66</v>
      </c>
      <c r="I239" t="n">
        <v>0</v>
      </c>
      <c r="J239" t="n">
        <v>0</v>
      </c>
      <c r="K239" t="n">
        <v>2284.66</v>
      </c>
      <c r="L239" t="n">
        <v>0</v>
      </c>
      <c r="M239" t="n">
        <v>0</v>
      </c>
      <c r="N239" t="n">
        <v>27</v>
      </c>
    </row>
    <row r="240">
      <c r="A240" t="n">
        <v>2026</v>
      </c>
      <c r="B240" t="n">
        <v>3</v>
      </c>
      <c r="C240" t="inlineStr">
        <is>
          <t>400040</t>
        </is>
      </c>
      <c r="D240" t="inlineStr">
        <is>
          <t>DEKRA / TÜV / sonstige Gebühren Fuhrpark</t>
        </is>
      </c>
      <c r="E240" t="inlineStr">
        <is>
          <t>FUHRPARK</t>
        </is>
      </c>
      <c r="F240" t="inlineStr">
        <is>
          <t>Fuhrpark</t>
        </is>
      </c>
      <c r="G240" t="n">
        <v>2</v>
      </c>
      <c r="H240" t="n">
        <v>106.72</v>
      </c>
      <c r="I240" t="n">
        <v>0</v>
      </c>
      <c r="J240" t="n">
        <v>0</v>
      </c>
      <c r="K240" t="n">
        <v>106.72</v>
      </c>
      <c r="L240" t="n">
        <v>0</v>
      </c>
      <c r="M240" t="n">
        <v>0</v>
      </c>
      <c r="N240" t="n">
        <v>1</v>
      </c>
    </row>
    <row r="241">
      <c r="A241" t="n">
        <v>2026</v>
      </c>
      <c r="B241" t="n">
        <v>3</v>
      </c>
      <c r="C241" t="inlineStr">
        <is>
          <t>400121</t>
        </is>
      </c>
      <c r="D241" t="inlineStr">
        <is>
          <t>Anmietung PKW</t>
        </is>
      </c>
      <c r="E241" t="inlineStr">
        <is>
          <t>FUHRPARK</t>
        </is>
      </c>
      <c r="F241" t="inlineStr">
        <is>
          <t>Fuhrpark</t>
        </is>
      </c>
      <c r="G241" t="n">
        <v>2</v>
      </c>
      <c r="H241" t="n">
        <v>2963.17</v>
      </c>
      <c r="I241" t="n">
        <v>0</v>
      </c>
      <c r="J241" t="n">
        <v>0</v>
      </c>
      <c r="K241" t="n">
        <v>2963.17</v>
      </c>
      <c r="L241" t="n">
        <v>0</v>
      </c>
      <c r="M241" t="n">
        <v>0</v>
      </c>
      <c r="N241" t="n">
        <v>9</v>
      </c>
    </row>
    <row r="242">
      <c r="A242" t="n">
        <v>2026</v>
      </c>
      <c r="B242" t="n">
        <v>3</v>
      </c>
      <c r="C242" t="inlineStr">
        <is>
          <t>400122</t>
        </is>
      </c>
      <c r="D242" t="inlineStr">
        <is>
          <t>Leasing PKW</t>
        </is>
      </c>
      <c r="E242" t="inlineStr">
        <is>
          <t>FUHRPARK</t>
        </is>
      </c>
      <c r="F242" t="inlineStr">
        <is>
          <t>Fuhrpark</t>
        </is>
      </c>
      <c r="G242" t="n">
        <v>2</v>
      </c>
      <c r="H242" t="n">
        <v>12296.76</v>
      </c>
      <c r="I242" t="n">
        <v>0</v>
      </c>
      <c r="J242" t="n">
        <v>0</v>
      </c>
      <c r="K242" t="n">
        <v>12296.76</v>
      </c>
      <c r="L242" t="n">
        <v>0</v>
      </c>
      <c r="M242" t="n">
        <v>0</v>
      </c>
      <c r="N242" t="n">
        <v>26</v>
      </c>
    </row>
    <row r="243">
      <c r="A243" t="n">
        <v>2026</v>
      </c>
      <c r="B243" t="n">
        <v>3</v>
      </c>
      <c r="C243" t="inlineStr">
        <is>
          <t>401000</t>
        </is>
      </c>
      <c r="D243" t="inlineStr">
        <is>
          <t>Aufwand Diesel</t>
        </is>
      </c>
      <c r="E243" t="inlineStr">
        <is>
          <t>FUHRPARK</t>
        </is>
      </c>
      <c r="F243" t="inlineStr">
        <is>
          <t>Fuhrpark</t>
        </is>
      </c>
      <c r="G243" t="n">
        <v>1</v>
      </c>
      <c r="H243" t="n">
        <v>37605.24</v>
      </c>
      <c r="I243" t="n">
        <v>0</v>
      </c>
      <c r="J243" t="n">
        <v>37605.24</v>
      </c>
      <c r="K243" t="n">
        <v>0</v>
      </c>
      <c r="L243" t="n">
        <v>0</v>
      </c>
      <c r="M243" t="n">
        <v>0</v>
      </c>
      <c r="N243" t="n">
        <v>77</v>
      </c>
    </row>
    <row r="244">
      <c r="A244" t="n">
        <v>2026</v>
      </c>
      <c r="B244" t="n">
        <v>3</v>
      </c>
      <c r="C244" t="inlineStr">
        <is>
          <t>401015</t>
        </is>
      </c>
      <c r="D244" t="inlineStr">
        <is>
          <t>Alternative Antriebe (u.a. Strom, Wasser</t>
        </is>
      </c>
      <c r="E244" t="inlineStr">
        <is>
          <t>FUHRPARK</t>
        </is>
      </c>
      <c r="F244" t="inlineStr">
        <is>
          <t>Fuhrpark</t>
        </is>
      </c>
      <c r="G244" t="n">
        <v>2</v>
      </c>
      <c r="H244" t="n">
        <v>94.22</v>
      </c>
      <c r="I244" t="n">
        <v>0</v>
      </c>
      <c r="J244" t="n">
        <v>0</v>
      </c>
      <c r="K244" t="n">
        <v>94.22</v>
      </c>
      <c r="L244" t="n">
        <v>0</v>
      </c>
      <c r="M244" t="n">
        <v>0</v>
      </c>
      <c r="N244" t="n">
        <v>2</v>
      </c>
    </row>
    <row r="245">
      <c r="A245" t="n">
        <v>2026</v>
      </c>
      <c r="B245" t="n">
        <v>3</v>
      </c>
      <c r="C245" t="inlineStr">
        <is>
          <t>401030</t>
        </is>
      </c>
      <c r="D245" t="inlineStr">
        <is>
          <t>Kfz-Steuern</t>
        </is>
      </c>
      <c r="E245" t="inlineStr">
        <is>
          <t>STEUERN</t>
        </is>
      </c>
      <c r="F245" t="inlineStr">
        <is>
          <t>Versicherungen, Mieten, Steuern</t>
        </is>
      </c>
      <c r="G245" t="n">
        <v>9</v>
      </c>
      <c r="H245" t="n">
        <v>280.62</v>
      </c>
      <c r="I245" t="n">
        <v>0</v>
      </c>
      <c r="J245" t="n">
        <v>0</v>
      </c>
      <c r="K245" t="n">
        <v>0</v>
      </c>
      <c r="L245" t="n">
        <v>0</v>
      </c>
      <c r="M245" t="n">
        <v>280.62</v>
      </c>
      <c r="N245" t="n">
        <v>18</v>
      </c>
    </row>
    <row r="246">
      <c r="A246" t="n">
        <v>2026</v>
      </c>
      <c r="B246" t="n">
        <v>3</v>
      </c>
      <c r="C246" t="inlineStr">
        <is>
          <t>401040</t>
        </is>
      </c>
      <c r="D246" t="inlineStr">
        <is>
          <t>Kfz-Versicherungen</t>
        </is>
      </c>
      <c r="E246" t="inlineStr">
        <is>
          <t>FUHRPARK</t>
        </is>
      </c>
      <c r="F246" t="inlineStr">
        <is>
          <t>Fuhrpark</t>
        </is>
      </c>
      <c r="G246" t="n">
        <v>2</v>
      </c>
      <c r="H246" t="n">
        <v>1042.78</v>
      </c>
      <c r="I246" t="n">
        <v>0</v>
      </c>
      <c r="J246" t="n">
        <v>0</v>
      </c>
      <c r="K246" t="n">
        <v>1042.78</v>
      </c>
      <c r="L246" t="n">
        <v>0</v>
      </c>
      <c r="M246" t="n">
        <v>0</v>
      </c>
      <c r="N246" t="n">
        <v>20</v>
      </c>
    </row>
    <row r="247">
      <c r="A247" t="n">
        <v>2026</v>
      </c>
      <c r="B247" t="n">
        <v>3</v>
      </c>
      <c r="C247" t="inlineStr">
        <is>
          <t>401050</t>
        </is>
      </c>
      <c r="D247" t="inlineStr">
        <is>
          <t>Autobahngebühren LKW</t>
        </is>
      </c>
      <c r="E247" t="inlineStr">
        <is>
          <t>FUHRPARK</t>
        </is>
      </c>
      <c r="F247" t="inlineStr">
        <is>
          <t>Fuhrpark</t>
        </is>
      </c>
      <c r="G247" t="n">
        <v>2</v>
      </c>
      <c r="H247" t="n">
        <v>413.13</v>
      </c>
      <c r="I247" t="n">
        <v>0</v>
      </c>
      <c r="J247" t="n">
        <v>0</v>
      </c>
      <c r="K247" t="n">
        <v>413.13</v>
      </c>
      <c r="L247" t="n">
        <v>0</v>
      </c>
      <c r="M247" t="n">
        <v>0</v>
      </c>
      <c r="N247" t="n">
        <v>4</v>
      </c>
    </row>
    <row r="248">
      <c r="A248" t="n">
        <v>2026</v>
      </c>
      <c r="B248" t="n">
        <v>3</v>
      </c>
      <c r="C248" t="inlineStr">
        <is>
          <t>410130</t>
        </is>
      </c>
      <c r="D248" t="inlineStr">
        <is>
          <t>Sonderzahlungen und Prämien Gehaltsempfä</t>
        </is>
      </c>
      <c r="E248" t="inlineStr">
        <is>
          <t>PERSONAL</t>
        </is>
      </c>
      <c r="F248" t="inlineStr">
        <is>
          <t>Personal</t>
        </is>
      </c>
      <c r="G248" t="n">
        <v>2</v>
      </c>
      <c r="H248" t="n">
        <v>15716</v>
      </c>
      <c r="I248" t="n">
        <v>0</v>
      </c>
      <c r="J248" t="n">
        <v>0</v>
      </c>
      <c r="K248" t="n">
        <v>15716</v>
      </c>
      <c r="L248" t="n">
        <v>0</v>
      </c>
      <c r="M248" t="n">
        <v>0</v>
      </c>
      <c r="N248" t="n">
        <v>8</v>
      </c>
    </row>
    <row r="249">
      <c r="A249" t="n">
        <v>2026</v>
      </c>
      <c r="B249" t="n">
        <v>3</v>
      </c>
      <c r="C249" t="inlineStr">
        <is>
          <t>411070</t>
        </is>
      </c>
      <c r="D249" t="inlineStr">
        <is>
          <t>Personalwerbung</t>
        </is>
      </c>
      <c r="E249" t="inlineStr">
        <is>
          <t>PERSONAL</t>
        </is>
      </c>
      <c r="F249" t="inlineStr">
        <is>
          <t>Personal</t>
        </is>
      </c>
      <c r="G249" t="n">
        <v>2</v>
      </c>
      <c r="H249" t="n">
        <v>2779</v>
      </c>
      <c r="I249" t="n">
        <v>0</v>
      </c>
      <c r="J249" t="n">
        <v>0</v>
      </c>
      <c r="K249" t="n">
        <v>2779</v>
      </c>
      <c r="L249" t="n">
        <v>0</v>
      </c>
      <c r="M249" t="n">
        <v>0</v>
      </c>
      <c r="N249" t="n">
        <v>3</v>
      </c>
    </row>
    <row r="250">
      <c r="A250" t="n">
        <v>2026</v>
      </c>
      <c r="B250" t="n">
        <v>3</v>
      </c>
      <c r="C250" t="inlineStr">
        <is>
          <t>411090</t>
        </is>
      </c>
      <c r="D250" t="inlineStr">
        <is>
          <t>Schulung und Ausbildung</t>
        </is>
      </c>
      <c r="E250" t="inlineStr">
        <is>
          <t>PERSONAL</t>
        </is>
      </c>
      <c r="F250" t="inlineStr">
        <is>
          <t>Personal</t>
        </is>
      </c>
      <c r="G250" t="n">
        <v>2</v>
      </c>
      <c r="H250" t="n">
        <v>25</v>
      </c>
      <c r="I250" t="n">
        <v>0</v>
      </c>
      <c r="J250" t="n">
        <v>0</v>
      </c>
      <c r="K250" t="n">
        <v>25</v>
      </c>
      <c r="L250" t="n">
        <v>0</v>
      </c>
      <c r="M250" t="n">
        <v>0</v>
      </c>
      <c r="N250" t="n">
        <v>1</v>
      </c>
    </row>
    <row r="251">
      <c r="A251" t="n">
        <v>2026</v>
      </c>
      <c r="B251" t="n">
        <v>3</v>
      </c>
      <c r="C251" t="inlineStr">
        <is>
          <t>411100</t>
        </is>
      </c>
      <c r="D251" t="inlineStr">
        <is>
          <t>Arbeitskleidung und Arbeitschutzbedarf</t>
        </is>
      </c>
      <c r="E251" t="inlineStr">
        <is>
          <t>PERSONAL</t>
        </is>
      </c>
      <c r="F251" t="inlineStr">
        <is>
          <t>Personal</t>
        </is>
      </c>
      <c r="G251" t="n">
        <v>2</v>
      </c>
      <c r="H251" t="n">
        <v>6288.48</v>
      </c>
      <c r="I251" t="n">
        <v>0</v>
      </c>
      <c r="J251" t="n">
        <v>0</v>
      </c>
      <c r="K251" t="n">
        <v>6288.48</v>
      </c>
      <c r="L251" t="n">
        <v>0</v>
      </c>
      <c r="M251" t="n">
        <v>0</v>
      </c>
      <c r="N251" t="n">
        <v>18</v>
      </c>
    </row>
    <row r="252">
      <c r="A252" t="n">
        <v>2026</v>
      </c>
      <c r="B252" t="n">
        <v>3</v>
      </c>
      <c r="C252" t="inlineStr">
        <is>
          <t>411900</t>
        </is>
      </c>
      <c r="D252" t="inlineStr">
        <is>
          <t>Sonstige Personalkosten</t>
        </is>
      </c>
      <c r="E252" t="inlineStr">
        <is>
          <t>PERSONAL</t>
        </is>
      </c>
      <c r="F252" t="inlineStr">
        <is>
          <t>Personal</t>
        </is>
      </c>
      <c r="G252" t="n">
        <v>2</v>
      </c>
      <c r="H252" t="n">
        <v>617.39</v>
      </c>
      <c r="I252" t="n">
        <v>0</v>
      </c>
      <c r="J252" t="n">
        <v>0</v>
      </c>
      <c r="K252" t="n">
        <v>617.39</v>
      </c>
      <c r="L252" t="n">
        <v>0</v>
      </c>
      <c r="M252" t="n">
        <v>0</v>
      </c>
      <c r="N252" t="n">
        <v>8</v>
      </c>
    </row>
    <row r="253">
      <c r="A253" t="n">
        <v>2026</v>
      </c>
      <c r="B253" t="n">
        <v>3</v>
      </c>
      <c r="C253" t="inlineStr">
        <is>
          <t>420012</t>
        </is>
      </c>
      <c r="D253" t="inlineStr">
        <is>
          <t>Sonstige Kosten Grundstücke und Gebäude</t>
        </is>
      </c>
      <c r="E253" t="inlineStr">
        <is>
          <t>RAUM_ANLAGEN</t>
        </is>
      </c>
      <c r="F253" t="inlineStr">
        <is>
          <t>Raum, Energie, Instandhaltung</t>
        </is>
      </c>
      <c r="G253" t="n">
        <v>2</v>
      </c>
      <c r="H253" t="n">
        <v>4027.92</v>
      </c>
      <c r="I253" t="n">
        <v>0</v>
      </c>
      <c r="J253" t="n">
        <v>0</v>
      </c>
      <c r="K253" t="n">
        <v>4027.92</v>
      </c>
      <c r="L253" t="n">
        <v>0</v>
      </c>
      <c r="M253" t="n">
        <v>0</v>
      </c>
      <c r="N253" t="n">
        <v>9</v>
      </c>
    </row>
    <row r="254">
      <c r="A254" t="n">
        <v>2026</v>
      </c>
      <c r="B254" t="n">
        <v>3</v>
      </c>
      <c r="C254" t="inlineStr">
        <is>
          <t>420021</t>
        </is>
      </c>
      <c r="D254" t="inlineStr">
        <is>
          <t>Raumpflege eigene Gebäude</t>
        </is>
      </c>
      <c r="E254" t="inlineStr">
        <is>
          <t>RAUM_ANLAGEN</t>
        </is>
      </c>
      <c r="F254" t="inlineStr">
        <is>
          <t>Raum, Energie, Instandhaltung</t>
        </is>
      </c>
      <c r="G254" t="n">
        <v>2</v>
      </c>
      <c r="H254" t="n">
        <v>535.98</v>
      </c>
      <c r="I254" t="n">
        <v>0</v>
      </c>
      <c r="J254" t="n">
        <v>0</v>
      </c>
      <c r="K254" t="n">
        <v>535.98</v>
      </c>
      <c r="L254" t="n">
        <v>0</v>
      </c>
      <c r="M254" t="n">
        <v>0</v>
      </c>
      <c r="N254" t="n">
        <v>1</v>
      </c>
    </row>
    <row r="255">
      <c r="A255" t="n">
        <v>2026</v>
      </c>
      <c r="B255" t="n">
        <v>3</v>
      </c>
      <c r="C255" t="inlineStr">
        <is>
          <t>420022</t>
        </is>
      </c>
      <c r="D255" t="inlineStr">
        <is>
          <t>Raumpflege fremde Gebäude</t>
        </is>
      </c>
      <c r="E255" t="inlineStr">
        <is>
          <t>RAUM_ANLAGEN</t>
        </is>
      </c>
      <c r="F255" t="inlineStr">
        <is>
          <t>Raum, Energie, Instandhaltung</t>
        </is>
      </c>
      <c r="G255" t="n">
        <v>2</v>
      </c>
      <c r="H255" t="n">
        <v>2653.84</v>
      </c>
      <c r="I255" t="n">
        <v>0</v>
      </c>
      <c r="J255" t="n">
        <v>0</v>
      </c>
      <c r="K255" t="n">
        <v>2653.84</v>
      </c>
      <c r="L255" t="n">
        <v>0</v>
      </c>
      <c r="M255" t="n">
        <v>0</v>
      </c>
      <c r="N255" t="n">
        <v>7</v>
      </c>
    </row>
    <row r="256">
      <c r="A256" t="n">
        <v>2026</v>
      </c>
      <c r="B256" t="n">
        <v>3</v>
      </c>
      <c r="C256" t="inlineStr">
        <is>
          <t>420030</t>
        </is>
      </c>
      <c r="D256" t="inlineStr">
        <is>
          <t>Aufwand Energie</t>
        </is>
      </c>
      <c r="E256" t="inlineStr">
        <is>
          <t>RAUM_ANLAGEN</t>
        </is>
      </c>
      <c r="F256" t="inlineStr">
        <is>
          <t>Raum, Energie, Instandhaltung</t>
        </is>
      </c>
      <c r="G256" t="n">
        <v>2</v>
      </c>
      <c r="H256" t="n">
        <v>877.5599999999999</v>
      </c>
      <c r="I256" t="n">
        <v>0</v>
      </c>
      <c r="J256" t="n">
        <v>0</v>
      </c>
      <c r="K256" t="n">
        <v>877.5599999999999</v>
      </c>
      <c r="L256" t="n">
        <v>0</v>
      </c>
      <c r="M256" t="n">
        <v>0</v>
      </c>
      <c r="N256" t="n">
        <v>6</v>
      </c>
    </row>
    <row r="257">
      <c r="A257" t="n">
        <v>2026</v>
      </c>
      <c r="B257" t="n">
        <v>3</v>
      </c>
      <c r="C257" t="inlineStr">
        <is>
          <t>420040</t>
        </is>
      </c>
      <c r="D257" t="inlineStr">
        <is>
          <t>Aufwand Wasser</t>
        </is>
      </c>
      <c r="E257" t="inlineStr">
        <is>
          <t>RAUM_ANLAGEN</t>
        </is>
      </c>
      <c r="F257" t="inlineStr">
        <is>
          <t>Raum, Energie, Instandhaltung</t>
        </is>
      </c>
      <c r="G257" t="n">
        <v>2</v>
      </c>
      <c r="H257" t="n">
        <v>250.48</v>
      </c>
      <c r="I257" t="n">
        <v>0</v>
      </c>
      <c r="J257" t="n">
        <v>0</v>
      </c>
      <c r="K257" t="n">
        <v>250.48</v>
      </c>
      <c r="L257" t="n">
        <v>0</v>
      </c>
      <c r="M257" t="n">
        <v>0</v>
      </c>
      <c r="N257" t="n">
        <v>1</v>
      </c>
    </row>
    <row r="258">
      <c r="A258" t="n">
        <v>2026</v>
      </c>
      <c r="B258" t="n">
        <v>3</v>
      </c>
      <c r="C258" t="inlineStr">
        <is>
          <t>420060</t>
        </is>
      </c>
      <c r="D258" t="inlineStr">
        <is>
          <t>Aufwand eigene Entsorgung</t>
        </is>
      </c>
      <c r="E258" t="inlineStr">
        <is>
          <t>RAUM_ANLAGEN</t>
        </is>
      </c>
      <c r="F258" t="inlineStr">
        <is>
          <t>Raum, Energie, Instandhaltung</t>
        </is>
      </c>
      <c r="G258" t="n">
        <v>1</v>
      </c>
      <c r="H258" t="n">
        <v>3187.7</v>
      </c>
      <c r="I258" t="n">
        <v>0</v>
      </c>
      <c r="J258" t="n">
        <v>3187.7</v>
      </c>
      <c r="K258" t="n">
        <v>0</v>
      </c>
      <c r="L258" t="n">
        <v>0</v>
      </c>
      <c r="M258" t="n">
        <v>0</v>
      </c>
      <c r="N258" t="n">
        <v>2</v>
      </c>
    </row>
    <row r="259">
      <c r="A259" t="n">
        <v>2026</v>
      </c>
      <c r="B259" t="n">
        <v>3</v>
      </c>
      <c r="C259" t="inlineStr">
        <is>
          <t>420100</t>
        </is>
      </c>
      <c r="D259" t="inlineStr">
        <is>
          <t>Instandhaltung Betriebsausstattung</t>
        </is>
      </c>
      <c r="E259" t="inlineStr">
        <is>
          <t>RAUM_ANLAGEN</t>
        </is>
      </c>
      <c r="F259" t="inlineStr">
        <is>
          <t>Raum, Energie, Instandhaltung</t>
        </is>
      </c>
      <c r="G259" t="n">
        <v>2</v>
      </c>
      <c r="H259" t="n">
        <v>1685.36</v>
      </c>
      <c r="I259" t="n">
        <v>0</v>
      </c>
      <c r="J259" t="n">
        <v>0</v>
      </c>
      <c r="K259" t="n">
        <v>1685.36</v>
      </c>
      <c r="L259" t="n">
        <v>0</v>
      </c>
      <c r="M259" t="n">
        <v>0</v>
      </c>
      <c r="N259" t="n">
        <v>5</v>
      </c>
    </row>
    <row r="260">
      <c r="A260" t="n">
        <v>2026</v>
      </c>
      <c r="B260" t="n">
        <v>3</v>
      </c>
      <c r="C260" t="inlineStr">
        <is>
          <t>420400</t>
        </is>
      </c>
      <c r="D260" t="inlineStr">
        <is>
          <t>Instandhaltung Geschäftsausstattung</t>
        </is>
      </c>
      <c r="E260" t="inlineStr">
        <is>
          <t>RAUM_ANLAGEN</t>
        </is>
      </c>
      <c r="F260" t="inlineStr">
        <is>
          <t>Raum, Energie, Instandhaltung</t>
        </is>
      </c>
      <c r="G260" t="n">
        <v>2</v>
      </c>
      <c r="H260" t="n">
        <v>1103.9</v>
      </c>
      <c r="I260" t="n">
        <v>0</v>
      </c>
      <c r="J260" t="n">
        <v>0</v>
      </c>
      <c r="K260" t="n">
        <v>1103.9</v>
      </c>
      <c r="L260" t="n">
        <v>0</v>
      </c>
      <c r="M260" t="n">
        <v>0</v>
      </c>
      <c r="N260" t="n">
        <v>14</v>
      </c>
    </row>
    <row r="261">
      <c r="A261" t="n">
        <v>2026</v>
      </c>
      <c r="B261" t="n">
        <v>3</v>
      </c>
      <c r="C261" t="inlineStr">
        <is>
          <t>420600</t>
        </is>
      </c>
      <c r="D261" t="inlineStr">
        <is>
          <t>Werkstattbedarf (Kleinwerkzeuge b.100,-D</t>
        </is>
      </c>
      <c r="E261" t="inlineStr">
        <is>
          <t>RAUM_ANLAGEN</t>
        </is>
      </c>
      <c r="F261" t="inlineStr">
        <is>
          <t>Raum, Energie, Instandhaltung</t>
        </is>
      </c>
      <c r="G261" t="n">
        <v>2</v>
      </c>
      <c r="H261" t="n">
        <v>1096.85</v>
      </c>
      <c r="I261" t="n">
        <v>0</v>
      </c>
      <c r="J261" t="n">
        <v>0</v>
      </c>
      <c r="K261" t="n">
        <v>1096.85</v>
      </c>
      <c r="L261" t="n">
        <v>0</v>
      </c>
      <c r="M261" t="n">
        <v>0</v>
      </c>
      <c r="N261" t="n">
        <v>6</v>
      </c>
    </row>
    <row r="262">
      <c r="A262" t="n">
        <v>2026</v>
      </c>
      <c r="B262" t="n">
        <v>3</v>
      </c>
      <c r="C262" t="inlineStr">
        <is>
          <t>420700</t>
        </is>
      </c>
      <c r="D262" t="inlineStr">
        <is>
          <t>Verbrauch Hilfs- u. Betriebsstoffe</t>
        </is>
      </c>
      <c r="E262" t="inlineStr">
        <is>
          <t>RAUM_ANLAGEN</t>
        </is>
      </c>
      <c r="F262" t="inlineStr">
        <is>
          <t>Raum, Energie, Instandhaltung</t>
        </is>
      </c>
      <c r="G262" t="n">
        <v>2</v>
      </c>
      <c r="H262" t="n">
        <v>561.72</v>
      </c>
      <c r="I262" t="n">
        <v>0</v>
      </c>
      <c r="J262" t="n">
        <v>0</v>
      </c>
      <c r="K262" t="n">
        <v>561.72</v>
      </c>
      <c r="L262" t="n">
        <v>0</v>
      </c>
      <c r="M262" t="n">
        <v>0</v>
      </c>
      <c r="N262" t="n">
        <v>3</v>
      </c>
    </row>
    <row r="263">
      <c r="A263" t="n">
        <v>2026</v>
      </c>
      <c r="B263" t="n">
        <v>3</v>
      </c>
      <c r="C263" t="inlineStr">
        <is>
          <t>430110</t>
        </is>
      </c>
      <c r="D263" t="inlineStr">
        <is>
          <t>Aufwendungen für Versicherungsschäden</t>
        </is>
      </c>
      <c r="E263" t="inlineStr">
        <is>
          <t>VERSICHERUNG_MIETE</t>
        </is>
      </c>
      <c r="F263" t="inlineStr">
        <is>
          <t>Versicherungen, Mieten, Steuern</t>
        </is>
      </c>
      <c r="G263" t="n">
        <v>2</v>
      </c>
      <c r="H263" t="n">
        <v>2324.97</v>
      </c>
      <c r="I263" t="n">
        <v>0</v>
      </c>
      <c r="J263" t="n">
        <v>0</v>
      </c>
      <c r="K263" t="n">
        <v>2324.97</v>
      </c>
      <c r="L263" t="n">
        <v>0</v>
      </c>
      <c r="M263" t="n">
        <v>0</v>
      </c>
      <c r="N263" t="n">
        <v>3</v>
      </c>
    </row>
    <row r="264">
      <c r="A264" t="n">
        <v>2026</v>
      </c>
      <c r="B264" t="n">
        <v>3</v>
      </c>
      <c r="C264" t="inlineStr">
        <is>
          <t>430120</t>
        </is>
      </c>
      <c r="D264" t="inlineStr">
        <is>
          <t>Sonstige Versicherungen</t>
        </is>
      </c>
      <c r="E264" t="inlineStr">
        <is>
          <t>VERSICHERUNG_MIETE</t>
        </is>
      </c>
      <c r="F264" t="inlineStr">
        <is>
          <t>Versicherungen, Mieten, Steuern</t>
        </is>
      </c>
      <c r="G264" t="n">
        <v>2</v>
      </c>
      <c r="H264" t="n">
        <v>6075.92</v>
      </c>
      <c r="I264" t="n">
        <v>0</v>
      </c>
      <c r="J264" t="n">
        <v>0</v>
      </c>
      <c r="K264" t="n">
        <v>6075.92</v>
      </c>
      <c r="L264" t="n">
        <v>0</v>
      </c>
      <c r="M264" t="n">
        <v>0</v>
      </c>
      <c r="N264" t="n">
        <v>16</v>
      </c>
    </row>
    <row r="265">
      <c r="A265" t="n">
        <v>2026</v>
      </c>
      <c r="B265" t="n">
        <v>3</v>
      </c>
      <c r="C265" t="inlineStr">
        <is>
          <t>430121</t>
        </is>
      </c>
      <c r="D265" t="inlineStr">
        <is>
          <t>Warenkreditversicherung</t>
        </is>
      </c>
      <c r="E265" t="inlineStr">
        <is>
          <t>VERSICHERUNG_MIETE</t>
        </is>
      </c>
      <c r="F265" t="inlineStr">
        <is>
          <t>Versicherungen, Mieten, Steuern</t>
        </is>
      </c>
      <c r="G265" t="n">
        <v>2</v>
      </c>
      <c r="H265" t="n">
        <v>2793.08</v>
      </c>
      <c r="I265" t="n">
        <v>0</v>
      </c>
      <c r="J265" t="n">
        <v>0</v>
      </c>
      <c r="K265" t="n">
        <v>2793.08</v>
      </c>
      <c r="L265" t="n">
        <v>0</v>
      </c>
      <c r="M265" t="n">
        <v>0</v>
      </c>
      <c r="N265" t="n">
        <v>2</v>
      </c>
    </row>
    <row r="266">
      <c r="A266" t="n">
        <v>2026</v>
      </c>
      <c r="B266" t="n">
        <v>3</v>
      </c>
      <c r="C266" t="inlineStr">
        <is>
          <t>431010</t>
        </is>
      </c>
      <c r="D266" t="inlineStr">
        <is>
          <t>Mieten Räume</t>
        </is>
      </c>
      <c r="E266" t="inlineStr">
        <is>
          <t>VERSICHERUNG_MIETE</t>
        </is>
      </c>
      <c r="F266" t="inlineStr">
        <is>
          <t>Versicherungen, Mieten, Steuern</t>
        </is>
      </c>
      <c r="G266" t="n">
        <v>2</v>
      </c>
      <c r="H266" t="n">
        <v>11224.45</v>
      </c>
      <c r="I266" t="n">
        <v>0</v>
      </c>
      <c r="J266" t="n">
        <v>0</v>
      </c>
      <c r="K266" t="n">
        <v>11224.45</v>
      </c>
      <c r="L266" t="n">
        <v>0</v>
      </c>
      <c r="M266" t="n">
        <v>0</v>
      </c>
      <c r="N266" t="n">
        <v>10</v>
      </c>
    </row>
    <row r="267">
      <c r="A267" t="n">
        <v>2026</v>
      </c>
      <c r="B267" t="n">
        <v>3</v>
      </c>
      <c r="C267" t="inlineStr">
        <is>
          <t>431020</t>
        </is>
      </c>
      <c r="D267" t="inlineStr">
        <is>
          <t>Mieten Plätze</t>
        </is>
      </c>
      <c r="E267" t="inlineStr">
        <is>
          <t>VERSICHERUNG_MIETE</t>
        </is>
      </c>
      <c r="F267" t="inlineStr">
        <is>
          <t>Versicherungen, Mieten, Steuern</t>
        </is>
      </c>
      <c r="G267" t="n">
        <v>2</v>
      </c>
      <c r="H267" t="n">
        <v>4795.19</v>
      </c>
      <c r="I267" t="n">
        <v>0</v>
      </c>
      <c r="J267" t="n">
        <v>0</v>
      </c>
      <c r="K267" t="n">
        <v>4795.19</v>
      </c>
      <c r="L267" t="n">
        <v>0</v>
      </c>
      <c r="M267" t="n">
        <v>0</v>
      </c>
      <c r="N267" t="n">
        <v>13</v>
      </c>
    </row>
    <row r="268">
      <c r="A268" t="n">
        <v>2026</v>
      </c>
      <c r="B268" t="n">
        <v>3</v>
      </c>
      <c r="C268" t="inlineStr">
        <is>
          <t>431041</t>
        </is>
      </c>
      <c r="D268" t="inlineStr">
        <is>
          <t>Miete Behälter</t>
        </is>
      </c>
      <c r="E268" t="inlineStr">
        <is>
          <t>VERSICHERUNG_MIETE</t>
        </is>
      </c>
      <c r="F268" t="inlineStr">
        <is>
          <t>Versicherungen, Mieten, Steuern</t>
        </is>
      </c>
      <c r="G268" t="n">
        <v>2</v>
      </c>
      <c r="H268" t="n">
        <v>52.38</v>
      </c>
      <c r="I268" t="n">
        <v>0</v>
      </c>
      <c r="J268" t="n">
        <v>0</v>
      </c>
      <c r="K268" t="n">
        <v>52.38</v>
      </c>
      <c r="L268" t="n">
        <v>0</v>
      </c>
      <c r="M268" t="n">
        <v>0</v>
      </c>
      <c r="N268" t="n">
        <v>1</v>
      </c>
    </row>
    <row r="269">
      <c r="A269" t="n">
        <v>2026</v>
      </c>
      <c r="B269" t="n">
        <v>3</v>
      </c>
      <c r="C269" t="inlineStr">
        <is>
          <t>450010</t>
        </is>
      </c>
      <c r="D269" t="inlineStr">
        <is>
          <t>Reisekosten Betriebsangehörige</t>
        </is>
      </c>
      <c r="E269" t="inlineStr">
        <is>
          <t>REISE_WERBUNG</t>
        </is>
      </c>
      <c r="F269" t="inlineStr">
        <is>
          <t>Transport, Reise, Werbung</t>
        </is>
      </c>
      <c r="G269" t="n">
        <v>2</v>
      </c>
      <c r="H269" t="n">
        <v>3037.24</v>
      </c>
      <c r="I269" t="n">
        <v>0</v>
      </c>
      <c r="J269" t="n">
        <v>0</v>
      </c>
      <c r="K269" t="n">
        <v>3037.24</v>
      </c>
      <c r="L269" t="n">
        <v>0</v>
      </c>
      <c r="M269" t="n">
        <v>0</v>
      </c>
      <c r="N269" t="n">
        <v>31</v>
      </c>
    </row>
    <row r="270">
      <c r="A270" t="n">
        <v>2026</v>
      </c>
      <c r="B270" t="n">
        <v>3</v>
      </c>
      <c r="C270" t="inlineStr">
        <is>
          <t>450011</t>
        </is>
      </c>
      <c r="D270" t="inlineStr">
        <is>
          <t>Verpfl.mehraufwand (pauschal)</t>
        </is>
      </c>
      <c r="E270" t="inlineStr">
        <is>
          <t>REISE_WERBUNG</t>
        </is>
      </c>
      <c r="F270" t="inlineStr">
        <is>
          <t>Transport, Reise, Werbung</t>
        </is>
      </c>
      <c r="G270" t="n">
        <v>2</v>
      </c>
      <c r="H270" t="n">
        <v>378</v>
      </c>
      <c r="I270" t="n">
        <v>0</v>
      </c>
      <c r="J270" t="n">
        <v>0</v>
      </c>
      <c r="K270" t="n">
        <v>378</v>
      </c>
      <c r="L270" t="n">
        <v>0</v>
      </c>
      <c r="M270" t="n">
        <v>0</v>
      </c>
      <c r="N270" t="n">
        <v>8</v>
      </c>
    </row>
    <row r="271">
      <c r="A271" t="n">
        <v>2026</v>
      </c>
      <c r="B271" t="n">
        <v>3</v>
      </c>
      <c r="C271" t="inlineStr">
        <is>
          <t>450013</t>
        </is>
      </c>
      <c r="D271" t="inlineStr">
        <is>
          <t>Kürzung Verpfleg.mehraufwand</t>
        </is>
      </c>
      <c r="E271" t="inlineStr">
        <is>
          <t>REISE_WERBUNG</t>
        </is>
      </c>
      <c r="F271" t="inlineStr">
        <is>
          <t>Transport, Reise, Werbung</t>
        </is>
      </c>
      <c r="G271" t="n">
        <v>2</v>
      </c>
      <c r="H271" t="n">
        <v>-39.2</v>
      </c>
      <c r="I271" t="n">
        <v>0</v>
      </c>
      <c r="J271" t="n">
        <v>0</v>
      </c>
      <c r="K271" t="n">
        <v>-39.2</v>
      </c>
      <c r="L271" t="n">
        <v>0</v>
      </c>
      <c r="M271" t="n">
        <v>0</v>
      </c>
      <c r="N271" t="n">
        <v>3</v>
      </c>
    </row>
    <row r="272">
      <c r="A272" t="n">
        <v>2026</v>
      </c>
      <c r="B272" t="n">
        <v>3</v>
      </c>
      <c r="C272" t="inlineStr">
        <is>
          <t>450030</t>
        </is>
      </c>
      <c r="D272" t="inlineStr">
        <is>
          <t>Bewirtung zu 100 % abzugsfähig</t>
        </is>
      </c>
      <c r="E272" t="inlineStr">
        <is>
          <t>REISE_WERBUNG</t>
        </is>
      </c>
      <c r="F272" t="inlineStr">
        <is>
          <t>Transport, Reise, Werbung</t>
        </is>
      </c>
      <c r="G272" t="n">
        <v>2</v>
      </c>
      <c r="H272" t="n">
        <v>419.66</v>
      </c>
      <c r="I272" t="n">
        <v>0</v>
      </c>
      <c r="J272" t="n">
        <v>0</v>
      </c>
      <c r="K272" t="n">
        <v>419.66</v>
      </c>
      <c r="L272" t="n">
        <v>0</v>
      </c>
      <c r="M272" t="n">
        <v>0</v>
      </c>
      <c r="N272" t="n">
        <v>24</v>
      </c>
    </row>
    <row r="273">
      <c r="A273" t="n">
        <v>2026</v>
      </c>
      <c r="B273" t="n">
        <v>3</v>
      </c>
      <c r="C273" t="inlineStr">
        <is>
          <t>450039</t>
        </is>
      </c>
      <c r="D273" t="inlineStr">
        <is>
          <t>Bewirtung zu 70 % abzugsfähig</t>
        </is>
      </c>
      <c r="E273" t="inlineStr">
        <is>
          <t>REISE_WERBUNG</t>
        </is>
      </c>
      <c r="F273" t="inlineStr">
        <is>
          <t>Transport, Reise, Werbung</t>
        </is>
      </c>
      <c r="G273" t="n">
        <v>2</v>
      </c>
      <c r="H273" t="n">
        <v>1995.33</v>
      </c>
      <c r="I273" t="n">
        <v>0</v>
      </c>
      <c r="J273" t="n">
        <v>0</v>
      </c>
      <c r="K273" t="n">
        <v>1995.33</v>
      </c>
      <c r="L273" t="n">
        <v>0</v>
      </c>
      <c r="M273" t="n">
        <v>0</v>
      </c>
      <c r="N273" t="n">
        <v>52</v>
      </c>
    </row>
    <row r="274">
      <c r="A274" t="n">
        <v>2026</v>
      </c>
      <c r="B274" t="n">
        <v>3</v>
      </c>
      <c r="C274" t="inlineStr">
        <is>
          <t>450050</t>
        </is>
      </c>
      <c r="D274" t="inlineStr">
        <is>
          <t>Allgemeine Repräsentationskosten</t>
        </is>
      </c>
      <c r="E274" t="inlineStr">
        <is>
          <t>REISE_WERBUNG</t>
        </is>
      </c>
      <c r="F274" t="inlineStr">
        <is>
          <t>Transport, Reise, Werbung</t>
        </is>
      </c>
      <c r="G274" t="n">
        <v>2</v>
      </c>
      <c r="H274" t="n">
        <v>1694.58</v>
      </c>
      <c r="I274" t="n">
        <v>0</v>
      </c>
      <c r="J274" t="n">
        <v>0</v>
      </c>
      <c r="K274" t="n">
        <v>1694.58</v>
      </c>
      <c r="L274" t="n">
        <v>0</v>
      </c>
      <c r="M274" t="n">
        <v>0</v>
      </c>
      <c r="N274" t="n">
        <v>4</v>
      </c>
    </row>
    <row r="275">
      <c r="A275" t="n">
        <v>2026</v>
      </c>
      <c r="B275" t="n">
        <v>3</v>
      </c>
      <c r="C275" t="inlineStr">
        <is>
          <t>450080</t>
        </is>
      </c>
      <c r="D275" t="inlineStr">
        <is>
          <t>Werbung</t>
        </is>
      </c>
      <c r="E275" t="inlineStr">
        <is>
          <t>REISE_WERBUNG</t>
        </is>
      </c>
      <c r="F275" t="inlineStr">
        <is>
          <t>Transport, Reise, Werbung</t>
        </is>
      </c>
      <c r="G275" t="n">
        <v>2</v>
      </c>
      <c r="H275" t="n">
        <v>680</v>
      </c>
      <c r="I275" t="n">
        <v>0</v>
      </c>
      <c r="J275" t="n">
        <v>0</v>
      </c>
      <c r="K275" t="n">
        <v>680</v>
      </c>
      <c r="L275" t="n">
        <v>0</v>
      </c>
      <c r="M275" t="n">
        <v>0</v>
      </c>
      <c r="N275" t="n">
        <v>3</v>
      </c>
    </row>
    <row r="276">
      <c r="A276" t="n">
        <v>2026</v>
      </c>
      <c r="B276" t="n">
        <v>3</v>
      </c>
      <c r="C276" t="inlineStr">
        <is>
          <t>460010</t>
        </is>
      </c>
      <c r="D276" t="inlineStr">
        <is>
          <t>Büromaterial</t>
        </is>
      </c>
      <c r="E276" t="inlineStr">
        <is>
          <t>VERWALTUNG</t>
        </is>
      </c>
      <c r="F276" t="inlineStr">
        <is>
          <t>Verwaltung und Beratung</t>
        </is>
      </c>
      <c r="G276" t="n">
        <v>2</v>
      </c>
      <c r="H276" t="n">
        <v>456.87</v>
      </c>
      <c r="I276" t="n">
        <v>0</v>
      </c>
      <c r="J276" t="n">
        <v>0</v>
      </c>
      <c r="K276" t="n">
        <v>456.87</v>
      </c>
      <c r="L276" t="n">
        <v>0</v>
      </c>
      <c r="M276" t="n">
        <v>0</v>
      </c>
      <c r="N276" t="n">
        <v>7</v>
      </c>
    </row>
    <row r="277">
      <c r="A277" t="n">
        <v>2026</v>
      </c>
      <c r="B277" t="n">
        <v>3</v>
      </c>
      <c r="C277" t="inlineStr">
        <is>
          <t>460020</t>
        </is>
      </c>
      <c r="D277" t="inlineStr">
        <is>
          <t>Zeitungen, Zeitschrift.und Bücher</t>
        </is>
      </c>
      <c r="E277" t="inlineStr">
        <is>
          <t>VERWALTUNG</t>
        </is>
      </c>
      <c r="F277" t="inlineStr">
        <is>
          <t>Verwaltung und Beratung</t>
        </is>
      </c>
      <c r="G277" t="n">
        <v>2</v>
      </c>
      <c r="H277" t="n">
        <v>37.5</v>
      </c>
      <c r="I277" t="n">
        <v>0</v>
      </c>
      <c r="J277" t="n">
        <v>0</v>
      </c>
      <c r="K277" t="n">
        <v>37.5</v>
      </c>
      <c r="L277" t="n">
        <v>0</v>
      </c>
      <c r="M277" t="n">
        <v>0</v>
      </c>
      <c r="N277" t="n">
        <v>1</v>
      </c>
    </row>
    <row r="278">
      <c r="A278" t="n">
        <v>2026</v>
      </c>
      <c r="B278" t="n">
        <v>3</v>
      </c>
      <c r="C278" t="inlineStr">
        <is>
          <t>460030</t>
        </is>
      </c>
      <c r="D278" t="inlineStr">
        <is>
          <t>Telekommunikation</t>
        </is>
      </c>
      <c r="E278" t="inlineStr">
        <is>
          <t>VERWALTUNG</t>
        </is>
      </c>
      <c r="F278" t="inlineStr">
        <is>
          <t>Verwaltung und Beratung</t>
        </is>
      </c>
      <c r="G278" t="n">
        <v>2</v>
      </c>
      <c r="H278" t="n">
        <v>2112.18</v>
      </c>
      <c r="I278" t="n">
        <v>0</v>
      </c>
      <c r="J278" t="n">
        <v>0</v>
      </c>
      <c r="K278" t="n">
        <v>2112.18</v>
      </c>
      <c r="L278" t="n">
        <v>0</v>
      </c>
      <c r="M278" t="n">
        <v>0</v>
      </c>
      <c r="N278" t="n">
        <v>19</v>
      </c>
    </row>
    <row r="279">
      <c r="A279" t="n">
        <v>2026</v>
      </c>
      <c r="B279" t="n">
        <v>3</v>
      </c>
      <c r="C279" t="inlineStr">
        <is>
          <t>460040</t>
        </is>
      </c>
      <c r="D279" t="inlineStr">
        <is>
          <t>Portogebühren</t>
        </is>
      </c>
      <c r="E279" t="inlineStr">
        <is>
          <t>VERWALTUNG</t>
        </is>
      </c>
      <c r="F279" t="inlineStr">
        <is>
          <t>Verwaltung und Beratung</t>
        </is>
      </c>
      <c r="G279" t="n">
        <v>2</v>
      </c>
      <c r="H279" t="n">
        <v>391.29</v>
      </c>
      <c r="I279" t="n">
        <v>0</v>
      </c>
      <c r="J279" t="n">
        <v>0</v>
      </c>
      <c r="K279" t="n">
        <v>391.29</v>
      </c>
      <c r="L279" t="n">
        <v>0</v>
      </c>
      <c r="M279" t="n">
        <v>0</v>
      </c>
      <c r="N279" t="n">
        <v>3</v>
      </c>
    </row>
    <row r="280">
      <c r="A280" t="n">
        <v>2026</v>
      </c>
      <c r="B280" t="n">
        <v>3</v>
      </c>
      <c r="C280" t="inlineStr">
        <is>
          <t>460060</t>
        </is>
      </c>
      <c r="D280" t="inlineStr">
        <is>
          <t>Kosten EDV</t>
        </is>
      </c>
      <c r="E280" t="inlineStr">
        <is>
          <t>VERWALTUNG</t>
        </is>
      </c>
      <c r="F280" t="inlineStr">
        <is>
          <t>Verwaltung und Beratung</t>
        </is>
      </c>
      <c r="G280" t="n">
        <v>2</v>
      </c>
      <c r="H280" t="n">
        <v>4340.79</v>
      </c>
      <c r="I280" t="n">
        <v>0</v>
      </c>
      <c r="J280" t="n">
        <v>0</v>
      </c>
      <c r="K280" t="n">
        <v>4340.79</v>
      </c>
      <c r="L280" t="n">
        <v>0</v>
      </c>
      <c r="M280" t="n">
        <v>0</v>
      </c>
      <c r="N280" t="n">
        <v>9</v>
      </c>
    </row>
    <row r="281">
      <c r="A281" t="n">
        <v>2026</v>
      </c>
      <c r="B281" t="n">
        <v>3</v>
      </c>
      <c r="C281" t="inlineStr">
        <is>
          <t>460065</t>
        </is>
      </c>
      <c r="D281" t="inlineStr">
        <is>
          <t>IT Lizenzgebühren</t>
        </is>
      </c>
      <c r="E281" t="inlineStr">
        <is>
          <t>VERWALTUNG</t>
        </is>
      </c>
      <c r="F281" t="inlineStr">
        <is>
          <t>Verwaltung und Beratung</t>
        </is>
      </c>
      <c r="G281" t="n">
        <v>2</v>
      </c>
      <c r="H281" t="n">
        <v>2853.09</v>
      </c>
      <c r="I281" t="n">
        <v>0</v>
      </c>
      <c r="J281" t="n">
        <v>0</v>
      </c>
      <c r="K281" t="n">
        <v>2853.09</v>
      </c>
      <c r="L281" t="n">
        <v>0</v>
      </c>
      <c r="M281" t="n">
        <v>0</v>
      </c>
      <c r="N281" t="n">
        <v>4</v>
      </c>
    </row>
    <row r="282">
      <c r="A282" t="n">
        <v>2026</v>
      </c>
      <c r="B282" t="n">
        <v>3</v>
      </c>
      <c r="C282" t="inlineStr">
        <is>
          <t>460080</t>
        </is>
      </c>
      <c r="D282" t="inlineStr">
        <is>
          <t>Pflichtbeiträge zu Verbänden</t>
        </is>
      </c>
      <c r="E282" t="inlineStr">
        <is>
          <t>VERWALTUNG</t>
        </is>
      </c>
      <c r="F282" t="inlineStr">
        <is>
          <t>Verwaltung und Beratung</t>
        </is>
      </c>
      <c r="G282" t="n">
        <v>2</v>
      </c>
      <c r="H282" t="n">
        <v>1117.8</v>
      </c>
      <c r="I282" t="n">
        <v>0</v>
      </c>
      <c r="J282" t="n">
        <v>0</v>
      </c>
      <c r="K282" t="n">
        <v>1117.8</v>
      </c>
      <c r="L282" t="n">
        <v>0</v>
      </c>
      <c r="M282" t="n">
        <v>0</v>
      </c>
      <c r="N282" t="n">
        <v>2</v>
      </c>
    </row>
    <row r="283">
      <c r="A283" t="n">
        <v>2026</v>
      </c>
      <c r="B283" t="n">
        <v>3</v>
      </c>
      <c r="C283" t="inlineStr">
        <is>
          <t>460090</t>
        </is>
      </c>
      <c r="D283" t="inlineStr">
        <is>
          <t>Schreib- und Verwaltungsgebühren an Behö</t>
        </is>
      </c>
      <c r="E283" t="inlineStr">
        <is>
          <t>VERWALTUNG</t>
        </is>
      </c>
      <c r="F283" t="inlineStr">
        <is>
          <t>Verwaltung und Beratung</t>
        </is>
      </c>
      <c r="G283" t="n">
        <v>2</v>
      </c>
      <c r="H283" t="n">
        <v>153</v>
      </c>
      <c r="I283" t="n">
        <v>0</v>
      </c>
      <c r="J283" t="n">
        <v>0</v>
      </c>
      <c r="K283" t="n">
        <v>153</v>
      </c>
      <c r="L283" t="n">
        <v>0</v>
      </c>
      <c r="M283" t="n">
        <v>0</v>
      </c>
      <c r="N283" t="n">
        <v>2</v>
      </c>
    </row>
    <row r="284">
      <c r="A284" t="n">
        <v>2026</v>
      </c>
      <c r="B284" t="n">
        <v>3</v>
      </c>
      <c r="C284" t="inlineStr">
        <is>
          <t>460200</t>
        </is>
      </c>
      <c r="D284" t="inlineStr">
        <is>
          <t>Beiträge Fachtagungen</t>
        </is>
      </c>
      <c r="E284" t="inlineStr">
        <is>
          <t>VERWALTUNG</t>
        </is>
      </c>
      <c r="F284" t="inlineStr">
        <is>
          <t>Verwaltung und Beratung</t>
        </is>
      </c>
      <c r="G284" t="n">
        <v>2</v>
      </c>
      <c r="H284" t="n">
        <v>2150</v>
      </c>
      <c r="I284" t="n">
        <v>0</v>
      </c>
      <c r="J284" t="n">
        <v>0</v>
      </c>
      <c r="K284" t="n">
        <v>2150</v>
      </c>
      <c r="L284" t="n">
        <v>0</v>
      </c>
      <c r="M284" t="n">
        <v>0</v>
      </c>
      <c r="N284" t="n">
        <v>5</v>
      </c>
    </row>
    <row r="285">
      <c r="A285" t="n">
        <v>2026</v>
      </c>
      <c r="B285" t="n">
        <v>3</v>
      </c>
      <c r="C285" t="inlineStr">
        <is>
          <t>460900</t>
        </is>
      </c>
      <c r="D285" t="inlineStr">
        <is>
          <t>Sonstige Verwaltungskosten</t>
        </is>
      </c>
      <c r="E285" t="inlineStr">
        <is>
          <t>VERWALTUNG</t>
        </is>
      </c>
      <c r="F285" t="inlineStr">
        <is>
          <t>Verwaltung und Beratung</t>
        </is>
      </c>
      <c r="G285" t="n">
        <v>2</v>
      </c>
      <c r="H285" t="n">
        <v>13285.74</v>
      </c>
      <c r="I285" t="n">
        <v>0</v>
      </c>
      <c r="J285" t="n">
        <v>0</v>
      </c>
      <c r="K285" t="n">
        <v>13285.74</v>
      </c>
      <c r="L285" t="n">
        <v>0</v>
      </c>
      <c r="M285" t="n">
        <v>0</v>
      </c>
      <c r="N285" t="n">
        <v>6</v>
      </c>
    </row>
    <row r="286">
      <c r="A286" t="n">
        <v>2026</v>
      </c>
      <c r="B286" t="n">
        <v>3</v>
      </c>
      <c r="C286" t="inlineStr">
        <is>
          <t>470010</t>
        </is>
      </c>
      <c r="D286" t="inlineStr">
        <is>
          <t>Anwalts- und Gerichtskosten</t>
        </is>
      </c>
      <c r="E286" t="inlineStr">
        <is>
          <t>BERATUNG_UMLAGE</t>
        </is>
      </c>
      <c r="F286" t="inlineStr">
        <is>
          <t>Verwaltung und Beratung</t>
        </is>
      </c>
      <c r="G286" t="n">
        <v>2</v>
      </c>
      <c r="H286" t="n">
        <v>15087.7</v>
      </c>
      <c r="I286" t="n">
        <v>0</v>
      </c>
      <c r="J286" t="n">
        <v>0</v>
      </c>
      <c r="K286" t="n">
        <v>15087.7</v>
      </c>
      <c r="L286" t="n">
        <v>0</v>
      </c>
      <c r="M286" t="n">
        <v>0</v>
      </c>
      <c r="N286" t="n">
        <v>9</v>
      </c>
    </row>
    <row r="287">
      <c r="A287" t="n">
        <v>2026</v>
      </c>
      <c r="B287" t="n">
        <v>3</v>
      </c>
      <c r="C287" t="inlineStr">
        <is>
          <t>470020</t>
        </is>
      </c>
      <c r="D287" t="inlineStr">
        <is>
          <t>kaufm. Beratung und Buchführung</t>
        </is>
      </c>
      <c r="E287" t="inlineStr">
        <is>
          <t>BERATUNG_UMLAGE</t>
        </is>
      </c>
      <c r="F287" t="inlineStr">
        <is>
          <t>Verwaltung und Beratung</t>
        </is>
      </c>
      <c r="G287" t="n">
        <v>2</v>
      </c>
      <c r="H287" t="n">
        <v>11350</v>
      </c>
      <c r="I287" t="n">
        <v>0</v>
      </c>
      <c r="J287" t="n">
        <v>0</v>
      </c>
      <c r="K287" t="n">
        <v>11350</v>
      </c>
      <c r="L287" t="n">
        <v>0</v>
      </c>
      <c r="M287" t="n">
        <v>0</v>
      </c>
      <c r="N287" t="n">
        <v>18</v>
      </c>
    </row>
    <row r="288">
      <c r="A288" t="n">
        <v>2026</v>
      </c>
      <c r="B288" t="n">
        <v>3</v>
      </c>
      <c r="C288" t="inlineStr">
        <is>
          <t>470025</t>
        </is>
      </c>
      <c r="D288" t="inlineStr">
        <is>
          <t>Steuerberatungskosten</t>
        </is>
      </c>
      <c r="E288" t="inlineStr">
        <is>
          <t>BERATUNG_UMLAGE</t>
        </is>
      </c>
      <c r="F288" t="inlineStr">
        <is>
          <t>Verwaltung und Beratung</t>
        </is>
      </c>
      <c r="G288" t="n">
        <v>2</v>
      </c>
      <c r="H288" t="n">
        <v>9000</v>
      </c>
      <c r="I288" t="n">
        <v>0</v>
      </c>
      <c r="J288" t="n">
        <v>0</v>
      </c>
      <c r="K288" t="n">
        <v>9000</v>
      </c>
      <c r="L288" t="n">
        <v>0</v>
      </c>
      <c r="M288" t="n">
        <v>0</v>
      </c>
      <c r="N288" t="n">
        <v>1</v>
      </c>
    </row>
    <row r="289">
      <c r="A289" t="n">
        <v>2026</v>
      </c>
      <c r="B289" t="n">
        <v>3</v>
      </c>
      <c r="C289" t="inlineStr">
        <is>
          <t>470036</t>
        </is>
      </c>
      <c r="D289" t="inlineStr">
        <is>
          <t>Aufwendungen Umlage zentrale Verwaltung</t>
        </is>
      </c>
      <c r="E289" t="inlineStr">
        <is>
          <t>BERATUNG_UMLAGE</t>
        </is>
      </c>
      <c r="F289" t="inlineStr">
        <is>
          <t>Verwaltung und Beratung</t>
        </is>
      </c>
      <c r="G289" t="n">
        <v>2</v>
      </c>
      <c r="H289" t="n">
        <v>3752</v>
      </c>
      <c r="I289" t="n">
        <v>0</v>
      </c>
      <c r="J289" t="n">
        <v>0</v>
      </c>
      <c r="K289" t="n">
        <v>3752</v>
      </c>
      <c r="L289" t="n">
        <v>0</v>
      </c>
      <c r="M289" t="n">
        <v>0</v>
      </c>
      <c r="N289" t="n">
        <v>6</v>
      </c>
    </row>
    <row r="290">
      <c r="A290" t="n">
        <v>2026</v>
      </c>
      <c r="B290" t="n">
        <v>3</v>
      </c>
      <c r="C290" t="inlineStr">
        <is>
          <t>480100</t>
        </is>
      </c>
      <c r="D290" t="inlineStr">
        <is>
          <t>Normalabschreibung auf Anlagen</t>
        </is>
      </c>
      <c r="E290" t="inlineStr">
        <is>
          <t>ABSCHREIBUNG</t>
        </is>
      </c>
      <c r="F290" t="inlineStr">
        <is>
          <t>Abschreibungen</t>
        </is>
      </c>
      <c r="G290" t="n">
        <v>2</v>
      </c>
      <c r="H290" t="n">
        <v>2755</v>
      </c>
      <c r="I290" t="n">
        <v>0</v>
      </c>
      <c r="J290" t="n">
        <v>0</v>
      </c>
      <c r="K290" t="n">
        <v>2755</v>
      </c>
      <c r="L290" t="n">
        <v>0</v>
      </c>
      <c r="M290" t="n">
        <v>0</v>
      </c>
      <c r="N290" t="n">
        <v>12</v>
      </c>
    </row>
    <row r="291">
      <c r="A291" t="n">
        <v>2026</v>
      </c>
      <c r="B291" t="n">
        <v>3</v>
      </c>
      <c r="C291" t="inlineStr">
        <is>
          <t>480110</t>
        </is>
      </c>
      <c r="D291" t="inlineStr">
        <is>
          <t>Abschreibungen auf Anlagen (GWG)</t>
        </is>
      </c>
      <c r="E291" t="inlineStr">
        <is>
          <t>ABSCHREIBUNG</t>
        </is>
      </c>
      <c r="F291" t="inlineStr">
        <is>
          <t>Abschreibungen</t>
        </is>
      </c>
      <c r="G291" t="n">
        <v>2</v>
      </c>
      <c r="H291" t="n">
        <v>309.14</v>
      </c>
      <c r="I291" t="n">
        <v>0</v>
      </c>
      <c r="J291" t="n">
        <v>0</v>
      </c>
      <c r="K291" t="n">
        <v>309.14</v>
      </c>
      <c r="L291" t="n">
        <v>0</v>
      </c>
      <c r="M291" t="n">
        <v>0</v>
      </c>
      <c r="N291" t="n">
        <v>11</v>
      </c>
    </row>
    <row r="292">
      <c r="A292" t="n">
        <v>2026</v>
      </c>
      <c r="B292" t="n">
        <v>3</v>
      </c>
      <c r="C292" t="inlineStr">
        <is>
          <t>499200</t>
        </is>
      </c>
      <c r="D292" t="inlineStr">
        <is>
          <t>Kalk. Zinsen</t>
        </is>
      </c>
      <c r="E292" t="inlineStr">
        <is>
          <t>KALKULATORISCH</t>
        </is>
      </c>
      <c r="F292" t="inlineStr">
        <is>
          <t>Kalkulatorische Kosten</t>
        </is>
      </c>
      <c r="G292" t="n">
        <v>9</v>
      </c>
      <c r="H292" t="n">
        <v>670</v>
      </c>
      <c r="I292" t="n">
        <v>0</v>
      </c>
      <c r="J292" t="n">
        <v>0</v>
      </c>
      <c r="K292" t="n">
        <v>0</v>
      </c>
      <c r="L292" t="n">
        <v>0</v>
      </c>
      <c r="M292" t="n">
        <v>670</v>
      </c>
      <c r="N292" t="n">
        <v>22</v>
      </c>
    </row>
    <row r="293">
      <c r="A293" t="n">
        <v>2026</v>
      </c>
      <c r="B293" t="n">
        <v>3</v>
      </c>
      <c r="C293" t="inlineStr">
        <is>
          <t>499300</t>
        </is>
      </c>
      <c r="D293" t="inlineStr">
        <is>
          <t>Kalk. Abschreibungen</t>
        </is>
      </c>
      <c r="E293" t="inlineStr">
        <is>
          <t>KALKULATORISCH</t>
        </is>
      </c>
      <c r="F293" t="inlineStr">
        <is>
          <t>Kalkulatorische Kosten</t>
        </is>
      </c>
      <c r="G293" t="n">
        <v>9</v>
      </c>
      <c r="H293" t="n">
        <v>3506.14</v>
      </c>
      <c r="I293" t="n">
        <v>0</v>
      </c>
      <c r="J293" t="n">
        <v>0</v>
      </c>
      <c r="K293" t="n">
        <v>0</v>
      </c>
      <c r="L293" t="n">
        <v>0</v>
      </c>
      <c r="M293" t="n">
        <v>3506.14</v>
      </c>
      <c r="N293" t="n">
        <v>24</v>
      </c>
    </row>
    <row r="294">
      <c r="A294" t="n">
        <v>2026</v>
      </c>
      <c r="B294" t="n">
        <v>3</v>
      </c>
      <c r="C294" t="inlineStr">
        <is>
          <t>7611100</t>
        </is>
      </c>
      <c r="D294" t="inlineStr">
        <is>
          <t>Lohnverr. Gruppe1</t>
        </is>
      </c>
      <c r="E294" t="inlineStr">
        <is>
          <t>LOHNVERRECHNUNG</t>
        </is>
      </c>
      <c r="F294" t="inlineStr">
        <is>
          <t>Innerbetriebliche Verrechnung</t>
        </is>
      </c>
      <c r="G294" t="n">
        <v>1</v>
      </c>
      <c r="H294" t="n">
        <v>456</v>
      </c>
      <c r="I294" t="n">
        <v>0</v>
      </c>
      <c r="J294" t="n">
        <v>456</v>
      </c>
      <c r="K294" t="n">
        <v>0</v>
      </c>
      <c r="L294" t="n">
        <v>0</v>
      </c>
      <c r="M294" t="n">
        <v>0</v>
      </c>
      <c r="N294" t="n">
        <v>39</v>
      </c>
    </row>
    <row r="295">
      <c r="A295" t="n">
        <v>2026</v>
      </c>
      <c r="B295" t="n">
        <v>3</v>
      </c>
      <c r="C295" t="inlineStr">
        <is>
          <t>7611200</t>
        </is>
      </c>
      <c r="D295" t="inlineStr">
        <is>
          <t>Lohnverr. Gruppe 2</t>
        </is>
      </c>
      <c r="E295" t="inlineStr">
        <is>
          <t>LOHNVERRECHNUNG</t>
        </is>
      </c>
      <c r="F295" t="inlineStr">
        <is>
          <t>Innerbetriebliche Verrechnung</t>
        </is>
      </c>
      <c r="G295" t="n">
        <v>1</v>
      </c>
      <c r="H295" t="n">
        <v>396</v>
      </c>
      <c r="I295" t="n">
        <v>0</v>
      </c>
      <c r="J295" t="n">
        <v>396</v>
      </c>
      <c r="K295" t="n">
        <v>0</v>
      </c>
      <c r="L295" t="n">
        <v>0</v>
      </c>
      <c r="M295" t="n">
        <v>0</v>
      </c>
      <c r="N295" t="n">
        <v>40</v>
      </c>
    </row>
    <row r="296">
      <c r="A296" t="n">
        <v>2026</v>
      </c>
      <c r="B296" t="n">
        <v>3</v>
      </c>
      <c r="C296" t="inlineStr">
        <is>
          <t>7612000</t>
        </is>
      </c>
      <c r="D296" t="inlineStr">
        <is>
          <t>Verrechnung Geräte</t>
        </is>
      </c>
      <c r="E296" t="inlineStr">
        <is>
          <t>GERAETEVERRECHNUNG</t>
        </is>
      </c>
      <c r="F296" t="inlineStr">
        <is>
          <t>Innerbetriebliche Verrechnung</t>
        </is>
      </c>
      <c r="G296" t="n">
        <v>1</v>
      </c>
      <c r="H296" t="n">
        <v>1260</v>
      </c>
      <c r="I296" t="n">
        <v>0</v>
      </c>
      <c r="J296" t="n">
        <v>1260</v>
      </c>
      <c r="K296" t="n">
        <v>0</v>
      </c>
      <c r="L296" t="n">
        <v>0</v>
      </c>
      <c r="M296" t="n">
        <v>0</v>
      </c>
      <c r="N296" t="n">
        <v>134</v>
      </c>
    </row>
    <row r="297">
      <c r="A297" t="n">
        <v>2026</v>
      </c>
      <c r="B297" t="n">
        <v>3</v>
      </c>
      <c r="C297" t="inlineStr">
        <is>
          <t>7801020</t>
        </is>
      </c>
      <c r="D297" t="inlineStr">
        <is>
          <t>Gemeinkostenzuschläge 12 % TVF Altwert</t>
        </is>
      </c>
      <c r="E297" t="inlineStr">
        <is>
          <t>GEMEINKOSTENUMLAGE</t>
        </is>
      </c>
      <c r="F297" t="inlineStr">
        <is>
          <t>Innerbetriebliche Verrechnung</t>
        </is>
      </c>
      <c r="G297" t="n">
        <v>2</v>
      </c>
      <c r="H297" t="n">
        <v>-245657.98</v>
      </c>
      <c r="I297" t="n">
        <v>0</v>
      </c>
      <c r="J297" t="n">
        <v>0</v>
      </c>
      <c r="K297" t="n">
        <v>0</v>
      </c>
      <c r="L297" t="n">
        <v>-245657.98</v>
      </c>
      <c r="M297" t="n">
        <v>0</v>
      </c>
      <c r="N297" t="n">
        <v>126</v>
      </c>
    </row>
    <row r="298">
      <c r="A298" t="n">
        <v>2026</v>
      </c>
      <c r="B298" t="n">
        <v>3</v>
      </c>
      <c r="C298" t="inlineStr">
        <is>
          <t>830510</t>
        </is>
      </c>
      <c r="D298" t="inlineStr">
        <is>
          <t>Erlöse Abrisse/Demontagen</t>
        </is>
      </c>
      <c r="E298" t="inlineStr">
        <is>
          <t>ERLOES</t>
        </is>
      </c>
      <c r="F298" t="inlineStr">
        <is>
          <t>Umsatzerlöse</t>
        </is>
      </c>
      <c r="G298" t="n">
        <v>0</v>
      </c>
      <c r="H298" t="n">
        <v>-1179083.37</v>
      </c>
      <c r="I298" t="n">
        <v>1179083.37</v>
      </c>
      <c r="J298" t="n">
        <v>0</v>
      </c>
      <c r="K298" t="n">
        <v>0</v>
      </c>
      <c r="L298" t="n">
        <v>0</v>
      </c>
      <c r="M298" t="n">
        <v>0</v>
      </c>
      <c r="N298" t="n">
        <v>103</v>
      </c>
    </row>
    <row r="299">
      <c r="A299" t="n">
        <v>2026</v>
      </c>
      <c r="B299" t="n">
        <v>3</v>
      </c>
      <c r="C299" t="inlineStr">
        <is>
          <t>840040</t>
        </is>
      </c>
      <c r="D299" t="inlineStr">
        <is>
          <t>Erlöse Verkauf HW Schrott</t>
        </is>
      </c>
      <c r="E299" t="inlineStr">
        <is>
          <t>ERLOES</t>
        </is>
      </c>
      <c r="F299" t="inlineStr">
        <is>
          <t>Umsatzerlöse</t>
        </is>
      </c>
      <c r="G299" t="n">
        <v>0</v>
      </c>
      <c r="H299" t="n">
        <v>-42442.16</v>
      </c>
      <c r="I299" t="n">
        <v>42442.16</v>
      </c>
      <c r="J299" t="n">
        <v>0</v>
      </c>
      <c r="K299" t="n">
        <v>0</v>
      </c>
      <c r="L299" t="n">
        <v>0</v>
      </c>
      <c r="M299" t="n">
        <v>0</v>
      </c>
      <c r="N299" t="n">
        <v>4</v>
      </c>
    </row>
    <row r="300">
      <c r="A300" t="n">
        <v>2026</v>
      </c>
      <c r="B300" t="n">
        <v>3</v>
      </c>
      <c r="C300" t="inlineStr">
        <is>
          <t>860000</t>
        </is>
      </c>
      <c r="D300" t="inlineStr">
        <is>
          <t>Erlöse weiterberechnete Fremdkosten</t>
        </is>
      </c>
      <c r="E300" t="inlineStr">
        <is>
          <t>ERLOES</t>
        </is>
      </c>
      <c r="F300" t="inlineStr">
        <is>
          <t>Umsatzerlöse</t>
        </is>
      </c>
      <c r="G300" t="n">
        <v>0</v>
      </c>
      <c r="H300" t="n">
        <v>-179.63</v>
      </c>
      <c r="I300" t="n">
        <v>179.63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</row>
    <row r="301">
      <c r="A301" t="n">
        <v>2026</v>
      </c>
      <c r="B301" t="n">
        <v>3</v>
      </c>
      <c r="C301" t="inlineStr">
        <is>
          <t>890100</t>
        </is>
      </c>
      <c r="D301" t="inlineStr">
        <is>
          <t>Gewährte Skonti</t>
        </is>
      </c>
      <c r="E301" t="inlineStr">
        <is>
          <t>ERLOESSCHMAELERUNG</t>
        </is>
      </c>
      <c r="F301" t="inlineStr">
        <is>
          <t>Umsatzerlöse</t>
        </is>
      </c>
      <c r="G301" t="n">
        <v>0</v>
      </c>
      <c r="H301" t="n">
        <v>7984.13</v>
      </c>
      <c r="I301" t="n">
        <v>-7984.13</v>
      </c>
      <c r="J301" t="n">
        <v>0</v>
      </c>
      <c r="K301" t="n">
        <v>0</v>
      </c>
      <c r="L301" t="n">
        <v>0</v>
      </c>
      <c r="M301" t="n">
        <v>0</v>
      </c>
      <c r="N301" t="n">
        <v>10</v>
      </c>
    </row>
    <row r="302">
      <c r="A302" t="n">
        <v>2026</v>
      </c>
      <c r="B302" t="n">
        <v>4</v>
      </c>
      <c r="C302" t="inlineStr">
        <is>
          <t>201000</t>
        </is>
      </c>
      <c r="D302" t="inlineStr">
        <is>
          <t>Sonstige periodenfremde Aufwendungen</t>
        </is>
      </c>
      <c r="E302" t="inlineStr">
        <is>
          <t>NEUTRALER_AUFWAND</t>
        </is>
      </c>
      <c r="F302" t="inlineStr">
        <is>
          <t>Sonstiges</t>
        </is>
      </c>
      <c r="G302" t="n">
        <v>9</v>
      </c>
      <c r="H302" t="n">
        <v>13624.96</v>
      </c>
      <c r="I302" t="n">
        <v>0</v>
      </c>
      <c r="J302" t="n">
        <v>0</v>
      </c>
      <c r="K302" t="n">
        <v>0</v>
      </c>
      <c r="L302" t="n">
        <v>0</v>
      </c>
      <c r="M302" t="n">
        <v>13624.96</v>
      </c>
      <c r="N302" t="n">
        <v>10</v>
      </c>
    </row>
    <row r="303">
      <c r="A303" t="n">
        <v>2026</v>
      </c>
      <c r="B303" t="n">
        <v>4</v>
      </c>
      <c r="C303" t="inlineStr">
        <is>
          <t>210000</t>
        </is>
      </c>
      <c r="D303" t="inlineStr">
        <is>
          <t>Übrige Zinsen und ähnliche Aufwendungen</t>
        </is>
      </c>
      <c r="E303" t="inlineStr">
        <is>
          <t>ZINSEN</t>
        </is>
      </c>
      <c r="F303" t="inlineStr">
        <is>
          <t>Zinsergebnis</t>
        </is>
      </c>
      <c r="G303" t="n">
        <v>9</v>
      </c>
      <c r="H303" t="n">
        <v>0.35</v>
      </c>
      <c r="I303" t="n">
        <v>0</v>
      </c>
      <c r="J303" t="n">
        <v>0</v>
      </c>
      <c r="K303" t="n">
        <v>0</v>
      </c>
      <c r="L303" t="n">
        <v>0</v>
      </c>
      <c r="M303" t="n">
        <v>0.35</v>
      </c>
      <c r="N303" t="n">
        <v>1</v>
      </c>
    </row>
    <row r="304">
      <c r="A304" t="n">
        <v>2026</v>
      </c>
      <c r="B304" t="n">
        <v>4</v>
      </c>
      <c r="C304" t="inlineStr">
        <is>
          <t>210900</t>
        </is>
      </c>
      <c r="D304" t="inlineStr">
        <is>
          <t>Zinsaufwendungen an verbundene Unternehm</t>
        </is>
      </c>
      <c r="E304" t="inlineStr">
        <is>
          <t>ZINSEN</t>
        </is>
      </c>
      <c r="F304" t="inlineStr">
        <is>
          <t>Zinsergebnis</t>
        </is>
      </c>
      <c r="G304" t="n">
        <v>9</v>
      </c>
      <c r="H304" t="n">
        <v>6.62</v>
      </c>
      <c r="I304" t="n">
        <v>0</v>
      </c>
      <c r="J304" t="n">
        <v>0</v>
      </c>
      <c r="K304" t="n">
        <v>0</v>
      </c>
      <c r="L304" t="n">
        <v>0</v>
      </c>
      <c r="M304" t="n">
        <v>6.62</v>
      </c>
      <c r="N304" t="n">
        <v>1</v>
      </c>
    </row>
    <row r="305">
      <c r="A305" t="n">
        <v>2026</v>
      </c>
      <c r="B305" t="n">
        <v>4</v>
      </c>
      <c r="C305" t="inlineStr">
        <is>
          <t>213101</t>
        </is>
      </c>
      <c r="D305" t="inlineStr">
        <is>
          <t>Zinsen Factoring</t>
        </is>
      </c>
      <c r="E305" t="inlineStr">
        <is>
          <t>ZINSEN</t>
        </is>
      </c>
      <c r="F305" t="inlineStr">
        <is>
          <t>Zinsergebnis</t>
        </is>
      </c>
      <c r="G305" t="n">
        <v>9</v>
      </c>
      <c r="H305" t="n">
        <v>4222.87</v>
      </c>
      <c r="I305" t="n">
        <v>0</v>
      </c>
      <c r="J305" t="n">
        <v>0</v>
      </c>
      <c r="K305" t="n">
        <v>0</v>
      </c>
      <c r="L305" t="n">
        <v>0</v>
      </c>
      <c r="M305" t="n">
        <v>4222.87</v>
      </c>
      <c r="N305" t="n">
        <v>1</v>
      </c>
    </row>
    <row r="306">
      <c r="A306" t="n">
        <v>2026</v>
      </c>
      <c r="B306" t="n">
        <v>4</v>
      </c>
      <c r="C306" t="inlineStr">
        <is>
          <t>251000</t>
        </is>
      </c>
      <c r="D306" t="inlineStr">
        <is>
          <t>Sonstige periodenfremde Erträge</t>
        </is>
      </c>
      <c r="E306" t="inlineStr">
        <is>
          <t>NEUTRALER_ERTRAG</t>
        </is>
      </c>
      <c r="F306" t="inlineStr">
        <is>
          <t>Sonstiges</t>
        </is>
      </c>
      <c r="G306" t="n">
        <v>9</v>
      </c>
      <c r="H306" t="n">
        <v>-1451.5</v>
      </c>
      <c r="I306" t="n">
        <v>0</v>
      </c>
      <c r="J306" t="n">
        <v>0</v>
      </c>
      <c r="K306" t="n">
        <v>0</v>
      </c>
      <c r="L306" t="n">
        <v>0</v>
      </c>
      <c r="M306" t="n">
        <v>-1451.5</v>
      </c>
      <c r="N306" t="n">
        <v>1</v>
      </c>
    </row>
    <row r="307">
      <c r="A307" t="n">
        <v>2026</v>
      </c>
      <c r="B307" t="n">
        <v>4</v>
      </c>
      <c r="C307" t="inlineStr">
        <is>
          <t>252000</t>
        </is>
      </c>
      <c r="D307" t="inlineStr">
        <is>
          <t>andere sonst.betriebl. Erträge</t>
        </is>
      </c>
      <c r="E307" t="inlineStr">
        <is>
          <t>SONSTIGER_ERTRAG</t>
        </is>
      </c>
      <c r="F307" t="inlineStr">
        <is>
          <t>Sonstige betriebliche Erträge</t>
        </is>
      </c>
      <c r="G307" t="n">
        <v>9</v>
      </c>
      <c r="H307" t="n">
        <v>-18.48</v>
      </c>
      <c r="I307" t="n">
        <v>0</v>
      </c>
      <c r="J307" t="n">
        <v>0</v>
      </c>
      <c r="K307" t="n">
        <v>0</v>
      </c>
      <c r="L307" t="n">
        <v>0</v>
      </c>
      <c r="M307" t="n">
        <v>-18.48</v>
      </c>
      <c r="N307" t="n">
        <v>1</v>
      </c>
    </row>
    <row r="308">
      <c r="A308" t="n">
        <v>2026</v>
      </c>
      <c r="B308" t="n">
        <v>4</v>
      </c>
      <c r="C308" t="inlineStr">
        <is>
          <t>274200</t>
        </is>
      </c>
      <c r="D308" t="inlineStr">
        <is>
          <t>Versicherungsentschädigungen</t>
        </is>
      </c>
      <c r="E308" t="inlineStr">
        <is>
          <t>SONSTIGER_ERTRAG</t>
        </is>
      </c>
      <c r="F308" t="inlineStr">
        <is>
          <t>Sonstige betriebliche Erträge</t>
        </is>
      </c>
      <c r="G308" t="n">
        <v>9</v>
      </c>
      <c r="H308" t="n">
        <v>-38109.97</v>
      </c>
      <c r="I308" t="n">
        <v>0</v>
      </c>
      <c r="J308" t="n">
        <v>0</v>
      </c>
      <c r="K308" t="n">
        <v>0</v>
      </c>
      <c r="L308" t="n">
        <v>0</v>
      </c>
      <c r="M308" t="n">
        <v>-38109.97</v>
      </c>
      <c r="N308" t="n">
        <v>1</v>
      </c>
    </row>
    <row r="309">
      <c r="A309" t="n">
        <v>2026</v>
      </c>
      <c r="B309" t="n">
        <v>4</v>
      </c>
      <c r="C309" t="inlineStr">
        <is>
          <t>289200</t>
        </is>
      </c>
      <c r="D309" t="inlineStr">
        <is>
          <t>Verr. kalk. Zinsen</t>
        </is>
      </c>
      <c r="E309" t="inlineStr">
        <is>
          <t>KALKULATORISCH</t>
        </is>
      </c>
      <c r="F309" t="inlineStr">
        <is>
          <t>Kalkulatorische Kosten</t>
        </is>
      </c>
      <c r="G309" t="n">
        <v>9</v>
      </c>
      <c r="H309" t="n">
        <v>-751</v>
      </c>
      <c r="I309" t="n">
        <v>0</v>
      </c>
      <c r="J309" t="n">
        <v>0</v>
      </c>
      <c r="K309" t="n">
        <v>0</v>
      </c>
      <c r="L309" t="n">
        <v>0</v>
      </c>
      <c r="M309" t="n">
        <v>-751</v>
      </c>
      <c r="N309" t="n">
        <v>22</v>
      </c>
    </row>
    <row r="310">
      <c r="A310" t="n">
        <v>2026</v>
      </c>
      <c r="B310" t="n">
        <v>4</v>
      </c>
      <c r="C310" t="inlineStr">
        <is>
          <t>289300</t>
        </is>
      </c>
      <c r="D310" t="inlineStr">
        <is>
          <t>Verr. kalk. Abschreibungen</t>
        </is>
      </c>
      <c r="E310" t="inlineStr">
        <is>
          <t>KALKULATORISCH</t>
        </is>
      </c>
      <c r="F310" t="inlineStr">
        <is>
          <t>Kalkulatorische Kosten</t>
        </is>
      </c>
      <c r="G310" t="n">
        <v>9</v>
      </c>
      <c r="H310" t="n">
        <v>-3737.16</v>
      </c>
      <c r="I310" t="n">
        <v>0</v>
      </c>
      <c r="J310" t="n">
        <v>0</v>
      </c>
      <c r="K310" t="n">
        <v>0</v>
      </c>
      <c r="L310" t="n">
        <v>0</v>
      </c>
      <c r="M310" t="n">
        <v>-3737.16</v>
      </c>
      <c r="N310" t="n">
        <v>24</v>
      </c>
    </row>
    <row r="311">
      <c r="A311" t="n">
        <v>2026</v>
      </c>
      <c r="B311" t="n">
        <v>4</v>
      </c>
      <c r="C311" t="inlineStr">
        <is>
          <t>310900</t>
        </is>
      </c>
      <c r="D311" t="inlineStr">
        <is>
          <t>Sonstige Hilfs- und Betriebsstoffe</t>
        </is>
      </c>
      <c r="E311" t="inlineStr">
        <is>
          <t>MATERIAL</t>
        </is>
      </c>
      <c r="F311" t="inlineStr">
        <is>
          <t>Material und Fremdleistungen</t>
        </is>
      </c>
      <c r="G311" t="n">
        <v>1</v>
      </c>
      <c r="H311" t="n">
        <v>4200</v>
      </c>
      <c r="I311" t="n">
        <v>0</v>
      </c>
      <c r="J311" t="n">
        <v>4200</v>
      </c>
      <c r="K311" t="n">
        <v>0</v>
      </c>
      <c r="L311" t="n">
        <v>0</v>
      </c>
      <c r="M311" t="n">
        <v>0</v>
      </c>
      <c r="N311" t="n">
        <v>2</v>
      </c>
    </row>
    <row r="312">
      <c r="A312" t="n">
        <v>2026</v>
      </c>
      <c r="B312" t="n">
        <v>4</v>
      </c>
      <c r="C312" t="inlineStr">
        <is>
          <t>330900</t>
        </is>
      </c>
      <c r="D312" t="inlineStr">
        <is>
          <t>Erhaltene Skonti</t>
        </is>
      </c>
      <c r="E312" t="inlineStr">
        <is>
          <t>MATERIAL</t>
        </is>
      </c>
      <c r="F312" t="inlineStr">
        <is>
          <t>Material und Fremdleistungen</t>
        </is>
      </c>
      <c r="G312" t="n">
        <v>1</v>
      </c>
      <c r="H312" t="n">
        <v>-10482.65</v>
      </c>
      <c r="I312" t="n">
        <v>0</v>
      </c>
      <c r="J312" t="n">
        <v>-10482.65</v>
      </c>
      <c r="K312" t="n">
        <v>0</v>
      </c>
      <c r="L312" t="n">
        <v>0</v>
      </c>
      <c r="M312" t="n">
        <v>0</v>
      </c>
      <c r="N312" t="n">
        <v>45</v>
      </c>
    </row>
    <row r="313">
      <c r="A313" t="n">
        <v>2026</v>
      </c>
      <c r="B313" t="n">
        <v>4</v>
      </c>
      <c r="C313" t="inlineStr">
        <is>
          <t>340030</t>
        </is>
      </c>
      <c r="D313" t="inlineStr">
        <is>
          <t>Fremdleistungen Personal</t>
        </is>
      </c>
      <c r="E313" t="inlineStr">
        <is>
          <t>FREMDLEISTUNG</t>
        </is>
      </c>
      <c r="F313" t="inlineStr">
        <is>
          <t>Material und Fremdleistungen</t>
        </is>
      </c>
      <c r="G313" t="n">
        <v>1</v>
      </c>
      <c r="H313" t="n">
        <v>2538.83</v>
      </c>
      <c r="I313" t="n">
        <v>0</v>
      </c>
      <c r="J313" t="n">
        <v>2538.83</v>
      </c>
      <c r="K313" t="n">
        <v>0</v>
      </c>
      <c r="L313" t="n">
        <v>0</v>
      </c>
      <c r="M313" t="n">
        <v>0</v>
      </c>
      <c r="N313" t="n">
        <v>4</v>
      </c>
    </row>
    <row r="314">
      <c r="A314" t="n">
        <v>2026</v>
      </c>
      <c r="B314" t="n">
        <v>4</v>
      </c>
      <c r="C314" t="inlineStr">
        <is>
          <t>340050</t>
        </is>
      </c>
      <c r="D314" t="inlineStr">
        <is>
          <t>Fremdleistungen Wartung/Pflege</t>
        </is>
      </c>
      <c r="E314" t="inlineStr">
        <is>
          <t>FREMDLEISTUNG</t>
        </is>
      </c>
      <c r="F314" t="inlineStr">
        <is>
          <t>Material und Fremdleistungen</t>
        </is>
      </c>
      <c r="G314" t="n">
        <v>1</v>
      </c>
      <c r="H314" t="n">
        <v>1502888.35</v>
      </c>
      <c r="I314" t="n">
        <v>0</v>
      </c>
      <c r="J314" t="n">
        <v>1502888.35</v>
      </c>
      <c r="K314" t="n">
        <v>0</v>
      </c>
      <c r="L314" t="n">
        <v>0</v>
      </c>
      <c r="M314" t="n">
        <v>0</v>
      </c>
      <c r="N314" t="n">
        <v>319</v>
      </c>
    </row>
    <row r="315">
      <c r="A315" t="n">
        <v>2026</v>
      </c>
      <c r="B315" t="n">
        <v>4</v>
      </c>
      <c r="C315" t="inlineStr">
        <is>
          <t>340600</t>
        </is>
      </c>
      <c r="D315" t="inlineStr">
        <is>
          <t>Bezogene Leistung periodenfremd</t>
        </is>
      </c>
      <c r="E315" t="inlineStr">
        <is>
          <t>FREMDLEISTUNG</t>
        </is>
      </c>
      <c r="F315" t="inlineStr">
        <is>
          <t>Material und Fremdleistungen</t>
        </is>
      </c>
      <c r="G315" t="n">
        <v>1</v>
      </c>
      <c r="H315" t="n">
        <v>6615.91</v>
      </c>
      <c r="I315" t="n">
        <v>0</v>
      </c>
      <c r="J315" t="n">
        <v>6615.91</v>
      </c>
      <c r="K315" t="n">
        <v>0</v>
      </c>
      <c r="L315" t="n">
        <v>0</v>
      </c>
      <c r="M315" t="n">
        <v>0</v>
      </c>
      <c r="N315" t="n">
        <v>3</v>
      </c>
    </row>
    <row r="316">
      <c r="A316" t="n">
        <v>2026</v>
      </c>
      <c r="B316" t="n">
        <v>4</v>
      </c>
      <c r="C316" t="inlineStr">
        <is>
          <t>392000</t>
        </is>
      </c>
      <c r="D316" t="inlineStr">
        <is>
          <t>Bestandsveränderungen unfertige Erzeugni</t>
        </is>
      </c>
      <c r="E316" t="inlineStr">
        <is>
          <t>BESTANDSVERAENDERUNG</t>
        </is>
      </c>
      <c r="F316" t="inlineStr">
        <is>
          <t>Bestandsveränderung</t>
        </is>
      </c>
      <c r="G316" t="n">
        <v>0</v>
      </c>
      <c r="H316" t="n">
        <v>-1261219.89</v>
      </c>
      <c r="I316" t="n">
        <v>1261219.89</v>
      </c>
      <c r="J316" t="n">
        <v>0</v>
      </c>
      <c r="K316" t="n">
        <v>0</v>
      </c>
      <c r="L316" t="n">
        <v>0</v>
      </c>
      <c r="M316" t="n">
        <v>0</v>
      </c>
      <c r="N316" t="n">
        <v>14</v>
      </c>
    </row>
    <row r="317">
      <c r="A317" t="n">
        <v>2026</v>
      </c>
      <c r="B317" t="n">
        <v>4</v>
      </c>
      <c r="C317" t="inlineStr">
        <is>
          <t>400011</t>
        </is>
      </c>
      <c r="D317" t="inlineStr">
        <is>
          <t>Reifenkosten</t>
        </is>
      </c>
      <c r="E317" t="inlineStr">
        <is>
          <t>FUHRPARK</t>
        </is>
      </c>
      <c r="F317" t="inlineStr">
        <is>
          <t>Fuhrpark</t>
        </is>
      </c>
      <c r="G317" t="n">
        <v>2</v>
      </c>
      <c r="H317" t="n">
        <v>870.27</v>
      </c>
      <c r="I317" t="n">
        <v>0</v>
      </c>
      <c r="J317" t="n">
        <v>0</v>
      </c>
      <c r="K317" t="n">
        <v>870.27</v>
      </c>
      <c r="L317" t="n">
        <v>0</v>
      </c>
      <c r="M317" t="n">
        <v>0</v>
      </c>
      <c r="N317" t="n">
        <v>6</v>
      </c>
    </row>
    <row r="318">
      <c r="A318" t="n">
        <v>2026</v>
      </c>
      <c r="B318" t="n">
        <v>4</v>
      </c>
      <c r="C318" t="inlineStr">
        <is>
          <t>400020</t>
        </is>
      </c>
      <c r="D318" t="inlineStr">
        <is>
          <t>Instandhaltung Personenkraftwagen</t>
        </is>
      </c>
      <c r="E318" t="inlineStr">
        <is>
          <t>FUHRPARK</t>
        </is>
      </c>
      <c r="F318" t="inlineStr">
        <is>
          <t>Fuhrpark</t>
        </is>
      </c>
      <c r="G318" t="n">
        <v>2</v>
      </c>
      <c r="H318" t="n">
        <v>32.5</v>
      </c>
      <c r="I318" t="n">
        <v>0</v>
      </c>
      <c r="J318" t="n">
        <v>0</v>
      </c>
      <c r="K318" t="n">
        <v>32.5</v>
      </c>
      <c r="L318" t="n">
        <v>0</v>
      </c>
      <c r="M318" t="n">
        <v>0</v>
      </c>
      <c r="N318" t="n">
        <v>1</v>
      </c>
    </row>
    <row r="319">
      <c r="A319" t="n">
        <v>2026</v>
      </c>
      <c r="B319" t="n">
        <v>4</v>
      </c>
      <c r="C319" t="inlineStr">
        <is>
          <t>400035</t>
        </is>
      </c>
      <c r="D319" t="inlineStr">
        <is>
          <t>Instandhaltung Miet-und Leasingfahrzeuge</t>
        </is>
      </c>
      <c r="E319" t="inlineStr">
        <is>
          <t>FUHRPARK</t>
        </is>
      </c>
      <c r="F319" t="inlineStr">
        <is>
          <t>Fuhrpark</t>
        </is>
      </c>
      <c r="G319" t="n">
        <v>2</v>
      </c>
      <c r="H319" t="n">
        <v>4208.21</v>
      </c>
      <c r="I319" t="n">
        <v>0</v>
      </c>
      <c r="J319" t="n">
        <v>0</v>
      </c>
      <c r="K319" t="n">
        <v>4208.21</v>
      </c>
      <c r="L319" t="n">
        <v>0</v>
      </c>
      <c r="M319" t="n">
        <v>0</v>
      </c>
      <c r="N319" t="n">
        <v>19</v>
      </c>
    </row>
    <row r="320">
      <c r="A320" t="n">
        <v>2026</v>
      </c>
      <c r="B320" t="n">
        <v>4</v>
      </c>
      <c r="C320" t="inlineStr">
        <is>
          <t>400040</t>
        </is>
      </c>
      <c r="D320" t="inlineStr">
        <is>
          <t>DEKRA / TÜV / sonstige Gebühren Fuhrpark</t>
        </is>
      </c>
      <c r="E320" t="inlineStr">
        <is>
          <t>FUHRPARK</t>
        </is>
      </c>
      <c r="F320" t="inlineStr">
        <is>
          <t>Fuhrpark</t>
        </is>
      </c>
      <c r="G320" t="n">
        <v>2</v>
      </c>
      <c r="H320" t="n">
        <v>262.64</v>
      </c>
      <c r="I320" t="n">
        <v>0</v>
      </c>
      <c r="J320" t="n">
        <v>0</v>
      </c>
      <c r="K320" t="n">
        <v>262.64</v>
      </c>
      <c r="L320" t="n">
        <v>0</v>
      </c>
      <c r="M320" t="n">
        <v>0</v>
      </c>
      <c r="N320" t="n">
        <v>2</v>
      </c>
    </row>
    <row r="321">
      <c r="A321" t="n">
        <v>2026</v>
      </c>
      <c r="B321" t="n">
        <v>4</v>
      </c>
      <c r="C321" t="inlineStr">
        <is>
          <t>400121</t>
        </is>
      </c>
      <c r="D321" t="inlineStr">
        <is>
          <t>Anmietung PKW</t>
        </is>
      </c>
      <c r="E321" t="inlineStr">
        <is>
          <t>FUHRPARK</t>
        </is>
      </c>
      <c r="F321" t="inlineStr">
        <is>
          <t>Fuhrpark</t>
        </is>
      </c>
      <c r="G321" t="n">
        <v>2</v>
      </c>
      <c r="H321" t="n">
        <v>1216.68</v>
      </c>
      <c r="I321" t="n">
        <v>0</v>
      </c>
      <c r="J321" t="n">
        <v>0</v>
      </c>
      <c r="K321" t="n">
        <v>1216.68</v>
      </c>
      <c r="L321" t="n">
        <v>0</v>
      </c>
      <c r="M321" t="n">
        <v>0</v>
      </c>
      <c r="N321" t="n">
        <v>2</v>
      </c>
    </row>
    <row r="322">
      <c r="A322" t="n">
        <v>2026</v>
      </c>
      <c r="B322" t="n">
        <v>4</v>
      </c>
      <c r="C322" t="inlineStr">
        <is>
          <t>400122</t>
        </is>
      </c>
      <c r="D322" t="inlineStr">
        <is>
          <t>Leasing PKW</t>
        </is>
      </c>
      <c r="E322" t="inlineStr">
        <is>
          <t>FUHRPARK</t>
        </is>
      </c>
      <c r="F322" t="inlineStr">
        <is>
          <t>Fuhrpark</t>
        </is>
      </c>
      <c r="G322" t="n">
        <v>2</v>
      </c>
      <c r="H322" t="n">
        <v>8163.19</v>
      </c>
      <c r="I322" t="n">
        <v>0</v>
      </c>
      <c r="J322" t="n">
        <v>0</v>
      </c>
      <c r="K322" t="n">
        <v>8163.19</v>
      </c>
      <c r="L322" t="n">
        <v>0</v>
      </c>
      <c r="M322" t="n">
        <v>0</v>
      </c>
      <c r="N322" t="n">
        <v>19</v>
      </c>
    </row>
    <row r="323">
      <c r="A323" t="n">
        <v>2026</v>
      </c>
      <c r="B323" t="n">
        <v>4</v>
      </c>
      <c r="C323" t="inlineStr">
        <is>
          <t>401000</t>
        </is>
      </c>
      <c r="D323" t="inlineStr">
        <is>
          <t>Aufwand Diesel</t>
        </is>
      </c>
      <c r="E323" t="inlineStr">
        <is>
          <t>FUHRPARK</t>
        </is>
      </c>
      <c r="F323" t="inlineStr">
        <is>
          <t>Fuhrpark</t>
        </is>
      </c>
      <c r="G323" t="n">
        <v>1</v>
      </c>
      <c r="H323" t="n">
        <v>37096.89</v>
      </c>
      <c r="I323" t="n">
        <v>0</v>
      </c>
      <c r="J323" t="n">
        <v>37096.89</v>
      </c>
      <c r="K323" t="n">
        <v>0</v>
      </c>
      <c r="L323" t="n">
        <v>0</v>
      </c>
      <c r="M323" t="n">
        <v>0</v>
      </c>
      <c r="N323" t="n">
        <v>78</v>
      </c>
    </row>
    <row r="324">
      <c r="A324" t="n">
        <v>2026</v>
      </c>
      <c r="B324" t="n">
        <v>4</v>
      </c>
      <c r="C324" t="inlineStr">
        <is>
          <t>401015</t>
        </is>
      </c>
      <c r="D324" t="inlineStr">
        <is>
          <t>Alternative Antriebe (u.a. Strom, Wasser</t>
        </is>
      </c>
      <c r="E324" t="inlineStr">
        <is>
          <t>FUHRPARK</t>
        </is>
      </c>
      <c r="F324" t="inlineStr">
        <is>
          <t>Fuhrpark</t>
        </is>
      </c>
      <c r="G324" t="n">
        <v>2</v>
      </c>
      <c r="H324" t="n">
        <v>138.99</v>
      </c>
      <c r="I324" t="n">
        <v>0</v>
      </c>
      <c r="J324" t="n">
        <v>0</v>
      </c>
      <c r="K324" t="n">
        <v>138.99</v>
      </c>
      <c r="L324" t="n">
        <v>0</v>
      </c>
      <c r="M324" t="n">
        <v>0</v>
      </c>
      <c r="N324" t="n">
        <v>3</v>
      </c>
    </row>
    <row r="325">
      <c r="A325" t="n">
        <v>2026</v>
      </c>
      <c r="B325" t="n">
        <v>4</v>
      </c>
      <c r="C325" t="inlineStr">
        <is>
          <t>401030</t>
        </is>
      </c>
      <c r="D325" t="inlineStr">
        <is>
          <t>Kfz-Steuern</t>
        </is>
      </c>
      <c r="E325" t="inlineStr">
        <is>
          <t>STEUERN</t>
        </is>
      </c>
      <c r="F325" t="inlineStr">
        <is>
          <t>Versicherungen, Mieten, Steuern</t>
        </is>
      </c>
      <c r="G325" t="n">
        <v>9</v>
      </c>
      <c r="H325" t="n">
        <v>664.35</v>
      </c>
      <c r="I325" t="n">
        <v>0</v>
      </c>
      <c r="J325" t="n">
        <v>0</v>
      </c>
      <c r="K325" t="n">
        <v>0</v>
      </c>
      <c r="L325" t="n">
        <v>0</v>
      </c>
      <c r="M325" t="n">
        <v>664.35</v>
      </c>
      <c r="N325" t="n">
        <v>19</v>
      </c>
    </row>
    <row r="326">
      <c r="A326" t="n">
        <v>2026</v>
      </c>
      <c r="B326" t="n">
        <v>4</v>
      </c>
      <c r="C326" t="inlineStr">
        <is>
          <t>401040</t>
        </is>
      </c>
      <c r="D326" t="inlineStr">
        <is>
          <t>Kfz-Versicherungen</t>
        </is>
      </c>
      <c r="E326" t="inlineStr">
        <is>
          <t>FUHRPARK</t>
        </is>
      </c>
      <c r="F326" t="inlineStr">
        <is>
          <t>Fuhrpark</t>
        </is>
      </c>
      <c r="G326" t="n">
        <v>2</v>
      </c>
      <c r="H326" t="n">
        <v>13773.02</v>
      </c>
      <c r="I326" t="n">
        <v>0</v>
      </c>
      <c r="J326" t="n">
        <v>0</v>
      </c>
      <c r="K326" t="n">
        <v>13773.02</v>
      </c>
      <c r="L326" t="n">
        <v>0</v>
      </c>
      <c r="M326" t="n">
        <v>0</v>
      </c>
      <c r="N326" t="n">
        <v>22</v>
      </c>
    </row>
    <row r="327">
      <c r="A327" t="n">
        <v>2026</v>
      </c>
      <c r="B327" t="n">
        <v>4</v>
      </c>
      <c r="C327" t="inlineStr">
        <is>
          <t>401050</t>
        </is>
      </c>
      <c r="D327" t="inlineStr">
        <is>
          <t>Autobahngebühren LKW</t>
        </is>
      </c>
      <c r="E327" t="inlineStr">
        <is>
          <t>FUHRPARK</t>
        </is>
      </c>
      <c r="F327" t="inlineStr">
        <is>
          <t>Fuhrpark</t>
        </is>
      </c>
      <c r="G327" t="n">
        <v>2</v>
      </c>
      <c r="H327" t="n">
        <v>1361.48</v>
      </c>
      <c r="I327" t="n">
        <v>0</v>
      </c>
      <c r="J327" t="n">
        <v>0</v>
      </c>
      <c r="K327" t="n">
        <v>1361.48</v>
      </c>
      <c r="L327" t="n">
        <v>0</v>
      </c>
      <c r="M327" t="n">
        <v>0</v>
      </c>
      <c r="N327" t="n">
        <v>9</v>
      </c>
    </row>
    <row r="328">
      <c r="A328" t="n">
        <v>2026</v>
      </c>
      <c r="B328" t="n">
        <v>4</v>
      </c>
      <c r="C328" t="inlineStr">
        <is>
          <t>410130</t>
        </is>
      </c>
      <c r="D328" t="inlineStr">
        <is>
          <t>Sonderzahlungen und Prämien Gehaltsempfä</t>
        </is>
      </c>
      <c r="E328" t="inlineStr">
        <is>
          <t>PERSONAL</t>
        </is>
      </c>
      <c r="F328" t="inlineStr">
        <is>
          <t>Personal</t>
        </is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</v>
      </c>
    </row>
    <row r="329">
      <c r="A329" t="n">
        <v>2026</v>
      </c>
      <c r="B329" t="n">
        <v>4</v>
      </c>
      <c r="C329" t="inlineStr">
        <is>
          <t>411050</t>
        </is>
      </c>
      <c r="D329" t="inlineStr">
        <is>
          <t>Personalversicherung</t>
        </is>
      </c>
      <c r="E329" t="inlineStr">
        <is>
          <t>PERSONAL</t>
        </is>
      </c>
      <c r="F329" t="inlineStr">
        <is>
          <t>Personal</t>
        </is>
      </c>
      <c r="G329" t="n">
        <v>2</v>
      </c>
      <c r="H329" t="n">
        <v>600.15</v>
      </c>
      <c r="I329" t="n">
        <v>0</v>
      </c>
      <c r="J329" t="n">
        <v>0</v>
      </c>
      <c r="K329" t="n">
        <v>600.15</v>
      </c>
      <c r="L329" t="n">
        <v>0</v>
      </c>
      <c r="M329" t="n">
        <v>0</v>
      </c>
      <c r="N329" t="n">
        <v>1</v>
      </c>
    </row>
    <row r="330">
      <c r="A330" t="n">
        <v>2026</v>
      </c>
      <c r="B330" t="n">
        <v>4</v>
      </c>
      <c r="C330" t="inlineStr">
        <is>
          <t>411070</t>
        </is>
      </c>
      <c r="D330" t="inlineStr">
        <is>
          <t>Personalwerbung</t>
        </is>
      </c>
      <c r="E330" t="inlineStr">
        <is>
          <t>PERSONAL</t>
        </is>
      </c>
      <c r="F330" t="inlineStr">
        <is>
          <t>Personal</t>
        </is>
      </c>
      <c r="G330" t="n">
        <v>2</v>
      </c>
      <c r="H330" t="n">
        <v>2004</v>
      </c>
      <c r="I330" t="n">
        <v>0</v>
      </c>
      <c r="J330" t="n">
        <v>0</v>
      </c>
      <c r="K330" t="n">
        <v>2004</v>
      </c>
      <c r="L330" t="n">
        <v>0</v>
      </c>
      <c r="M330" t="n">
        <v>0</v>
      </c>
      <c r="N330" t="n">
        <v>3</v>
      </c>
    </row>
    <row r="331">
      <c r="A331" t="n">
        <v>2026</v>
      </c>
      <c r="B331" t="n">
        <v>4</v>
      </c>
      <c r="C331" t="inlineStr">
        <is>
          <t>411090</t>
        </is>
      </c>
      <c r="D331" t="inlineStr">
        <is>
          <t>Schulung und Ausbildung</t>
        </is>
      </c>
      <c r="E331" t="inlineStr">
        <is>
          <t>PERSONAL</t>
        </is>
      </c>
      <c r="F331" t="inlineStr">
        <is>
          <t>Personal</t>
        </is>
      </c>
      <c r="G331" t="n">
        <v>2</v>
      </c>
      <c r="H331" t="n">
        <v>775.9</v>
      </c>
      <c r="I331" t="n">
        <v>0</v>
      </c>
      <c r="J331" t="n">
        <v>0</v>
      </c>
      <c r="K331" t="n">
        <v>775.9</v>
      </c>
      <c r="L331" t="n">
        <v>0</v>
      </c>
      <c r="M331" t="n">
        <v>0</v>
      </c>
      <c r="N331" t="n">
        <v>6</v>
      </c>
    </row>
    <row r="332">
      <c r="A332" t="n">
        <v>2026</v>
      </c>
      <c r="B332" t="n">
        <v>4</v>
      </c>
      <c r="C332" t="inlineStr">
        <is>
          <t>411100</t>
        </is>
      </c>
      <c r="D332" t="inlineStr">
        <is>
          <t>Arbeitskleidung und Arbeitschutzbedarf</t>
        </is>
      </c>
      <c r="E332" t="inlineStr">
        <is>
          <t>PERSONAL</t>
        </is>
      </c>
      <c r="F332" t="inlineStr">
        <is>
          <t>Personal</t>
        </is>
      </c>
      <c r="G332" t="n">
        <v>2</v>
      </c>
      <c r="H332" t="n">
        <v>4017.51</v>
      </c>
      <c r="I332" t="n">
        <v>0</v>
      </c>
      <c r="J332" t="n">
        <v>0</v>
      </c>
      <c r="K332" t="n">
        <v>4017.51</v>
      </c>
      <c r="L332" t="n">
        <v>0</v>
      </c>
      <c r="M332" t="n">
        <v>0</v>
      </c>
      <c r="N332" t="n">
        <v>10</v>
      </c>
    </row>
    <row r="333">
      <c r="A333" t="n">
        <v>2026</v>
      </c>
      <c r="B333" t="n">
        <v>4</v>
      </c>
      <c r="C333" t="inlineStr">
        <is>
          <t>411900</t>
        </is>
      </c>
      <c r="D333" t="inlineStr">
        <is>
          <t>Sonstige Personalkosten</t>
        </is>
      </c>
      <c r="E333" t="inlineStr">
        <is>
          <t>PERSONAL</t>
        </is>
      </c>
      <c r="F333" t="inlineStr">
        <is>
          <t>Personal</t>
        </is>
      </c>
      <c r="G333" t="n">
        <v>2</v>
      </c>
      <c r="H333" t="n">
        <v>1005.86</v>
      </c>
      <c r="I333" t="n">
        <v>0</v>
      </c>
      <c r="J333" t="n">
        <v>0</v>
      </c>
      <c r="K333" t="n">
        <v>1005.86</v>
      </c>
      <c r="L333" t="n">
        <v>0</v>
      </c>
      <c r="M333" t="n">
        <v>0</v>
      </c>
      <c r="N333" t="n">
        <v>10</v>
      </c>
    </row>
    <row r="334">
      <c r="A334" t="n">
        <v>2026</v>
      </c>
      <c r="B334" t="n">
        <v>4</v>
      </c>
      <c r="C334" t="inlineStr">
        <is>
          <t>420012</t>
        </is>
      </c>
      <c r="D334" t="inlineStr">
        <is>
          <t>Sonstige Kosten Grundstücke und Gebäude</t>
        </is>
      </c>
      <c r="E334" t="inlineStr">
        <is>
          <t>RAUM_ANLAGEN</t>
        </is>
      </c>
      <c r="F334" t="inlineStr">
        <is>
          <t>Raum, Energie, Instandhaltung</t>
        </is>
      </c>
      <c r="G334" t="n">
        <v>2</v>
      </c>
      <c r="H334" t="n">
        <v>3231.89</v>
      </c>
      <c r="I334" t="n">
        <v>0</v>
      </c>
      <c r="J334" t="n">
        <v>0</v>
      </c>
      <c r="K334" t="n">
        <v>3231.89</v>
      </c>
      <c r="L334" t="n">
        <v>0</v>
      </c>
      <c r="M334" t="n">
        <v>0</v>
      </c>
      <c r="N334" t="n">
        <v>11</v>
      </c>
    </row>
    <row r="335">
      <c r="A335" t="n">
        <v>2026</v>
      </c>
      <c r="B335" t="n">
        <v>4</v>
      </c>
      <c r="C335" t="inlineStr">
        <is>
          <t>420015</t>
        </is>
      </c>
      <c r="D335" t="inlineStr">
        <is>
          <t>Instandhaltungskosten fremde  Gebäude</t>
        </is>
      </c>
      <c r="E335" t="inlineStr">
        <is>
          <t>RAUM_ANLAGEN</t>
        </is>
      </c>
      <c r="F335" t="inlineStr">
        <is>
          <t>Raum, Energie, Instandhaltung</t>
        </is>
      </c>
      <c r="G335" t="n">
        <v>2</v>
      </c>
      <c r="H335" t="n">
        <v>8037.02</v>
      </c>
      <c r="I335" t="n">
        <v>0</v>
      </c>
      <c r="J335" t="n">
        <v>0</v>
      </c>
      <c r="K335" t="n">
        <v>8037.02</v>
      </c>
      <c r="L335" t="n">
        <v>0</v>
      </c>
      <c r="M335" t="n">
        <v>0</v>
      </c>
      <c r="N335" t="n">
        <v>3</v>
      </c>
    </row>
    <row r="336">
      <c r="A336" t="n">
        <v>2026</v>
      </c>
      <c r="B336" t="n">
        <v>4</v>
      </c>
      <c r="C336" t="inlineStr">
        <is>
          <t>420022</t>
        </is>
      </c>
      <c r="D336" t="inlineStr">
        <is>
          <t>Raumpflege fremde Gebäude</t>
        </is>
      </c>
      <c r="E336" t="inlineStr">
        <is>
          <t>RAUM_ANLAGEN</t>
        </is>
      </c>
      <c r="F336" t="inlineStr">
        <is>
          <t>Raum, Energie, Instandhaltung</t>
        </is>
      </c>
      <c r="G336" t="n">
        <v>2</v>
      </c>
      <c r="H336" t="n">
        <v>2781.03</v>
      </c>
      <c r="I336" t="n">
        <v>0</v>
      </c>
      <c r="J336" t="n">
        <v>0</v>
      </c>
      <c r="K336" t="n">
        <v>2781.03</v>
      </c>
      <c r="L336" t="n">
        <v>0</v>
      </c>
      <c r="M336" t="n">
        <v>0</v>
      </c>
      <c r="N336" t="n">
        <v>10</v>
      </c>
    </row>
    <row r="337">
      <c r="A337" t="n">
        <v>2026</v>
      </c>
      <c r="B337" t="n">
        <v>4</v>
      </c>
      <c r="C337" t="inlineStr">
        <is>
          <t>420030</t>
        </is>
      </c>
      <c r="D337" t="inlineStr">
        <is>
          <t>Aufwand Energie</t>
        </is>
      </c>
      <c r="E337" t="inlineStr">
        <is>
          <t>RAUM_ANLAGEN</t>
        </is>
      </c>
      <c r="F337" t="inlineStr">
        <is>
          <t>Raum, Energie, Instandhaltung</t>
        </is>
      </c>
      <c r="G337" t="n">
        <v>2</v>
      </c>
      <c r="H337" t="n">
        <v>708.71</v>
      </c>
      <c r="I337" t="n">
        <v>0</v>
      </c>
      <c r="J337" t="n">
        <v>0</v>
      </c>
      <c r="K337" t="n">
        <v>708.71</v>
      </c>
      <c r="L337" t="n">
        <v>0</v>
      </c>
      <c r="M337" t="n">
        <v>0</v>
      </c>
      <c r="N337" t="n">
        <v>7</v>
      </c>
    </row>
    <row r="338">
      <c r="A338" t="n">
        <v>2026</v>
      </c>
      <c r="B338" t="n">
        <v>4</v>
      </c>
      <c r="C338" t="inlineStr">
        <is>
          <t>420040</t>
        </is>
      </c>
      <c r="D338" t="inlineStr">
        <is>
          <t>Aufwand Wasser</t>
        </is>
      </c>
      <c r="E338" t="inlineStr">
        <is>
          <t>RAUM_ANLAGEN</t>
        </is>
      </c>
      <c r="F338" t="inlineStr">
        <is>
          <t>Raum, Energie, Instandhaltung</t>
        </is>
      </c>
      <c r="G338" t="n">
        <v>2</v>
      </c>
      <c r="H338" t="n">
        <v>94.54000000000001</v>
      </c>
      <c r="I338" t="n">
        <v>0</v>
      </c>
      <c r="J338" t="n">
        <v>0</v>
      </c>
      <c r="K338" t="n">
        <v>94.54000000000001</v>
      </c>
      <c r="L338" t="n">
        <v>0</v>
      </c>
      <c r="M338" t="n">
        <v>0</v>
      </c>
      <c r="N338" t="n">
        <v>1</v>
      </c>
    </row>
    <row r="339">
      <c r="A339" t="n">
        <v>2026</v>
      </c>
      <c r="B339" t="n">
        <v>4</v>
      </c>
      <c r="C339" t="inlineStr">
        <is>
          <t>420060</t>
        </is>
      </c>
      <c r="D339" t="inlineStr">
        <is>
          <t>Aufwand eigene Entsorgung</t>
        </is>
      </c>
      <c r="E339" t="inlineStr">
        <is>
          <t>RAUM_ANLAGEN</t>
        </is>
      </c>
      <c r="F339" t="inlineStr">
        <is>
          <t>Raum, Energie, Instandhaltung</t>
        </is>
      </c>
      <c r="G339" t="n">
        <v>1</v>
      </c>
      <c r="H339" t="n">
        <v>47.37</v>
      </c>
      <c r="I339" t="n">
        <v>0</v>
      </c>
      <c r="J339" t="n">
        <v>47.37</v>
      </c>
      <c r="K339" t="n">
        <v>0</v>
      </c>
      <c r="L339" t="n">
        <v>0</v>
      </c>
      <c r="M339" t="n">
        <v>0</v>
      </c>
      <c r="N339" t="n">
        <v>2</v>
      </c>
    </row>
    <row r="340">
      <c r="A340" t="n">
        <v>2026</v>
      </c>
      <c r="B340" t="n">
        <v>4</v>
      </c>
      <c r="C340" t="inlineStr">
        <is>
          <t>420400</t>
        </is>
      </c>
      <c r="D340" t="inlineStr">
        <is>
          <t>Instandhaltung Geschäftsausstattung</t>
        </is>
      </c>
      <c r="E340" t="inlineStr">
        <is>
          <t>RAUM_ANLAGEN</t>
        </is>
      </c>
      <c r="F340" t="inlineStr">
        <is>
          <t>Raum, Energie, Instandhaltung</t>
        </is>
      </c>
      <c r="G340" t="n">
        <v>2</v>
      </c>
      <c r="H340" t="n">
        <v>266.78</v>
      </c>
      <c r="I340" t="n">
        <v>0</v>
      </c>
      <c r="J340" t="n">
        <v>0</v>
      </c>
      <c r="K340" t="n">
        <v>266.78</v>
      </c>
      <c r="L340" t="n">
        <v>0</v>
      </c>
      <c r="M340" t="n">
        <v>0</v>
      </c>
      <c r="N340" t="n">
        <v>4</v>
      </c>
    </row>
    <row r="341">
      <c r="A341" t="n">
        <v>2026</v>
      </c>
      <c r="B341" t="n">
        <v>4</v>
      </c>
      <c r="C341" t="inlineStr">
        <is>
          <t>420450</t>
        </is>
      </c>
      <c r="D341" t="inlineStr">
        <is>
          <t>Instandh./Reparatur/Wartung Miet- u. Lea</t>
        </is>
      </c>
      <c r="E341" t="inlineStr">
        <is>
          <t>RAUM_ANLAGEN</t>
        </is>
      </c>
      <c r="F341" t="inlineStr">
        <is>
          <t>Raum, Energie, Instandhaltung</t>
        </is>
      </c>
      <c r="G341" t="n">
        <v>2</v>
      </c>
      <c r="H341" t="n">
        <v>1012.27</v>
      </c>
      <c r="I341" t="n">
        <v>0</v>
      </c>
      <c r="J341" t="n">
        <v>0</v>
      </c>
      <c r="K341" t="n">
        <v>1012.27</v>
      </c>
      <c r="L341" t="n">
        <v>0</v>
      </c>
      <c r="M341" t="n">
        <v>0</v>
      </c>
      <c r="N341" t="n">
        <v>1</v>
      </c>
    </row>
    <row r="342">
      <c r="A342" t="n">
        <v>2026</v>
      </c>
      <c r="B342" t="n">
        <v>4</v>
      </c>
      <c r="C342" t="inlineStr">
        <is>
          <t>420600</t>
        </is>
      </c>
      <c r="D342" t="inlineStr">
        <is>
          <t>Werkstattbedarf (Kleinwerkzeuge b.100,-D</t>
        </is>
      </c>
      <c r="E342" t="inlineStr">
        <is>
          <t>RAUM_ANLAGEN</t>
        </is>
      </c>
      <c r="F342" t="inlineStr">
        <is>
          <t>Raum, Energie, Instandhaltung</t>
        </is>
      </c>
      <c r="G342" t="n">
        <v>2</v>
      </c>
      <c r="H342" t="n">
        <v>6030.57</v>
      </c>
      <c r="I342" t="n">
        <v>0</v>
      </c>
      <c r="J342" t="n">
        <v>0</v>
      </c>
      <c r="K342" t="n">
        <v>6030.57</v>
      </c>
      <c r="L342" t="n">
        <v>0</v>
      </c>
      <c r="M342" t="n">
        <v>0</v>
      </c>
      <c r="N342" t="n">
        <v>9</v>
      </c>
    </row>
    <row r="343">
      <c r="A343" t="n">
        <v>2026</v>
      </c>
      <c r="B343" t="n">
        <v>4</v>
      </c>
      <c r="C343" t="inlineStr">
        <is>
          <t>420700</t>
        </is>
      </c>
      <c r="D343" t="inlineStr">
        <is>
          <t>Verbrauch Hilfs- u. Betriebsstoffe</t>
        </is>
      </c>
      <c r="E343" t="inlineStr">
        <is>
          <t>RAUM_ANLAGEN</t>
        </is>
      </c>
      <c r="F343" t="inlineStr">
        <is>
          <t>Raum, Energie, Instandhaltung</t>
        </is>
      </c>
      <c r="G343" t="n">
        <v>2</v>
      </c>
      <c r="H343" t="n">
        <v>577.6</v>
      </c>
      <c r="I343" t="n">
        <v>0</v>
      </c>
      <c r="J343" t="n">
        <v>0</v>
      </c>
      <c r="K343" t="n">
        <v>577.6</v>
      </c>
      <c r="L343" t="n">
        <v>0</v>
      </c>
      <c r="M343" t="n">
        <v>0</v>
      </c>
      <c r="N343" t="n">
        <v>4</v>
      </c>
    </row>
    <row r="344">
      <c r="A344" t="n">
        <v>2026</v>
      </c>
      <c r="B344" t="n">
        <v>4</v>
      </c>
      <c r="C344" t="inlineStr">
        <is>
          <t>430120</t>
        </is>
      </c>
      <c r="D344" t="inlineStr">
        <is>
          <t>Sonstige Versicherungen</t>
        </is>
      </c>
      <c r="E344" t="inlineStr">
        <is>
          <t>VERSICHERUNG_MIETE</t>
        </is>
      </c>
      <c r="F344" t="inlineStr">
        <is>
          <t>Versicherungen, Mieten, Steuern</t>
        </is>
      </c>
      <c r="G344" t="n">
        <v>2</v>
      </c>
      <c r="H344" t="n">
        <v>7147.2</v>
      </c>
      <c r="I344" t="n">
        <v>0</v>
      </c>
      <c r="J344" t="n">
        <v>0</v>
      </c>
      <c r="K344" t="n">
        <v>7147.2</v>
      </c>
      <c r="L344" t="n">
        <v>0</v>
      </c>
      <c r="M344" t="n">
        <v>0</v>
      </c>
      <c r="N344" t="n">
        <v>20</v>
      </c>
    </row>
    <row r="345">
      <c r="A345" t="n">
        <v>2026</v>
      </c>
      <c r="B345" t="n">
        <v>4</v>
      </c>
      <c r="C345" t="inlineStr">
        <is>
          <t>430121</t>
        </is>
      </c>
      <c r="D345" t="inlineStr">
        <is>
          <t>Warenkreditversicherung</t>
        </is>
      </c>
      <c r="E345" t="inlineStr">
        <is>
          <t>VERSICHERUNG_MIETE</t>
        </is>
      </c>
      <c r="F345" t="inlineStr">
        <is>
          <t>Versicherungen, Mieten, Steuern</t>
        </is>
      </c>
      <c r="G345" t="n">
        <v>2</v>
      </c>
      <c r="H345" t="n">
        <v>2788.13</v>
      </c>
      <c r="I345" t="n">
        <v>0</v>
      </c>
      <c r="J345" t="n">
        <v>0</v>
      </c>
      <c r="K345" t="n">
        <v>2788.13</v>
      </c>
      <c r="L345" t="n">
        <v>0</v>
      </c>
      <c r="M345" t="n">
        <v>0</v>
      </c>
      <c r="N345" t="n">
        <v>3</v>
      </c>
    </row>
    <row r="346">
      <c r="A346" t="n">
        <v>2026</v>
      </c>
      <c r="B346" t="n">
        <v>4</v>
      </c>
      <c r="C346" t="inlineStr">
        <is>
          <t>431010</t>
        </is>
      </c>
      <c r="D346" t="inlineStr">
        <is>
          <t>Mieten Räume</t>
        </is>
      </c>
      <c r="E346" t="inlineStr">
        <is>
          <t>VERSICHERUNG_MIETE</t>
        </is>
      </c>
      <c r="F346" t="inlineStr">
        <is>
          <t>Versicherungen, Mieten, Steuern</t>
        </is>
      </c>
      <c r="G346" t="n">
        <v>2</v>
      </c>
      <c r="H346" t="n">
        <v>9144.450000000001</v>
      </c>
      <c r="I346" t="n">
        <v>0</v>
      </c>
      <c r="J346" t="n">
        <v>0</v>
      </c>
      <c r="K346" t="n">
        <v>9144.450000000001</v>
      </c>
      <c r="L346" t="n">
        <v>0</v>
      </c>
      <c r="M346" t="n">
        <v>0</v>
      </c>
      <c r="N346" t="n">
        <v>8</v>
      </c>
    </row>
    <row r="347">
      <c r="A347" t="n">
        <v>2026</v>
      </c>
      <c r="B347" t="n">
        <v>4</v>
      </c>
      <c r="C347" t="inlineStr">
        <is>
          <t>431020</t>
        </is>
      </c>
      <c r="D347" t="inlineStr">
        <is>
          <t>Mieten Plätze</t>
        </is>
      </c>
      <c r="E347" t="inlineStr">
        <is>
          <t>VERSICHERUNG_MIETE</t>
        </is>
      </c>
      <c r="F347" t="inlineStr">
        <is>
          <t>Versicherungen, Mieten, Steuern</t>
        </is>
      </c>
      <c r="G347" t="n">
        <v>2</v>
      </c>
      <c r="H347" t="n">
        <v>4675.19</v>
      </c>
      <c r="I347" t="n">
        <v>0</v>
      </c>
      <c r="J347" t="n">
        <v>0</v>
      </c>
      <c r="K347" t="n">
        <v>4675.19</v>
      </c>
      <c r="L347" t="n">
        <v>0</v>
      </c>
      <c r="M347" t="n">
        <v>0</v>
      </c>
      <c r="N347" t="n">
        <v>12</v>
      </c>
    </row>
    <row r="348">
      <c r="A348" t="n">
        <v>2026</v>
      </c>
      <c r="B348" t="n">
        <v>4</v>
      </c>
      <c r="C348" t="inlineStr">
        <is>
          <t>431041</t>
        </is>
      </c>
      <c r="D348" t="inlineStr">
        <is>
          <t>Miete Behälter</t>
        </is>
      </c>
      <c r="E348" t="inlineStr">
        <is>
          <t>VERSICHERUNG_MIETE</t>
        </is>
      </c>
      <c r="F348" t="inlineStr">
        <is>
          <t>Versicherungen, Mieten, Steuern</t>
        </is>
      </c>
      <c r="G348" t="n">
        <v>2</v>
      </c>
      <c r="H348" t="n">
        <v>69.81999999999999</v>
      </c>
      <c r="I348" t="n">
        <v>0</v>
      </c>
      <c r="J348" t="n">
        <v>0</v>
      </c>
      <c r="K348" t="n">
        <v>69.81999999999999</v>
      </c>
      <c r="L348" t="n">
        <v>0</v>
      </c>
      <c r="M348" t="n">
        <v>0</v>
      </c>
      <c r="N348" t="n">
        <v>3</v>
      </c>
    </row>
    <row r="349">
      <c r="A349" t="n">
        <v>2026</v>
      </c>
      <c r="B349" t="n">
        <v>4</v>
      </c>
      <c r="C349" t="inlineStr">
        <is>
          <t>450010</t>
        </is>
      </c>
      <c r="D349" t="inlineStr">
        <is>
          <t>Reisekosten Betriebsangehörige</t>
        </is>
      </c>
      <c r="E349" t="inlineStr">
        <is>
          <t>REISE_WERBUNG</t>
        </is>
      </c>
      <c r="F349" t="inlineStr">
        <is>
          <t>Transport, Reise, Werbung</t>
        </is>
      </c>
      <c r="G349" t="n">
        <v>2</v>
      </c>
      <c r="H349" t="n">
        <v>3676.4</v>
      </c>
      <c r="I349" t="n">
        <v>0</v>
      </c>
      <c r="J349" t="n">
        <v>0</v>
      </c>
      <c r="K349" t="n">
        <v>3676.4</v>
      </c>
      <c r="L349" t="n">
        <v>0</v>
      </c>
      <c r="M349" t="n">
        <v>0</v>
      </c>
      <c r="N349" t="n">
        <v>43</v>
      </c>
    </row>
    <row r="350">
      <c r="A350" t="n">
        <v>2026</v>
      </c>
      <c r="B350" t="n">
        <v>4</v>
      </c>
      <c r="C350" t="inlineStr">
        <is>
          <t>450011</t>
        </is>
      </c>
      <c r="D350" t="inlineStr">
        <is>
          <t>Verpfl.mehraufwand (pauschal)</t>
        </is>
      </c>
      <c r="E350" t="inlineStr">
        <is>
          <t>REISE_WERBUNG</t>
        </is>
      </c>
      <c r="F350" t="inlineStr">
        <is>
          <t>Transport, Reise, Werbung</t>
        </is>
      </c>
      <c r="G350" t="n">
        <v>2</v>
      </c>
      <c r="H350" t="n">
        <v>196</v>
      </c>
      <c r="I350" t="n">
        <v>0</v>
      </c>
      <c r="J350" t="n">
        <v>0</v>
      </c>
      <c r="K350" t="n">
        <v>196</v>
      </c>
      <c r="L350" t="n">
        <v>0</v>
      </c>
      <c r="M350" t="n">
        <v>0</v>
      </c>
      <c r="N350" t="n">
        <v>4</v>
      </c>
    </row>
    <row r="351">
      <c r="A351" t="n">
        <v>2026</v>
      </c>
      <c r="B351" t="n">
        <v>4</v>
      </c>
      <c r="C351" t="inlineStr">
        <is>
          <t>450012</t>
        </is>
      </c>
      <c r="D351" t="inlineStr">
        <is>
          <t>Kilometergeld (pauschal)</t>
        </is>
      </c>
      <c r="E351" t="inlineStr">
        <is>
          <t>REISE_WERBUNG</t>
        </is>
      </c>
      <c r="F351" t="inlineStr">
        <is>
          <t>Transport, Reise, Werbung</t>
        </is>
      </c>
      <c r="G351" t="n">
        <v>2</v>
      </c>
      <c r="H351" t="n">
        <v>261.82</v>
      </c>
      <c r="I351" t="n">
        <v>0</v>
      </c>
      <c r="J351" t="n">
        <v>0</v>
      </c>
      <c r="K351" t="n">
        <v>261.82</v>
      </c>
      <c r="L351" t="n">
        <v>0</v>
      </c>
      <c r="M351" t="n">
        <v>0</v>
      </c>
      <c r="N351" t="n">
        <v>1</v>
      </c>
    </row>
    <row r="352">
      <c r="A352" t="n">
        <v>2026</v>
      </c>
      <c r="B352" t="n">
        <v>4</v>
      </c>
      <c r="C352" t="inlineStr">
        <is>
          <t>450030</t>
        </is>
      </c>
      <c r="D352" t="inlineStr">
        <is>
          <t>Bewirtung zu 100 % abzugsfähig</t>
        </is>
      </c>
      <c r="E352" t="inlineStr">
        <is>
          <t>REISE_WERBUNG</t>
        </is>
      </c>
      <c r="F352" t="inlineStr">
        <is>
          <t>Transport, Reise, Werbung</t>
        </is>
      </c>
      <c r="G352" t="n">
        <v>2</v>
      </c>
      <c r="H352" t="n">
        <v>1034.96</v>
      </c>
      <c r="I352" t="n">
        <v>0</v>
      </c>
      <c r="J352" t="n">
        <v>0</v>
      </c>
      <c r="K352" t="n">
        <v>1034.96</v>
      </c>
      <c r="L352" t="n">
        <v>0</v>
      </c>
      <c r="M352" t="n">
        <v>0</v>
      </c>
      <c r="N352" t="n">
        <v>21</v>
      </c>
    </row>
    <row r="353">
      <c r="A353" t="n">
        <v>2026</v>
      </c>
      <c r="B353" t="n">
        <v>4</v>
      </c>
      <c r="C353" t="inlineStr">
        <is>
          <t>450039</t>
        </is>
      </c>
      <c r="D353" t="inlineStr">
        <is>
          <t>Bewirtung zu 70 % abzugsfähig</t>
        </is>
      </c>
      <c r="E353" t="inlineStr">
        <is>
          <t>REISE_WERBUNG</t>
        </is>
      </c>
      <c r="F353" t="inlineStr">
        <is>
          <t>Transport, Reise, Werbung</t>
        </is>
      </c>
      <c r="G353" t="n">
        <v>2</v>
      </c>
      <c r="H353" t="n">
        <v>233.96</v>
      </c>
      <c r="I353" t="n">
        <v>0</v>
      </c>
      <c r="J353" t="n">
        <v>0</v>
      </c>
      <c r="K353" t="n">
        <v>233.96</v>
      </c>
      <c r="L353" t="n">
        <v>0</v>
      </c>
      <c r="M353" t="n">
        <v>0</v>
      </c>
      <c r="N353" t="n">
        <v>12</v>
      </c>
    </row>
    <row r="354">
      <c r="A354" t="n">
        <v>2026</v>
      </c>
      <c r="B354" t="n">
        <v>4</v>
      </c>
      <c r="C354" t="inlineStr">
        <is>
          <t>450050</t>
        </is>
      </c>
      <c r="D354" t="inlineStr">
        <is>
          <t>Allgemeine Repräsentationskosten</t>
        </is>
      </c>
      <c r="E354" t="inlineStr">
        <is>
          <t>REISE_WERBUNG</t>
        </is>
      </c>
      <c r="F354" t="inlineStr">
        <is>
          <t>Transport, Reise, Werbung</t>
        </is>
      </c>
      <c r="G354" t="n">
        <v>2</v>
      </c>
      <c r="H354" t="n">
        <v>99.2</v>
      </c>
      <c r="I354" t="n">
        <v>0</v>
      </c>
      <c r="J354" t="n">
        <v>0</v>
      </c>
      <c r="K354" t="n">
        <v>99.2</v>
      </c>
      <c r="L354" t="n">
        <v>0</v>
      </c>
      <c r="M354" t="n">
        <v>0</v>
      </c>
      <c r="N354" t="n">
        <v>1</v>
      </c>
    </row>
    <row r="355">
      <c r="A355" t="n">
        <v>2026</v>
      </c>
      <c r="B355" t="n">
        <v>4</v>
      </c>
      <c r="C355" t="inlineStr">
        <is>
          <t>450080</t>
        </is>
      </c>
      <c r="D355" t="inlineStr">
        <is>
          <t>Werbung</t>
        </is>
      </c>
      <c r="E355" t="inlineStr">
        <is>
          <t>REISE_WERBUNG</t>
        </is>
      </c>
      <c r="F355" t="inlineStr">
        <is>
          <t>Transport, Reise, Werbung</t>
        </is>
      </c>
      <c r="G355" t="n">
        <v>2</v>
      </c>
      <c r="H355" t="n">
        <v>58.84</v>
      </c>
      <c r="I355" t="n">
        <v>0</v>
      </c>
      <c r="J355" t="n">
        <v>0</v>
      </c>
      <c r="K355" t="n">
        <v>58.84</v>
      </c>
      <c r="L355" t="n">
        <v>0</v>
      </c>
      <c r="M355" t="n">
        <v>0</v>
      </c>
      <c r="N355" t="n">
        <v>1</v>
      </c>
    </row>
    <row r="356">
      <c r="A356" t="n">
        <v>2026</v>
      </c>
      <c r="B356" t="n">
        <v>4</v>
      </c>
      <c r="C356" t="inlineStr">
        <is>
          <t>460010</t>
        </is>
      </c>
      <c r="D356" t="inlineStr">
        <is>
          <t>Büromaterial</t>
        </is>
      </c>
      <c r="E356" t="inlineStr">
        <is>
          <t>VERWALTUNG</t>
        </is>
      </c>
      <c r="F356" t="inlineStr">
        <is>
          <t>Verwaltung und Beratung</t>
        </is>
      </c>
      <c r="G356" t="n">
        <v>2</v>
      </c>
      <c r="H356" t="n">
        <v>759.15</v>
      </c>
      <c r="I356" t="n">
        <v>0</v>
      </c>
      <c r="J356" t="n">
        <v>0</v>
      </c>
      <c r="K356" t="n">
        <v>759.15</v>
      </c>
      <c r="L356" t="n">
        <v>0</v>
      </c>
      <c r="M356" t="n">
        <v>0</v>
      </c>
      <c r="N356" t="n">
        <v>9</v>
      </c>
    </row>
    <row r="357">
      <c r="A357" t="n">
        <v>2026</v>
      </c>
      <c r="B357" t="n">
        <v>4</v>
      </c>
      <c r="C357" t="inlineStr">
        <is>
          <t>460020</t>
        </is>
      </c>
      <c r="D357" t="inlineStr">
        <is>
          <t>Zeitungen, Zeitschrift.und Bücher</t>
        </is>
      </c>
      <c r="E357" t="inlineStr">
        <is>
          <t>VERWALTUNG</t>
        </is>
      </c>
      <c r="F357" t="inlineStr">
        <is>
          <t>Verwaltung und Beratung</t>
        </is>
      </c>
      <c r="G357" t="n">
        <v>2</v>
      </c>
      <c r="H357" t="n">
        <v>37.5</v>
      </c>
      <c r="I357" t="n">
        <v>0</v>
      </c>
      <c r="J357" t="n">
        <v>0</v>
      </c>
      <c r="K357" t="n">
        <v>37.5</v>
      </c>
      <c r="L357" t="n">
        <v>0</v>
      </c>
      <c r="M357" t="n">
        <v>0</v>
      </c>
      <c r="N357" t="n">
        <v>1</v>
      </c>
    </row>
    <row r="358">
      <c r="A358" t="n">
        <v>2026</v>
      </c>
      <c r="B358" t="n">
        <v>4</v>
      </c>
      <c r="C358" t="inlineStr">
        <is>
          <t>460030</t>
        </is>
      </c>
      <c r="D358" t="inlineStr">
        <is>
          <t>Telekommunikation</t>
        </is>
      </c>
      <c r="E358" t="inlineStr">
        <is>
          <t>VERWALTUNG</t>
        </is>
      </c>
      <c r="F358" t="inlineStr">
        <is>
          <t>Verwaltung und Beratung</t>
        </is>
      </c>
      <c r="G358" t="n">
        <v>2</v>
      </c>
      <c r="H358" t="n">
        <v>1992.77</v>
      </c>
      <c r="I358" t="n">
        <v>0</v>
      </c>
      <c r="J358" t="n">
        <v>0</v>
      </c>
      <c r="K358" t="n">
        <v>1992.77</v>
      </c>
      <c r="L358" t="n">
        <v>0</v>
      </c>
      <c r="M358" t="n">
        <v>0</v>
      </c>
      <c r="N358" t="n">
        <v>19</v>
      </c>
    </row>
    <row r="359">
      <c r="A359" t="n">
        <v>2026</v>
      </c>
      <c r="B359" t="n">
        <v>4</v>
      </c>
      <c r="C359" t="inlineStr">
        <is>
          <t>460040</t>
        </is>
      </c>
      <c r="D359" t="inlineStr">
        <is>
          <t>Portogebühren</t>
        </is>
      </c>
      <c r="E359" t="inlineStr">
        <is>
          <t>VERWALTUNG</t>
        </is>
      </c>
      <c r="F359" t="inlineStr">
        <is>
          <t>Verwaltung und Beratung</t>
        </is>
      </c>
      <c r="G359" t="n">
        <v>2</v>
      </c>
      <c r="H359" t="n">
        <v>603.6</v>
      </c>
      <c r="I359" t="n">
        <v>0</v>
      </c>
      <c r="J359" t="n">
        <v>0</v>
      </c>
      <c r="K359" t="n">
        <v>603.6</v>
      </c>
      <c r="L359" t="n">
        <v>0</v>
      </c>
      <c r="M359" t="n">
        <v>0</v>
      </c>
      <c r="N359" t="n">
        <v>17</v>
      </c>
    </row>
    <row r="360">
      <c r="A360" t="n">
        <v>2026</v>
      </c>
      <c r="B360" t="n">
        <v>4</v>
      </c>
      <c r="C360" t="inlineStr">
        <is>
          <t>460060</t>
        </is>
      </c>
      <c r="D360" t="inlineStr">
        <is>
          <t>Kosten EDV</t>
        </is>
      </c>
      <c r="E360" t="inlineStr">
        <is>
          <t>VERWALTUNG</t>
        </is>
      </c>
      <c r="F360" t="inlineStr">
        <is>
          <t>Verwaltung und Beratung</t>
        </is>
      </c>
      <c r="G360" t="n">
        <v>2</v>
      </c>
      <c r="H360" t="n">
        <v>12709.57</v>
      </c>
      <c r="I360" t="n">
        <v>0</v>
      </c>
      <c r="J360" t="n">
        <v>0</v>
      </c>
      <c r="K360" t="n">
        <v>12709.57</v>
      </c>
      <c r="L360" t="n">
        <v>0</v>
      </c>
      <c r="M360" t="n">
        <v>0</v>
      </c>
      <c r="N360" t="n">
        <v>7</v>
      </c>
    </row>
    <row r="361">
      <c r="A361" t="n">
        <v>2026</v>
      </c>
      <c r="B361" t="n">
        <v>4</v>
      </c>
      <c r="C361" t="inlineStr">
        <is>
          <t>460065</t>
        </is>
      </c>
      <c r="D361" t="inlineStr">
        <is>
          <t>IT Lizenzgebühren</t>
        </is>
      </c>
      <c r="E361" t="inlineStr">
        <is>
          <t>VERWALTUNG</t>
        </is>
      </c>
      <c r="F361" t="inlineStr">
        <is>
          <t>Verwaltung und Beratung</t>
        </is>
      </c>
      <c r="G361" t="n">
        <v>2</v>
      </c>
      <c r="H361" t="n">
        <v>2898.09</v>
      </c>
      <c r="I361" t="n">
        <v>0</v>
      </c>
      <c r="J361" t="n">
        <v>0</v>
      </c>
      <c r="K361" t="n">
        <v>2898.09</v>
      </c>
      <c r="L361" t="n">
        <v>0</v>
      </c>
      <c r="M361" t="n">
        <v>0</v>
      </c>
      <c r="N361" t="n">
        <v>4</v>
      </c>
    </row>
    <row r="362">
      <c r="A362" t="n">
        <v>2026</v>
      </c>
      <c r="B362" t="n">
        <v>4</v>
      </c>
      <c r="C362" t="inlineStr">
        <is>
          <t>460900</t>
        </is>
      </c>
      <c r="D362" t="inlineStr">
        <is>
          <t>Sonstige Verwaltungskosten</t>
        </is>
      </c>
      <c r="E362" t="inlineStr">
        <is>
          <t>VERWALTUNG</t>
        </is>
      </c>
      <c r="F362" t="inlineStr">
        <is>
          <t>Verwaltung und Beratung</t>
        </is>
      </c>
      <c r="G362" t="n">
        <v>2</v>
      </c>
      <c r="H362" t="n">
        <v>4423.85</v>
      </c>
      <c r="I362" t="n">
        <v>0</v>
      </c>
      <c r="J362" t="n">
        <v>0</v>
      </c>
      <c r="K362" t="n">
        <v>4423.85</v>
      </c>
      <c r="L362" t="n">
        <v>0</v>
      </c>
      <c r="M362" t="n">
        <v>0</v>
      </c>
      <c r="N362" t="n">
        <v>6</v>
      </c>
    </row>
    <row r="363">
      <c r="A363" t="n">
        <v>2026</v>
      </c>
      <c r="B363" t="n">
        <v>4</v>
      </c>
      <c r="C363" t="inlineStr">
        <is>
          <t>470010</t>
        </is>
      </c>
      <c r="D363" t="inlineStr">
        <is>
          <t>Anwalts- und Gerichtskosten</t>
        </is>
      </c>
      <c r="E363" t="inlineStr">
        <is>
          <t>BERATUNG_UMLAGE</t>
        </is>
      </c>
      <c r="F363" t="inlineStr">
        <is>
          <t>Verwaltung und Beratung</t>
        </is>
      </c>
      <c r="G363" t="n">
        <v>2</v>
      </c>
      <c r="H363" t="n">
        <v>7212.28</v>
      </c>
      <c r="I363" t="n">
        <v>0</v>
      </c>
      <c r="J363" t="n">
        <v>0</v>
      </c>
      <c r="K363" t="n">
        <v>7212.28</v>
      </c>
      <c r="L363" t="n">
        <v>0</v>
      </c>
      <c r="M363" t="n">
        <v>0</v>
      </c>
      <c r="N363" t="n">
        <v>8</v>
      </c>
    </row>
    <row r="364">
      <c r="A364" t="n">
        <v>2026</v>
      </c>
      <c r="B364" t="n">
        <v>4</v>
      </c>
      <c r="C364" t="inlineStr">
        <is>
          <t>470020</t>
        </is>
      </c>
      <c r="D364" t="inlineStr">
        <is>
          <t>kaufm. Beratung und Buchführung</t>
        </is>
      </c>
      <c r="E364" t="inlineStr">
        <is>
          <t>BERATUNG_UMLAGE</t>
        </is>
      </c>
      <c r="F364" t="inlineStr">
        <is>
          <t>Verwaltung und Beratung</t>
        </is>
      </c>
      <c r="G364" t="n">
        <v>2</v>
      </c>
      <c r="H364" t="n">
        <v>11350</v>
      </c>
      <c r="I364" t="n">
        <v>0</v>
      </c>
      <c r="J364" t="n">
        <v>0</v>
      </c>
      <c r="K364" t="n">
        <v>11350</v>
      </c>
      <c r="L364" t="n">
        <v>0</v>
      </c>
      <c r="M364" t="n">
        <v>0</v>
      </c>
      <c r="N364" t="n">
        <v>6</v>
      </c>
    </row>
    <row r="365">
      <c r="A365" t="n">
        <v>2026</v>
      </c>
      <c r="B365" t="n">
        <v>4</v>
      </c>
      <c r="C365" t="inlineStr">
        <is>
          <t>470025</t>
        </is>
      </c>
      <c r="D365" t="inlineStr">
        <is>
          <t>Steuerberatungskosten</t>
        </is>
      </c>
      <c r="E365" t="inlineStr">
        <is>
          <t>BERATUNG_UMLAGE</t>
        </is>
      </c>
      <c r="F365" t="inlineStr">
        <is>
          <t>Verwaltung und Beratung</t>
        </is>
      </c>
      <c r="G365" t="n">
        <v>2</v>
      </c>
      <c r="H365" t="n">
        <v>9000</v>
      </c>
      <c r="I365" t="n">
        <v>0</v>
      </c>
      <c r="J365" t="n">
        <v>0</v>
      </c>
      <c r="K365" t="n">
        <v>9000</v>
      </c>
      <c r="L365" t="n">
        <v>0</v>
      </c>
      <c r="M365" t="n">
        <v>0</v>
      </c>
      <c r="N365" t="n">
        <v>1</v>
      </c>
    </row>
    <row r="366">
      <c r="A366" t="n">
        <v>2026</v>
      </c>
      <c r="B366" t="n">
        <v>4</v>
      </c>
      <c r="C366" t="inlineStr">
        <is>
          <t>470030</t>
        </is>
      </c>
      <c r="D366" t="inlineStr">
        <is>
          <t>Beratungskosten Allgemeine Verwaltung</t>
        </is>
      </c>
      <c r="E366" t="inlineStr">
        <is>
          <t>BERATUNG_UMLAGE</t>
        </is>
      </c>
      <c r="F366" t="inlineStr">
        <is>
          <t>Verwaltung und Beratung</t>
        </is>
      </c>
      <c r="G366" t="n">
        <v>2</v>
      </c>
      <c r="H366" t="n">
        <v>1575</v>
      </c>
      <c r="I366" t="n">
        <v>0</v>
      </c>
      <c r="J366" t="n">
        <v>0</v>
      </c>
      <c r="K366" t="n">
        <v>1575</v>
      </c>
      <c r="L366" t="n">
        <v>0</v>
      </c>
      <c r="M366" t="n">
        <v>0</v>
      </c>
      <c r="N366" t="n">
        <v>4</v>
      </c>
    </row>
    <row r="367">
      <c r="A367" t="n">
        <v>2026</v>
      </c>
      <c r="B367" t="n">
        <v>4</v>
      </c>
      <c r="C367" t="inlineStr">
        <is>
          <t>470036</t>
        </is>
      </c>
      <c r="D367" t="inlineStr">
        <is>
          <t>Aufwendungen Umlage zentrale Verwaltung</t>
        </is>
      </c>
      <c r="E367" t="inlineStr">
        <is>
          <t>BERATUNG_UMLAGE</t>
        </is>
      </c>
      <c r="F367" t="inlineStr">
        <is>
          <t>Verwaltung und Beratung</t>
        </is>
      </c>
      <c r="G367" t="n">
        <v>2</v>
      </c>
      <c r="H367" t="n">
        <v>3752</v>
      </c>
      <c r="I367" t="n">
        <v>0</v>
      </c>
      <c r="J367" t="n">
        <v>0</v>
      </c>
      <c r="K367" t="n">
        <v>3752</v>
      </c>
      <c r="L367" t="n">
        <v>0</v>
      </c>
      <c r="M367" t="n">
        <v>0</v>
      </c>
      <c r="N367" t="n">
        <v>2</v>
      </c>
    </row>
    <row r="368">
      <c r="A368" t="n">
        <v>2026</v>
      </c>
      <c r="B368" t="n">
        <v>4</v>
      </c>
      <c r="C368" t="inlineStr">
        <is>
          <t>480100</t>
        </is>
      </c>
      <c r="D368" t="inlineStr">
        <is>
          <t>Normalabschreibung auf Anlagen</t>
        </is>
      </c>
      <c r="E368" t="inlineStr">
        <is>
          <t>ABSCHREIBUNG</t>
        </is>
      </c>
      <c r="F368" t="inlineStr">
        <is>
          <t>Abschreibungen</t>
        </is>
      </c>
      <c r="G368" t="n">
        <v>2</v>
      </c>
      <c r="H368" t="n">
        <v>2756.05</v>
      </c>
      <c r="I368" t="n">
        <v>0</v>
      </c>
      <c r="J368" t="n">
        <v>0</v>
      </c>
      <c r="K368" t="n">
        <v>2756.05</v>
      </c>
      <c r="L368" t="n">
        <v>0</v>
      </c>
      <c r="M368" t="n">
        <v>0</v>
      </c>
      <c r="N368" t="n">
        <v>12</v>
      </c>
    </row>
    <row r="369">
      <c r="A369" t="n">
        <v>2026</v>
      </c>
      <c r="B369" t="n">
        <v>4</v>
      </c>
      <c r="C369" t="inlineStr">
        <is>
          <t>480110</t>
        </is>
      </c>
      <c r="D369" t="inlineStr">
        <is>
          <t>Abschreibungen auf Anlagen (GWG)</t>
        </is>
      </c>
      <c r="E369" t="inlineStr">
        <is>
          <t>ABSCHREIBUNG</t>
        </is>
      </c>
      <c r="F369" t="inlineStr">
        <is>
          <t>Abschreibungen</t>
        </is>
      </c>
      <c r="G369" t="n">
        <v>2</v>
      </c>
      <c r="H369" t="n">
        <v>346.11</v>
      </c>
      <c r="I369" t="n">
        <v>0</v>
      </c>
      <c r="J369" t="n">
        <v>0</v>
      </c>
      <c r="K369" t="n">
        <v>346.11</v>
      </c>
      <c r="L369" t="n">
        <v>0</v>
      </c>
      <c r="M369" t="n">
        <v>0</v>
      </c>
      <c r="N369" t="n">
        <v>11</v>
      </c>
    </row>
    <row r="370">
      <c r="A370" t="n">
        <v>2026</v>
      </c>
      <c r="B370" t="n">
        <v>4</v>
      </c>
      <c r="C370" t="inlineStr">
        <is>
          <t>499200</t>
        </is>
      </c>
      <c r="D370" t="inlineStr">
        <is>
          <t>Kalk. Zinsen</t>
        </is>
      </c>
      <c r="E370" t="inlineStr">
        <is>
          <t>KALKULATORISCH</t>
        </is>
      </c>
      <c r="F370" t="inlineStr">
        <is>
          <t>Kalkulatorische Kosten</t>
        </is>
      </c>
      <c r="G370" t="n">
        <v>9</v>
      </c>
      <c r="H370" t="n">
        <v>751</v>
      </c>
      <c r="I370" t="n">
        <v>0</v>
      </c>
      <c r="J370" t="n">
        <v>0</v>
      </c>
      <c r="K370" t="n">
        <v>0</v>
      </c>
      <c r="L370" t="n">
        <v>0</v>
      </c>
      <c r="M370" t="n">
        <v>751</v>
      </c>
      <c r="N370" t="n">
        <v>22</v>
      </c>
    </row>
    <row r="371">
      <c r="A371" t="n">
        <v>2026</v>
      </c>
      <c r="B371" t="n">
        <v>4</v>
      </c>
      <c r="C371" t="inlineStr">
        <is>
          <t>499300</t>
        </is>
      </c>
      <c r="D371" t="inlineStr">
        <is>
          <t>Kalk. Abschreibungen</t>
        </is>
      </c>
      <c r="E371" t="inlineStr">
        <is>
          <t>KALKULATORISCH</t>
        </is>
      </c>
      <c r="F371" t="inlineStr">
        <is>
          <t>Kalkulatorische Kosten</t>
        </is>
      </c>
      <c r="G371" t="n">
        <v>9</v>
      </c>
      <c r="H371" t="n">
        <v>3737.16</v>
      </c>
      <c r="I371" t="n">
        <v>0</v>
      </c>
      <c r="J371" t="n">
        <v>0</v>
      </c>
      <c r="K371" t="n">
        <v>0</v>
      </c>
      <c r="L371" t="n">
        <v>0</v>
      </c>
      <c r="M371" t="n">
        <v>3737.16</v>
      </c>
      <c r="N371" t="n">
        <v>24</v>
      </c>
    </row>
    <row r="372">
      <c r="A372" t="n">
        <v>2026</v>
      </c>
      <c r="B372" t="n">
        <v>4</v>
      </c>
      <c r="C372" t="inlineStr">
        <is>
          <t>7611100</t>
        </is>
      </c>
      <c r="D372" t="inlineStr">
        <is>
          <t>Lohnverr. Gruppe1</t>
        </is>
      </c>
      <c r="E372" t="inlineStr">
        <is>
          <t>LOHNVERRECHNUNG</t>
        </is>
      </c>
      <c r="F372" t="inlineStr">
        <is>
          <t>Innerbetriebliche Verrechnung</t>
        </is>
      </c>
      <c r="G372" t="n">
        <v>1</v>
      </c>
      <c r="H372" t="n">
        <v>304</v>
      </c>
      <c r="I372" t="n">
        <v>0</v>
      </c>
      <c r="J372" t="n">
        <v>304</v>
      </c>
      <c r="K372" t="n">
        <v>0</v>
      </c>
      <c r="L372" t="n">
        <v>0</v>
      </c>
      <c r="M372" t="n">
        <v>0</v>
      </c>
      <c r="N372" t="n">
        <v>35</v>
      </c>
    </row>
    <row r="373">
      <c r="A373" t="n">
        <v>2026</v>
      </c>
      <c r="B373" t="n">
        <v>4</v>
      </c>
      <c r="C373" t="inlineStr">
        <is>
          <t>7611200</t>
        </is>
      </c>
      <c r="D373" t="inlineStr">
        <is>
          <t>Lohnverr. Gruppe 2</t>
        </is>
      </c>
      <c r="E373" t="inlineStr">
        <is>
          <t>LOHNVERRECHNUNG</t>
        </is>
      </c>
      <c r="F373" t="inlineStr">
        <is>
          <t>Innerbetriebliche Verrechnung</t>
        </is>
      </c>
      <c r="G373" t="n">
        <v>1</v>
      </c>
      <c r="H373" t="n">
        <v>198</v>
      </c>
      <c r="I373" t="n">
        <v>0</v>
      </c>
      <c r="J373" t="n">
        <v>198</v>
      </c>
      <c r="K373" t="n">
        <v>0</v>
      </c>
      <c r="L373" t="n">
        <v>0</v>
      </c>
      <c r="M373" t="n">
        <v>0</v>
      </c>
      <c r="N373" t="n">
        <v>46</v>
      </c>
    </row>
    <row r="374">
      <c r="A374" t="n">
        <v>2026</v>
      </c>
      <c r="B374" t="n">
        <v>4</v>
      </c>
      <c r="C374" t="inlineStr">
        <is>
          <t>7612000</t>
        </is>
      </c>
      <c r="D374" t="inlineStr">
        <is>
          <t>Verrechnung Geräte</t>
        </is>
      </c>
      <c r="E374" t="inlineStr">
        <is>
          <t>GERAETEVERRECHNUNG</t>
        </is>
      </c>
      <c r="F374" t="inlineStr">
        <is>
          <t>Innerbetriebliche Verrechnung</t>
        </is>
      </c>
      <c r="G374" t="n">
        <v>1</v>
      </c>
      <c r="H374" t="n">
        <v>1810</v>
      </c>
      <c r="I374" t="n">
        <v>0</v>
      </c>
      <c r="J374" t="n">
        <v>1810</v>
      </c>
      <c r="K374" t="n">
        <v>0</v>
      </c>
      <c r="L374" t="n">
        <v>0</v>
      </c>
      <c r="M374" t="n">
        <v>0</v>
      </c>
      <c r="N374" t="n">
        <v>144</v>
      </c>
    </row>
    <row r="375">
      <c r="A375" t="n">
        <v>2026</v>
      </c>
      <c r="B375" t="n">
        <v>4</v>
      </c>
      <c r="C375" t="inlineStr">
        <is>
          <t>7801020</t>
        </is>
      </c>
      <c r="D375" t="inlineStr">
        <is>
          <t>Gemeinkostenzuschläge 12 % TVF Altwert</t>
        </is>
      </c>
      <c r="E375" t="inlineStr">
        <is>
          <t>GEMEINKOSTENUMLAGE</t>
        </is>
      </c>
      <c r="F375" t="inlineStr">
        <is>
          <t>Innerbetriebliche Verrechnung</t>
        </is>
      </c>
      <c r="G375" t="n">
        <v>2</v>
      </c>
      <c r="H375" t="n">
        <v>-254828.72</v>
      </c>
      <c r="I375" t="n">
        <v>0</v>
      </c>
      <c r="J375" t="n">
        <v>0</v>
      </c>
      <c r="K375" t="n">
        <v>0</v>
      </c>
      <c r="L375" t="n">
        <v>-254828.72</v>
      </c>
      <c r="M375" t="n">
        <v>0</v>
      </c>
      <c r="N375" t="n">
        <v>120</v>
      </c>
    </row>
    <row r="376">
      <c r="A376" t="n">
        <v>2026</v>
      </c>
      <c r="B376" t="n">
        <v>4</v>
      </c>
      <c r="C376" t="inlineStr">
        <is>
          <t>830510</t>
        </is>
      </c>
      <c r="D376" t="inlineStr">
        <is>
          <t>Erlöse Abrisse/Demontagen</t>
        </is>
      </c>
      <c r="E376" t="inlineStr">
        <is>
          <t>ERLOES</t>
        </is>
      </c>
      <c r="F376" t="inlineStr">
        <is>
          <t>Umsatzerlöse</t>
        </is>
      </c>
      <c r="G376" t="n">
        <v>0</v>
      </c>
      <c r="H376" t="n">
        <v>-670181.28</v>
      </c>
      <c r="I376" t="n">
        <v>670181.28</v>
      </c>
      <c r="J376" t="n">
        <v>0</v>
      </c>
      <c r="K376" t="n">
        <v>0</v>
      </c>
      <c r="L376" t="n">
        <v>0</v>
      </c>
      <c r="M376" t="n">
        <v>0</v>
      </c>
      <c r="N376" t="n">
        <v>110</v>
      </c>
    </row>
    <row r="377">
      <c r="A377" t="n">
        <v>2026</v>
      </c>
      <c r="B377" t="n">
        <v>4</v>
      </c>
      <c r="C377" t="inlineStr">
        <is>
          <t>840040</t>
        </is>
      </c>
      <c r="D377" t="inlineStr">
        <is>
          <t>Erlöse Verkauf HW Schrott</t>
        </is>
      </c>
      <c r="E377" t="inlineStr">
        <is>
          <t>ERLOES</t>
        </is>
      </c>
      <c r="F377" t="inlineStr">
        <is>
          <t>Umsatzerlöse</t>
        </is>
      </c>
      <c r="G377" t="n">
        <v>0</v>
      </c>
      <c r="H377" t="n">
        <v>-12641.64</v>
      </c>
      <c r="I377" t="n">
        <v>12641.64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</row>
    <row r="378">
      <c r="A378" t="n">
        <v>2026</v>
      </c>
      <c r="B378" t="n">
        <v>4</v>
      </c>
      <c r="C378" t="inlineStr">
        <is>
          <t>860000</t>
        </is>
      </c>
      <c r="D378" t="inlineStr">
        <is>
          <t>Erlöse weiterberechnete Fremdkosten</t>
        </is>
      </c>
      <c r="E378" t="inlineStr">
        <is>
          <t>ERLOES</t>
        </is>
      </c>
      <c r="F378" t="inlineStr">
        <is>
          <t>Umsatzerlöse</t>
        </is>
      </c>
      <c r="G378" t="n">
        <v>0</v>
      </c>
      <c r="H378" t="n">
        <v>-1660.67</v>
      </c>
      <c r="I378" t="n">
        <v>1660.67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</row>
    <row r="379">
      <c r="A379" t="n">
        <v>2026</v>
      </c>
      <c r="B379" t="n">
        <v>4</v>
      </c>
      <c r="C379" t="inlineStr">
        <is>
          <t>890100</t>
        </is>
      </c>
      <c r="D379" t="inlineStr">
        <is>
          <t>Gewährte Skonti</t>
        </is>
      </c>
      <c r="E379" t="inlineStr">
        <is>
          <t>ERLOESSCHMAELERUNG</t>
        </is>
      </c>
      <c r="F379" t="inlineStr">
        <is>
          <t>Umsatzerlöse</t>
        </is>
      </c>
      <c r="G379" t="n">
        <v>0</v>
      </c>
      <c r="H379" t="n">
        <v>4479.34</v>
      </c>
      <c r="I379" t="n">
        <v>-4479.34</v>
      </c>
      <c r="J379" t="n">
        <v>0</v>
      </c>
      <c r="K379" t="n">
        <v>0</v>
      </c>
      <c r="L379" t="n">
        <v>0</v>
      </c>
      <c r="M379" t="n">
        <v>0</v>
      </c>
      <c r="N379" t="n">
        <v>7</v>
      </c>
    </row>
    <row r="380">
      <c r="A380" t="n">
        <v>2026</v>
      </c>
      <c r="B380" t="n">
        <v>5</v>
      </c>
      <c r="C380" t="inlineStr">
        <is>
          <t>201000</t>
        </is>
      </c>
      <c r="D380" t="inlineStr">
        <is>
          <t>Sonstige periodenfremde Aufwendungen</t>
        </is>
      </c>
      <c r="E380" t="inlineStr">
        <is>
          <t>NEUTRALER_AUFWAND</t>
        </is>
      </c>
      <c r="F380" t="inlineStr">
        <is>
          <t>Sonstiges</t>
        </is>
      </c>
      <c r="G380" t="n">
        <v>9</v>
      </c>
      <c r="H380" t="n">
        <v>1542.74</v>
      </c>
      <c r="I380" t="n">
        <v>0</v>
      </c>
      <c r="J380" t="n">
        <v>0</v>
      </c>
      <c r="K380" t="n">
        <v>0</v>
      </c>
      <c r="L380" t="n">
        <v>0</v>
      </c>
      <c r="M380" t="n">
        <v>1542.74</v>
      </c>
      <c r="N380" t="n">
        <v>3</v>
      </c>
    </row>
    <row r="381">
      <c r="A381" t="n">
        <v>2026</v>
      </c>
      <c r="B381" t="n">
        <v>5</v>
      </c>
      <c r="C381" t="inlineStr">
        <is>
          <t>213101</t>
        </is>
      </c>
      <c r="D381" t="inlineStr">
        <is>
          <t>Zinsen Factoring</t>
        </is>
      </c>
      <c r="E381" t="inlineStr">
        <is>
          <t>ZINSEN</t>
        </is>
      </c>
      <c r="F381" t="inlineStr">
        <is>
          <t>Zinsergebnis</t>
        </is>
      </c>
      <c r="G381" t="n">
        <v>9</v>
      </c>
      <c r="H381" t="n">
        <v>2277.71</v>
      </c>
      <c r="I381" t="n">
        <v>0</v>
      </c>
      <c r="J381" t="n">
        <v>0</v>
      </c>
      <c r="K381" t="n">
        <v>0</v>
      </c>
      <c r="L381" t="n">
        <v>0</v>
      </c>
      <c r="M381" t="n">
        <v>2277.71</v>
      </c>
      <c r="N381" t="n">
        <v>1</v>
      </c>
    </row>
    <row r="382">
      <c r="A382" t="n">
        <v>2026</v>
      </c>
      <c r="B382" t="n">
        <v>5</v>
      </c>
      <c r="C382" t="inlineStr">
        <is>
          <t>213200</t>
        </is>
      </c>
      <c r="D382" t="inlineStr">
        <is>
          <t>Avalgebühren und -provisionen</t>
        </is>
      </c>
      <c r="E382" t="inlineStr">
        <is>
          <t>ZINSEN</t>
        </is>
      </c>
      <c r="F382" t="inlineStr">
        <is>
          <t>Zinsergebnis</t>
        </is>
      </c>
      <c r="G382" t="n">
        <v>9</v>
      </c>
      <c r="H382" t="n">
        <v>4760</v>
      </c>
      <c r="I382" t="n">
        <v>0</v>
      </c>
      <c r="J382" t="n">
        <v>0</v>
      </c>
      <c r="K382" t="n">
        <v>0</v>
      </c>
      <c r="L382" t="n">
        <v>0</v>
      </c>
      <c r="M382" t="n">
        <v>4760</v>
      </c>
      <c r="N382" t="n">
        <v>2</v>
      </c>
    </row>
    <row r="383">
      <c r="A383" t="n">
        <v>2026</v>
      </c>
      <c r="B383" t="n">
        <v>5</v>
      </c>
      <c r="C383" t="inlineStr">
        <is>
          <t>273500</t>
        </is>
      </c>
      <c r="D383" t="inlineStr">
        <is>
          <t>Erträge Auflösung von Rückstellungen (ac</t>
        </is>
      </c>
      <c r="E383" t="inlineStr">
        <is>
          <t>NEUTRALER_ERTRAG</t>
        </is>
      </c>
      <c r="F383" t="inlineStr">
        <is>
          <t>Sonstiges</t>
        </is>
      </c>
      <c r="G383" t="n">
        <v>9</v>
      </c>
      <c r="H383" t="n">
        <v>-324</v>
      </c>
      <c r="I383" t="n">
        <v>0</v>
      </c>
      <c r="J383" t="n">
        <v>0</v>
      </c>
      <c r="K383" t="n">
        <v>0</v>
      </c>
      <c r="L383" t="n">
        <v>0</v>
      </c>
      <c r="M383" t="n">
        <v>-324</v>
      </c>
      <c r="N383" t="n">
        <v>3</v>
      </c>
    </row>
    <row r="384">
      <c r="A384" t="n">
        <v>2026</v>
      </c>
      <c r="B384" t="n">
        <v>5</v>
      </c>
      <c r="C384" t="inlineStr">
        <is>
          <t>289200</t>
        </is>
      </c>
      <c r="D384" t="inlineStr">
        <is>
          <t>Verr. kalk. Zinsen</t>
        </is>
      </c>
      <c r="E384" t="inlineStr">
        <is>
          <t>KALKULATORISCH</t>
        </is>
      </c>
      <c r="F384" t="inlineStr">
        <is>
          <t>Kalkulatorische Kosten</t>
        </is>
      </c>
      <c r="G384" t="n">
        <v>9</v>
      </c>
      <c r="H384" t="n">
        <v>-742</v>
      </c>
      <c r="I384" t="n">
        <v>0</v>
      </c>
      <c r="J384" t="n">
        <v>0</v>
      </c>
      <c r="K384" t="n">
        <v>0</v>
      </c>
      <c r="L384" t="n">
        <v>0</v>
      </c>
      <c r="M384" t="n">
        <v>-742</v>
      </c>
      <c r="N384" t="n">
        <v>23</v>
      </c>
    </row>
    <row r="385">
      <c r="A385" t="n">
        <v>2026</v>
      </c>
      <c r="B385" t="n">
        <v>5</v>
      </c>
      <c r="C385" t="inlineStr">
        <is>
          <t>289300</t>
        </is>
      </c>
      <c r="D385" t="inlineStr">
        <is>
          <t>Verr. kalk. Abschreibungen</t>
        </is>
      </c>
      <c r="E385" t="inlineStr">
        <is>
          <t>KALKULATORISCH</t>
        </is>
      </c>
      <c r="F385" t="inlineStr">
        <is>
          <t>Kalkulatorische Kosten</t>
        </is>
      </c>
      <c r="G385" t="n">
        <v>9</v>
      </c>
      <c r="H385" t="n">
        <v>-3789.03</v>
      </c>
      <c r="I385" t="n">
        <v>0</v>
      </c>
      <c r="J385" t="n">
        <v>0</v>
      </c>
      <c r="K385" t="n">
        <v>0</v>
      </c>
      <c r="L385" t="n">
        <v>0</v>
      </c>
      <c r="M385" t="n">
        <v>-3789.03</v>
      </c>
      <c r="N385" t="n">
        <v>25</v>
      </c>
    </row>
    <row r="386">
      <c r="A386" t="n">
        <v>2026</v>
      </c>
      <c r="B386" t="n">
        <v>5</v>
      </c>
      <c r="C386" t="inlineStr">
        <is>
          <t>330900</t>
        </is>
      </c>
      <c r="D386" t="inlineStr">
        <is>
          <t>Erhaltene Skonti</t>
        </is>
      </c>
      <c r="E386" t="inlineStr">
        <is>
          <t>MATERIAL</t>
        </is>
      </c>
      <c r="F386" t="inlineStr">
        <is>
          <t>Material und Fremdleistungen</t>
        </is>
      </c>
      <c r="G386" t="n">
        <v>1</v>
      </c>
      <c r="H386" t="n">
        <v>-1649.1</v>
      </c>
      <c r="I386" t="n">
        <v>0</v>
      </c>
      <c r="J386" t="n">
        <v>-1649.1</v>
      </c>
      <c r="K386" t="n">
        <v>0</v>
      </c>
      <c r="L386" t="n">
        <v>0</v>
      </c>
      <c r="M386" t="n">
        <v>0</v>
      </c>
      <c r="N386" t="n">
        <v>12</v>
      </c>
    </row>
    <row r="387">
      <c r="A387" t="n">
        <v>2026</v>
      </c>
      <c r="B387" t="n">
        <v>5</v>
      </c>
      <c r="C387" t="inlineStr">
        <is>
          <t>340030</t>
        </is>
      </c>
      <c r="D387" t="inlineStr">
        <is>
          <t>Fremdleistungen Personal</t>
        </is>
      </c>
      <c r="E387" t="inlineStr">
        <is>
          <t>FREMDLEISTUNG</t>
        </is>
      </c>
      <c r="F387" t="inlineStr">
        <is>
          <t>Material und Fremdleistungen</t>
        </is>
      </c>
      <c r="G387" t="n">
        <v>1</v>
      </c>
      <c r="H387" t="n">
        <v>4238.08</v>
      </c>
      <c r="I387" t="n">
        <v>0</v>
      </c>
      <c r="J387" t="n">
        <v>4238.08</v>
      </c>
      <c r="K387" t="n">
        <v>0</v>
      </c>
      <c r="L387" t="n">
        <v>0</v>
      </c>
      <c r="M387" t="n">
        <v>0</v>
      </c>
      <c r="N387" t="n">
        <v>5</v>
      </c>
    </row>
    <row r="388">
      <c r="A388" t="n">
        <v>2026</v>
      </c>
      <c r="B388" t="n">
        <v>5</v>
      </c>
      <c r="C388" t="inlineStr">
        <is>
          <t>340050</t>
        </is>
      </c>
      <c r="D388" t="inlineStr">
        <is>
          <t>Fremdleistungen Wartung/Pflege</t>
        </is>
      </c>
      <c r="E388" t="inlineStr">
        <is>
          <t>FREMDLEISTUNG</t>
        </is>
      </c>
      <c r="F388" t="inlineStr">
        <is>
          <t>Material und Fremdleistungen</t>
        </is>
      </c>
      <c r="G388" t="n">
        <v>1</v>
      </c>
      <c r="H388" t="n">
        <v>584521.78</v>
      </c>
      <c r="I388" t="n">
        <v>0</v>
      </c>
      <c r="J388" t="n">
        <v>584521.78</v>
      </c>
      <c r="K388" t="n">
        <v>0</v>
      </c>
      <c r="L388" t="n">
        <v>0</v>
      </c>
      <c r="M388" t="n">
        <v>0</v>
      </c>
      <c r="N388" t="n">
        <v>274</v>
      </c>
    </row>
    <row r="389">
      <c r="A389" t="n">
        <v>2026</v>
      </c>
      <c r="B389" t="n">
        <v>5</v>
      </c>
      <c r="C389" t="inlineStr">
        <is>
          <t>392000</t>
        </is>
      </c>
      <c r="D389" t="inlineStr">
        <is>
          <t>Bestandsveränderungen unfertige Erzeugni</t>
        </is>
      </c>
      <c r="E389" t="inlineStr">
        <is>
          <t>BESTANDSVERAENDERUNG</t>
        </is>
      </c>
      <c r="F389" t="inlineStr">
        <is>
          <t>Bestandsveränderung</t>
        </is>
      </c>
      <c r="G389" t="n">
        <v>0</v>
      </c>
      <c r="H389" t="n">
        <v>263604.09</v>
      </c>
      <c r="I389" t="n">
        <v>-263604.09</v>
      </c>
      <c r="J389" t="n">
        <v>0</v>
      </c>
      <c r="K389" t="n">
        <v>0</v>
      </c>
      <c r="L389" t="n">
        <v>0</v>
      </c>
      <c r="M389" t="n">
        <v>0</v>
      </c>
      <c r="N389" t="n">
        <v>21</v>
      </c>
    </row>
    <row r="390">
      <c r="A390" t="n">
        <v>2026</v>
      </c>
      <c r="B390" t="n">
        <v>5</v>
      </c>
      <c r="C390" t="inlineStr">
        <is>
          <t>400011</t>
        </is>
      </c>
      <c r="D390" t="inlineStr">
        <is>
          <t>Reifenkosten</t>
        </is>
      </c>
      <c r="E390" t="inlineStr">
        <is>
          <t>FUHRPARK</t>
        </is>
      </c>
      <c r="F390" t="inlineStr">
        <is>
          <t>Fuhrpark</t>
        </is>
      </c>
      <c r="G390" t="n">
        <v>2</v>
      </c>
      <c r="H390" t="n">
        <v>216.31</v>
      </c>
      <c r="I390" t="n">
        <v>0</v>
      </c>
      <c r="J390" t="n">
        <v>0</v>
      </c>
      <c r="K390" t="n">
        <v>216.31</v>
      </c>
      <c r="L390" t="n">
        <v>0</v>
      </c>
      <c r="M390" t="n">
        <v>0</v>
      </c>
      <c r="N390" t="n">
        <v>3</v>
      </c>
    </row>
    <row r="391">
      <c r="A391" t="n">
        <v>2026</v>
      </c>
      <c r="B391" t="n">
        <v>5</v>
      </c>
      <c r="C391" t="inlineStr">
        <is>
          <t>400035</t>
        </is>
      </c>
      <c r="D391" t="inlineStr">
        <is>
          <t>Instandhaltung Miet-und Leasingfahrzeuge</t>
        </is>
      </c>
      <c r="E391" t="inlineStr">
        <is>
          <t>FUHRPARK</t>
        </is>
      </c>
      <c r="F391" t="inlineStr">
        <is>
          <t>Fuhrpark</t>
        </is>
      </c>
      <c r="G391" t="n">
        <v>2</v>
      </c>
      <c r="H391" t="n">
        <v>1555.66</v>
      </c>
      <c r="I391" t="n">
        <v>0</v>
      </c>
      <c r="J391" t="n">
        <v>0</v>
      </c>
      <c r="K391" t="n">
        <v>1555.66</v>
      </c>
      <c r="L391" t="n">
        <v>0</v>
      </c>
      <c r="M391" t="n">
        <v>0</v>
      </c>
      <c r="N391" t="n">
        <v>16</v>
      </c>
    </row>
    <row r="392">
      <c r="A392" t="n">
        <v>2026</v>
      </c>
      <c r="B392" t="n">
        <v>5</v>
      </c>
      <c r="C392" t="inlineStr">
        <is>
          <t>400121</t>
        </is>
      </c>
      <c r="D392" t="inlineStr">
        <is>
          <t>Anmietung PKW</t>
        </is>
      </c>
      <c r="E392" t="inlineStr">
        <is>
          <t>FUHRPARK</t>
        </is>
      </c>
      <c r="F392" t="inlineStr">
        <is>
          <t>Fuhrpark</t>
        </is>
      </c>
      <c r="G392" t="n">
        <v>2</v>
      </c>
      <c r="H392" t="n">
        <v>2458.75</v>
      </c>
      <c r="I392" t="n">
        <v>0</v>
      </c>
      <c r="J392" t="n">
        <v>0</v>
      </c>
      <c r="K392" t="n">
        <v>2458.75</v>
      </c>
      <c r="L392" t="n">
        <v>0</v>
      </c>
      <c r="M392" t="n">
        <v>0</v>
      </c>
      <c r="N392" t="n">
        <v>4</v>
      </c>
    </row>
    <row r="393">
      <c r="A393" t="n">
        <v>2026</v>
      </c>
      <c r="B393" t="n">
        <v>5</v>
      </c>
      <c r="C393" t="inlineStr">
        <is>
          <t>400122</t>
        </is>
      </c>
      <c r="D393" t="inlineStr">
        <is>
          <t>Leasing PKW</t>
        </is>
      </c>
      <c r="E393" t="inlineStr">
        <is>
          <t>FUHRPARK</t>
        </is>
      </c>
      <c r="F393" t="inlineStr">
        <is>
          <t>Fuhrpark</t>
        </is>
      </c>
      <c r="G393" t="n">
        <v>2</v>
      </c>
      <c r="H393" t="n">
        <v>8163.19</v>
      </c>
      <c r="I393" t="n">
        <v>0</v>
      </c>
      <c r="J393" t="n">
        <v>0</v>
      </c>
      <c r="K393" t="n">
        <v>8163.19</v>
      </c>
      <c r="L393" t="n">
        <v>0</v>
      </c>
      <c r="M393" t="n">
        <v>0</v>
      </c>
      <c r="N393" t="n">
        <v>17</v>
      </c>
    </row>
    <row r="394">
      <c r="A394" t="n">
        <v>2026</v>
      </c>
      <c r="B394" t="n">
        <v>5</v>
      </c>
      <c r="C394" t="inlineStr">
        <is>
          <t>401000</t>
        </is>
      </c>
      <c r="D394" t="inlineStr">
        <is>
          <t>Aufwand Diesel</t>
        </is>
      </c>
      <c r="E394" t="inlineStr">
        <is>
          <t>FUHRPARK</t>
        </is>
      </c>
      <c r="F394" t="inlineStr">
        <is>
          <t>Fuhrpark</t>
        </is>
      </c>
      <c r="G394" t="n">
        <v>1</v>
      </c>
      <c r="H394" t="n">
        <v>29536</v>
      </c>
      <c r="I394" t="n">
        <v>0</v>
      </c>
      <c r="J394" t="n">
        <v>29536</v>
      </c>
      <c r="K394" t="n">
        <v>0</v>
      </c>
      <c r="L394" t="n">
        <v>0</v>
      </c>
      <c r="M394" t="n">
        <v>0</v>
      </c>
      <c r="N394" t="n">
        <v>80</v>
      </c>
    </row>
    <row r="395">
      <c r="A395" t="n">
        <v>2026</v>
      </c>
      <c r="B395" t="n">
        <v>5</v>
      </c>
      <c r="C395" t="inlineStr">
        <is>
          <t>401015</t>
        </is>
      </c>
      <c r="D395" t="inlineStr">
        <is>
          <t>Alternative Antriebe (u.a. Strom, Wasser</t>
        </is>
      </c>
      <c r="E395" t="inlineStr">
        <is>
          <t>FUHRPARK</t>
        </is>
      </c>
      <c r="F395" t="inlineStr">
        <is>
          <t>Fuhrpark</t>
        </is>
      </c>
      <c r="G395" t="n">
        <v>2</v>
      </c>
      <c r="H395" t="n">
        <v>103.28</v>
      </c>
      <c r="I395" t="n">
        <v>0</v>
      </c>
      <c r="J395" t="n">
        <v>0</v>
      </c>
      <c r="K395" t="n">
        <v>103.28</v>
      </c>
      <c r="L395" t="n">
        <v>0</v>
      </c>
      <c r="M395" t="n">
        <v>0</v>
      </c>
      <c r="N395" t="n">
        <v>2</v>
      </c>
    </row>
    <row r="396">
      <c r="A396" t="n">
        <v>2026</v>
      </c>
      <c r="B396" t="n">
        <v>5</v>
      </c>
      <c r="C396" t="inlineStr">
        <is>
          <t>401030</t>
        </is>
      </c>
      <c r="D396" t="inlineStr">
        <is>
          <t>Kfz-Steuern</t>
        </is>
      </c>
      <c r="E396" t="inlineStr">
        <is>
          <t>STEUERN</t>
        </is>
      </c>
      <c r="F396" t="inlineStr">
        <is>
          <t>Versicherungen, Mieten, Steuern</t>
        </is>
      </c>
      <c r="G396" t="n">
        <v>9</v>
      </c>
      <c r="H396" t="n">
        <v>218.05</v>
      </c>
      <c r="I396" t="n">
        <v>0</v>
      </c>
      <c r="J396" t="n">
        <v>0</v>
      </c>
      <c r="K396" t="n">
        <v>0</v>
      </c>
      <c r="L396" t="n">
        <v>0</v>
      </c>
      <c r="M396" t="n">
        <v>218.05</v>
      </c>
      <c r="N396" t="n">
        <v>13</v>
      </c>
    </row>
    <row r="397">
      <c r="A397" t="n">
        <v>2026</v>
      </c>
      <c r="B397" t="n">
        <v>5</v>
      </c>
      <c r="C397" t="inlineStr">
        <is>
          <t>401040</t>
        </is>
      </c>
      <c r="D397" t="inlineStr">
        <is>
          <t>Kfz-Versicherungen</t>
        </is>
      </c>
      <c r="E397" t="inlineStr">
        <is>
          <t>FUHRPARK</t>
        </is>
      </c>
      <c r="F397" t="inlineStr">
        <is>
          <t>Fuhrpark</t>
        </is>
      </c>
      <c r="G397" t="n">
        <v>2</v>
      </c>
      <c r="H397" t="n">
        <v>-10335.81</v>
      </c>
      <c r="I397" t="n">
        <v>0</v>
      </c>
      <c r="J397" t="n">
        <v>0</v>
      </c>
      <c r="K397" t="n">
        <v>-10335.81</v>
      </c>
      <c r="L397" t="n">
        <v>0</v>
      </c>
      <c r="M397" t="n">
        <v>0</v>
      </c>
      <c r="N397" t="n">
        <v>23</v>
      </c>
    </row>
    <row r="398">
      <c r="A398" t="n">
        <v>2026</v>
      </c>
      <c r="B398" t="n">
        <v>5</v>
      </c>
      <c r="C398" t="inlineStr">
        <is>
          <t>401050</t>
        </is>
      </c>
      <c r="D398" t="inlineStr">
        <is>
          <t>Autobahngebühren LKW</t>
        </is>
      </c>
      <c r="E398" t="inlineStr">
        <is>
          <t>FUHRPARK</t>
        </is>
      </c>
      <c r="F398" t="inlineStr">
        <is>
          <t>Fuhrpark</t>
        </is>
      </c>
      <c r="G398" t="n">
        <v>2</v>
      </c>
      <c r="H398" t="n">
        <v>1226.18</v>
      </c>
      <c r="I398" t="n">
        <v>0</v>
      </c>
      <c r="J398" t="n">
        <v>0</v>
      </c>
      <c r="K398" t="n">
        <v>1226.18</v>
      </c>
      <c r="L398" t="n">
        <v>0</v>
      </c>
      <c r="M398" t="n">
        <v>0</v>
      </c>
      <c r="N398" t="n">
        <v>6</v>
      </c>
    </row>
    <row r="399">
      <c r="A399" t="n">
        <v>2026</v>
      </c>
      <c r="B399" t="n">
        <v>5</v>
      </c>
      <c r="C399" t="inlineStr">
        <is>
          <t>410130</t>
        </is>
      </c>
      <c r="D399" t="inlineStr">
        <is>
          <t>Sonderzahlungen und Prämien Gehaltsempfä</t>
        </is>
      </c>
      <c r="E399" t="inlineStr">
        <is>
          <t>PERSONAL</t>
        </is>
      </c>
      <c r="F399" t="inlineStr">
        <is>
          <t>Personal</t>
        </is>
      </c>
      <c r="G399" t="n">
        <v>2</v>
      </c>
      <c r="H399" t="n">
        <v>16470</v>
      </c>
      <c r="I399" t="n">
        <v>0</v>
      </c>
      <c r="J399" t="n">
        <v>0</v>
      </c>
      <c r="K399" t="n">
        <v>16470</v>
      </c>
      <c r="L399" t="n">
        <v>0</v>
      </c>
      <c r="M399" t="n">
        <v>0</v>
      </c>
      <c r="N399" t="n">
        <v>6</v>
      </c>
    </row>
    <row r="400">
      <c r="A400" t="n">
        <v>2026</v>
      </c>
      <c r="B400" t="n">
        <v>5</v>
      </c>
      <c r="C400" t="inlineStr">
        <is>
          <t>411070</t>
        </is>
      </c>
      <c r="D400" t="inlineStr">
        <is>
          <t>Personalwerbung</t>
        </is>
      </c>
      <c r="E400" t="inlineStr">
        <is>
          <t>PERSONAL</t>
        </is>
      </c>
      <c r="F400" t="inlineStr">
        <is>
          <t>Personal</t>
        </is>
      </c>
      <c r="G400" t="n">
        <v>2</v>
      </c>
      <c r="H400" t="n">
        <v>3209</v>
      </c>
      <c r="I400" t="n">
        <v>0</v>
      </c>
      <c r="J400" t="n">
        <v>0</v>
      </c>
      <c r="K400" t="n">
        <v>3209</v>
      </c>
      <c r="L400" t="n">
        <v>0</v>
      </c>
      <c r="M400" t="n">
        <v>0</v>
      </c>
      <c r="N400" t="n">
        <v>3</v>
      </c>
    </row>
    <row r="401">
      <c r="A401" t="n">
        <v>2026</v>
      </c>
      <c r="B401" t="n">
        <v>5</v>
      </c>
      <c r="C401" t="inlineStr">
        <is>
          <t>411090</t>
        </is>
      </c>
      <c r="D401" t="inlineStr">
        <is>
          <t>Schulung und Ausbildung</t>
        </is>
      </c>
      <c r="E401" t="inlineStr">
        <is>
          <t>PERSONAL</t>
        </is>
      </c>
      <c r="F401" t="inlineStr">
        <is>
          <t>Personal</t>
        </is>
      </c>
      <c r="G401" t="n">
        <v>2</v>
      </c>
      <c r="H401" t="n">
        <v>9663</v>
      </c>
      <c r="I401" t="n">
        <v>0</v>
      </c>
      <c r="J401" t="n">
        <v>0</v>
      </c>
      <c r="K401" t="n">
        <v>9663</v>
      </c>
      <c r="L401" t="n">
        <v>0</v>
      </c>
      <c r="M401" t="n">
        <v>0</v>
      </c>
      <c r="N401" t="n">
        <v>5</v>
      </c>
    </row>
    <row r="402">
      <c r="A402" t="n">
        <v>2026</v>
      </c>
      <c r="B402" t="n">
        <v>5</v>
      </c>
      <c r="C402" t="inlineStr">
        <is>
          <t>411100</t>
        </is>
      </c>
      <c r="D402" t="inlineStr">
        <is>
          <t>Arbeitskleidung und Arbeitschutzbedarf</t>
        </is>
      </c>
      <c r="E402" t="inlineStr">
        <is>
          <t>PERSONAL</t>
        </is>
      </c>
      <c r="F402" t="inlineStr">
        <is>
          <t>Personal</t>
        </is>
      </c>
      <c r="G402" t="n">
        <v>2</v>
      </c>
      <c r="H402" t="n">
        <v>5899.02</v>
      </c>
      <c r="I402" t="n">
        <v>0</v>
      </c>
      <c r="J402" t="n">
        <v>0</v>
      </c>
      <c r="K402" t="n">
        <v>5899.02</v>
      </c>
      <c r="L402" t="n">
        <v>0</v>
      </c>
      <c r="M402" t="n">
        <v>0</v>
      </c>
      <c r="N402" t="n">
        <v>11</v>
      </c>
    </row>
    <row r="403">
      <c r="A403" t="n">
        <v>2026</v>
      </c>
      <c r="B403" t="n">
        <v>5</v>
      </c>
      <c r="C403" t="inlineStr">
        <is>
          <t>411900</t>
        </is>
      </c>
      <c r="D403" t="inlineStr">
        <is>
          <t>Sonstige Personalkosten</t>
        </is>
      </c>
      <c r="E403" t="inlineStr">
        <is>
          <t>PERSONAL</t>
        </is>
      </c>
      <c r="F403" t="inlineStr">
        <is>
          <t>Personal</t>
        </is>
      </c>
      <c r="G403" t="n">
        <v>2</v>
      </c>
      <c r="H403" t="n">
        <v>1790.94</v>
      </c>
      <c r="I403" t="n">
        <v>0</v>
      </c>
      <c r="J403" t="n">
        <v>0</v>
      </c>
      <c r="K403" t="n">
        <v>1790.94</v>
      </c>
      <c r="L403" t="n">
        <v>0</v>
      </c>
      <c r="M403" t="n">
        <v>0</v>
      </c>
      <c r="N403" t="n">
        <v>11</v>
      </c>
    </row>
    <row r="404">
      <c r="A404" t="n">
        <v>2026</v>
      </c>
      <c r="B404" t="n">
        <v>5</v>
      </c>
      <c r="C404" t="inlineStr">
        <is>
          <t>420012</t>
        </is>
      </c>
      <c r="D404" t="inlineStr">
        <is>
          <t>Sonstige Kosten Grundstücke und Gebäude</t>
        </is>
      </c>
      <c r="E404" t="inlineStr">
        <is>
          <t>RAUM_ANLAGEN</t>
        </is>
      </c>
      <c r="F404" t="inlineStr">
        <is>
          <t>Raum, Energie, Instandhaltung</t>
        </is>
      </c>
      <c r="G404" t="n">
        <v>2</v>
      </c>
      <c r="H404" t="n">
        <v>3098.9</v>
      </c>
      <c r="I404" t="n">
        <v>0</v>
      </c>
      <c r="J404" t="n">
        <v>0</v>
      </c>
      <c r="K404" t="n">
        <v>3098.9</v>
      </c>
      <c r="L404" t="n">
        <v>0</v>
      </c>
      <c r="M404" t="n">
        <v>0</v>
      </c>
      <c r="N404" t="n">
        <v>9</v>
      </c>
    </row>
    <row r="405">
      <c r="A405" t="n">
        <v>2026</v>
      </c>
      <c r="B405" t="n">
        <v>5</v>
      </c>
      <c r="C405" t="inlineStr">
        <is>
          <t>420021</t>
        </is>
      </c>
      <c r="D405" t="inlineStr">
        <is>
          <t>Raumpflege eigene Gebäude</t>
        </is>
      </c>
      <c r="E405" t="inlineStr">
        <is>
          <t>RAUM_ANLAGEN</t>
        </is>
      </c>
      <c r="F405" t="inlineStr">
        <is>
          <t>Raum, Energie, Instandhaltung</t>
        </is>
      </c>
      <c r="G405" t="n">
        <v>2</v>
      </c>
      <c r="H405" t="n">
        <v>267.99</v>
      </c>
      <c r="I405" t="n">
        <v>0</v>
      </c>
      <c r="J405" t="n">
        <v>0</v>
      </c>
      <c r="K405" t="n">
        <v>267.99</v>
      </c>
      <c r="L405" t="n">
        <v>0</v>
      </c>
      <c r="M405" t="n">
        <v>0</v>
      </c>
      <c r="N405" t="n">
        <v>1</v>
      </c>
    </row>
    <row r="406">
      <c r="A406" t="n">
        <v>2026</v>
      </c>
      <c r="B406" t="n">
        <v>5</v>
      </c>
      <c r="C406" t="inlineStr">
        <is>
          <t>420022</t>
        </is>
      </c>
      <c r="D406" t="inlineStr">
        <is>
          <t>Raumpflege fremde Gebäude</t>
        </is>
      </c>
      <c r="E406" t="inlineStr">
        <is>
          <t>RAUM_ANLAGEN</t>
        </is>
      </c>
      <c r="F406" t="inlineStr">
        <is>
          <t>Raum, Energie, Instandhaltung</t>
        </is>
      </c>
      <c r="G406" t="n">
        <v>2</v>
      </c>
      <c r="H406" t="n">
        <v>2659.39</v>
      </c>
      <c r="I406" t="n">
        <v>0</v>
      </c>
      <c r="J406" t="n">
        <v>0</v>
      </c>
      <c r="K406" t="n">
        <v>2659.39</v>
      </c>
      <c r="L406" t="n">
        <v>0</v>
      </c>
      <c r="M406" t="n">
        <v>0</v>
      </c>
      <c r="N406" t="n">
        <v>6</v>
      </c>
    </row>
    <row r="407">
      <c r="A407" t="n">
        <v>2026</v>
      </c>
      <c r="B407" t="n">
        <v>5</v>
      </c>
      <c r="C407" t="inlineStr">
        <is>
          <t>420030</t>
        </is>
      </c>
      <c r="D407" t="inlineStr">
        <is>
          <t>Aufwand Energie</t>
        </is>
      </c>
      <c r="E407" t="inlineStr">
        <is>
          <t>RAUM_ANLAGEN</t>
        </is>
      </c>
      <c r="F407" t="inlineStr">
        <is>
          <t>Raum, Energie, Instandhaltung</t>
        </is>
      </c>
      <c r="G407" t="n">
        <v>2</v>
      </c>
      <c r="H407" t="n">
        <v>589.4</v>
      </c>
      <c r="I407" t="n">
        <v>0</v>
      </c>
      <c r="J407" t="n">
        <v>0</v>
      </c>
      <c r="K407" t="n">
        <v>589.4</v>
      </c>
      <c r="L407" t="n">
        <v>0</v>
      </c>
      <c r="M407" t="n">
        <v>0</v>
      </c>
      <c r="N407" t="n">
        <v>7</v>
      </c>
    </row>
    <row r="408">
      <c r="A408" t="n">
        <v>2026</v>
      </c>
      <c r="B408" t="n">
        <v>5</v>
      </c>
      <c r="C408" t="inlineStr">
        <is>
          <t>420100</t>
        </is>
      </c>
      <c r="D408" t="inlineStr">
        <is>
          <t>Instandhaltung Betriebsausstattung</t>
        </is>
      </c>
      <c r="E408" t="inlineStr">
        <is>
          <t>RAUM_ANLAGEN</t>
        </is>
      </c>
      <c r="F408" t="inlineStr">
        <is>
          <t>Raum, Energie, Instandhaltung</t>
        </is>
      </c>
      <c r="G408" t="n">
        <v>2</v>
      </c>
      <c r="H408" t="n">
        <v>2935.07</v>
      </c>
      <c r="I408" t="n">
        <v>0</v>
      </c>
      <c r="J408" t="n">
        <v>0</v>
      </c>
      <c r="K408" t="n">
        <v>2935.07</v>
      </c>
      <c r="L408" t="n">
        <v>0</v>
      </c>
      <c r="M408" t="n">
        <v>0</v>
      </c>
      <c r="N408" t="n">
        <v>3</v>
      </c>
    </row>
    <row r="409">
      <c r="A409" t="n">
        <v>2026</v>
      </c>
      <c r="B409" t="n">
        <v>5</v>
      </c>
      <c r="C409" t="inlineStr">
        <is>
          <t>420400</t>
        </is>
      </c>
      <c r="D409" t="inlineStr">
        <is>
          <t>Instandhaltung Geschäftsausstattung</t>
        </is>
      </c>
      <c r="E409" t="inlineStr">
        <is>
          <t>RAUM_ANLAGEN</t>
        </is>
      </c>
      <c r="F409" t="inlineStr">
        <is>
          <t>Raum, Energie, Instandhaltung</t>
        </is>
      </c>
      <c r="G409" t="n">
        <v>2</v>
      </c>
      <c r="H409" t="n">
        <v>1071.61</v>
      </c>
      <c r="I409" t="n">
        <v>0</v>
      </c>
      <c r="J409" t="n">
        <v>0</v>
      </c>
      <c r="K409" t="n">
        <v>1071.61</v>
      </c>
      <c r="L409" t="n">
        <v>0</v>
      </c>
      <c r="M409" t="n">
        <v>0</v>
      </c>
      <c r="N409" t="n">
        <v>8</v>
      </c>
    </row>
    <row r="410">
      <c r="A410" t="n">
        <v>2026</v>
      </c>
      <c r="B410" t="n">
        <v>5</v>
      </c>
      <c r="C410" t="inlineStr">
        <is>
          <t>420600</t>
        </is>
      </c>
      <c r="D410" t="inlineStr">
        <is>
          <t>Werkstattbedarf (Kleinwerkzeuge b.100,-D</t>
        </is>
      </c>
      <c r="E410" t="inlineStr">
        <is>
          <t>RAUM_ANLAGEN</t>
        </is>
      </c>
      <c r="F410" t="inlineStr">
        <is>
          <t>Raum, Energie, Instandhaltung</t>
        </is>
      </c>
      <c r="G410" t="n">
        <v>2</v>
      </c>
      <c r="H410" t="n">
        <v>3751.19</v>
      </c>
      <c r="I410" t="n">
        <v>0</v>
      </c>
      <c r="J410" t="n">
        <v>0</v>
      </c>
      <c r="K410" t="n">
        <v>3751.19</v>
      </c>
      <c r="L410" t="n">
        <v>0</v>
      </c>
      <c r="M410" t="n">
        <v>0</v>
      </c>
      <c r="N410" t="n">
        <v>3</v>
      </c>
    </row>
    <row r="411">
      <c r="A411" t="n">
        <v>2026</v>
      </c>
      <c r="B411" t="n">
        <v>5</v>
      </c>
      <c r="C411" t="inlineStr">
        <is>
          <t>420700</t>
        </is>
      </c>
      <c r="D411" t="inlineStr">
        <is>
          <t>Verbrauch Hilfs- u. Betriebsstoffe</t>
        </is>
      </c>
      <c r="E411" t="inlineStr">
        <is>
          <t>RAUM_ANLAGEN</t>
        </is>
      </c>
      <c r="F411" t="inlineStr">
        <is>
          <t>Raum, Energie, Instandhaltung</t>
        </is>
      </c>
      <c r="G411" t="n">
        <v>2</v>
      </c>
      <c r="H411" t="n">
        <v>17.16</v>
      </c>
      <c r="I411" t="n">
        <v>0</v>
      </c>
      <c r="J411" t="n">
        <v>0</v>
      </c>
      <c r="K411" t="n">
        <v>17.16</v>
      </c>
      <c r="L411" t="n">
        <v>0</v>
      </c>
      <c r="M411" t="n">
        <v>0</v>
      </c>
      <c r="N411" t="n">
        <v>1</v>
      </c>
    </row>
    <row r="412">
      <c r="A412" t="n">
        <v>2026</v>
      </c>
      <c r="B412" t="n">
        <v>5</v>
      </c>
      <c r="C412" t="inlineStr">
        <is>
          <t>430010</t>
        </is>
      </c>
      <c r="D412" t="inlineStr">
        <is>
          <t>Vermögensteuer, Grundsteuer u.a.</t>
        </is>
      </c>
      <c r="E412" t="inlineStr">
        <is>
          <t>STEUERN</t>
        </is>
      </c>
      <c r="F412" t="inlineStr">
        <is>
          <t>Versicherungen, Mieten, Steuern</t>
        </is>
      </c>
      <c r="G412" t="n">
        <v>9</v>
      </c>
      <c r="H412" t="n">
        <v>148.09</v>
      </c>
      <c r="I412" t="n">
        <v>0</v>
      </c>
      <c r="J412" t="n">
        <v>0</v>
      </c>
      <c r="K412" t="n">
        <v>0</v>
      </c>
      <c r="L412" t="n">
        <v>0</v>
      </c>
      <c r="M412" t="n">
        <v>148.09</v>
      </c>
      <c r="N412" t="n">
        <v>1</v>
      </c>
    </row>
    <row r="413">
      <c r="A413" t="n">
        <v>2026</v>
      </c>
      <c r="B413" t="n">
        <v>5</v>
      </c>
      <c r="C413" t="inlineStr">
        <is>
          <t>430020</t>
        </is>
      </c>
      <c r="D413" t="inlineStr">
        <is>
          <t>Gewerbeertragsteuer</t>
        </is>
      </c>
      <c r="E413" t="inlineStr">
        <is>
          <t>STEUERN</t>
        </is>
      </c>
      <c r="F413" t="inlineStr">
        <is>
          <t>Versicherungen, Mieten, Steuern</t>
        </is>
      </c>
      <c r="G413" t="n">
        <v>9</v>
      </c>
      <c r="H413" t="n">
        <v>23608</v>
      </c>
      <c r="I413" t="n">
        <v>0</v>
      </c>
      <c r="J413" t="n">
        <v>0</v>
      </c>
      <c r="K413" t="n">
        <v>0</v>
      </c>
      <c r="L413" t="n">
        <v>0</v>
      </c>
      <c r="M413" t="n">
        <v>23608</v>
      </c>
      <c r="N413" t="n">
        <v>10</v>
      </c>
    </row>
    <row r="414">
      <c r="A414" t="n">
        <v>2026</v>
      </c>
      <c r="B414" t="n">
        <v>5</v>
      </c>
      <c r="C414" t="inlineStr">
        <is>
          <t>430120</t>
        </is>
      </c>
      <c r="D414" t="inlineStr">
        <is>
          <t>Sonstige Versicherungen</t>
        </is>
      </c>
      <c r="E414" t="inlineStr">
        <is>
          <t>VERSICHERUNG_MIETE</t>
        </is>
      </c>
      <c r="F414" t="inlineStr">
        <is>
          <t>Versicherungen, Mieten, Steuern</t>
        </is>
      </c>
      <c r="G414" t="n">
        <v>2</v>
      </c>
      <c r="H414" t="n">
        <v>5351.52</v>
      </c>
      <c r="I414" t="n">
        <v>0</v>
      </c>
      <c r="J414" t="n">
        <v>0</v>
      </c>
      <c r="K414" t="n">
        <v>5351.52</v>
      </c>
      <c r="L414" t="n">
        <v>0</v>
      </c>
      <c r="M414" t="n">
        <v>0</v>
      </c>
      <c r="N414" t="n">
        <v>28</v>
      </c>
    </row>
    <row r="415">
      <c r="A415" t="n">
        <v>2026</v>
      </c>
      <c r="B415" t="n">
        <v>5</v>
      </c>
      <c r="C415" t="inlineStr">
        <is>
          <t>430121</t>
        </is>
      </c>
      <c r="D415" t="inlineStr">
        <is>
          <t>Warenkreditversicherung</t>
        </is>
      </c>
      <c r="E415" t="inlineStr">
        <is>
          <t>VERSICHERUNG_MIETE</t>
        </is>
      </c>
      <c r="F415" t="inlineStr">
        <is>
          <t>Versicherungen, Mieten, Steuern</t>
        </is>
      </c>
      <c r="G415" t="n">
        <v>2</v>
      </c>
      <c r="H415" t="n">
        <v>4146.47</v>
      </c>
      <c r="I415" t="n">
        <v>0</v>
      </c>
      <c r="J415" t="n">
        <v>0</v>
      </c>
      <c r="K415" t="n">
        <v>4146.47</v>
      </c>
      <c r="L415" t="n">
        <v>0</v>
      </c>
      <c r="M415" t="n">
        <v>0</v>
      </c>
      <c r="N415" t="n">
        <v>3</v>
      </c>
    </row>
    <row r="416">
      <c r="A416" t="n">
        <v>2026</v>
      </c>
      <c r="B416" t="n">
        <v>5</v>
      </c>
      <c r="C416" t="inlineStr">
        <is>
          <t>431010</t>
        </is>
      </c>
      <c r="D416" t="inlineStr">
        <is>
          <t>Mieten Räume</t>
        </is>
      </c>
      <c r="E416" t="inlineStr">
        <is>
          <t>VERSICHERUNG_MIETE</t>
        </is>
      </c>
      <c r="F416" t="inlineStr">
        <is>
          <t>Versicherungen, Mieten, Steuern</t>
        </is>
      </c>
      <c r="G416" t="n">
        <v>2</v>
      </c>
      <c r="H416" t="n">
        <v>9144.450000000001</v>
      </c>
      <c r="I416" t="n">
        <v>0</v>
      </c>
      <c r="J416" t="n">
        <v>0</v>
      </c>
      <c r="K416" t="n">
        <v>9144.450000000001</v>
      </c>
      <c r="L416" t="n">
        <v>0</v>
      </c>
      <c r="M416" t="n">
        <v>0</v>
      </c>
      <c r="N416" t="n">
        <v>8</v>
      </c>
    </row>
    <row r="417">
      <c r="A417" t="n">
        <v>2026</v>
      </c>
      <c r="B417" t="n">
        <v>5</v>
      </c>
      <c r="C417" t="inlineStr">
        <is>
          <t>431020</t>
        </is>
      </c>
      <c r="D417" t="inlineStr">
        <is>
          <t>Mieten Plätze</t>
        </is>
      </c>
      <c r="E417" t="inlineStr">
        <is>
          <t>VERSICHERUNG_MIETE</t>
        </is>
      </c>
      <c r="F417" t="inlineStr">
        <is>
          <t>Versicherungen, Mieten, Steuern</t>
        </is>
      </c>
      <c r="G417" t="n">
        <v>2</v>
      </c>
      <c r="H417" t="n">
        <v>4675.19</v>
      </c>
      <c r="I417" t="n">
        <v>0</v>
      </c>
      <c r="J417" t="n">
        <v>0</v>
      </c>
      <c r="K417" t="n">
        <v>4675.19</v>
      </c>
      <c r="L417" t="n">
        <v>0</v>
      </c>
      <c r="M417" t="n">
        <v>0</v>
      </c>
      <c r="N417" t="n">
        <v>12</v>
      </c>
    </row>
    <row r="418">
      <c r="A418" t="n">
        <v>2026</v>
      </c>
      <c r="B418" t="n">
        <v>5</v>
      </c>
      <c r="C418" t="inlineStr">
        <is>
          <t>431041</t>
        </is>
      </c>
      <c r="D418" t="inlineStr">
        <is>
          <t>Miete Behälter</t>
        </is>
      </c>
      <c r="E418" t="inlineStr">
        <is>
          <t>VERSICHERUNG_MIETE</t>
        </is>
      </c>
      <c r="F418" t="inlineStr">
        <is>
          <t>Versicherungen, Mieten, Steuern</t>
        </is>
      </c>
      <c r="G418" t="n">
        <v>2</v>
      </c>
      <c r="H418" t="n">
        <v>427.97</v>
      </c>
      <c r="I418" t="n">
        <v>0</v>
      </c>
      <c r="J418" t="n">
        <v>0</v>
      </c>
      <c r="K418" t="n">
        <v>427.97</v>
      </c>
      <c r="L418" t="n">
        <v>0</v>
      </c>
      <c r="M418" t="n">
        <v>0</v>
      </c>
      <c r="N418" t="n">
        <v>3</v>
      </c>
    </row>
    <row r="419">
      <c r="A419" t="n">
        <v>2026</v>
      </c>
      <c r="B419" t="n">
        <v>5</v>
      </c>
      <c r="C419" t="inlineStr">
        <is>
          <t>450010</t>
        </is>
      </c>
      <c r="D419" t="inlineStr">
        <is>
          <t>Reisekosten Betriebsangehörige</t>
        </is>
      </c>
      <c r="E419" t="inlineStr">
        <is>
          <t>REISE_WERBUNG</t>
        </is>
      </c>
      <c r="F419" t="inlineStr">
        <is>
          <t>Transport, Reise, Werbung</t>
        </is>
      </c>
      <c r="G419" t="n">
        <v>2</v>
      </c>
      <c r="H419" t="n">
        <v>2369.6</v>
      </c>
      <c r="I419" t="n">
        <v>0</v>
      </c>
      <c r="J419" t="n">
        <v>0</v>
      </c>
      <c r="K419" t="n">
        <v>2369.6</v>
      </c>
      <c r="L419" t="n">
        <v>0</v>
      </c>
      <c r="M419" t="n">
        <v>0</v>
      </c>
      <c r="N419" t="n">
        <v>22</v>
      </c>
    </row>
    <row r="420">
      <c r="A420" t="n">
        <v>2026</v>
      </c>
      <c r="B420" t="n">
        <v>5</v>
      </c>
      <c r="C420" t="inlineStr">
        <is>
          <t>450011</t>
        </is>
      </c>
      <c r="D420" t="inlineStr">
        <is>
          <t>Verpfl.mehraufwand (pauschal)</t>
        </is>
      </c>
      <c r="E420" t="inlineStr">
        <is>
          <t>REISE_WERBUNG</t>
        </is>
      </c>
      <c r="F420" t="inlineStr">
        <is>
          <t>Transport, Reise, Werbung</t>
        </is>
      </c>
      <c r="G420" t="n">
        <v>2</v>
      </c>
      <c r="H420" t="n">
        <v>112</v>
      </c>
      <c r="I420" t="n">
        <v>0</v>
      </c>
      <c r="J420" t="n">
        <v>0</v>
      </c>
      <c r="K420" t="n">
        <v>112</v>
      </c>
      <c r="L420" t="n">
        <v>0</v>
      </c>
      <c r="M420" t="n">
        <v>0</v>
      </c>
      <c r="N420" t="n">
        <v>2</v>
      </c>
    </row>
    <row r="421">
      <c r="A421" t="n">
        <v>2026</v>
      </c>
      <c r="B421" t="n">
        <v>5</v>
      </c>
      <c r="C421" t="inlineStr">
        <is>
          <t>450012</t>
        </is>
      </c>
      <c r="D421" t="inlineStr">
        <is>
          <t>Kilometergeld (pauschal)</t>
        </is>
      </c>
      <c r="E421" t="inlineStr">
        <is>
          <t>REISE_WERBUNG</t>
        </is>
      </c>
      <c r="F421" t="inlineStr">
        <is>
          <t>Transport, Reise, Werbung</t>
        </is>
      </c>
      <c r="G421" t="n">
        <v>2</v>
      </c>
      <c r="H421" t="n">
        <v>300.58</v>
      </c>
      <c r="I421" t="n">
        <v>0</v>
      </c>
      <c r="J421" t="n">
        <v>0</v>
      </c>
      <c r="K421" t="n">
        <v>300.58</v>
      </c>
      <c r="L421" t="n">
        <v>0</v>
      </c>
      <c r="M421" t="n">
        <v>0</v>
      </c>
      <c r="N421" t="n">
        <v>2</v>
      </c>
    </row>
    <row r="422">
      <c r="A422" t="n">
        <v>2026</v>
      </c>
      <c r="B422" t="n">
        <v>5</v>
      </c>
      <c r="C422" t="inlineStr">
        <is>
          <t>450020</t>
        </is>
      </c>
      <c r="D422" t="inlineStr">
        <is>
          <t>Reisekosten Betriebsfremde</t>
        </is>
      </c>
      <c r="E422" t="inlineStr">
        <is>
          <t>REISE_WERBUNG</t>
        </is>
      </c>
      <c r="F422" t="inlineStr">
        <is>
          <t>Transport, Reise, Werbung</t>
        </is>
      </c>
      <c r="G422" t="n">
        <v>2</v>
      </c>
      <c r="H422" t="n">
        <v>143.04</v>
      </c>
      <c r="I422" t="n">
        <v>0</v>
      </c>
      <c r="J422" t="n">
        <v>0</v>
      </c>
      <c r="K422" t="n">
        <v>143.04</v>
      </c>
      <c r="L422" t="n">
        <v>0</v>
      </c>
      <c r="M422" t="n">
        <v>0</v>
      </c>
      <c r="N422" t="n">
        <v>4</v>
      </c>
    </row>
    <row r="423">
      <c r="A423" t="n">
        <v>2026</v>
      </c>
      <c r="B423" t="n">
        <v>5</v>
      </c>
      <c r="C423" t="inlineStr">
        <is>
          <t>450030</t>
        </is>
      </c>
      <c r="D423" t="inlineStr">
        <is>
          <t>Bewirtung zu 100 % abzugsfähig</t>
        </is>
      </c>
      <c r="E423" t="inlineStr">
        <is>
          <t>REISE_WERBUNG</t>
        </is>
      </c>
      <c r="F423" t="inlineStr">
        <is>
          <t>Transport, Reise, Werbung</t>
        </is>
      </c>
      <c r="G423" t="n">
        <v>2</v>
      </c>
      <c r="H423" t="n">
        <v>452.13</v>
      </c>
      <c r="I423" t="n">
        <v>0</v>
      </c>
      <c r="J423" t="n">
        <v>0</v>
      </c>
      <c r="K423" t="n">
        <v>452.13</v>
      </c>
      <c r="L423" t="n">
        <v>0</v>
      </c>
      <c r="M423" t="n">
        <v>0</v>
      </c>
      <c r="N423" t="n">
        <v>12</v>
      </c>
    </row>
    <row r="424">
      <c r="A424" t="n">
        <v>2026</v>
      </c>
      <c r="B424" t="n">
        <v>5</v>
      </c>
      <c r="C424" t="inlineStr">
        <is>
          <t>450039</t>
        </is>
      </c>
      <c r="D424" t="inlineStr">
        <is>
          <t>Bewirtung zu 70 % abzugsfähig</t>
        </is>
      </c>
      <c r="E424" t="inlineStr">
        <is>
          <t>REISE_WERBUNG</t>
        </is>
      </c>
      <c r="F424" t="inlineStr">
        <is>
          <t>Transport, Reise, Werbung</t>
        </is>
      </c>
      <c r="G424" t="n">
        <v>2</v>
      </c>
      <c r="H424" t="n">
        <v>197.34</v>
      </c>
      <c r="I424" t="n">
        <v>0</v>
      </c>
      <c r="J424" t="n">
        <v>0</v>
      </c>
      <c r="K424" t="n">
        <v>197.34</v>
      </c>
      <c r="L424" t="n">
        <v>0</v>
      </c>
      <c r="M424" t="n">
        <v>0</v>
      </c>
      <c r="N424" t="n">
        <v>3</v>
      </c>
    </row>
    <row r="425">
      <c r="A425" t="n">
        <v>2026</v>
      </c>
      <c r="B425" t="n">
        <v>5</v>
      </c>
      <c r="C425" t="inlineStr">
        <is>
          <t>450050</t>
        </is>
      </c>
      <c r="D425" t="inlineStr">
        <is>
          <t>Allgemeine Repräsentationskosten</t>
        </is>
      </c>
      <c r="E425" t="inlineStr">
        <is>
          <t>REISE_WERBUNG</t>
        </is>
      </c>
      <c r="F425" t="inlineStr">
        <is>
          <t>Transport, Reise, Werbung</t>
        </is>
      </c>
      <c r="G425" t="n">
        <v>2</v>
      </c>
      <c r="H425" t="n">
        <v>89.89</v>
      </c>
      <c r="I425" t="n">
        <v>0</v>
      </c>
      <c r="J425" t="n">
        <v>0</v>
      </c>
      <c r="K425" t="n">
        <v>89.89</v>
      </c>
      <c r="L425" t="n">
        <v>0</v>
      </c>
      <c r="M425" t="n">
        <v>0</v>
      </c>
      <c r="N425" t="n">
        <v>1</v>
      </c>
    </row>
    <row r="426">
      <c r="A426" t="n">
        <v>2026</v>
      </c>
      <c r="B426" t="n">
        <v>5</v>
      </c>
      <c r="C426" t="inlineStr">
        <is>
          <t>460010</t>
        </is>
      </c>
      <c r="D426" t="inlineStr">
        <is>
          <t>Büromaterial</t>
        </is>
      </c>
      <c r="E426" t="inlineStr">
        <is>
          <t>VERWALTUNG</t>
        </is>
      </c>
      <c r="F426" t="inlineStr">
        <is>
          <t>Verwaltung und Beratung</t>
        </is>
      </c>
      <c r="G426" t="n">
        <v>2</v>
      </c>
      <c r="H426" t="n">
        <v>462.25</v>
      </c>
      <c r="I426" t="n">
        <v>0</v>
      </c>
      <c r="J426" t="n">
        <v>0</v>
      </c>
      <c r="K426" t="n">
        <v>462.25</v>
      </c>
      <c r="L426" t="n">
        <v>0</v>
      </c>
      <c r="M426" t="n">
        <v>0</v>
      </c>
      <c r="N426" t="n">
        <v>6</v>
      </c>
    </row>
    <row r="427">
      <c r="A427" t="n">
        <v>2026</v>
      </c>
      <c r="B427" t="n">
        <v>5</v>
      </c>
      <c r="C427" t="inlineStr">
        <is>
          <t>460020</t>
        </is>
      </c>
      <c r="D427" t="inlineStr">
        <is>
          <t>Zeitungen, Zeitschrift.und Bücher</t>
        </is>
      </c>
      <c r="E427" t="inlineStr">
        <is>
          <t>VERWALTUNG</t>
        </is>
      </c>
      <c r="F427" t="inlineStr">
        <is>
          <t>Verwaltung und Beratung</t>
        </is>
      </c>
      <c r="G427" t="n">
        <v>2</v>
      </c>
      <c r="H427" t="n">
        <v>184.5</v>
      </c>
      <c r="I427" t="n">
        <v>0</v>
      </c>
      <c r="J427" t="n">
        <v>0</v>
      </c>
      <c r="K427" t="n">
        <v>184.5</v>
      </c>
      <c r="L427" t="n">
        <v>0</v>
      </c>
      <c r="M427" t="n">
        <v>0</v>
      </c>
      <c r="N427" t="n">
        <v>2</v>
      </c>
    </row>
    <row r="428">
      <c r="A428" t="n">
        <v>2026</v>
      </c>
      <c r="B428" t="n">
        <v>5</v>
      </c>
      <c r="C428" t="inlineStr">
        <is>
          <t>460030</t>
        </is>
      </c>
      <c r="D428" t="inlineStr">
        <is>
          <t>Telekommunikation</t>
        </is>
      </c>
      <c r="E428" t="inlineStr">
        <is>
          <t>VERWALTUNG</t>
        </is>
      </c>
      <c r="F428" t="inlineStr">
        <is>
          <t>Verwaltung und Beratung</t>
        </is>
      </c>
      <c r="G428" t="n">
        <v>2</v>
      </c>
      <c r="H428" t="n">
        <v>1672.42</v>
      </c>
      <c r="I428" t="n">
        <v>0</v>
      </c>
      <c r="J428" t="n">
        <v>0</v>
      </c>
      <c r="K428" t="n">
        <v>1672.42</v>
      </c>
      <c r="L428" t="n">
        <v>0</v>
      </c>
      <c r="M428" t="n">
        <v>0</v>
      </c>
      <c r="N428" t="n">
        <v>17</v>
      </c>
    </row>
    <row r="429">
      <c r="A429" t="n">
        <v>2026</v>
      </c>
      <c r="B429" t="n">
        <v>5</v>
      </c>
      <c r="C429" t="inlineStr">
        <is>
          <t>460040</t>
        </is>
      </c>
      <c r="D429" t="inlineStr">
        <is>
          <t>Portogebühren</t>
        </is>
      </c>
      <c r="E429" t="inlineStr">
        <is>
          <t>VERWALTUNG</t>
        </is>
      </c>
      <c r="F429" t="inlineStr">
        <is>
          <t>Verwaltung und Beratung</t>
        </is>
      </c>
      <c r="G429" t="n">
        <v>2</v>
      </c>
      <c r="H429" t="n">
        <v>48</v>
      </c>
      <c r="I429" t="n">
        <v>0</v>
      </c>
      <c r="J429" t="n">
        <v>0</v>
      </c>
      <c r="K429" t="n">
        <v>48</v>
      </c>
      <c r="L429" t="n">
        <v>0</v>
      </c>
      <c r="M429" t="n">
        <v>0</v>
      </c>
      <c r="N429" t="n">
        <v>6</v>
      </c>
    </row>
    <row r="430">
      <c r="A430" t="n">
        <v>2026</v>
      </c>
      <c r="B430" t="n">
        <v>5</v>
      </c>
      <c r="C430" t="inlineStr">
        <is>
          <t>460060</t>
        </is>
      </c>
      <c r="D430" t="inlineStr">
        <is>
          <t>Kosten EDV</t>
        </is>
      </c>
      <c r="E430" t="inlineStr">
        <is>
          <t>VERWALTUNG</t>
        </is>
      </c>
      <c r="F430" t="inlineStr">
        <is>
          <t>Verwaltung und Beratung</t>
        </is>
      </c>
      <c r="G430" t="n">
        <v>2</v>
      </c>
      <c r="H430" t="n">
        <v>3679.51</v>
      </c>
      <c r="I430" t="n">
        <v>0</v>
      </c>
      <c r="J430" t="n">
        <v>0</v>
      </c>
      <c r="K430" t="n">
        <v>3679.51</v>
      </c>
      <c r="L430" t="n">
        <v>0</v>
      </c>
      <c r="M430" t="n">
        <v>0</v>
      </c>
      <c r="N430" t="n">
        <v>8</v>
      </c>
    </row>
    <row r="431">
      <c r="A431" t="n">
        <v>2026</v>
      </c>
      <c r="B431" t="n">
        <v>5</v>
      </c>
      <c r="C431" t="inlineStr">
        <is>
          <t>460065</t>
        </is>
      </c>
      <c r="D431" t="inlineStr">
        <is>
          <t>IT Lizenzgebühren</t>
        </is>
      </c>
      <c r="E431" t="inlineStr">
        <is>
          <t>VERWALTUNG</t>
        </is>
      </c>
      <c r="F431" t="inlineStr">
        <is>
          <t>Verwaltung und Beratung</t>
        </is>
      </c>
      <c r="G431" t="n">
        <v>2</v>
      </c>
      <c r="H431" t="n">
        <v>2874.99</v>
      </c>
      <c r="I431" t="n">
        <v>0</v>
      </c>
      <c r="J431" t="n">
        <v>0</v>
      </c>
      <c r="K431" t="n">
        <v>2874.99</v>
      </c>
      <c r="L431" t="n">
        <v>0</v>
      </c>
      <c r="M431" t="n">
        <v>0</v>
      </c>
      <c r="N431" t="n">
        <v>4</v>
      </c>
    </row>
    <row r="432">
      <c r="A432" t="n">
        <v>2026</v>
      </c>
      <c r="B432" t="n">
        <v>5</v>
      </c>
      <c r="C432" t="inlineStr">
        <is>
          <t>460090</t>
        </is>
      </c>
      <c r="D432" t="inlineStr">
        <is>
          <t>Schreib- und Verwaltungsgebühren an Behö</t>
        </is>
      </c>
      <c r="E432" t="inlineStr">
        <is>
          <t>VERWALTUNG</t>
        </is>
      </c>
      <c r="F432" t="inlineStr">
        <is>
          <t>Verwaltung und Beratung</t>
        </is>
      </c>
      <c r="G432" t="n">
        <v>2</v>
      </c>
      <c r="H432" t="n">
        <v>111</v>
      </c>
      <c r="I432" t="n">
        <v>0</v>
      </c>
      <c r="J432" t="n">
        <v>0</v>
      </c>
      <c r="K432" t="n">
        <v>111</v>
      </c>
      <c r="L432" t="n">
        <v>0</v>
      </c>
      <c r="M432" t="n">
        <v>0</v>
      </c>
      <c r="N432" t="n">
        <v>3</v>
      </c>
    </row>
    <row r="433">
      <c r="A433" t="n">
        <v>2026</v>
      </c>
      <c r="B433" t="n">
        <v>5</v>
      </c>
      <c r="C433" t="inlineStr">
        <is>
          <t>460200</t>
        </is>
      </c>
      <c r="D433" t="inlineStr">
        <is>
          <t>Beiträge Fachtagungen</t>
        </is>
      </c>
      <c r="E433" t="inlineStr">
        <is>
          <t>VERWALTUNG</t>
        </is>
      </c>
      <c r="F433" t="inlineStr">
        <is>
          <t>Verwaltung und Beratung</t>
        </is>
      </c>
      <c r="G433" t="n">
        <v>2</v>
      </c>
      <c r="H433" t="n">
        <v>215</v>
      </c>
      <c r="I433" t="n">
        <v>0</v>
      </c>
      <c r="J433" t="n">
        <v>0</v>
      </c>
      <c r="K433" t="n">
        <v>215</v>
      </c>
      <c r="L433" t="n">
        <v>0</v>
      </c>
      <c r="M433" t="n">
        <v>0</v>
      </c>
      <c r="N433" t="n">
        <v>1</v>
      </c>
    </row>
    <row r="434">
      <c r="A434" t="n">
        <v>2026</v>
      </c>
      <c r="B434" t="n">
        <v>5</v>
      </c>
      <c r="C434" t="inlineStr">
        <is>
          <t>460900</t>
        </is>
      </c>
      <c r="D434" t="inlineStr">
        <is>
          <t>Sonstige Verwaltungskosten</t>
        </is>
      </c>
      <c r="E434" t="inlineStr">
        <is>
          <t>VERWALTUNG</t>
        </is>
      </c>
      <c r="F434" t="inlineStr">
        <is>
          <t>Verwaltung und Beratung</t>
        </is>
      </c>
      <c r="G434" t="n">
        <v>2</v>
      </c>
      <c r="H434" t="n">
        <v>3514.98</v>
      </c>
      <c r="I434" t="n">
        <v>0</v>
      </c>
      <c r="J434" t="n">
        <v>0</v>
      </c>
      <c r="K434" t="n">
        <v>3514.98</v>
      </c>
      <c r="L434" t="n">
        <v>0</v>
      </c>
      <c r="M434" t="n">
        <v>0</v>
      </c>
      <c r="N434" t="n">
        <v>25</v>
      </c>
    </row>
    <row r="435">
      <c r="A435" t="n">
        <v>2026</v>
      </c>
      <c r="B435" t="n">
        <v>5</v>
      </c>
      <c r="C435" t="inlineStr">
        <is>
          <t>470010</t>
        </is>
      </c>
      <c r="D435" t="inlineStr">
        <is>
          <t>Anwalts- und Gerichtskosten</t>
        </is>
      </c>
      <c r="E435" t="inlineStr">
        <is>
          <t>BERATUNG_UMLAGE</t>
        </is>
      </c>
      <c r="F435" t="inlineStr">
        <is>
          <t>Verwaltung und Beratung</t>
        </is>
      </c>
      <c r="G435" t="n">
        <v>2</v>
      </c>
      <c r="H435" t="n">
        <v>3240</v>
      </c>
      <c r="I435" t="n">
        <v>0</v>
      </c>
      <c r="J435" t="n">
        <v>0</v>
      </c>
      <c r="K435" t="n">
        <v>3240</v>
      </c>
      <c r="L435" t="n">
        <v>0</v>
      </c>
      <c r="M435" t="n">
        <v>0</v>
      </c>
      <c r="N435" t="n">
        <v>3</v>
      </c>
    </row>
    <row r="436">
      <c r="A436" t="n">
        <v>2026</v>
      </c>
      <c r="B436" t="n">
        <v>5</v>
      </c>
      <c r="C436" t="inlineStr">
        <is>
          <t>470020</t>
        </is>
      </c>
      <c r="D436" t="inlineStr">
        <is>
          <t>kaufm. Beratung und Buchführung</t>
        </is>
      </c>
      <c r="E436" t="inlineStr">
        <is>
          <t>BERATUNG_UMLAGE</t>
        </is>
      </c>
      <c r="F436" t="inlineStr">
        <is>
          <t>Verwaltung und Beratung</t>
        </is>
      </c>
      <c r="G436" t="n">
        <v>2</v>
      </c>
      <c r="H436" t="n">
        <v>11350</v>
      </c>
      <c r="I436" t="n">
        <v>0</v>
      </c>
      <c r="J436" t="n">
        <v>0</v>
      </c>
      <c r="K436" t="n">
        <v>11350</v>
      </c>
      <c r="L436" t="n">
        <v>0</v>
      </c>
      <c r="M436" t="n">
        <v>0</v>
      </c>
      <c r="N436" t="n">
        <v>6</v>
      </c>
    </row>
    <row r="437">
      <c r="A437" t="n">
        <v>2026</v>
      </c>
      <c r="B437" t="n">
        <v>5</v>
      </c>
      <c r="C437" t="inlineStr">
        <is>
          <t>470025</t>
        </is>
      </c>
      <c r="D437" t="inlineStr">
        <is>
          <t>Steuerberatungskosten</t>
        </is>
      </c>
      <c r="E437" t="inlineStr">
        <is>
          <t>BERATUNG_UMLAGE</t>
        </is>
      </c>
      <c r="F437" t="inlineStr">
        <is>
          <t>Verwaltung und Beratung</t>
        </is>
      </c>
      <c r="G437" t="n">
        <v>2</v>
      </c>
      <c r="H437" t="n">
        <v>9000</v>
      </c>
      <c r="I437" t="n">
        <v>0</v>
      </c>
      <c r="J437" t="n">
        <v>0</v>
      </c>
      <c r="K437" t="n">
        <v>9000</v>
      </c>
      <c r="L437" t="n">
        <v>0</v>
      </c>
      <c r="M437" t="n">
        <v>0</v>
      </c>
      <c r="N437" t="n">
        <v>1</v>
      </c>
    </row>
    <row r="438">
      <c r="A438" t="n">
        <v>2026</v>
      </c>
      <c r="B438" t="n">
        <v>5</v>
      </c>
      <c r="C438" t="inlineStr">
        <is>
          <t>470030</t>
        </is>
      </c>
      <c r="D438" t="inlineStr">
        <is>
          <t>Beratungskosten Allgemeine Verwaltung</t>
        </is>
      </c>
      <c r="E438" t="inlineStr">
        <is>
          <t>BERATUNG_UMLAGE</t>
        </is>
      </c>
      <c r="F438" t="inlineStr">
        <is>
          <t>Verwaltung und Beratung</t>
        </is>
      </c>
      <c r="G438" t="n">
        <v>2</v>
      </c>
      <c r="H438" t="n">
        <v>14.9</v>
      </c>
      <c r="I438" t="n">
        <v>0</v>
      </c>
      <c r="J438" t="n">
        <v>0</v>
      </c>
      <c r="K438" t="n">
        <v>14.9</v>
      </c>
      <c r="L438" t="n">
        <v>0</v>
      </c>
      <c r="M438" t="n">
        <v>0</v>
      </c>
      <c r="N438" t="n">
        <v>1</v>
      </c>
    </row>
    <row r="439">
      <c r="A439" t="n">
        <v>2026</v>
      </c>
      <c r="B439" t="n">
        <v>5</v>
      </c>
      <c r="C439" t="inlineStr">
        <is>
          <t>470036</t>
        </is>
      </c>
      <c r="D439" t="inlineStr">
        <is>
          <t>Aufwendungen Umlage zentrale Verwaltung</t>
        </is>
      </c>
      <c r="E439" t="inlineStr">
        <is>
          <t>BERATUNG_UMLAGE</t>
        </is>
      </c>
      <c r="F439" t="inlineStr">
        <is>
          <t>Verwaltung und Beratung</t>
        </is>
      </c>
      <c r="G439" t="n">
        <v>2</v>
      </c>
      <c r="H439" t="n">
        <v>3752</v>
      </c>
      <c r="I439" t="n">
        <v>0</v>
      </c>
      <c r="J439" t="n">
        <v>0</v>
      </c>
      <c r="K439" t="n">
        <v>3752</v>
      </c>
      <c r="L439" t="n">
        <v>0</v>
      </c>
      <c r="M439" t="n">
        <v>0</v>
      </c>
      <c r="N439" t="n">
        <v>2</v>
      </c>
    </row>
    <row r="440">
      <c r="A440" t="n">
        <v>2026</v>
      </c>
      <c r="B440" t="n">
        <v>5</v>
      </c>
      <c r="C440" t="inlineStr">
        <is>
          <t>480100</t>
        </is>
      </c>
      <c r="D440" t="inlineStr">
        <is>
          <t>Normalabschreibung auf Anlagen</t>
        </is>
      </c>
      <c r="E440" t="inlineStr">
        <is>
          <t>ABSCHREIBUNG</t>
        </is>
      </c>
      <c r="F440" t="inlineStr">
        <is>
          <t>Abschreibungen</t>
        </is>
      </c>
      <c r="G440" t="n">
        <v>2</v>
      </c>
      <c r="H440" t="n">
        <v>2787.52</v>
      </c>
      <c r="I440" t="n">
        <v>0</v>
      </c>
      <c r="J440" t="n">
        <v>0</v>
      </c>
      <c r="K440" t="n">
        <v>2787.52</v>
      </c>
      <c r="L440" t="n">
        <v>0</v>
      </c>
      <c r="M440" t="n">
        <v>0</v>
      </c>
      <c r="N440" t="n">
        <v>13</v>
      </c>
    </row>
    <row r="441">
      <c r="A441" t="n">
        <v>2026</v>
      </c>
      <c r="B441" t="n">
        <v>5</v>
      </c>
      <c r="C441" t="inlineStr">
        <is>
          <t>480110</t>
        </is>
      </c>
      <c r="D441" t="inlineStr">
        <is>
          <t>Abschreibungen auf Anlagen (GWG)</t>
        </is>
      </c>
      <c r="E441" t="inlineStr">
        <is>
          <t>ABSCHREIBUNG</t>
        </is>
      </c>
      <c r="F441" t="inlineStr">
        <is>
          <t>Abschreibungen</t>
        </is>
      </c>
      <c r="G441" t="n">
        <v>2</v>
      </c>
      <c r="H441" t="n">
        <v>368.51</v>
      </c>
      <c r="I441" t="n">
        <v>0</v>
      </c>
      <c r="J441" t="n">
        <v>0</v>
      </c>
      <c r="K441" t="n">
        <v>368.51</v>
      </c>
      <c r="L441" t="n">
        <v>0</v>
      </c>
      <c r="M441" t="n">
        <v>0</v>
      </c>
      <c r="N441" t="n">
        <v>11</v>
      </c>
    </row>
    <row r="442">
      <c r="A442" t="n">
        <v>2026</v>
      </c>
      <c r="B442" t="n">
        <v>5</v>
      </c>
      <c r="C442" t="inlineStr">
        <is>
          <t>499200</t>
        </is>
      </c>
      <c r="D442" t="inlineStr">
        <is>
          <t>Kalk. Zinsen</t>
        </is>
      </c>
      <c r="E442" t="inlineStr">
        <is>
          <t>KALKULATORISCH</t>
        </is>
      </c>
      <c r="F442" t="inlineStr">
        <is>
          <t>Kalkulatorische Kosten</t>
        </is>
      </c>
      <c r="G442" t="n">
        <v>9</v>
      </c>
      <c r="H442" t="n">
        <v>742</v>
      </c>
      <c r="I442" t="n">
        <v>0</v>
      </c>
      <c r="J442" t="n">
        <v>0</v>
      </c>
      <c r="K442" t="n">
        <v>0</v>
      </c>
      <c r="L442" t="n">
        <v>0</v>
      </c>
      <c r="M442" t="n">
        <v>742</v>
      </c>
      <c r="N442" t="n">
        <v>23</v>
      </c>
    </row>
    <row r="443">
      <c r="A443" t="n">
        <v>2026</v>
      </c>
      <c r="B443" t="n">
        <v>5</v>
      </c>
      <c r="C443" t="inlineStr">
        <is>
          <t>499300</t>
        </is>
      </c>
      <c r="D443" t="inlineStr">
        <is>
          <t>Kalk. Abschreibungen</t>
        </is>
      </c>
      <c r="E443" t="inlineStr">
        <is>
          <t>KALKULATORISCH</t>
        </is>
      </c>
      <c r="F443" t="inlineStr">
        <is>
          <t>Kalkulatorische Kosten</t>
        </is>
      </c>
      <c r="G443" t="n">
        <v>9</v>
      </c>
      <c r="H443" t="n">
        <v>3789.03</v>
      </c>
      <c r="I443" t="n">
        <v>0</v>
      </c>
      <c r="J443" t="n">
        <v>0</v>
      </c>
      <c r="K443" t="n">
        <v>0</v>
      </c>
      <c r="L443" t="n">
        <v>0</v>
      </c>
      <c r="M443" t="n">
        <v>3789.03</v>
      </c>
      <c r="N443" t="n">
        <v>25</v>
      </c>
    </row>
    <row r="444">
      <c r="A444" t="n">
        <v>2026</v>
      </c>
      <c r="B444" t="n">
        <v>5</v>
      </c>
      <c r="C444" t="inlineStr">
        <is>
          <t>7611100</t>
        </is>
      </c>
      <c r="D444" t="inlineStr">
        <is>
          <t>Lohnverr. Gruppe1</t>
        </is>
      </c>
      <c r="E444" t="inlineStr">
        <is>
          <t>LOHNVERRECHNUNG</t>
        </is>
      </c>
      <c r="F444" t="inlineStr">
        <is>
          <t>Innerbetriebliche Verrechnung</t>
        </is>
      </c>
      <c r="G444" t="n">
        <v>1</v>
      </c>
      <c r="H444" t="n">
        <v>171</v>
      </c>
      <c r="I444" t="n">
        <v>0</v>
      </c>
      <c r="J444" t="n">
        <v>171</v>
      </c>
      <c r="K444" t="n">
        <v>0</v>
      </c>
      <c r="L444" t="n">
        <v>0</v>
      </c>
      <c r="M444" t="n">
        <v>0</v>
      </c>
      <c r="N444" t="n">
        <v>35</v>
      </c>
    </row>
    <row r="445">
      <c r="A445" t="n">
        <v>2026</v>
      </c>
      <c r="B445" t="n">
        <v>5</v>
      </c>
      <c r="C445" t="inlineStr">
        <is>
          <t>7611200</t>
        </is>
      </c>
      <c r="D445" t="inlineStr">
        <is>
          <t>Lohnverr. Gruppe 2</t>
        </is>
      </c>
      <c r="E445" t="inlineStr">
        <is>
          <t>LOHNVERRECHNUNG</t>
        </is>
      </c>
      <c r="F445" t="inlineStr">
        <is>
          <t>Innerbetriebliche Verrechnung</t>
        </is>
      </c>
      <c r="G445" t="n">
        <v>1</v>
      </c>
      <c r="H445" t="n">
        <v>165</v>
      </c>
      <c r="I445" t="n">
        <v>0</v>
      </c>
      <c r="J445" t="n">
        <v>165</v>
      </c>
      <c r="K445" t="n">
        <v>0</v>
      </c>
      <c r="L445" t="n">
        <v>0</v>
      </c>
      <c r="M445" t="n">
        <v>0</v>
      </c>
      <c r="N445" t="n">
        <v>46</v>
      </c>
    </row>
    <row r="446">
      <c r="A446" t="n">
        <v>2026</v>
      </c>
      <c r="B446" t="n">
        <v>5</v>
      </c>
      <c r="C446" t="inlineStr">
        <is>
          <t>7612000</t>
        </is>
      </c>
      <c r="D446" t="inlineStr">
        <is>
          <t>Verrechnung Geräte</t>
        </is>
      </c>
      <c r="E446" t="inlineStr">
        <is>
          <t>GERAETEVERRECHNUNG</t>
        </is>
      </c>
      <c r="F446" t="inlineStr">
        <is>
          <t>Innerbetriebliche Verrechnung</t>
        </is>
      </c>
      <c r="G446" t="n">
        <v>1</v>
      </c>
      <c r="H446" t="n">
        <v>1905</v>
      </c>
      <c r="I446" t="n">
        <v>0</v>
      </c>
      <c r="J446" t="n">
        <v>1905</v>
      </c>
      <c r="K446" t="n">
        <v>0</v>
      </c>
      <c r="L446" t="n">
        <v>0</v>
      </c>
      <c r="M446" t="n">
        <v>0</v>
      </c>
      <c r="N446" t="n">
        <v>165</v>
      </c>
    </row>
    <row r="447">
      <c r="A447" t="n">
        <v>2026</v>
      </c>
      <c r="B447" t="n">
        <v>5</v>
      </c>
      <c r="C447" t="inlineStr">
        <is>
          <t>7801020</t>
        </is>
      </c>
      <c r="D447" t="inlineStr">
        <is>
          <t>Gemeinkostenzuschläge 12 % TVF Altwert</t>
        </is>
      </c>
      <c r="E447" t="inlineStr">
        <is>
          <t>GEMEINKOSTENUMLAGE</t>
        </is>
      </c>
      <c r="F447" t="inlineStr">
        <is>
          <t>Innerbetriebliche Verrechnung</t>
        </is>
      </c>
      <c r="G447" t="n">
        <v>2</v>
      </c>
      <c r="H447" t="n">
        <v>-114916.47</v>
      </c>
      <c r="I447" t="n">
        <v>0</v>
      </c>
      <c r="J447" t="n">
        <v>0</v>
      </c>
      <c r="K447" t="n">
        <v>0</v>
      </c>
      <c r="L447" t="n">
        <v>-114916.47</v>
      </c>
      <c r="M447" t="n">
        <v>0</v>
      </c>
      <c r="N447" t="n">
        <v>120</v>
      </c>
    </row>
    <row r="448">
      <c r="A448" t="n">
        <v>2026</v>
      </c>
      <c r="B448" t="n">
        <v>5</v>
      </c>
      <c r="C448" t="inlineStr">
        <is>
          <t>830510</t>
        </is>
      </c>
      <c r="D448" t="inlineStr">
        <is>
          <t>Erlöse Abrisse/Demontagen</t>
        </is>
      </c>
      <c r="E448" t="inlineStr">
        <is>
          <t>ERLOES</t>
        </is>
      </c>
      <c r="F448" t="inlineStr">
        <is>
          <t>Umsatzerlöse</t>
        </is>
      </c>
      <c r="G448" t="n">
        <v>0</v>
      </c>
      <c r="H448" t="n">
        <v>-1329663.8</v>
      </c>
      <c r="I448" t="n">
        <v>1329663.8</v>
      </c>
      <c r="J448" t="n">
        <v>0</v>
      </c>
      <c r="K448" t="n">
        <v>0</v>
      </c>
      <c r="L448" t="n">
        <v>0</v>
      </c>
      <c r="M448" t="n">
        <v>0</v>
      </c>
      <c r="N448" t="n">
        <v>116</v>
      </c>
    </row>
    <row r="449">
      <c r="A449" t="n">
        <v>2026</v>
      </c>
      <c r="B449" t="n">
        <v>5</v>
      </c>
      <c r="C449" t="inlineStr">
        <is>
          <t>840040</t>
        </is>
      </c>
      <c r="D449" t="inlineStr">
        <is>
          <t>Erlöse Verkauf HW Schrott</t>
        </is>
      </c>
      <c r="E449" t="inlineStr">
        <is>
          <t>ERLOES</t>
        </is>
      </c>
      <c r="F449" t="inlineStr">
        <is>
          <t>Umsatzerlöse</t>
        </is>
      </c>
      <c r="G449" t="n">
        <v>0</v>
      </c>
      <c r="H449" t="n">
        <v>-22094.08</v>
      </c>
      <c r="I449" t="n">
        <v>22094.08</v>
      </c>
      <c r="J449" t="n">
        <v>0</v>
      </c>
      <c r="K449" t="n">
        <v>0</v>
      </c>
      <c r="L449" t="n">
        <v>0</v>
      </c>
      <c r="M449" t="n">
        <v>0</v>
      </c>
      <c r="N449" t="n">
        <v>6</v>
      </c>
    </row>
    <row r="450">
      <c r="A450" t="n">
        <v>2026</v>
      </c>
      <c r="B450" t="n">
        <v>5</v>
      </c>
      <c r="C450" t="inlineStr">
        <is>
          <t>860000</t>
        </is>
      </c>
      <c r="D450" t="inlineStr">
        <is>
          <t>Erlöse weiterberechnete Fremdkosten</t>
        </is>
      </c>
      <c r="E450" t="inlineStr">
        <is>
          <t>ERLOES</t>
        </is>
      </c>
      <c r="F450" t="inlineStr">
        <is>
          <t>Umsatzerlöse</t>
        </is>
      </c>
      <c r="G450" t="n">
        <v>0</v>
      </c>
      <c r="H450" t="n">
        <v>-3199.1</v>
      </c>
      <c r="I450" t="n">
        <v>3199.1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2026</v>
      </c>
      <c r="B451" t="n">
        <v>6</v>
      </c>
      <c r="C451" t="inlineStr">
        <is>
          <t>210000</t>
        </is>
      </c>
      <c r="D451" t="inlineStr">
        <is>
          <t>Übrige Zinsen und ähnliche Aufwendungen</t>
        </is>
      </c>
      <c r="E451" t="inlineStr">
        <is>
          <t>ZINSEN</t>
        </is>
      </c>
      <c r="F451" t="inlineStr">
        <is>
          <t>Zinsergebnis</t>
        </is>
      </c>
      <c r="G451" t="n">
        <v>9</v>
      </c>
      <c r="H451" t="n">
        <v>28.45</v>
      </c>
      <c r="I451" t="n">
        <v>0</v>
      </c>
      <c r="J451" t="n">
        <v>0</v>
      </c>
      <c r="K451" t="n">
        <v>0</v>
      </c>
      <c r="L451" t="n">
        <v>0</v>
      </c>
      <c r="M451" t="n">
        <v>28.45</v>
      </c>
      <c r="N451" t="n">
        <v>1</v>
      </c>
    </row>
    <row r="452">
      <c r="A452" t="n">
        <v>2026</v>
      </c>
      <c r="B452" t="n">
        <v>6</v>
      </c>
      <c r="C452" t="inlineStr">
        <is>
          <t>210900</t>
        </is>
      </c>
      <c r="D452" t="inlineStr">
        <is>
          <t>Zinsaufwendungen an verbundene Unternehm</t>
        </is>
      </c>
      <c r="E452" t="inlineStr">
        <is>
          <t>ZINSEN</t>
        </is>
      </c>
      <c r="F452" t="inlineStr">
        <is>
          <t>Zinsergebnis</t>
        </is>
      </c>
      <c r="G452" t="n">
        <v>9</v>
      </c>
      <c r="H452" t="n">
        <v>6.7</v>
      </c>
      <c r="I452" t="n">
        <v>0</v>
      </c>
      <c r="J452" t="n">
        <v>0</v>
      </c>
      <c r="K452" t="n">
        <v>0</v>
      </c>
      <c r="L452" t="n">
        <v>0</v>
      </c>
      <c r="M452" t="n">
        <v>6.7</v>
      </c>
      <c r="N452" t="n">
        <v>1</v>
      </c>
    </row>
    <row r="453">
      <c r="A453" t="n">
        <v>2026</v>
      </c>
      <c r="B453" t="n">
        <v>6</v>
      </c>
      <c r="C453" t="inlineStr">
        <is>
          <t>213101</t>
        </is>
      </c>
      <c r="D453" t="inlineStr">
        <is>
          <t>Zinsen Factoring</t>
        </is>
      </c>
      <c r="E453" t="inlineStr">
        <is>
          <t>ZINSEN</t>
        </is>
      </c>
      <c r="F453" t="inlineStr">
        <is>
          <t>Zinsergebnis</t>
        </is>
      </c>
      <c r="G453" t="n">
        <v>9</v>
      </c>
      <c r="H453" t="n">
        <v>2316.35</v>
      </c>
      <c r="I453" t="n">
        <v>0</v>
      </c>
      <c r="J453" t="n">
        <v>0</v>
      </c>
      <c r="K453" t="n">
        <v>0</v>
      </c>
      <c r="L453" t="n">
        <v>0</v>
      </c>
      <c r="M453" t="n">
        <v>2316.35</v>
      </c>
      <c r="N453" t="n">
        <v>1</v>
      </c>
    </row>
    <row r="454">
      <c r="A454" t="n">
        <v>2026</v>
      </c>
      <c r="B454" t="n">
        <v>6</v>
      </c>
      <c r="C454" t="inlineStr">
        <is>
          <t>220000</t>
        </is>
      </c>
      <c r="D454" t="inlineStr">
        <is>
          <t>Körperschaftsteuer</t>
        </is>
      </c>
      <c r="E454" t="inlineStr">
        <is>
          <t>STEUERN</t>
        </is>
      </c>
      <c r="F454" t="inlineStr">
        <is>
          <t>Sonstiges</t>
        </is>
      </c>
      <c r="G454" t="n">
        <v>9</v>
      </c>
      <c r="H454" t="n">
        <v>25796</v>
      </c>
      <c r="I454" t="n">
        <v>0</v>
      </c>
      <c r="J454" t="n">
        <v>0</v>
      </c>
      <c r="K454" t="n">
        <v>0</v>
      </c>
      <c r="L454" t="n">
        <v>0</v>
      </c>
      <c r="M454" t="n">
        <v>25796</v>
      </c>
      <c r="N454" t="n">
        <v>1</v>
      </c>
    </row>
    <row r="455">
      <c r="A455" t="n">
        <v>2026</v>
      </c>
      <c r="B455" t="n">
        <v>6</v>
      </c>
      <c r="C455" t="inlineStr">
        <is>
          <t>221200</t>
        </is>
      </c>
      <c r="D455" t="inlineStr">
        <is>
          <t>Solidaritätszuschlag</t>
        </is>
      </c>
      <c r="E455" t="inlineStr">
        <is>
          <t>STEUERN</t>
        </is>
      </c>
      <c r="F455" t="inlineStr">
        <is>
          <t>Sonstiges</t>
        </is>
      </c>
      <c r="G455" t="n">
        <v>9</v>
      </c>
      <c r="H455" t="n">
        <v>1418.78</v>
      </c>
      <c r="I455" t="n">
        <v>0</v>
      </c>
      <c r="J455" t="n">
        <v>0</v>
      </c>
      <c r="K455" t="n">
        <v>0</v>
      </c>
      <c r="L455" t="n">
        <v>0</v>
      </c>
      <c r="M455" t="n">
        <v>1418.78</v>
      </c>
      <c r="N455" t="n">
        <v>1</v>
      </c>
    </row>
    <row r="456">
      <c r="A456" t="n">
        <v>2026</v>
      </c>
      <c r="B456" t="n">
        <v>6</v>
      </c>
      <c r="C456" t="inlineStr">
        <is>
          <t>252000</t>
        </is>
      </c>
      <c r="D456" t="inlineStr">
        <is>
          <t>andere sonst.betriebl. Erträge</t>
        </is>
      </c>
      <c r="E456" t="inlineStr">
        <is>
          <t>SONSTIGER_ERTRAG</t>
        </is>
      </c>
      <c r="F456" t="inlineStr">
        <is>
          <t>Sonstige betriebliche Erträge</t>
        </is>
      </c>
      <c r="G456" t="n">
        <v>9</v>
      </c>
      <c r="H456" t="n">
        <v>-1.57</v>
      </c>
      <c r="I456" t="n">
        <v>0</v>
      </c>
      <c r="J456" t="n">
        <v>0</v>
      </c>
      <c r="K456" t="n">
        <v>0</v>
      </c>
      <c r="L456" t="n">
        <v>0</v>
      </c>
      <c r="M456" t="n">
        <v>-1.57</v>
      </c>
      <c r="N456" t="n">
        <v>1</v>
      </c>
    </row>
    <row r="457">
      <c r="A457" t="n">
        <v>2026</v>
      </c>
      <c r="B457" t="n">
        <v>6</v>
      </c>
      <c r="C457" t="inlineStr">
        <is>
          <t>289200</t>
        </is>
      </c>
      <c r="D457" t="inlineStr">
        <is>
          <t>Verr. kalk. Zinsen</t>
        </is>
      </c>
      <c r="E457" t="inlineStr">
        <is>
          <t>KALKULATORISCH</t>
        </is>
      </c>
      <c r="F457" t="inlineStr">
        <is>
          <t>Kalkulatorische Kosten</t>
        </is>
      </c>
      <c r="G457" t="n">
        <v>9</v>
      </c>
      <c r="H457" t="n">
        <v>-566</v>
      </c>
      <c r="I457" t="n">
        <v>0</v>
      </c>
      <c r="J457" t="n">
        <v>0</v>
      </c>
      <c r="K457" t="n">
        <v>0</v>
      </c>
      <c r="L457" t="n">
        <v>0</v>
      </c>
      <c r="M457" t="n">
        <v>-566</v>
      </c>
      <c r="N457" t="n">
        <v>23</v>
      </c>
    </row>
    <row r="458">
      <c r="A458" t="n">
        <v>2026</v>
      </c>
      <c r="B458" t="n">
        <v>6</v>
      </c>
      <c r="C458" t="inlineStr">
        <is>
          <t>289300</t>
        </is>
      </c>
      <c r="D458" t="inlineStr">
        <is>
          <t>Verr. kalk. Abschreibungen</t>
        </is>
      </c>
      <c r="E458" t="inlineStr">
        <is>
          <t>KALKULATORISCH</t>
        </is>
      </c>
      <c r="F458" t="inlineStr">
        <is>
          <t>Kalkulatorische Kosten</t>
        </is>
      </c>
      <c r="G458" t="n">
        <v>9</v>
      </c>
      <c r="H458" t="n">
        <v>-3160.96</v>
      </c>
      <c r="I458" t="n">
        <v>0</v>
      </c>
      <c r="J458" t="n">
        <v>0</v>
      </c>
      <c r="K458" t="n">
        <v>0</v>
      </c>
      <c r="L458" t="n">
        <v>0</v>
      </c>
      <c r="M458" t="n">
        <v>-3160.96</v>
      </c>
      <c r="N458" t="n">
        <v>26</v>
      </c>
    </row>
    <row r="459">
      <c r="A459" t="n">
        <v>2026</v>
      </c>
      <c r="B459" t="n">
        <v>6</v>
      </c>
      <c r="C459" t="inlineStr">
        <is>
          <t>310010</t>
        </is>
      </c>
      <c r="D459" t="inlineStr">
        <is>
          <t>Reinigungsmaterial</t>
        </is>
      </c>
      <c r="E459" t="inlineStr">
        <is>
          <t>MATERIAL</t>
        </is>
      </c>
      <c r="F459" t="inlineStr">
        <is>
          <t>Material und Fremdleistungen</t>
        </is>
      </c>
      <c r="G459" t="n">
        <v>1</v>
      </c>
      <c r="H459" t="n">
        <v>10.08</v>
      </c>
      <c r="I459" t="n">
        <v>0</v>
      </c>
      <c r="J459" t="n">
        <v>10.08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2026</v>
      </c>
      <c r="B460" t="n">
        <v>6</v>
      </c>
      <c r="C460" t="inlineStr">
        <is>
          <t>310900</t>
        </is>
      </c>
      <c r="D460" t="inlineStr">
        <is>
          <t>Sonstige Hilfs- und Betriebsstoffe</t>
        </is>
      </c>
      <c r="E460" t="inlineStr">
        <is>
          <t>MATERIAL</t>
        </is>
      </c>
      <c r="F460" t="inlineStr">
        <is>
          <t>Material und Fremdleistungen</t>
        </is>
      </c>
      <c r="G460" t="n">
        <v>1</v>
      </c>
      <c r="H460" t="n">
        <v>350</v>
      </c>
      <c r="I460" t="n">
        <v>0</v>
      </c>
      <c r="J460" t="n">
        <v>350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2026</v>
      </c>
      <c r="B461" t="n">
        <v>6</v>
      </c>
      <c r="C461" t="inlineStr">
        <is>
          <t>330900</t>
        </is>
      </c>
      <c r="D461" t="inlineStr">
        <is>
          <t>Erhaltene Skonti</t>
        </is>
      </c>
      <c r="E461" t="inlineStr">
        <is>
          <t>MATERIAL</t>
        </is>
      </c>
      <c r="F461" t="inlineStr">
        <is>
          <t>Material und Fremdleistungen</t>
        </is>
      </c>
      <c r="G461" t="n">
        <v>1</v>
      </c>
      <c r="H461" t="n">
        <v>-12597.36</v>
      </c>
      <c r="I461" t="n">
        <v>0</v>
      </c>
      <c r="J461" t="n">
        <v>-12597.36</v>
      </c>
      <c r="K461" t="n">
        <v>0</v>
      </c>
      <c r="L461" t="n">
        <v>0</v>
      </c>
      <c r="M461" t="n">
        <v>0</v>
      </c>
      <c r="N461" t="n">
        <v>29</v>
      </c>
    </row>
    <row r="462">
      <c r="A462" t="n">
        <v>2026</v>
      </c>
      <c r="B462" t="n">
        <v>6</v>
      </c>
      <c r="C462" t="inlineStr">
        <is>
          <t>340050</t>
        </is>
      </c>
      <c r="D462" t="inlineStr">
        <is>
          <t>Fremdleistungen Wartung/Pflege</t>
        </is>
      </c>
      <c r="E462" t="inlineStr">
        <is>
          <t>FREMDLEISTUNG</t>
        </is>
      </c>
      <c r="F462" t="inlineStr">
        <is>
          <t>Material und Fremdleistungen</t>
        </is>
      </c>
      <c r="G462" t="n">
        <v>1</v>
      </c>
      <c r="H462" t="n">
        <v>2110362.16</v>
      </c>
      <c r="I462" t="n">
        <v>0</v>
      </c>
      <c r="J462" t="n">
        <v>2110362.16</v>
      </c>
      <c r="K462" t="n">
        <v>0</v>
      </c>
      <c r="L462" t="n">
        <v>0</v>
      </c>
      <c r="M462" t="n">
        <v>0</v>
      </c>
      <c r="N462" t="n">
        <v>297</v>
      </c>
    </row>
    <row r="463">
      <c r="A463" t="n">
        <v>2026</v>
      </c>
      <c r="B463" t="n">
        <v>6</v>
      </c>
      <c r="C463" t="inlineStr">
        <is>
          <t>392000</t>
        </is>
      </c>
      <c r="D463" t="inlineStr">
        <is>
          <t>Bestandsveränderungen unfertige Erzeugni</t>
        </is>
      </c>
      <c r="E463" t="inlineStr">
        <is>
          <t>BESTANDSVERAENDERUNG</t>
        </is>
      </c>
      <c r="F463" t="inlineStr">
        <is>
          <t>Bestandsveränderung</t>
        </is>
      </c>
      <c r="G463" t="n">
        <v>0</v>
      </c>
      <c r="H463" t="n">
        <v>-314645.23</v>
      </c>
      <c r="I463" t="n">
        <v>314645.23</v>
      </c>
      <c r="J463" t="n">
        <v>0</v>
      </c>
      <c r="K463" t="n">
        <v>0</v>
      </c>
      <c r="L463" t="n">
        <v>0</v>
      </c>
      <c r="M463" t="n">
        <v>0</v>
      </c>
      <c r="N463" t="n">
        <v>18</v>
      </c>
    </row>
    <row r="464">
      <c r="A464" t="n">
        <v>2026</v>
      </c>
      <c r="B464" t="n">
        <v>6</v>
      </c>
      <c r="C464" t="inlineStr">
        <is>
          <t>400010</t>
        </is>
      </c>
      <c r="D464" t="inlineStr">
        <is>
          <t>Instandhaltung Lastkraftwagen</t>
        </is>
      </c>
      <c r="E464" t="inlineStr">
        <is>
          <t>FUHRPARK</t>
        </is>
      </c>
      <c r="F464" t="inlineStr">
        <is>
          <t>Fuhrpark</t>
        </is>
      </c>
      <c r="G464" t="n">
        <v>2</v>
      </c>
      <c r="H464" t="n">
        <v>75.63</v>
      </c>
      <c r="I464" t="n">
        <v>0</v>
      </c>
      <c r="J464" t="n">
        <v>0</v>
      </c>
      <c r="K464" t="n">
        <v>75.63</v>
      </c>
      <c r="L464" t="n">
        <v>0</v>
      </c>
      <c r="M464" t="n">
        <v>0</v>
      </c>
      <c r="N464" t="n">
        <v>1</v>
      </c>
    </row>
    <row r="465">
      <c r="A465" t="n">
        <v>2026</v>
      </c>
      <c r="B465" t="n">
        <v>6</v>
      </c>
      <c r="C465" t="inlineStr">
        <is>
          <t>400020</t>
        </is>
      </c>
      <c r="D465" t="inlineStr">
        <is>
          <t>Instandhaltung Personenkraftwagen</t>
        </is>
      </c>
      <c r="E465" t="inlineStr">
        <is>
          <t>FUHRPARK</t>
        </is>
      </c>
      <c r="F465" t="inlineStr">
        <is>
          <t>Fuhrpark</t>
        </is>
      </c>
      <c r="G465" t="n">
        <v>2</v>
      </c>
      <c r="H465" t="n">
        <v>917.65</v>
      </c>
      <c r="I465" t="n">
        <v>0</v>
      </c>
      <c r="J465" t="n">
        <v>0</v>
      </c>
      <c r="K465" t="n">
        <v>917.65</v>
      </c>
      <c r="L465" t="n">
        <v>0</v>
      </c>
      <c r="M465" t="n">
        <v>0</v>
      </c>
      <c r="N465" t="n">
        <v>1</v>
      </c>
    </row>
    <row r="466">
      <c r="A466" t="n">
        <v>2026</v>
      </c>
      <c r="B466" t="n">
        <v>6</v>
      </c>
      <c r="C466" t="inlineStr">
        <is>
          <t>400035</t>
        </is>
      </c>
      <c r="D466" t="inlineStr">
        <is>
          <t>Instandhaltung Miet-und Leasingfahrzeuge</t>
        </is>
      </c>
      <c r="E466" t="inlineStr">
        <is>
          <t>FUHRPARK</t>
        </is>
      </c>
      <c r="F466" t="inlineStr">
        <is>
          <t>Fuhrpark</t>
        </is>
      </c>
      <c r="G466" t="n">
        <v>2</v>
      </c>
      <c r="H466" t="n">
        <v>3281.27</v>
      </c>
      <c r="I466" t="n">
        <v>0</v>
      </c>
      <c r="J466" t="n">
        <v>0</v>
      </c>
      <c r="K466" t="n">
        <v>3281.27</v>
      </c>
      <c r="L466" t="n">
        <v>0</v>
      </c>
      <c r="M466" t="n">
        <v>0</v>
      </c>
      <c r="N466" t="n">
        <v>16</v>
      </c>
    </row>
    <row r="467">
      <c r="A467" t="n">
        <v>2026</v>
      </c>
      <c r="B467" t="n">
        <v>6</v>
      </c>
      <c r="C467" t="inlineStr">
        <is>
          <t>400122</t>
        </is>
      </c>
      <c r="D467" t="inlineStr">
        <is>
          <t>Leasing PKW</t>
        </is>
      </c>
      <c r="E467" t="inlineStr">
        <is>
          <t>FUHRPARK</t>
        </is>
      </c>
      <c r="F467" t="inlineStr">
        <is>
          <t>Fuhrpark</t>
        </is>
      </c>
      <c r="G467" t="n">
        <v>2</v>
      </c>
      <c r="H467" t="n">
        <v>12340.01</v>
      </c>
      <c r="I467" t="n">
        <v>0</v>
      </c>
      <c r="J467" t="n">
        <v>0</v>
      </c>
      <c r="K467" t="n">
        <v>12340.01</v>
      </c>
      <c r="L467" t="n">
        <v>0</v>
      </c>
      <c r="M467" t="n">
        <v>0</v>
      </c>
      <c r="N467" t="n">
        <v>19</v>
      </c>
    </row>
    <row r="468">
      <c r="A468" t="n">
        <v>2026</v>
      </c>
      <c r="B468" t="n">
        <v>6</v>
      </c>
      <c r="C468" t="inlineStr">
        <is>
          <t>401000</t>
        </is>
      </c>
      <c r="D468" t="inlineStr">
        <is>
          <t>Aufwand Diesel</t>
        </is>
      </c>
      <c r="E468" t="inlineStr">
        <is>
          <t>FUHRPARK</t>
        </is>
      </c>
      <c r="F468" t="inlineStr">
        <is>
          <t>Fuhrpark</t>
        </is>
      </c>
      <c r="G468" t="n">
        <v>1</v>
      </c>
      <c r="H468" t="n">
        <v>32497.39</v>
      </c>
      <c r="I468" t="n">
        <v>0</v>
      </c>
      <c r="J468" t="n">
        <v>32497.39</v>
      </c>
      <c r="K468" t="n">
        <v>0</v>
      </c>
      <c r="L468" t="n">
        <v>0</v>
      </c>
      <c r="M468" t="n">
        <v>0</v>
      </c>
      <c r="N468" t="n">
        <v>72</v>
      </c>
    </row>
    <row r="469">
      <c r="A469" t="n">
        <v>2026</v>
      </c>
      <c r="B469" t="n">
        <v>6</v>
      </c>
      <c r="C469" t="inlineStr">
        <is>
          <t>401010</t>
        </is>
      </c>
      <c r="D469" t="inlineStr">
        <is>
          <t>Benzin/Super</t>
        </is>
      </c>
      <c r="E469" t="inlineStr">
        <is>
          <t>FUHRPARK</t>
        </is>
      </c>
      <c r="F469" t="inlineStr">
        <is>
          <t>Fuhrpark</t>
        </is>
      </c>
      <c r="G469" t="n">
        <v>2</v>
      </c>
      <c r="H469" t="n">
        <v>42.03</v>
      </c>
      <c r="I469" t="n">
        <v>0</v>
      </c>
      <c r="J469" t="n">
        <v>0</v>
      </c>
      <c r="K469" t="n">
        <v>42.03</v>
      </c>
      <c r="L469" t="n">
        <v>0</v>
      </c>
      <c r="M469" t="n">
        <v>0</v>
      </c>
      <c r="N469" t="n">
        <v>1</v>
      </c>
    </row>
    <row r="470">
      <c r="A470" t="n">
        <v>2026</v>
      </c>
      <c r="B470" t="n">
        <v>6</v>
      </c>
      <c r="C470" t="inlineStr">
        <is>
          <t>401015</t>
        </is>
      </c>
      <c r="D470" t="inlineStr">
        <is>
          <t>Alternative Antriebe (u.a. Strom, Wasser</t>
        </is>
      </c>
      <c r="E470" t="inlineStr">
        <is>
          <t>FUHRPARK</t>
        </is>
      </c>
      <c r="F470" t="inlineStr">
        <is>
          <t>Fuhrpark</t>
        </is>
      </c>
      <c r="G470" t="n">
        <v>2</v>
      </c>
      <c r="H470" t="n">
        <v>106.29</v>
      </c>
      <c r="I470" t="n">
        <v>0</v>
      </c>
      <c r="J470" t="n">
        <v>0</v>
      </c>
      <c r="K470" t="n">
        <v>106.29</v>
      </c>
      <c r="L470" t="n">
        <v>0</v>
      </c>
      <c r="M470" t="n">
        <v>0</v>
      </c>
      <c r="N470" t="n">
        <v>3</v>
      </c>
    </row>
    <row r="471">
      <c r="A471" t="n">
        <v>2026</v>
      </c>
      <c r="B471" t="n">
        <v>6</v>
      </c>
      <c r="C471" t="inlineStr">
        <is>
          <t>401030</t>
        </is>
      </c>
      <c r="D471" t="inlineStr">
        <is>
          <t>Kfz-Steuern</t>
        </is>
      </c>
      <c r="E471" t="inlineStr">
        <is>
          <t>STEUERN</t>
        </is>
      </c>
      <c r="F471" t="inlineStr">
        <is>
          <t>Versicherungen, Mieten, Steuern</t>
        </is>
      </c>
      <c r="G471" t="n">
        <v>9</v>
      </c>
      <c r="H471" t="n">
        <v>802.4299999999999</v>
      </c>
      <c r="I471" t="n">
        <v>0</v>
      </c>
      <c r="J471" t="n">
        <v>0</v>
      </c>
      <c r="K471" t="n">
        <v>0</v>
      </c>
      <c r="L471" t="n">
        <v>0</v>
      </c>
      <c r="M471" t="n">
        <v>802.4299999999999</v>
      </c>
      <c r="N471" t="n">
        <v>20</v>
      </c>
    </row>
    <row r="472">
      <c r="A472" t="n">
        <v>2026</v>
      </c>
      <c r="B472" t="n">
        <v>6</v>
      </c>
      <c r="C472" t="inlineStr">
        <is>
          <t>401040</t>
        </is>
      </c>
      <c r="D472" t="inlineStr">
        <is>
          <t>Kfz-Versicherungen</t>
        </is>
      </c>
      <c r="E472" t="inlineStr">
        <is>
          <t>FUHRPARK</t>
        </is>
      </c>
      <c r="F472" t="inlineStr">
        <is>
          <t>Fuhrpark</t>
        </is>
      </c>
      <c r="G472" t="n">
        <v>2</v>
      </c>
      <c r="H472" t="n">
        <v>925.71</v>
      </c>
      <c r="I472" t="n">
        <v>0</v>
      </c>
      <c r="J472" t="n">
        <v>0</v>
      </c>
      <c r="K472" t="n">
        <v>925.71</v>
      </c>
      <c r="L472" t="n">
        <v>0</v>
      </c>
      <c r="M472" t="n">
        <v>0</v>
      </c>
      <c r="N472" t="n">
        <v>19</v>
      </c>
    </row>
    <row r="473">
      <c r="A473" t="n">
        <v>2026</v>
      </c>
      <c r="B473" t="n">
        <v>6</v>
      </c>
      <c r="C473" t="inlineStr">
        <is>
          <t>401050</t>
        </is>
      </c>
      <c r="D473" t="inlineStr">
        <is>
          <t>Autobahngebühren LKW</t>
        </is>
      </c>
      <c r="E473" t="inlineStr">
        <is>
          <t>FUHRPARK</t>
        </is>
      </c>
      <c r="F473" t="inlineStr">
        <is>
          <t>Fuhrpark</t>
        </is>
      </c>
      <c r="G473" t="n">
        <v>2</v>
      </c>
      <c r="H473" t="n">
        <v>815.79</v>
      </c>
      <c r="I473" t="n">
        <v>0</v>
      </c>
      <c r="J473" t="n">
        <v>0</v>
      </c>
      <c r="K473" t="n">
        <v>815.79</v>
      </c>
      <c r="L473" t="n">
        <v>0</v>
      </c>
      <c r="M473" t="n">
        <v>0</v>
      </c>
      <c r="N473" t="n">
        <v>3</v>
      </c>
    </row>
    <row r="474">
      <c r="A474" t="n">
        <v>2026</v>
      </c>
      <c r="B474" t="n">
        <v>6</v>
      </c>
      <c r="C474" t="inlineStr">
        <is>
          <t>410130</t>
        </is>
      </c>
      <c r="D474" t="inlineStr">
        <is>
          <t>Sonderzahlungen und Prämien Gehaltsempfä</t>
        </is>
      </c>
      <c r="E474" t="inlineStr">
        <is>
          <t>PERSONAL</t>
        </is>
      </c>
      <c r="F474" t="inlineStr">
        <is>
          <t>Personal</t>
        </is>
      </c>
      <c r="G474" t="n">
        <v>2</v>
      </c>
      <c r="H474" t="n">
        <v>12164</v>
      </c>
      <c r="I474" t="n">
        <v>0</v>
      </c>
      <c r="J474" t="n">
        <v>0</v>
      </c>
      <c r="K474" t="n">
        <v>12164</v>
      </c>
      <c r="L474" t="n">
        <v>0</v>
      </c>
      <c r="M474" t="n">
        <v>0</v>
      </c>
      <c r="N474" t="n">
        <v>4</v>
      </c>
    </row>
    <row r="475">
      <c r="A475" t="n">
        <v>2026</v>
      </c>
      <c r="B475" t="n">
        <v>6</v>
      </c>
      <c r="C475" t="inlineStr">
        <is>
          <t>411070</t>
        </is>
      </c>
      <c r="D475" t="inlineStr">
        <is>
          <t>Personalwerbung</t>
        </is>
      </c>
      <c r="E475" t="inlineStr">
        <is>
          <t>PERSONAL</t>
        </is>
      </c>
      <c r="F475" t="inlineStr">
        <is>
          <t>Personal</t>
        </is>
      </c>
      <c r="G475" t="n">
        <v>2</v>
      </c>
      <c r="H475" t="n">
        <v>3641</v>
      </c>
      <c r="I475" t="n">
        <v>0</v>
      </c>
      <c r="J475" t="n">
        <v>0</v>
      </c>
      <c r="K475" t="n">
        <v>3641</v>
      </c>
      <c r="L475" t="n">
        <v>0</v>
      </c>
      <c r="M475" t="n">
        <v>0</v>
      </c>
      <c r="N475" t="n">
        <v>6</v>
      </c>
    </row>
    <row r="476">
      <c r="A476" t="n">
        <v>2026</v>
      </c>
      <c r="B476" t="n">
        <v>6</v>
      </c>
      <c r="C476" t="inlineStr">
        <is>
          <t>411090</t>
        </is>
      </c>
      <c r="D476" t="inlineStr">
        <is>
          <t>Schulung und Ausbildung</t>
        </is>
      </c>
      <c r="E476" t="inlineStr">
        <is>
          <t>PERSONAL</t>
        </is>
      </c>
      <c r="F476" t="inlineStr">
        <is>
          <t>Personal</t>
        </is>
      </c>
      <c r="G476" t="n">
        <v>2</v>
      </c>
      <c r="H476" t="n">
        <v>2641</v>
      </c>
      <c r="I476" t="n">
        <v>0</v>
      </c>
      <c r="J476" t="n">
        <v>0</v>
      </c>
      <c r="K476" t="n">
        <v>2641</v>
      </c>
      <c r="L476" t="n">
        <v>0</v>
      </c>
      <c r="M476" t="n">
        <v>0</v>
      </c>
      <c r="N476" t="n">
        <v>2</v>
      </c>
    </row>
    <row r="477">
      <c r="A477" t="n">
        <v>2026</v>
      </c>
      <c r="B477" t="n">
        <v>6</v>
      </c>
      <c r="C477" t="inlineStr">
        <is>
          <t>411100</t>
        </is>
      </c>
      <c r="D477" t="inlineStr">
        <is>
          <t>Arbeitskleidung und Arbeitschutzbedarf</t>
        </is>
      </c>
      <c r="E477" t="inlineStr">
        <is>
          <t>PERSONAL</t>
        </is>
      </c>
      <c r="F477" t="inlineStr">
        <is>
          <t>Personal</t>
        </is>
      </c>
      <c r="G477" t="n">
        <v>2</v>
      </c>
      <c r="H477" t="n">
        <v>6057.77</v>
      </c>
      <c r="I477" t="n">
        <v>0</v>
      </c>
      <c r="J477" t="n">
        <v>0</v>
      </c>
      <c r="K477" t="n">
        <v>6057.77</v>
      </c>
      <c r="L477" t="n">
        <v>0</v>
      </c>
      <c r="M477" t="n">
        <v>0</v>
      </c>
      <c r="N477" t="n">
        <v>16</v>
      </c>
    </row>
    <row r="478">
      <c r="A478" t="n">
        <v>2026</v>
      </c>
      <c r="B478" t="n">
        <v>6</v>
      </c>
      <c r="C478" t="inlineStr">
        <is>
          <t>411900</t>
        </is>
      </c>
      <c r="D478" t="inlineStr">
        <is>
          <t>Sonstige Personalkosten</t>
        </is>
      </c>
      <c r="E478" t="inlineStr">
        <is>
          <t>PERSONAL</t>
        </is>
      </c>
      <c r="F478" t="inlineStr">
        <is>
          <t>Personal</t>
        </is>
      </c>
      <c r="G478" t="n">
        <v>2</v>
      </c>
      <c r="H478" t="n">
        <v>995.65</v>
      </c>
      <c r="I478" t="n">
        <v>0</v>
      </c>
      <c r="J478" t="n">
        <v>0</v>
      </c>
      <c r="K478" t="n">
        <v>995.65</v>
      </c>
      <c r="L478" t="n">
        <v>0</v>
      </c>
      <c r="M478" t="n">
        <v>0</v>
      </c>
      <c r="N478" t="n">
        <v>14</v>
      </c>
    </row>
    <row r="479">
      <c r="A479" t="n">
        <v>2026</v>
      </c>
      <c r="B479" t="n">
        <v>6</v>
      </c>
      <c r="C479" t="inlineStr">
        <is>
          <t>420012</t>
        </is>
      </c>
      <c r="D479" t="inlineStr">
        <is>
          <t>Sonstige Kosten Grundstücke und Gebäude</t>
        </is>
      </c>
      <c r="E479" t="inlineStr">
        <is>
          <t>RAUM_ANLAGEN</t>
        </is>
      </c>
      <c r="F479" t="inlineStr">
        <is>
          <t>Raum, Energie, Instandhaltung</t>
        </is>
      </c>
      <c r="G479" t="n">
        <v>2</v>
      </c>
      <c r="H479" t="n">
        <v>3041.92</v>
      </c>
      <c r="I479" t="n">
        <v>0</v>
      </c>
      <c r="J479" t="n">
        <v>0</v>
      </c>
      <c r="K479" t="n">
        <v>3041.92</v>
      </c>
      <c r="L479" t="n">
        <v>0</v>
      </c>
      <c r="M479" t="n">
        <v>0</v>
      </c>
      <c r="N479" t="n">
        <v>8</v>
      </c>
    </row>
    <row r="480">
      <c r="A480" t="n">
        <v>2026</v>
      </c>
      <c r="B480" t="n">
        <v>6</v>
      </c>
      <c r="C480" t="inlineStr">
        <is>
          <t>420021</t>
        </is>
      </c>
      <c r="D480" t="inlineStr">
        <is>
          <t>Raumpflege eigene Gebäude</t>
        </is>
      </c>
      <c r="E480" t="inlineStr">
        <is>
          <t>RAUM_ANLAGEN</t>
        </is>
      </c>
      <c r="F480" t="inlineStr">
        <is>
          <t>Raum, Energie, Instandhaltung</t>
        </is>
      </c>
      <c r="G480" t="n">
        <v>2</v>
      </c>
      <c r="H480" t="n">
        <v>267.99</v>
      </c>
      <c r="I480" t="n">
        <v>0</v>
      </c>
      <c r="J480" t="n">
        <v>0</v>
      </c>
      <c r="K480" t="n">
        <v>267.99</v>
      </c>
      <c r="L480" t="n">
        <v>0</v>
      </c>
      <c r="M480" t="n">
        <v>0</v>
      </c>
      <c r="N480" t="n">
        <v>1</v>
      </c>
    </row>
    <row r="481">
      <c r="A481" t="n">
        <v>2026</v>
      </c>
      <c r="B481" t="n">
        <v>6</v>
      </c>
      <c r="C481" t="inlineStr">
        <is>
          <t>420022</t>
        </is>
      </c>
      <c r="D481" t="inlineStr">
        <is>
          <t>Raumpflege fremde Gebäude</t>
        </is>
      </c>
      <c r="E481" t="inlineStr">
        <is>
          <t>RAUM_ANLAGEN</t>
        </is>
      </c>
      <c r="F481" t="inlineStr">
        <is>
          <t>Raum, Energie, Instandhaltung</t>
        </is>
      </c>
      <c r="G481" t="n">
        <v>2</v>
      </c>
      <c r="H481" t="n">
        <v>2395.09</v>
      </c>
      <c r="I481" t="n">
        <v>0</v>
      </c>
      <c r="J481" t="n">
        <v>0</v>
      </c>
      <c r="K481" t="n">
        <v>2395.09</v>
      </c>
      <c r="L481" t="n">
        <v>0</v>
      </c>
      <c r="M481" t="n">
        <v>0</v>
      </c>
      <c r="N481" t="n">
        <v>5</v>
      </c>
    </row>
    <row r="482">
      <c r="A482" t="n">
        <v>2026</v>
      </c>
      <c r="B482" t="n">
        <v>6</v>
      </c>
      <c r="C482" t="inlineStr">
        <is>
          <t>420030</t>
        </is>
      </c>
      <c r="D482" t="inlineStr">
        <is>
          <t>Aufwand Energie</t>
        </is>
      </c>
      <c r="E482" t="inlineStr">
        <is>
          <t>RAUM_ANLAGEN</t>
        </is>
      </c>
      <c r="F482" t="inlineStr">
        <is>
          <t>Raum, Energie, Instandhaltung</t>
        </is>
      </c>
      <c r="G482" t="n">
        <v>2</v>
      </c>
      <c r="H482" t="n">
        <v>223.42</v>
      </c>
      <c r="I482" t="n">
        <v>0</v>
      </c>
      <c r="J482" t="n">
        <v>0</v>
      </c>
      <c r="K482" t="n">
        <v>223.42</v>
      </c>
      <c r="L482" t="n">
        <v>0</v>
      </c>
      <c r="M482" t="n">
        <v>0</v>
      </c>
      <c r="N482" t="n">
        <v>4</v>
      </c>
    </row>
    <row r="483">
      <c r="A483" t="n">
        <v>2026</v>
      </c>
      <c r="B483" t="n">
        <v>6</v>
      </c>
      <c r="C483" t="inlineStr">
        <is>
          <t>420100</t>
        </is>
      </c>
      <c r="D483" t="inlineStr">
        <is>
          <t>Instandhaltung Betriebsausstattung</t>
        </is>
      </c>
      <c r="E483" t="inlineStr">
        <is>
          <t>RAUM_ANLAGEN</t>
        </is>
      </c>
      <c r="F483" t="inlineStr">
        <is>
          <t>Raum, Energie, Instandhaltung</t>
        </is>
      </c>
      <c r="G483" t="n">
        <v>2</v>
      </c>
      <c r="H483" t="n">
        <v>1247</v>
      </c>
      <c r="I483" t="n">
        <v>0</v>
      </c>
      <c r="J483" t="n">
        <v>0</v>
      </c>
      <c r="K483" t="n">
        <v>1247</v>
      </c>
      <c r="L483" t="n">
        <v>0</v>
      </c>
      <c r="M483" t="n">
        <v>0</v>
      </c>
      <c r="N483" t="n">
        <v>2</v>
      </c>
    </row>
    <row r="484">
      <c r="A484" t="n">
        <v>2026</v>
      </c>
      <c r="B484" t="n">
        <v>6</v>
      </c>
      <c r="C484" t="inlineStr">
        <is>
          <t>420400</t>
        </is>
      </c>
      <c r="D484" t="inlineStr">
        <is>
          <t>Instandhaltung Geschäftsausstattung</t>
        </is>
      </c>
      <c r="E484" t="inlineStr">
        <is>
          <t>RAUM_ANLAGEN</t>
        </is>
      </c>
      <c r="F484" t="inlineStr">
        <is>
          <t>Raum, Energie, Instandhaltung</t>
        </is>
      </c>
      <c r="G484" t="n">
        <v>2</v>
      </c>
      <c r="H484" t="n">
        <v>1201.5</v>
      </c>
      <c r="I484" t="n">
        <v>0</v>
      </c>
      <c r="J484" t="n">
        <v>0</v>
      </c>
      <c r="K484" t="n">
        <v>1201.5</v>
      </c>
      <c r="L484" t="n">
        <v>0</v>
      </c>
      <c r="M484" t="n">
        <v>0</v>
      </c>
      <c r="N484" t="n">
        <v>19</v>
      </c>
    </row>
    <row r="485">
      <c r="A485" t="n">
        <v>2026</v>
      </c>
      <c r="B485" t="n">
        <v>6</v>
      </c>
      <c r="C485" t="inlineStr">
        <is>
          <t>420600</t>
        </is>
      </c>
      <c r="D485" t="inlineStr">
        <is>
          <t>Werkstattbedarf (Kleinwerkzeuge b.100,-D</t>
        </is>
      </c>
      <c r="E485" t="inlineStr">
        <is>
          <t>RAUM_ANLAGEN</t>
        </is>
      </c>
      <c r="F485" t="inlineStr">
        <is>
          <t>Raum, Energie, Instandhaltung</t>
        </is>
      </c>
      <c r="G485" t="n">
        <v>2</v>
      </c>
      <c r="H485" t="n">
        <v>1264.4</v>
      </c>
      <c r="I485" t="n">
        <v>0</v>
      </c>
      <c r="J485" t="n">
        <v>0</v>
      </c>
      <c r="K485" t="n">
        <v>1264.4</v>
      </c>
      <c r="L485" t="n">
        <v>0</v>
      </c>
      <c r="M485" t="n">
        <v>0</v>
      </c>
      <c r="N485" t="n">
        <v>8</v>
      </c>
    </row>
    <row r="486">
      <c r="A486" t="n">
        <v>2026</v>
      </c>
      <c r="B486" t="n">
        <v>6</v>
      </c>
      <c r="C486" t="inlineStr">
        <is>
          <t>420700</t>
        </is>
      </c>
      <c r="D486" t="inlineStr">
        <is>
          <t>Verbrauch Hilfs- u. Betriebsstoffe</t>
        </is>
      </c>
      <c r="E486" t="inlineStr">
        <is>
          <t>RAUM_ANLAGEN</t>
        </is>
      </c>
      <c r="F486" t="inlineStr">
        <is>
          <t>Raum, Energie, Instandhaltung</t>
        </is>
      </c>
      <c r="G486" t="n">
        <v>2</v>
      </c>
      <c r="H486" t="n">
        <v>22709.05</v>
      </c>
      <c r="I486" t="n">
        <v>0</v>
      </c>
      <c r="J486" t="n">
        <v>0</v>
      </c>
      <c r="K486" t="n">
        <v>22709.05</v>
      </c>
      <c r="L486" t="n">
        <v>0</v>
      </c>
      <c r="M486" t="n">
        <v>0</v>
      </c>
      <c r="N486" t="n">
        <v>8</v>
      </c>
    </row>
    <row r="487">
      <c r="A487" t="n">
        <v>2026</v>
      </c>
      <c r="B487" t="n">
        <v>6</v>
      </c>
      <c r="C487" t="inlineStr">
        <is>
          <t>430110</t>
        </is>
      </c>
      <c r="D487" t="inlineStr">
        <is>
          <t>Aufwendungen für Versicherungsschäden</t>
        </is>
      </c>
      <c r="E487" t="inlineStr">
        <is>
          <t>VERSICHERUNG_MIETE</t>
        </is>
      </c>
      <c r="F487" t="inlineStr">
        <is>
          <t>Versicherungen, Mieten, Steuern</t>
        </is>
      </c>
      <c r="G487" t="n">
        <v>2</v>
      </c>
      <c r="H487" t="n">
        <v>2000</v>
      </c>
      <c r="I487" t="n">
        <v>0</v>
      </c>
      <c r="J487" t="n">
        <v>0</v>
      </c>
      <c r="K487" t="n">
        <v>2000</v>
      </c>
      <c r="L487" t="n">
        <v>0</v>
      </c>
      <c r="M487" t="n">
        <v>0</v>
      </c>
      <c r="N487" t="n">
        <v>6</v>
      </c>
    </row>
    <row r="488">
      <c r="A488" t="n">
        <v>2026</v>
      </c>
      <c r="B488" t="n">
        <v>6</v>
      </c>
      <c r="C488" t="inlineStr">
        <is>
          <t>430120</t>
        </is>
      </c>
      <c r="D488" t="inlineStr">
        <is>
          <t>Sonstige Versicherungen</t>
        </is>
      </c>
      <c r="E488" t="inlineStr">
        <is>
          <t>VERSICHERUNG_MIETE</t>
        </is>
      </c>
      <c r="F488" t="inlineStr">
        <is>
          <t>Versicherungen, Mieten, Steuern</t>
        </is>
      </c>
      <c r="G488" t="n">
        <v>2</v>
      </c>
      <c r="H488" t="n">
        <v>6418.91</v>
      </c>
      <c r="I488" t="n">
        <v>0</v>
      </c>
      <c r="J488" t="n">
        <v>0</v>
      </c>
      <c r="K488" t="n">
        <v>6418.91</v>
      </c>
      <c r="L488" t="n">
        <v>0</v>
      </c>
      <c r="M488" t="n">
        <v>0</v>
      </c>
      <c r="N488" t="n">
        <v>19</v>
      </c>
    </row>
    <row r="489">
      <c r="A489" t="n">
        <v>2026</v>
      </c>
      <c r="B489" t="n">
        <v>6</v>
      </c>
      <c r="C489" t="inlineStr">
        <is>
          <t>430121</t>
        </is>
      </c>
      <c r="D489" t="inlineStr">
        <is>
          <t>Warenkreditversicherung</t>
        </is>
      </c>
      <c r="E489" t="inlineStr">
        <is>
          <t>VERSICHERUNG_MIETE</t>
        </is>
      </c>
      <c r="F489" t="inlineStr">
        <is>
          <t>Versicherungen, Mieten, Steuern</t>
        </is>
      </c>
      <c r="G489" t="n">
        <v>2</v>
      </c>
      <c r="H489" t="n">
        <v>5932.78</v>
      </c>
      <c r="I489" t="n">
        <v>0</v>
      </c>
      <c r="J489" t="n">
        <v>0</v>
      </c>
      <c r="K489" t="n">
        <v>5932.78</v>
      </c>
      <c r="L489" t="n">
        <v>0</v>
      </c>
      <c r="M489" t="n">
        <v>0</v>
      </c>
      <c r="N489" t="n">
        <v>4</v>
      </c>
    </row>
    <row r="490">
      <c r="A490" t="n">
        <v>2026</v>
      </c>
      <c r="B490" t="n">
        <v>6</v>
      </c>
      <c r="C490" t="inlineStr">
        <is>
          <t>431010</t>
        </is>
      </c>
      <c r="D490" t="inlineStr">
        <is>
          <t>Mieten Räume</t>
        </is>
      </c>
      <c r="E490" t="inlineStr">
        <is>
          <t>VERSICHERUNG_MIETE</t>
        </is>
      </c>
      <c r="F490" t="inlineStr">
        <is>
          <t>Versicherungen, Mieten, Steuern</t>
        </is>
      </c>
      <c r="G490" t="n">
        <v>2</v>
      </c>
      <c r="H490" t="n">
        <v>9144.450000000001</v>
      </c>
      <c r="I490" t="n">
        <v>0</v>
      </c>
      <c r="J490" t="n">
        <v>0</v>
      </c>
      <c r="K490" t="n">
        <v>9144.450000000001</v>
      </c>
      <c r="L490" t="n">
        <v>0</v>
      </c>
      <c r="M490" t="n">
        <v>0</v>
      </c>
      <c r="N490" t="n">
        <v>8</v>
      </c>
    </row>
    <row r="491">
      <c r="A491" t="n">
        <v>2026</v>
      </c>
      <c r="B491" t="n">
        <v>6</v>
      </c>
      <c r="C491" t="inlineStr">
        <is>
          <t>431020</t>
        </is>
      </c>
      <c r="D491" t="inlineStr">
        <is>
          <t>Mieten Plätze</t>
        </is>
      </c>
      <c r="E491" t="inlineStr">
        <is>
          <t>VERSICHERUNG_MIETE</t>
        </is>
      </c>
      <c r="F491" t="inlineStr">
        <is>
          <t>Versicherungen, Mieten, Steuern</t>
        </is>
      </c>
      <c r="G491" t="n">
        <v>2</v>
      </c>
      <c r="H491" t="n">
        <v>4675.19</v>
      </c>
      <c r="I491" t="n">
        <v>0</v>
      </c>
      <c r="J491" t="n">
        <v>0</v>
      </c>
      <c r="K491" t="n">
        <v>4675.19</v>
      </c>
      <c r="L491" t="n">
        <v>0</v>
      </c>
      <c r="M491" t="n">
        <v>0</v>
      </c>
      <c r="N491" t="n">
        <v>12</v>
      </c>
    </row>
    <row r="492">
      <c r="A492" t="n">
        <v>2026</v>
      </c>
      <c r="B492" t="n">
        <v>6</v>
      </c>
      <c r="C492" t="inlineStr">
        <is>
          <t>431041</t>
        </is>
      </c>
      <c r="D492" t="inlineStr">
        <is>
          <t>Miete Behälter</t>
        </is>
      </c>
      <c r="E492" t="inlineStr">
        <is>
          <t>VERSICHERUNG_MIETE</t>
        </is>
      </c>
      <c r="F492" t="inlineStr">
        <is>
          <t>Versicherungen, Mieten, Steuern</t>
        </is>
      </c>
      <c r="G492" t="n">
        <v>2</v>
      </c>
      <c r="H492" t="n">
        <v>85.76000000000001</v>
      </c>
      <c r="I492" t="n">
        <v>0</v>
      </c>
      <c r="J492" t="n">
        <v>0</v>
      </c>
      <c r="K492" t="n">
        <v>85.76000000000001</v>
      </c>
      <c r="L492" t="n">
        <v>0</v>
      </c>
      <c r="M492" t="n">
        <v>0</v>
      </c>
      <c r="N492" t="n">
        <v>2</v>
      </c>
    </row>
    <row r="493">
      <c r="A493" t="n">
        <v>2026</v>
      </c>
      <c r="B493" t="n">
        <v>6</v>
      </c>
      <c r="C493" t="inlineStr">
        <is>
          <t>450010</t>
        </is>
      </c>
      <c r="D493" t="inlineStr">
        <is>
          <t>Reisekosten Betriebsangehörige</t>
        </is>
      </c>
      <c r="E493" t="inlineStr">
        <is>
          <t>REISE_WERBUNG</t>
        </is>
      </c>
      <c r="F493" t="inlineStr">
        <is>
          <t>Transport, Reise, Werbung</t>
        </is>
      </c>
      <c r="G493" t="n">
        <v>2</v>
      </c>
      <c r="H493" t="n">
        <v>1938.07</v>
      </c>
      <c r="I493" t="n">
        <v>0</v>
      </c>
      <c r="J493" t="n">
        <v>0</v>
      </c>
      <c r="K493" t="n">
        <v>1938.07</v>
      </c>
      <c r="L493" t="n">
        <v>0</v>
      </c>
      <c r="M493" t="n">
        <v>0</v>
      </c>
      <c r="N493" t="n">
        <v>30</v>
      </c>
    </row>
    <row r="494">
      <c r="A494" t="n">
        <v>2026</v>
      </c>
      <c r="B494" t="n">
        <v>6</v>
      </c>
      <c r="C494" t="inlineStr">
        <is>
          <t>450011</t>
        </is>
      </c>
      <c r="D494" t="inlineStr">
        <is>
          <t>Verpfl.mehraufwand (pauschal)</t>
        </is>
      </c>
      <c r="E494" t="inlineStr">
        <is>
          <t>REISE_WERBUNG</t>
        </is>
      </c>
      <c r="F494" t="inlineStr">
        <is>
          <t>Transport, Reise, Werbung</t>
        </is>
      </c>
      <c r="G494" t="n">
        <v>2</v>
      </c>
      <c r="H494" t="n">
        <v>168</v>
      </c>
      <c r="I494" t="n">
        <v>0</v>
      </c>
      <c r="J494" t="n">
        <v>0</v>
      </c>
      <c r="K494" t="n">
        <v>168</v>
      </c>
      <c r="L494" t="n">
        <v>0</v>
      </c>
      <c r="M494" t="n">
        <v>0</v>
      </c>
      <c r="N494" t="n">
        <v>3</v>
      </c>
    </row>
    <row r="495">
      <c r="A495" t="n">
        <v>2026</v>
      </c>
      <c r="B495" t="n">
        <v>6</v>
      </c>
      <c r="C495" t="inlineStr">
        <is>
          <t>450012</t>
        </is>
      </c>
      <c r="D495" t="inlineStr">
        <is>
          <t>Kilometergeld (pauschal)</t>
        </is>
      </c>
      <c r="E495" t="inlineStr">
        <is>
          <t>REISE_WERBUNG</t>
        </is>
      </c>
      <c r="F495" t="inlineStr">
        <is>
          <t>Transport, Reise, Werbung</t>
        </is>
      </c>
      <c r="G495" t="n">
        <v>2</v>
      </c>
      <c r="H495" t="n">
        <v>331.36</v>
      </c>
      <c r="I495" t="n">
        <v>0</v>
      </c>
      <c r="J495" t="n">
        <v>0</v>
      </c>
      <c r="K495" t="n">
        <v>331.36</v>
      </c>
      <c r="L495" t="n">
        <v>0</v>
      </c>
      <c r="M495" t="n">
        <v>0</v>
      </c>
      <c r="N495" t="n">
        <v>1</v>
      </c>
    </row>
    <row r="496">
      <c r="A496" t="n">
        <v>2026</v>
      </c>
      <c r="B496" t="n">
        <v>6</v>
      </c>
      <c r="C496" t="inlineStr">
        <is>
          <t>450013</t>
        </is>
      </c>
      <c r="D496" t="inlineStr">
        <is>
          <t>Kürzung Verpfleg.mehraufwand</t>
        </is>
      </c>
      <c r="E496" t="inlineStr">
        <is>
          <t>REISE_WERBUNG</t>
        </is>
      </c>
      <c r="F496" t="inlineStr">
        <is>
          <t>Transport, Reise, Werbung</t>
        </is>
      </c>
      <c r="G496" t="n">
        <v>2</v>
      </c>
      <c r="H496" t="n">
        <v>-22.4</v>
      </c>
      <c r="I496" t="n">
        <v>0</v>
      </c>
      <c r="J496" t="n">
        <v>0</v>
      </c>
      <c r="K496" t="n">
        <v>-22.4</v>
      </c>
      <c r="L496" t="n">
        <v>0</v>
      </c>
      <c r="M496" t="n">
        <v>0</v>
      </c>
      <c r="N496" t="n">
        <v>1</v>
      </c>
    </row>
    <row r="497">
      <c r="A497" t="n">
        <v>2026</v>
      </c>
      <c r="B497" t="n">
        <v>6</v>
      </c>
      <c r="C497" t="inlineStr">
        <is>
          <t>450030</t>
        </is>
      </c>
      <c r="D497" t="inlineStr">
        <is>
          <t>Bewirtung zu 100 % abzugsfähig</t>
        </is>
      </c>
      <c r="E497" t="inlineStr">
        <is>
          <t>REISE_WERBUNG</t>
        </is>
      </c>
      <c r="F497" t="inlineStr">
        <is>
          <t>Transport, Reise, Werbung</t>
        </is>
      </c>
      <c r="G497" t="n">
        <v>2</v>
      </c>
      <c r="H497" t="n">
        <v>580.04</v>
      </c>
      <c r="I497" t="n">
        <v>0</v>
      </c>
      <c r="J497" t="n">
        <v>0</v>
      </c>
      <c r="K497" t="n">
        <v>580.04</v>
      </c>
      <c r="L497" t="n">
        <v>0</v>
      </c>
      <c r="M497" t="n">
        <v>0</v>
      </c>
      <c r="N497" t="n">
        <v>23</v>
      </c>
    </row>
    <row r="498">
      <c r="A498" t="n">
        <v>2026</v>
      </c>
      <c r="B498" t="n">
        <v>6</v>
      </c>
      <c r="C498" t="inlineStr">
        <is>
          <t>450039</t>
        </is>
      </c>
      <c r="D498" t="inlineStr">
        <is>
          <t>Bewirtung zu 70 % abzugsfähig</t>
        </is>
      </c>
      <c r="E498" t="inlineStr">
        <is>
          <t>REISE_WERBUNG</t>
        </is>
      </c>
      <c r="F498" t="inlineStr">
        <is>
          <t>Transport, Reise, Werbung</t>
        </is>
      </c>
      <c r="G498" t="n">
        <v>2</v>
      </c>
      <c r="H498" t="n">
        <v>1233.53</v>
      </c>
      <c r="I498" t="n">
        <v>0</v>
      </c>
      <c r="J498" t="n">
        <v>0</v>
      </c>
      <c r="K498" t="n">
        <v>1233.53</v>
      </c>
      <c r="L498" t="n">
        <v>0</v>
      </c>
      <c r="M498" t="n">
        <v>0</v>
      </c>
      <c r="N498" t="n">
        <v>34</v>
      </c>
    </row>
    <row r="499">
      <c r="A499" t="n">
        <v>2026</v>
      </c>
      <c r="B499" t="n">
        <v>6</v>
      </c>
      <c r="C499" t="inlineStr">
        <is>
          <t>450061</t>
        </is>
      </c>
      <c r="D499" t="inlineStr">
        <is>
          <t>Geschenke Zuwend. &lt; Wertgrenze Dritte/Ar</t>
        </is>
      </c>
      <c r="E499" t="inlineStr">
        <is>
          <t>REISE_WERBUNG</t>
        </is>
      </c>
      <c r="F499" t="inlineStr">
        <is>
          <t>Transport, Reise, Werbung</t>
        </is>
      </c>
      <c r="G499" t="n">
        <v>2</v>
      </c>
      <c r="H499" t="n">
        <v>26.34</v>
      </c>
      <c r="I499" t="n">
        <v>0</v>
      </c>
      <c r="J499" t="n">
        <v>0</v>
      </c>
      <c r="K499" t="n">
        <v>26.34</v>
      </c>
      <c r="L499" t="n">
        <v>0</v>
      </c>
      <c r="M499" t="n">
        <v>0</v>
      </c>
      <c r="N499" t="n">
        <v>2</v>
      </c>
    </row>
    <row r="500">
      <c r="A500" t="n">
        <v>2026</v>
      </c>
      <c r="B500" t="n">
        <v>6</v>
      </c>
      <c r="C500" t="inlineStr">
        <is>
          <t>450080</t>
        </is>
      </c>
      <c r="D500" t="inlineStr">
        <is>
          <t>Werbung</t>
        </is>
      </c>
      <c r="E500" t="inlineStr">
        <is>
          <t>REISE_WERBUNG</t>
        </is>
      </c>
      <c r="F500" t="inlineStr">
        <is>
          <t>Transport, Reise, Werbung</t>
        </is>
      </c>
      <c r="G500" t="n">
        <v>2</v>
      </c>
      <c r="H500" t="n">
        <v>237</v>
      </c>
      <c r="I500" t="n">
        <v>0</v>
      </c>
      <c r="J500" t="n">
        <v>0</v>
      </c>
      <c r="K500" t="n">
        <v>237</v>
      </c>
      <c r="L500" t="n">
        <v>0</v>
      </c>
      <c r="M500" t="n">
        <v>0</v>
      </c>
      <c r="N500" t="n">
        <v>1</v>
      </c>
    </row>
    <row r="501">
      <c r="A501" t="n">
        <v>2026</v>
      </c>
      <c r="B501" t="n">
        <v>6</v>
      </c>
      <c r="C501" t="inlineStr">
        <is>
          <t>450081</t>
        </is>
      </c>
      <c r="D501" t="inlineStr">
        <is>
          <t>Sponsoring</t>
        </is>
      </c>
      <c r="E501" t="inlineStr">
        <is>
          <t>REISE_WERBUNG</t>
        </is>
      </c>
      <c r="F501" t="inlineStr">
        <is>
          <t>Transport, Reise, Werbung</t>
        </is>
      </c>
      <c r="G501" t="n">
        <v>2</v>
      </c>
      <c r="H501" t="n">
        <v>2000</v>
      </c>
      <c r="I501" t="n">
        <v>0</v>
      </c>
      <c r="J501" t="n">
        <v>0</v>
      </c>
      <c r="K501" t="n">
        <v>2000</v>
      </c>
      <c r="L501" t="n">
        <v>0</v>
      </c>
      <c r="M501" t="n">
        <v>0</v>
      </c>
      <c r="N501" t="n">
        <v>1</v>
      </c>
    </row>
    <row r="502">
      <c r="A502" t="n">
        <v>2026</v>
      </c>
      <c r="B502" t="n">
        <v>6</v>
      </c>
      <c r="C502" t="inlineStr">
        <is>
          <t>460010</t>
        </is>
      </c>
      <c r="D502" t="inlineStr">
        <is>
          <t>Büromaterial</t>
        </is>
      </c>
      <c r="E502" t="inlineStr">
        <is>
          <t>VERWALTUNG</t>
        </is>
      </c>
      <c r="F502" t="inlineStr">
        <is>
          <t>Verwaltung und Beratung</t>
        </is>
      </c>
      <c r="G502" t="n">
        <v>2</v>
      </c>
      <c r="H502" t="n">
        <v>1553.02</v>
      </c>
      <c r="I502" t="n">
        <v>0</v>
      </c>
      <c r="J502" t="n">
        <v>0</v>
      </c>
      <c r="K502" t="n">
        <v>1553.02</v>
      </c>
      <c r="L502" t="n">
        <v>0</v>
      </c>
      <c r="M502" t="n">
        <v>0</v>
      </c>
      <c r="N502" t="n">
        <v>17</v>
      </c>
    </row>
    <row r="503">
      <c r="A503" t="n">
        <v>2026</v>
      </c>
      <c r="B503" t="n">
        <v>6</v>
      </c>
      <c r="C503" t="inlineStr">
        <is>
          <t>460020</t>
        </is>
      </c>
      <c r="D503" t="inlineStr">
        <is>
          <t>Zeitungen, Zeitschrift.und Bücher</t>
        </is>
      </c>
      <c r="E503" t="inlineStr">
        <is>
          <t>VERWALTUNG</t>
        </is>
      </c>
      <c r="F503" t="inlineStr">
        <is>
          <t>Verwaltung und Beratung</t>
        </is>
      </c>
      <c r="G503" t="n">
        <v>2</v>
      </c>
      <c r="H503" t="n">
        <v>37.5</v>
      </c>
      <c r="I503" t="n">
        <v>0</v>
      </c>
      <c r="J503" t="n">
        <v>0</v>
      </c>
      <c r="K503" t="n">
        <v>37.5</v>
      </c>
      <c r="L503" t="n">
        <v>0</v>
      </c>
      <c r="M503" t="n">
        <v>0</v>
      </c>
      <c r="N503" t="n">
        <v>1</v>
      </c>
    </row>
    <row r="504">
      <c r="A504" t="n">
        <v>2026</v>
      </c>
      <c r="B504" t="n">
        <v>6</v>
      </c>
      <c r="C504" t="inlineStr">
        <is>
          <t>460030</t>
        </is>
      </c>
      <c r="D504" t="inlineStr">
        <is>
          <t>Telekommunikation</t>
        </is>
      </c>
      <c r="E504" t="inlineStr">
        <is>
          <t>VERWALTUNG</t>
        </is>
      </c>
      <c r="F504" t="inlineStr">
        <is>
          <t>Verwaltung und Beratung</t>
        </is>
      </c>
      <c r="G504" t="n">
        <v>2</v>
      </c>
      <c r="H504" t="n">
        <v>1758.6</v>
      </c>
      <c r="I504" t="n">
        <v>0</v>
      </c>
      <c r="J504" t="n">
        <v>0</v>
      </c>
      <c r="K504" t="n">
        <v>1758.6</v>
      </c>
      <c r="L504" t="n">
        <v>0</v>
      </c>
      <c r="M504" t="n">
        <v>0</v>
      </c>
      <c r="N504" t="n">
        <v>18</v>
      </c>
    </row>
    <row r="505">
      <c r="A505" t="n">
        <v>2026</v>
      </c>
      <c r="B505" t="n">
        <v>6</v>
      </c>
      <c r="C505" t="inlineStr">
        <is>
          <t>460040</t>
        </is>
      </c>
      <c r="D505" t="inlineStr">
        <is>
          <t>Portogebühren</t>
        </is>
      </c>
      <c r="E505" t="inlineStr">
        <is>
          <t>VERWALTUNG</t>
        </is>
      </c>
      <c r="F505" t="inlineStr">
        <is>
          <t>Verwaltung und Beratung</t>
        </is>
      </c>
      <c r="G505" t="n">
        <v>2</v>
      </c>
      <c r="H505" t="n">
        <v>163.34</v>
      </c>
      <c r="I505" t="n">
        <v>0</v>
      </c>
      <c r="J505" t="n">
        <v>0</v>
      </c>
      <c r="K505" t="n">
        <v>163.34</v>
      </c>
      <c r="L505" t="n">
        <v>0</v>
      </c>
      <c r="M505" t="n">
        <v>0</v>
      </c>
      <c r="N505" t="n">
        <v>8</v>
      </c>
    </row>
    <row r="506">
      <c r="A506" t="n">
        <v>2026</v>
      </c>
      <c r="B506" t="n">
        <v>6</v>
      </c>
      <c r="C506" t="inlineStr">
        <is>
          <t>460060</t>
        </is>
      </c>
      <c r="D506" t="inlineStr">
        <is>
          <t>Kosten EDV</t>
        </is>
      </c>
      <c r="E506" t="inlineStr">
        <is>
          <t>VERWALTUNG</t>
        </is>
      </c>
      <c r="F506" t="inlineStr">
        <is>
          <t>Verwaltung und Beratung</t>
        </is>
      </c>
      <c r="G506" t="n">
        <v>2</v>
      </c>
      <c r="H506" t="n">
        <v>5333.57</v>
      </c>
      <c r="I506" t="n">
        <v>0</v>
      </c>
      <c r="J506" t="n">
        <v>0</v>
      </c>
      <c r="K506" t="n">
        <v>5333.57</v>
      </c>
      <c r="L506" t="n">
        <v>0</v>
      </c>
      <c r="M506" t="n">
        <v>0</v>
      </c>
      <c r="N506" t="n">
        <v>6</v>
      </c>
    </row>
    <row r="507">
      <c r="A507" t="n">
        <v>2026</v>
      </c>
      <c r="B507" t="n">
        <v>6</v>
      </c>
      <c r="C507" t="inlineStr">
        <is>
          <t>460065</t>
        </is>
      </c>
      <c r="D507" t="inlineStr">
        <is>
          <t>IT Lizenzgebühren</t>
        </is>
      </c>
      <c r="E507" t="inlineStr">
        <is>
          <t>VERWALTUNG</t>
        </is>
      </c>
      <c r="F507" t="inlineStr">
        <is>
          <t>Verwaltung und Beratung</t>
        </is>
      </c>
      <c r="G507" t="n">
        <v>2</v>
      </c>
      <c r="H507" t="n">
        <v>2934.19</v>
      </c>
      <c r="I507" t="n">
        <v>0</v>
      </c>
      <c r="J507" t="n">
        <v>0</v>
      </c>
      <c r="K507" t="n">
        <v>2934.19</v>
      </c>
      <c r="L507" t="n">
        <v>0</v>
      </c>
      <c r="M507" t="n">
        <v>0</v>
      </c>
      <c r="N507" t="n">
        <v>4</v>
      </c>
    </row>
    <row r="508">
      <c r="A508" t="n">
        <v>2026</v>
      </c>
      <c r="B508" t="n">
        <v>6</v>
      </c>
      <c r="C508" t="inlineStr">
        <is>
          <t>460090</t>
        </is>
      </c>
      <c r="D508" t="inlineStr">
        <is>
          <t>Schreib- und Verwaltungsgebühren an Behö</t>
        </is>
      </c>
      <c r="E508" t="inlineStr">
        <is>
          <t>VERWALTUNG</t>
        </is>
      </c>
      <c r="F508" t="inlineStr">
        <is>
          <t>Verwaltung und Beratung</t>
        </is>
      </c>
      <c r="G508" t="n">
        <v>2</v>
      </c>
      <c r="H508" t="n">
        <v>504</v>
      </c>
      <c r="I508" t="n">
        <v>0</v>
      </c>
      <c r="J508" t="n">
        <v>0</v>
      </c>
      <c r="K508" t="n">
        <v>504</v>
      </c>
      <c r="L508" t="n">
        <v>0</v>
      </c>
      <c r="M508" t="n">
        <v>0</v>
      </c>
      <c r="N508" t="n">
        <v>3</v>
      </c>
    </row>
    <row r="509">
      <c r="A509" t="n">
        <v>2026</v>
      </c>
      <c r="B509" t="n">
        <v>6</v>
      </c>
      <c r="C509" t="inlineStr">
        <is>
          <t>460200</t>
        </is>
      </c>
      <c r="D509" t="inlineStr">
        <is>
          <t>Beiträge Fachtagungen</t>
        </is>
      </c>
      <c r="E509" t="inlineStr">
        <is>
          <t>VERWALTUNG</t>
        </is>
      </c>
      <c r="F509" t="inlineStr">
        <is>
          <t>Verwaltung und Beratung</t>
        </is>
      </c>
      <c r="G509" t="n">
        <v>2</v>
      </c>
      <c r="H509" t="n">
        <v>215</v>
      </c>
      <c r="I509" t="n">
        <v>0</v>
      </c>
      <c r="J509" t="n">
        <v>0</v>
      </c>
      <c r="K509" t="n">
        <v>215</v>
      </c>
      <c r="L509" t="n">
        <v>0</v>
      </c>
      <c r="M509" t="n">
        <v>0</v>
      </c>
      <c r="N509" t="n">
        <v>1</v>
      </c>
    </row>
    <row r="510">
      <c r="A510" t="n">
        <v>2026</v>
      </c>
      <c r="B510" t="n">
        <v>6</v>
      </c>
      <c r="C510" t="inlineStr">
        <is>
          <t>460900</t>
        </is>
      </c>
      <c r="D510" t="inlineStr">
        <is>
          <t>Sonstige Verwaltungskosten</t>
        </is>
      </c>
      <c r="E510" t="inlineStr">
        <is>
          <t>VERWALTUNG</t>
        </is>
      </c>
      <c r="F510" t="inlineStr">
        <is>
          <t>Verwaltung und Beratung</t>
        </is>
      </c>
      <c r="G510" t="n">
        <v>2</v>
      </c>
      <c r="H510" t="n">
        <v>1337.88</v>
      </c>
      <c r="I510" t="n">
        <v>0</v>
      </c>
      <c r="J510" t="n">
        <v>0</v>
      </c>
      <c r="K510" t="n">
        <v>1337.88</v>
      </c>
      <c r="L510" t="n">
        <v>0</v>
      </c>
      <c r="M510" t="n">
        <v>0</v>
      </c>
      <c r="N510" t="n">
        <v>8</v>
      </c>
    </row>
    <row r="511">
      <c r="A511" t="n">
        <v>2026</v>
      </c>
      <c r="B511" t="n">
        <v>6</v>
      </c>
      <c r="C511" t="inlineStr">
        <is>
          <t>470010</t>
        </is>
      </c>
      <c r="D511" t="inlineStr">
        <is>
          <t>Anwalts- und Gerichtskosten</t>
        </is>
      </c>
      <c r="E511" t="inlineStr">
        <is>
          <t>BERATUNG_UMLAGE</t>
        </is>
      </c>
      <c r="F511" t="inlineStr">
        <is>
          <t>Verwaltung und Beratung</t>
        </is>
      </c>
      <c r="G511" t="n">
        <v>2</v>
      </c>
      <c r="H511" t="n">
        <v>1530</v>
      </c>
      <c r="I511" t="n">
        <v>0</v>
      </c>
      <c r="J511" t="n">
        <v>0</v>
      </c>
      <c r="K511" t="n">
        <v>1530</v>
      </c>
      <c r="L511" t="n">
        <v>0</v>
      </c>
      <c r="M511" t="n">
        <v>0</v>
      </c>
      <c r="N511" t="n">
        <v>2</v>
      </c>
    </row>
    <row r="512">
      <c r="A512" t="n">
        <v>2026</v>
      </c>
      <c r="B512" t="n">
        <v>6</v>
      </c>
      <c r="C512" t="inlineStr">
        <is>
          <t>470020</t>
        </is>
      </c>
      <c r="D512" t="inlineStr">
        <is>
          <t>kaufm. Beratung und Buchführung</t>
        </is>
      </c>
      <c r="E512" t="inlineStr">
        <is>
          <t>BERATUNG_UMLAGE</t>
        </is>
      </c>
      <c r="F512" t="inlineStr">
        <is>
          <t>Verwaltung und Beratung</t>
        </is>
      </c>
      <c r="G512" t="n">
        <v>2</v>
      </c>
      <c r="H512" t="n">
        <v>11350</v>
      </c>
      <c r="I512" t="n">
        <v>0</v>
      </c>
      <c r="J512" t="n">
        <v>0</v>
      </c>
      <c r="K512" t="n">
        <v>11350</v>
      </c>
      <c r="L512" t="n">
        <v>0</v>
      </c>
      <c r="M512" t="n">
        <v>0</v>
      </c>
      <c r="N512" t="n">
        <v>6</v>
      </c>
    </row>
    <row r="513">
      <c r="A513" t="n">
        <v>2026</v>
      </c>
      <c r="B513" t="n">
        <v>6</v>
      </c>
      <c r="C513" t="inlineStr">
        <is>
          <t>470025</t>
        </is>
      </c>
      <c r="D513" t="inlineStr">
        <is>
          <t>Steuerberatungskosten</t>
        </is>
      </c>
      <c r="E513" t="inlineStr">
        <is>
          <t>BERATUNG_UMLAGE</t>
        </is>
      </c>
      <c r="F513" t="inlineStr">
        <is>
          <t>Verwaltung und Beratung</t>
        </is>
      </c>
      <c r="G513" t="n">
        <v>2</v>
      </c>
      <c r="H513" t="n">
        <v>9022.700000000001</v>
      </c>
      <c r="I513" t="n">
        <v>0</v>
      </c>
      <c r="J513" t="n">
        <v>0</v>
      </c>
      <c r="K513" t="n">
        <v>9022.700000000001</v>
      </c>
      <c r="L513" t="n">
        <v>0</v>
      </c>
      <c r="M513" t="n">
        <v>0</v>
      </c>
      <c r="N513" t="n">
        <v>2</v>
      </c>
    </row>
    <row r="514">
      <c r="A514" t="n">
        <v>2026</v>
      </c>
      <c r="B514" t="n">
        <v>6</v>
      </c>
      <c r="C514" t="inlineStr">
        <is>
          <t>470036</t>
        </is>
      </c>
      <c r="D514" t="inlineStr">
        <is>
          <t>Aufwendungen Umlage zentrale Verwaltung</t>
        </is>
      </c>
      <c r="E514" t="inlineStr">
        <is>
          <t>BERATUNG_UMLAGE</t>
        </is>
      </c>
      <c r="F514" t="inlineStr">
        <is>
          <t>Verwaltung und Beratung</t>
        </is>
      </c>
      <c r="G514" t="n">
        <v>2</v>
      </c>
      <c r="H514" t="n">
        <v>3752</v>
      </c>
      <c r="I514" t="n">
        <v>0</v>
      </c>
      <c r="J514" t="n">
        <v>0</v>
      </c>
      <c r="K514" t="n">
        <v>3752</v>
      </c>
      <c r="L514" t="n">
        <v>0</v>
      </c>
      <c r="M514" t="n">
        <v>0</v>
      </c>
      <c r="N514" t="n">
        <v>2</v>
      </c>
    </row>
    <row r="515">
      <c r="A515" t="n">
        <v>2026</v>
      </c>
      <c r="B515" t="n">
        <v>6</v>
      </c>
      <c r="C515" t="inlineStr">
        <is>
          <t>480100</t>
        </is>
      </c>
      <c r="D515" t="inlineStr">
        <is>
          <t>Normalabschreibung auf Anlagen</t>
        </is>
      </c>
      <c r="E515" t="inlineStr">
        <is>
          <t>ABSCHREIBUNG</t>
        </is>
      </c>
      <c r="F515" t="inlineStr">
        <is>
          <t>Abschreibungen</t>
        </is>
      </c>
      <c r="G515" t="n">
        <v>2</v>
      </c>
      <c r="H515" t="n">
        <v>2318.95</v>
      </c>
      <c r="I515" t="n">
        <v>0</v>
      </c>
      <c r="J515" t="n">
        <v>0</v>
      </c>
      <c r="K515" t="n">
        <v>2318.95</v>
      </c>
      <c r="L515" t="n">
        <v>0</v>
      </c>
      <c r="M515" t="n">
        <v>0</v>
      </c>
      <c r="N515" t="n">
        <v>14</v>
      </c>
    </row>
    <row r="516">
      <c r="A516" t="n">
        <v>2026</v>
      </c>
      <c r="B516" t="n">
        <v>6</v>
      </c>
      <c r="C516" t="inlineStr">
        <is>
          <t>480110</t>
        </is>
      </c>
      <c r="D516" t="inlineStr">
        <is>
          <t>Abschreibungen auf Anlagen (GWG)</t>
        </is>
      </c>
      <c r="E516" t="inlineStr">
        <is>
          <t>ABSCHREIBUNG</t>
        </is>
      </c>
      <c r="F516" t="inlineStr">
        <is>
          <t>Abschreibungen</t>
        </is>
      </c>
      <c r="G516" t="n">
        <v>2</v>
      </c>
      <c r="H516" t="n">
        <v>233.01</v>
      </c>
      <c r="I516" t="n">
        <v>0</v>
      </c>
      <c r="J516" t="n">
        <v>0</v>
      </c>
      <c r="K516" t="n">
        <v>233.01</v>
      </c>
      <c r="L516" t="n">
        <v>0</v>
      </c>
      <c r="M516" t="n">
        <v>0</v>
      </c>
      <c r="N516" t="n">
        <v>12</v>
      </c>
    </row>
    <row r="517">
      <c r="A517" t="n">
        <v>2026</v>
      </c>
      <c r="B517" t="n">
        <v>6</v>
      </c>
      <c r="C517" t="inlineStr">
        <is>
          <t>499200</t>
        </is>
      </c>
      <c r="D517" t="inlineStr">
        <is>
          <t>Kalk. Zinsen</t>
        </is>
      </c>
      <c r="E517" t="inlineStr">
        <is>
          <t>KALKULATORISCH</t>
        </is>
      </c>
      <c r="F517" t="inlineStr">
        <is>
          <t>Kalkulatorische Kosten</t>
        </is>
      </c>
      <c r="G517" t="n">
        <v>9</v>
      </c>
      <c r="H517" t="n">
        <v>566</v>
      </c>
      <c r="I517" t="n">
        <v>0</v>
      </c>
      <c r="J517" t="n">
        <v>0</v>
      </c>
      <c r="K517" t="n">
        <v>0</v>
      </c>
      <c r="L517" t="n">
        <v>0</v>
      </c>
      <c r="M517" t="n">
        <v>566</v>
      </c>
      <c r="N517" t="n">
        <v>23</v>
      </c>
    </row>
    <row r="518">
      <c r="A518" t="n">
        <v>2026</v>
      </c>
      <c r="B518" t="n">
        <v>6</v>
      </c>
      <c r="C518" t="inlineStr">
        <is>
          <t>499300</t>
        </is>
      </c>
      <c r="D518" t="inlineStr">
        <is>
          <t>Kalk. Abschreibungen</t>
        </is>
      </c>
      <c r="E518" t="inlineStr">
        <is>
          <t>KALKULATORISCH</t>
        </is>
      </c>
      <c r="F518" t="inlineStr">
        <is>
          <t>Kalkulatorische Kosten</t>
        </is>
      </c>
      <c r="G518" t="n">
        <v>9</v>
      </c>
      <c r="H518" t="n">
        <v>3160.96</v>
      </c>
      <c r="I518" t="n">
        <v>0</v>
      </c>
      <c r="J518" t="n">
        <v>0</v>
      </c>
      <c r="K518" t="n">
        <v>0</v>
      </c>
      <c r="L518" t="n">
        <v>0</v>
      </c>
      <c r="M518" t="n">
        <v>3160.96</v>
      </c>
      <c r="N518" t="n">
        <v>26</v>
      </c>
    </row>
    <row r="519">
      <c r="A519" t="n">
        <v>2026</v>
      </c>
      <c r="B519" t="n">
        <v>6</v>
      </c>
      <c r="C519" t="inlineStr">
        <is>
          <t>7611100</t>
        </is>
      </c>
      <c r="D519" t="inlineStr">
        <is>
          <t>Lohnverr. Gruppe1</t>
        </is>
      </c>
      <c r="E519" t="inlineStr">
        <is>
          <t>LOHNVERRECHNUNG</t>
        </is>
      </c>
      <c r="F519" t="inlineStr">
        <is>
          <t>Innerbetriebliche Verrechnung</t>
        </is>
      </c>
      <c r="G519" t="n">
        <v>1</v>
      </c>
      <c r="H519" t="n">
        <v>494</v>
      </c>
      <c r="I519" t="n">
        <v>0</v>
      </c>
      <c r="J519" t="n">
        <v>494</v>
      </c>
      <c r="K519" t="n">
        <v>0</v>
      </c>
      <c r="L519" t="n">
        <v>0</v>
      </c>
      <c r="M519" t="n">
        <v>0</v>
      </c>
      <c r="N519" t="n">
        <v>35</v>
      </c>
    </row>
    <row r="520">
      <c r="A520" t="n">
        <v>2026</v>
      </c>
      <c r="B520" t="n">
        <v>6</v>
      </c>
      <c r="C520" t="inlineStr">
        <is>
          <t>7611200</t>
        </is>
      </c>
      <c r="D520" t="inlineStr">
        <is>
          <t>Lohnverr. Gruppe 2</t>
        </is>
      </c>
      <c r="E520" t="inlineStr">
        <is>
          <t>LOHNVERRECHNUNG</t>
        </is>
      </c>
      <c r="F520" t="inlineStr">
        <is>
          <t>Innerbetriebliche Verrechnung</t>
        </is>
      </c>
      <c r="G520" t="n">
        <v>1</v>
      </c>
      <c r="H520" t="n">
        <v>99</v>
      </c>
      <c r="I520" t="n">
        <v>0</v>
      </c>
      <c r="J520" t="n">
        <v>99</v>
      </c>
      <c r="K520" t="n">
        <v>0</v>
      </c>
      <c r="L520" t="n">
        <v>0</v>
      </c>
      <c r="M520" t="n">
        <v>0</v>
      </c>
      <c r="N520" t="n">
        <v>43</v>
      </c>
    </row>
    <row r="521">
      <c r="A521" t="n">
        <v>2026</v>
      </c>
      <c r="B521" t="n">
        <v>6</v>
      </c>
      <c r="C521" t="inlineStr">
        <is>
          <t>7612000</t>
        </is>
      </c>
      <c r="D521" t="inlineStr">
        <is>
          <t>Verrechnung Geräte</t>
        </is>
      </c>
      <c r="E521" t="inlineStr">
        <is>
          <t>GERAETEVERRECHNUNG</t>
        </is>
      </c>
      <c r="F521" t="inlineStr">
        <is>
          <t>Innerbetriebliche Verrechnung</t>
        </is>
      </c>
      <c r="G521" t="n">
        <v>1</v>
      </c>
      <c r="H521" t="n">
        <v>690</v>
      </c>
      <c r="I521" t="n">
        <v>0</v>
      </c>
      <c r="J521" t="n">
        <v>690</v>
      </c>
      <c r="K521" t="n">
        <v>0</v>
      </c>
      <c r="L521" t="n">
        <v>0</v>
      </c>
      <c r="M521" t="n">
        <v>0</v>
      </c>
      <c r="N521" t="n">
        <v>150</v>
      </c>
    </row>
    <row r="522">
      <c r="A522" t="n">
        <v>2026</v>
      </c>
      <c r="B522" t="n">
        <v>6</v>
      </c>
      <c r="C522" t="inlineStr">
        <is>
          <t>7801020</t>
        </is>
      </c>
      <c r="D522" t="inlineStr">
        <is>
          <t>Gemeinkostenzuschläge 12 % TVF Altwert</t>
        </is>
      </c>
      <c r="E522" t="inlineStr">
        <is>
          <t>GEMEINKOSTENUMLAGE</t>
        </is>
      </c>
      <c r="F522" t="inlineStr">
        <is>
          <t>Innerbetriebliche Verrechnung</t>
        </is>
      </c>
      <c r="G522" t="n">
        <v>2</v>
      </c>
      <c r="H522" t="n">
        <v>-200446.31</v>
      </c>
      <c r="I522" t="n">
        <v>0</v>
      </c>
      <c r="J522" t="n">
        <v>0</v>
      </c>
      <c r="K522" t="n">
        <v>0</v>
      </c>
      <c r="L522" t="n">
        <v>-200446.31</v>
      </c>
      <c r="M522" t="n">
        <v>0</v>
      </c>
      <c r="N522" t="n">
        <v>135</v>
      </c>
    </row>
    <row r="523">
      <c r="A523" t="n">
        <v>2026</v>
      </c>
      <c r="B523" t="n">
        <v>6</v>
      </c>
      <c r="C523" t="inlineStr">
        <is>
          <t>830510</t>
        </is>
      </c>
      <c r="D523" t="inlineStr">
        <is>
          <t>Erlöse Abrisse/Demontagen</t>
        </is>
      </c>
      <c r="E523" t="inlineStr">
        <is>
          <t>ERLOES</t>
        </is>
      </c>
      <c r="F523" t="inlineStr">
        <is>
          <t>Umsatzerlöse</t>
        </is>
      </c>
      <c r="G523" t="n">
        <v>0</v>
      </c>
      <c r="H523" t="n">
        <v>-2435360.99</v>
      </c>
      <c r="I523" t="n">
        <v>2435360.99</v>
      </c>
      <c r="J523" t="n">
        <v>0</v>
      </c>
      <c r="K523" t="n">
        <v>0</v>
      </c>
      <c r="L523" t="n">
        <v>0</v>
      </c>
      <c r="M523" t="n">
        <v>0</v>
      </c>
      <c r="N523" t="n">
        <v>127</v>
      </c>
    </row>
    <row r="524">
      <c r="A524" t="n">
        <v>2026</v>
      </c>
      <c r="B524" t="n">
        <v>6</v>
      </c>
      <c r="C524" t="inlineStr">
        <is>
          <t>840040</t>
        </is>
      </c>
      <c r="D524" t="inlineStr">
        <is>
          <t>Erlöse Verkauf HW Schrott</t>
        </is>
      </c>
      <c r="E524" t="inlineStr">
        <is>
          <t>ERLOES</t>
        </is>
      </c>
      <c r="F524" t="inlineStr">
        <is>
          <t>Umsatzerlöse</t>
        </is>
      </c>
      <c r="G524" t="n">
        <v>0</v>
      </c>
      <c r="H524" t="n">
        <v>-37011.3</v>
      </c>
      <c r="I524" t="n">
        <v>37011.3</v>
      </c>
      <c r="J524" t="n">
        <v>0</v>
      </c>
      <c r="K524" t="n">
        <v>0</v>
      </c>
      <c r="L524" t="n">
        <v>0</v>
      </c>
      <c r="M524" t="n">
        <v>0</v>
      </c>
      <c r="N524" t="n">
        <v>13</v>
      </c>
    </row>
    <row r="525">
      <c r="A525" t="n">
        <v>2026</v>
      </c>
      <c r="B525" t="n">
        <v>6</v>
      </c>
      <c r="C525" t="inlineStr">
        <is>
          <t>860000</t>
        </is>
      </c>
      <c r="D525" t="inlineStr">
        <is>
          <t>Erlöse weiterberechnete Fremdkosten</t>
        </is>
      </c>
      <c r="E525" t="inlineStr">
        <is>
          <t>ERLOES</t>
        </is>
      </c>
      <c r="F525" t="inlineStr">
        <is>
          <t>Umsatzerlöse</t>
        </is>
      </c>
      <c r="G525" t="n">
        <v>0</v>
      </c>
      <c r="H525" t="n">
        <v>-9152.469999999999</v>
      </c>
      <c r="I525" t="n">
        <v>9152.469999999999</v>
      </c>
      <c r="J525" t="n">
        <v>0</v>
      </c>
      <c r="K525" t="n">
        <v>0</v>
      </c>
      <c r="L525" t="n">
        <v>0</v>
      </c>
      <c r="M525" t="n">
        <v>0</v>
      </c>
      <c r="N525" t="n">
        <v>5</v>
      </c>
    </row>
    <row r="526">
      <c r="A526" t="n">
        <v>2026</v>
      </c>
      <c r="B526" t="n">
        <v>6</v>
      </c>
      <c r="C526" t="inlineStr">
        <is>
          <t>890100</t>
        </is>
      </c>
      <c r="D526" t="inlineStr">
        <is>
          <t>Gewährte Skonti</t>
        </is>
      </c>
      <c r="E526" t="inlineStr">
        <is>
          <t>ERLOESSCHMAELERUNG</t>
        </is>
      </c>
      <c r="F526" t="inlineStr">
        <is>
          <t>Umsatzerlöse</t>
        </is>
      </c>
      <c r="G526" t="n">
        <v>0</v>
      </c>
      <c r="H526" t="n">
        <v>4172.39</v>
      </c>
      <c r="I526" t="n">
        <v>-4172.39</v>
      </c>
      <c r="J526" t="n">
        <v>0</v>
      </c>
      <c r="K526" t="n">
        <v>0</v>
      </c>
      <c r="L526" t="n">
        <v>0</v>
      </c>
      <c r="M526" t="n">
        <v>0</v>
      </c>
      <c r="N526" t="n">
        <v>7</v>
      </c>
    </row>
    <row r="527">
      <c r="A527" t="n">
        <v>2026</v>
      </c>
      <c r="B527" t="n">
        <v>6</v>
      </c>
      <c r="C527" t="inlineStr">
        <is>
          <t>890800</t>
        </is>
      </c>
      <c r="D527" t="inlineStr">
        <is>
          <t>Erlöse Zahlungsdifferenzen Debitoren</t>
        </is>
      </c>
      <c r="E527" t="inlineStr">
        <is>
          <t>ERLOES</t>
        </is>
      </c>
      <c r="F527" t="inlineStr">
        <is>
          <t>Umsatzerlöse</t>
        </is>
      </c>
      <c r="G527" t="n">
        <v>0</v>
      </c>
      <c r="H527" t="n">
        <v>-0.08</v>
      </c>
      <c r="I527" t="n">
        <v>0.08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2026</v>
      </c>
      <c r="B528" t="n">
        <v>7</v>
      </c>
      <c r="C528" t="inlineStr">
        <is>
          <t>201000</t>
        </is>
      </c>
      <c r="D528" t="inlineStr">
        <is>
          <t>Sonstige periodenfremde Aufwendungen</t>
        </is>
      </c>
      <c r="E528" t="inlineStr">
        <is>
          <t>NEUTRALER_AUFWAND</t>
        </is>
      </c>
      <c r="F528" t="inlineStr">
        <is>
          <t>Sonstiges</t>
        </is>
      </c>
      <c r="G528" t="n">
        <v>9</v>
      </c>
      <c r="H528" t="n">
        <v>18831</v>
      </c>
      <c r="I528" t="n">
        <v>0</v>
      </c>
      <c r="J528" t="n">
        <v>0</v>
      </c>
      <c r="K528" t="n">
        <v>0</v>
      </c>
      <c r="L528" t="n">
        <v>0</v>
      </c>
      <c r="M528" t="n">
        <v>18831</v>
      </c>
      <c r="N528" t="n">
        <v>2</v>
      </c>
    </row>
    <row r="529">
      <c r="A529" t="n">
        <v>2026</v>
      </c>
      <c r="B529" t="n">
        <v>7</v>
      </c>
      <c r="C529" t="inlineStr">
        <is>
          <t>210000</t>
        </is>
      </c>
      <c r="D529" t="inlineStr">
        <is>
          <t>Übrige Zinsen und ähnliche Aufwendungen</t>
        </is>
      </c>
      <c r="E529" t="inlineStr">
        <is>
          <t>ZINSEN</t>
        </is>
      </c>
      <c r="F529" t="inlineStr">
        <is>
          <t>Zinsergebnis</t>
        </is>
      </c>
      <c r="G529" t="n">
        <v>9</v>
      </c>
      <c r="H529" t="n">
        <v>-28.32</v>
      </c>
      <c r="I529" t="n">
        <v>0</v>
      </c>
      <c r="J529" t="n">
        <v>0</v>
      </c>
      <c r="K529" t="n">
        <v>0</v>
      </c>
      <c r="L529" t="n">
        <v>0</v>
      </c>
      <c r="M529" t="n">
        <v>-28.32</v>
      </c>
      <c r="N529" t="n">
        <v>2</v>
      </c>
    </row>
    <row r="530">
      <c r="A530" t="n">
        <v>2026</v>
      </c>
      <c r="B530" t="n">
        <v>7</v>
      </c>
      <c r="C530" t="inlineStr">
        <is>
          <t>213101</t>
        </is>
      </c>
      <c r="D530" t="inlineStr">
        <is>
          <t>Zinsen Factoring</t>
        </is>
      </c>
      <c r="E530" t="inlineStr">
        <is>
          <t>ZINSEN</t>
        </is>
      </c>
      <c r="F530" t="inlineStr">
        <is>
          <t>Zinsergebnis</t>
        </is>
      </c>
      <c r="G530" t="n">
        <v>9</v>
      </c>
      <c r="H530" t="n">
        <v>2937.34</v>
      </c>
      <c r="I530" t="n">
        <v>0</v>
      </c>
      <c r="J530" t="n">
        <v>0</v>
      </c>
      <c r="K530" t="n">
        <v>0</v>
      </c>
      <c r="L530" t="n">
        <v>0</v>
      </c>
      <c r="M530" t="n">
        <v>2937.34</v>
      </c>
      <c r="N530" t="n">
        <v>1</v>
      </c>
    </row>
    <row r="531">
      <c r="A531" t="n">
        <v>2026</v>
      </c>
      <c r="B531" t="n">
        <v>7</v>
      </c>
      <c r="C531" t="inlineStr">
        <is>
          <t>213200</t>
        </is>
      </c>
      <c r="D531" t="inlineStr">
        <is>
          <t>Avalgebühren und -provisionen</t>
        </is>
      </c>
      <c r="E531" t="inlineStr">
        <is>
          <t>ZINSEN</t>
        </is>
      </c>
      <c r="F531" t="inlineStr">
        <is>
          <t>Zinsergebnis</t>
        </is>
      </c>
      <c r="G531" t="n">
        <v>9</v>
      </c>
      <c r="H531" t="n">
        <v>433.28</v>
      </c>
      <c r="I531" t="n">
        <v>0</v>
      </c>
      <c r="J531" t="n">
        <v>0</v>
      </c>
      <c r="K531" t="n">
        <v>0</v>
      </c>
      <c r="L531" t="n">
        <v>0</v>
      </c>
      <c r="M531" t="n">
        <v>433.28</v>
      </c>
      <c r="N531" t="n">
        <v>1</v>
      </c>
    </row>
    <row r="532">
      <c r="A532" t="n">
        <v>2026</v>
      </c>
      <c r="B532" t="n">
        <v>7</v>
      </c>
      <c r="C532" t="inlineStr">
        <is>
          <t>252000</t>
        </is>
      </c>
      <c r="D532" t="inlineStr">
        <is>
          <t>andere sonst.betriebl. Erträge</t>
        </is>
      </c>
      <c r="E532" t="inlineStr">
        <is>
          <t>SONSTIGER_ERTRAG</t>
        </is>
      </c>
      <c r="F532" t="inlineStr">
        <is>
          <t>Sonstige betriebliche Erträge</t>
        </is>
      </c>
      <c r="G532" t="n">
        <v>9</v>
      </c>
      <c r="H532" t="n">
        <v>-5.35</v>
      </c>
      <c r="I532" t="n">
        <v>0</v>
      </c>
      <c r="J532" t="n">
        <v>0</v>
      </c>
      <c r="K532" t="n">
        <v>0</v>
      </c>
      <c r="L532" t="n">
        <v>0</v>
      </c>
      <c r="M532" t="n">
        <v>-5.35</v>
      </c>
      <c r="N532" t="n">
        <v>1</v>
      </c>
    </row>
    <row r="533">
      <c r="A533" t="n">
        <v>2026</v>
      </c>
      <c r="B533" t="n">
        <v>7</v>
      </c>
      <c r="C533" t="inlineStr">
        <is>
          <t>289200</t>
        </is>
      </c>
      <c r="D533" t="inlineStr">
        <is>
          <t>Verr. kalk. Zinsen</t>
        </is>
      </c>
      <c r="E533" t="inlineStr">
        <is>
          <t>KALKULATORISCH</t>
        </is>
      </c>
      <c r="F533" t="inlineStr">
        <is>
          <t>Kalkulatorische Kosten</t>
        </is>
      </c>
      <c r="G533" t="n">
        <v>9</v>
      </c>
      <c r="H533" t="n">
        <v>-704</v>
      </c>
      <c r="I533" t="n">
        <v>0</v>
      </c>
      <c r="J533" t="n">
        <v>0</v>
      </c>
      <c r="K533" t="n">
        <v>0</v>
      </c>
      <c r="L533" t="n">
        <v>0</v>
      </c>
      <c r="M533" t="n">
        <v>-704</v>
      </c>
      <c r="N533" t="n">
        <v>23</v>
      </c>
    </row>
    <row r="534">
      <c r="A534" t="n">
        <v>2026</v>
      </c>
      <c r="B534" t="n">
        <v>7</v>
      </c>
      <c r="C534" t="inlineStr">
        <is>
          <t>289300</t>
        </is>
      </c>
      <c r="D534" t="inlineStr">
        <is>
          <t>Verr. kalk. Abschreibungen</t>
        </is>
      </c>
      <c r="E534" t="inlineStr">
        <is>
          <t>KALKULATORISCH</t>
        </is>
      </c>
      <c r="F534" t="inlineStr">
        <is>
          <t>Kalkulatorische Kosten</t>
        </is>
      </c>
      <c r="G534" t="n">
        <v>9</v>
      </c>
      <c r="H534" t="n">
        <v>-3206.97</v>
      </c>
      <c r="I534" t="n">
        <v>0</v>
      </c>
      <c r="J534" t="n">
        <v>0</v>
      </c>
      <c r="K534" t="n">
        <v>0</v>
      </c>
      <c r="L534" t="n">
        <v>0</v>
      </c>
      <c r="M534" t="n">
        <v>-3206.97</v>
      </c>
      <c r="N534" t="n">
        <v>24</v>
      </c>
    </row>
    <row r="535">
      <c r="A535" t="n">
        <v>2026</v>
      </c>
      <c r="B535" t="n">
        <v>7</v>
      </c>
      <c r="C535" t="inlineStr">
        <is>
          <t>310080</t>
        </is>
      </c>
      <c r="D535" t="inlineStr">
        <is>
          <t>Technische Gase</t>
        </is>
      </c>
      <c r="E535" t="inlineStr">
        <is>
          <t>MATERIAL</t>
        </is>
      </c>
      <c r="F535" t="inlineStr">
        <is>
          <t>Material und Fremdleistungen</t>
        </is>
      </c>
      <c r="G535" t="n">
        <v>1</v>
      </c>
      <c r="H535" t="n">
        <v>2751.76</v>
      </c>
      <c r="I535" t="n">
        <v>0</v>
      </c>
      <c r="J535" t="n">
        <v>2751.76</v>
      </c>
      <c r="K535" t="n">
        <v>0</v>
      </c>
      <c r="L535" t="n">
        <v>0</v>
      </c>
      <c r="M535" t="n">
        <v>0</v>
      </c>
      <c r="N535" t="n">
        <v>2</v>
      </c>
    </row>
    <row r="536">
      <c r="A536" t="n">
        <v>2026</v>
      </c>
      <c r="B536" t="n">
        <v>7</v>
      </c>
      <c r="C536" t="inlineStr">
        <is>
          <t>330900</t>
        </is>
      </c>
      <c r="D536" t="inlineStr">
        <is>
          <t>Erhaltene Skonti</t>
        </is>
      </c>
      <c r="E536" t="inlineStr">
        <is>
          <t>MATERIAL</t>
        </is>
      </c>
      <c r="F536" t="inlineStr">
        <is>
          <t>Material und Fremdleistungen</t>
        </is>
      </c>
      <c r="G536" t="n">
        <v>1</v>
      </c>
      <c r="H536" t="n">
        <v>-17698.67</v>
      </c>
      <c r="I536" t="n">
        <v>0</v>
      </c>
      <c r="J536" t="n">
        <v>-17698.67</v>
      </c>
      <c r="K536" t="n">
        <v>0</v>
      </c>
      <c r="L536" t="n">
        <v>0</v>
      </c>
      <c r="M536" t="n">
        <v>0</v>
      </c>
      <c r="N536" t="n">
        <v>27</v>
      </c>
    </row>
    <row r="537">
      <c r="A537" t="n">
        <v>2026</v>
      </c>
      <c r="B537" t="n">
        <v>7</v>
      </c>
      <c r="C537" t="inlineStr">
        <is>
          <t>340050</t>
        </is>
      </c>
      <c r="D537" t="inlineStr">
        <is>
          <t>Fremdleistungen Wartung/Pflege</t>
        </is>
      </c>
      <c r="E537" t="inlineStr">
        <is>
          <t>FREMDLEISTUNG</t>
        </is>
      </c>
      <c r="F537" t="inlineStr">
        <is>
          <t>Material und Fremdleistungen</t>
        </is>
      </c>
      <c r="G537" t="n">
        <v>1</v>
      </c>
      <c r="H537" t="n">
        <v>1526869.61</v>
      </c>
      <c r="I537" t="n">
        <v>0</v>
      </c>
      <c r="J537" t="n">
        <v>1526869.61</v>
      </c>
      <c r="K537" t="n">
        <v>0</v>
      </c>
      <c r="L537" t="n">
        <v>0</v>
      </c>
      <c r="M537" t="n">
        <v>0</v>
      </c>
      <c r="N537" t="n">
        <v>362</v>
      </c>
    </row>
    <row r="538">
      <c r="A538" t="n">
        <v>2026</v>
      </c>
      <c r="B538" t="n">
        <v>7</v>
      </c>
      <c r="C538" t="inlineStr">
        <is>
          <t>392000</t>
        </is>
      </c>
      <c r="D538" t="inlineStr">
        <is>
          <t>Bestandsveränderungen unfertige Erzeugni</t>
        </is>
      </c>
      <c r="E538" t="inlineStr">
        <is>
          <t>BESTANDSVERAENDERUNG</t>
        </is>
      </c>
      <c r="F538" t="inlineStr">
        <is>
          <t>Bestandsveränderung</t>
        </is>
      </c>
      <c r="G538" t="n">
        <v>0</v>
      </c>
      <c r="H538" t="n">
        <v>-294716.46</v>
      </c>
      <c r="I538" t="n">
        <v>294716.46</v>
      </c>
      <c r="J538" t="n">
        <v>0</v>
      </c>
      <c r="K538" t="n">
        <v>0</v>
      </c>
      <c r="L538" t="n">
        <v>0</v>
      </c>
      <c r="M538" t="n">
        <v>0</v>
      </c>
      <c r="N538" t="n">
        <v>17</v>
      </c>
    </row>
    <row r="539">
      <c r="A539" t="n">
        <v>2026</v>
      </c>
      <c r="B539" t="n">
        <v>7</v>
      </c>
      <c r="C539" t="inlineStr">
        <is>
          <t>400011</t>
        </is>
      </c>
      <c r="D539" t="inlineStr">
        <is>
          <t>Reifenkosten</t>
        </is>
      </c>
      <c r="E539" t="inlineStr">
        <is>
          <t>FUHRPARK</t>
        </is>
      </c>
      <c r="F539" t="inlineStr">
        <is>
          <t>Fuhrpark</t>
        </is>
      </c>
      <c r="G539" t="n">
        <v>2</v>
      </c>
      <c r="H539" t="n">
        <v>138.66</v>
      </c>
      <c r="I539" t="n">
        <v>0</v>
      </c>
      <c r="J539" t="n">
        <v>0</v>
      </c>
      <c r="K539" t="n">
        <v>138.66</v>
      </c>
      <c r="L539" t="n">
        <v>0</v>
      </c>
      <c r="M539" t="n">
        <v>0</v>
      </c>
      <c r="N539" t="n">
        <v>3</v>
      </c>
    </row>
    <row r="540">
      <c r="A540" t="n">
        <v>2026</v>
      </c>
      <c r="B540" t="n">
        <v>7</v>
      </c>
      <c r="C540" t="inlineStr">
        <is>
          <t>400020</t>
        </is>
      </c>
      <c r="D540" t="inlineStr">
        <is>
          <t>Instandhaltung Personenkraftwagen</t>
        </is>
      </c>
      <c r="E540" t="inlineStr">
        <is>
          <t>FUHRPARK</t>
        </is>
      </c>
      <c r="F540" t="inlineStr">
        <is>
          <t>Fuhrpark</t>
        </is>
      </c>
      <c r="G540" t="n">
        <v>2</v>
      </c>
      <c r="H540" t="n">
        <v>13.32</v>
      </c>
      <c r="I540" t="n">
        <v>0</v>
      </c>
      <c r="J540" t="n">
        <v>0</v>
      </c>
      <c r="K540" t="n">
        <v>13.32</v>
      </c>
      <c r="L540" t="n">
        <v>0</v>
      </c>
      <c r="M540" t="n">
        <v>0</v>
      </c>
      <c r="N540" t="n">
        <v>1</v>
      </c>
    </row>
    <row r="541">
      <c r="A541" t="n">
        <v>2026</v>
      </c>
      <c r="B541" t="n">
        <v>7</v>
      </c>
      <c r="C541" t="inlineStr">
        <is>
          <t>400035</t>
        </is>
      </c>
      <c r="D541" t="inlineStr">
        <is>
          <t>Instandhaltung Miet-und Leasingfahrzeuge</t>
        </is>
      </c>
      <c r="E541" t="inlineStr">
        <is>
          <t>FUHRPARK</t>
        </is>
      </c>
      <c r="F541" t="inlineStr">
        <is>
          <t>Fuhrpark</t>
        </is>
      </c>
      <c r="G541" t="n">
        <v>2</v>
      </c>
      <c r="H541" t="n">
        <v>1757.8</v>
      </c>
      <c r="I541" t="n">
        <v>0</v>
      </c>
      <c r="J541" t="n">
        <v>0</v>
      </c>
      <c r="K541" t="n">
        <v>1757.8</v>
      </c>
      <c r="L541" t="n">
        <v>0</v>
      </c>
      <c r="M541" t="n">
        <v>0</v>
      </c>
      <c r="N541" t="n">
        <v>16</v>
      </c>
    </row>
    <row r="542">
      <c r="A542" t="n">
        <v>2026</v>
      </c>
      <c r="B542" t="n">
        <v>7</v>
      </c>
      <c r="C542" t="inlineStr">
        <is>
          <t>400121</t>
        </is>
      </c>
      <c r="D542" t="inlineStr">
        <is>
          <t>Anmietung PKW</t>
        </is>
      </c>
      <c r="E542" t="inlineStr">
        <is>
          <t>FUHRPARK</t>
        </is>
      </c>
      <c r="F542" t="inlineStr">
        <is>
          <t>Fuhrpark</t>
        </is>
      </c>
      <c r="G542" t="n">
        <v>2</v>
      </c>
      <c r="H542" t="n">
        <v>2651.93</v>
      </c>
      <c r="I542" t="n">
        <v>0</v>
      </c>
      <c r="J542" t="n">
        <v>0</v>
      </c>
      <c r="K542" t="n">
        <v>2651.93</v>
      </c>
      <c r="L542" t="n">
        <v>0</v>
      </c>
      <c r="M542" t="n">
        <v>0</v>
      </c>
      <c r="N542" t="n">
        <v>4</v>
      </c>
    </row>
    <row r="543">
      <c r="A543" t="n">
        <v>2026</v>
      </c>
      <c r="B543" t="n">
        <v>7</v>
      </c>
      <c r="C543" t="inlineStr">
        <is>
          <t>400122</t>
        </is>
      </c>
      <c r="D543" t="inlineStr">
        <is>
          <t>Leasing PKW</t>
        </is>
      </c>
      <c r="E543" t="inlineStr">
        <is>
          <t>FUHRPARK</t>
        </is>
      </c>
      <c r="F543" t="inlineStr">
        <is>
          <t>Fuhrpark</t>
        </is>
      </c>
      <c r="G543" t="n">
        <v>2</v>
      </c>
      <c r="H543" t="n">
        <v>12269.46</v>
      </c>
      <c r="I543" t="n">
        <v>0</v>
      </c>
      <c r="J543" t="n">
        <v>0</v>
      </c>
      <c r="K543" t="n">
        <v>12269.46</v>
      </c>
      <c r="L543" t="n">
        <v>0</v>
      </c>
      <c r="M543" t="n">
        <v>0</v>
      </c>
      <c r="N543" t="n">
        <v>21</v>
      </c>
    </row>
    <row r="544">
      <c r="A544" t="n">
        <v>2026</v>
      </c>
      <c r="B544" t="n">
        <v>7</v>
      </c>
      <c r="C544" t="inlineStr">
        <is>
          <t>401000</t>
        </is>
      </c>
      <c r="D544" t="inlineStr">
        <is>
          <t>Aufwand Diesel</t>
        </is>
      </c>
      <c r="E544" t="inlineStr">
        <is>
          <t>FUHRPARK</t>
        </is>
      </c>
      <c r="F544" t="inlineStr">
        <is>
          <t>Fuhrpark</t>
        </is>
      </c>
      <c r="G544" t="n">
        <v>1</v>
      </c>
      <c r="H544" t="n">
        <v>33513.64</v>
      </c>
      <c r="I544" t="n">
        <v>0</v>
      </c>
      <c r="J544" t="n">
        <v>33513.64</v>
      </c>
      <c r="K544" t="n">
        <v>0</v>
      </c>
      <c r="L544" t="n">
        <v>0</v>
      </c>
      <c r="M544" t="n">
        <v>0</v>
      </c>
      <c r="N544" t="n">
        <v>66</v>
      </c>
    </row>
    <row r="545">
      <c r="A545" t="n">
        <v>2026</v>
      </c>
      <c r="B545" t="n">
        <v>7</v>
      </c>
      <c r="C545" t="inlineStr">
        <is>
          <t>401015</t>
        </is>
      </c>
      <c r="D545" t="inlineStr">
        <is>
          <t>Alternative Antriebe (u.a. Strom, Wasser</t>
        </is>
      </c>
      <c r="E545" t="inlineStr">
        <is>
          <t>FUHRPARK</t>
        </is>
      </c>
      <c r="F545" t="inlineStr">
        <is>
          <t>Fuhrpark</t>
        </is>
      </c>
      <c r="G545" t="n">
        <v>2</v>
      </c>
      <c r="H545" t="n">
        <v>244.28</v>
      </c>
      <c r="I545" t="n">
        <v>0</v>
      </c>
      <c r="J545" t="n">
        <v>0</v>
      </c>
      <c r="K545" t="n">
        <v>244.28</v>
      </c>
      <c r="L545" t="n">
        <v>0</v>
      </c>
      <c r="M545" t="n">
        <v>0</v>
      </c>
      <c r="N545" t="n">
        <v>4</v>
      </c>
    </row>
    <row r="546">
      <c r="A546" t="n">
        <v>2026</v>
      </c>
      <c r="B546" t="n">
        <v>7</v>
      </c>
      <c r="C546" t="inlineStr">
        <is>
          <t>401030</t>
        </is>
      </c>
      <c r="D546" t="inlineStr">
        <is>
          <t>Kfz-Steuern</t>
        </is>
      </c>
      <c r="E546" t="inlineStr">
        <is>
          <t>STEUERN</t>
        </is>
      </c>
      <c r="F546" t="inlineStr">
        <is>
          <t>Versicherungen, Mieten, Steuern</t>
        </is>
      </c>
      <c r="G546" t="n">
        <v>9</v>
      </c>
      <c r="H546" t="n">
        <v>44.35</v>
      </c>
      <c r="I546" t="n">
        <v>0</v>
      </c>
      <c r="J546" t="n">
        <v>0</v>
      </c>
      <c r="K546" t="n">
        <v>0</v>
      </c>
      <c r="L546" t="n">
        <v>0</v>
      </c>
      <c r="M546" t="n">
        <v>44.35</v>
      </c>
      <c r="N546" t="n">
        <v>11</v>
      </c>
    </row>
    <row r="547">
      <c r="A547" t="n">
        <v>2026</v>
      </c>
      <c r="B547" t="n">
        <v>7</v>
      </c>
      <c r="C547" t="inlineStr">
        <is>
          <t>401040</t>
        </is>
      </c>
      <c r="D547" t="inlineStr">
        <is>
          <t>Kfz-Versicherungen</t>
        </is>
      </c>
      <c r="E547" t="inlineStr">
        <is>
          <t>FUHRPARK</t>
        </is>
      </c>
      <c r="F547" t="inlineStr">
        <is>
          <t>Fuhrpark</t>
        </is>
      </c>
      <c r="G547" t="n">
        <v>2</v>
      </c>
      <c r="H547" t="n">
        <v>925.71</v>
      </c>
      <c r="I547" t="n">
        <v>0</v>
      </c>
      <c r="J547" t="n">
        <v>0</v>
      </c>
      <c r="K547" t="n">
        <v>925.71</v>
      </c>
      <c r="L547" t="n">
        <v>0</v>
      </c>
      <c r="M547" t="n">
        <v>0</v>
      </c>
      <c r="N547" t="n">
        <v>19</v>
      </c>
    </row>
    <row r="548">
      <c r="A548" t="n">
        <v>2026</v>
      </c>
      <c r="B548" t="n">
        <v>7</v>
      </c>
      <c r="C548" t="inlineStr">
        <is>
          <t>401050</t>
        </is>
      </c>
      <c r="D548" t="inlineStr">
        <is>
          <t>Autobahngebühren LKW</t>
        </is>
      </c>
      <c r="E548" t="inlineStr">
        <is>
          <t>FUHRPARK</t>
        </is>
      </c>
      <c r="F548" t="inlineStr">
        <is>
          <t>Fuhrpark</t>
        </is>
      </c>
      <c r="G548" t="n">
        <v>2</v>
      </c>
      <c r="H548" t="n">
        <v>1556.17</v>
      </c>
      <c r="I548" t="n">
        <v>0</v>
      </c>
      <c r="J548" t="n">
        <v>0</v>
      </c>
      <c r="K548" t="n">
        <v>1556.17</v>
      </c>
      <c r="L548" t="n">
        <v>0</v>
      </c>
      <c r="M548" t="n">
        <v>0</v>
      </c>
      <c r="N548" t="n">
        <v>3</v>
      </c>
    </row>
    <row r="549">
      <c r="A549" t="n">
        <v>2026</v>
      </c>
      <c r="B549" t="n">
        <v>7</v>
      </c>
      <c r="C549" t="inlineStr">
        <is>
          <t>410130</t>
        </is>
      </c>
      <c r="D549" t="inlineStr">
        <is>
          <t>Sonderzahlungen und Prämien Gehaltsempfä</t>
        </is>
      </c>
      <c r="E549" t="inlineStr">
        <is>
          <t>PERSONAL</t>
        </is>
      </c>
      <c r="F549" t="inlineStr">
        <is>
          <t>Personal</t>
        </is>
      </c>
      <c r="G549" t="n">
        <v>2</v>
      </c>
      <c r="H549" t="n">
        <v>7372</v>
      </c>
      <c r="I549" t="n">
        <v>0</v>
      </c>
      <c r="J549" t="n">
        <v>0</v>
      </c>
      <c r="K549" t="n">
        <v>7372</v>
      </c>
      <c r="L549" t="n">
        <v>0</v>
      </c>
      <c r="M549" t="n">
        <v>0</v>
      </c>
      <c r="N549" t="n">
        <v>4</v>
      </c>
    </row>
    <row r="550">
      <c r="A550" t="n">
        <v>2026</v>
      </c>
      <c r="B550" t="n">
        <v>7</v>
      </c>
      <c r="C550" t="inlineStr">
        <is>
          <t>411070</t>
        </is>
      </c>
      <c r="D550" t="inlineStr">
        <is>
          <t>Personalwerbung</t>
        </is>
      </c>
      <c r="E550" t="inlineStr">
        <is>
          <t>PERSONAL</t>
        </is>
      </c>
      <c r="F550" t="inlineStr">
        <is>
          <t>Personal</t>
        </is>
      </c>
      <c r="G550" t="n">
        <v>2</v>
      </c>
      <c r="H550" t="n">
        <v>2125.17</v>
      </c>
      <c r="I550" t="n">
        <v>0</v>
      </c>
      <c r="J550" t="n">
        <v>0</v>
      </c>
      <c r="K550" t="n">
        <v>2125.17</v>
      </c>
      <c r="L550" t="n">
        <v>0</v>
      </c>
      <c r="M550" t="n">
        <v>0</v>
      </c>
      <c r="N550" t="n">
        <v>2</v>
      </c>
    </row>
    <row r="551">
      <c r="A551" t="n">
        <v>2026</v>
      </c>
      <c r="B551" t="n">
        <v>7</v>
      </c>
      <c r="C551" t="inlineStr">
        <is>
          <t>411090</t>
        </is>
      </c>
      <c r="D551" t="inlineStr">
        <is>
          <t>Schulung und Ausbildung</t>
        </is>
      </c>
      <c r="E551" t="inlineStr">
        <is>
          <t>PERSONAL</t>
        </is>
      </c>
      <c r="F551" t="inlineStr">
        <is>
          <t>Personal</t>
        </is>
      </c>
      <c r="G551" t="n">
        <v>2</v>
      </c>
      <c r="H551" t="n">
        <v>72.90000000000001</v>
      </c>
      <c r="I551" t="n">
        <v>0</v>
      </c>
      <c r="J551" t="n">
        <v>0</v>
      </c>
      <c r="K551" t="n">
        <v>72.90000000000001</v>
      </c>
      <c r="L551" t="n">
        <v>0</v>
      </c>
      <c r="M551" t="n">
        <v>0</v>
      </c>
      <c r="N551" t="n">
        <v>2</v>
      </c>
    </row>
    <row r="552">
      <c r="A552" t="n">
        <v>2026</v>
      </c>
      <c r="B552" t="n">
        <v>7</v>
      </c>
      <c r="C552" t="inlineStr">
        <is>
          <t>411100</t>
        </is>
      </c>
      <c r="D552" t="inlineStr">
        <is>
          <t>Arbeitskleidung und Arbeitschutzbedarf</t>
        </is>
      </c>
      <c r="E552" t="inlineStr">
        <is>
          <t>PERSONAL</t>
        </is>
      </c>
      <c r="F552" t="inlineStr">
        <is>
          <t>Personal</t>
        </is>
      </c>
      <c r="G552" t="n">
        <v>2</v>
      </c>
      <c r="H552" t="n">
        <v>7821.41</v>
      </c>
      <c r="I552" t="n">
        <v>0</v>
      </c>
      <c r="J552" t="n">
        <v>0</v>
      </c>
      <c r="K552" t="n">
        <v>7821.41</v>
      </c>
      <c r="L552" t="n">
        <v>0</v>
      </c>
      <c r="M552" t="n">
        <v>0</v>
      </c>
      <c r="N552" t="n">
        <v>18</v>
      </c>
    </row>
    <row r="553">
      <c r="A553" t="n">
        <v>2026</v>
      </c>
      <c r="B553" t="n">
        <v>7</v>
      </c>
      <c r="C553" t="inlineStr">
        <is>
          <t>411900</t>
        </is>
      </c>
      <c r="D553" t="inlineStr">
        <is>
          <t>Sonstige Personalkosten</t>
        </is>
      </c>
      <c r="E553" t="inlineStr">
        <is>
          <t>PERSONAL</t>
        </is>
      </c>
      <c r="F553" t="inlineStr">
        <is>
          <t>Personal</t>
        </is>
      </c>
      <c r="G553" t="n">
        <v>2</v>
      </c>
      <c r="H553" t="n">
        <v>2401.66</v>
      </c>
      <c r="I553" t="n">
        <v>0</v>
      </c>
      <c r="J553" t="n">
        <v>0</v>
      </c>
      <c r="K553" t="n">
        <v>2401.66</v>
      </c>
      <c r="L553" t="n">
        <v>0</v>
      </c>
      <c r="M553" t="n">
        <v>0</v>
      </c>
      <c r="N553" t="n">
        <v>19</v>
      </c>
    </row>
    <row r="554">
      <c r="A554" t="n">
        <v>2026</v>
      </c>
      <c r="B554" t="n">
        <v>7</v>
      </c>
      <c r="C554" t="inlineStr">
        <is>
          <t>420012</t>
        </is>
      </c>
      <c r="D554" t="inlineStr">
        <is>
          <t>Sonstige Kosten Grundstücke und Gebäude</t>
        </is>
      </c>
      <c r="E554" t="inlineStr">
        <is>
          <t>RAUM_ANLAGEN</t>
        </is>
      </c>
      <c r="F554" t="inlineStr">
        <is>
          <t>Raum, Energie, Instandhaltung</t>
        </is>
      </c>
      <c r="G554" t="n">
        <v>2</v>
      </c>
      <c r="H554" t="n">
        <v>3081.92</v>
      </c>
      <c r="I554" t="n">
        <v>0</v>
      </c>
      <c r="J554" t="n">
        <v>0</v>
      </c>
      <c r="K554" t="n">
        <v>3081.92</v>
      </c>
      <c r="L554" t="n">
        <v>0</v>
      </c>
      <c r="M554" t="n">
        <v>0</v>
      </c>
      <c r="N554" t="n">
        <v>8</v>
      </c>
    </row>
    <row r="555">
      <c r="A555" t="n">
        <v>2026</v>
      </c>
      <c r="B555" t="n">
        <v>7</v>
      </c>
      <c r="C555" t="inlineStr">
        <is>
          <t>420015</t>
        </is>
      </c>
      <c r="D555" t="inlineStr">
        <is>
          <t>Instandhaltungskosten fremde  Gebäude</t>
        </is>
      </c>
      <c r="E555" t="inlineStr">
        <is>
          <t>RAUM_ANLAGEN</t>
        </is>
      </c>
      <c r="F555" t="inlineStr">
        <is>
          <t>Raum, Energie, Instandhaltung</t>
        </is>
      </c>
      <c r="G555" t="n">
        <v>2</v>
      </c>
      <c r="H555" t="n">
        <v>76.23999999999999</v>
      </c>
      <c r="I555" t="n">
        <v>0</v>
      </c>
      <c r="J555" t="n">
        <v>0</v>
      </c>
      <c r="K555" t="n">
        <v>76.23999999999999</v>
      </c>
      <c r="L555" t="n">
        <v>0</v>
      </c>
      <c r="M555" t="n">
        <v>0</v>
      </c>
      <c r="N555" t="n">
        <v>1</v>
      </c>
    </row>
    <row r="556">
      <c r="A556" t="n">
        <v>2026</v>
      </c>
      <c r="B556" t="n">
        <v>7</v>
      </c>
      <c r="C556" t="inlineStr">
        <is>
          <t>420021</t>
        </is>
      </c>
      <c r="D556" t="inlineStr">
        <is>
          <t>Raumpflege eigene Gebäude</t>
        </is>
      </c>
      <c r="E556" t="inlineStr">
        <is>
          <t>RAUM_ANLAGEN</t>
        </is>
      </c>
      <c r="F556" t="inlineStr">
        <is>
          <t>Raum, Energie, Instandhaltung</t>
        </is>
      </c>
      <c r="G556" t="n">
        <v>2</v>
      </c>
      <c r="H556" t="n">
        <v>267.99</v>
      </c>
      <c r="I556" t="n">
        <v>0</v>
      </c>
      <c r="J556" t="n">
        <v>0</v>
      </c>
      <c r="K556" t="n">
        <v>267.99</v>
      </c>
      <c r="L556" t="n">
        <v>0</v>
      </c>
      <c r="M556" t="n">
        <v>0</v>
      </c>
      <c r="N556" t="n">
        <v>1</v>
      </c>
    </row>
    <row r="557">
      <c r="A557" t="n">
        <v>2026</v>
      </c>
      <c r="B557" t="n">
        <v>7</v>
      </c>
      <c r="C557" t="inlineStr">
        <is>
          <t>420022</t>
        </is>
      </c>
      <c r="D557" t="inlineStr">
        <is>
          <t>Raumpflege fremde Gebäude</t>
        </is>
      </c>
      <c r="E557" t="inlineStr">
        <is>
          <t>RAUM_ANLAGEN</t>
        </is>
      </c>
      <c r="F557" t="inlineStr">
        <is>
          <t>Raum, Energie, Instandhaltung</t>
        </is>
      </c>
      <c r="G557" t="n">
        <v>2</v>
      </c>
      <c r="H557" t="n">
        <v>2406.15</v>
      </c>
      <c r="I557" t="n">
        <v>0</v>
      </c>
      <c r="J557" t="n">
        <v>0</v>
      </c>
      <c r="K557" t="n">
        <v>2406.15</v>
      </c>
      <c r="L557" t="n">
        <v>0</v>
      </c>
      <c r="M557" t="n">
        <v>0</v>
      </c>
      <c r="N557" t="n">
        <v>9</v>
      </c>
    </row>
    <row r="558">
      <c r="A558" t="n">
        <v>2026</v>
      </c>
      <c r="B558" t="n">
        <v>7</v>
      </c>
      <c r="C558" t="inlineStr">
        <is>
          <t>420030</t>
        </is>
      </c>
      <c r="D558" t="inlineStr">
        <is>
          <t>Aufwand Energie</t>
        </is>
      </c>
      <c r="E558" t="inlineStr">
        <is>
          <t>RAUM_ANLAGEN</t>
        </is>
      </c>
      <c r="F558" t="inlineStr">
        <is>
          <t>Raum, Energie, Instandhaltung</t>
        </is>
      </c>
      <c r="G558" t="n">
        <v>2</v>
      </c>
      <c r="H558" t="n">
        <v>636.96</v>
      </c>
      <c r="I558" t="n">
        <v>0</v>
      </c>
      <c r="J558" t="n">
        <v>0</v>
      </c>
      <c r="K558" t="n">
        <v>636.96</v>
      </c>
      <c r="L558" t="n">
        <v>0</v>
      </c>
      <c r="M558" t="n">
        <v>0</v>
      </c>
      <c r="N558" t="n">
        <v>10</v>
      </c>
    </row>
    <row r="559">
      <c r="A559" t="n">
        <v>2026</v>
      </c>
      <c r="B559" t="n">
        <v>7</v>
      </c>
      <c r="C559" t="inlineStr">
        <is>
          <t>420040</t>
        </is>
      </c>
      <c r="D559" t="inlineStr">
        <is>
          <t>Aufwand Wasser</t>
        </is>
      </c>
      <c r="E559" t="inlineStr">
        <is>
          <t>RAUM_ANLAGEN</t>
        </is>
      </c>
      <c r="F559" t="inlineStr">
        <is>
          <t>Raum, Energie, Instandhaltung</t>
        </is>
      </c>
      <c r="G559" t="n">
        <v>2</v>
      </c>
      <c r="H559" t="n">
        <v>18.87</v>
      </c>
      <c r="I559" t="n">
        <v>0</v>
      </c>
      <c r="J559" t="n">
        <v>0</v>
      </c>
      <c r="K559" t="n">
        <v>18.87</v>
      </c>
      <c r="L559" t="n">
        <v>0</v>
      </c>
      <c r="M559" t="n">
        <v>0</v>
      </c>
      <c r="N559" t="n">
        <v>1</v>
      </c>
    </row>
    <row r="560">
      <c r="A560" t="n">
        <v>2026</v>
      </c>
      <c r="B560" t="n">
        <v>7</v>
      </c>
      <c r="C560" t="inlineStr">
        <is>
          <t>420100</t>
        </is>
      </c>
      <c r="D560" t="inlineStr">
        <is>
          <t>Instandhaltung Betriebsausstattung</t>
        </is>
      </c>
      <c r="E560" t="inlineStr">
        <is>
          <t>RAUM_ANLAGEN</t>
        </is>
      </c>
      <c r="F560" t="inlineStr">
        <is>
          <t>Raum, Energie, Instandhaltung</t>
        </is>
      </c>
      <c r="G560" t="n">
        <v>2</v>
      </c>
      <c r="H560" t="n">
        <v>470.22</v>
      </c>
      <c r="I560" t="n">
        <v>0</v>
      </c>
      <c r="J560" t="n">
        <v>0</v>
      </c>
      <c r="K560" t="n">
        <v>470.22</v>
      </c>
      <c r="L560" t="n">
        <v>0</v>
      </c>
      <c r="M560" t="n">
        <v>0</v>
      </c>
      <c r="N560" t="n">
        <v>4</v>
      </c>
    </row>
    <row r="561">
      <c r="A561" t="n">
        <v>2026</v>
      </c>
      <c r="B561" t="n">
        <v>7</v>
      </c>
      <c r="C561" t="inlineStr">
        <is>
          <t>420400</t>
        </is>
      </c>
      <c r="D561" t="inlineStr">
        <is>
          <t>Instandhaltung Geschäftsausstattung</t>
        </is>
      </c>
      <c r="E561" t="inlineStr">
        <is>
          <t>RAUM_ANLAGEN</t>
        </is>
      </c>
      <c r="F561" t="inlineStr">
        <is>
          <t>Raum, Energie, Instandhaltung</t>
        </is>
      </c>
      <c r="G561" t="n">
        <v>2</v>
      </c>
      <c r="H561" t="n">
        <v>1158.83</v>
      </c>
      <c r="I561" t="n">
        <v>0</v>
      </c>
      <c r="J561" t="n">
        <v>0</v>
      </c>
      <c r="K561" t="n">
        <v>1158.83</v>
      </c>
      <c r="L561" t="n">
        <v>0</v>
      </c>
      <c r="M561" t="n">
        <v>0</v>
      </c>
      <c r="N561" t="n">
        <v>5</v>
      </c>
    </row>
    <row r="562">
      <c r="A562" t="n">
        <v>2026</v>
      </c>
      <c r="B562" t="n">
        <v>7</v>
      </c>
      <c r="C562" t="inlineStr">
        <is>
          <t>420600</t>
        </is>
      </c>
      <c r="D562" t="inlineStr">
        <is>
          <t>Werkstattbedarf (Kleinwerkzeuge b.100,-D</t>
        </is>
      </c>
      <c r="E562" t="inlineStr">
        <is>
          <t>RAUM_ANLAGEN</t>
        </is>
      </c>
      <c r="F562" t="inlineStr">
        <is>
          <t>Raum, Energie, Instandhaltung</t>
        </is>
      </c>
      <c r="G562" t="n">
        <v>2</v>
      </c>
      <c r="H562" t="n">
        <v>1032.69</v>
      </c>
      <c r="I562" t="n">
        <v>0</v>
      </c>
      <c r="J562" t="n">
        <v>0</v>
      </c>
      <c r="K562" t="n">
        <v>1032.69</v>
      </c>
      <c r="L562" t="n">
        <v>0</v>
      </c>
      <c r="M562" t="n">
        <v>0</v>
      </c>
      <c r="N562" t="n">
        <v>5</v>
      </c>
    </row>
    <row r="563">
      <c r="A563" t="n">
        <v>2026</v>
      </c>
      <c r="B563" t="n">
        <v>7</v>
      </c>
      <c r="C563" t="inlineStr">
        <is>
          <t>420700</t>
        </is>
      </c>
      <c r="D563" t="inlineStr">
        <is>
          <t>Verbrauch Hilfs- u. Betriebsstoffe</t>
        </is>
      </c>
      <c r="E563" t="inlineStr">
        <is>
          <t>RAUM_ANLAGEN</t>
        </is>
      </c>
      <c r="F563" t="inlineStr">
        <is>
          <t>Raum, Energie, Instandhaltung</t>
        </is>
      </c>
      <c r="G563" t="n">
        <v>2</v>
      </c>
      <c r="H563" t="n">
        <v>1321.2</v>
      </c>
      <c r="I563" t="n">
        <v>0</v>
      </c>
      <c r="J563" t="n">
        <v>0</v>
      </c>
      <c r="K563" t="n">
        <v>1321.2</v>
      </c>
      <c r="L563" t="n">
        <v>0</v>
      </c>
      <c r="M563" t="n">
        <v>0</v>
      </c>
      <c r="N563" t="n">
        <v>3</v>
      </c>
    </row>
    <row r="564">
      <c r="A564" t="n">
        <v>2026</v>
      </c>
      <c r="B564" t="n">
        <v>7</v>
      </c>
      <c r="C564" t="inlineStr">
        <is>
          <t>430110</t>
        </is>
      </c>
      <c r="D564" t="inlineStr">
        <is>
          <t>Aufwendungen für Versicherungsschäden</t>
        </is>
      </c>
      <c r="E564" t="inlineStr">
        <is>
          <t>VERSICHERUNG_MIETE</t>
        </is>
      </c>
      <c r="F564" t="inlineStr">
        <is>
          <t>Versicherungen, Mieten, Steuern</t>
        </is>
      </c>
      <c r="G564" t="n">
        <v>2</v>
      </c>
      <c r="H564" t="n">
        <v>1913.15</v>
      </c>
      <c r="I564" t="n">
        <v>0</v>
      </c>
      <c r="J564" t="n">
        <v>0</v>
      </c>
      <c r="K564" t="n">
        <v>1913.15</v>
      </c>
      <c r="L564" t="n">
        <v>0</v>
      </c>
      <c r="M564" t="n">
        <v>0</v>
      </c>
      <c r="N564" t="n">
        <v>1</v>
      </c>
    </row>
    <row r="565">
      <c r="A565" t="n">
        <v>2026</v>
      </c>
      <c r="B565" t="n">
        <v>7</v>
      </c>
      <c r="C565" t="inlineStr">
        <is>
          <t>430120</t>
        </is>
      </c>
      <c r="D565" t="inlineStr">
        <is>
          <t>Sonstige Versicherungen</t>
        </is>
      </c>
      <c r="E565" t="inlineStr">
        <is>
          <t>VERSICHERUNG_MIETE</t>
        </is>
      </c>
      <c r="F565" t="inlineStr">
        <is>
          <t>Versicherungen, Mieten, Steuern</t>
        </is>
      </c>
      <c r="G565" t="n">
        <v>2</v>
      </c>
      <c r="H565" t="n">
        <v>6325.03</v>
      </c>
      <c r="I565" t="n">
        <v>0</v>
      </c>
      <c r="J565" t="n">
        <v>0</v>
      </c>
      <c r="K565" t="n">
        <v>6325.03</v>
      </c>
      <c r="L565" t="n">
        <v>0</v>
      </c>
      <c r="M565" t="n">
        <v>0</v>
      </c>
      <c r="N565" t="n">
        <v>21</v>
      </c>
    </row>
    <row r="566">
      <c r="A566" t="n">
        <v>2026</v>
      </c>
      <c r="B566" t="n">
        <v>7</v>
      </c>
      <c r="C566" t="inlineStr">
        <is>
          <t>430121</t>
        </is>
      </c>
      <c r="D566" t="inlineStr">
        <is>
          <t>Warenkreditversicherung</t>
        </is>
      </c>
      <c r="E566" t="inlineStr">
        <is>
          <t>VERSICHERUNG_MIETE</t>
        </is>
      </c>
      <c r="F566" t="inlineStr">
        <is>
          <t>Versicherungen, Mieten, Steuern</t>
        </is>
      </c>
      <c r="G566" t="n">
        <v>2</v>
      </c>
      <c r="H566" t="n">
        <v>4978.57</v>
      </c>
      <c r="I566" t="n">
        <v>0</v>
      </c>
      <c r="J566" t="n">
        <v>0</v>
      </c>
      <c r="K566" t="n">
        <v>4978.57</v>
      </c>
      <c r="L566" t="n">
        <v>0</v>
      </c>
      <c r="M566" t="n">
        <v>0</v>
      </c>
      <c r="N566" t="n">
        <v>3</v>
      </c>
    </row>
    <row r="567">
      <c r="A567" t="n">
        <v>2026</v>
      </c>
      <c r="B567" t="n">
        <v>7</v>
      </c>
      <c r="C567" t="inlineStr">
        <is>
          <t>431010</t>
        </is>
      </c>
      <c r="D567" t="inlineStr">
        <is>
          <t>Mieten Räume</t>
        </is>
      </c>
      <c r="E567" t="inlineStr">
        <is>
          <t>VERSICHERUNG_MIETE</t>
        </is>
      </c>
      <c r="F567" t="inlineStr">
        <is>
          <t>Versicherungen, Mieten, Steuern</t>
        </is>
      </c>
      <c r="G567" t="n">
        <v>2</v>
      </c>
      <c r="H567" t="n">
        <v>9144.450000000001</v>
      </c>
      <c r="I567" t="n">
        <v>0</v>
      </c>
      <c r="J567" t="n">
        <v>0</v>
      </c>
      <c r="K567" t="n">
        <v>9144.450000000001</v>
      </c>
      <c r="L567" t="n">
        <v>0</v>
      </c>
      <c r="M567" t="n">
        <v>0</v>
      </c>
      <c r="N567" t="n">
        <v>8</v>
      </c>
    </row>
    <row r="568">
      <c r="A568" t="n">
        <v>2026</v>
      </c>
      <c r="B568" t="n">
        <v>7</v>
      </c>
      <c r="C568" t="inlineStr">
        <is>
          <t>431020</t>
        </is>
      </c>
      <c r="D568" t="inlineStr">
        <is>
          <t>Mieten Plätze</t>
        </is>
      </c>
      <c r="E568" t="inlineStr">
        <is>
          <t>VERSICHERUNG_MIETE</t>
        </is>
      </c>
      <c r="F568" t="inlineStr">
        <is>
          <t>Versicherungen, Mieten, Steuern</t>
        </is>
      </c>
      <c r="G568" t="n">
        <v>2</v>
      </c>
      <c r="H568" t="n">
        <v>4675.19</v>
      </c>
      <c r="I568" t="n">
        <v>0</v>
      </c>
      <c r="J568" t="n">
        <v>0</v>
      </c>
      <c r="K568" t="n">
        <v>4675.19</v>
      </c>
      <c r="L568" t="n">
        <v>0</v>
      </c>
      <c r="M568" t="n">
        <v>0</v>
      </c>
      <c r="N568" t="n">
        <v>12</v>
      </c>
    </row>
    <row r="569">
      <c r="A569" t="n">
        <v>2026</v>
      </c>
      <c r="B569" t="n">
        <v>7</v>
      </c>
      <c r="C569" t="inlineStr">
        <is>
          <t>431090</t>
        </is>
      </c>
      <c r="D569" t="inlineStr">
        <is>
          <t>Sonstige Mieten</t>
        </is>
      </c>
      <c r="E569" t="inlineStr">
        <is>
          <t>VERSICHERUNG_MIETE</t>
        </is>
      </c>
      <c r="F569" t="inlineStr">
        <is>
          <t>Versicherungen, Mieten, Steuern</t>
        </is>
      </c>
      <c r="G569" t="n">
        <v>2</v>
      </c>
      <c r="H569" t="n">
        <v>213.72</v>
      </c>
      <c r="I569" t="n">
        <v>0</v>
      </c>
      <c r="J569" t="n">
        <v>0</v>
      </c>
      <c r="K569" t="n">
        <v>213.72</v>
      </c>
      <c r="L569" t="n">
        <v>0</v>
      </c>
      <c r="M569" t="n">
        <v>0</v>
      </c>
      <c r="N569" t="n">
        <v>1</v>
      </c>
    </row>
    <row r="570">
      <c r="A570" t="n">
        <v>2026</v>
      </c>
      <c r="B570" t="n">
        <v>7</v>
      </c>
      <c r="C570" t="inlineStr">
        <is>
          <t>450010</t>
        </is>
      </c>
      <c r="D570" t="inlineStr">
        <is>
          <t>Reisekosten Betriebsangehörige</t>
        </is>
      </c>
      <c r="E570" t="inlineStr">
        <is>
          <t>REISE_WERBUNG</t>
        </is>
      </c>
      <c r="F570" t="inlineStr">
        <is>
          <t>Transport, Reise, Werbung</t>
        </is>
      </c>
      <c r="G570" t="n">
        <v>2</v>
      </c>
      <c r="H570" t="n">
        <v>1573.43</v>
      </c>
      <c r="I570" t="n">
        <v>0</v>
      </c>
      <c r="J570" t="n">
        <v>0</v>
      </c>
      <c r="K570" t="n">
        <v>1573.43</v>
      </c>
      <c r="L570" t="n">
        <v>0</v>
      </c>
      <c r="M570" t="n">
        <v>0</v>
      </c>
      <c r="N570" t="n">
        <v>20</v>
      </c>
    </row>
    <row r="571">
      <c r="A571" t="n">
        <v>2026</v>
      </c>
      <c r="B571" t="n">
        <v>7</v>
      </c>
      <c r="C571" t="inlineStr">
        <is>
          <t>450011</t>
        </is>
      </c>
      <c r="D571" t="inlineStr">
        <is>
          <t>Verpfl.mehraufwand (pauschal)</t>
        </is>
      </c>
      <c r="E571" t="inlineStr">
        <is>
          <t>REISE_WERBUNG</t>
        </is>
      </c>
      <c r="F571" t="inlineStr">
        <is>
          <t>Transport, Reise, Werbung</t>
        </is>
      </c>
      <c r="G571" t="n">
        <v>2</v>
      </c>
      <c r="H571" t="n">
        <v>700</v>
      </c>
      <c r="I571" t="n">
        <v>0</v>
      </c>
      <c r="J571" t="n">
        <v>0</v>
      </c>
      <c r="K571" t="n">
        <v>700</v>
      </c>
      <c r="L571" t="n">
        <v>0</v>
      </c>
      <c r="M571" t="n">
        <v>0</v>
      </c>
      <c r="N571" t="n">
        <v>8</v>
      </c>
    </row>
    <row r="572">
      <c r="A572" t="n">
        <v>2026</v>
      </c>
      <c r="B572" t="n">
        <v>7</v>
      </c>
      <c r="C572" t="inlineStr">
        <is>
          <t>450012</t>
        </is>
      </c>
      <c r="D572" t="inlineStr">
        <is>
          <t>Kilometergeld (pauschal)</t>
        </is>
      </c>
      <c r="E572" t="inlineStr">
        <is>
          <t>REISE_WERBUNG</t>
        </is>
      </c>
      <c r="F572" t="inlineStr">
        <is>
          <t>Transport, Reise, Werbung</t>
        </is>
      </c>
      <c r="G572" t="n">
        <v>2</v>
      </c>
      <c r="H572" t="n">
        <v>772.16</v>
      </c>
      <c r="I572" t="n">
        <v>0</v>
      </c>
      <c r="J572" t="n">
        <v>0</v>
      </c>
      <c r="K572" t="n">
        <v>772.16</v>
      </c>
      <c r="L572" t="n">
        <v>0</v>
      </c>
      <c r="M572" t="n">
        <v>0</v>
      </c>
      <c r="N572" t="n">
        <v>3</v>
      </c>
    </row>
    <row r="573">
      <c r="A573" t="n">
        <v>2026</v>
      </c>
      <c r="B573" t="n">
        <v>7</v>
      </c>
      <c r="C573" t="inlineStr">
        <is>
          <t>450030</t>
        </is>
      </c>
      <c r="D573" t="inlineStr">
        <is>
          <t>Bewirtung zu 100 % abzugsfähig</t>
        </is>
      </c>
      <c r="E573" t="inlineStr">
        <is>
          <t>REISE_WERBUNG</t>
        </is>
      </c>
      <c r="F573" t="inlineStr">
        <is>
          <t>Transport, Reise, Werbung</t>
        </is>
      </c>
      <c r="G573" t="n">
        <v>2</v>
      </c>
      <c r="H573" t="n">
        <v>333.07</v>
      </c>
      <c r="I573" t="n">
        <v>0</v>
      </c>
      <c r="J573" t="n">
        <v>0</v>
      </c>
      <c r="K573" t="n">
        <v>333.07</v>
      </c>
      <c r="L573" t="n">
        <v>0</v>
      </c>
      <c r="M573" t="n">
        <v>0</v>
      </c>
      <c r="N573" t="n">
        <v>12</v>
      </c>
    </row>
    <row r="574">
      <c r="A574" t="n">
        <v>2026</v>
      </c>
      <c r="B574" t="n">
        <v>7</v>
      </c>
      <c r="C574" t="inlineStr">
        <is>
          <t>450039</t>
        </is>
      </c>
      <c r="D574" t="inlineStr">
        <is>
          <t>Bewirtung zu 70 % abzugsfähig</t>
        </is>
      </c>
      <c r="E574" t="inlineStr">
        <is>
          <t>REISE_WERBUNG</t>
        </is>
      </c>
      <c r="F574" t="inlineStr">
        <is>
          <t>Transport, Reise, Werbung</t>
        </is>
      </c>
      <c r="G574" t="n">
        <v>2</v>
      </c>
      <c r="H574" t="n">
        <v>320.06</v>
      </c>
      <c r="I574" t="n">
        <v>0</v>
      </c>
      <c r="J574" t="n">
        <v>0</v>
      </c>
      <c r="K574" t="n">
        <v>320.06</v>
      </c>
      <c r="L574" t="n">
        <v>0</v>
      </c>
      <c r="M574" t="n">
        <v>0</v>
      </c>
      <c r="N574" t="n">
        <v>4</v>
      </c>
    </row>
    <row r="575">
      <c r="A575" t="n">
        <v>2026</v>
      </c>
      <c r="B575" t="n">
        <v>7</v>
      </c>
      <c r="C575" t="inlineStr">
        <is>
          <t>450061</t>
        </is>
      </c>
      <c r="D575" t="inlineStr">
        <is>
          <t>Geschenke Zuwend. &lt; Wertgrenze Dritte/Ar</t>
        </is>
      </c>
      <c r="E575" t="inlineStr">
        <is>
          <t>REISE_WERBUNG</t>
        </is>
      </c>
      <c r="F575" t="inlineStr">
        <is>
          <t>Transport, Reise, Werbung</t>
        </is>
      </c>
      <c r="G575" t="n">
        <v>2</v>
      </c>
      <c r="H575" t="n">
        <v>45.88</v>
      </c>
      <c r="I575" t="n">
        <v>0</v>
      </c>
      <c r="J575" t="n">
        <v>0</v>
      </c>
      <c r="K575" t="n">
        <v>45.88</v>
      </c>
      <c r="L575" t="n">
        <v>0</v>
      </c>
      <c r="M575" t="n">
        <v>0</v>
      </c>
      <c r="N575" t="n">
        <v>2</v>
      </c>
    </row>
    <row r="576">
      <c r="A576" t="n">
        <v>2026</v>
      </c>
      <c r="B576" t="n">
        <v>7</v>
      </c>
      <c r="C576" t="inlineStr">
        <is>
          <t>460010</t>
        </is>
      </c>
      <c r="D576" t="inlineStr">
        <is>
          <t>Büromaterial</t>
        </is>
      </c>
      <c r="E576" t="inlineStr">
        <is>
          <t>VERWALTUNG</t>
        </is>
      </c>
      <c r="F576" t="inlineStr">
        <is>
          <t>Verwaltung und Beratung</t>
        </is>
      </c>
      <c r="G576" t="n">
        <v>2</v>
      </c>
      <c r="H576" t="n">
        <v>1271.09</v>
      </c>
      <c r="I576" t="n">
        <v>0</v>
      </c>
      <c r="J576" t="n">
        <v>0</v>
      </c>
      <c r="K576" t="n">
        <v>1271.09</v>
      </c>
      <c r="L576" t="n">
        <v>0</v>
      </c>
      <c r="M576" t="n">
        <v>0</v>
      </c>
      <c r="N576" t="n">
        <v>13</v>
      </c>
    </row>
    <row r="577">
      <c r="A577" t="n">
        <v>2026</v>
      </c>
      <c r="B577" t="n">
        <v>7</v>
      </c>
      <c r="C577" t="inlineStr">
        <is>
          <t>460020</t>
        </is>
      </c>
      <c r="D577" t="inlineStr">
        <is>
          <t>Zeitungen, Zeitschrift.und Bücher</t>
        </is>
      </c>
      <c r="E577" t="inlineStr">
        <is>
          <t>VERWALTUNG</t>
        </is>
      </c>
      <c r="F577" t="inlineStr">
        <is>
          <t>Verwaltung und Beratung</t>
        </is>
      </c>
      <c r="G577" t="n">
        <v>2</v>
      </c>
      <c r="H577" t="n">
        <v>37.5</v>
      </c>
      <c r="I577" t="n">
        <v>0</v>
      </c>
      <c r="J577" t="n">
        <v>0</v>
      </c>
      <c r="K577" t="n">
        <v>37.5</v>
      </c>
      <c r="L577" t="n">
        <v>0</v>
      </c>
      <c r="M577" t="n">
        <v>0</v>
      </c>
      <c r="N577" t="n">
        <v>1</v>
      </c>
    </row>
    <row r="578">
      <c r="A578" t="n">
        <v>2026</v>
      </c>
      <c r="B578" t="n">
        <v>7</v>
      </c>
      <c r="C578" t="inlineStr">
        <is>
          <t>460030</t>
        </is>
      </c>
      <c r="D578" t="inlineStr">
        <is>
          <t>Telekommunikation</t>
        </is>
      </c>
      <c r="E578" t="inlineStr">
        <is>
          <t>VERWALTUNG</t>
        </is>
      </c>
      <c r="F578" t="inlineStr">
        <is>
          <t>Verwaltung und Beratung</t>
        </is>
      </c>
      <c r="G578" t="n">
        <v>2</v>
      </c>
      <c r="H578" t="n">
        <v>2071.96</v>
      </c>
      <c r="I578" t="n">
        <v>0</v>
      </c>
      <c r="J578" t="n">
        <v>0</v>
      </c>
      <c r="K578" t="n">
        <v>2071.96</v>
      </c>
      <c r="L578" t="n">
        <v>0</v>
      </c>
      <c r="M578" t="n">
        <v>0</v>
      </c>
      <c r="N578" t="n">
        <v>20</v>
      </c>
    </row>
    <row r="579">
      <c r="A579" t="n">
        <v>2026</v>
      </c>
      <c r="B579" t="n">
        <v>7</v>
      </c>
      <c r="C579" t="inlineStr">
        <is>
          <t>460040</t>
        </is>
      </c>
      <c r="D579" t="inlineStr">
        <is>
          <t>Portogebühren</t>
        </is>
      </c>
      <c r="E579" t="inlineStr">
        <is>
          <t>VERWALTUNG</t>
        </is>
      </c>
      <c r="F579" t="inlineStr">
        <is>
          <t>Verwaltung und Beratung</t>
        </is>
      </c>
      <c r="G579" t="n">
        <v>2</v>
      </c>
      <c r="H579" t="n">
        <v>80.58</v>
      </c>
      <c r="I579" t="n">
        <v>0</v>
      </c>
      <c r="J579" t="n">
        <v>0</v>
      </c>
      <c r="K579" t="n">
        <v>80.58</v>
      </c>
      <c r="L579" t="n">
        <v>0</v>
      </c>
      <c r="M579" t="n">
        <v>0</v>
      </c>
      <c r="N579" t="n">
        <v>5</v>
      </c>
    </row>
    <row r="580">
      <c r="A580" t="n">
        <v>2026</v>
      </c>
      <c r="B580" t="n">
        <v>7</v>
      </c>
      <c r="C580" t="inlineStr">
        <is>
          <t>460060</t>
        </is>
      </c>
      <c r="D580" t="inlineStr">
        <is>
          <t>Kosten EDV</t>
        </is>
      </c>
      <c r="E580" t="inlineStr">
        <is>
          <t>VERWALTUNG</t>
        </is>
      </c>
      <c r="F580" t="inlineStr">
        <is>
          <t>Verwaltung und Beratung</t>
        </is>
      </c>
      <c r="G580" t="n">
        <v>2</v>
      </c>
      <c r="H580" t="n">
        <v>2355.19</v>
      </c>
      <c r="I580" t="n">
        <v>0</v>
      </c>
      <c r="J580" t="n">
        <v>0</v>
      </c>
      <c r="K580" t="n">
        <v>2355.19</v>
      </c>
      <c r="L580" t="n">
        <v>0</v>
      </c>
      <c r="M580" t="n">
        <v>0</v>
      </c>
      <c r="N580" t="n">
        <v>7</v>
      </c>
    </row>
    <row r="581">
      <c r="A581" t="n">
        <v>2026</v>
      </c>
      <c r="B581" t="n">
        <v>7</v>
      </c>
      <c r="C581" t="inlineStr">
        <is>
          <t>460065</t>
        </is>
      </c>
      <c r="D581" t="inlineStr">
        <is>
          <t>IT Lizenzgebühren</t>
        </is>
      </c>
      <c r="E581" t="inlineStr">
        <is>
          <t>VERWALTUNG</t>
        </is>
      </c>
      <c r="F581" t="inlineStr">
        <is>
          <t>Verwaltung und Beratung</t>
        </is>
      </c>
      <c r="G581" t="n">
        <v>2</v>
      </c>
      <c r="H581" t="n">
        <v>3290.99</v>
      </c>
      <c r="I581" t="n">
        <v>0</v>
      </c>
      <c r="J581" t="n">
        <v>0</v>
      </c>
      <c r="K581" t="n">
        <v>3290.99</v>
      </c>
      <c r="L581" t="n">
        <v>0</v>
      </c>
      <c r="M581" t="n">
        <v>0</v>
      </c>
      <c r="N581" t="n">
        <v>4</v>
      </c>
    </row>
    <row r="582">
      <c r="A582" t="n">
        <v>2026</v>
      </c>
      <c r="B582" t="n">
        <v>7</v>
      </c>
      <c r="C582" t="inlineStr">
        <is>
          <t>460080</t>
        </is>
      </c>
      <c r="D582" t="inlineStr">
        <is>
          <t>Pflichtbeiträge zu Verbänden</t>
        </is>
      </c>
      <c r="E582" t="inlineStr">
        <is>
          <t>VERWALTUNG</t>
        </is>
      </c>
      <c r="F582" t="inlineStr">
        <is>
          <t>Verwaltung und Beratung</t>
        </is>
      </c>
      <c r="G582" t="n">
        <v>2</v>
      </c>
      <c r="H582" t="n">
        <v>50</v>
      </c>
      <c r="I582" t="n">
        <v>0</v>
      </c>
      <c r="J582" t="n">
        <v>0</v>
      </c>
      <c r="K582" t="n">
        <v>50</v>
      </c>
      <c r="L582" t="n">
        <v>0</v>
      </c>
      <c r="M582" t="n">
        <v>0</v>
      </c>
      <c r="N582" t="n">
        <v>1</v>
      </c>
    </row>
    <row r="583">
      <c r="A583" t="n">
        <v>2026</v>
      </c>
      <c r="B583" t="n">
        <v>7</v>
      </c>
      <c r="C583" t="inlineStr">
        <is>
          <t>460090</t>
        </is>
      </c>
      <c r="D583" t="inlineStr">
        <is>
          <t>Schreib- und Verwaltungsgebühren an Behö</t>
        </is>
      </c>
      <c r="E583" t="inlineStr">
        <is>
          <t>VERWALTUNG</t>
        </is>
      </c>
      <c r="F583" t="inlineStr">
        <is>
          <t>Verwaltung und Beratung</t>
        </is>
      </c>
      <c r="G583" t="n">
        <v>2</v>
      </c>
      <c r="H583" t="n">
        <v>52</v>
      </c>
      <c r="I583" t="n">
        <v>0</v>
      </c>
      <c r="J583" t="n">
        <v>0</v>
      </c>
      <c r="K583" t="n">
        <v>52</v>
      </c>
      <c r="L583" t="n">
        <v>0</v>
      </c>
      <c r="M583" t="n">
        <v>0</v>
      </c>
      <c r="N583" t="n">
        <v>2</v>
      </c>
    </row>
    <row r="584">
      <c r="A584" t="n">
        <v>2026</v>
      </c>
      <c r="B584" t="n">
        <v>7</v>
      </c>
      <c r="C584" t="inlineStr">
        <is>
          <t>460900</t>
        </is>
      </c>
      <c r="D584" t="inlineStr">
        <is>
          <t>Sonstige Verwaltungskosten</t>
        </is>
      </c>
      <c r="E584" t="inlineStr">
        <is>
          <t>VERWALTUNG</t>
        </is>
      </c>
      <c r="F584" t="inlineStr">
        <is>
          <t>Verwaltung und Beratung</t>
        </is>
      </c>
      <c r="G584" t="n">
        <v>2</v>
      </c>
      <c r="H584" t="n">
        <v>1268.48</v>
      </c>
      <c r="I584" t="n">
        <v>0</v>
      </c>
      <c r="J584" t="n">
        <v>0</v>
      </c>
      <c r="K584" t="n">
        <v>1268.48</v>
      </c>
      <c r="L584" t="n">
        <v>0</v>
      </c>
      <c r="M584" t="n">
        <v>0</v>
      </c>
      <c r="N584" t="n">
        <v>13</v>
      </c>
    </row>
    <row r="585">
      <c r="A585" t="n">
        <v>2026</v>
      </c>
      <c r="B585" t="n">
        <v>7</v>
      </c>
      <c r="C585" t="inlineStr">
        <is>
          <t>470010</t>
        </is>
      </c>
      <c r="D585" t="inlineStr">
        <is>
          <t>Anwalts- und Gerichtskosten</t>
        </is>
      </c>
      <c r="E585" t="inlineStr">
        <is>
          <t>BERATUNG_UMLAGE</t>
        </is>
      </c>
      <c r="F585" t="inlineStr">
        <is>
          <t>Verwaltung und Beratung</t>
        </is>
      </c>
      <c r="G585" t="n">
        <v>2</v>
      </c>
      <c r="H585" t="n">
        <v>-5514</v>
      </c>
      <c r="I585" t="n">
        <v>0</v>
      </c>
      <c r="J585" t="n">
        <v>0</v>
      </c>
      <c r="K585" t="n">
        <v>-5514</v>
      </c>
      <c r="L585" t="n">
        <v>0</v>
      </c>
      <c r="M585" t="n">
        <v>0</v>
      </c>
      <c r="N585" t="n">
        <v>7</v>
      </c>
    </row>
    <row r="586">
      <c r="A586" t="n">
        <v>2026</v>
      </c>
      <c r="B586" t="n">
        <v>7</v>
      </c>
      <c r="C586" t="inlineStr">
        <is>
          <t>470020</t>
        </is>
      </c>
      <c r="D586" t="inlineStr">
        <is>
          <t>kaufm. Beratung und Buchführung</t>
        </is>
      </c>
      <c r="E586" t="inlineStr">
        <is>
          <t>BERATUNG_UMLAGE</t>
        </is>
      </c>
      <c r="F586" t="inlineStr">
        <is>
          <t>Verwaltung und Beratung</t>
        </is>
      </c>
      <c r="G586" t="n">
        <v>2</v>
      </c>
      <c r="H586" t="n">
        <v>11350</v>
      </c>
      <c r="I586" t="n">
        <v>0</v>
      </c>
      <c r="J586" t="n">
        <v>0</v>
      </c>
      <c r="K586" t="n">
        <v>11350</v>
      </c>
      <c r="L586" t="n">
        <v>0</v>
      </c>
      <c r="M586" t="n">
        <v>0</v>
      </c>
      <c r="N586" t="n">
        <v>6</v>
      </c>
    </row>
    <row r="587">
      <c r="A587" t="n">
        <v>2026</v>
      </c>
      <c r="B587" t="n">
        <v>7</v>
      </c>
      <c r="C587" t="inlineStr">
        <is>
          <t>470025</t>
        </is>
      </c>
      <c r="D587" t="inlineStr">
        <is>
          <t>Steuerberatungskosten</t>
        </is>
      </c>
      <c r="E587" t="inlineStr">
        <is>
          <t>BERATUNG_UMLAGE</t>
        </is>
      </c>
      <c r="F587" t="inlineStr">
        <is>
          <t>Verwaltung und Beratung</t>
        </is>
      </c>
      <c r="G587" t="n">
        <v>2</v>
      </c>
      <c r="H587" t="n">
        <v>9000</v>
      </c>
      <c r="I587" t="n">
        <v>0</v>
      </c>
      <c r="J587" t="n">
        <v>0</v>
      </c>
      <c r="K587" t="n">
        <v>9000</v>
      </c>
      <c r="L587" t="n">
        <v>0</v>
      </c>
      <c r="M587" t="n">
        <v>0</v>
      </c>
      <c r="N587" t="n">
        <v>1</v>
      </c>
    </row>
    <row r="588">
      <c r="A588" t="n">
        <v>2026</v>
      </c>
      <c r="B588" t="n">
        <v>7</v>
      </c>
      <c r="C588" t="inlineStr">
        <is>
          <t>470030</t>
        </is>
      </c>
      <c r="D588" t="inlineStr">
        <is>
          <t>Beratungskosten Allgemeine Verwaltung</t>
        </is>
      </c>
      <c r="E588" t="inlineStr">
        <is>
          <t>BERATUNG_UMLAGE</t>
        </is>
      </c>
      <c r="F588" t="inlineStr">
        <is>
          <t>Verwaltung und Beratung</t>
        </is>
      </c>
      <c r="G588" t="n">
        <v>2</v>
      </c>
      <c r="H588" t="n">
        <v>1589.9</v>
      </c>
      <c r="I588" t="n">
        <v>0</v>
      </c>
      <c r="J588" t="n">
        <v>0</v>
      </c>
      <c r="K588" t="n">
        <v>1589.9</v>
      </c>
      <c r="L588" t="n">
        <v>0</v>
      </c>
      <c r="M588" t="n">
        <v>0</v>
      </c>
      <c r="N588" t="n">
        <v>5</v>
      </c>
    </row>
    <row r="589">
      <c r="A589" t="n">
        <v>2026</v>
      </c>
      <c r="B589" t="n">
        <v>7</v>
      </c>
      <c r="C589" t="inlineStr">
        <is>
          <t>470036</t>
        </is>
      </c>
      <c r="D589" t="inlineStr">
        <is>
          <t>Aufwendungen Umlage zentrale Verwaltung</t>
        </is>
      </c>
      <c r="E589" t="inlineStr">
        <is>
          <t>BERATUNG_UMLAGE</t>
        </is>
      </c>
      <c r="F589" t="inlineStr">
        <is>
          <t>Verwaltung und Beratung</t>
        </is>
      </c>
      <c r="G589" t="n">
        <v>2</v>
      </c>
      <c r="H589" t="n">
        <v>3752</v>
      </c>
      <c r="I589" t="n">
        <v>0</v>
      </c>
      <c r="J589" t="n">
        <v>0</v>
      </c>
      <c r="K589" t="n">
        <v>3752</v>
      </c>
      <c r="L589" t="n">
        <v>0</v>
      </c>
      <c r="M589" t="n">
        <v>0</v>
      </c>
      <c r="N589" t="n">
        <v>2</v>
      </c>
    </row>
    <row r="590">
      <c r="A590" t="n">
        <v>2026</v>
      </c>
      <c r="B590" t="n">
        <v>7</v>
      </c>
      <c r="C590" t="inlineStr">
        <is>
          <t>480100</t>
        </is>
      </c>
      <c r="D590" t="inlineStr">
        <is>
          <t>Normalabschreibung auf Anlagen</t>
        </is>
      </c>
      <c r="E590" t="inlineStr">
        <is>
          <t>ABSCHREIBUNG</t>
        </is>
      </c>
      <c r="F590" t="inlineStr">
        <is>
          <t>Abschreibungen</t>
        </is>
      </c>
      <c r="G590" t="n">
        <v>2</v>
      </c>
      <c r="H590" t="n">
        <v>2203.71</v>
      </c>
      <c r="I590" t="n">
        <v>0</v>
      </c>
      <c r="J590" t="n">
        <v>0</v>
      </c>
      <c r="K590" t="n">
        <v>2203.71</v>
      </c>
      <c r="L590" t="n">
        <v>0</v>
      </c>
      <c r="M590" t="n">
        <v>0</v>
      </c>
      <c r="N590" t="n">
        <v>12</v>
      </c>
    </row>
    <row r="591">
      <c r="A591" t="n">
        <v>2026</v>
      </c>
      <c r="B591" t="n">
        <v>7</v>
      </c>
      <c r="C591" t="inlineStr">
        <is>
          <t>480110</t>
        </is>
      </c>
      <c r="D591" t="inlineStr">
        <is>
          <t>Abschreibungen auf Anlagen (GWG)</t>
        </is>
      </c>
      <c r="E591" t="inlineStr">
        <is>
          <t>ABSCHREIBUNG</t>
        </is>
      </c>
      <c r="F591" t="inlineStr">
        <is>
          <t>Abschreibungen</t>
        </is>
      </c>
      <c r="G591" t="n">
        <v>2</v>
      </c>
      <c r="H591" t="n">
        <v>378.26</v>
      </c>
      <c r="I591" t="n">
        <v>0</v>
      </c>
      <c r="J591" t="n">
        <v>0</v>
      </c>
      <c r="K591" t="n">
        <v>378.26</v>
      </c>
      <c r="L591" t="n">
        <v>0</v>
      </c>
      <c r="M591" t="n">
        <v>0</v>
      </c>
      <c r="N591" t="n">
        <v>11</v>
      </c>
    </row>
    <row r="592">
      <c r="A592" t="n">
        <v>2026</v>
      </c>
      <c r="B592" t="n">
        <v>7</v>
      </c>
      <c r="C592" t="inlineStr">
        <is>
          <t>499200</t>
        </is>
      </c>
      <c r="D592" t="inlineStr">
        <is>
          <t>Kalk. Zinsen</t>
        </is>
      </c>
      <c r="E592" t="inlineStr">
        <is>
          <t>KALKULATORISCH</t>
        </is>
      </c>
      <c r="F592" t="inlineStr">
        <is>
          <t>Kalkulatorische Kosten</t>
        </is>
      </c>
      <c r="G592" t="n">
        <v>9</v>
      </c>
      <c r="H592" t="n">
        <v>704</v>
      </c>
      <c r="I592" t="n">
        <v>0</v>
      </c>
      <c r="J592" t="n">
        <v>0</v>
      </c>
      <c r="K592" t="n">
        <v>0</v>
      </c>
      <c r="L592" t="n">
        <v>0</v>
      </c>
      <c r="M592" t="n">
        <v>704</v>
      </c>
      <c r="N592" t="n">
        <v>23</v>
      </c>
    </row>
    <row r="593">
      <c r="A593" t="n">
        <v>2026</v>
      </c>
      <c r="B593" t="n">
        <v>7</v>
      </c>
      <c r="C593" t="inlineStr">
        <is>
          <t>499300</t>
        </is>
      </c>
      <c r="D593" t="inlineStr">
        <is>
          <t>Kalk. Abschreibungen</t>
        </is>
      </c>
      <c r="E593" t="inlineStr">
        <is>
          <t>KALKULATORISCH</t>
        </is>
      </c>
      <c r="F593" t="inlineStr">
        <is>
          <t>Kalkulatorische Kosten</t>
        </is>
      </c>
      <c r="G593" t="n">
        <v>9</v>
      </c>
      <c r="H593" t="n">
        <v>3206.97</v>
      </c>
      <c r="I593" t="n">
        <v>0</v>
      </c>
      <c r="J593" t="n">
        <v>0</v>
      </c>
      <c r="K593" t="n">
        <v>0</v>
      </c>
      <c r="L593" t="n">
        <v>0</v>
      </c>
      <c r="M593" t="n">
        <v>3206.97</v>
      </c>
      <c r="N593" t="n">
        <v>24</v>
      </c>
    </row>
    <row r="594">
      <c r="A594" t="n">
        <v>2026</v>
      </c>
      <c r="B594" t="n">
        <v>7</v>
      </c>
      <c r="C594" t="inlineStr">
        <is>
          <t>7611100</t>
        </is>
      </c>
      <c r="D594" t="inlineStr">
        <is>
          <t>Lohnverr. Gruppe1</t>
        </is>
      </c>
      <c r="E594" t="inlineStr">
        <is>
          <t>LOHNVERRECHNUNG</t>
        </is>
      </c>
      <c r="F594" t="inlineStr">
        <is>
          <t>Innerbetriebliche Verrechnung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26</v>
      </c>
    </row>
    <row r="595">
      <c r="A595" t="n">
        <v>2026</v>
      </c>
      <c r="B595" t="n">
        <v>7</v>
      </c>
      <c r="C595" t="inlineStr">
        <is>
          <t>7611200</t>
        </is>
      </c>
      <c r="D595" t="inlineStr">
        <is>
          <t>Lohnverr. Gruppe 2</t>
        </is>
      </c>
      <c r="E595" t="inlineStr">
        <is>
          <t>LOHNVERRECHNUNG</t>
        </is>
      </c>
      <c r="F595" t="inlineStr">
        <is>
          <t>Innerbetriebliche Verrechnung</t>
        </is>
      </c>
      <c r="G595" t="n">
        <v>1</v>
      </c>
      <c r="H595" t="n">
        <v>132</v>
      </c>
      <c r="I595" t="n">
        <v>0</v>
      </c>
      <c r="J595" t="n">
        <v>132</v>
      </c>
      <c r="K595" t="n">
        <v>0</v>
      </c>
      <c r="L595" t="n">
        <v>0</v>
      </c>
      <c r="M595" t="n">
        <v>0</v>
      </c>
      <c r="N595" t="n">
        <v>35</v>
      </c>
    </row>
    <row r="596">
      <c r="A596" t="n">
        <v>2026</v>
      </c>
      <c r="B596" t="n">
        <v>7</v>
      </c>
      <c r="C596" t="inlineStr">
        <is>
          <t>7612000</t>
        </is>
      </c>
      <c r="D596" t="inlineStr">
        <is>
          <t>Verrechnung Geräte</t>
        </is>
      </c>
      <c r="E596" t="inlineStr">
        <is>
          <t>GERAETEVERRECHNUNG</t>
        </is>
      </c>
      <c r="F596" t="inlineStr">
        <is>
          <t>Innerbetriebliche Verrechnung</t>
        </is>
      </c>
      <c r="G596" t="n">
        <v>1</v>
      </c>
      <c r="H596" t="n">
        <v>850</v>
      </c>
      <c r="I596" t="n">
        <v>0</v>
      </c>
      <c r="J596" t="n">
        <v>850</v>
      </c>
      <c r="K596" t="n">
        <v>0</v>
      </c>
      <c r="L596" t="n">
        <v>0</v>
      </c>
      <c r="M596" t="n">
        <v>0</v>
      </c>
      <c r="N596" t="n">
        <v>124</v>
      </c>
    </row>
    <row r="597">
      <c r="A597" t="n">
        <v>2026</v>
      </c>
      <c r="B597" t="n">
        <v>7</v>
      </c>
      <c r="C597" t="inlineStr">
        <is>
          <t>7801020</t>
        </is>
      </c>
      <c r="D597" t="inlineStr">
        <is>
          <t>Gemeinkostenzuschläge 12 % TVF Altwert</t>
        </is>
      </c>
      <c r="E597" t="inlineStr">
        <is>
          <t>GEMEINKOSTENUMLAGE</t>
        </is>
      </c>
      <c r="F597" t="inlineStr">
        <is>
          <t>Innerbetriebliche Verrechnung</t>
        </is>
      </c>
      <c r="G597" t="n">
        <v>2</v>
      </c>
      <c r="H597" t="n">
        <v>-156483.77</v>
      </c>
      <c r="I597" t="n">
        <v>0</v>
      </c>
      <c r="J597" t="n">
        <v>0</v>
      </c>
      <c r="K597" t="n">
        <v>0</v>
      </c>
      <c r="L597" t="n">
        <v>-156483.77</v>
      </c>
      <c r="M597" t="n">
        <v>0</v>
      </c>
      <c r="N597" t="n">
        <v>210</v>
      </c>
    </row>
    <row r="598">
      <c r="A598" t="n">
        <v>2026</v>
      </c>
      <c r="B598" t="n">
        <v>7</v>
      </c>
      <c r="C598" t="inlineStr">
        <is>
          <t>830510</t>
        </is>
      </c>
      <c r="D598" t="inlineStr">
        <is>
          <t>Erlöse Abrisse/Demontagen</t>
        </is>
      </c>
      <c r="E598" t="inlineStr">
        <is>
          <t>ERLOES</t>
        </is>
      </c>
      <c r="F598" t="inlineStr">
        <is>
          <t>Umsatzerlöse</t>
        </is>
      </c>
      <c r="G598" t="n">
        <v>0</v>
      </c>
      <c r="H598" t="n">
        <v>-1305881.41</v>
      </c>
      <c r="I598" t="n">
        <v>1305881.41</v>
      </c>
      <c r="J598" t="n">
        <v>0</v>
      </c>
      <c r="K598" t="n">
        <v>0</v>
      </c>
      <c r="L598" t="n">
        <v>0</v>
      </c>
      <c r="M598" t="n">
        <v>0</v>
      </c>
      <c r="N598" t="n">
        <v>113</v>
      </c>
    </row>
    <row r="599">
      <c r="A599" t="n">
        <v>2026</v>
      </c>
      <c r="B599" t="n">
        <v>7</v>
      </c>
      <c r="C599" t="inlineStr">
        <is>
          <t>840040</t>
        </is>
      </c>
      <c r="D599" t="inlineStr">
        <is>
          <t>Erlöse Verkauf HW Schrott</t>
        </is>
      </c>
      <c r="E599" t="inlineStr">
        <is>
          <t>ERLOES</t>
        </is>
      </c>
      <c r="F599" t="inlineStr">
        <is>
          <t>Umsatzerlöse</t>
        </is>
      </c>
      <c r="G599" t="n">
        <v>0</v>
      </c>
      <c r="H599" t="n">
        <v>-23988.97</v>
      </c>
      <c r="I599" t="n">
        <v>23988.97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</row>
    <row r="600">
      <c r="A600" t="n">
        <v>2026</v>
      </c>
      <c r="B600" t="n">
        <v>7</v>
      </c>
      <c r="C600" t="inlineStr">
        <is>
          <t>860000</t>
        </is>
      </c>
      <c r="D600" t="inlineStr">
        <is>
          <t>Erlöse weiterberechnete Fremdkosten</t>
        </is>
      </c>
      <c r="E600" t="inlineStr">
        <is>
          <t>ERLOES</t>
        </is>
      </c>
      <c r="F600" t="inlineStr">
        <is>
          <t>Umsatzerlöse</t>
        </is>
      </c>
      <c r="G600" t="n">
        <v>0</v>
      </c>
      <c r="H600" t="n">
        <v>-321.42</v>
      </c>
      <c r="I600" t="n">
        <v>321.42</v>
      </c>
      <c r="J600" t="n">
        <v>0</v>
      </c>
      <c r="K600" t="n">
        <v>0</v>
      </c>
      <c r="L600" t="n">
        <v>0</v>
      </c>
      <c r="M600" t="n">
        <v>0</v>
      </c>
      <c r="N600" t="n">
        <v>3</v>
      </c>
    </row>
    <row r="601">
      <c r="A601" t="n">
        <v>2026</v>
      </c>
      <c r="B601" t="n">
        <v>7</v>
      </c>
      <c r="C601" t="inlineStr">
        <is>
          <t>890100</t>
        </is>
      </c>
      <c r="D601" t="inlineStr">
        <is>
          <t>Gewährte Skonti</t>
        </is>
      </c>
      <c r="E601" t="inlineStr">
        <is>
          <t>ERLOESSCHMAELERUNG</t>
        </is>
      </c>
      <c r="F601" t="inlineStr">
        <is>
          <t>Umsatzerlöse</t>
        </is>
      </c>
      <c r="G601" t="n">
        <v>0</v>
      </c>
      <c r="H601" t="n">
        <v>5942.17</v>
      </c>
      <c r="I601" t="n">
        <v>-5942.17</v>
      </c>
      <c r="J601" t="n">
        <v>0</v>
      </c>
      <c r="K601" t="n">
        <v>0</v>
      </c>
      <c r="L601" t="n">
        <v>0</v>
      </c>
      <c r="M601" t="n">
        <v>0</v>
      </c>
      <c r="N601" t="n">
        <v>7</v>
      </c>
    </row>
    <row r="602">
      <c r="A602" t="n">
        <v>2026</v>
      </c>
      <c r="B602" t="n">
        <v>8</v>
      </c>
      <c r="C602" t="inlineStr">
        <is>
          <t>201000</t>
        </is>
      </c>
      <c r="D602" t="inlineStr">
        <is>
          <t>Sonstige periodenfremde Aufwendungen</t>
        </is>
      </c>
      <c r="E602" t="inlineStr">
        <is>
          <t>NEUTRALER_AUFWAND</t>
        </is>
      </c>
      <c r="F602" t="inlineStr">
        <is>
          <t>Sonstiges</t>
        </is>
      </c>
      <c r="G602" t="n">
        <v>9</v>
      </c>
      <c r="H602" t="n">
        <v>152.47</v>
      </c>
      <c r="I602" t="n">
        <v>0</v>
      </c>
      <c r="J602" t="n">
        <v>0</v>
      </c>
      <c r="K602" t="n">
        <v>0</v>
      </c>
      <c r="L602" t="n">
        <v>0</v>
      </c>
      <c r="M602" t="n">
        <v>152.47</v>
      </c>
      <c r="N602" t="n">
        <v>2</v>
      </c>
    </row>
    <row r="603">
      <c r="A603" t="n">
        <v>2026</v>
      </c>
      <c r="B603" t="n">
        <v>8</v>
      </c>
      <c r="C603" t="inlineStr">
        <is>
          <t>210000</t>
        </is>
      </c>
      <c r="D603" t="inlineStr">
        <is>
          <t>Übrige Zinsen und ähnliche Aufwendungen</t>
        </is>
      </c>
      <c r="E603" t="inlineStr">
        <is>
          <t>ZINSEN</t>
        </is>
      </c>
      <c r="F603" t="inlineStr">
        <is>
          <t>Zinsergebnis</t>
        </is>
      </c>
      <c r="G603" t="n">
        <v>9</v>
      </c>
      <c r="H603" t="n">
        <v>2.8</v>
      </c>
      <c r="I603" t="n">
        <v>0</v>
      </c>
      <c r="J603" t="n">
        <v>0</v>
      </c>
      <c r="K603" t="n">
        <v>0</v>
      </c>
      <c r="L603" t="n">
        <v>0</v>
      </c>
      <c r="M603" t="n">
        <v>2.8</v>
      </c>
      <c r="N603" t="n">
        <v>1</v>
      </c>
    </row>
    <row r="604">
      <c r="A604" t="n">
        <v>2026</v>
      </c>
      <c r="B604" t="n">
        <v>8</v>
      </c>
      <c r="C604" t="inlineStr">
        <is>
          <t>210900</t>
        </is>
      </c>
      <c r="D604" t="inlineStr">
        <is>
          <t>Zinsaufwendungen an verbundene Unternehm</t>
        </is>
      </c>
      <c r="E604" t="inlineStr">
        <is>
          <t>ZINSEN</t>
        </is>
      </c>
      <c r="F604" t="inlineStr">
        <is>
          <t>Zinsergebnis</t>
        </is>
      </c>
      <c r="G604" t="n">
        <v>9</v>
      </c>
      <c r="H604" t="n">
        <v>48353.52</v>
      </c>
      <c r="I604" t="n">
        <v>0</v>
      </c>
      <c r="J604" t="n">
        <v>0</v>
      </c>
      <c r="K604" t="n">
        <v>0</v>
      </c>
      <c r="L604" t="n">
        <v>0</v>
      </c>
      <c r="M604" t="n">
        <v>48353.52</v>
      </c>
      <c r="N604" t="n">
        <v>5</v>
      </c>
    </row>
    <row r="605">
      <c r="A605" t="n">
        <v>2026</v>
      </c>
      <c r="B605" t="n">
        <v>8</v>
      </c>
      <c r="C605" t="inlineStr">
        <is>
          <t>213101</t>
        </is>
      </c>
      <c r="D605" t="inlineStr">
        <is>
          <t>Zinsen Factoring</t>
        </is>
      </c>
      <c r="E605" t="inlineStr">
        <is>
          <t>ZINSEN</t>
        </is>
      </c>
      <c r="F605" t="inlineStr">
        <is>
          <t>Zinsergebnis</t>
        </is>
      </c>
      <c r="G605" t="n">
        <v>9</v>
      </c>
      <c r="H605" t="n">
        <v>2536.93</v>
      </c>
      <c r="I605" t="n">
        <v>0</v>
      </c>
      <c r="J605" t="n">
        <v>0</v>
      </c>
      <c r="K605" t="n">
        <v>0</v>
      </c>
      <c r="L605" t="n">
        <v>0</v>
      </c>
      <c r="M605" t="n">
        <v>2536.93</v>
      </c>
      <c r="N605" t="n">
        <v>1</v>
      </c>
    </row>
    <row r="606">
      <c r="A606" t="n">
        <v>2026</v>
      </c>
      <c r="B606" t="n">
        <v>8</v>
      </c>
      <c r="C606" t="inlineStr">
        <is>
          <t>213200</t>
        </is>
      </c>
      <c r="D606" t="inlineStr">
        <is>
          <t>Avalgebühren und -provisionen</t>
        </is>
      </c>
      <c r="E606" t="inlineStr">
        <is>
          <t>ZINSEN</t>
        </is>
      </c>
      <c r="F606" t="inlineStr">
        <is>
          <t>Zinsergebnis</t>
        </is>
      </c>
      <c r="G606" t="n">
        <v>9</v>
      </c>
      <c r="H606" t="n">
        <v>366.67</v>
      </c>
      <c r="I606" t="n">
        <v>0</v>
      </c>
      <c r="J606" t="n">
        <v>0</v>
      </c>
      <c r="K606" t="n">
        <v>0</v>
      </c>
      <c r="L606" t="n">
        <v>0</v>
      </c>
      <c r="M606" t="n">
        <v>366.67</v>
      </c>
      <c r="N606" t="n">
        <v>1</v>
      </c>
    </row>
    <row r="607">
      <c r="A607" t="n">
        <v>2026</v>
      </c>
      <c r="B607" t="n">
        <v>8</v>
      </c>
      <c r="C607" t="inlineStr">
        <is>
          <t>252000</t>
        </is>
      </c>
      <c r="D607" t="inlineStr">
        <is>
          <t>andere sonst.betriebl. Erträge</t>
        </is>
      </c>
      <c r="E607" t="inlineStr">
        <is>
          <t>SONSTIGER_ERTRAG</t>
        </is>
      </c>
      <c r="F607" t="inlineStr">
        <is>
          <t>Sonstige betriebliche Erträge</t>
        </is>
      </c>
      <c r="G607" t="n">
        <v>9</v>
      </c>
      <c r="H607" t="n">
        <v>-6.72</v>
      </c>
      <c r="I607" t="n">
        <v>0</v>
      </c>
      <c r="J607" t="n">
        <v>0</v>
      </c>
      <c r="K607" t="n">
        <v>0</v>
      </c>
      <c r="L607" t="n">
        <v>0</v>
      </c>
      <c r="M607" t="n">
        <v>-6.72</v>
      </c>
      <c r="N607" t="n">
        <v>1</v>
      </c>
    </row>
    <row r="608">
      <c r="A608" t="n">
        <v>2026</v>
      </c>
      <c r="B608" t="n">
        <v>8</v>
      </c>
      <c r="C608" t="inlineStr">
        <is>
          <t>265001</t>
        </is>
      </c>
      <c r="D608" t="inlineStr">
        <is>
          <t>Zinsen auf Steuerers</t>
        </is>
      </c>
      <c r="E608" t="inlineStr">
        <is>
          <t>NEUTRALER_ERTRAG</t>
        </is>
      </c>
      <c r="F608" t="inlineStr">
        <is>
          <t>Zinsergebnis</t>
        </is>
      </c>
      <c r="G608" t="n">
        <v>9</v>
      </c>
      <c r="H608" t="n">
        <v>-188</v>
      </c>
      <c r="I608" t="n">
        <v>0</v>
      </c>
      <c r="J608" t="n">
        <v>0</v>
      </c>
      <c r="K608" t="n">
        <v>0</v>
      </c>
      <c r="L608" t="n">
        <v>0</v>
      </c>
      <c r="M608" t="n">
        <v>-188</v>
      </c>
      <c r="N608" t="n">
        <v>4</v>
      </c>
    </row>
    <row r="609">
      <c r="A609" t="n">
        <v>2026</v>
      </c>
      <c r="B609" t="n">
        <v>8</v>
      </c>
      <c r="C609" t="inlineStr">
        <is>
          <t>310080</t>
        </is>
      </c>
      <c r="D609" t="inlineStr">
        <is>
          <t>Technische Gase</t>
        </is>
      </c>
      <c r="E609" t="inlineStr">
        <is>
          <t>MATERIAL</t>
        </is>
      </c>
      <c r="F609" t="inlineStr">
        <is>
          <t>Material und Fremdleistungen</t>
        </is>
      </c>
      <c r="G609" t="n">
        <v>1</v>
      </c>
      <c r="H609" t="n">
        <v>92.70999999999999</v>
      </c>
      <c r="I609" t="n">
        <v>0</v>
      </c>
      <c r="J609" t="n">
        <v>92.70999999999999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2026</v>
      </c>
      <c r="B610" t="n">
        <v>8</v>
      </c>
      <c r="C610" t="inlineStr">
        <is>
          <t>310900</t>
        </is>
      </c>
      <c r="D610" t="inlineStr">
        <is>
          <t>Sonstige Hilfs- und Betriebsstoffe</t>
        </is>
      </c>
      <c r="E610" t="inlineStr">
        <is>
          <t>MATERIAL</t>
        </is>
      </c>
      <c r="F610" t="inlineStr">
        <is>
          <t>Material und Fremdleistungen</t>
        </is>
      </c>
      <c r="G610" t="n">
        <v>1</v>
      </c>
      <c r="H610" t="n">
        <v>95.09999999999999</v>
      </c>
      <c r="I610" t="n">
        <v>0</v>
      </c>
      <c r="J610" t="n">
        <v>95.09999999999999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2026</v>
      </c>
      <c r="B611" t="n">
        <v>8</v>
      </c>
      <c r="C611" t="inlineStr">
        <is>
          <t>330900</t>
        </is>
      </c>
      <c r="D611" t="inlineStr">
        <is>
          <t>Erhaltene Skonti</t>
        </is>
      </c>
      <c r="E611" t="inlineStr">
        <is>
          <t>MATERIAL</t>
        </is>
      </c>
      <c r="F611" t="inlineStr">
        <is>
          <t>Material und Fremdleistungen</t>
        </is>
      </c>
      <c r="G611" t="n">
        <v>1</v>
      </c>
      <c r="H611" t="n">
        <v>-114.9</v>
      </c>
      <c r="I611" t="n">
        <v>0</v>
      </c>
      <c r="J611" t="n">
        <v>-114.9</v>
      </c>
      <c r="K611" t="n">
        <v>0</v>
      </c>
      <c r="L611" t="n">
        <v>0</v>
      </c>
      <c r="M611" t="n">
        <v>0</v>
      </c>
      <c r="N611" t="n">
        <v>6</v>
      </c>
    </row>
    <row r="612">
      <c r="A612" t="n">
        <v>2026</v>
      </c>
      <c r="B612" t="n">
        <v>8</v>
      </c>
      <c r="C612" t="inlineStr">
        <is>
          <t>330900</t>
        </is>
      </c>
      <c r="D612" t="inlineStr">
        <is>
          <t>Nicht zugeordnet</t>
        </is>
      </c>
      <c r="E612" t="inlineStr">
        <is>
          <t>SONSTIGES</t>
        </is>
      </c>
      <c r="F612" t="inlineStr">
        <is>
          <t>Sonstiges</t>
        </is>
      </c>
      <c r="G612" t="n">
        <v>2</v>
      </c>
      <c r="H612" t="n">
        <v>-12354.44</v>
      </c>
      <c r="I612" t="n">
        <v>0</v>
      </c>
      <c r="J612" t="n">
        <v>0</v>
      </c>
      <c r="K612" t="n">
        <v>-12354.44</v>
      </c>
      <c r="L612" t="n">
        <v>0</v>
      </c>
      <c r="M612" t="n">
        <v>0</v>
      </c>
      <c r="N612" t="n">
        <v>20</v>
      </c>
    </row>
    <row r="613">
      <c r="A613" t="n">
        <v>2026</v>
      </c>
      <c r="B613" t="n">
        <v>8</v>
      </c>
      <c r="C613" t="inlineStr">
        <is>
          <t>340050</t>
        </is>
      </c>
      <c r="D613" t="inlineStr">
        <is>
          <t>Fremdleistungen Wartung/Pflege</t>
        </is>
      </c>
      <c r="E613" t="inlineStr">
        <is>
          <t>FREMDLEISTUNG</t>
        </is>
      </c>
      <c r="F613" t="inlineStr">
        <is>
          <t>Material und Fremdleistungen</t>
        </is>
      </c>
      <c r="G613" t="n">
        <v>1</v>
      </c>
      <c r="H613" t="n">
        <v>4554.87</v>
      </c>
      <c r="I613" t="n">
        <v>0</v>
      </c>
      <c r="J613" t="n">
        <v>4554.87</v>
      </c>
      <c r="K613" t="n">
        <v>0</v>
      </c>
      <c r="L613" t="n">
        <v>0</v>
      </c>
      <c r="M613" t="n">
        <v>0</v>
      </c>
      <c r="N613" t="n">
        <v>11</v>
      </c>
    </row>
    <row r="614">
      <c r="A614" t="n">
        <v>2026</v>
      </c>
      <c r="B614" t="n">
        <v>8</v>
      </c>
      <c r="C614" t="inlineStr">
        <is>
          <t>340050</t>
        </is>
      </c>
      <c r="D614" t="inlineStr">
        <is>
          <t>Nicht zugeordnet</t>
        </is>
      </c>
      <c r="E614" t="inlineStr">
        <is>
          <t>SONSTIGES</t>
        </is>
      </c>
      <c r="F614" t="inlineStr">
        <is>
          <t>Sonstiges</t>
        </is>
      </c>
      <c r="G614" t="n">
        <v>2</v>
      </c>
      <c r="H614" t="n">
        <v>1441556.01</v>
      </c>
      <c r="I614" t="n">
        <v>0</v>
      </c>
      <c r="J614" t="n">
        <v>0</v>
      </c>
      <c r="K614" t="n">
        <v>1441556.01</v>
      </c>
      <c r="L614" t="n">
        <v>0</v>
      </c>
      <c r="M614" t="n">
        <v>0</v>
      </c>
      <c r="N614" t="n">
        <v>268</v>
      </c>
    </row>
    <row r="615">
      <c r="A615" t="n">
        <v>2026</v>
      </c>
      <c r="B615" t="n">
        <v>8</v>
      </c>
      <c r="C615" t="inlineStr">
        <is>
          <t>392000</t>
        </is>
      </c>
      <c r="D615" t="inlineStr">
        <is>
          <t>Nicht zugeordnet</t>
        </is>
      </c>
      <c r="E615" t="inlineStr">
        <is>
          <t>SONSTIGES</t>
        </is>
      </c>
      <c r="F615" t="inlineStr">
        <is>
          <t>Sonstiges</t>
        </is>
      </c>
      <c r="G615" t="n">
        <v>2</v>
      </c>
      <c r="H615" t="n">
        <v>-1022525.14</v>
      </c>
      <c r="I615" t="n">
        <v>0</v>
      </c>
      <c r="J615" t="n">
        <v>0</v>
      </c>
      <c r="K615" t="n">
        <v>-1022525.14</v>
      </c>
      <c r="L615" t="n">
        <v>0</v>
      </c>
      <c r="M615" t="n">
        <v>0</v>
      </c>
      <c r="N615" t="n">
        <v>13</v>
      </c>
    </row>
    <row r="616">
      <c r="A616" t="n">
        <v>2026</v>
      </c>
      <c r="B616" t="n">
        <v>8</v>
      </c>
      <c r="C616" t="inlineStr">
        <is>
          <t>400011</t>
        </is>
      </c>
      <c r="D616" t="inlineStr">
        <is>
          <t>Reifenkosten</t>
        </is>
      </c>
      <c r="E616" t="inlineStr">
        <is>
          <t>FUHRPARK</t>
        </is>
      </c>
      <c r="F616" t="inlineStr">
        <is>
          <t>Fuhrpark</t>
        </is>
      </c>
      <c r="G616" t="n">
        <v>2</v>
      </c>
      <c r="H616" t="n">
        <v>938.87</v>
      </c>
      <c r="I616" t="n">
        <v>0</v>
      </c>
      <c r="J616" t="n">
        <v>0</v>
      </c>
      <c r="K616" t="n">
        <v>938.87</v>
      </c>
      <c r="L616" t="n">
        <v>0</v>
      </c>
      <c r="M616" t="n">
        <v>0</v>
      </c>
      <c r="N616" t="n">
        <v>2</v>
      </c>
    </row>
    <row r="617">
      <c r="A617" t="n">
        <v>2026</v>
      </c>
      <c r="B617" t="n">
        <v>8</v>
      </c>
      <c r="C617" t="inlineStr">
        <is>
          <t>400020</t>
        </is>
      </c>
      <c r="D617" t="inlineStr">
        <is>
          <t>Instandhaltung Personenkraftwagen</t>
        </is>
      </c>
      <c r="E617" t="inlineStr">
        <is>
          <t>FUHRPARK</t>
        </is>
      </c>
      <c r="F617" t="inlineStr">
        <is>
          <t>Fuhrpark</t>
        </is>
      </c>
      <c r="G617" t="n">
        <v>2</v>
      </c>
      <c r="H617" t="n">
        <v>3158.91</v>
      </c>
      <c r="I617" t="n">
        <v>0</v>
      </c>
      <c r="J617" t="n">
        <v>0</v>
      </c>
      <c r="K617" t="n">
        <v>3158.91</v>
      </c>
      <c r="L617" t="n">
        <v>0</v>
      </c>
      <c r="M617" t="n">
        <v>0</v>
      </c>
      <c r="N617" t="n">
        <v>1</v>
      </c>
    </row>
    <row r="618">
      <c r="A618" t="n">
        <v>2026</v>
      </c>
      <c r="B618" t="n">
        <v>8</v>
      </c>
      <c r="C618" t="inlineStr">
        <is>
          <t>400035</t>
        </is>
      </c>
      <c r="D618" t="inlineStr">
        <is>
          <t>Instandhaltung Miet-und Leasingfahrzeuge</t>
        </is>
      </c>
      <c r="E618" t="inlineStr">
        <is>
          <t>FUHRPARK</t>
        </is>
      </c>
      <c r="F618" t="inlineStr">
        <is>
          <t>Fuhrpark</t>
        </is>
      </c>
      <c r="G618" t="n">
        <v>2</v>
      </c>
      <c r="H618" t="n">
        <v>1524.42</v>
      </c>
      <c r="I618" t="n">
        <v>0</v>
      </c>
      <c r="J618" t="n">
        <v>0</v>
      </c>
      <c r="K618" t="n">
        <v>1524.42</v>
      </c>
      <c r="L618" t="n">
        <v>0</v>
      </c>
      <c r="M618" t="n">
        <v>0</v>
      </c>
      <c r="N618" t="n">
        <v>18</v>
      </c>
    </row>
    <row r="619">
      <c r="A619" t="n">
        <v>2026</v>
      </c>
      <c r="B619" t="n">
        <v>8</v>
      </c>
      <c r="C619" t="inlineStr">
        <is>
          <t>400121</t>
        </is>
      </c>
      <c r="D619" t="inlineStr">
        <is>
          <t>Anmietung PKW</t>
        </is>
      </c>
      <c r="E619" t="inlineStr">
        <is>
          <t>FUHRPARK</t>
        </is>
      </c>
      <c r="F619" t="inlineStr">
        <is>
          <t>Fuhrpark</t>
        </is>
      </c>
      <c r="G619" t="n">
        <v>2</v>
      </c>
      <c r="H619" t="n">
        <v>1938.52</v>
      </c>
      <c r="I619" t="n">
        <v>0</v>
      </c>
      <c r="J619" t="n">
        <v>0</v>
      </c>
      <c r="K619" t="n">
        <v>1938.52</v>
      </c>
      <c r="L619" t="n">
        <v>0</v>
      </c>
      <c r="M619" t="n">
        <v>0</v>
      </c>
      <c r="N619" t="n">
        <v>3</v>
      </c>
    </row>
    <row r="620">
      <c r="A620" t="n">
        <v>2026</v>
      </c>
      <c r="B620" t="n">
        <v>8</v>
      </c>
      <c r="C620" t="inlineStr">
        <is>
          <t>400122</t>
        </is>
      </c>
      <c r="D620" t="inlineStr">
        <is>
          <t>Leasing PKW</t>
        </is>
      </c>
      <c r="E620" t="inlineStr">
        <is>
          <t>FUHRPARK</t>
        </is>
      </c>
      <c r="F620" t="inlineStr">
        <is>
          <t>Fuhrpark</t>
        </is>
      </c>
      <c r="G620" t="n">
        <v>2</v>
      </c>
      <c r="H620" t="n">
        <v>9171.190000000001</v>
      </c>
      <c r="I620" t="n">
        <v>0</v>
      </c>
      <c r="J620" t="n">
        <v>0</v>
      </c>
      <c r="K620" t="n">
        <v>9171.190000000001</v>
      </c>
      <c r="L620" t="n">
        <v>0</v>
      </c>
      <c r="M620" t="n">
        <v>0</v>
      </c>
      <c r="N620" t="n">
        <v>19</v>
      </c>
    </row>
    <row r="621">
      <c r="A621" t="n">
        <v>2026</v>
      </c>
      <c r="B621" t="n">
        <v>8</v>
      </c>
      <c r="C621" t="inlineStr">
        <is>
          <t>401000</t>
        </is>
      </c>
      <c r="D621" t="inlineStr">
        <is>
          <t>Aufwand Diesel</t>
        </is>
      </c>
      <c r="E621" t="inlineStr">
        <is>
          <t>FUHRPARK</t>
        </is>
      </c>
      <c r="F621" t="inlineStr">
        <is>
          <t>Fuhrpark</t>
        </is>
      </c>
      <c r="G621" t="n">
        <v>1</v>
      </c>
      <c r="H621" t="n">
        <v>7103.91</v>
      </c>
      <c r="I621" t="n">
        <v>0</v>
      </c>
      <c r="J621" t="n">
        <v>7103.91</v>
      </c>
      <c r="K621" t="n">
        <v>0</v>
      </c>
      <c r="L621" t="n">
        <v>0</v>
      </c>
      <c r="M621" t="n">
        <v>0</v>
      </c>
      <c r="N621" t="n">
        <v>25</v>
      </c>
    </row>
    <row r="622">
      <c r="A622" t="n">
        <v>2026</v>
      </c>
      <c r="B622" t="n">
        <v>8</v>
      </c>
      <c r="C622" t="inlineStr">
        <is>
          <t>401000</t>
        </is>
      </c>
      <c r="D622" t="inlineStr">
        <is>
          <t>Nicht zugeordnet</t>
        </is>
      </c>
      <c r="E622" t="inlineStr">
        <is>
          <t>SONSTIGES</t>
        </is>
      </c>
      <c r="F622" t="inlineStr">
        <is>
          <t>Sonstiges</t>
        </is>
      </c>
      <c r="G622" t="n">
        <v>2</v>
      </c>
      <c r="H622" t="n">
        <v>30690.7</v>
      </c>
      <c r="I622" t="n">
        <v>0</v>
      </c>
      <c r="J622" t="n">
        <v>0</v>
      </c>
      <c r="K622" t="n">
        <v>30690.7</v>
      </c>
      <c r="L622" t="n">
        <v>0</v>
      </c>
      <c r="M622" t="n">
        <v>0</v>
      </c>
      <c r="N622" t="n">
        <v>35</v>
      </c>
    </row>
    <row r="623">
      <c r="A623" t="n">
        <v>2026</v>
      </c>
      <c r="B623" t="n">
        <v>8</v>
      </c>
      <c r="C623" t="inlineStr">
        <is>
          <t>401015</t>
        </is>
      </c>
      <c r="D623" t="inlineStr">
        <is>
          <t>Alternative Antriebe (u.a. Strom, Wasser</t>
        </is>
      </c>
      <c r="E623" t="inlineStr">
        <is>
          <t>FUHRPARK</t>
        </is>
      </c>
      <c r="F623" t="inlineStr">
        <is>
          <t>Fuhrpark</t>
        </is>
      </c>
      <c r="G623" t="n">
        <v>2</v>
      </c>
      <c r="H623" t="n">
        <v>112.03</v>
      </c>
      <c r="I623" t="n">
        <v>0</v>
      </c>
      <c r="J623" t="n">
        <v>0</v>
      </c>
      <c r="K623" t="n">
        <v>112.03</v>
      </c>
      <c r="L623" t="n">
        <v>0</v>
      </c>
      <c r="M623" t="n">
        <v>0</v>
      </c>
      <c r="N623" t="n">
        <v>3</v>
      </c>
    </row>
    <row r="624">
      <c r="A624" t="n">
        <v>2026</v>
      </c>
      <c r="B624" t="n">
        <v>8</v>
      </c>
      <c r="C624" t="inlineStr">
        <is>
          <t>401030</t>
        </is>
      </c>
      <c r="D624" t="inlineStr">
        <is>
          <t>Kfz-Steuern</t>
        </is>
      </c>
      <c r="E624" t="inlineStr">
        <is>
          <t>STEUERN</t>
        </is>
      </c>
      <c r="F624" t="inlineStr">
        <is>
          <t>Versicherungen, Mieten, Steuern</t>
        </is>
      </c>
      <c r="G624" t="n">
        <v>9</v>
      </c>
      <c r="H624" t="n">
        <v>219.05</v>
      </c>
      <c r="I624" t="n">
        <v>0</v>
      </c>
      <c r="J624" t="n">
        <v>0</v>
      </c>
      <c r="K624" t="n">
        <v>0</v>
      </c>
      <c r="L624" t="n">
        <v>0</v>
      </c>
      <c r="M624" t="n">
        <v>219.05</v>
      </c>
      <c r="N624" t="n">
        <v>14</v>
      </c>
    </row>
    <row r="625">
      <c r="A625" t="n">
        <v>2026</v>
      </c>
      <c r="B625" t="n">
        <v>8</v>
      </c>
      <c r="C625" t="inlineStr">
        <is>
          <t>401040</t>
        </is>
      </c>
      <c r="D625" t="inlineStr">
        <is>
          <t>Kfz-Versicherungen</t>
        </is>
      </c>
      <c r="E625" t="inlineStr">
        <is>
          <t>FUHRPARK</t>
        </is>
      </c>
      <c r="F625" t="inlineStr">
        <is>
          <t>Fuhrpark</t>
        </is>
      </c>
      <c r="G625" t="n">
        <v>2</v>
      </c>
      <c r="H625" t="n">
        <v>719.34</v>
      </c>
      <c r="I625" t="n">
        <v>0</v>
      </c>
      <c r="J625" t="n">
        <v>0</v>
      </c>
      <c r="K625" t="n">
        <v>719.34</v>
      </c>
      <c r="L625" t="n">
        <v>0</v>
      </c>
      <c r="M625" t="n">
        <v>0</v>
      </c>
      <c r="N625" t="n">
        <v>21</v>
      </c>
    </row>
    <row r="626">
      <c r="A626" t="n">
        <v>2026</v>
      </c>
      <c r="B626" t="n">
        <v>8</v>
      </c>
      <c r="C626" t="inlineStr">
        <is>
          <t>401050</t>
        </is>
      </c>
      <c r="D626" t="inlineStr">
        <is>
          <t>Nicht zugeordnet</t>
        </is>
      </c>
      <c r="E626" t="inlineStr">
        <is>
          <t>SONSTIGES</t>
        </is>
      </c>
      <c r="F626" t="inlineStr">
        <is>
          <t>Sonstiges</t>
        </is>
      </c>
      <c r="G626" t="n">
        <v>2</v>
      </c>
      <c r="H626" t="n">
        <v>922.9400000000001</v>
      </c>
      <c r="I626" t="n">
        <v>0</v>
      </c>
      <c r="J626" t="n">
        <v>0</v>
      </c>
      <c r="K626" t="n">
        <v>922.9400000000001</v>
      </c>
      <c r="L626" t="n">
        <v>0</v>
      </c>
      <c r="M626" t="n">
        <v>0</v>
      </c>
      <c r="N626" t="n">
        <v>4</v>
      </c>
    </row>
    <row r="627">
      <c r="A627" t="n">
        <v>2026</v>
      </c>
      <c r="B627" t="n">
        <v>8</v>
      </c>
      <c r="C627" t="inlineStr">
        <is>
          <t>410130</t>
        </is>
      </c>
      <c r="D627" t="inlineStr">
        <is>
          <t>Sonderzahlungen und Prämien Gehaltsempfä</t>
        </is>
      </c>
      <c r="E627" t="inlineStr">
        <is>
          <t>PERSONAL</t>
        </is>
      </c>
      <c r="F627" t="inlineStr">
        <is>
          <t>Personal</t>
        </is>
      </c>
      <c r="G627" t="n">
        <v>2</v>
      </c>
      <c r="H627" t="n">
        <v>7372</v>
      </c>
      <c r="I627" t="n">
        <v>0</v>
      </c>
      <c r="J627" t="n">
        <v>0</v>
      </c>
      <c r="K627" t="n">
        <v>7372</v>
      </c>
      <c r="L627" t="n">
        <v>0</v>
      </c>
      <c r="M627" t="n">
        <v>0</v>
      </c>
      <c r="N627" t="n">
        <v>4</v>
      </c>
    </row>
    <row r="628">
      <c r="A628" t="n">
        <v>2026</v>
      </c>
      <c r="B628" t="n">
        <v>8</v>
      </c>
      <c r="C628" t="inlineStr">
        <is>
          <t>411070</t>
        </is>
      </c>
      <c r="D628" t="inlineStr">
        <is>
          <t>Personalwerbung</t>
        </is>
      </c>
      <c r="E628" t="inlineStr">
        <is>
          <t>PERSONAL</t>
        </is>
      </c>
      <c r="F628" t="inlineStr">
        <is>
          <t>Personal</t>
        </is>
      </c>
      <c r="G628" t="n">
        <v>2</v>
      </c>
      <c r="H628" t="n">
        <v>1012</v>
      </c>
      <c r="I628" t="n">
        <v>0</v>
      </c>
      <c r="J628" t="n">
        <v>0</v>
      </c>
      <c r="K628" t="n">
        <v>1012</v>
      </c>
      <c r="L628" t="n">
        <v>0</v>
      </c>
      <c r="M628" t="n">
        <v>0</v>
      </c>
      <c r="N628" t="n">
        <v>2</v>
      </c>
    </row>
    <row r="629">
      <c r="A629" t="n">
        <v>2026</v>
      </c>
      <c r="B629" t="n">
        <v>8</v>
      </c>
      <c r="C629" t="inlineStr">
        <is>
          <t>411090</t>
        </is>
      </c>
      <c r="D629" t="inlineStr">
        <is>
          <t>Schulung und Ausbildung</t>
        </is>
      </c>
      <c r="E629" t="inlineStr">
        <is>
          <t>PERSONAL</t>
        </is>
      </c>
      <c r="F629" t="inlineStr">
        <is>
          <t>Personal</t>
        </is>
      </c>
      <c r="G629" t="n">
        <v>2</v>
      </c>
      <c r="H629" t="n">
        <v>890</v>
      </c>
      <c r="I629" t="n">
        <v>0</v>
      </c>
      <c r="J629" t="n">
        <v>0</v>
      </c>
      <c r="K629" t="n">
        <v>890</v>
      </c>
      <c r="L629" t="n">
        <v>0</v>
      </c>
      <c r="M629" t="n">
        <v>0</v>
      </c>
      <c r="N629" t="n">
        <v>1</v>
      </c>
    </row>
    <row r="630">
      <c r="A630" t="n">
        <v>2026</v>
      </c>
      <c r="B630" t="n">
        <v>8</v>
      </c>
      <c r="C630" t="inlineStr">
        <is>
          <t>411100</t>
        </is>
      </c>
      <c r="D630" t="inlineStr">
        <is>
          <t>Arbeitskleidung und Arbeitschutzbedarf</t>
        </is>
      </c>
      <c r="E630" t="inlineStr">
        <is>
          <t>PERSONAL</t>
        </is>
      </c>
      <c r="F630" t="inlineStr">
        <is>
          <t>Personal</t>
        </is>
      </c>
      <c r="G630" t="n">
        <v>2</v>
      </c>
      <c r="H630" t="n">
        <v>1282.56</v>
      </c>
      <c r="I630" t="n">
        <v>0</v>
      </c>
      <c r="J630" t="n">
        <v>0</v>
      </c>
      <c r="K630" t="n">
        <v>1282.56</v>
      </c>
      <c r="L630" t="n">
        <v>0</v>
      </c>
      <c r="M630" t="n">
        <v>0</v>
      </c>
      <c r="N630" t="n">
        <v>11</v>
      </c>
    </row>
    <row r="631">
      <c r="A631" t="n">
        <v>2026</v>
      </c>
      <c r="B631" t="n">
        <v>8</v>
      </c>
      <c r="C631" t="inlineStr">
        <is>
          <t>411100</t>
        </is>
      </c>
      <c r="D631" t="inlineStr">
        <is>
          <t>Nicht zugeordnet</t>
        </is>
      </c>
      <c r="E631" t="inlineStr">
        <is>
          <t>SONSTIGES</t>
        </is>
      </c>
      <c r="F631" t="inlineStr">
        <is>
          <t>Sonstiges</t>
        </is>
      </c>
      <c r="G631" t="n">
        <v>2</v>
      </c>
      <c r="H631" t="n">
        <v>6126.2</v>
      </c>
      <c r="I631" t="n">
        <v>0</v>
      </c>
      <c r="J631" t="n">
        <v>0</v>
      </c>
      <c r="K631" t="n">
        <v>6126.2</v>
      </c>
      <c r="L631" t="n">
        <v>0</v>
      </c>
      <c r="M631" t="n">
        <v>0</v>
      </c>
      <c r="N631" t="n">
        <v>2</v>
      </c>
    </row>
    <row r="632">
      <c r="A632" t="n">
        <v>2026</v>
      </c>
      <c r="B632" t="n">
        <v>8</v>
      </c>
      <c r="C632" t="inlineStr">
        <is>
          <t>411900</t>
        </is>
      </c>
      <c r="D632" t="inlineStr">
        <is>
          <t>Nicht zugeordnet</t>
        </is>
      </c>
      <c r="E632" t="inlineStr">
        <is>
          <t>SONSTIGES</t>
        </is>
      </c>
      <c r="F632" t="inlineStr">
        <is>
          <t>Sonstiges</t>
        </is>
      </c>
      <c r="G632" t="n">
        <v>2</v>
      </c>
      <c r="H632" t="n">
        <v>3.34</v>
      </c>
      <c r="I632" t="n">
        <v>0</v>
      </c>
      <c r="J632" t="n">
        <v>0</v>
      </c>
      <c r="K632" t="n">
        <v>3.34</v>
      </c>
      <c r="L632" t="n">
        <v>0</v>
      </c>
      <c r="M632" t="n">
        <v>0</v>
      </c>
      <c r="N632" t="n">
        <v>1</v>
      </c>
    </row>
    <row r="633">
      <c r="A633" t="n">
        <v>2026</v>
      </c>
      <c r="B633" t="n">
        <v>8</v>
      </c>
      <c r="C633" t="inlineStr">
        <is>
          <t>411900</t>
        </is>
      </c>
      <c r="D633" t="inlineStr">
        <is>
          <t>Sonstige Personalkosten</t>
        </is>
      </c>
      <c r="E633" t="inlineStr">
        <is>
          <t>PERSONAL</t>
        </is>
      </c>
      <c r="F633" t="inlineStr">
        <is>
          <t>Personal</t>
        </is>
      </c>
      <c r="G633" t="n">
        <v>2</v>
      </c>
      <c r="H633" t="n">
        <v>1288.42</v>
      </c>
      <c r="I633" t="n">
        <v>0</v>
      </c>
      <c r="J633" t="n">
        <v>0</v>
      </c>
      <c r="K633" t="n">
        <v>1288.42</v>
      </c>
      <c r="L633" t="n">
        <v>0</v>
      </c>
      <c r="M633" t="n">
        <v>0</v>
      </c>
      <c r="N633" t="n">
        <v>17</v>
      </c>
    </row>
    <row r="634">
      <c r="A634" t="n">
        <v>2026</v>
      </c>
      <c r="B634" t="n">
        <v>8</v>
      </c>
      <c r="C634" t="inlineStr">
        <is>
          <t>420012</t>
        </is>
      </c>
      <c r="D634" t="inlineStr">
        <is>
          <t>Sonstige Kosten Grundstücke und Gebäude</t>
        </is>
      </c>
      <c r="E634" t="inlineStr">
        <is>
          <t>RAUM_ANLAGEN</t>
        </is>
      </c>
      <c r="F634" t="inlineStr">
        <is>
          <t>Raum, Energie, Instandhaltung</t>
        </is>
      </c>
      <c r="G634" t="n">
        <v>2</v>
      </c>
      <c r="H634" t="n">
        <v>3339.45</v>
      </c>
      <c r="I634" t="n">
        <v>0</v>
      </c>
      <c r="J634" t="n">
        <v>0</v>
      </c>
      <c r="K634" t="n">
        <v>3339.45</v>
      </c>
      <c r="L634" t="n">
        <v>0</v>
      </c>
      <c r="M634" t="n">
        <v>0</v>
      </c>
      <c r="N634" t="n">
        <v>9</v>
      </c>
    </row>
    <row r="635">
      <c r="A635" t="n">
        <v>2026</v>
      </c>
      <c r="B635" t="n">
        <v>8</v>
      </c>
      <c r="C635" t="inlineStr">
        <is>
          <t>420022</t>
        </is>
      </c>
      <c r="D635" t="inlineStr">
        <is>
          <t>Raumpflege fremde Gebäude</t>
        </is>
      </c>
      <c r="E635" t="inlineStr">
        <is>
          <t>RAUM_ANLAGEN</t>
        </is>
      </c>
      <c r="F635" t="inlineStr">
        <is>
          <t>Raum, Energie, Instandhaltung</t>
        </is>
      </c>
      <c r="G635" t="n">
        <v>2</v>
      </c>
      <c r="H635" t="n">
        <v>2915.46</v>
      </c>
      <c r="I635" t="n">
        <v>0</v>
      </c>
      <c r="J635" t="n">
        <v>0</v>
      </c>
      <c r="K635" t="n">
        <v>2915.46</v>
      </c>
      <c r="L635" t="n">
        <v>0</v>
      </c>
      <c r="M635" t="n">
        <v>0</v>
      </c>
      <c r="N635" t="n">
        <v>7</v>
      </c>
    </row>
    <row r="636">
      <c r="A636" t="n">
        <v>2026</v>
      </c>
      <c r="B636" t="n">
        <v>8</v>
      </c>
      <c r="C636" t="inlineStr">
        <is>
          <t>420030</t>
        </is>
      </c>
      <c r="D636" t="inlineStr">
        <is>
          <t>Aufwand Energie</t>
        </is>
      </c>
      <c r="E636" t="inlineStr">
        <is>
          <t>RAUM_ANLAGEN</t>
        </is>
      </c>
      <c r="F636" t="inlineStr">
        <is>
          <t>Raum, Energie, Instandhaltung</t>
        </is>
      </c>
      <c r="G636" t="n">
        <v>2</v>
      </c>
      <c r="H636" t="n">
        <v>348.75</v>
      </c>
      <c r="I636" t="n">
        <v>0</v>
      </c>
      <c r="J636" t="n">
        <v>0</v>
      </c>
      <c r="K636" t="n">
        <v>348.75</v>
      </c>
      <c r="L636" t="n">
        <v>0</v>
      </c>
      <c r="M636" t="n">
        <v>0</v>
      </c>
      <c r="N636" t="n">
        <v>7</v>
      </c>
    </row>
    <row r="637">
      <c r="A637" t="n">
        <v>2026</v>
      </c>
      <c r="B637" t="n">
        <v>8</v>
      </c>
      <c r="C637" t="inlineStr">
        <is>
          <t>420060</t>
        </is>
      </c>
      <c r="D637" t="inlineStr">
        <is>
          <t>Aufwand eigene Entsorgung</t>
        </is>
      </c>
      <c r="E637" t="inlineStr">
        <is>
          <t>RAUM_ANLAGEN</t>
        </is>
      </c>
      <c r="F637" t="inlineStr">
        <is>
          <t>Raum, Energie, Instandhaltung</t>
        </is>
      </c>
      <c r="G637" t="n">
        <v>1</v>
      </c>
      <c r="H637" t="n">
        <v>104.54</v>
      </c>
      <c r="I637" t="n">
        <v>0</v>
      </c>
      <c r="J637" t="n">
        <v>104.54</v>
      </c>
      <c r="K637" t="n">
        <v>0</v>
      </c>
      <c r="L637" t="n">
        <v>0</v>
      </c>
      <c r="M637" t="n">
        <v>0</v>
      </c>
      <c r="N637" t="n">
        <v>2</v>
      </c>
    </row>
    <row r="638">
      <c r="A638" t="n">
        <v>2026</v>
      </c>
      <c r="B638" t="n">
        <v>8</v>
      </c>
      <c r="C638" t="inlineStr">
        <is>
          <t>420100</t>
        </is>
      </c>
      <c r="D638" t="inlineStr">
        <is>
          <t>Instandhaltung Betriebsausstattung</t>
        </is>
      </c>
      <c r="E638" t="inlineStr">
        <is>
          <t>RAUM_ANLAGEN</t>
        </is>
      </c>
      <c r="F638" t="inlineStr">
        <is>
          <t>Raum, Energie, Instandhaltung</t>
        </is>
      </c>
      <c r="G638" t="n">
        <v>2</v>
      </c>
      <c r="H638" t="n">
        <v>1546.3</v>
      </c>
      <c r="I638" t="n">
        <v>0</v>
      </c>
      <c r="J638" t="n">
        <v>0</v>
      </c>
      <c r="K638" t="n">
        <v>1546.3</v>
      </c>
      <c r="L638" t="n">
        <v>0</v>
      </c>
      <c r="M638" t="n">
        <v>0</v>
      </c>
      <c r="N638" t="n">
        <v>1</v>
      </c>
    </row>
    <row r="639">
      <c r="A639" t="n">
        <v>2026</v>
      </c>
      <c r="B639" t="n">
        <v>8</v>
      </c>
      <c r="C639" t="inlineStr">
        <is>
          <t>420100</t>
        </is>
      </c>
      <c r="D639" t="inlineStr">
        <is>
          <t>Nicht zugeordnet</t>
        </is>
      </c>
      <c r="E639" t="inlineStr">
        <is>
          <t>SONSTIGES</t>
        </is>
      </c>
      <c r="F639" t="inlineStr">
        <is>
          <t>Sonstiges</t>
        </is>
      </c>
      <c r="G639" t="n">
        <v>2</v>
      </c>
      <c r="H639" t="n">
        <v>51.23</v>
      </c>
      <c r="I639" t="n">
        <v>0</v>
      </c>
      <c r="J639" t="n">
        <v>0</v>
      </c>
      <c r="K639" t="n">
        <v>51.23</v>
      </c>
      <c r="L639" t="n">
        <v>0</v>
      </c>
      <c r="M639" t="n">
        <v>0</v>
      </c>
      <c r="N639" t="n">
        <v>2</v>
      </c>
    </row>
    <row r="640">
      <c r="A640" t="n">
        <v>2026</v>
      </c>
      <c r="B640" t="n">
        <v>8</v>
      </c>
      <c r="C640" t="inlineStr">
        <is>
          <t>420400</t>
        </is>
      </c>
      <c r="D640" t="inlineStr">
        <is>
          <t>Instandhaltung Geschäftsausstattung</t>
        </is>
      </c>
      <c r="E640" t="inlineStr">
        <is>
          <t>RAUM_ANLAGEN</t>
        </is>
      </c>
      <c r="F640" t="inlineStr">
        <is>
          <t>Raum, Energie, Instandhaltung</t>
        </is>
      </c>
      <c r="G640" t="n">
        <v>2</v>
      </c>
      <c r="H640" t="n">
        <v>1872.66</v>
      </c>
      <c r="I640" t="n">
        <v>0</v>
      </c>
      <c r="J640" t="n">
        <v>0</v>
      </c>
      <c r="K640" t="n">
        <v>1872.66</v>
      </c>
      <c r="L640" t="n">
        <v>0</v>
      </c>
      <c r="M640" t="n">
        <v>0</v>
      </c>
      <c r="N640" t="n">
        <v>13</v>
      </c>
    </row>
    <row r="641">
      <c r="A641" t="n">
        <v>2026</v>
      </c>
      <c r="B641" t="n">
        <v>8</v>
      </c>
      <c r="C641" t="inlineStr">
        <is>
          <t>420400</t>
        </is>
      </c>
      <c r="D641" t="inlineStr">
        <is>
          <t>Nicht zugeordnet</t>
        </is>
      </c>
      <c r="E641" t="inlineStr">
        <is>
          <t>SONSTIGES</t>
        </is>
      </c>
      <c r="F641" t="inlineStr">
        <is>
          <t>Sonstiges</t>
        </is>
      </c>
      <c r="G641" t="n">
        <v>2</v>
      </c>
      <c r="H641" t="n">
        <v>22.26</v>
      </c>
      <c r="I641" t="n">
        <v>0</v>
      </c>
      <c r="J641" t="n">
        <v>0</v>
      </c>
      <c r="K641" t="n">
        <v>22.26</v>
      </c>
      <c r="L641" t="n">
        <v>0</v>
      </c>
      <c r="M641" t="n">
        <v>0</v>
      </c>
      <c r="N641" t="n">
        <v>1</v>
      </c>
    </row>
    <row r="642">
      <c r="A642" t="n">
        <v>2026</v>
      </c>
      <c r="B642" t="n">
        <v>8</v>
      </c>
      <c r="C642" t="inlineStr">
        <is>
          <t>420600</t>
        </is>
      </c>
      <c r="D642" t="inlineStr">
        <is>
          <t>Nicht zugeordnet</t>
        </is>
      </c>
      <c r="E642" t="inlineStr">
        <is>
          <t>SONSTIGES</t>
        </is>
      </c>
      <c r="F642" t="inlineStr">
        <is>
          <t>Sonstiges</t>
        </is>
      </c>
      <c r="G642" t="n">
        <v>2</v>
      </c>
      <c r="H642" t="n">
        <v>206.53</v>
      </c>
      <c r="I642" t="n">
        <v>0</v>
      </c>
      <c r="J642" t="n">
        <v>0</v>
      </c>
      <c r="K642" t="n">
        <v>206.53</v>
      </c>
      <c r="L642" t="n">
        <v>0</v>
      </c>
      <c r="M642" t="n">
        <v>0</v>
      </c>
      <c r="N642" t="n">
        <v>5</v>
      </c>
    </row>
    <row r="643">
      <c r="A643" t="n">
        <v>2026</v>
      </c>
      <c r="B643" t="n">
        <v>8</v>
      </c>
      <c r="C643" t="inlineStr">
        <is>
          <t>420600</t>
        </is>
      </c>
      <c r="D643" t="inlineStr">
        <is>
          <t>Werkstattbedarf (Kleinwerkzeuge b.100,-D</t>
        </is>
      </c>
      <c r="E643" t="inlineStr">
        <is>
          <t>RAUM_ANLAGEN</t>
        </is>
      </c>
      <c r="F643" t="inlineStr">
        <is>
          <t>Raum, Energie, Instandhaltung</t>
        </is>
      </c>
      <c r="G643" t="n">
        <v>2</v>
      </c>
      <c r="H643" t="n">
        <v>2518.98</v>
      </c>
      <c r="I643" t="n">
        <v>0</v>
      </c>
      <c r="J643" t="n">
        <v>0</v>
      </c>
      <c r="K643" t="n">
        <v>2518.98</v>
      </c>
      <c r="L643" t="n">
        <v>0</v>
      </c>
      <c r="M643" t="n">
        <v>0</v>
      </c>
      <c r="N643" t="n">
        <v>5</v>
      </c>
    </row>
    <row r="644">
      <c r="A644" t="n">
        <v>2026</v>
      </c>
      <c r="B644" t="n">
        <v>8</v>
      </c>
      <c r="C644" t="inlineStr">
        <is>
          <t>420700</t>
        </is>
      </c>
      <c r="D644" t="inlineStr">
        <is>
          <t>Nicht zugeordnet</t>
        </is>
      </c>
      <c r="E644" t="inlineStr">
        <is>
          <t>SONSTIGES</t>
        </is>
      </c>
      <c r="F644" t="inlineStr">
        <is>
          <t>Sonstiges</t>
        </is>
      </c>
      <c r="G644" t="n">
        <v>2</v>
      </c>
      <c r="H644" t="n">
        <v>71.41</v>
      </c>
      <c r="I644" t="n">
        <v>0</v>
      </c>
      <c r="J644" t="n">
        <v>0</v>
      </c>
      <c r="K644" t="n">
        <v>71.41</v>
      </c>
      <c r="L644" t="n">
        <v>0</v>
      </c>
      <c r="M644" t="n">
        <v>0</v>
      </c>
      <c r="N644" t="n">
        <v>1</v>
      </c>
    </row>
    <row r="645">
      <c r="A645" t="n">
        <v>2026</v>
      </c>
      <c r="B645" t="n">
        <v>8</v>
      </c>
      <c r="C645" t="inlineStr">
        <is>
          <t>420700</t>
        </is>
      </c>
      <c r="D645" t="inlineStr">
        <is>
          <t>Verbrauch Hilfs- u. Betriebsstoffe</t>
        </is>
      </c>
      <c r="E645" t="inlineStr">
        <is>
          <t>RAUM_ANLAGEN</t>
        </is>
      </c>
      <c r="F645" t="inlineStr">
        <is>
          <t>Raum, Energie, Instandhaltung</t>
        </is>
      </c>
      <c r="G645" t="n">
        <v>2</v>
      </c>
      <c r="H645" t="n">
        <v>3946.85</v>
      </c>
      <c r="I645" t="n">
        <v>0</v>
      </c>
      <c r="J645" t="n">
        <v>0</v>
      </c>
      <c r="K645" t="n">
        <v>3946.85</v>
      </c>
      <c r="L645" t="n">
        <v>0</v>
      </c>
      <c r="M645" t="n">
        <v>0</v>
      </c>
      <c r="N645" t="n">
        <v>1</v>
      </c>
    </row>
    <row r="646">
      <c r="A646" t="n">
        <v>2026</v>
      </c>
      <c r="B646" t="n">
        <v>8</v>
      </c>
      <c r="C646" t="inlineStr">
        <is>
          <t>430010</t>
        </is>
      </c>
      <c r="D646" t="inlineStr">
        <is>
          <t>Vermögensteuer, Grundsteuer u.a.</t>
        </is>
      </c>
      <c r="E646" t="inlineStr">
        <is>
          <t>STEUERN</t>
        </is>
      </c>
      <c r="F646" t="inlineStr">
        <is>
          <t>Versicherungen, Mieten, Steuern</t>
        </is>
      </c>
      <c r="G646" t="n">
        <v>9</v>
      </c>
      <c r="H646" t="n">
        <v>148.09</v>
      </c>
      <c r="I646" t="n">
        <v>0</v>
      </c>
      <c r="J646" t="n">
        <v>0</v>
      </c>
      <c r="K646" t="n">
        <v>0</v>
      </c>
      <c r="L646" t="n">
        <v>0</v>
      </c>
      <c r="M646" t="n">
        <v>148.09</v>
      </c>
      <c r="N646" t="n">
        <v>1</v>
      </c>
    </row>
    <row r="647">
      <c r="A647" t="n">
        <v>2026</v>
      </c>
      <c r="B647" t="n">
        <v>8</v>
      </c>
      <c r="C647" t="inlineStr">
        <is>
          <t>430110</t>
        </is>
      </c>
      <c r="D647" t="inlineStr">
        <is>
          <t>Aufwendungen für Versicherungsschäden</t>
        </is>
      </c>
      <c r="E647" t="inlineStr">
        <is>
          <t>VERSICHERUNG_MIETE</t>
        </is>
      </c>
      <c r="F647" t="inlineStr">
        <is>
          <t>Versicherungen, Mieten, Steuern</t>
        </is>
      </c>
      <c r="G647" t="n">
        <v>2</v>
      </c>
      <c r="H647" t="n">
        <v>500</v>
      </c>
      <c r="I647" t="n">
        <v>0</v>
      </c>
      <c r="J647" t="n">
        <v>0</v>
      </c>
      <c r="K647" t="n">
        <v>500</v>
      </c>
      <c r="L647" t="n">
        <v>0</v>
      </c>
      <c r="M647" t="n">
        <v>0</v>
      </c>
      <c r="N647" t="n">
        <v>1</v>
      </c>
    </row>
    <row r="648">
      <c r="A648" t="n">
        <v>2026</v>
      </c>
      <c r="B648" t="n">
        <v>8</v>
      </c>
      <c r="C648" t="inlineStr">
        <is>
          <t>430120</t>
        </is>
      </c>
      <c r="D648" t="inlineStr">
        <is>
          <t>Nicht zugeordnet</t>
        </is>
      </c>
      <c r="E648" t="inlineStr">
        <is>
          <t>SONSTIGES</t>
        </is>
      </c>
      <c r="F648" t="inlineStr">
        <is>
          <t>Sonstiges</t>
        </is>
      </c>
      <c r="G648" t="n">
        <v>2</v>
      </c>
      <c r="H648" t="n">
        <v>801.22</v>
      </c>
      <c r="I648" t="n">
        <v>0</v>
      </c>
      <c r="J648" t="n">
        <v>0</v>
      </c>
      <c r="K648" t="n">
        <v>801.22</v>
      </c>
      <c r="L648" t="n">
        <v>0</v>
      </c>
      <c r="M648" t="n">
        <v>0</v>
      </c>
      <c r="N648" t="n">
        <v>5</v>
      </c>
    </row>
    <row r="649">
      <c r="A649" t="n">
        <v>2026</v>
      </c>
      <c r="B649" t="n">
        <v>8</v>
      </c>
      <c r="C649" t="inlineStr">
        <is>
          <t>430120</t>
        </is>
      </c>
      <c r="D649" t="inlineStr">
        <is>
          <t>Sonstige Versicherungen</t>
        </is>
      </c>
      <c r="E649" t="inlineStr">
        <is>
          <t>VERSICHERUNG_MIETE</t>
        </is>
      </c>
      <c r="F649" t="inlineStr">
        <is>
          <t>Versicherungen, Mieten, Steuern</t>
        </is>
      </c>
      <c r="G649" t="n">
        <v>2</v>
      </c>
      <c r="H649" t="n">
        <v>9838.58</v>
      </c>
      <c r="I649" t="n">
        <v>0</v>
      </c>
      <c r="J649" t="n">
        <v>0</v>
      </c>
      <c r="K649" t="n">
        <v>9838.58</v>
      </c>
      <c r="L649" t="n">
        <v>0</v>
      </c>
      <c r="M649" t="n">
        <v>0</v>
      </c>
      <c r="N649" t="n">
        <v>12</v>
      </c>
    </row>
    <row r="650">
      <c r="A650" t="n">
        <v>2026</v>
      </c>
      <c r="B650" t="n">
        <v>8</v>
      </c>
      <c r="C650" t="inlineStr">
        <is>
          <t>430121</t>
        </is>
      </c>
      <c r="D650" t="inlineStr">
        <is>
          <t>Warenkreditversicherung</t>
        </is>
      </c>
      <c r="E650" t="inlineStr">
        <is>
          <t>VERSICHERUNG_MIETE</t>
        </is>
      </c>
      <c r="F650" t="inlineStr">
        <is>
          <t>Versicherungen, Mieten, Steuern</t>
        </is>
      </c>
      <c r="G650" t="n">
        <v>2</v>
      </c>
      <c r="H650" t="n">
        <v>2842.16</v>
      </c>
      <c r="I650" t="n">
        <v>0</v>
      </c>
      <c r="J650" t="n">
        <v>0</v>
      </c>
      <c r="K650" t="n">
        <v>2842.16</v>
      </c>
      <c r="L650" t="n">
        <v>0</v>
      </c>
      <c r="M650" t="n">
        <v>0</v>
      </c>
      <c r="N650" t="n">
        <v>4</v>
      </c>
    </row>
    <row r="651">
      <c r="A651" t="n">
        <v>2026</v>
      </c>
      <c r="B651" t="n">
        <v>8</v>
      </c>
      <c r="C651" t="inlineStr">
        <is>
          <t>431010</t>
        </is>
      </c>
      <c r="D651" t="inlineStr">
        <is>
          <t>Mieten Räume</t>
        </is>
      </c>
      <c r="E651" t="inlineStr">
        <is>
          <t>VERSICHERUNG_MIETE</t>
        </is>
      </c>
      <c r="F651" t="inlineStr">
        <is>
          <t>Versicherungen, Mieten, Steuern</t>
        </is>
      </c>
      <c r="G651" t="n">
        <v>2</v>
      </c>
      <c r="H651" t="n">
        <v>9144.450000000001</v>
      </c>
      <c r="I651" t="n">
        <v>0</v>
      </c>
      <c r="J651" t="n">
        <v>0</v>
      </c>
      <c r="K651" t="n">
        <v>9144.450000000001</v>
      </c>
      <c r="L651" t="n">
        <v>0</v>
      </c>
      <c r="M651" t="n">
        <v>0</v>
      </c>
      <c r="N651" t="n">
        <v>8</v>
      </c>
    </row>
    <row r="652">
      <c r="A652" t="n">
        <v>2026</v>
      </c>
      <c r="B652" t="n">
        <v>8</v>
      </c>
      <c r="C652" t="inlineStr">
        <is>
          <t>431020</t>
        </is>
      </c>
      <c r="D652" t="inlineStr">
        <is>
          <t>Mieten Plätze</t>
        </is>
      </c>
      <c r="E652" t="inlineStr">
        <is>
          <t>VERSICHERUNG_MIETE</t>
        </is>
      </c>
      <c r="F652" t="inlineStr">
        <is>
          <t>Versicherungen, Mieten, Steuern</t>
        </is>
      </c>
      <c r="G652" t="n">
        <v>2</v>
      </c>
      <c r="H652" t="n">
        <v>4394.69</v>
      </c>
      <c r="I652" t="n">
        <v>0</v>
      </c>
      <c r="J652" t="n">
        <v>0</v>
      </c>
      <c r="K652" t="n">
        <v>4394.69</v>
      </c>
      <c r="L652" t="n">
        <v>0</v>
      </c>
      <c r="M652" t="n">
        <v>0</v>
      </c>
      <c r="N652" t="n">
        <v>11</v>
      </c>
    </row>
    <row r="653">
      <c r="A653" t="n">
        <v>2026</v>
      </c>
      <c r="B653" t="n">
        <v>8</v>
      </c>
      <c r="C653" t="inlineStr">
        <is>
          <t>431020</t>
        </is>
      </c>
      <c r="D653" t="inlineStr">
        <is>
          <t>Nicht zugeordnet</t>
        </is>
      </c>
      <c r="E653" t="inlineStr">
        <is>
          <t>SONSTIGES</t>
        </is>
      </c>
      <c r="F653" t="inlineStr">
        <is>
          <t>Sonstiges</t>
        </is>
      </c>
      <c r="G653" t="n">
        <v>2</v>
      </c>
      <c r="H653" t="n">
        <v>280.5</v>
      </c>
      <c r="I653" t="n">
        <v>0</v>
      </c>
      <c r="J653" t="n">
        <v>0</v>
      </c>
      <c r="K653" t="n">
        <v>280.5</v>
      </c>
      <c r="L653" t="n">
        <v>0</v>
      </c>
      <c r="M653" t="n">
        <v>0</v>
      </c>
      <c r="N653" t="n">
        <v>1</v>
      </c>
    </row>
    <row r="654">
      <c r="A654" t="n">
        <v>2026</v>
      </c>
      <c r="B654" t="n">
        <v>8</v>
      </c>
      <c r="C654" t="inlineStr">
        <is>
          <t>431041</t>
        </is>
      </c>
      <c r="D654" t="inlineStr">
        <is>
          <t>Miete Behälter</t>
        </is>
      </c>
      <c r="E654" t="inlineStr">
        <is>
          <t>VERSICHERUNG_MIETE</t>
        </is>
      </c>
      <c r="F654" t="inlineStr">
        <is>
          <t>Versicherungen, Mieten, Steuern</t>
        </is>
      </c>
      <c r="G654" t="n">
        <v>2</v>
      </c>
      <c r="H654" t="n">
        <v>1277.4</v>
      </c>
      <c r="I654" t="n">
        <v>0</v>
      </c>
      <c r="J654" t="n">
        <v>0</v>
      </c>
      <c r="K654" t="n">
        <v>1277.4</v>
      </c>
      <c r="L654" t="n">
        <v>0</v>
      </c>
      <c r="M654" t="n">
        <v>0</v>
      </c>
      <c r="N654" t="n">
        <v>4</v>
      </c>
    </row>
    <row r="655">
      <c r="A655" t="n">
        <v>2026</v>
      </c>
      <c r="B655" t="n">
        <v>8</v>
      </c>
      <c r="C655" t="inlineStr">
        <is>
          <t>450010</t>
        </is>
      </c>
      <c r="D655" t="inlineStr">
        <is>
          <t>Reisekosten Betriebsangehörige</t>
        </is>
      </c>
      <c r="E655" t="inlineStr">
        <is>
          <t>REISE_WERBUNG</t>
        </is>
      </c>
      <c r="F655" t="inlineStr">
        <is>
          <t>Transport, Reise, Werbung</t>
        </is>
      </c>
      <c r="G655" t="n">
        <v>2</v>
      </c>
      <c r="H655" t="n">
        <v>1535.34</v>
      </c>
      <c r="I655" t="n">
        <v>0</v>
      </c>
      <c r="J655" t="n">
        <v>0</v>
      </c>
      <c r="K655" t="n">
        <v>1535.34</v>
      </c>
      <c r="L655" t="n">
        <v>0</v>
      </c>
      <c r="M655" t="n">
        <v>0</v>
      </c>
      <c r="N655" t="n">
        <v>34</v>
      </c>
    </row>
    <row r="656">
      <c r="A656" t="n">
        <v>2026</v>
      </c>
      <c r="B656" t="n">
        <v>8</v>
      </c>
      <c r="C656" t="inlineStr">
        <is>
          <t>450011</t>
        </is>
      </c>
      <c r="D656" t="inlineStr">
        <is>
          <t>Verpfl.mehraufwand (pauschal)</t>
        </is>
      </c>
      <c r="E656" t="inlineStr">
        <is>
          <t>REISE_WERBUNG</t>
        </is>
      </c>
      <c r="F656" t="inlineStr">
        <is>
          <t>Transport, Reise, Werbung</t>
        </is>
      </c>
      <c r="G656" t="n">
        <v>2</v>
      </c>
      <c r="H656" t="n">
        <v>280</v>
      </c>
      <c r="I656" t="n">
        <v>0</v>
      </c>
      <c r="J656" t="n">
        <v>0</v>
      </c>
      <c r="K656" t="n">
        <v>280</v>
      </c>
      <c r="L656" t="n">
        <v>0</v>
      </c>
      <c r="M656" t="n">
        <v>0</v>
      </c>
      <c r="N656" t="n">
        <v>6</v>
      </c>
    </row>
    <row r="657">
      <c r="A657" t="n">
        <v>2026</v>
      </c>
      <c r="B657" t="n">
        <v>8</v>
      </c>
      <c r="C657" t="inlineStr">
        <is>
          <t>450012</t>
        </is>
      </c>
      <c r="D657" t="inlineStr">
        <is>
          <t>Kilometergeld (pauschal)</t>
        </is>
      </c>
      <c r="E657" t="inlineStr">
        <is>
          <t>REISE_WERBUNG</t>
        </is>
      </c>
      <c r="F657" t="inlineStr">
        <is>
          <t>Transport, Reise, Werbung</t>
        </is>
      </c>
      <c r="G657" t="n">
        <v>2</v>
      </c>
      <c r="H657" t="n">
        <v>334.02</v>
      </c>
      <c r="I657" t="n">
        <v>0</v>
      </c>
      <c r="J657" t="n">
        <v>0</v>
      </c>
      <c r="K657" t="n">
        <v>334.02</v>
      </c>
      <c r="L657" t="n">
        <v>0</v>
      </c>
      <c r="M657" t="n">
        <v>0</v>
      </c>
      <c r="N657" t="n">
        <v>1</v>
      </c>
    </row>
    <row r="658">
      <c r="A658" t="n">
        <v>2026</v>
      </c>
      <c r="B658" t="n">
        <v>8</v>
      </c>
      <c r="C658" t="inlineStr">
        <is>
          <t>450013</t>
        </is>
      </c>
      <c r="D658" t="inlineStr">
        <is>
          <t>Kürzung Verpfleg.mehraufwand</t>
        </is>
      </c>
      <c r="E658" t="inlineStr">
        <is>
          <t>REISE_WERBUNG</t>
        </is>
      </c>
      <c r="F658" t="inlineStr">
        <is>
          <t>Transport, Reise, Werbung</t>
        </is>
      </c>
      <c r="G658" t="n">
        <v>2</v>
      </c>
      <c r="H658" t="n">
        <v>-25.2</v>
      </c>
      <c r="I658" t="n">
        <v>0</v>
      </c>
      <c r="J658" t="n">
        <v>0</v>
      </c>
      <c r="K658" t="n">
        <v>-25.2</v>
      </c>
      <c r="L658" t="n">
        <v>0</v>
      </c>
      <c r="M658" t="n">
        <v>0</v>
      </c>
      <c r="N658" t="n">
        <v>1</v>
      </c>
    </row>
    <row r="659">
      <c r="A659" t="n">
        <v>2026</v>
      </c>
      <c r="B659" t="n">
        <v>8</v>
      </c>
      <c r="C659" t="inlineStr">
        <is>
          <t>450020</t>
        </is>
      </c>
      <c r="D659" t="inlineStr">
        <is>
          <t>Reisekosten Betriebsfremde</t>
        </is>
      </c>
      <c r="E659" t="inlineStr">
        <is>
          <t>REISE_WERBUNG</t>
        </is>
      </c>
      <c r="F659" t="inlineStr">
        <is>
          <t>Transport, Reise, Werbung</t>
        </is>
      </c>
      <c r="G659" t="n">
        <v>2</v>
      </c>
      <c r="H659" t="n">
        <v>407.05</v>
      </c>
      <c r="I659" t="n">
        <v>0</v>
      </c>
      <c r="J659" t="n">
        <v>0</v>
      </c>
      <c r="K659" t="n">
        <v>407.05</v>
      </c>
      <c r="L659" t="n">
        <v>0</v>
      </c>
      <c r="M659" t="n">
        <v>0</v>
      </c>
      <c r="N659" t="n">
        <v>9</v>
      </c>
    </row>
    <row r="660">
      <c r="A660" t="n">
        <v>2026</v>
      </c>
      <c r="B660" t="n">
        <v>8</v>
      </c>
      <c r="C660" t="inlineStr">
        <is>
          <t>450030</t>
        </is>
      </c>
      <c r="D660" t="inlineStr">
        <is>
          <t>Bewirtung zu 100 % abzugsfähig</t>
        </is>
      </c>
      <c r="E660" t="inlineStr">
        <is>
          <t>REISE_WERBUNG</t>
        </is>
      </c>
      <c r="F660" t="inlineStr">
        <is>
          <t>Transport, Reise, Werbung</t>
        </is>
      </c>
      <c r="G660" t="n">
        <v>2</v>
      </c>
      <c r="H660" t="n">
        <v>514.6799999999999</v>
      </c>
      <c r="I660" t="n">
        <v>0</v>
      </c>
      <c r="J660" t="n">
        <v>0</v>
      </c>
      <c r="K660" t="n">
        <v>514.6799999999999</v>
      </c>
      <c r="L660" t="n">
        <v>0</v>
      </c>
      <c r="M660" t="n">
        <v>0</v>
      </c>
      <c r="N660" t="n">
        <v>20</v>
      </c>
    </row>
    <row r="661">
      <c r="A661" t="n">
        <v>2026</v>
      </c>
      <c r="B661" t="n">
        <v>8</v>
      </c>
      <c r="C661" t="inlineStr">
        <is>
          <t>450030</t>
        </is>
      </c>
      <c r="D661" t="inlineStr">
        <is>
          <t>Nicht zugeordnet</t>
        </is>
      </c>
      <c r="E661" t="inlineStr">
        <is>
          <t>SONSTIGES</t>
        </is>
      </c>
      <c r="F661" t="inlineStr">
        <is>
          <t>Sonstiges</t>
        </is>
      </c>
      <c r="G661" t="n">
        <v>2</v>
      </c>
      <c r="H661" t="n">
        <v>39.67</v>
      </c>
      <c r="I661" t="n">
        <v>0</v>
      </c>
      <c r="J661" t="n">
        <v>0</v>
      </c>
      <c r="K661" t="n">
        <v>39.67</v>
      </c>
      <c r="L661" t="n">
        <v>0</v>
      </c>
      <c r="M661" t="n">
        <v>0</v>
      </c>
      <c r="N661" t="n">
        <v>2</v>
      </c>
    </row>
    <row r="662">
      <c r="A662" t="n">
        <v>2026</v>
      </c>
      <c r="B662" t="n">
        <v>8</v>
      </c>
      <c r="C662" t="inlineStr">
        <is>
          <t>450039</t>
        </is>
      </c>
      <c r="D662" t="inlineStr">
        <is>
          <t>Bewirtung zu 70 % abzugsfähig</t>
        </is>
      </c>
      <c r="E662" t="inlineStr">
        <is>
          <t>REISE_WERBUNG</t>
        </is>
      </c>
      <c r="F662" t="inlineStr">
        <is>
          <t>Transport, Reise, Werbung</t>
        </is>
      </c>
      <c r="G662" t="n">
        <v>2</v>
      </c>
      <c r="H662" t="n">
        <v>614.77</v>
      </c>
      <c r="I662" t="n">
        <v>0</v>
      </c>
      <c r="J662" t="n">
        <v>0</v>
      </c>
      <c r="K662" t="n">
        <v>614.77</v>
      </c>
      <c r="L662" t="n">
        <v>0</v>
      </c>
      <c r="M662" t="n">
        <v>0</v>
      </c>
      <c r="N662" t="n">
        <v>17</v>
      </c>
    </row>
    <row r="663">
      <c r="A663" t="n">
        <v>2026</v>
      </c>
      <c r="B663" t="n">
        <v>8</v>
      </c>
      <c r="C663" t="inlineStr">
        <is>
          <t>450039</t>
        </is>
      </c>
      <c r="D663" t="inlineStr">
        <is>
          <t>Nicht zugeordnet</t>
        </is>
      </c>
      <c r="E663" t="inlineStr">
        <is>
          <t>SONSTIGES</t>
        </is>
      </c>
      <c r="F663" t="inlineStr">
        <is>
          <t>Sonstiges</t>
        </is>
      </c>
      <c r="G663" t="n">
        <v>2</v>
      </c>
      <c r="H663" t="n">
        <v>131.82</v>
      </c>
      <c r="I663" t="n">
        <v>0</v>
      </c>
      <c r="J663" t="n">
        <v>0</v>
      </c>
      <c r="K663" t="n">
        <v>131.82</v>
      </c>
      <c r="L663" t="n">
        <v>0</v>
      </c>
      <c r="M663" t="n">
        <v>0</v>
      </c>
      <c r="N663" t="n">
        <v>6</v>
      </c>
    </row>
    <row r="664">
      <c r="A664" t="n">
        <v>2026</v>
      </c>
      <c r="B664" t="n">
        <v>8</v>
      </c>
      <c r="C664" t="inlineStr">
        <is>
          <t>450080</t>
        </is>
      </c>
      <c r="D664" t="inlineStr">
        <is>
          <t>Werbung</t>
        </is>
      </c>
      <c r="E664" t="inlineStr">
        <is>
          <t>REISE_WERBUNG</t>
        </is>
      </c>
      <c r="F664" t="inlineStr">
        <is>
          <t>Transport, Reise, Werbung</t>
        </is>
      </c>
      <c r="G664" t="n">
        <v>2</v>
      </c>
      <c r="H664" t="n">
        <v>87</v>
      </c>
      <c r="I664" t="n">
        <v>0</v>
      </c>
      <c r="J664" t="n">
        <v>0</v>
      </c>
      <c r="K664" t="n">
        <v>87</v>
      </c>
      <c r="L664" t="n">
        <v>0</v>
      </c>
      <c r="M664" t="n">
        <v>0</v>
      </c>
      <c r="N664" t="n">
        <v>1</v>
      </c>
    </row>
    <row r="665">
      <c r="A665" t="n">
        <v>2026</v>
      </c>
      <c r="B665" t="n">
        <v>8</v>
      </c>
      <c r="C665" t="inlineStr">
        <is>
          <t>460010</t>
        </is>
      </c>
      <c r="D665" t="inlineStr">
        <is>
          <t>Büromaterial</t>
        </is>
      </c>
      <c r="E665" t="inlineStr">
        <is>
          <t>VERWALTUNG</t>
        </is>
      </c>
      <c r="F665" t="inlineStr">
        <is>
          <t>Verwaltung und Beratung</t>
        </is>
      </c>
      <c r="G665" t="n">
        <v>2</v>
      </c>
      <c r="H665" t="n">
        <v>398.69</v>
      </c>
      <c r="I665" t="n">
        <v>0</v>
      </c>
      <c r="J665" t="n">
        <v>0</v>
      </c>
      <c r="K665" t="n">
        <v>398.69</v>
      </c>
      <c r="L665" t="n">
        <v>0</v>
      </c>
      <c r="M665" t="n">
        <v>0</v>
      </c>
      <c r="N665" t="n">
        <v>5</v>
      </c>
    </row>
    <row r="666">
      <c r="A666" t="n">
        <v>2026</v>
      </c>
      <c r="B666" t="n">
        <v>8</v>
      </c>
      <c r="C666" t="inlineStr">
        <is>
          <t>460020</t>
        </is>
      </c>
      <c r="D666" t="inlineStr">
        <is>
          <t>Zeitungen, Zeitschrift.und Bücher</t>
        </is>
      </c>
      <c r="E666" t="inlineStr">
        <is>
          <t>VERWALTUNG</t>
        </is>
      </c>
      <c r="F666" t="inlineStr">
        <is>
          <t>Verwaltung und Beratung</t>
        </is>
      </c>
      <c r="G666" t="n">
        <v>2</v>
      </c>
      <c r="H666" t="n">
        <v>101.47</v>
      </c>
      <c r="I666" t="n">
        <v>0</v>
      </c>
      <c r="J666" t="n">
        <v>0</v>
      </c>
      <c r="K666" t="n">
        <v>101.47</v>
      </c>
      <c r="L666" t="n">
        <v>0</v>
      </c>
      <c r="M666" t="n">
        <v>0</v>
      </c>
      <c r="N666" t="n">
        <v>3</v>
      </c>
    </row>
    <row r="667">
      <c r="A667" t="n">
        <v>2026</v>
      </c>
      <c r="B667" t="n">
        <v>8</v>
      </c>
      <c r="C667" t="inlineStr">
        <is>
          <t>460030</t>
        </is>
      </c>
      <c r="D667" t="inlineStr">
        <is>
          <t>Telekommunikation</t>
        </is>
      </c>
      <c r="E667" t="inlineStr">
        <is>
          <t>VERWALTUNG</t>
        </is>
      </c>
      <c r="F667" t="inlineStr">
        <is>
          <t>Verwaltung und Beratung</t>
        </is>
      </c>
      <c r="G667" t="n">
        <v>2</v>
      </c>
      <c r="H667" t="n">
        <v>1810.59</v>
      </c>
      <c r="I667" t="n">
        <v>0</v>
      </c>
      <c r="J667" t="n">
        <v>0</v>
      </c>
      <c r="K667" t="n">
        <v>1810.59</v>
      </c>
      <c r="L667" t="n">
        <v>0</v>
      </c>
      <c r="M667" t="n">
        <v>0</v>
      </c>
      <c r="N667" t="n">
        <v>17</v>
      </c>
    </row>
    <row r="668">
      <c r="A668" t="n">
        <v>2026</v>
      </c>
      <c r="B668" t="n">
        <v>8</v>
      </c>
      <c r="C668" t="inlineStr">
        <is>
          <t>460040</t>
        </is>
      </c>
      <c r="D668" t="inlineStr">
        <is>
          <t>Nicht zugeordnet</t>
        </is>
      </c>
      <c r="E668" t="inlineStr">
        <is>
          <t>SONSTIGES</t>
        </is>
      </c>
      <c r="F668" t="inlineStr">
        <is>
          <t>Sonstiges</t>
        </is>
      </c>
      <c r="G668" t="n">
        <v>2</v>
      </c>
      <c r="H668" t="n">
        <v>4.15</v>
      </c>
      <c r="I668" t="n">
        <v>0</v>
      </c>
      <c r="J668" t="n">
        <v>0</v>
      </c>
      <c r="K668" t="n">
        <v>4.15</v>
      </c>
      <c r="L668" t="n">
        <v>0</v>
      </c>
      <c r="M668" t="n">
        <v>0</v>
      </c>
      <c r="N668" t="n">
        <v>1</v>
      </c>
    </row>
    <row r="669">
      <c r="A669" t="n">
        <v>2026</v>
      </c>
      <c r="B669" t="n">
        <v>8</v>
      </c>
      <c r="C669" t="inlineStr">
        <is>
          <t>460040</t>
        </is>
      </c>
      <c r="D669" t="inlineStr">
        <is>
          <t>Portogebühren</t>
        </is>
      </c>
      <c r="E669" t="inlineStr">
        <is>
          <t>VERWALTUNG</t>
        </is>
      </c>
      <c r="F669" t="inlineStr">
        <is>
          <t>Verwaltung und Beratung</t>
        </is>
      </c>
      <c r="G669" t="n">
        <v>2</v>
      </c>
      <c r="H669" t="n">
        <v>174.66</v>
      </c>
      <c r="I669" t="n">
        <v>0</v>
      </c>
      <c r="J669" t="n">
        <v>0</v>
      </c>
      <c r="K669" t="n">
        <v>174.66</v>
      </c>
      <c r="L669" t="n">
        <v>0</v>
      </c>
      <c r="M669" t="n">
        <v>0</v>
      </c>
      <c r="N669" t="n">
        <v>5</v>
      </c>
    </row>
    <row r="670">
      <c r="A670" t="n">
        <v>2026</v>
      </c>
      <c r="B670" t="n">
        <v>8</v>
      </c>
      <c r="C670" t="inlineStr">
        <is>
          <t>460060</t>
        </is>
      </c>
      <c r="D670" t="inlineStr">
        <is>
          <t>Kosten EDV</t>
        </is>
      </c>
      <c r="E670" t="inlineStr">
        <is>
          <t>VERWALTUNG</t>
        </is>
      </c>
      <c r="F670" t="inlineStr">
        <is>
          <t>Verwaltung und Beratung</t>
        </is>
      </c>
      <c r="G670" t="n">
        <v>2</v>
      </c>
      <c r="H670" t="n">
        <v>1130.13</v>
      </c>
      <c r="I670" t="n">
        <v>0</v>
      </c>
      <c r="J670" t="n">
        <v>0</v>
      </c>
      <c r="K670" t="n">
        <v>1130.13</v>
      </c>
      <c r="L670" t="n">
        <v>0</v>
      </c>
      <c r="M670" t="n">
        <v>0</v>
      </c>
      <c r="N670" t="n">
        <v>6</v>
      </c>
    </row>
    <row r="671">
      <c r="A671" t="n">
        <v>2026</v>
      </c>
      <c r="B671" t="n">
        <v>8</v>
      </c>
      <c r="C671" t="inlineStr">
        <is>
          <t>460065</t>
        </is>
      </c>
      <c r="D671" t="inlineStr">
        <is>
          <t>IT Lizenzgebühren</t>
        </is>
      </c>
      <c r="E671" t="inlineStr">
        <is>
          <t>VERWALTUNG</t>
        </is>
      </c>
      <c r="F671" t="inlineStr">
        <is>
          <t>Verwaltung und Beratung</t>
        </is>
      </c>
      <c r="G671" t="n">
        <v>2</v>
      </c>
      <c r="H671" t="n">
        <v>3017.39</v>
      </c>
      <c r="I671" t="n">
        <v>0</v>
      </c>
      <c r="J671" t="n">
        <v>0</v>
      </c>
      <c r="K671" t="n">
        <v>3017.39</v>
      </c>
      <c r="L671" t="n">
        <v>0</v>
      </c>
      <c r="M671" t="n">
        <v>0</v>
      </c>
      <c r="N671" t="n">
        <v>4</v>
      </c>
    </row>
    <row r="672">
      <c r="A672" t="n">
        <v>2026</v>
      </c>
      <c r="B672" t="n">
        <v>8</v>
      </c>
      <c r="C672" t="inlineStr">
        <is>
          <t>460090</t>
        </is>
      </c>
      <c r="D672" t="inlineStr">
        <is>
          <t>Schreib- und Verwaltungsgebühren an Behö</t>
        </is>
      </c>
      <c r="E672" t="inlineStr">
        <is>
          <t>VERWALTUNG</t>
        </is>
      </c>
      <c r="F672" t="inlineStr">
        <is>
          <t>Verwaltung und Beratung</t>
        </is>
      </c>
      <c r="G672" t="n">
        <v>2</v>
      </c>
      <c r="H672" t="n">
        <v>166</v>
      </c>
      <c r="I672" t="n">
        <v>0</v>
      </c>
      <c r="J672" t="n">
        <v>0</v>
      </c>
      <c r="K672" t="n">
        <v>166</v>
      </c>
      <c r="L672" t="n">
        <v>0</v>
      </c>
      <c r="M672" t="n">
        <v>0</v>
      </c>
      <c r="N672" t="n">
        <v>3</v>
      </c>
    </row>
    <row r="673">
      <c r="A673" t="n">
        <v>2026</v>
      </c>
      <c r="B673" t="n">
        <v>8</v>
      </c>
      <c r="C673" t="inlineStr">
        <is>
          <t>460900</t>
        </is>
      </c>
      <c r="D673" t="inlineStr">
        <is>
          <t>Sonstige Verwaltungskosten</t>
        </is>
      </c>
      <c r="E673" t="inlineStr">
        <is>
          <t>VERWALTUNG</t>
        </is>
      </c>
      <c r="F673" t="inlineStr">
        <is>
          <t>Verwaltung und Beratung</t>
        </is>
      </c>
      <c r="G673" t="n">
        <v>2</v>
      </c>
      <c r="H673" t="n">
        <v>349.96</v>
      </c>
      <c r="I673" t="n">
        <v>0</v>
      </c>
      <c r="J673" t="n">
        <v>0</v>
      </c>
      <c r="K673" t="n">
        <v>349.96</v>
      </c>
      <c r="L673" t="n">
        <v>0</v>
      </c>
      <c r="M673" t="n">
        <v>0</v>
      </c>
      <c r="N673" t="n">
        <v>20</v>
      </c>
    </row>
    <row r="674">
      <c r="A674" t="n">
        <v>2026</v>
      </c>
      <c r="B674" t="n">
        <v>8</v>
      </c>
      <c r="C674" t="inlineStr">
        <is>
          <t>470010</t>
        </is>
      </c>
      <c r="D674" t="inlineStr">
        <is>
          <t>Anwalts- und Gerichtskosten</t>
        </is>
      </c>
      <c r="E674" t="inlineStr">
        <is>
          <t>BERATUNG_UMLAGE</t>
        </is>
      </c>
      <c r="F674" t="inlineStr">
        <is>
          <t>Verwaltung und Beratung</t>
        </is>
      </c>
      <c r="G674" t="n">
        <v>2</v>
      </c>
      <c r="H674" t="n">
        <v>-27463.75</v>
      </c>
      <c r="I674" t="n">
        <v>0</v>
      </c>
      <c r="J674" t="n">
        <v>0</v>
      </c>
      <c r="K674" t="n">
        <v>-27463.75</v>
      </c>
      <c r="L674" t="n">
        <v>0</v>
      </c>
      <c r="M674" t="n">
        <v>0</v>
      </c>
      <c r="N674" t="n">
        <v>7</v>
      </c>
    </row>
    <row r="675">
      <c r="A675" t="n">
        <v>2026</v>
      </c>
      <c r="B675" t="n">
        <v>8</v>
      </c>
      <c r="C675" t="inlineStr">
        <is>
          <t>470020</t>
        </is>
      </c>
      <c r="D675" t="inlineStr">
        <is>
          <t>kaufm. Beratung und Buchführung</t>
        </is>
      </c>
      <c r="E675" t="inlineStr">
        <is>
          <t>BERATUNG_UMLAGE</t>
        </is>
      </c>
      <c r="F675" t="inlineStr">
        <is>
          <t>Verwaltung und Beratung</t>
        </is>
      </c>
      <c r="G675" t="n">
        <v>2</v>
      </c>
      <c r="H675" t="n">
        <v>11350</v>
      </c>
      <c r="I675" t="n">
        <v>0</v>
      </c>
      <c r="J675" t="n">
        <v>0</v>
      </c>
      <c r="K675" t="n">
        <v>11350</v>
      </c>
      <c r="L675" t="n">
        <v>0</v>
      </c>
      <c r="M675" t="n">
        <v>0</v>
      </c>
      <c r="N675" t="n">
        <v>6</v>
      </c>
    </row>
    <row r="676">
      <c r="A676" t="n">
        <v>2026</v>
      </c>
      <c r="B676" t="n">
        <v>8</v>
      </c>
      <c r="C676" t="inlineStr">
        <is>
          <t>470025</t>
        </is>
      </c>
      <c r="D676" t="inlineStr">
        <is>
          <t>Steuerberatungskosten</t>
        </is>
      </c>
      <c r="E676" t="inlineStr">
        <is>
          <t>BERATUNG_UMLAGE</t>
        </is>
      </c>
      <c r="F676" t="inlineStr">
        <is>
          <t>Verwaltung und Beratung</t>
        </is>
      </c>
      <c r="G676" t="n">
        <v>2</v>
      </c>
      <c r="H676" t="n">
        <v>9000</v>
      </c>
      <c r="I676" t="n">
        <v>0</v>
      </c>
      <c r="J676" t="n">
        <v>0</v>
      </c>
      <c r="K676" t="n">
        <v>9000</v>
      </c>
      <c r="L676" t="n">
        <v>0</v>
      </c>
      <c r="M676" t="n">
        <v>0</v>
      </c>
      <c r="N676" t="n">
        <v>1</v>
      </c>
    </row>
    <row r="677">
      <c r="A677" t="n">
        <v>2026</v>
      </c>
      <c r="B677" t="n">
        <v>8</v>
      </c>
      <c r="C677" t="inlineStr">
        <is>
          <t>470030</t>
        </is>
      </c>
      <c r="D677" t="inlineStr">
        <is>
          <t>Beratungskosten Allgemeine Verwaltung</t>
        </is>
      </c>
      <c r="E677" t="inlineStr">
        <is>
          <t>BERATUNG_UMLAGE</t>
        </is>
      </c>
      <c r="F677" t="inlineStr">
        <is>
          <t>Verwaltung und Beratung</t>
        </is>
      </c>
      <c r="G677" t="n">
        <v>2</v>
      </c>
      <c r="H677" t="n">
        <v>14.9</v>
      </c>
      <c r="I677" t="n">
        <v>0</v>
      </c>
      <c r="J677" t="n">
        <v>0</v>
      </c>
      <c r="K677" t="n">
        <v>14.9</v>
      </c>
      <c r="L677" t="n">
        <v>0</v>
      </c>
      <c r="M677" t="n">
        <v>0</v>
      </c>
      <c r="N677" t="n">
        <v>1</v>
      </c>
    </row>
    <row r="678">
      <c r="A678" t="n">
        <v>2026</v>
      </c>
      <c r="B678" t="n">
        <v>8</v>
      </c>
      <c r="C678" t="inlineStr">
        <is>
          <t>470036</t>
        </is>
      </c>
      <c r="D678" t="inlineStr">
        <is>
          <t>Aufwendungen Umlage zentrale Verwaltung</t>
        </is>
      </c>
      <c r="E678" t="inlineStr">
        <is>
          <t>BERATUNG_UMLAGE</t>
        </is>
      </c>
      <c r="F678" t="inlineStr">
        <is>
          <t>Verwaltung und Beratung</t>
        </is>
      </c>
      <c r="G678" t="n">
        <v>2</v>
      </c>
      <c r="H678" t="n">
        <v>3752</v>
      </c>
      <c r="I678" t="n">
        <v>0</v>
      </c>
      <c r="J678" t="n">
        <v>0</v>
      </c>
      <c r="K678" t="n">
        <v>3752</v>
      </c>
      <c r="L678" t="n">
        <v>0</v>
      </c>
      <c r="M678" t="n">
        <v>0</v>
      </c>
      <c r="N678" t="n">
        <v>2</v>
      </c>
    </row>
    <row r="679">
      <c r="A679" t="n">
        <v>2026</v>
      </c>
      <c r="B679" t="n">
        <v>8</v>
      </c>
      <c r="C679" t="inlineStr">
        <is>
          <t>480100</t>
        </is>
      </c>
      <c r="D679" t="inlineStr">
        <is>
          <t>Normalabschreibung auf Anlagen</t>
        </is>
      </c>
      <c r="E679" t="inlineStr">
        <is>
          <t>ABSCHREIBUNG</t>
        </is>
      </c>
      <c r="F679" t="inlineStr">
        <is>
          <t>Abschreibungen</t>
        </is>
      </c>
      <c r="G679" t="n">
        <v>2</v>
      </c>
      <c r="H679" t="n">
        <v>2202</v>
      </c>
      <c r="I679" t="n">
        <v>0</v>
      </c>
      <c r="J679" t="n">
        <v>0</v>
      </c>
      <c r="K679" t="n">
        <v>2202</v>
      </c>
      <c r="L679" t="n">
        <v>0</v>
      </c>
      <c r="M679" t="n">
        <v>0</v>
      </c>
      <c r="N679" t="n">
        <v>10</v>
      </c>
    </row>
    <row r="680">
      <c r="A680" t="n">
        <v>2026</v>
      </c>
      <c r="B680" t="n">
        <v>8</v>
      </c>
      <c r="C680" t="inlineStr">
        <is>
          <t>480110</t>
        </is>
      </c>
      <c r="D680" t="inlineStr">
        <is>
          <t>Abschreibungen auf Anlagen (GWG)</t>
        </is>
      </c>
      <c r="E680" t="inlineStr">
        <is>
          <t>ABSCHREIBUNG</t>
        </is>
      </c>
      <c r="F680" t="inlineStr">
        <is>
          <t>Abschreibungen</t>
        </is>
      </c>
      <c r="G680" t="n">
        <v>2</v>
      </c>
      <c r="H680" t="n">
        <v>411.85</v>
      </c>
      <c r="I680" t="n">
        <v>0</v>
      </c>
      <c r="J680" t="n">
        <v>0</v>
      </c>
      <c r="K680" t="n">
        <v>411.85</v>
      </c>
      <c r="L680" t="n">
        <v>0</v>
      </c>
      <c r="M680" t="n">
        <v>0</v>
      </c>
      <c r="N680" t="n">
        <v>12</v>
      </c>
    </row>
    <row r="681">
      <c r="A681" t="n">
        <v>2026</v>
      </c>
      <c r="B681" t="n">
        <v>8</v>
      </c>
      <c r="C681" t="inlineStr">
        <is>
          <t>7611100</t>
        </is>
      </c>
      <c r="D681" t="inlineStr">
        <is>
          <t>Lohnverr. Gruppe1</t>
        </is>
      </c>
      <c r="E681" t="inlineStr">
        <is>
          <t>LOHNVERRECHNUNG</t>
        </is>
      </c>
      <c r="F681" t="inlineStr">
        <is>
          <t>Innerbetriebliche Verrechnung</t>
        </is>
      </c>
      <c r="G681" t="n">
        <v>1</v>
      </c>
      <c r="H681" t="n">
        <v>83296</v>
      </c>
      <c r="I681" t="n">
        <v>0</v>
      </c>
      <c r="J681" t="n">
        <v>83296</v>
      </c>
      <c r="K681" t="n">
        <v>0</v>
      </c>
      <c r="L681" t="n">
        <v>0</v>
      </c>
      <c r="M681" t="n">
        <v>0</v>
      </c>
      <c r="N681" t="n">
        <v>17</v>
      </c>
    </row>
    <row r="682">
      <c r="A682" t="n">
        <v>2026</v>
      </c>
      <c r="B682" t="n">
        <v>8</v>
      </c>
      <c r="C682" t="inlineStr">
        <is>
          <t>7611200</t>
        </is>
      </c>
      <c r="D682" t="inlineStr">
        <is>
          <t>Lohnverr. Gruppe 2</t>
        </is>
      </c>
      <c r="E682" t="inlineStr">
        <is>
          <t>LOHNVERRECHNUNG</t>
        </is>
      </c>
      <c r="F682" t="inlineStr">
        <is>
          <t>Innerbetriebliche Verrechnung</t>
        </is>
      </c>
      <c r="G682" t="n">
        <v>1</v>
      </c>
      <c r="H682" t="n">
        <v>97762.5</v>
      </c>
      <c r="I682" t="n">
        <v>0</v>
      </c>
      <c r="J682" t="n">
        <v>97762.5</v>
      </c>
      <c r="K682" t="n">
        <v>0</v>
      </c>
      <c r="L682" t="n">
        <v>0</v>
      </c>
      <c r="M682" t="n">
        <v>0</v>
      </c>
      <c r="N682" t="n">
        <v>23</v>
      </c>
    </row>
    <row r="683">
      <c r="A683" t="n">
        <v>2026</v>
      </c>
      <c r="B683" t="n">
        <v>8</v>
      </c>
      <c r="C683" t="inlineStr">
        <is>
          <t>7612000</t>
        </is>
      </c>
      <c r="D683" t="inlineStr">
        <is>
          <t>Verrechnung Geräte</t>
        </is>
      </c>
      <c r="E683" t="inlineStr">
        <is>
          <t>GERAETEVERRECHNUNG</t>
        </is>
      </c>
      <c r="F683" t="inlineStr">
        <is>
          <t>Innerbetriebliche Verrechnung</t>
        </is>
      </c>
      <c r="G683" t="n">
        <v>1</v>
      </c>
      <c r="H683" t="n">
        <v>67180</v>
      </c>
      <c r="I683" t="n">
        <v>0</v>
      </c>
      <c r="J683" t="n">
        <v>67180</v>
      </c>
      <c r="K683" t="n">
        <v>0</v>
      </c>
      <c r="L683" t="n">
        <v>0</v>
      </c>
      <c r="M683" t="n">
        <v>0</v>
      </c>
      <c r="N683" t="n">
        <v>68</v>
      </c>
    </row>
    <row r="684">
      <c r="A684" t="n">
        <v>2026</v>
      </c>
      <c r="B684" t="n">
        <v>8</v>
      </c>
      <c r="C684" t="inlineStr">
        <is>
          <t>7801020</t>
        </is>
      </c>
      <c r="D684" t="inlineStr">
        <is>
          <t>Gemeinkostenzuschläge 12 % TVF Altwert</t>
        </is>
      </c>
      <c r="E684" t="inlineStr">
        <is>
          <t>GEMEINKOSTENUMLAGE</t>
        </is>
      </c>
      <c r="F684" t="inlineStr">
        <is>
          <t>Innerbetriebliche Verrechnung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76</v>
      </c>
    </row>
    <row r="685">
      <c r="A685" t="n">
        <v>2026</v>
      </c>
      <c r="B685" t="n">
        <v>8</v>
      </c>
      <c r="C685" t="inlineStr">
        <is>
          <t>830510</t>
        </is>
      </c>
      <c r="D685" t="inlineStr">
        <is>
          <t>Erlöse Abrisse/Demontagen</t>
        </is>
      </c>
      <c r="E685" t="inlineStr">
        <is>
          <t>ERLOES</t>
        </is>
      </c>
      <c r="F685" t="inlineStr">
        <is>
          <t>Umsatzerlöse</t>
        </is>
      </c>
      <c r="G685" t="n">
        <v>0</v>
      </c>
      <c r="H685" t="n">
        <v>-1252.5</v>
      </c>
      <c r="I685" t="n">
        <v>1252.5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n">
        <v>2026</v>
      </c>
      <c r="B686" t="n">
        <v>8</v>
      </c>
      <c r="C686" t="inlineStr">
        <is>
          <t>830510</t>
        </is>
      </c>
      <c r="D686" t="inlineStr">
        <is>
          <t>Nicht zugeordnet</t>
        </is>
      </c>
      <c r="E686" t="inlineStr">
        <is>
          <t>SONSTIGES</t>
        </is>
      </c>
      <c r="F686" t="inlineStr">
        <is>
          <t>Sonstiges</t>
        </is>
      </c>
      <c r="G686" t="n">
        <v>2</v>
      </c>
      <c r="H686" t="n">
        <v>-848892.11</v>
      </c>
      <c r="I686" t="n">
        <v>0</v>
      </c>
      <c r="J686" t="n">
        <v>0</v>
      </c>
      <c r="K686" t="n">
        <v>-848892.11</v>
      </c>
      <c r="L686" t="n">
        <v>0</v>
      </c>
      <c r="M686" t="n">
        <v>0</v>
      </c>
      <c r="N686" t="n">
        <v>89</v>
      </c>
    </row>
    <row r="687">
      <c r="A687" t="n">
        <v>2026</v>
      </c>
      <c r="B687" t="n">
        <v>8</v>
      </c>
      <c r="C687" t="inlineStr">
        <is>
          <t>840040</t>
        </is>
      </c>
      <c r="D687" t="inlineStr">
        <is>
          <t>Nicht zugeordnet</t>
        </is>
      </c>
      <c r="E687" t="inlineStr">
        <is>
          <t>SONSTIGES</t>
        </is>
      </c>
      <c r="F687" t="inlineStr">
        <is>
          <t>Sonstiges</t>
        </is>
      </c>
      <c r="G687" t="n">
        <v>2</v>
      </c>
      <c r="H687" t="n">
        <v>-9419.4</v>
      </c>
      <c r="I687" t="n">
        <v>0</v>
      </c>
      <c r="J687" t="n">
        <v>0</v>
      </c>
      <c r="K687" t="n">
        <v>-9419.4</v>
      </c>
      <c r="L687" t="n">
        <v>0</v>
      </c>
      <c r="M687" t="n">
        <v>0</v>
      </c>
      <c r="N687" t="n">
        <v>4</v>
      </c>
    </row>
    <row r="688">
      <c r="A688" t="n">
        <v>2026</v>
      </c>
      <c r="B688" t="n">
        <v>8</v>
      </c>
      <c r="C688" t="inlineStr">
        <is>
          <t>860000</t>
        </is>
      </c>
      <c r="D688" t="inlineStr">
        <is>
          <t>Erlöse weiterberechnete Fremdkosten</t>
        </is>
      </c>
      <c r="E688" t="inlineStr">
        <is>
          <t>ERLOES</t>
        </is>
      </c>
      <c r="F688" t="inlineStr">
        <is>
          <t>Umsatzerlöse</t>
        </is>
      </c>
      <c r="G688" t="n">
        <v>0</v>
      </c>
      <c r="H688" t="n">
        <v>-107.14</v>
      </c>
      <c r="I688" t="n">
        <v>107.14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2026</v>
      </c>
      <c r="B689" t="n">
        <v>8</v>
      </c>
      <c r="C689" t="inlineStr">
        <is>
          <t>890100</t>
        </is>
      </c>
      <c r="D689" t="inlineStr">
        <is>
          <t>Nicht zugeordnet</t>
        </is>
      </c>
      <c r="E689" t="inlineStr">
        <is>
          <t>SONSTIGES</t>
        </is>
      </c>
      <c r="F689" t="inlineStr">
        <is>
          <t>Sonstiges</t>
        </is>
      </c>
      <c r="G689" t="n">
        <v>2</v>
      </c>
      <c r="H689" t="n">
        <v>5224.17</v>
      </c>
      <c r="I689" t="n">
        <v>0</v>
      </c>
      <c r="J689" t="n">
        <v>0</v>
      </c>
      <c r="K689" t="n">
        <v>5224.17</v>
      </c>
      <c r="L689" t="n">
        <v>0</v>
      </c>
      <c r="M689" t="n">
        <v>0</v>
      </c>
      <c r="N689" t="n">
        <v>8</v>
      </c>
    </row>
    <row r="690">
      <c r="A690" t="n">
        <v>2026</v>
      </c>
      <c r="B690" t="n">
        <v>9</v>
      </c>
      <c r="C690" t="inlineStr">
        <is>
          <t>201000</t>
        </is>
      </c>
      <c r="D690" t="inlineStr">
        <is>
          <t>Sonstige periodenfremde Aufwendungen</t>
        </is>
      </c>
      <c r="E690" t="inlineStr">
        <is>
          <t>NEUTRALER_AUFWAND</t>
        </is>
      </c>
      <c r="F690" t="inlineStr">
        <is>
          <t>Sonstiges</t>
        </is>
      </c>
      <c r="G690" t="n">
        <v>9</v>
      </c>
      <c r="H690" t="n">
        <v>695.4299999999999</v>
      </c>
      <c r="I690" t="n">
        <v>0</v>
      </c>
      <c r="J690" t="n">
        <v>0</v>
      </c>
      <c r="K690" t="n">
        <v>0</v>
      </c>
      <c r="L690" t="n">
        <v>0</v>
      </c>
      <c r="M690" t="n">
        <v>695.4299999999999</v>
      </c>
      <c r="N690" t="n">
        <v>1</v>
      </c>
    </row>
    <row r="691">
      <c r="A691" t="n">
        <v>2026</v>
      </c>
      <c r="B691" t="n">
        <v>9</v>
      </c>
      <c r="C691" t="inlineStr">
        <is>
          <t>210000</t>
        </is>
      </c>
      <c r="D691" t="inlineStr">
        <is>
          <t>Übrige Zinsen und ähnliche Aufwendungen</t>
        </is>
      </c>
      <c r="E691" t="inlineStr">
        <is>
          <t>ZINSEN</t>
        </is>
      </c>
      <c r="F691" t="inlineStr">
        <is>
          <t>Zinsergebnis</t>
        </is>
      </c>
      <c r="G691" t="n">
        <v>9</v>
      </c>
      <c r="H691" t="n">
        <v>23.39</v>
      </c>
      <c r="I691" t="n">
        <v>0</v>
      </c>
      <c r="J691" t="n">
        <v>0</v>
      </c>
      <c r="K691" t="n">
        <v>0</v>
      </c>
      <c r="L691" t="n">
        <v>0</v>
      </c>
      <c r="M691" t="n">
        <v>23.39</v>
      </c>
      <c r="N691" t="n">
        <v>1</v>
      </c>
    </row>
    <row r="692">
      <c r="A692" t="n">
        <v>2026</v>
      </c>
      <c r="B692" t="n">
        <v>9</v>
      </c>
      <c r="C692" t="inlineStr">
        <is>
          <t>210900</t>
        </is>
      </c>
      <c r="D692" t="inlineStr">
        <is>
          <t>Zinsaufwendungen an verbundene Unternehm</t>
        </is>
      </c>
      <c r="E692" t="inlineStr">
        <is>
          <t>ZINSEN</t>
        </is>
      </c>
      <c r="F692" t="inlineStr">
        <is>
          <t>Zinsergebnis</t>
        </is>
      </c>
      <c r="G692" t="n">
        <v>9</v>
      </c>
      <c r="H692" t="n">
        <v>-8352.25</v>
      </c>
      <c r="I692" t="n">
        <v>0</v>
      </c>
      <c r="J692" t="n">
        <v>0</v>
      </c>
      <c r="K692" t="n">
        <v>0</v>
      </c>
      <c r="L692" t="n">
        <v>0</v>
      </c>
      <c r="M692" t="n">
        <v>-8352.25</v>
      </c>
      <c r="N692" t="n">
        <v>2</v>
      </c>
    </row>
    <row r="693">
      <c r="A693" t="n">
        <v>2026</v>
      </c>
      <c r="B693" t="n">
        <v>9</v>
      </c>
      <c r="C693" t="inlineStr">
        <is>
          <t>251000</t>
        </is>
      </c>
      <c r="D693" t="inlineStr">
        <is>
          <t>Sonstige periodenfremde Erträge</t>
        </is>
      </c>
      <c r="E693" t="inlineStr">
        <is>
          <t>NEUTRALER_ERTRAG</t>
        </is>
      </c>
      <c r="F693" t="inlineStr">
        <is>
          <t>Sonstiges</t>
        </is>
      </c>
      <c r="G693" t="n">
        <v>9</v>
      </c>
      <c r="H693" t="n">
        <v>-312750.79</v>
      </c>
      <c r="I693" t="n">
        <v>0</v>
      </c>
      <c r="J693" t="n">
        <v>0</v>
      </c>
      <c r="K693" t="n">
        <v>0</v>
      </c>
      <c r="L693" t="n">
        <v>0</v>
      </c>
      <c r="M693" t="n">
        <v>-312750.79</v>
      </c>
      <c r="N693" t="n">
        <v>2</v>
      </c>
    </row>
    <row r="694">
      <c r="A694" t="n">
        <v>2026</v>
      </c>
      <c r="B694" t="n">
        <v>9</v>
      </c>
      <c r="C694" t="inlineStr">
        <is>
          <t>265001</t>
        </is>
      </c>
      <c r="D694" t="inlineStr">
        <is>
          <t>Zinsen auf Steuerers</t>
        </is>
      </c>
      <c r="E694" t="inlineStr">
        <is>
          <t>NEUTRALER_ERTRAG</t>
        </is>
      </c>
      <c r="F694" t="inlineStr">
        <is>
          <t>Zinsergebnis</t>
        </is>
      </c>
      <c r="G694" t="n">
        <v>9</v>
      </c>
      <c r="H694" t="n">
        <v>-119</v>
      </c>
      <c r="I694" t="n">
        <v>0</v>
      </c>
      <c r="J694" t="n">
        <v>0</v>
      </c>
      <c r="K694" t="n">
        <v>0</v>
      </c>
      <c r="L694" t="n">
        <v>0</v>
      </c>
      <c r="M694" t="n">
        <v>-119</v>
      </c>
      <c r="N694" t="n">
        <v>3</v>
      </c>
    </row>
    <row r="695">
      <c r="A695" t="n">
        <v>2026</v>
      </c>
      <c r="B695" t="n">
        <v>9</v>
      </c>
      <c r="C695" t="inlineStr">
        <is>
          <t>289200</t>
        </is>
      </c>
      <c r="D695" t="inlineStr">
        <is>
          <t>Verr. kalk. Zinsen</t>
        </is>
      </c>
      <c r="E695" t="inlineStr">
        <is>
          <t>KALKULATORISCH</t>
        </is>
      </c>
      <c r="F695" t="inlineStr">
        <is>
          <t>Kalkulatorische Kosten</t>
        </is>
      </c>
      <c r="G695" t="n">
        <v>9</v>
      </c>
      <c r="H695" t="n">
        <v>-699</v>
      </c>
      <c r="I695" t="n">
        <v>0</v>
      </c>
      <c r="J695" t="n">
        <v>0</v>
      </c>
      <c r="K695" t="n">
        <v>0</v>
      </c>
      <c r="L695" t="n">
        <v>0</v>
      </c>
      <c r="M695" t="n">
        <v>-699</v>
      </c>
      <c r="N695" t="n">
        <v>21</v>
      </c>
    </row>
    <row r="696">
      <c r="A696" t="n">
        <v>2026</v>
      </c>
      <c r="B696" t="n">
        <v>9</v>
      </c>
      <c r="C696" t="inlineStr">
        <is>
          <t>289300</t>
        </is>
      </c>
      <c r="D696" t="inlineStr">
        <is>
          <t>Verr. kalk. Abschreibungen</t>
        </is>
      </c>
      <c r="E696" t="inlineStr">
        <is>
          <t>KALKULATORISCH</t>
        </is>
      </c>
      <c r="F696" t="inlineStr">
        <is>
          <t>Kalkulatorische Kosten</t>
        </is>
      </c>
      <c r="G696" t="n">
        <v>9</v>
      </c>
      <c r="H696" t="n">
        <v>-3229</v>
      </c>
      <c r="I696" t="n">
        <v>0</v>
      </c>
      <c r="J696" t="n">
        <v>0</v>
      </c>
      <c r="K696" t="n">
        <v>0</v>
      </c>
      <c r="L696" t="n">
        <v>0</v>
      </c>
      <c r="M696" t="n">
        <v>-3229</v>
      </c>
      <c r="N696" t="n">
        <v>22</v>
      </c>
    </row>
    <row r="697">
      <c r="A697" t="n">
        <v>2026</v>
      </c>
      <c r="B697" t="n">
        <v>9</v>
      </c>
      <c r="C697" t="inlineStr">
        <is>
          <t>340050</t>
        </is>
      </c>
      <c r="D697" t="inlineStr">
        <is>
          <t>Fremdleistungen Wartung/Pflege</t>
        </is>
      </c>
      <c r="E697" t="inlineStr">
        <is>
          <t>FREMDLEISTUNG</t>
        </is>
      </c>
      <c r="F697" t="inlineStr">
        <is>
          <t>Material und Fremdleistungen</t>
        </is>
      </c>
      <c r="G697" t="n">
        <v>1</v>
      </c>
      <c r="H697" t="n">
        <v>1744171.09</v>
      </c>
      <c r="I697" t="n">
        <v>0</v>
      </c>
      <c r="J697" t="n">
        <v>1744171.09</v>
      </c>
      <c r="K697" t="n">
        <v>0</v>
      </c>
      <c r="L697" t="n">
        <v>0</v>
      </c>
      <c r="M697" t="n">
        <v>0</v>
      </c>
      <c r="N697" t="n">
        <v>263</v>
      </c>
    </row>
    <row r="698">
      <c r="A698" t="n">
        <v>2026</v>
      </c>
      <c r="B698" t="n">
        <v>9</v>
      </c>
      <c r="C698" t="inlineStr">
        <is>
          <t>400011</t>
        </is>
      </c>
      <c r="D698" t="inlineStr">
        <is>
          <t>Reifenkosten</t>
        </is>
      </c>
      <c r="E698" t="inlineStr">
        <is>
          <t>FUHRPARK</t>
        </is>
      </c>
      <c r="F698" t="inlineStr">
        <is>
          <t>Fuhrpark</t>
        </is>
      </c>
      <c r="G698" t="n">
        <v>2</v>
      </c>
      <c r="H698" t="n">
        <v>42.5</v>
      </c>
      <c r="I698" t="n">
        <v>0</v>
      </c>
      <c r="J698" t="n">
        <v>0</v>
      </c>
      <c r="K698" t="n">
        <v>42.5</v>
      </c>
      <c r="L698" t="n">
        <v>0</v>
      </c>
      <c r="M698" t="n">
        <v>0</v>
      </c>
      <c r="N698" t="n">
        <v>3</v>
      </c>
    </row>
    <row r="699">
      <c r="A699" t="n">
        <v>2026</v>
      </c>
      <c r="B699" t="n">
        <v>9</v>
      </c>
      <c r="C699" t="inlineStr">
        <is>
          <t>400020</t>
        </is>
      </c>
      <c r="D699" t="inlineStr">
        <is>
          <t>Instandhaltung Personenkraftwagen</t>
        </is>
      </c>
      <c r="E699" t="inlineStr">
        <is>
          <t>FUHRPARK</t>
        </is>
      </c>
      <c r="F699" t="inlineStr">
        <is>
          <t>Fuhrpark</t>
        </is>
      </c>
      <c r="G699" t="n">
        <v>2</v>
      </c>
      <c r="H699" t="n">
        <v>952.6799999999999</v>
      </c>
      <c r="I699" t="n">
        <v>0</v>
      </c>
      <c r="J699" t="n">
        <v>0</v>
      </c>
      <c r="K699" t="n">
        <v>952.6799999999999</v>
      </c>
      <c r="L699" t="n">
        <v>0</v>
      </c>
      <c r="M699" t="n">
        <v>0</v>
      </c>
      <c r="N699" t="n">
        <v>2</v>
      </c>
    </row>
    <row r="700">
      <c r="A700" t="n">
        <v>2026</v>
      </c>
      <c r="B700" t="n">
        <v>9</v>
      </c>
      <c r="C700" t="inlineStr">
        <is>
          <t>400035</t>
        </is>
      </c>
      <c r="D700" t="inlineStr">
        <is>
          <t>Instandhaltung Miet-und Leasingfahrzeuge</t>
        </is>
      </c>
      <c r="E700" t="inlineStr">
        <is>
          <t>FUHRPARK</t>
        </is>
      </c>
      <c r="F700" t="inlineStr">
        <is>
          <t>Fuhrpark</t>
        </is>
      </c>
      <c r="G700" t="n">
        <v>2</v>
      </c>
      <c r="H700" t="n">
        <v>3744.93</v>
      </c>
      <c r="I700" t="n">
        <v>0</v>
      </c>
      <c r="J700" t="n">
        <v>0</v>
      </c>
      <c r="K700" t="n">
        <v>3744.93</v>
      </c>
      <c r="L700" t="n">
        <v>0</v>
      </c>
      <c r="M700" t="n">
        <v>0</v>
      </c>
      <c r="N700" t="n">
        <v>18</v>
      </c>
    </row>
    <row r="701">
      <c r="A701" t="n">
        <v>2026</v>
      </c>
      <c r="B701" t="n">
        <v>9</v>
      </c>
      <c r="C701" t="inlineStr">
        <is>
          <t>400040</t>
        </is>
      </c>
      <c r="D701" t="inlineStr">
        <is>
          <t>DEKRA / TÜV / sonstige Gebühren Fuhrpark</t>
        </is>
      </c>
      <c r="E701" t="inlineStr">
        <is>
          <t>FUHRPARK</t>
        </is>
      </c>
      <c r="F701" t="inlineStr">
        <is>
          <t>Fuhrpark</t>
        </is>
      </c>
      <c r="G701" t="n">
        <v>2</v>
      </c>
      <c r="H701" t="n">
        <v>107</v>
      </c>
      <c r="I701" t="n">
        <v>0</v>
      </c>
      <c r="J701" t="n">
        <v>0</v>
      </c>
      <c r="K701" t="n">
        <v>107</v>
      </c>
      <c r="L701" t="n">
        <v>0</v>
      </c>
      <c r="M701" t="n">
        <v>0</v>
      </c>
      <c r="N701" t="n">
        <v>1</v>
      </c>
    </row>
    <row r="702">
      <c r="A702" t="n">
        <v>2026</v>
      </c>
      <c r="B702" t="n">
        <v>9</v>
      </c>
      <c r="C702" t="inlineStr">
        <is>
          <t>400121</t>
        </is>
      </c>
      <c r="D702" t="inlineStr">
        <is>
          <t>Anmietung PKW</t>
        </is>
      </c>
      <c r="E702" t="inlineStr">
        <is>
          <t>FUHRPARK</t>
        </is>
      </c>
      <c r="F702" t="inlineStr">
        <is>
          <t>Fuhrpark</t>
        </is>
      </c>
      <c r="G702" t="n">
        <v>2</v>
      </c>
      <c r="H702" t="n">
        <v>1485.92</v>
      </c>
      <c r="I702" t="n">
        <v>0</v>
      </c>
      <c r="J702" t="n">
        <v>0</v>
      </c>
      <c r="K702" t="n">
        <v>1485.92</v>
      </c>
      <c r="L702" t="n">
        <v>0</v>
      </c>
      <c r="M702" t="n">
        <v>0</v>
      </c>
      <c r="N702" t="n">
        <v>6</v>
      </c>
    </row>
    <row r="703">
      <c r="A703" t="n">
        <v>2026</v>
      </c>
      <c r="B703" t="n">
        <v>9</v>
      </c>
      <c r="C703" t="inlineStr">
        <is>
          <t>400122</t>
        </is>
      </c>
      <c r="D703" t="inlineStr">
        <is>
          <t>Leasing PKW</t>
        </is>
      </c>
      <c r="E703" t="inlineStr">
        <is>
          <t>FUHRPARK</t>
        </is>
      </c>
      <c r="F703" t="inlineStr">
        <is>
          <t>Fuhrpark</t>
        </is>
      </c>
      <c r="G703" t="n">
        <v>2</v>
      </c>
      <c r="H703" t="n">
        <v>9664.059999999999</v>
      </c>
      <c r="I703" t="n">
        <v>0</v>
      </c>
      <c r="J703" t="n">
        <v>0</v>
      </c>
      <c r="K703" t="n">
        <v>9664.059999999999</v>
      </c>
      <c r="L703" t="n">
        <v>0</v>
      </c>
      <c r="M703" t="n">
        <v>0</v>
      </c>
      <c r="N703" t="n">
        <v>19</v>
      </c>
    </row>
    <row r="704">
      <c r="A704" t="n">
        <v>2026</v>
      </c>
      <c r="B704" t="n">
        <v>9</v>
      </c>
      <c r="C704" t="inlineStr">
        <is>
          <t>401000</t>
        </is>
      </c>
      <c r="D704" t="inlineStr">
        <is>
          <t>Aufwand Diesel</t>
        </is>
      </c>
      <c r="E704" t="inlineStr">
        <is>
          <t>FUHRPARK</t>
        </is>
      </c>
      <c r="F704" t="inlineStr">
        <is>
          <t>Fuhrpark</t>
        </is>
      </c>
      <c r="G704" t="n">
        <v>1</v>
      </c>
      <c r="H704" t="n">
        <v>35104.5</v>
      </c>
      <c r="I704" t="n">
        <v>0</v>
      </c>
      <c r="J704" t="n">
        <v>35104.5</v>
      </c>
      <c r="K704" t="n">
        <v>0</v>
      </c>
      <c r="L704" t="n">
        <v>0</v>
      </c>
      <c r="M704" t="n">
        <v>0</v>
      </c>
      <c r="N704" t="n">
        <v>67</v>
      </c>
    </row>
    <row r="705">
      <c r="A705" t="n">
        <v>2026</v>
      </c>
      <c r="B705" t="n">
        <v>9</v>
      </c>
      <c r="C705" t="inlineStr">
        <is>
          <t>401010</t>
        </is>
      </c>
      <c r="D705" t="inlineStr">
        <is>
          <t>Benzin/Super</t>
        </is>
      </c>
      <c r="E705" t="inlineStr">
        <is>
          <t>FUHRPARK</t>
        </is>
      </c>
      <c r="F705" t="inlineStr">
        <is>
          <t>Fuhrpark</t>
        </is>
      </c>
      <c r="G705" t="n">
        <v>2</v>
      </c>
      <c r="H705" t="n">
        <v>67.15000000000001</v>
      </c>
      <c r="I705" t="n">
        <v>0</v>
      </c>
      <c r="J705" t="n">
        <v>0</v>
      </c>
      <c r="K705" t="n">
        <v>67.15000000000001</v>
      </c>
      <c r="L705" t="n">
        <v>0</v>
      </c>
      <c r="M705" t="n">
        <v>0</v>
      </c>
      <c r="N705" t="n">
        <v>1</v>
      </c>
    </row>
    <row r="706">
      <c r="A706" t="n">
        <v>2026</v>
      </c>
      <c r="B706" t="n">
        <v>9</v>
      </c>
      <c r="C706" t="inlineStr">
        <is>
          <t>401015</t>
        </is>
      </c>
      <c r="D706" t="inlineStr">
        <is>
          <t>Alternative Antriebe (u.a. Strom, Wasser</t>
        </is>
      </c>
      <c r="E706" t="inlineStr">
        <is>
          <t>FUHRPARK</t>
        </is>
      </c>
      <c r="F706" t="inlineStr">
        <is>
          <t>Fuhrpark</t>
        </is>
      </c>
      <c r="G706" t="n">
        <v>2</v>
      </c>
      <c r="H706" t="n">
        <v>180.31</v>
      </c>
      <c r="I706" t="n">
        <v>0</v>
      </c>
      <c r="J706" t="n">
        <v>0</v>
      </c>
      <c r="K706" t="n">
        <v>180.31</v>
      </c>
      <c r="L706" t="n">
        <v>0</v>
      </c>
      <c r="M706" t="n">
        <v>0</v>
      </c>
      <c r="N706" t="n">
        <v>3</v>
      </c>
    </row>
    <row r="707">
      <c r="A707" t="n">
        <v>2026</v>
      </c>
      <c r="B707" t="n">
        <v>9</v>
      </c>
      <c r="C707" t="inlineStr">
        <is>
          <t>401030</t>
        </is>
      </c>
      <c r="D707" t="inlineStr">
        <is>
          <t>Kfz-Steuern</t>
        </is>
      </c>
      <c r="E707" t="inlineStr">
        <is>
          <t>STEUERN</t>
        </is>
      </c>
      <c r="F707" t="inlineStr">
        <is>
          <t>Versicherungen, Mieten, Steuern</t>
        </is>
      </c>
      <c r="G707" t="n">
        <v>9</v>
      </c>
      <c r="H707" t="n">
        <v>185.59</v>
      </c>
      <c r="I707" t="n">
        <v>0</v>
      </c>
      <c r="J707" t="n">
        <v>0</v>
      </c>
      <c r="K707" t="n">
        <v>0</v>
      </c>
      <c r="L707" t="n">
        <v>0</v>
      </c>
      <c r="M707" t="n">
        <v>185.59</v>
      </c>
      <c r="N707" t="n">
        <v>9</v>
      </c>
    </row>
    <row r="708">
      <c r="A708" t="n">
        <v>2026</v>
      </c>
      <c r="B708" t="n">
        <v>9</v>
      </c>
      <c r="C708" t="inlineStr">
        <is>
          <t>401050</t>
        </is>
      </c>
      <c r="D708" t="inlineStr">
        <is>
          <t>Autobahngebühren LKW</t>
        </is>
      </c>
      <c r="E708" t="inlineStr">
        <is>
          <t>FUHRPARK</t>
        </is>
      </c>
      <c r="F708" t="inlineStr">
        <is>
          <t>Fuhrpark</t>
        </is>
      </c>
      <c r="G708" t="n">
        <v>2</v>
      </c>
      <c r="H708" t="n">
        <v>793.1799999999999</v>
      </c>
      <c r="I708" t="n">
        <v>0</v>
      </c>
      <c r="J708" t="n">
        <v>0</v>
      </c>
      <c r="K708" t="n">
        <v>793.1799999999999</v>
      </c>
      <c r="L708" t="n">
        <v>0</v>
      </c>
      <c r="M708" t="n">
        <v>0</v>
      </c>
      <c r="N708" t="n">
        <v>5</v>
      </c>
    </row>
    <row r="709">
      <c r="A709" t="n">
        <v>2026</v>
      </c>
      <c r="B709" t="n">
        <v>9</v>
      </c>
      <c r="C709" t="inlineStr">
        <is>
          <t>411070</t>
        </is>
      </c>
      <c r="D709" t="inlineStr">
        <is>
          <t>Personalwerbung</t>
        </is>
      </c>
      <c r="E709" t="inlineStr">
        <is>
          <t>PERSONAL</t>
        </is>
      </c>
      <c r="F709" t="inlineStr">
        <is>
          <t>Personal</t>
        </is>
      </c>
      <c r="G709" t="n">
        <v>2</v>
      </c>
      <c r="H709" t="n">
        <v>2164</v>
      </c>
      <c r="I709" t="n">
        <v>0</v>
      </c>
      <c r="J709" t="n">
        <v>0</v>
      </c>
      <c r="K709" t="n">
        <v>2164</v>
      </c>
      <c r="L709" t="n">
        <v>0</v>
      </c>
      <c r="M709" t="n">
        <v>0</v>
      </c>
      <c r="N709" t="n">
        <v>3</v>
      </c>
    </row>
    <row r="710">
      <c r="A710" t="n">
        <v>2026</v>
      </c>
      <c r="B710" t="n">
        <v>9</v>
      </c>
      <c r="C710" t="inlineStr">
        <is>
          <t>411090</t>
        </is>
      </c>
      <c r="D710" t="inlineStr">
        <is>
          <t>Schulung und Ausbildung</t>
        </is>
      </c>
      <c r="E710" t="inlineStr">
        <is>
          <t>PERSONAL</t>
        </is>
      </c>
      <c r="F710" t="inlineStr">
        <is>
          <t>Personal</t>
        </is>
      </c>
      <c r="G710" t="n">
        <v>2</v>
      </c>
      <c r="H710" t="n">
        <v>695</v>
      </c>
      <c r="I710" t="n">
        <v>0</v>
      </c>
      <c r="J710" t="n">
        <v>0</v>
      </c>
      <c r="K710" t="n">
        <v>695</v>
      </c>
      <c r="L710" t="n">
        <v>0</v>
      </c>
      <c r="M710" t="n">
        <v>0</v>
      </c>
      <c r="N710" t="n">
        <v>3</v>
      </c>
    </row>
    <row r="711">
      <c r="A711" t="n">
        <v>2026</v>
      </c>
      <c r="B711" t="n">
        <v>9</v>
      </c>
      <c r="C711" t="inlineStr">
        <is>
          <t>411100</t>
        </is>
      </c>
      <c r="D711" t="inlineStr">
        <is>
          <t>Arbeitskleidung und Arbeitschutzbedarf</t>
        </is>
      </c>
      <c r="E711" t="inlineStr">
        <is>
          <t>PERSONAL</t>
        </is>
      </c>
      <c r="F711" t="inlineStr">
        <is>
          <t>Personal</t>
        </is>
      </c>
      <c r="G711" t="n">
        <v>2</v>
      </c>
      <c r="H711" t="n">
        <v>9126.58</v>
      </c>
      <c r="I711" t="n">
        <v>0</v>
      </c>
      <c r="J711" t="n">
        <v>0</v>
      </c>
      <c r="K711" t="n">
        <v>9126.58</v>
      </c>
      <c r="L711" t="n">
        <v>0</v>
      </c>
      <c r="M711" t="n">
        <v>0</v>
      </c>
      <c r="N711" t="n">
        <v>22</v>
      </c>
    </row>
    <row r="712">
      <c r="A712" t="n">
        <v>2026</v>
      </c>
      <c r="B712" t="n">
        <v>9</v>
      </c>
      <c r="C712" t="inlineStr">
        <is>
          <t>411890</t>
        </is>
      </c>
      <c r="D712" t="inlineStr">
        <is>
          <t>Neu aus Import – Bezeichnung pflegen</t>
        </is>
      </c>
      <c r="E712" t="inlineStr">
        <is>
          <t>PERSONAL</t>
        </is>
      </c>
      <c r="F712" t="inlineStr">
        <is>
          <t>Personal</t>
        </is>
      </c>
      <c r="G712" t="n">
        <v>2</v>
      </c>
      <c r="H712" t="n">
        <v>250</v>
      </c>
      <c r="I712" t="n">
        <v>0</v>
      </c>
      <c r="J712" t="n">
        <v>0</v>
      </c>
      <c r="K712" t="n">
        <v>250</v>
      </c>
      <c r="L712" t="n">
        <v>0</v>
      </c>
      <c r="M712" t="n">
        <v>0</v>
      </c>
      <c r="N712" t="n">
        <v>2</v>
      </c>
    </row>
    <row r="713">
      <c r="A713" t="n">
        <v>2026</v>
      </c>
      <c r="B713" t="n">
        <v>9</v>
      </c>
      <c r="C713" t="inlineStr">
        <is>
          <t>411900</t>
        </is>
      </c>
      <c r="D713" t="inlineStr">
        <is>
          <t>Sonstige Personalkosten</t>
        </is>
      </c>
      <c r="E713" t="inlineStr">
        <is>
          <t>PERSONAL</t>
        </is>
      </c>
      <c r="F713" t="inlineStr">
        <is>
          <t>Personal</t>
        </is>
      </c>
      <c r="G713" t="n">
        <v>2</v>
      </c>
      <c r="H713" t="n">
        <v>878.16</v>
      </c>
      <c r="I713" t="n">
        <v>0</v>
      </c>
      <c r="J713" t="n">
        <v>0</v>
      </c>
      <c r="K713" t="n">
        <v>878.16</v>
      </c>
      <c r="L713" t="n">
        <v>0</v>
      </c>
      <c r="M713" t="n">
        <v>0</v>
      </c>
      <c r="N713" t="n">
        <v>8</v>
      </c>
    </row>
    <row r="714">
      <c r="A714" t="n">
        <v>2026</v>
      </c>
      <c r="B714" t="n">
        <v>9</v>
      </c>
      <c r="C714" t="inlineStr">
        <is>
          <t>420012</t>
        </is>
      </c>
      <c r="D714" t="inlineStr">
        <is>
          <t>Sonstige Kosten Grundstücke und Gebäude</t>
        </is>
      </c>
      <c r="E714" t="inlineStr">
        <is>
          <t>RAUM_ANLAGEN</t>
        </is>
      </c>
      <c r="F714" t="inlineStr">
        <is>
          <t>Raum, Energie, Instandhaltung</t>
        </is>
      </c>
      <c r="G714" t="n">
        <v>2</v>
      </c>
      <c r="H714" t="n">
        <v>3081.92</v>
      </c>
      <c r="I714" t="n">
        <v>0</v>
      </c>
      <c r="J714" t="n">
        <v>0</v>
      </c>
      <c r="K714" t="n">
        <v>3081.92</v>
      </c>
      <c r="L714" t="n">
        <v>0</v>
      </c>
      <c r="M714" t="n">
        <v>0</v>
      </c>
      <c r="N714" t="n">
        <v>8</v>
      </c>
    </row>
    <row r="715">
      <c r="A715" t="n">
        <v>2026</v>
      </c>
      <c r="B715" t="n">
        <v>9</v>
      </c>
      <c r="C715" t="inlineStr">
        <is>
          <t>420021</t>
        </is>
      </c>
      <c r="D715" t="inlineStr">
        <is>
          <t>Raumpflege eigene Gebäude</t>
        </is>
      </c>
      <c r="E715" t="inlineStr">
        <is>
          <t>RAUM_ANLAGEN</t>
        </is>
      </c>
      <c r="F715" t="inlineStr">
        <is>
          <t>Raum, Energie, Instandhaltung</t>
        </is>
      </c>
      <c r="G715" t="n">
        <v>2</v>
      </c>
      <c r="H715" t="n">
        <v>535.98</v>
      </c>
      <c r="I715" t="n">
        <v>0</v>
      </c>
      <c r="J715" t="n">
        <v>0</v>
      </c>
      <c r="K715" t="n">
        <v>535.98</v>
      </c>
      <c r="L715" t="n">
        <v>0</v>
      </c>
      <c r="M715" t="n">
        <v>0</v>
      </c>
      <c r="N715" t="n">
        <v>1</v>
      </c>
    </row>
    <row r="716">
      <c r="A716" t="n">
        <v>2026</v>
      </c>
      <c r="B716" t="n">
        <v>9</v>
      </c>
      <c r="C716" t="inlineStr">
        <is>
          <t>420022</t>
        </is>
      </c>
      <c r="D716" t="inlineStr">
        <is>
          <t>Raumpflege fremde Gebäude</t>
        </is>
      </c>
      <c r="E716" t="inlineStr">
        <is>
          <t>RAUM_ANLAGEN</t>
        </is>
      </c>
      <c r="F716" t="inlineStr">
        <is>
          <t>Raum, Energie, Instandhaltung</t>
        </is>
      </c>
      <c r="G716" t="n">
        <v>2</v>
      </c>
      <c r="H716" t="n">
        <v>2395.22</v>
      </c>
      <c r="I716" t="n">
        <v>0</v>
      </c>
      <c r="J716" t="n">
        <v>0</v>
      </c>
      <c r="K716" t="n">
        <v>2395.22</v>
      </c>
      <c r="L716" t="n">
        <v>0</v>
      </c>
      <c r="M716" t="n">
        <v>0</v>
      </c>
      <c r="N716" t="n">
        <v>4</v>
      </c>
    </row>
    <row r="717">
      <c r="A717" t="n">
        <v>2026</v>
      </c>
      <c r="B717" t="n">
        <v>9</v>
      </c>
      <c r="C717" t="inlineStr">
        <is>
          <t>420030</t>
        </is>
      </c>
      <c r="D717" t="inlineStr">
        <is>
          <t>Aufwand Energie</t>
        </is>
      </c>
      <c r="E717" t="inlineStr">
        <is>
          <t>RAUM_ANLAGEN</t>
        </is>
      </c>
      <c r="F717" t="inlineStr">
        <is>
          <t>Raum, Energie, Instandhaltung</t>
        </is>
      </c>
      <c r="G717" t="n">
        <v>2</v>
      </c>
      <c r="H717" t="n">
        <v>339.08</v>
      </c>
      <c r="I717" t="n">
        <v>0</v>
      </c>
      <c r="J717" t="n">
        <v>0</v>
      </c>
      <c r="K717" t="n">
        <v>339.08</v>
      </c>
      <c r="L717" t="n">
        <v>0</v>
      </c>
      <c r="M717" t="n">
        <v>0</v>
      </c>
      <c r="N717" t="n">
        <v>7</v>
      </c>
    </row>
    <row r="718">
      <c r="A718" t="n">
        <v>2026</v>
      </c>
      <c r="B718" t="n">
        <v>9</v>
      </c>
      <c r="C718" t="inlineStr">
        <is>
          <t>420040</t>
        </is>
      </c>
      <c r="D718" t="inlineStr">
        <is>
          <t>Aufwand Wasser</t>
        </is>
      </c>
      <c r="E718" t="inlineStr">
        <is>
          <t>RAUM_ANLAGEN</t>
        </is>
      </c>
      <c r="F718" t="inlineStr">
        <is>
          <t>Raum, Energie, Instandhaltung</t>
        </is>
      </c>
      <c r="G718" t="n">
        <v>2</v>
      </c>
      <c r="H718" t="n">
        <v>304</v>
      </c>
      <c r="I718" t="n">
        <v>0</v>
      </c>
      <c r="J718" t="n">
        <v>0</v>
      </c>
      <c r="K718" t="n">
        <v>304</v>
      </c>
      <c r="L718" t="n">
        <v>0</v>
      </c>
      <c r="M718" t="n">
        <v>0</v>
      </c>
      <c r="N718" t="n">
        <v>1</v>
      </c>
    </row>
    <row r="719">
      <c r="A719" t="n">
        <v>2026</v>
      </c>
      <c r="B719" t="n">
        <v>9</v>
      </c>
      <c r="C719" t="inlineStr">
        <is>
          <t>420060</t>
        </is>
      </c>
      <c r="D719" t="inlineStr">
        <is>
          <t>Aufwand eigene Entsorgung</t>
        </is>
      </c>
      <c r="E719" t="inlineStr">
        <is>
          <t>RAUM_ANLAGEN</t>
        </is>
      </c>
      <c r="F719" t="inlineStr">
        <is>
          <t>Raum, Energie, Instandhaltung</t>
        </is>
      </c>
      <c r="G719" t="n">
        <v>1</v>
      </c>
      <c r="H719" t="n">
        <v>104.54</v>
      </c>
      <c r="I719" t="n">
        <v>0</v>
      </c>
      <c r="J719" t="n">
        <v>104.54</v>
      </c>
      <c r="K719" t="n">
        <v>0</v>
      </c>
      <c r="L719" t="n">
        <v>0</v>
      </c>
      <c r="M719" t="n">
        <v>0</v>
      </c>
      <c r="N719" t="n">
        <v>2</v>
      </c>
    </row>
    <row r="720">
      <c r="A720" t="n">
        <v>2026</v>
      </c>
      <c r="B720" t="n">
        <v>9</v>
      </c>
      <c r="C720" t="inlineStr">
        <is>
          <t>420100</t>
        </is>
      </c>
      <c r="D720" t="inlineStr">
        <is>
          <t>Instandhaltung Betriebsausstattung</t>
        </is>
      </c>
      <c r="E720" t="inlineStr">
        <is>
          <t>RAUM_ANLAGEN</t>
        </is>
      </c>
      <c r="F720" t="inlineStr">
        <is>
          <t>Raum, Energie, Instandhaltung</t>
        </is>
      </c>
      <c r="G720" t="n">
        <v>2</v>
      </c>
      <c r="H720" t="n">
        <v>4374.78</v>
      </c>
      <c r="I720" t="n">
        <v>0</v>
      </c>
      <c r="J720" t="n">
        <v>0</v>
      </c>
      <c r="K720" t="n">
        <v>4374.78</v>
      </c>
      <c r="L720" t="n">
        <v>0</v>
      </c>
      <c r="M720" t="n">
        <v>0</v>
      </c>
      <c r="N720" t="n">
        <v>7</v>
      </c>
    </row>
    <row r="721">
      <c r="A721" t="n">
        <v>2026</v>
      </c>
      <c r="B721" t="n">
        <v>9</v>
      </c>
      <c r="C721" t="inlineStr">
        <is>
          <t>420400</t>
        </is>
      </c>
      <c r="D721" t="inlineStr">
        <is>
          <t>Instandhaltung Geschäftsausstattung</t>
        </is>
      </c>
      <c r="E721" t="inlineStr">
        <is>
          <t>RAUM_ANLAGEN</t>
        </is>
      </c>
      <c r="F721" t="inlineStr">
        <is>
          <t>Raum, Energie, Instandhaltung</t>
        </is>
      </c>
      <c r="G721" t="n">
        <v>2</v>
      </c>
      <c r="H721" t="n">
        <v>942.12</v>
      </c>
      <c r="I721" t="n">
        <v>0</v>
      </c>
      <c r="J721" t="n">
        <v>0</v>
      </c>
      <c r="K721" t="n">
        <v>942.12</v>
      </c>
      <c r="L721" t="n">
        <v>0</v>
      </c>
      <c r="M721" t="n">
        <v>0</v>
      </c>
      <c r="N721" t="n">
        <v>7</v>
      </c>
    </row>
    <row r="722">
      <c r="A722" t="n">
        <v>2026</v>
      </c>
      <c r="B722" t="n">
        <v>9</v>
      </c>
      <c r="C722" t="inlineStr">
        <is>
          <t>420600</t>
        </is>
      </c>
      <c r="D722" t="inlineStr">
        <is>
          <t>Werkstattbedarf (Kleinwerkzeuge b.100,-D</t>
        </is>
      </c>
      <c r="E722" t="inlineStr">
        <is>
          <t>RAUM_ANLAGEN</t>
        </is>
      </c>
      <c r="F722" t="inlineStr">
        <is>
          <t>Raum, Energie, Instandhaltung</t>
        </is>
      </c>
      <c r="G722" t="n">
        <v>2</v>
      </c>
      <c r="H722" t="n">
        <v>2190.04</v>
      </c>
      <c r="I722" t="n">
        <v>0</v>
      </c>
      <c r="J722" t="n">
        <v>0</v>
      </c>
      <c r="K722" t="n">
        <v>2190.04</v>
      </c>
      <c r="L722" t="n">
        <v>0</v>
      </c>
      <c r="M722" t="n">
        <v>0</v>
      </c>
      <c r="N722" t="n">
        <v>2</v>
      </c>
    </row>
    <row r="723">
      <c r="A723" t="n">
        <v>2026</v>
      </c>
      <c r="B723" t="n">
        <v>9</v>
      </c>
      <c r="C723" t="inlineStr">
        <is>
          <t>420700</t>
        </is>
      </c>
      <c r="D723" t="inlineStr">
        <is>
          <t>Verbrauch Hilfs- u. Betriebsstoffe</t>
        </is>
      </c>
      <c r="E723" t="inlineStr">
        <is>
          <t>RAUM_ANLAGEN</t>
        </is>
      </c>
      <c r="F723" t="inlineStr">
        <is>
          <t>Raum, Energie, Instandhaltung</t>
        </is>
      </c>
      <c r="G723" t="n">
        <v>2</v>
      </c>
      <c r="H723" t="n">
        <v>18.5</v>
      </c>
      <c r="I723" t="n">
        <v>0</v>
      </c>
      <c r="J723" t="n">
        <v>0</v>
      </c>
      <c r="K723" t="n">
        <v>18.5</v>
      </c>
      <c r="L723" t="n">
        <v>0</v>
      </c>
      <c r="M723" t="n">
        <v>0</v>
      </c>
      <c r="N723" t="n">
        <v>1</v>
      </c>
    </row>
    <row r="724">
      <c r="A724" t="n">
        <v>2026</v>
      </c>
      <c r="B724" t="n">
        <v>9</v>
      </c>
      <c r="C724" t="inlineStr">
        <is>
          <t>430120</t>
        </is>
      </c>
      <c r="D724" t="inlineStr">
        <is>
          <t>Sonstige Versicherungen</t>
        </is>
      </c>
      <c r="E724" t="inlineStr">
        <is>
          <t>VERSICHERUNG_MIETE</t>
        </is>
      </c>
      <c r="F724" t="inlineStr">
        <is>
          <t>Versicherungen, Mieten, Steuern</t>
        </is>
      </c>
      <c r="G724" t="n">
        <v>2</v>
      </c>
      <c r="H724" t="n">
        <v>4800.46</v>
      </c>
      <c r="I724" t="n">
        <v>0</v>
      </c>
      <c r="J724" t="n">
        <v>0</v>
      </c>
      <c r="K724" t="n">
        <v>4800.46</v>
      </c>
      <c r="L724" t="n">
        <v>0</v>
      </c>
      <c r="M724" t="n">
        <v>0</v>
      </c>
      <c r="N724" t="n">
        <v>6</v>
      </c>
    </row>
    <row r="725">
      <c r="A725" t="n">
        <v>2026</v>
      </c>
      <c r="B725" t="n">
        <v>9</v>
      </c>
      <c r="C725" t="inlineStr">
        <is>
          <t>430121</t>
        </is>
      </c>
      <c r="D725" t="inlineStr">
        <is>
          <t>Warenkreditversicherung</t>
        </is>
      </c>
      <c r="E725" t="inlineStr">
        <is>
          <t>VERSICHERUNG_MIETE</t>
        </is>
      </c>
      <c r="F725" t="inlineStr">
        <is>
          <t>Versicherungen, Mieten, Steuern</t>
        </is>
      </c>
      <c r="G725" t="n">
        <v>2</v>
      </c>
      <c r="H725" t="n">
        <v>297.5</v>
      </c>
      <c r="I725" t="n">
        <v>0</v>
      </c>
      <c r="J725" t="n">
        <v>0</v>
      </c>
      <c r="K725" t="n">
        <v>297.5</v>
      </c>
      <c r="L725" t="n">
        <v>0</v>
      </c>
      <c r="M725" t="n">
        <v>0</v>
      </c>
      <c r="N725" t="n">
        <v>1</v>
      </c>
    </row>
    <row r="726">
      <c r="A726" t="n">
        <v>2026</v>
      </c>
      <c r="B726" t="n">
        <v>9</v>
      </c>
      <c r="C726" t="inlineStr">
        <is>
          <t>431010</t>
        </is>
      </c>
      <c r="D726" t="inlineStr">
        <is>
          <t>Mieten Räume</t>
        </is>
      </c>
      <c r="E726" t="inlineStr">
        <is>
          <t>VERSICHERUNG_MIETE</t>
        </is>
      </c>
      <c r="F726" t="inlineStr">
        <is>
          <t>Versicherungen, Mieten, Steuern</t>
        </is>
      </c>
      <c r="G726" t="n">
        <v>2</v>
      </c>
      <c r="H726" t="n">
        <v>10294.45</v>
      </c>
      <c r="I726" t="n">
        <v>0</v>
      </c>
      <c r="J726" t="n">
        <v>0</v>
      </c>
      <c r="K726" t="n">
        <v>10294.45</v>
      </c>
      <c r="L726" t="n">
        <v>0</v>
      </c>
      <c r="M726" t="n">
        <v>0</v>
      </c>
      <c r="N726" t="n">
        <v>9</v>
      </c>
    </row>
    <row r="727">
      <c r="A727" t="n">
        <v>2026</v>
      </c>
      <c r="B727" t="n">
        <v>9</v>
      </c>
      <c r="C727" t="inlineStr">
        <is>
          <t>431020</t>
        </is>
      </c>
      <c r="D727" t="inlineStr">
        <is>
          <t>Mieten Plätze</t>
        </is>
      </c>
      <c r="E727" t="inlineStr">
        <is>
          <t>VERSICHERUNG_MIETE</t>
        </is>
      </c>
      <c r="F727" t="inlineStr">
        <is>
          <t>Versicherungen, Mieten, Steuern</t>
        </is>
      </c>
      <c r="G727" t="n">
        <v>2</v>
      </c>
      <c r="H727" t="n">
        <v>4675.19</v>
      </c>
      <c r="I727" t="n">
        <v>0</v>
      </c>
      <c r="J727" t="n">
        <v>0</v>
      </c>
      <c r="K727" t="n">
        <v>4675.19</v>
      </c>
      <c r="L727" t="n">
        <v>0</v>
      </c>
      <c r="M727" t="n">
        <v>0</v>
      </c>
      <c r="N727" t="n">
        <v>12</v>
      </c>
    </row>
    <row r="728">
      <c r="A728" t="n">
        <v>2026</v>
      </c>
      <c r="B728" t="n">
        <v>9</v>
      </c>
      <c r="C728" t="inlineStr">
        <is>
          <t>431041</t>
        </is>
      </c>
      <c r="D728" t="inlineStr">
        <is>
          <t>Miete Behälter</t>
        </is>
      </c>
      <c r="E728" t="inlineStr">
        <is>
          <t>VERSICHERUNG_MIETE</t>
        </is>
      </c>
      <c r="F728" t="inlineStr">
        <is>
          <t>Versicherungen, Mieten, Steuern</t>
        </is>
      </c>
      <c r="G728" t="n">
        <v>2</v>
      </c>
      <c r="H728" t="n">
        <v>5.06</v>
      </c>
      <c r="I728" t="n">
        <v>0</v>
      </c>
      <c r="J728" t="n">
        <v>0</v>
      </c>
      <c r="K728" t="n">
        <v>5.06</v>
      </c>
      <c r="L728" t="n">
        <v>0</v>
      </c>
      <c r="M728" t="n">
        <v>0</v>
      </c>
      <c r="N728" t="n">
        <v>1</v>
      </c>
    </row>
    <row r="729">
      <c r="A729" t="n">
        <v>2026</v>
      </c>
      <c r="B729" t="n">
        <v>9</v>
      </c>
      <c r="C729" t="inlineStr">
        <is>
          <t>431090</t>
        </is>
      </c>
      <c r="D729" t="inlineStr">
        <is>
          <t>Sonstige Mieten</t>
        </is>
      </c>
      <c r="E729" t="inlineStr">
        <is>
          <t>VERSICHERUNG_MIETE</t>
        </is>
      </c>
      <c r="F729" t="inlineStr">
        <is>
          <t>Versicherungen, Mieten, Steuern</t>
        </is>
      </c>
      <c r="G729" t="n">
        <v>2</v>
      </c>
      <c r="H729" t="n">
        <v>209.2</v>
      </c>
      <c r="I729" t="n">
        <v>0</v>
      </c>
      <c r="J729" t="n">
        <v>0</v>
      </c>
      <c r="K729" t="n">
        <v>209.2</v>
      </c>
      <c r="L729" t="n">
        <v>0</v>
      </c>
      <c r="M729" t="n">
        <v>0</v>
      </c>
      <c r="N729" t="n">
        <v>1</v>
      </c>
    </row>
    <row r="730">
      <c r="A730" t="n">
        <v>2026</v>
      </c>
      <c r="B730" t="n">
        <v>9</v>
      </c>
      <c r="C730" t="inlineStr">
        <is>
          <t>450010</t>
        </is>
      </c>
      <c r="D730" t="inlineStr">
        <is>
          <t>Reisekosten Betriebsangehörige</t>
        </is>
      </c>
      <c r="E730" t="inlineStr">
        <is>
          <t>REISE_WERBUNG</t>
        </is>
      </c>
      <c r="F730" t="inlineStr">
        <is>
          <t>Transport, Reise, Werbung</t>
        </is>
      </c>
      <c r="G730" t="n">
        <v>2</v>
      </c>
      <c r="H730" t="n">
        <v>2838.83</v>
      </c>
      <c r="I730" t="n">
        <v>0</v>
      </c>
      <c r="J730" t="n">
        <v>0</v>
      </c>
      <c r="K730" t="n">
        <v>2838.83</v>
      </c>
      <c r="L730" t="n">
        <v>0</v>
      </c>
      <c r="M730" t="n">
        <v>0</v>
      </c>
      <c r="N730" t="n">
        <v>30</v>
      </c>
    </row>
    <row r="731">
      <c r="A731" t="n">
        <v>2026</v>
      </c>
      <c r="B731" t="n">
        <v>9</v>
      </c>
      <c r="C731" t="inlineStr">
        <is>
          <t>450011</t>
        </is>
      </c>
      <c r="D731" t="inlineStr">
        <is>
          <t>Verpfl.mehraufwand (pauschal)</t>
        </is>
      </c>
      <c r="E731" t="inlineStr">
        <is>
          <t>REISE_WERBUNG</t>
        </is>
      </c>
      <c r="F731" t="inlineStr">
        <is>
          <t>Transport, Reise, Werbung</t>
        </is>
      </c>
      <c r="G731" t="n">
        <v>2</v>
      </c>
      <c r="H731" t="n">
        <v>70</v>
      </c>
      <c r="I731" t="n">
        <v>0</v>
      </c>
      <c r="J731" t="n">
        <v>0</v>
      </c>
      <c r="K731" t="n">
        <v>70</v>
      </c>
      <c r="L731" t="n">
        <v>0</v>
      </c>
      <c r="M731" t="n">
        <v>0</v>
      </c>
      <c r="N731" t="n">
        <v>2</v>
      </c>
    </row>
    <row r="732">
      <c r="A732" t="n">
        <v>2026</v>
      </c>
      <c r="B732" t="n">
        <v>9</v>
      </c>
      <c r="C732" t="inlineStr">
        <is>
          <t>450012</t>
        </is>
      </c>
      <c r="D732" t="inlineStr">
        <is>
          <t>Kilometergeld (pauschal)</t>
        </is>
      </c>
      <c r="E732" t="inlineStr">
        <is>
          <t>REISE_WERBUNG</t>
        </is>
      </c>
      <c r="F732" t="inlineStr">
        <is>
          <t>Transport, Reise, Werbung</t>
        </is>
      </c>
      <c r="G732" t="n">
        <v>2</v>
      </c>
      <c r="H732" t="n">
        <v>391.4</v>
      </c>
      <c r="I732" t="n">
        <v>0</v>
      </c>
      <c r="J732" t="n">
        <v>0</v>
      </c>
      <c r="K732" t="n">
        <v>391.4</v>
      </c>
      <c r="L732" t="n">
        <v>0</v>
      </c>
      <c r="M732" t="n">
        <v>0</v>
      </c>
      <c r="N732" t="n">
        <v>2</v>
      </c>
    </row>
    <row r="733">
      <c r="A733" t="n">
        <v>2026</v>
      </c>
      <c r="B733" t="n">
        <v>9</v>
      </c>
      <c r="C733" t="inlineStr">
        <is>
          <t>450020</t>
        </is>
      </c>
      <c r="D733" t="inlineStr">
        <is>
          <t>Reisekosten Betriebsfremde</t>
        </is>
      </c>
      <c r="E733" t="inlineStr">
        <is>
          <t>REISE_WERBUNG</t>
        </is>
      </c>
      <c r="F733" t="inlineStr">
        <is>
          <t>Transport, Reise, Werbung</t>
        </is>
      </c>
      <c r="G733" t="n">
        <v>2</v>
      </c>
      <c r="H733" t="n">
        <v>241.12</v>
      </c>
      <c r="I733" t="n">
        <v>0</v>
      </c>
      <c r="J733" t="n">
        <v>0</v>
      </c>
      <c r="K733" t="n">
        <v>241.12</v>
      </c>
      <c r="L733" t="n">
        <v>0</v>
      </c>
      <c r="M733" t="n">
        <v>0</v>
      </c>
      <c r="N733" t="n">
        <v>1</v>
      </c>
    </row>
    <row r="734">
      <c r="A734" t="n">
        <v>2026</v>
      </c>
      <c r="B734" t="n">
        <v>9</v>
      </c>
      <c r="C734" t="inlineStr">
        <is>
          <t>450030</t>
        </is>
      </c>
      <c r="D734" t="inlineStr">
        <is>
          <t>Bewirtung zu 100 % abzugsfähig</t>
        </is>
      </c>
      <c r="E734" t="inlineStr">
        <is>
          <t>REISE_WERBUNG</t>
        </is>
      </c>
      <c r="F734" t="inlineStr">
        <is>
          <t>Transport, Reise, Werbung</t>
        </is>
      </c>
      <c r="G734" t="n">
        <v>2</v>
      </c>
      <c r="H734" t="n">
        <v>731.99</v>
      </c>
      <c r="I734" t="n">
        <v>0</v>
      </c>
      <c r="J734" t="n">
        <v>0</v>
      </c>
      <c r="K734" t="n">
        <v>731.99</v>
      </c>
      <c r="L734" t="n">
        <v>0</v>
      </c>
      <c r="M734" t="n">
        <v>0</v>
      </c>
      <c r="N734" t="n">
        <v>14</v>
      </c>
    </row>
    <row r="735">
      <c r="A735" t="n">
        <v>2026</v>
      </c>
      <c r="B735" t="n">
        <v>9</v>
      </c>
      <c r="C735" t="inlineStr">
        <is>
          <t>450039</t>
        </is>
      </c>
      <c r="D735" t="inlineStr">
        <is>
          <t>Bewirtung zu 70 % abzugsfähig</t>
        </is>
      </c>
      <c r="E735" t="inlineStr">
        <is>
          <t>REISE_WERBUNG</t>
        </is>
      </c>
      <c r="F735" t="inlineStr">
        <is>
          <t>Transport, Reise, Werbung</t>
        </is>
      </c>
      <c r="G735" t="n">
        <v>2</v>
      </c>
      <c r="H735" t="n">
        <v>1108.88</v>
      </c>
      <c r="I735" t="n">
        <v>0</v>
      </c>
      <c r="J735" t="n">
        <v>0</v>
      </c>
      <c r="K735" t="n">
        <v>1108.88</v>
      </c>
      <c r="L735" t="n">
        <v>0</v>
      </c>
      <c r="M735" t="n">
        <v>0</v>
      </c>
      <c r="N735" t="n">
        <v>29</v>
      </c>
    </row>
    <row r="736">
      <c r="A736" t="n">
        <v>2026</v>
      </c>
      <c r="B736" t="n">
        <v>9</v>
      </c>
      <c r="C736" t="inlineStr">
        <is>
          <t>450050</t>
        </is>
      </c>
      <c r="D736" t="inlineStr">
        <is>
          <t>Allgemeine Repräsentationskosten</t>
        </is>
      </c>
      <c r="E736" t="inlineStr">
        <is>
          <t>REISE_WERBUNG</t>
        </is>
      </c>
      <c r="F736" t="inlineStr">
        <is>
          <t>Transport, Reise, Werbung</t>
        </is>
      </c>
      <c r="G736" t="n">
        <v>2</v>
      </c>
      <c r="H736" t="n">
        <v>89.89</v>
      </c>
      <c r="I736" t="n">
        <v>0</v>
      </c>
      <c r="J736" t="n">
        <v>0</v>
      </c>
      <c r="K736" t="n">
        <v>89.89</v>
      </c>
      <c r="L736" t="n">
        <v>0</v>
      </c>
      <c r="M736" t="n">
        <v>0</v>
      </c>
      <c r="N736" t="n">
        <v>1</v>
      </c>
    </row>
    <row r="737">
      <c r="A737" t="n">
        <v>2026</v>
      </c>
      <c r="B737" t="n">
        <v>9</v>
      </c>
      <c r="C737" t="inlineStr">
        <is>
          <t>460010</t>
        </is>
      </c>
      <c r="D737" t="inlineStr">
        <is>
          <t>Büromaterial</t>
        </is>
      </c>
      <c r="E737" t="inlineStr">
        <is>
          <t>VERWALTUNG</t>
        </is>
      </c>
      <c r="F737" t="inlineStr">
        <is>
          <t>Verwaltung und Beratung</t>
        </is>
      </c>
      <c r="G737" t="n">
        <v>2</v>
      </c>
      <c r="H737" t="n">
        <v>602.65</v>
      </c>
      <c r="I737" t="n">
        <v>0</v>
      </c>
      <c r="J737" t="n">
        <v>0</v>
      </c>
      <c r="K737" t="n">
        <v>602.65</v>
      </c>
      <c r="L737" t="n">
        <v>0</v>
      </c>
      <c r="M737" t="n">
        <v>0</v>
      </c>
      <c r="N737" t="n">
        <v>9</v>
      </c>
    </row>
    <row r="738">
      <c r="A738" t="n">
        <v>2026</v>
      </c>
      <c r="B738" t="n">
        <v>9</v>
      </c>
      <c r="C738" t="inlineStr">
        <is>
          <t>460030</t>
        </is>
      </c>
      <c r="D738" t="inlineStr">
        <is>
          <t>Telekommunikation</t>
        </is>
      </c>
      <c r="E738" t="inlineStr">
        <is>
          <t>VERWALTUNG</t>
        </is>
      </c>
      <c r="F738" t="inlineStr">
        <is>
          <t>Verwaltung und Beratung</t>
        </is>
      </c>
      <c r="G738" t="n">
        <v>2</v>
      </c>
      <c r="H738" t="n">
        <v>1525.65</v>
      </c>
      <c r="I738" t="n">
        <v>0</v>
      </c>
      <c r="J738" t="n">
        <v>0</v>
      </c>
      <c r="K738" t="n">
        <v>1525.65</v>
      </c>
      <c r="L738" t="n">
        <v>0</v>
      </c>
      <c r="M738" t="n">
        <v>0</v>
      </c>
      <c r="N738" t="n">
        <v>15</v>
      </c>
    </row>
    <row r="739">
      <c r="A739" t="n">
        <v>2026</v>
      </c>
      <c r="B739" t="n">
        <v>9</v>
      </c>
      <c r="C739" t="inlineStr">
        <is>
          <t>460040</t>
        </is>
      </c>
      <c r="D739" t="inlineStr">
        <is>
          <t>Portogebühren</t>
        </is>
      </c>
      <c r="E739" t="inlineStr">
        <is>
          <t>VERWALTUNG</t>
        </is>
      </c>
      <c r="F739" t="inlineStr">
        <is>
          <t>Verwaltung und Beratung</t>
        </is>
      </c>
      <c r="G739" t="n">
        <v>2</v>
      </c>
      <c r="H739" t="n">
        <v>355.01</v>
      </c>
      <c r="I739" t="n">
        <v>0</v>
      </c>
      <c r="J739" t="n">
        <v>0</v>
      </c>
      <c r="K739" t="n">
        <v>355.01</v>
      </c>
      <c r="L739" t="n">
        <v>0</v>
      </c>
      <c r="M739" t="n">
        <v>0</v>
      </c>
      <c r="N739" t="n">
        <v>6</v>
      </c>
    </row>
    <row r="740">
      <c r="A740" t="n">
        <v>2026</v>
      </c>
      <c r="B740" t="n">
        <v>9</v>
      </c>
      <c r="C740" t="inlineStr">
        <is>
          <t>460050</t>
        </is>
      </c>
      <c r="D740" t="inlineStr">
        <is>
          <t>Neu aus Import – Bezeichnung pflegen</t>
        </is>
      </c>
      <c r="E740" t="inlineStr">
        <is>
          <t>VERWALTUNG</t>
        </is>
      </c>
      <c r="F740" t="inlineStr">
        <is>
          <t>Verwaltung und Beratung</t>
        </is>
      </c>
      <c r="G740" t="n">
        <v>2</v>
      </c>
      <c r="H740" t="n">
        <v>10.5</v>
      </c>
      <c r="I740" t="n">
        <v>0</v>
      </c>
      <c r="J740" t="n">
        <v>0</v>
      </c>
      <c r="K740" t="n">
        <v>10.5</v>
      </c>
      <c r="L740" t="n">
        <v>0</v>
      </c>
      <c r="M740" t="n">
        <v>0</v>
      </c>
      <c r="N740" t="n">
        <v>1</v>
      </c>
    </row>
    <row r="741">
      <c r="A741" t="n">
        <v>2026</v>
      </c>
      <c r="B741" t="n">
        <v>9</v>
      </c>
      <c r="C741" t="inlineStr">
        <is>
          <t>460060</t>
        </is>
      </c>
      <c r="D741" t="inlineStr">
        <is>
          <t>Kosten EDV</t>
        </is>
      </c>
      <c r="E741" t="inlineStr">
        <is>
          <t>VERWALTUNG</t>
        </is>
      </c>
      <c r="F741" t="inlineStr">
        <is>
          <t>Verwaltung und Beratung</t>
        </is>
      </c>
      <c r="G741" t="n">
        <v>2</v>
      </c>
      <c r="H741" t="n">
        <v>2528.51</v>
      </c>
      <c r="I741" t="n">
        <v>0</v>
      </c>
      <c r="J741" t="n">
        <v>0</v>
      </c>
      <c r="K741" t="n">
        <v>2528.51</v>
      </c>
      <c r="L741" t="n">
        <v>0</v>
      </c>
      <c r="M741" t="n">
        <v>0</v>
      </c>
      <c r="N741" t="n">
        <v>7</v>
      </c>
    </row>
    <row r="742">
      <c r="A742" t="n">
        <v>2026</v>
      </c>
      <c r="B742" t="n">
        <v>9</v>
      </c>
      <c r="C742" t="inlineStr">
        <is>
          <t>460065</t>
        </is>
      </c>
      <c r="D742" t="inlineStr">
        <is>
          <t>IT Lizenzgebühren</t>
        </is>
      </c>
      <c r="E742" t="inlineStr">
        <is>
          <t>VERWALTUNG</t>
        </is>
      </c>
      <c r="F742" t="inlineStr">
        <is>
          <t>Verwaltung und Beratung</t>
        </is>
      </c>
      <c r="G742" t="n">
        <v>2</v>
      </c>
      <c r="H742" t="n">
        <v>3033.39</v>
      </c>
      <c r="I742" t="n">
        <v>0</v>
      </c>
      <c r="J742" t="n">
        <v>0</v>
      </c>
      <c r="K742" t="n">
        <v>3033.39</v>
      </c>
      <c r="L742" t="n">
        <v>0</v>
      </c>
      <c r="M742" t="n">
        <v>0</v>
      </c>
      <c r="N742" t="n">
        <v>4</v>
      </c>
    </row>
    <row r="743">
      <c r="A743" t="n">
        <v>2026</v>
      </c>
      <c r="B743" t="n">
        <v>9</v>
      </c>
      <c r="C743" t="inlineStr">
        <is>
          <t>460090</t>
        </is>
      </c>
      <c r="D743" t="inlineStr">
        <is>
          <t>Schreib- und Verwaltungsgebühren an Behö</t>
        </is>
      </c>
      <c r="E743" t="inlineStr">
        <is>
          <t>VERWALTUNG</t>
        </is>
      </c>
      <c r="F743" t="inlineStr">
        <is>
          <t>Verwaltung und Beratung</t>
        </is>
      </c>
      <c r="G743" t="n">
        <v>2</v>
      </c>
      <c r="H743" t="n">
        <v>101</v>
      </c>
      <c r="I743" t="n">
        <v>0</v>
      </c>
      <c r="J743" t="n">
        <v>0</v>
      </c>
      <c r="K743" t="n">
        <v>101</v>
      </c>
      <c r="L743" t="n">
        <v>0</v>
      </c>
      <c r="M743" t="n">
        <v>0</v>
      </c>
      <c r="N743" t="n">
        <v>3</v>
      </c>
    </row>
    <row r="744">
      <c r="A744" t="n">
        <v>2026</v>
      </c>
      <c r="B744" t="n">
        <v>9</v>
      </c>
      <c r="C744" t="inlineStr">
        <is>
          <t>460200</t>
        </is>
      </c>
      <c r="D744" t="inlineStr">
        <is>
          <t>Beiträge Fachtagungen</t>
        </is>
      </c>
      <c r="E744" t="inlineStr">
        <is>
          <t>VERWALTUNG</t>
        </is>
      </c>
      <c r="F744" t="inlineStr">
        <is>
          <t>Verwaltung und Beratung</t>
        </is>
      </c>
      <c r="G744" t="n">
        <v>2</v>
      </c>
      <c r="H744" t="n">
        <v>1125</v>
      </c>
      <c r="I744" t="n">
        <v>0</v>
      </c>
      <c r="J744" t="n">
        <v>0</v>
      </c>
      <c r="K744" t="n">
        <v>1125</v>
      </c>
      <c r="L744" t="n">
        <v>0</v>
      </c>
      <c r="M744" t="n">
        <v>0</v>
      </c>
      <c r="N744" t="n">
        <v>3</v>
      </c>
    </row>
    <row r="745">
      <c r="A745" t="n">
        <v>2026</v>
      </c>
      <c r="B745" t="n">
        <v>9</v>
      </c>
      <c r="C745" t="inlineStr">
        <is>
          <t>460900</t>
        </is>
      </c>
      <c r="D745" t="inlineStr">
        <is>
          <t>Sonstige Verwaltungskosten</t>
        </is>
      </c>
      <c r="E745" t="inlineStr">
        <is>
          <t>VERWALTUNG</t>
        </is>
      </c>
      <c r="F745" t="inlineStr">
        <is>
          <t>Verwaltung und Beratung</t>
        </is>
      </c>
      <c r="G745" t="n">
        <v>2</v>
      </c>
      <c r="H745" t="n">
        <v>2522.08</v>
      </c>
      <c r="I745" t="n">
        <v>0</v>
      </c>
      <c r="J745" t="n">
        <v>0</v>
      </c>
      <c r="K745" t="n">
        <v>2522.08</v>
      </c>
      <c r="L745" t="n">
        <v>0</v>
      </c>
      <c r="M745" t="n">
        <v>0</v>
      </c>
      <c r="N745" t="n">
        <v>6</v>
      </c>
    </row>
    <row r="746">
      <c r="A746" t="n">
        <v>2026</v>
      </c>
      <c r="B746" t="n">
        <v>9</v>
      </c>
      <c r="C746" t="inlineStr">
        <is>
          <t>470010</t>
        </is>
      </c>
      <c r="D746" t="inlineStr">
        <is>
          <t>Anwalts- und Gerichtskosten</t>
        </is>
      </c>
      <c r="E746" t="inlineStr">
        <is>
          <t>BERATUNG_UMLAGE</t>
        </is>
      </c>
      <c r="F746" t="inlineStr">
        <is>
          <t>Verwaltung und Beratung</t>
        </is>
      </c>
      <c r="G746" t="n">
        <v>2</v>
      </c>
      <c r="H746" t="n">
        <v>1608.32</v>
      </c>
      <c r="I746" t="n">
        <v>0</v>
      </c>
      <c r="J746" t="n">
        <v>0</v>
      </c>
      <c r="K746" t="n">
        <v>1608.32</v>
      </c>
      <c r="L746" t="n">
        <v>0</v>
      </c>
      <c r="M746" t="n">
        <v>0</v>
      </c>
      <c r="N746" t="n">
        <v>1</v>
      </c>
    </row>
    <row r="747">
      <c r="A747" t="n">
        <v>2026</v>
      </c>
      <c r="B747" t="n">
        <v>9</v>
      </c>
      <c r="C747" t="inlineStr">
        <is>
          <t>470020</t>
        </is>
      </c>
      <c r="D747" t="inlineStr">
        <is>
          <t>kaufm. Beratung und Buchführung</t>
        </is>
      </c>
      <c r="E747" t="inlineStr">
        <is>
          <t>BERATUNG_UMLAGE</t>
        </is>
      </c>
      <c r="F747" t="inlineStr">
        <is>
          <t>Verwaltung und Beratung</t>
        </is>
      </c>
      <c r="G747" t="n">
        <v>2</v>
      </c>
      <c r="H747" t="n">
        <v>11350</v>
      </c>
      <c r="I747" t="n">
        <v>0</v>
      </c>
      <c r="J747" t="n">
        <v>0</v>
      </c>
      <c r="K747" t="n">
        <v>11350</v>
      </c>
      <c r="L747" t="n">
        <v>0</v>
      </c>
      <c r="M747" t="n">
        <v>0</v>
      </c>
      <c r="N747" t="n">
        <v>6</v>
      </c>
    </row>
    <row r="748">
      <c r="A748" t="n">
        <v>2026</v>
      </c>
      <c r="B748" t="n">
        <v>9</v>
      </c>
      <c r="C748" t="inlineStr">
        <is>
          <t>470025</t>
        </is>
      </c>
      <c r="D748" t="inlineStr">
        <is>
          <t>Steuerberatungskosten</t>
        </is>
      </c>
      <c r="E748" t="inlineStr">
        <is>
          <t>BERATUNG_UMLAGE</t>
        </is>
      </c>
      <c r="F748" t="inlineStr">
        <is>
          <t>Verwaltung und Beratung</t>
        </is>
      </c>
      <c r="G748" t="n">
        <v>2</v>
      </c>
      <c r="H748" t="n">
        <v>494.4</v>
      </c>
      <c r="I748" t="n">
        <v>0</v>
      </c>
      <c r="J748" t="n">
        <v>0</v>
      </c>
      <c r="K748" t="n">
        <v>494.4</v>
      </c>
      <c r="L748" t="n">
        <v>0</v>
      </c>
      <c r="M748" t="n">
        <v>0</v>
      </c>
      <c r="N748" t="n">
        <v>1</v>
      </c>
    </row>
    <row r="749">
      <c r="A749" t="n">
        <v>2026</v>
      </c>
      <c r="B749" t="n">
        <v>9</v>
      </c>
      <c r="C749" t="inlineStr">
        <is>
          <t>470030</t>
        </is>
      </c>
      <c r="D749" t="inlineStr">
        <is>
          <t>Beratungskosten Allgemeine Verwaltung</t>
        </is>
      </c>
      <c r="E749" t="inlineStr">
        <is>
          <t>BERATUNG_UMLAGE</t>
        </is>
      </c>
      <c r="F749" t="inlineStr">
        <is>
          <t>Verwaltung und Beratung</t>
        </is>
      </c>
      <c r="G749" t="n">
        <v>2</v>
      </c>
      <c r="H749" t="n">
        <v>30625</v>
      </c>
      <c r="I749" t="n">
        <v>0</v>
      </c>
      <c r="J749" t="n">
        <v>0</v>
      </c>
      <c r="K749" t="n">
        <v>30625</v>
      </c>
      <c r="L749" t="n">
        <v>0</v>
      </c>
      <c r="M749" t="n">
        <v>0</v>
      </c>
      <c r="N749" t="n">
        <v>2</v>
      </c>
    </row>
    <row r="750">
      <c r="A750" t="n">
        <v>2026</v>
      </c>
      <c r="B750" t="n">
        <v>9</v>
      </c>
      <c r="C750" t="inlineStr">
        <is>
          <t>470036</t>
        </is>
      </c>
      <c r="D750" t="inlineStr">
        <is>
          <t>Aufwendungen Umlage zentrale Verwaltung</t>
        </is>
      </c>
      <c r="E750" t="inlineStr">
        <is>
          <t>BERATUNG_UMLAGE</t>
        </is>
      </c>
      <c r="F750" t="inlineStr">
        <is>
          <t>Verwaltung und Beratung</t>
        </is>
      </c>
      <c r="G750" t="n">
        <v>2</v>
      </c>
      <c r="H750" t="n">
        <v>3752</v>
      </c>
      <c r="I750" t="n">
        <v>0</v>
      </c>
      <c r="J750" t="n">
        <v>0</v>
      </c>
      <c r="K750" t="n">
        <v>3752</v>
      </c>
      <c r="L750" t="n">
        <v>0</v>
      </c>
      <c r="M750" t="n">
        <v>0</v>
      </c>
      <c r="N750" t="n">
        <v>2</v>
      </c>
    </row>
    <row r="751">
      <c r="A751" t="n">
        <v>2026</v>
      </c>
      <c r="B751" t="n">
        <v>9</v>
      </c>
      <c r="C751" t="inlineStr">
        <is>
          <t>480100</t>
        </is>
      </c>
      <c r="D751" t="inlineStr">
        <is>
          <t>Normalabschreibung auf Anlagen</t>
        </is>
      </c>
      <c r="E751" t="inlineStr">
        <is>
          <t>ABSCHREIBUNG</t>
        </is>
      </c>
      <c r="F751" t="inlineStr">
        <is>
          <t>Abschreibungen</t>
        </is>
      </c>
      <c r="G751" t="n">
        <v>2</v>
      </c>
      <c r="H751" t="n">
        <v>2196</v>
      </c>
      <c r="I751" t="n">
        <v>0</v>
      </c>
      <c r="J751" t="n">
        <v>0</v>
      </c>
      <c r="K751" t="n">
        <v>2196</v>
      </c>
      <c r="L751" t="n">
        <v>0</v>
      </c>
      <c r="M751" t="n">
        <v>0</v>
      </c>
      <c r="N751" t="n">
        <v>10</v>
      </c>
    </row>
    <row r="752">
      <c r="A752" t="n">
        <v>2026</v>
      </c>
      <c r="B752" t="n">
        <v>9</v>
      </c>
      <c r="C752" t="inlineStr">
        <is>
          <t>480110</t>
        </is>
      </c>
      <c r="D752" t="inlineStr">
        <is>
          <t>Abschreibungen auf Anlagen (GWG)</t>
        </is>
      </c>
      <c r="E752" t="inlineStr">
        <is>
          <t>ABSCHREIBUNG</t>
        </is>
      </c>
      <c r="F752" t="inlineStr">
        <is>
          <t>Abschreibungen</t>
        </is>
      </c>
      <c r="G752" t="n">
        <v>2</v>
      </c>
      <c r="H752" t="n">
        <v>407</v>
      </c>
      <c r="I752" t="n">
        <v>0</v>
      </c>
      <c r="J752" t="n">
        <v>0</v>
      </c>
      <c r="K752" t="n">
        <v>407</v>
      </c>
      <c r="L752" t="n">
        <v>0</v>
      </c>
      <c r="M752" t="n">
        <v>0</v>
      </c>
      <c r="N752" t="n">
        <v>10</v>
      </c>
    </row>
    <row r="753">
      <c r="A753" t="n">
        <v>2026</v>
      </c>
      <c r="B753" t="n">
        <v>9</v>
      </c>
      <c r="C753" t="inlineStr">
        <is>
          <t>499200</t>
        </is>
      </c>
      <c r="D753" t="inlineStr">
        <is>
          <t>Kalk. Zinsen</t>
        </is>
      </c>
      <c r="E753" t="inlineStr">
        <is>
          <t>KALKULATORISCH</t>
        </is>
      </c>
      <c r="F753" t="inlineStr">
        <is>
          <t>Kalkulatorische Kosten</t>
        </is>
      </c>
      <c r="G753" t="n">
        <v>9</v>
      </c>
      <c r="H753" t="n">
        <v>699</v>
      </c>
      <c r="I753" t="n">
        <v>0</v>
      </c>
      <c r="J753" t="n">
        <v>0</v>
      </c>
      <c r="K753" t="n">
        <v>0</v>
      </c>
      <c r="L753" t="n">
        <v>0</v>
      </c>
      <c r="M753" t="n">
        <v>699</v>
      </c>
      <c r="N753" t="n">
        <v>21</v>
      </c>
    </row>
    <row r="754">
      <c r="A754" t="n">
        <v>2026</v>
      </c>
      <c r="B754" t="n">
        <v>9</v>
      </c>
      <c r="C754" t="inlineStr">
        <is>
          <t>499300</t>
        </is>
      </c>
      <c r="D754" t="inlineStr">
        <is>
          <t>Kalk. Abschreibungen</t>
        </is>
      </c>
      <c r="E754" t="inlineStr">
        <is>
          <t>KALKULATORISCH</t>
        </is>
      </c>
      <c r="F754" t="inlineStr">
        <is>
          <t>Kalkulatorische Kosten</t>
        </is>
      </c>
      <c r="G754" t="n">
        <v>9</v>
      </c>
      <c r="H754" t="n">
        <v>3229</v>
      </c>
      <c r="I754" t="n">
        <v>0</v>
      </c>
      <c r="J754" t="n">
        <v>0</v>
      </c>
      <c r="K754" t="n">
        <v>0</v>
      </c>
      <c r="L754" t="n">
        <v>0</v>
      </c>
      <c r="M754" t="n">
        <v>3229</v>
      </c>
      <c r="N754" t="n">
        <v>22</v>
      </c>
    </row>
    <row r="755">
      <c r="A755" t="n">
        <v>2026</v>
      </c>
      <c r="B755" t="n">
        <v>9</v>
      </c>
      <c r="C755" t="inlineStr">
        <is>
          <t>830510</t>
        </is>
      </c>
      <c r="D755" t="inlineStr">
        <is>
          <t>Erlöse Abrisse/Demontagen</t>
        </is>
      </c>
      <c r="E755" t="inlineStr">
        <is>
          <t>ERLOES</t>
        </is>
      </c>
      <c r="F755" t="inlineStr">
        <is>
          <t>Umsatzerlöse</t>
        </is>
      </c>
      <c r="G755" t="n">
        <v>0</v>
      </c>
      <c r="H755" t="n">
        <v>-843555.88</v>
      </c>
      <c r="I755" t="n">
        <v>843555.88</v>
      </c>
      <c r="J755" t="n">
        <v>0</v>
      </c>
      <c r="K755" t="n">
        <v>0</v>
      </c>
      <c r="L755" t="n">
        <v>0</v>
      </c>
      <c r="M755" t="n">
        <v>0</v>
      </c>
      <c r="N755" t="n">
        <v>61</v>
      </c>
    </row>
    <row r="756">
      <c r="A756" t="n">
        <v>2026</v>
      </c>
      <c r="B756" t="n">
        <v>9</v>
      </c>
      <c r="C756" t="inlineStr">
        <is>
          <t>840040</t>
        </is>
      </c>
      <c r="D756" t="inlineStr">
        <is>
          <t>Erlöse Verkauf HW Schrott</t>
        </is>
      </c>
      <c r="E756" t="inlineStr">
        <is>
          <t>ERLOES</t>
        </is>
      </c>
      <c r="F756" t="inlineStr">
        <is>
          <t>Umsatzerlöse</t>
        </is>
      </c>
      <c r="G756" t="n">
        <v>0</v>
      </c>
      <c r="H756" t="n">
        <v>-47610.87</v>
      </c>
      <c r="I756" t="n">
        <v>47610.87</v>
      </c>
      <c r="J756" t="n">
        <v>0</v>
      </c>
      <c r="K756" t="n">
        <v>0</v>
      </c>
      <c r="L756" t="n">
        <v>0</v>
      </c>
      <c r="M756" t="n">
        <v>0</v>
      </c>
      <c r="N756" t="n">
        <v>5</v>
      </c>
    </row>
    <row r="757">
      <c r="A757" t="n">
        <v>2026</v>
      </c>
      <c r="B757" t="n">
        <v>9</v>
      </c>
      <c r="C757" t="inlineStr">
        <is>
          <t>860000</t>
        </is>
      </c>
      <c r="D757" t="inlineStr">
        <is>
          <t>Erlöse weiterberechnete Fremdkosten</t>
        </is>
      </c>
      <c r="E757" t="inlineStr">
        <is>
          <t>ERLOES</t>
        </is>
      </c>
      <c r="F757" t="inlineStr">
        <is>
          <t>Umsatzerlöse</t>
        </is>
      </c>
      <c r="G757" t="n">
        <v>0</v>
      </c>
      <c r="H757" t="n">
        <v>-2849.05</v>
      </c>
      <c r="I757" t="n">
        <v>2849.05</v>
      </c>
      <c r="J757" t="n">
        <v>0</v>
      </c>
      <c r="K757" t="n">
        <v>0</v>
      </c>
      <c r="L757" t="n">
        <v>0</v>
      </c>
      <c r="M757" t="n">
        <v>0</v>
      </c>
      <c r="N757" t="n">
        <v>4</v>
      </c>
    </row>
    <row r="761">
      <c r="A761" t="inlineStr">
        <is>
          <t>v_gemeinkosten_region</t>
        </is>
      </c>
    </row>
    <row r="762">
      <c r="A762" t="inlineStr">
        <is>
          <t>region</t>
        </is>
      </c>
      <c r="B762" t="inlineStr">
        <is>
          <t>funktion</t>
        </is>
      </c>
      <c r="C762" t="inlineStr">
        <is>
          <t>primaerkosten</t>
        </is>
      </c>
      <c r="D762" t="inlineStr">
        <is>
          <t>umlage</t>
        </is>
      </c>
      <c r="E762" t="inlineStr">
        <is>
          <t>deckungsdifferenz</t>
        </is>
      </c>
      <c r="F762" t="inlineStr">
        <is>
          <t>innenauftraege</t>
        </is>
      </c>
    </row>
    <row r="763">
      <c r="A763" t="inlineStr">
        <is>
          <t>Berlin</t>
        </is>
      </c>
      <c r="B763" t="inlineStr">
        <is>
          <t>Firmenwagen</t>
        </is>
      </c>
      <c r="C763" t="n">
        <v>27266.67</v>
      </c>
      <c r="E763" t="n">
        <v>27266.67</v>
      </c>
      <c r="F763" t="n">
        <v>4</v>
      </c>
    </row>
    <row r="764">
      <c r="A764" t="inlineStr">
        <is>
          <t>Berlin</t>
        </is>
      </c>
      <c r="B764" t="inlineStr">
        <is>
          <t>Lager</t>
        </is>
      </c>
      <c r="C764" t="n">
        <v>16432.83</v>
      </c>
      <c r="E764" t="n">
        <v>16432.83</v>
      </c>
      <c r="F764" t="n">
        <v>1</v>
      </c>
    </row>
    <row r="765">
      <c r="A765" t="inlineStr">
        <is>
          <t>Berlin</t>
        </is>
      </c>
      <c r="B765" t="inlineStr">
        <is>
          <t>Vertrieb</t>
        </is>
      </c>
      <c r="C765" t="n">
        <v>36706.48</v>
      </c>
      <c r="D765" t="n">
        <v>-92864.49000000001</v>
      </c>
      <c r="E765" t="n">
        <v>-56158.01</v>
      </c>
      <c r="F765" t="n">
        <v>1</v>
      </c>
    </row>
    <row r="766">
      <c r="A766" t="inlineStr">
        <is>
          <t>Berlin</t>
        </is>
      </c>
      <c r="B766" t="inlineStr">
        <is>
          <t>Verwaltung</t>
        </is>
      </c>
      <c r="C766" t="n">
        <v>-302862.87</v>
      </c>
      <c r="D766" t="n">
        <v>296941.99</v>
      </c>
      <c r="E766" t="n">
        <v>-5920.88</v>
      </c>
      <c r="F766" t="n">
        <v>15</v>
      </c>
    </row>
    <row r="767">
      <c r="A767" t="inlineStr">
        <is>
          <t>Ost</t>
        </is>
      </c>
      <c r="B767" t="inlineStr">
        <is>
          <t>Firmenwagen</t>
        </is>
      </c>
      <c r="C767" t="n">
        <v>45902.48</v>
      </c>
      <c r="E767" t="n">
        <v>45902.48</v>
      </c>
      <c r="F767" t="n">
        <v>5</v>
      </c>
    </row>
    <row r="768">
      <c r="A768" t="inlineStr">
        <is>
          <t>Ost</t>
        </is>
      </c>
      <c r="B768" t="inlineStr">
        <is>
          <t>Lager</t>
        </is>
      </c>
      <c r="C768" t="n">
        <v>15819.75</v>
      </c>
      <c r="D768" t="n">
        <v>3965</v>
      </c>
      <c r="E768" t="n">
        <v>19784.75</v>
      </c>
      <c r="F768" t="n">
        <v>2</v>
      </c>
    </row>
    <row r="769">
      <c r="A769" t="inlineStr">
        <is>
          <t>Ost</t>
        </is>
      </c>
      <c r="B769" t="inlineStr">
        <is>
          <t>Vertrieb</t>
        </is>
      </c>
      <c r="C769" t="n">
        <v>94507.77</v>
      </c>
      <c r="D769" t="n">
        <v>-429383.95</v>
      </c>
      <c r="E769" t="n">
        <v>-334876.18</v>
      </c>
      <c r="F769" t="n">
        <v>1</v>
      </c>
    </row>
    <row r="770">
      <c r="A770" t="inlineStr">
        <is>
          <t>Ost</t>
        </is>
      </c>
      <c r="B770" t="inlineStr">
        <is>
          <t>Verwaltung</t>
        </is>
      </c>
      <c r="C770" t="n">
        <v>-1744682.22</v>
      </c>
      <c r="D770" t="n">
        <v>955895.45</v>
      </c>
      <c r="E770" t="n">
        <v>-788786.77</v>
      </c>
      <c r="F770" t="n">
        <v>27</v>
      </c>
    </row>
    <row r="771">
      <c r="A771" t="inlineStr">
        <is>
          <t>Süd-West</t>
        </is>
      </c>
      <c r="B771" t="inlineStr">
        <is>
          <t>Firmenwagen</t>
        </is>
      </c>
      <c r="C771" t="n">
        <v>22524.39</v>
      </c>
      <c r="E771" t="n">
        <v>22524.39</v>
      </c>
      <c r="F771" t="n">
        <v>3</v>
      </c>
    </row>
    <row r="772">
      <c r="A772" t="inlineStr">
        <is>
          <t>Süd-West</t>
        </is>
      </c>
      <c r="B772" t="inlineStr">
        <is>
          <t>Lager</t>
        </is>
      </c>
      <c r="C772" t="n">
        <v>85442.86</v>
      </c>
      <c r="E772" t="n">
        <v>85442.86</v>
      </c>
      <c r="F772" t="n">
        <v>1</v>
      </c>
    </row>
    <row r="773">
      <c r="A773" t="inlineStr">
        <is>
          <t>Süd-West</t>
        </is>
      </c>
      <c r="B773" t="inlineStr">
        <is>
          <t>Vertrieb</t>
        </is>
      </c>
      <c r="C773" t="n">
        <v>98508.03</v>
      </c>
      <c r="D773" t="n">
        <v>-404531.32</v>
      </c>
      <c r="E773" t="n">
        <v>-306023.29</v>
      </c>
      <c r="F773" t="n">
        <v>1</v>
      </c>
    </row>
    <row r="774">
      <c r="A774" t="inlineStr">
        <is>
          <t>Süd-West</t>
        </is>
      </c>
      <c r="B774" t="inlineStr">
        <is>
          <t>Verwaltung</t>
        </is>
      </c>
      <c r="C774" t="n">
        <v>-158377.21</v>
      </c>
      <c r="D774" t="n">
        <v>854559.8199999999</v>
      </c>
      <c r="E774" t="n">
        <v>696182.61</v>
      </c>
      <c r="F774" t="n">
        <v>39</v>
      </c>
    </row>
    <row r="775">
      <c r="A775" t="inlineStr">
        <is>
          <t>Verwaltung</t>
        </is>
      </c>
      <c r="B775" t="inlineStr">
        <is>
          <t>Firmenwagen</t>
        </is>
      </c>
      <c r="C775" t="n">
        <v>33476.74</v>
      </c>
      <c r="E775" t="n">
        <v>33476.74</v>
      </c>
      <c r="F775" t="n">
        <v>5</v>
      </c>
    </row>
    <row r="776">
      <c r="A776" t="inlineStr">
        <is>
          <t>Verwaltung</t>
        </is>
      </c>
      <c r="B776" t="inlineStr">
        <is>
          <t>Steuern</t>
        </is>
      </c>
      <c r="C776" t="n">
        <v>147.77</v>
      </c>
      <c r="E776" t="n">
        <v>147.77</v>
      </c>
      <c r="F776" t="n">
        <v>1</v>
      </c>
    </row>
    <row r="777">
      <c r="A777" t="inlineStr">
        <is>
          <t>Verwaltung</t>
        </is>
      </c>
      <c r="B777" t="inlineStr">
        <is>
          <t>Verwaltung</t>
        </is>
      </c>
      <c r="C777" t="n">
        <v>604713.85</v>
      </c>
      <c r="D777" t="n">
        <v>3278</v>
      </c>
      <c r="E777" t="n">
        <v>607991.85</v>
      </c>
      <c r="F777" t="n">
        <v>16</v>
      </c>
    </row>
    <row r="778">
      <c r="A778" t="inlineStr">
        <is>
          <t>West</t>
        </is>
      </c>
      <c r="B778" t="inlineStr">
        <is>
          <t>Firmenwagen</t>
        </is>
      </c>
      <c r="C778" t="n">
        <v>14888.17</v>
      </c>
      <c r="E778" t="n">
        <v>14888.17</v>
      </c>
      <c r="F778" t="n">
        <v>2</v>
      </c>
    </row>
    <row r="779">
      <c r="A779" t="inlineStr">
        <is>
          <t>West</t>
        </is>
      </c>
      <c r="B779" t="inlineStr">
        <is>
          <t>Vertrieb</t>
        </is>
      </c>
      <c r="C779" t="n">
        <v>96993.19</v>
      </c>
      <c r="D779" t="n">
        <v>-588458.3100000001</v>
      </c>
      <c r="E779" t="n">
        <v>-491465.12</v>
      </c>
      <c r="F779" t="n">
        <v>1</v>
      </c>
    </row>
    <row r="780">
      <c r="A780" t="inlineStr">
        <is>
          <t>West</t>
        </is>
      </c>
      <c r="B780" t="inlineStr">
        <is>
          <t>Verwaltung</t>
        </is>
      </c>
      <c r="C780" t="n">
        <v>-1467742.14</v>
      </c>
      <c r="D780" t="n">
        <v>1232422.31</v>
      </c>
      <c r="E780" t="n">
        <v>-235319.83</v>
      </c>
      <c r="F780" t="n">
        <v>40</v>
      </c>
    </row>
    <row r="781">
      <c r="A781" t="inlineStr">
        <is>
          <t>West</t>
        </is>
      </c>
      <c r="B781" t="inlineStr">
        <is>
          <t>Werkstatt</t>
        </is>
      </c>
      <c r="C781" t="n">
        <v>16506.24</v>
      </c>
      <c r="E781" t="n">
        <v>16506.24</v>
      </c>
      <c r="F781" t="n">
        <v>1</v>
      </c>
    </row>
    <row r="785">
      <c r="A785" t="inlineStr">
        <is>
          <t>v_innenauftrag</t>
        </is>
      </c>
    </row>
    <row r="786">
      <c r="A786" t="inlineStr">
        <is>
          <t>auftrag</t>
        </is>
      </c>
      <c r="B786" t="inlineStr">
        <is>
          <t>bezeichnung</t>
        </is>
      </c>
      <c r="C786" t="inlineStr">
        <is>
          <t>region</t>
        </is>
      </c>
      <c r="D786" t="inlineStr">
        <is>
          <t>funktion</t>
        </is>
      </c>
      <c r="E786" t="inlineStr">
        <is>
          <t>primaerkosten</t>
        </is>
      </c>
      <c r="F786" t="inlineStr">
        <is>
          <t>umlage</t>
        </is>
      </c>
      <c r="G786" t="inlineStr">
        <is>
          <t>saldo</t>
        </is>
      </c>
      <c r="H786" t="inlineStr">
        <is>
          <t>zeilen</t>
        </is>
      </c>
    </row>
    <row r="787">
      <c r="A787" t="inlineStr">
        <is>
          <t>W4102654411</t>
        </is>
      </c>
      <c r="B787" t="inlineStr">
        <is>
          <t>VVK Berlin</t>
        </is>
      </c>
      <c r="C787" t="inlineStr">
        <is>
          <t>Berlin</t>
        </is>
      </c>
      <c r="D787" t="inlineStr">
        <is>
          <t>Vertrieb</t>
        </is>
      </c>
      <c r="E787" t="n">
        <v>36706.48</v>
      </c>
      <c r="F787" t="n">
        <v>-92864.49000000001</v>
      </c>
      <c r="G787" t="n">
        <v>-56158.01</v>
      </c>
      <c r="H787" t="n">
        <v>246</v>
      </c>
    </row>
    <row r="788">
      <c r="A788" t="inlineStr">
        <is>
          <t>W4102504973</t>
        </is>
      </c>
      <c r="B788" t="inlineStr">
        <is>
          <t>CB- TV 300E Hr. Kemper Mercedes</t>
        </is>
      </c>
      <c r="C788" t="inlineStr">
        <is>
          <t>Verwaltung</t>
        </is>
      </c>
      <c r="D788" t="inlineStr">
        <is>
          <t>Firmenwagen</t>
        </is>
      </c>
      <c r="E788" t="n">
        <v>14807.19</v>
      </c>
      <c r="G788" t="n">
        <v>14807.19</v>
      </c>
      <c r="H788" t="n">
        <v>68</v>
      </c>
    </row>
    <row r="789">
      <c r="A789" t="inlineStr">
        <is>
          <t>P4102608246</t>
        </is>
      </c>
      <c r="B789" t="inlineStr">
        <is>
          <t>RB Kohlebunker/Brücke Lübbenau</t>
        </is>
      </c>
      <c r="C789" t="inlineStr">
        <is>
          <t>Ost</t>
        </is>
      </c>
      <c r="D789" t="inlineStr">
        <is>
          <t>Verwaltung</t>
        </is>
      </c>
      <c r="E789" t="n">
        <v>-452007.38</v>
      </c>
      <c r="F789" t="n">
        <v>383640.92</v>
      </c>
      <c r="G789" t="n">
        <v>-68366.46000000001</v>
      </c>
      <c r="H789" t="n">
        <v>458</v>
      </c>
    </row>
    <row r="790">
      <c r="A790" t="inlineStr">
        <is>
          <t>P4102309045</t>
        </is>
      </c>
      <c r="B790" t="inlineStr">
        <is>
          <t>BASF Sonstige Kleinmaßnahmen</t>
        </is>
      </c>
      <c r="C790" t="inlineStr">
        <is>
          <t>Süd-West</t>
        </is>
      </c>
      <c r="D790" t="inlineStr">
        <is>
          <t>Verwaltung</t>
        </is>
      </c>
      <c r="E790" t="n">
        <v>-14959.45</v>
      </c>
      <c r="F790" t="n">
        <v>43140.39</v>
      </c>
      <c r="G790" t="n">
        <v>28180.94</v>
      </c>
      <c r="H790" t="n">
        <v>113</v>
      </c>
    </row>
    <row r="791">
      <c r="A791" t="inlineStr">
        <is>
          <t>W4102654611</t>
        </is>
      </c>
      <c r="B791" t="inlineStr">
        <is>
          <t>Lager Region Berlin</t>
        </is>
      </c>
      <c r="C791" t="inlineStr">
        <is>
          <t>Berlin</t>
        </is>
      </c>
      <c r="D791" t="inlineStr">
        <is>
          <t>Lager</t>
        </is>
      </c>
      <c r="E791" t="n">
        <v>16432.83</v>
      </c>
      <c r="G791" t="n">
        <v>16432.83</v>
      </c>
      <c r="H791" t="n">
        <v>87</v>
      </c>
    </row>
    <row r="792">
      <c r="A792" t="inlineStr">
        <is>
          <t>P4102157469</t>
        </is>
      </c>
      <c r="B792" t="inlineStr">
        <is>
          <t>Anmeldung fehlt</t>
        </is>
      </c>
      <c r="C792" t="inlineStr">
        <is>
          <t>West</t>
        </is>
      </c>
      <c r="D792" t="inlineStr">
        <is>
          <t>Verwaltung</t>
        </is>
      </c>
      <c r="E792" t="n">
        <v>1053.31</v>
      </c>
      <c r="F792" t="n">
        <v>160.64</v>
      </c>
      <c r="G792" t="n">
        <v>1213.95</v>
      </c>
      <c r="H792" t="n">
        <v>13</v>
      </c>
    </row>
    <row r="793">
      <c r="A793" t="inlineStr">
        <is>
          <t>P4102307437</t>
        </is>
      </c>
      <c r="B793" t="inlineStr">
        <is>
          <t>ENBW - KW Walheim, Permutit-Anlage</t>
        </is>
      </c>
      <c r="C793" t="inlineStr">
        <is>
          <t>Süd-West</t>
        </is>
      </c>
      <c r="D793" t="inlineStr">
        <is>
          <t>Verwaltung</t>
        </is>
      </c>
      <c r="E793" t="n">
        <v>138.33</v>
      </c>
      <c r="F793" t="n">
        <v>515.39</v>
      </c>
      <c r="G793" t="n">
        <v>653.72</v>
      </c>
      <c r="H793" t="n">
        <v>20</v>
      </c>
    </row>
    <row r="794">
      <c r="A794" t="inlineStr">
        <is>
          <t>W4102304947</t>
        </is>
      </c>
      <c r="B794" t="inlineStr">
        <is>
          <t>CB-AB 644 Passat Herr Yavuz</t>
        </is>
      </c>
      <c r="C794" t="inlineStr">
        <is>
          <t>Süd-West</t>
        </is>
      </c>
      <c r="D794" t="inlineStr">
        <is>
          <t>Firmenwagen</t>
        </is>
      </c>
      <c r="E794" t="n">
        <v>30</v>
      </c>
      <c r="G794" t="n">
        <v>30</v>
      </c>
      <c r="H794" t="n">
        <v>10</v>
      </c>
    </row>
    <row r="795">
      <c r="A795" t="inlineStr">
        <is>
          <t>W4102604940</t>
        </is>
      </c>
      <c r="B795" t="inlineStr">
        <is>
          <t>CB-VT 475 Heilmann</t>
        </is>
      </c>
      <c r="C795" t="inlineStr">
        <is>
          <t>Ost</t>
        </is>
      </c>
      <c r="D795" t="inlineStr">
        <is>
          <t>Firmenwagen</t>
        </is>
      </c>
      <c r="E795" t="n">
        <v>4781.24</v>
      </c>
      <c r="G795" t="n">
        <v>4781.24</v>
      </c>
      <c r="H795" t="n">
        <v>46</v>
      </c>
    </row>
    <row r="796">
      <c r="A796" t="inlineStr">
        <is>
          <t>P4102157436</t>
        </is>
      </c>
      <c r="B796" t="inlineStr">
        <is>
          <t>Sanierung Kompensatoren</t>
        </is>
      </c>
      <c r="C796" t="inlineStr">
        <is>
          <t>West</t>
        </is>
      </c>
      <c r="D796" t="inlineStr">
        <is>
          <t>Verwaltung</t>
        </is>
      </c>
      <c r="E796" t="n">
        <v>-5236.57</v>
      </c>
      <c r="G796" t="n">
        <v>-5236.57</v>
      </c>
      <c r="H796" t="n">
        <v>2</v>
      </c>
    </row>
    <row r="797">
      <c r="A797" t="inlineStr">
        <is>
          <t>W4102154501</t>
        </is>
      </c>
      <c r="B797" t="inlineStr">
        <is>
          <t>Gehalt BL Region West</t>
        </is>
      </c>
      <c r="C797" t="inlineStr">
        <is>
          <t>West</t>
        </is>
      </c>
      <c r="D797" t="inlineStr">
        <is>
          <t>Verwaltung</t>
        </is>
      </c>
      <c r="E797" t="n">
        <v>8664</v>
      </c>
      <c r="G797" t="n">
        <v>8664</v>
      </c>
      <c r="H797" t="n">
        <v>10</v>
      </c>
    </row>
    <row r="798">
      <c r="A798" t="inlineStr">
        <is>
          <t>W4102154611</t>
        </is>
      </c>
      <c r="B798" t="inlineStr">
        <is>
          <t>Werkstatt Region West</t>
        </is>
      </c>
      <c r="C798" t="inlineStr">
        <is>
          <t>West</t>
        </is>
      </c>
      <c r="D798" t="inlineStr">
        <is>
          <t>Werkstatt</t>
        </is>
      </c>
      <c r="E798" t="n">
        <v>16506.24</v>
      </c>
      <c r="G798" t="n">
        <v>16506.24</v>
      </c>
      <c r="H798" t="n">
        <v>105</v>
      </c>
    </row>
    <row r="799">
      <c r="A799" t="inlineStr">
        <is>
          <t>P4102307449</t>
        </is>
      </c>
      <c r="B799" t="inlineStr">
        <is>
          <t>BASF S 607</t>
        </is>
      </c>
      <c r="C799" t="inlineStr">
        <is>
          <t>Süd-West</t>
        </is>
      </c>
      <c r="D799" t="inlineStr">
        <is>
          <t>Verwaltung</t>
        </is>
      </c>
      <c r="E799" t="n">
        <v>-4867.14</v>
      </c>
      <c r="F799" t="n">
        <v>41853.45</v>
      </c>
      <c r="G799" t="n">
        <v>36986.31</v>
      </c>
      <c r="H799" t="n">
        <v>38</v>
      </c>
    </row>
    <row r="800">
      <c r="A800" t="inlineStr">
        <is>
          <t>P4102157450</t>
        </is>
      </c>
      <c r="B800" t="inlineStr">
        <is>
          <t>Verschr. Brennkammer BA-301 Oxygen</t>
        </is>
      </c>
      <c r="C800" t="inlineStr">
        <is>
          <t>West</t>
        </is>
      </c>
      <c r="D800" t="inlineStr">
        <is>
          <t>Verwaltung</t>
        </is>
      </c>
      <c r="E800" t="n">
        <v>-197.23</v>
      </c>
      <c r="F800" t="n">
        <v>-23.67</v>
      </c>
      <c r="G800" t="n">
        <v>-220.9</v>
      </c>
      <c r="H800" t="n">
        <v>5</v>
      </c>
    </row>
    <row r="801">
      <c r="A801" t="inlineStr">
        <is>
          <t>P4102157451</t>
        </is>
      </c>
      <c r="B801" t="inlineStr">
        <is>
          <t>Sanierung Campus Golzheim</t>
        </is>
      </c>
      <c r="C801" t="inlineStr">
        <is>
          <t>West</t>
        </is>
      </c>
      <c r="D801" t="inlineStr">
        <is>
          <t>Verwaltung</t>
        </is>
      </c>
      <c r="E801" t="n">
        <v>-281247.66</v>
      </c>
      <c r="F801" t="n">
        <v>281979.91</v>
      </c>
      <c r="G801" t="n">
        <v>732.25</v>
      </c>
      <c r="H801" t="n">
        <v>521</v>
      </c>
    </row>
    <row r="802">
      <c r="A802" t="inlineStr">
        <is>
          <t>W4102504951</t>
        </is>
      </c>
      <c r="B802" t="inlineStr">
        <is>
          <t>Steuern</t>
        </is>
      </c>
      <c r="C802" t="inlineStr">
        <is>
          <t>Verwaltung</t>
        </is>
      </c>
      <c r="D802" t="inlineStr">
        <is>
          <t>Steuern</t>
        </is>
      </c>
      <c r="E802" t="n">
        <v>147.77</v>
      </c>
      <c r="G802" t="n">
        <v>147.77</v>
      </c>
      <c r="H802" t="n">
        <v>11</v>
      </c>
    </row>
    <row r="803">
      <c r="A803" t="inlineStr">
        <is>
          <t>W4102154966</t>
        </is>
      </c>
      <c r="B803" t="inlineStr">
        <is>
          <t>PKW Kilinc</t>
        </is>
      </c>
      <c r="C803" t="inlineStr">
        <is>
          <t>West</t>
        </is>
      </c>
      <c r="D803" t="inlineStr">
        <is>
          <t>Verwaltung</t>
        </is>
      </c>
      <c r="E803" t="n">
        <v>10167.47</v>
      </c>
      <c r="G803" t="n">
        <v>10167.47</v>
      </c>
      <c r="H803" t="n">
        <v>27</v>
      </c>
    </row>
    <row r="804">
      <c r="A804" t="inlineStr">
        <is>
          <t>P4102607989</t>
        </is>
      </c>
      <c r="B804" t="inlineStr">
        <is>
          <t>Kleinaufträge</t>
        </is>
      </c>
      <c r="C804" t="inlineStr">
        <is>
          <t>Ost</t>
        </is>
      </c>
      <c r="D804" t="inlineStr">
        <is>
          <t>Verwaltung</t>
        </is>
      </c>
      <c r="E804" t="n">
        <v>-81060.75</v>
      </c>
      <c r="F804" t="n">
        <v>65194.65</v>
      </c>
      <c r="G804" t="n">
        <v>-15866.1</v>
      </c>
      <c r="H804" t="n">
        <v>183</v>
      </c>
    </row>
    <row r="805">
      <c r="A805" t="inlineStr">
        <is>
          <t>W4102651216</t>
        </is>
      </c>
      <c r="B805" t="inlineStr">
        <is>
          <t>Bagger CAT 326 07 FLN</t>
        </is>
      </c>
      <c r="C805" t="inlineStr">
        <is>
          <t>Berlin</t>
        </is>
      </c>
      <c r="D805" t="inlineStr">
        <is>
          <t>Verwaltung</t>
        </is>
      </c>
      <c r="E805" t="n">
        <v>2570</v>
      </c>
      <c r="G805" t="n">
        <v>2570</v>
      </c>
      <c r="H805" t="n">
        <v>9</v>
      </c>
    </row>
    <row r="806">
      <c r="A806" t="inlineStr">
        <is>
          <t>P4102608224</t>
        </is>
      </c>
      <c r="B806" t="inlineStr">
        <is>
          <t>RB Turbinen Hirschfelde</t>
        </is>
      </c>
      <c r="C806" t="inlineStr">
        <is>
          <t>Ost</t>
        </is>
      </c>
      <c r="D806" t="inlineStr">
        <is>
          <t>Verwaltung</t>
        </is>
      </c>
      <c r="E806" t="n">
        <v>-211.05</v>
      </c>
      <c r="F806" t="n">
        <v>211.05</v>
      </c>
      <c r="G806" t="n">
        <v>0</v>
      </c>
      <c r="H806" t="n">
        <v>4</v>
      </c>
    </row>
    <row r="807">
      <c r="A807" t="inlineStr">
        <is>
          <t>P4102652023</t>
        </is>
      </c>
      <c r="B807" t="inlineStr">
        <is>
          <t>Nachlaufende Kosten</t>
        </is>
      </c>
      <c r="C807" t="inlineStr">
        <is>
          <t>Berlin</t>
        </is>
      </c>
      <c r="D807" t="inlineStr">
        <is>
          <t>Verwaltung</t>
        </is>
      </c>
      <c r="E807" t="n">
        <v>100</v>
      </c>
      <c r="F807" t="n">
        <v>12</v>
      </c>
      <c r="G807" t="n">
        <v>112</v>
      </c>
      <c r="H807" t="n">
        <v>2</v>
      </c>
    </row>
    <row r="808">
      <c r="A808" t="inlineStr">
        <is>
          <t>P4102608263</t>
        </is>
      </c>
      <c r="B808" t="inlineStr">
        <is>
          <t>RB Föderbrücke AFB 60</t>
        </is>
      </c>
      <c r="C808" t="inlineStr">
        <is>
          <t>Ost</t>
        </is>
      </c>
      <c r="D808" t="inlineStr">
        <is>
          <t>Verwaltung</t>
        </is>
      </c>
      <c r="E808" t="n">
        <v>-830828.04</v>
      </c>
      <c r="F808" t="n">
        <v>356392.55</v>
      </c>
      <c r="G808" t="n">
        <v>-474435.49</v>
      </c>
      <c r="H808" t="n">
        <v>280</v>
      </c>
    </row>
    <row r="809">
      <c r="A809" t="inlineStr">
        <is>
          <t>P4102658257</t>
        </is>
      </c>
      <c r="B809" t="inlineStr">
        <is>
          <t>Brücke An der Wuhlheide - Notunterstützu</t>
        </is>
      </c>
      <c r="C809" t="inlineStr">
        <is>
          <t>Berlin</t>
        </is>
      </c>
      <c r="D809" t="inlineStr">
        <is>
          <t>Verwaltung</t>
        </is>
      </c>
      <c r="E809" t="n">
        <v>0</v>
      </c>
      <c r="G809" t="n">
        <v>0</v>
      </c>
      <c r="H809" t="n">
        <v>2</v>
      </c>
    </row>
    <row r="810">
      <c r="A810" t="inlineStr">
        <is>
          <t>P4102607081</t>
        </is>
      </c>
      <c r="B810" t="inlineStr">
        <is>
          <t>Abbr. Lager radioakt. Abfälle Los 3/EWN</t>
        </is>
      </c>
      <c r="C810" t="inlineStr">
        <is>
          <t>Ost</t>
        </is>
      </c>
      <c r="D810" t="inlineStr">
        <is>
          <t>Lager</t>
        </is>
      </c>
      <c r="E810" t="n">
        <v>177.57</v>
      </c>
      <c r="G810" t="n">
        <v>177.57</v>
      </c>
      <c r="H810" t="n">
        <v>2</v>
      </c>
    </row>
    <row r="811">
      <c r="A811" t="inlineStr">
        <is>
          <t>P4102307424</t>
        </is>
      </c>
      <c r="B811" t="inlineStr">
        <is>
          <t>BASF P 703</t>
        </is>
      </c>
      <c r="C811" t="inlineStr">
        <is>
          <t>Süd-West</t>
        </is>
      </c>
      <c r="D811" t="inlineStr">
        <is>
          <t>Verwaltung</t>
        </is>
      </c>
      <c r="E811" t="n">
        <v>-5.16</v>
      </c>
      <c r="F811" t="n">
        <v>-0.62</v>
      </c>
      <c r="G811" t="n">
        <v>-5.78</v>
      </c>
      <c r="H811" t="n">
        <v>4</v>
      </c>
    </row>
    <row r="812">
      <c r="A812" t="inlineStr">
        <is>
          <t>P4102157208</t>
        </is>
      </c>
      <c r="B812" t="inlineStr">
        <is>
          <t>Waggonverschrottung</t>
        </is>
      </c>
      <c r="C812" t="inlineStr">
        <is>
          <t>West</t>
        </is>
      </c>
      <c r="D812" t="inlineStr">
        <is>
          <t>Verwaltung</t>
        </is>
      </c>
      <c r="E812" t="n">
        <v>4373.37</v>
      </c>
      <c r="F812" t="n">
        <v>8099.5</v>
      </c>
      <c r="G812" t="n">
        <v>12472.87</v>
      </c>
      <c r="H812" t="n">
        <v>32</v>
      </c>
    </row>
    <row r="813">
      <c r="A813" t="inlineStr">
        <is>
          <t>W4102154411</t>
        </is>
      </c>
      <c r="B813" t="inlineStr">
        <is>
          <t>Vetrieb Region West</t>
        </is>
      </c>
      <c r="C813" t="inlineStr">
        <is>
          <t>West</t>
        </is>
      </c>
      <c r="D813" t="inlineStr">
        <is>
          <t>Vertrieb</t>
        </is>
      </c>
      <c r="E813" t="n">
        <v>96993.19</v>
      </c>
      <c r="F813" t="n">
        <v>-588458.3100000001</v>
      </c>
      <c r="G813" t="n">
        <v>-491465.12</v>
      </c>
      <c r="H813" t="n">
        <v>643</v>
      </c>
    </row>
    <row r="814">
      <c r="A814" t="inlineStr">
        <is>
          <t>W4102504110</t>
        </is>
      </c>
      <c r="B814" t="inlineStr">
        <is>
          <t>Kaufmännischer Leiter Herr Siebert</t>
        </is>
      </c>
      <c r="C814" t="inlineStr">
        <is>
          <t>Verwaltung</t>
        </is>
      </c>
      <c r="D814" t="inlineStr">
        <is>
          <t>Verwaltung</t>
        </is>
      </c>
      <c r="E814" t="n">
        <v>79.34</v>
      </c>
      <c r="G814" t="n">
        <v>79.34</v>
      </c>
      <c r="H814" t="n">
        <v>2</v>
      </c>
    </row>
    <row r="815">
      <c r="A815" t="inlineStr">
        <is>
          <t>P4102157463</t>
        </is>
      </c>
      <c r="B815" t="inlineStr">
        <is>
          <t>RB Maschinenhaus Bl. B+C</t>
        </is>
      </c>
      <c r="C815" t="inlineStr">
        <is>
          <t>West</t>
        </is>
      </c>
      <c r="D815" t="inlineStr">
        <is>
          <t>Verwaltung</t>
        </is>
      </c>
      <c r="E815" t="n">
        <v>84963.42</v>
      </c>
      <c r="F815" t="n">
        <v>65914</v>
      </c>
      <c r="G815" t="n">
        <v>150877.42</v>
      </c>
      <c r="H815" t="n">
        <v>190</v>
      </c>
    </row>
    <row r="816">
      <c r="A816" t="inlineStr">
        <is>
          <t>P4102307426</t>
        </is>
      </c>
      <c r="B816" t="inlineStr">
        <is>
          <t>BASF Z 300</t>
        </is>
      </c>
      <c r="C816" t="inlineStr">
        <is>
          <t>Süd-West</t>
        </is>
      </c>
      <c r="D816" t="inlineStr">
        <is>
          <t>Verwaltung</t>
        </is>
      </c>
      <c r="E816" t="n">
        <v>-8788.82</v>
      </c>
      <c r="F816" t="n">
        <v>7318.49</v>
      </c>
      <c r="G816" t="n">
        <v>-1470.33</v>
      </c>
      <c r="H816" t="n">
        <v>11</v>
      </c>
    </row>
    <row r="817">
      <c r="A817" t="inlineStr">
        <is>
          <t>P4102157414</t>
        </is>
      </c>
      <c r="B817" t="inlineStr">
        <is>
          <t>Krandemontage</t>
        </is>
      </c>
      <c r="C817" t="inlineStr">
        <is>
          <t>West</t>
        </is>
      </c>
      <c r="D817" t="inlineStr">
        <is>
          <t>Verwaltung</t>
        </is>
      </c>
      <c r="E817" t="n">
        <v>-35088.55</v>
      </c>
      <c r="F817" t="n">
        <v>11809.3</v>
      </c>
      <c r="G817" t="n">
        <v>-23279.25</v>
      </c>
      <c r="H817" t="n">
        <v>33</v>
      </c>
    </row>
    <row r="818">
      <c r="A818" t="inlineStr">
        <is>
          <t>W4102304412</t>
        </is>
      </c>
      <c r="B818" t="inlineStr">
        <is>
          <t>Fremdfirmenstuetzupunkt</t>
        </is>
      </c>
      <c r="C818" t="inlineStr">
        <is>
          <t>Süd-West</t>
        </is>
      </c>
      <c r="D818" t="inlineStr">
        <is>
          <t>Verwaltung</t>
        </is>
      </c>
      <c r="E818" t="n">
        <v>2488</v>
      </c>
      <c r="G818" t="n">
        <v>2488</v>
      </c>
      <c r="H818" t="n">
        <v>6</v>
      </c>
    </row>
    <row r="819">
      <c r="A819" t="inlineStr">
        <is>
          <t>P4102307433</t>
        </is>
      </c>
      <c r="B819" t="inlineStr">
        <is>
          <t>BASF U 505 Blauer Block</t>
        </is>
      </c>
      <c r="C819" t="inlineStr">
        <is>
          <t>Süd-West</t>
        </is>
      </c>
      <c r="D819" t="inlineStr">
        <is>
          <t>Verwaltung</t>
        </is>
      </c>
      <c r="E819" t="n">
        <v>-19667.2</v>
      </c>
      <c r="F819" t="n">
        <v>309210.16</v>
      </c>
      <c r="G819" t="n">
        <v>289542.96</v>
      </c>
      <c r="H819" t="n">
        <v>301</v>
      </c>
    </row>
    <row r="820">
      <c r="A820" t="inlineStr">
        <is>
          <t>P4102157455</t>
        </is>
      </c>
      <c r="B820" t="inlineStr">
        <is>
          <t>Currenta San.+RB G22 Los 1+2 Anm.fehlt</t>
        </is>
      </c>
      <c r="C820" t="inlineStr">
        <is>
          <t>West</t>
        </is>
      </c>
      <c r="D820" t="inlineStr">
        <is>
          <t>Verwaltung</t>
        </is>
      </c>
      <c r="E820" t="n">
        <v>116217.66</v>
      </c>
      <c r="F820" t="n">
        <v>345725.19</v>
      </c>
      <c r="G820" t="n">
        <v>461942.85</v>
      </c>
      <c r="H820" t="n">
        <v>588</v>
      </c>
    </row>
    <row r="821">
      <c r="A821" t="inlineStr">
        <is>
          <t>P4102157440</t>
        </is>
      </c>
      <c r="B821" t="inlineStr">
        <is>
          <t>tkse RB 2025</t>
        </is>
      </c>
      <c r="C821" t="inlineStr">
        <is>
          <t>West</t>
        </is>
      </c>
      <c r="D821" t="inlineStr">
        <is>
          <t>Verwaltung</t>
        </is>
      </c>
      <c r="F821" t="n">
        <v>828.8</v>
      </c>
      <c r="G821" t="n">
        <v>828.8</v>
      </c>
      <c r="H821" t="n">
        <v>3</v>
      </c>
    </row>
    <row r="822">
      <c r="A822" t="inlineStr">
        <is>
          <t>P4102307443</t>
        </is>
      </c>
      <c r="B822" t="inlineStr">
        <is>
          <t>Leingarten Schwimmhalle 2</t>
        </is>
      </c>
      <c r="C822" t="inlineStr">
        <is>
          <t>Süd-West</t>
        </is>
      </c>
      <c r="D822" t="inlineStr">
        <is>
          <t>Verwaltung</t>
        </is>
      </c>
      <c r="E822" t="n">
        <v>-36102.09</v>
      </c>
      <c r="F822" t="n">
        <v>10856.92</v>
      </c>
      <c r="G822" t="n">
        <v>-25245.17</v>
      </c>
      <c r="H822" t="n">
        <v>42</v>
      </c>
    </row>
    <row r="823">
      <c r="A823" t="inlineStr">
        <is>
          <t>P4102608232</t>
        </is>
      </c>
      <c r="B823" t="inlineStr">
        <is>
          <t>Seilbaggerarbeiten Platz der Republik</t>
        </is>
      </c>
      <c r="C823" t="inlineStr">
        <is>
          <t>Ost</t>
        </is>
      </c>
      <c r="D823" t="inlineStr">
        <is>
          <t>Verwaltung</t>
        </is>
      </c>
      <c r="E823" t="n">
        <v>-6059.53</v>
      </c>
      <c r="G823" t="n">
        <v>-6059.53</v>
      </c>
      <c r="H823" t="n">
        <v>1</v>
      </c>
    </row>
    <row r="824">
      <c r="A824" t="inlineStr">
        <is>
          <t>P4102307435</t>
        </is>
      </c>
      <c r="B824" t="inlineStr">
        <is>
          <t>ENBW - KW Walheim</t>
        </is>
      </c>
      <c r="C824" t="inlineStr">
        <is>
          <t>Süd-West</t>
        </is>
      </c>
      <c r="D824" t="inlineStr">
        <is>
          <t>Verwaltung</t>
        </is>
      </c>
      <c r="E824" t="n">
        <v>88340.19</v>
      </c>
      <c r="F824" t="n">
        <v>25006.67</v>
      </c>
      <c r="G824" t="n">
        <v>113346.86</v>
      </c>
      <c r="H824" t="n">
        <v>72</v>
      </c>
    </row>
    <row r="825">
      <c r="A825" t="inlineStr">
        <is>
          <t>P4102658228</t>
        </is>
      </c>
      <c r="B825" t="inlineStr">
        <is>
          <t>ENB EÜ Wollankstraße</t>
        </is>
      </c>
      <c r="C825" t="inlineStr">
        <is>
          <t>Berlin</t>
        </is>
      </c>
      <c r="D825" t="inlineStr">
        <is>
          <t>Verwaltung</t>
        </is>
      </c>
      <c r="E825" t="n">
        <v>-50.92</v>
      </c>
      <c r="F825" t="n">
        <v>50.92</v>
      </c>
      <c r="G825" t="n">
        <v>0</v>
      </c>
      <c r="H825" t="n">
        <v>3</v>
      </c>
    </row>
    <row r="826">
      <c r="A826" t="inlineStr">
        <is>
          <t>P4102307430</t>
        </is>
      </c>
      <c r="B826" t="inlineStr">
        <is>
          <t>BASF E 701</t>
        </is>
      </c>
      <c r="C826" t="inlineStr">
        <is>
          <t>Süd-West</t>
        </is>
      </c>
      <c r="D826" t="inlineStr">
        <is>
          <t>Verwaltung</t>
        </is>
      </c>
      <c r="E826" t="n">
        <v>-22533.26</v>
      </c>
      <c r="F826" t="n">
        <v>2387.02</v>
      </c>
      <c r="G826" t="n">
        <v>-20146.24</v>
      </c>
      <c r="H826" t="n">
        <v>18</v>
      </c>
    </row>
    <row r="827">
      <c r="A827" t="inlineStr">
        <is>
          <t>W4102504108</t>
        </is>
      </c>
      <c r="B827" t="inlineStr">
        <is>
          <t>Geschäftsführer Hr. Kenski</t>
        </is>
      </c>
      <c r="C827" t="inlineStr">
        <is>
          <t>Verwaltung</t>
        </is>
      </c>
      <c r="D827" t="inlineStr">
        <is>
          <t>Verwaltung</t>
        </is>
      </c>
      <c r="E827" t="n">
        <v>4155.7</v>
      </c>
      <c r="G827" t="n">
        <v>4155.7</v>
      </c>
      <c r="H827" t="n">
        <v>52</v>
      </c>
    </row>
    <row r="828">
      <c r="A828" t="inlineStr">
        <is>
          <t>P4102608267</t>
        </is>
      </c>
      <c r="B828" t="inlineStr">
        <is>
          <t>Sprengarbeiten FLJS</t>
        </is>
      </c>
      <c r="C828" t="inlineStr">
        <is>
          <t>Ost</t>
        </is>
      </c>
      <c r="D828" t="inlineStr">
        <is>
          <t>Verwaltung</t>
        </is>
      </c>
      <c r="E828" t="n">
        <v>-8155.8</v>
      </c>
      <c r="F828" t="n">
        <v>5796.21</v>
      </c>
      <c r="G828" t="n">
        <v>-2359.59</v>
      </c>
      <c r="H828" t="n">
        <v>23</v>
      </c>
    </row>
    <row r="829">
      <c r="A829" t="inlineStr">
        <is>
          <t>W4102504941</t>
        </is>
      </c>
      <c r="B829" t="inlineStr">
        <is>
          <t>Betriebsrat</t>
        </is>
      </c>
      <c r="C829" t="inlineStr">
        <is>
          <t>Verwaltung</t>
        </is>
      </c>
      <c r="D829" t="inlineStr">
        <is>
          <t>Verwaltung</t>
        </is>
      </c>
      <c r="E829" t="n">
        <v>590.37</v>
      </c>
      <c r="F829" t="n">
        <v>3278</v>
      </c>
      <c r="G829" t="n">
        <v>3868.37</v>
      </c>
      <c r="H829" t="n">
        <v>23</v>
      </c>
    </row>
    <row r="830">
      <c r="A830" t="inlineStr">
        <is>
          <t>P4102307427</t>
        </is>
      </c>
      <c r="B830" t="inlineStr">
        <is>
          <t>BASF N 720</t>
        </is>
      </c>
      <c r="C830" t="inlineStr">
        <is>
          <t>Süd-West</t>
        </is>
      </c>
      <c r="D830" t="inlineStr">
        <is>
          <t>Verwaltung</t>
        </is>
      </c>
      <c r="E830" t="n">
        <v>22810.76</v>
      </c>
      <c r="F830" t="n">
        <v>7605.73</v>
      </c>
      <c r="G830" t="n">
        <v>30416.49</v>
      </c>
      <c r="H830" t="n">
        <v>43</v>
      </c>
    </row>
    <row r="831">
      <c r="A831" t="inlineStr">
        <is>
          <t>W4102504221</t>
        </is>
      </c>
      <c r="B831" t="inlineStr">
        <is>
          <t>Übriges Personal</t>
        </is>
      </c>
      <c r="C831" t="inlineStr">
        <is>
          <t>Verwaltung</t>
        </is>
      </c>
      <c r="D831" t="inlineStr">
        <is>
          <t>Verwaltung</t>
        </is>
      </c>
      <c r="E831" t="n">
        <v>2702.81</v>
      </c>
      <c r="G831" t="n">
        <v>2702.81</v>
      </c>
      <c r="H831" t="n">
        <v>28</v>
      </c>
    </row>
    <row r="832">
      <c r="A832" t="inlineStr">
        <is>
          <t>P4102307416</t>
        </is>
      </c>
      <c r="B832" t="inlineStr">
        <is>
          <t>BASF O 405 Ammoniak</t>
        </is>
      </c>
      <c r="C832" t="inlineStr">
        <is>
          <t>Süd-West</t>
        </is>
      </c>
      <c r="D832" t="inlineStr">
        <is>
          <t>Verwaltung</t>
        </is>
      </c>
      <c r="E832" t="n">
        <v>25780.46</v>
      </c>
      <c r="G832" t="n">
        <v>25780.46</v>
      </c>
      <c r="H832" t="n">
        <v>1</v>
      </c>
    </row>
    <row r="833">
      <c r="A833" t="inlineStr">
        <is>
          <t>P4102157452</t>
        </is>
      </c>
      <c r="B833" t="inlineStr">
        <is>
          <t>RB Cont.anlage TKSE Gelände</t>
        </is>
      </c>
      <c r="C833" t="inlineStr">
        <is>
          <t>West</t>
        </is>
      </c>
      <c r="D833" t="inlineStr">
        <is>
          <t>Verwaltung</t>
        </is>
      </c>
      <c r="E833" t="n">
        <v>2847.73</v>
      </c>
      <c r="G833" t="n">
        <v>2847.73</v>
      </c>
      <c r="H833" t="n">
        <v>1</v>
      </c>
    </row>
    <row r="834">
      <c r="A834" t="inlineStr">
        <is>
          <t>W4102654946</t>
        </is>
      </c>
      <c r="B834" t="inlineStr">
        <is>
          <t>CB-TV 65 Hr Braun</t>
        </is>
      </c>
      <c r="C834" t="inlineStr">
        <is>
          <t>Berlin</t>
        </is>
      </c>
      <c r="D834" t="inlineStr">
        <is>
          <t>Firmenwagen</t>
        </is>
      </c>
      <c r="E834" t="n">
        <v>6739.56</v>
      </c>
      <c r="G834" t="n">
        <v>6739.56</v>
      </c>
      <c r="H834" t="n">
        <v>51</v>
      </c>
    </row>
    <row r="835">
      <c r="A835" t="inlineStr">
        <is>
          <t>W4102604613</t>
        </is>
      </c>
      <c r="B835" t="inlineStr">
        <is>
          <t>Basis HR</t>
        </is>
      </c>
      <c r="C835" t="inlineStr">
        <is>
          <t>Ost</t>
        </is>
      </c>
      <c r="D835" t="inlineStr">
        <is>
          <t>Verwaltung</t>
        </is>
      </c>
      <c r="E835" t="n">
        <v>2192.04</v>
      </c>
      <c r="F835" t="n">
        <v>396</v>
      </c>
      <c r="G835" t="n">
        <v>2588.04</v>
      </c>
      <c r="H835" t="n">
        <v>8</v>
      </c>
    </row>
    <row r="836">
      <c r="A836" t="inlineStr">
        <is>
          <t>P4102307434</t>
        </is>
      </c>
      <c r="B836" t="inlineStr">
        <is>
          <t>BASF S 304</t>
        </is>
      </c>
      <c r="C836" t="inlineStr">
        <is>
          <t>Süd-West</t>
        </is>
      </c>
      <c r="D836" t="inlineStr">
        <is>
          <t>Verwaltung</t>
        </is>
      </c>
      <c r="E836" t="n">
        <v>7969.87</v>
      </c>
      <c r="F836" t="n">
        <v>2637.75</v>
      </c>
      <c r="G836" t="n">
        <v>10607.62</v>
      </c>
      <c r="H836" t="n">
        <v>20</v>
      </c>
    </row>
    <row r="837">
      <c r="A837" t="inlineStr">
        <is>
          <t>P4102307450</t>
        </is>
      </c>
      <c r="B837" t="inlineStr">
        <is>
          <t>BASF Z 500-4 Helion</t>
        </is>
      </c>
      <c r="C837" t="inlineStr">
        <is>
          <t>Süd-West</t>
        </is>
      </c>
      <c r="D837" t="inlineStr">
        <is>
          <t>Verwaltung</t>
        </is>
      </c>
      <c r="E837" t="n">
        <v>-12178.25</v>
      </c>
      <c r="F837" t="n">
        <v>2056.89</v>
      </c>
      <c r="G837" t="n">
        <v>-10121.36</v>
      </c>
      <c r="H837" t="n">
        <v>10</v>
      </c>
    </row>
    <row r="838">
      <c r="A838" t="inlineStr">
        <is>
          <t>W4102504262</t>
        </is>
      </c>
      <c r="B838" t="inlineStr">
        <is>
          <t>Zentrale EDV</t>
        </is>
      </c>
      <c r="C838" t="inlineStr">
        <is>
          <t>Verwaltung</t>
        </is>
      </c>
      <c r="D838" t="inlineStr">
        <is>
          <t>Verwaltung</t>
        </is>
      </c>
      <c r="E838" t="n">
        <v>68245.31</v>
      </c>
      <c r="G838" t="n">
        <v>68245.31</v>
      </c>
      <c r="H838" t="n">
        <v>122</v>
      </c>
    </row>
    <row r="839">
      <c r="A839" t="inlineStr">
        <is>
          <t>W4102304611</t>
        </is>
      </c>
      <c r="B839" t="inlineStr">
        <is>
          <t>Lager Region Sued-West</t>
        </is>
      </c>
      <c r="C839" t="inlineStr">
        <is>
          <t>Süd-West</t>
        </is>
      </c>
      <c r="D839" t="inlineStr">
        <is>
          <t>Lager</t>
        </is>
      </c>
      <c r="E839" t="n">
        <v>85442.86</v>
      </c>
      <c r="G839" t="n">
        <v>85442.86</v>
      </c>
      <c r="H839" t="n">
        <v>180</v>
      </c>
    </row>
    <row r="840">
      <c r="A840" t="inlineStr">
        <is>
          <t>P4102608226</t>
        </is>
      </c>
      <c r="B840" t="inlineStr">
        <is>
          <t>RB Kohlebunker Lübbenau</t>
        </is>
      </c>
      <c r="C840" t="inlineStr">
        <is>
          <t>Ost</t>
        </is>
      </c>
      <c r="D840" t="inlineStr">
        <is>
          <t>Verwaltung</t>
        </is>
      </c>
      <c r="E840" t="n">
        <v>0</v>
      </c>
      <c r="G840" t="n">
        <v>0</v>
      </c>
      <c r="H840" t="n">
        <v>2</v>
      </c>
    </row>
    <row r="841">
      <c r="A841" t="inlineStr">
        <is>
          <t>P4102157468</t>
        </is>
      </c>
      <c r="B841" t="inlineStr">
        <is>
          <t>Verschr. Kondensattank Kokerei Schwelger</t>
        </is>
      </c>
      <c r="C841" t="inlineStr">
        <is>
          <t>West</t>
        </is>
      </c>
      <c r="D841" t="inlineStr">
        <is>
          <t>Verwaltung</t>
        </is>
      </c>
      <c r="E841" t="n">
        <v>31262.12</v>
      </c>
      <c r="F841" t="n">
        <v>4076.14</v>
      </c>
      <c r="G841" t="n">
        <v>35338.26</v>
      </c>
      <c r="H841" t="n">
        <v>16</v>
      </c>
    </row>
    <row r="842">
      <c r="A842" t="inlineStr">
        <is>
          <t>P4102608277</t>
        </is>
      </c>
      <c r="B842" t="inlineStr">
        <is>
          <t>Siebarbeiten KMK Storkow</t>
        </is>
      </c>
      <c r="C842" t="inlineStr">
        <is>
          <t>Ost</t>
        </is>
      </c>
      <c r="D842" t="inlineStr">
        <is>
          <t>Verwaltung</t>
        </is>
      </c>
      <c r="E842" t="n">
        <v>-4077.63</v>
      </c>
      <c r="F842" t="n">
        <v>2077.62</v>
      </c>
      <c r="G842" t="n">
        <v>-2000.01</v>
      </c>
      <c r="H842" t="n">
        <v>10</v>
      </c>
    </row>
    <row r="843">
      <c r="A843" t="inlineStr">
        <is>
          <t>W4102154967</t>
        </is>
      </c>
      <c r="B843" t="inlineStr">
        <is>
          <t>CB - VT 585  Hr. Büskens</t>
        </is>
      </c>
      <c r="C843" t="inlineStr">
        <is>
          <t>West</t>
        </is>
      </c>
      <c r="D843" t="inlineStr">
        <is>
          <t>Firmenwagen</t>
        </is>
      </c>
      <c r="E843" t="n">
        <v>13406.42</v>
      </c>
      <c r="G843" t="n">
        <v>13406.42</v>
      </c>
      <c r="H843" t="n">
        <v>46</v>
      </c>
    </row>
    <row r="844">
      <c r="A844" t="inlineStr">
        <is>
          <t>P4102307304</t>
        </is>
      </c>
      <c r="B844" t="inlineStr">
        <is>
          <t>HKW Süd</t>
        </is>
      </c>
      <c r="C844" t="inlineStr">
        <is>
          <t>Süd-West</t>
        </is>
      </c>
      <c r="D844" t="inlineStr">
        <is>
          <t>Verwaltung</t>
        </is>
      </c>
      <c r="E844" t="n">
        <v>-238.58</v>
      </c>
      <c r="F844" t="n">
        <v>-13.63</v>
      </c>
      <c r="G844" t="n">
        <v>-252.21</v>
      </c>
      <c r="H844" t="n">
        <v>31</v>
      </c>
    </row>
    <row r="845">
      <c r="A845" t="inlineStr">
        <is>
          <t>P4102157462</t>
        </is>
      </c>
      <c r="B845" t="inlineStr">
        <is>
          <t>Waggonverschrottung 2026</t>
        </is>
      </c>
      <c r="C845" t="inlineStr">
        <is>
          <t>West</t>
        </is>
      </c>
      <c r="D845" t="inlineStr">
        <is>
          <t>Verwaltung</t>
        </is>
      </c>
      <c r="E845" t="n">
        <v>2979.39</v>
      </c>
      <c r="F845" t="n">
        <v>21292.87</v>
      </c>
      <c r="G845" t="n">
        <v>24272.26</v>
      </c>
      <c r="H845" t="n">
        <v>42</v>
      </c>
    </row>
    <row r="846">
      <c r="A846" t="inlineStr">
        <is>
          <t>P4102157466</t>
        </is>
      </c>
      <c r="B846" t="inlineStr">
        <is>
          <t>Verschrottung Anlagenteile</t>
        </is>
      </c>
      <c r="C846" t="inlineStr">
        <is>
          <t>West</t>
        </is>
      </c>
      <c r="D846" t="inlineStr">
        <is>
          <t>Verwaltung</t>
        </is>
      </c>
      <c r="E846" t="n">
        <v>-7057.91</v>
      </c>
      <c r="F846" t="n">
        <v>1925.81</v>
      </c>
      <c r="G846" t="n">
        <v>-5132.1</v>
      </c>
      <c r="H846" t="n">
        <v>19</v>
      </c>
    </row>
    <row r="847">
      <c r="A847" t="inlineStr">
        <is>
          <t>W4102504222</t>
        </is>
      </c>
      <c r="B847" t="inlineStr">
        <is>
          <t>Sonstige Sachkosten</t>
        </is>
      </c>
      <c r="C847" t="inlineStr">
        <is>
          <t>Verwaltung</t>
        </is>
      </c>
      <c r="D847" t="inlineStr">
        <is>
          <t>Verwaltung</t>
        </is>
      </c>
      <c r="E847" t="n">
        <v>456116.42</v>
      </c>
      <c r="G847" t="n">
        <v>456116.42</v>
      </c>
      <c r="H847" t="n">
        <v>522</v>
      </c>
    </row>
    <row r="848">
      <c r="A848" t="inlineStr">
        <is>
          <t>W4102604950</t>
        </is>
      </c>
      <c r="B848" t="inlineStr">
        <is>
          <t>CB-TV 97 Hr. Mühlberg</t>
        </is>
      </c>
      <c r="C848" t="inlineStr">
        <is>
          <t>Ost</t>
        </is>
      </c>
      <c r="D848" t="inlineStr">
        <is>
          <t>Firmenwagen</t>
        </is>
      </c>
      <c r="E848" t="n">
        <v>8486.219999999999</v>
      </c>
      <c r="G848" t="n">
        <v>8486.219999999999</v>
      </c>
      <c r="H848" t="n">
        <v>44</v>
      </c>
    </row>
    <row r="849">
      <c r="A849" t="inlineStr">
        <is>
          <t>W4102304943</t>
        </is>
      </c>
      <c r="B849" t="inlineStr">
        <is>
          <t>CB - TV 90 Hr. Flamme</t>
        </is>
      </c>
      <c r="C849" t="inlineStr">
        <is>
          <t>Süd-West</t>
        </is>
      </c>
      <c r="D849" t="inlineStr">
        <is>
          <t>Firmenwagen</t>
        </is>
      </c>
      <c r="E849" t="n">
        <v>12044.46</v>
      </c>
      <c r="G849" t="n">
        <v>12044.46</v>
      </c>
      <c r="H849" t="n">
        <v>52</v>
      </c>
    </row>
    <row r="850">
      <c r="A850" t="inlineStr">
        <is>
          <t>P4102157443</t>
        </is>
      </c>
      <c r="B850" t="inlineStr">
        <is>
          <t>Medice Arzneim. RB 2 Tanks</t>
        </is>
      </c>
      <c r="C850" t="inlineStr">
        <is>
          <t>West</t>
        </is>
      </c>
      <c r="D850" t="inlineStr">
        <is>
          <t>Verwaltung</t>
        </is>
      </c>
      <c r="E850" t="n">
        <v>-7269.84</v>
      </c>
      <c r="F850" t="n">
        <v>851.2</v>
      </c>
      <c r="G850" t="n">
        <v>-6418.64</v>
      </c>
      <c r="H850" t="n">
        <v>4</v>
      </c>
    </row>
    <row r="851">
      <c r="A851" t="inlineStr">
        <is>
          <t>W4102504974</t>
        </is>
      </c>
      <c r="B851" t="inlineStr">
        <is>
          <t>CB-TV 55E Volvo Herr Kay</t>
        </is>
      </c>
      <c r="C851" t="inlineStr">
        <is>
          <t>Verwaltung</t>
        </is>
      </c>
      <c r="D851" t="inlineStr">
        <is>
          <t>Firmenwagen</t>
        </is>
      </c>
      <c r="E851" t="n">
        <v>9021.780000000001</v>
      </c>
      <c r="G851" t="n">
        <v>9021.780000000001</v>
      </c>
      <c r="H851" t="n">
        <v>47</v>
      </c>
    </row>
    <row r="852">
      <c r="A852" t="inlineStr">
        <is>
          <t>W4102604411</t>
        </is>
      </c>
      <c r="B852" t="inlineStr">
        <is>
          <t>Vertrieb Region Ost</t>
        </is>
      </c>
      <c r="C852" t="inlineStr">
        <is>
          <t>Ost</t>
        </is>
      </c>
      <c r="D852" t="inlineStr">
        <is>
          <t>Vertrieb</t>
        </is>
      </c>
      <c r="E852" t="n">
        <v>94507.77</v>
      </c>
      <c r="F852" t="n">
        <v>-429383.95</v>
      </c>
      <c r="G852" t="n">
        <v>-334876.18</v>
      </c>
      <c r="H852" t="n">
        <v>414</v>
      </c>
    </row>
    <row r="853">
      <c r="A853" t="inlineStr">
        <is>
          <t>W4102602023</t>
        </is>
      </c>
      <c r="B853" t="inlineStr">
        <is>
          <t>nachlaufende Kosten</t>
        </is>
      </c>
      <c r="C853" t="inlineStr">
        <is>
          <t>Ost</t>
        </is>
      </c>
      <c r="D853" t="inlineStr">
        <is>
          <t>Verwaltung</t>
        </is>
      </c>
      <c r="E853" t="n">
        <v>761.1</v>
      </c>
      <c r="G853" t="n">
        <v>761.1</v>
      </c>
      <c r="H853" t="n">
        <v>1</v>
      </c>
    </row>
    <row r="854">
      <c r="A854" t="inlineStr">
        <is>
          <t>P4102157456</t>
        </is>
      </c>
      <c r="B854" t="inlineStr">
        <is>
          <t>RB und Entsorgung Fundament Schleifbank</t>
        </is>
      </c>
      <c r="C854" t="inlineStr">
        <is>
          <t>West</t>
        </is>
      </c>
      <c r="D854" t="inlineStr">
        <is>
          <t>Verwaltung</t>
        </is>
      </c>
      <c r="E854" t="n">
        <v>-33286.16</v>
      </c>
      <c r="F854" t="n">
        <v>16733.74</v>
      </c>
      <c r="G854" t="n">
        <v>-16552.42</v>
      </c>
      <c r="H854" t="n">
        <v>40</v>
      </c>
    </row>
    <row r="855">
      <c r="A855" t="inlineStr">
        <is>
          <t>P4102157431</t>
        </is>
      </c>
      <c r="B855" t="inlineStr">
        <is>
          <t>RB drei Sandfilter</t>
        </is>
      </c>
      <c r="C855" t="inlineStr">
        <is>
          <t>West</t>
        </is>
      </c>
      <c r="D855" t="inlineStr">
        <is>
          <t>Verwaltung</t>
        </is>
      </c>
      <c r="E855" t="n">
        <v>5683.12</v>
      </c>
      <c r="G855" t="n">
        <v>5683.12</v>
      </c>
      <c r="H855" t="n">
        <v>2</v>
      </c>
    </row>
    <row r="856">
      <c r="A856" t="inlineStr">
        <is>
          <t>W4102654947</t>
        </is>
      </c>
      <c r="B856" t="inlineStr">
        <is>
          <t>CB-TV 200 Hr. Adil</t>
        </is>
      </c>
      <c r="C856" t="inlineStr">
        <is>
          <t>Berlin</t>
        </is>
      </c>
      <c r="D856" t="inlineStr">
        <is>
          <t>Firmenwagen</t>
        </is>
      </c>
      <c r="E856" t="n">
        <v>4243</v>
      </c>
      <c r="G856" t="n">
        <v>4243</v>
      </c>
      <c r="H856" t="n">
        <v>31</v>
      </c>
    </row>
    <row r="857">
      <c r="A857" t="inlineStr">
        <is>
          <t>W4102604612</t>
        </is>
      </c>
      <c r="B857" t="inlineStr">
        <is>
          <t>Recyclingplatz Boxberg</t>
        </is>
      </c>
      <c r="C857" t="inlineStr">
        <is>
          <t>Ost</t>
        </is>
      </c>
      <c r="D857" t="inlineStr">
        <is>
          <t>Verwaltung</t>
        </is>
      </c>
      <c r="E857" t="n">
        <v>-10354.42</v>
      </c>
      <c r="F857" t="n">
        <v>5323</v>
      </c>
      <c r="G857" t="n">
        <v>-5031.42</v>
      </c>
      <c r="H857" t="n">
        <v>52</v>
      </c>
    </row>
    <row r="858">
      <c r="A858" t="inlineStr">
        <is>
          <t>P4102307436</t>
        </is>
      </c>
      <c r="B858" t="inlineStr">
        <is>
          <t>BASF O 914 - O 915</t>
        </is>
      </c>
      <c r="C858" t="inlineStr">
        <is>
          <t>Süd-West</t>
        </is>
      </c>
      <c r="D858" t="inlineStr">
        <is>
          <t>Verwaltung</t>
        </is>
      </c>
      <c r="E858" t="n">
        <v>-1289.01</v>
      </c>
      <c r="F858" t="n">
        <v>14700.53</v>
      </c>
      <c r="G858" t="n">
        <v>13411.52</v>
      </c>
      <c r="H858" t="n">
        <v>50</v>
      </c>
    </row>
    <row r="859">
      <c r="A859" t="inlineStr">
        <is>
          <t>P4102307432</t>
        </is>
      </c>
      <c r="B859" t="inlineStr">
        <is>
          <t>HNVG - Bauph. III Gaswerk</t>
        </is>
      </c>
      <c r="C859" t="inlineStr">
        <is>
          <t>Süd-West</t>
        </is>
      </c>
      <c r="D859" t="inlineStr">
        <is>
          <t>Verwaltung</t>
        </is>
      </c>
      <c r="E859" t="n">
        <v>-14925.16</v>
      </c>
      <c r="F859" t="n">
        <v>3672</v>
      </c>
      <c r="G859" t="n">
        <v>-11253.16</v>
      </c>
      <c r="H859" t="n">
        <v>17</v>
      </c>
    </row>
    <row r="860">
      <c r="A860" t="inlineStr">
        <is>
          <t>W4102309045</t>
        </is>
      </c>
      <c r="B860" t="inlineStr">
        <is>
          <t>Kleinmaßnahmen BASF 2022</t>
        </is>
      </c>
      <c r="C860" t="inlineStr">
        <is>
          <t>Süd-West</t>
        </is>
      </c>
      <c r="D860" t="inlineStr">
        <is>
          <t>Verwaltung</t>
        </is>
      </c>
      <c r="E860" t="n">
        <v>0</v>
      </c>
      <c r="G860" t="n">
        <v>0</v>
      </c>
      <c r="H860" t="n">
        <v>2</v>
      </c>
    </row>
    <row r="861">
      <c r="A861" t="inlineStr">
        <is>
          <t>P4102608258</t>
        </is>
      </c>
      <c r="B861" t="inlineStr">
        <is>
          <t>BTU Dachsanierung Halle 3b</t>
        </is>
      </c>
      <c r="C861" t="inlineStr">
        <is>
          <t>Ost</t>
        </is>
      </c>
      <c r="D861" t="inlineStr">
        <is>
          <t>Verwaltung</t>
        </is>
      </c>
      <c r="E861" t="n">
        <v>-81006.27</v>
      </c>
      <c r="G861" t="n">
        <v>-81006.27</v>
      </c>
      <c r="H861" t="n">
        <v>2</v>
      </c>
    </row>
    <row r="862">
      <c r="A862" t="inlineStr">
        <is>
          <t>P4102157457</t>
        </is>
      </c>
      <c r="B862" t="inlineStr">
        <is>
          <t>tkse RB 2026</t>
        </is>
      </c>
      <c r="C862" t="inlineStr">
        <is>
          <t>West</t>
        </is>
      </c>
      <c r="D862" t="inlineStr">
        <is>
          <t>Verwaltung</t>
        </is>
      </c>
      <c r="E862" t="n">
        <v>-176041.91</v>
      </c>
      <c r="F862" t="n">
        <v>85122.32000000001</v>
      </c>
      <c r="G862" t="n">
        <v>-90919.59</v>
      </c>
      <c r="H862" t="n">
        <v>176</v>
      </c>
    </row>
    <row r="863">
      <c r="A863" t="inlineStr">
        <is>
          <t>P4102157453</t>
        </is>
      </c>
      <c r="B863" t="inlineStr">
        <is>
          <t>Wbw 4 Hallenrückbau</t>
        </is>
      </c>
      <c r="C863" t="inlineStr">
        <is>
          <t>West</t>
        </is>
      </c>
      <c r="D863" t="inlineStr">
        <is>
          <t>Verwaltung</t>
        </is>
      </c>
      <c r="E863" t="n">
        <v>-475407.9</v>
      </c>
      <c r="F863" t="n">
        <v>296221.88</v>
      </c>
      <c r="G863" t="n">
        <v>-179186.02</v>
      </c>
      <c r="H863" t="n">
        <v>249</v>
      </c>
    </row>
    <row r="864">
      <c r="A864" t="inlineStr">
        <is>
          <t>P4102658269</t>
        </is>
      </c>
      <c r="B864" t="inlineStr">
        <is>
          <t>B102 OD Jüterbog Alte Nuthe</t>
        </is>
      </c>
      <c r="C864" t="inlineStr">
        <is>
          <t>Berlin</t>
        </is>
      </c>
      <c r="D864" t="inlineStr">
        <is>
          <t>Verwaltung</t>
        </is>
      </c>
      <c r="E864" t="n">
        <v>-13322.18</v>
      </c>
      <c r="F864" t="n">
        <v>5760.32</v>
      </c>
      <c r="G864" t="n">
        <v>-7561.86</v>
      </c>
      <c r="H864" t="n">
        <v>36</v>
      </c>
    </row>
    <row r="865">
      <c r="A865" t="inlineStr">
        <is>
          <t>P4102307444</t>
        </is>
      </c>
      <c r="B865" t="inlineStr">
        <is>
          <t>BASF  N 416-O 405</t>
        </is>
      </c>
      <c r="C865" t="inlineStr">
        <is>
          <t>Süd-West</t>
        </is>
      </c>
      <c r="D865" t="inlineStr">
        <is>
          <t>Verwaltung</t>
        </is>
      </c>
      <c r="E865" t="n">
        <v>126008.37</v>
      </c>
      <c r="F865" t="n">
        <v>117352.5</v>
      </c>
      <c r="G865" t="n">
        <v>243360.87</v>
      </c>
      <c r="H865" t="n">
        <v>116</v>
      </c>
    </row>
    <row r="866">
      <c r="A866" t="inlineStr">
        <is>
          <t>P4102157472</t>
        </is>
      </c>
      <c r="B866" t="inlineStr">
        <is>
          <t>Kaltwindleitung SMB</t>
        </is>
      </c>
      <c r="C866" t="inlineStr">
        <is>
          <t>West</t>
        </is>
      </c>
      <c r="D866" t="inlineStr">
        <is>
          <t>Verwaltung</t>
        </is>
      </c>
      <c r="E866" t="n">
        <v>-6616.24</v>
      </c>
      <c r="F866" t="n">
        <v>1700.89</v>
      </c>
      <c r="G866" t="n">
        <v>-4915.35</v>
      </c>
      <c r="H866" t="n">
        <v>7</v>
      </c>
    </row>
    <row r="867">
      <c r="A867" t="inlineStr">
        <is>
          <t>W4102304946</t>
        </is>
      </c>
      <c r="B867" t="inlineStr">
        <is>
          <t>CB-AA 552 Sesjunin</t>
        </is>
      </c>
      <c r="C867" t="inlineStr">
        <is>
          <t>Süd-West</t>
        </is>
      </c>
      <c r="D867" t="inlineStr">
        <is>
          <t>Firmenwagen</t>
        </is>
      </c>
      <c r="E867" t="n">
        <v>10449.93</v>
      </c>
      <c r="G867" t="n">
        <v>10449.93</v>
      </c>
      <c r="H867" t="n">
        <v>35</v>
      </c>
    </row>
    <row r="868">
      <c r="A868" t="inlineStr">
        <is>
          <t>P4102157420</t>
        </is>
      </c>
      <c r="B868" t="inlineStr">
        <is>
          <t>ARGE RB GWA+SGA 4</t>
        </is>
      </c>
      <c r="C868" t="inlineStr">
        <is>
          <t>West</t>
        </is>
      </c>
      <c r="D868" t="inlineStr">
        <is>
          <t>Verwaltung</t>
        </is>
      </c>
      <c r="E868" t="n">
        <v>1084.64</v>
      </c>
      <c r="F868" t="n">
        <v>92.2</v>
      </c>
      <c r="G868" t="n">
        <v>1176.84</v>
      </c>
      <c r="H868" t="n">
        <v>38</v>
      </c>
    </row>
    <row r="869">
      <c r="A869" t="inlineStr">
        <is>
          <t>P4102658256</t>
        </is>
      </c>
      <c r="B869" t="inlineStr">
        <is>
          <t>Schleuse Wolfswinkel</t>
        </is>
      </c>
      <c r="C869" t="inlineStr">
        <is>
          <t>Berlin</t>
        </is>
      </c>
      <c r="D869" t="inlineStr">
        <is>
          <t>Verwaltung</t>
        </is>
      </c>
      <c r="E869" t="n">
        <v>-171949.09</v>
      </c>
      <c r="F869" t="n">
        <v>55734.37</v>
      </c>
      <c r="G869" t="n">
        <v>-116214.72</v>
      </c>
      <c r="H869" t="n">
        <v>135</v>
      </c>
    </row>
    <row r="870">
      <c r="A870" t="inlineStr">
        <is>
          <t>P4102157439</t>
        </is>
      </c>
      <c r="B870" t="inlineStr">
        <is>
          <t>RB Sperrmüllschereefeld</t>
        </is>
      </c>
      <c r="C870" t="inlineStr">
        <is>
          <t>West</t>
        </is>
      </c>
      <c r="D870" t="inlineStr">
        <is>
          <t>Verwaltung</t>
        </is>
      </c>
      <c r="E870" t="n">
        <v>-37284</v>
      </c>
      <c r="G870" t="n">
        <v>-37284</v>
      </c>
      <c r="H870" t="n">
        <v>1</v>
      </c>
    </row>
    <row r="871">
      <c r="A871" t="inlineStr">
        <is>
          <t>P4102608264</t>
        </is>
      </c>
      <c r="B871" t="inlineStr">
        <is>
          <t>Mastrückbau Mainflingen</t>
        </is>
      </c>
      <c r="C871" t="inlineStr">
        <is>
          <t>Ost</t>
        </is>
      </c>
      <c r="D871" t="inlineStr">
        <is>
          <t>Verwaltung</t>
        </is>
      </c>
      <c r="E871" t="n">
        <v>583.34</v>
      </c>
      <c r="F871" t="n">
        <v>70</v>
      </c>
      <c r="G871" t="n">
        <v>653.34</v>
      </c>
      <c r="H871" t="n">
        <v>5</v>
      </c>
    </row>
    <row r="872">
      <c r="A872" t="inlineStr">
        <is>
          <t>W4102604501</t>
        </is>
      </c>
      <c r="B872" t="inlineStr">
        <is>
          <t>Gehalt BL Region Sued</t>
        </is>
      </c>
      <c r="C872" t="inlineStr">
        <is>
          <t>Ost</t>
        </is>
      </c>
      <c r="D872" t="inlineStr">
        <is>
          <t>Verwaltung</t>
        </is>
      </c>
      <c r="E872" t="n">
        <v>33.46</v>
      </c>
      <c r="G872" t="n">
        <v>33.46</v>
      </c>
      <c r="H872" t="n">
        <v>2</v>
      </c>
    </row>
    <row r="873">
      <c r="A873" t="inlineStr">
        <is>
          <t>P4102307411</t>
        </is>
      </c>
      <c r="B873" t="inlineStr">
        <is>
          <t>BASF G 521</t>
        </is>
      </c>
      <c r="C873" t="inlineStr">
        <is>
          <t>Süd-West</t>
        </is>
      </c>
      <c r="D873" t="inlineStr">
        <is>
          <t>Verwaltung</t>
        </is>
      </c>
      <c r="F873" t="n">
        <v>69.59999999999999</v>
      </c>
      <c r="G873" t="n">
        <v>69.59999999999999</v>
      </c>
      <c r="H873" t="n">
        <v>1</v>
      </c>
    </row>
    <row r="874">
      <c r="A874" t="inlineStr">
        <is>
          <t>W4102504107</t>
        </is>
      </c>
      <c r="B874" t="inlineStr">
        <is>
          <t>Geschäftsfüh. Hr Kay</t>
        </is>
      </c>
      <c r="C874" t="inlineStr">
        <is>
          <t>Verwaltung</t>
        </is>
      </c>
      <c r="D874" t="inlineStr">
        <is>
          <t>Verwaltung</t>
        </is>
      </c>
      <c r="E874" t="n">
        <v>709.1799999999999</v>
      </c>
      <c r="G874" t="n">
        <v>709.1799999999999</v>
      </c>
      <c r="H874" t="n">
        <v>17</v>
      </c>
    </row>
    <row r="875">
      <c r="A875" t="inlineStr">
        <is>
          <t>W4102304411</t>
        </is>
      </c>
      <c r="B875" t="inlineStr">
        <is>
          <t>Vetrieb Region Sued-West</t>
        </is>
      </c>
      <c r="C875" t="inlineStr">
        <is>
          <t>Süd-West</t>
        </is>
      </c>
      <c r="D875" t="inlineStr">
        <is>
          <t>Vertrieb</t>
        </is>
      </c>
      <c r="E875" t="n">
        <v>98508.03</v>
      </c>
      <c r="F875" t="n">
        <v>-404531.32</v>
      </c>
      <c r="G875" t="n">
        <v>-306023.29</v>
      </c>
      <c r="H875" t="n">
        <v>521</v>
      </c>
    </row>
    <row r="876">
      <c r="A876" t="inlineStr">
        <is>
          <t>P4102657982</t>
        </is>
      </c>
      <c r="B876" t="inlineStr">
        <is>
          <t>Kleinaufträge</t>
        </is>
      </c>
      <c r="C876" t="inlineStr">
        <is>
          <t>Berlin</t>
        </is>
      </c>
      <c r="D876" t="inlineStr">
        <is>
          <t>Verwaltung</t>
        </is>
      </c>
      <c r="E876" t="n">
        <v>-8250</v>
      </c>
      <c r="F876" t="n">
        <v>748.16</v>
      </c>
      <c r="G876" t="n">
        <v>-7501.84</v>
      </c>
      <c r="H876" t="n">
        <v>5</v>
      </c>
    </row>
    <row r="877">
      <c r="A877" t="inlineStr">
        <is>
          <t>P4102608265</t>
        </is>
      </c>
      <c r="B877" t="inlineStr">
        <is>
          <t>RB Gebäude Grüneberg</t>
        </is>
      </c>
      <c r="C877" t="inlineStr">
        <is>
          <t>Ost</t>
        </is>
      </c>
      <c r="D877" t="inlineStr">
        <is>
          <t>Verwaltung</t>
        </is>
      </c>
      <c r="E877" t="n">
        <v>3096.72</v>
      </c>
      <c r="F877" t="n">
        <v>1054.81</v>
      </c>
      <c r="G877" t="n">
        <v>4151.53</v>
      </c>
      <c r="H877" t="n">
        <v>13</v>
      </c>
    </row>
    <row r="878">
      <c r="A878" t="inlineStr">
        <is>
          <t>W4102504102</t>
        </is>
      </c>
      <c r="B878" t="inlineStr">
        <is>
          <t>Techn. Geschäftsfüh.</t>
        </is>
      </c>
      <c r="C878" t="inlineStr">
        <is>
          <t>Verwaltung</t>
        </is>
      </c>
      <c r="D878" t="inlineStr">
        <is>
          <t>Verwaltung</t>
        </is>
      </c>
      <c r="E878" t="n">
        <v>14.1</v>
      </c>
      <c r="G878" t="n">
        <v>14.1</v>
      </c>
      <c r="H878" t="n">
        <v>1</v>
      </c>
    </row>
    <row r="879">
      <c r="A879" t="inlineStr">
        <is>
          <t>W4102307411</t>
        </is>
      </c>
      <c r="B879" t="inlineStr">
        <is>
          <t>BASF - G 521</t>
        </is>
      </c>
      <c r="C879" t="inlineStr">
        <is>
          <t>Süd-West</t>
        </is>
      </c>
      <c r="D879" t="inlineStr">
        <is>
          <t>Verwaltung</t>
        </is>
      </c>
      <c r="E879" t="n">
        <v>580</v>
      </c>
      <c r="G879" t="n">
        <v>580</v>
      </c>
      <c r="H879" t="n">
        <v>1</v>
      </c>
    </row>
    <row r="880">
      <c r="A880" t="inlineStr">
        <is>
          <t>P4102608270</t>
        </is>
      </c>
      <c r="B880" t="inlineStr">
        <is>
          <t>Baggergestellung LH 956 Jänschwalde</t>
        </is>
      </c>
      <c r="C880" t="inlineStr">
        <is>
          <t>Ost</t>
        </is>
      </c>
      <c r="D880" t="inlineStr">
        <is>
          <t>Verwaltung</t>
        </is>
      </c>
      <c r="E880" t="n">
        <v>-97020.07000000001</v>
      </c>
      <c r="F880" t="n">
        <v>82051.64</v>
      </c>
      <c r="G880" t="n">
        <v>-14968.43</v>
      </c>
      <c r="H880" t="n">
        <v>63</v>
      </c>
    </row>
    <row r="881">
      <c r="A881" t="inlineStr">
        <is>
          <t>P4102309046</t>
        </is>
      </c>
      <c r="B881" t="inlineStr">
        <is>
          <t>Sonstige Kleinmaßnahmen</t>
        </is>
      </c>
      <c r="C881" t="inlineStr">
        <is>
          <t>Süd-West</t>
        </is>
      </c>
      <c r="D881" t="inlineStr">
        <is>
          <t>Verwaltung</t>
        </is>
      </c>
      <c r="E881" t="n">
        <v>-8632.59</v>
      </c>
      <c r="F881" t="n">
        <v>1893.36</v>
      </c>
      <c r="G881" t="n">
        <v>-6739.23</v>
      </c>
      <c r="H881" t="n">
        <v>10</v>
      </c>
    </row>
    <row r="882">
      <c r="A882" t="inlineStr">
        <is>
          <t>P4102307428</t>
        </is>
      </c>
      <c r="B882" t="inlineStr">
        <is>
          <t>BASF O 405</t>
        </is>
      </c>
      <c r="C882" t="inlineStr">
        <is>
          <t>Süd-West</t>
        </is>
      </c>
      <c r="D882" t="inlineStr">
        <is>
          <t>Verwaltung</t>
        </is>
      </c>
      <c r="E882" t="n">
        <v>-142168.39</v>
      </c>
      <c r="F882" t="n">
        <v>28368.92</v>
      </c>
      <c r="G882" t="n">
        <v>-113799.47</v>
      </c>
      <c r="H882" t="n">
        <v>50</v>
      </c>
    </row>
    <row r="883">
      <c r="A883" t="inlineStr">
        <is>
          <t>P4102602023</t>
        </is>
      </c>
      <c r="B883" t="inlineStr">
        <is>
          <t>nachlaufende Kosten</t>
        </is>
      </c>
      <c r="C883" t="inlineStr">
        <is>
          <t>Ost</t>
        </is>
      </c>
      <c r="D883" t="inlineStr">
        <is>
          <t>Verwaltung</t>
        </is>
      </c>
      <c r="E883" t="n">
        <v>5293.57</v>
      </c>
      <c r="F883" t="n">
        <v>1386.24</v>
      </c>
      <c r="G883" t="n">
        <v>6679.81</v>
      </c>
      <c r="H883" t="n">
        <v>15</v>
      </c>
    </row>
    <row r="884">
      <c r="A884" t="inlineStr">
        <is>
          <t>W4102504109</t>
        </is>
      </c>
      <c r="B884" t="inlineStr">
        <is>
          <t>Geschäftsführerin Frau Langosch</t>
        </is>
      </c>
      <c r="C884" t="inlineStr">
        <is>
          <t>Verwaltung</t>
        </is>
      </c>
      <c r="D884" t="inlineStr">
        <is>
          <t>Verwaltung</t>
        </is>
      </c>
      <c r="E884" t="n">
        <v>4555.48</v>
      </c>
      <c r="G884" t="n">
        <v>4555.48</v>
      </c>
      <c r="H884" t="n">
        <v>53</v>
      </c>
    </row>
    <row r="885">
      <c r="A885" t="inlineStr">
        <is>
          <t>W4102604938</t>
        </is>
      </c>
      <c r="B885" t="inlineStr">
        <is>
          <t>CB-AA 501 Spindler</t>
        </is>
      </c>
      <c r="C885" t="inlineStr">
        <is>
          <t>Ost</t>
        </is>
      </c>
      <c r="D885" t="inlineStr">
        <is>
          <t>Firmenwagen</t>
        </is>
      </c>
      <c r="E885" t="n">
        <v>10092.16</v>
      </c>
      <c r="G885" t="n">
        <v>10092.16</v>
      </c>
      <c r="H885" t="n">
        <v>51</v>
      </c>
    </row>
    <row r="886">
      <c r="A886" t="inlineStr">
        <is>
          <t>P4102307442</t>
        </is>
      </c>
      <c r="B886" t="inlineStr">
        <is>
          <t>Leingarten Schwimmhalle 1</t>
        </is>
      </c>
      <c r="C886" t="inlineStr">
        <is>
          <t>Süd-West</t>
        </is>
      </c>
      <c r="D886" t="inlineStr">
        <is>
          <t>Verwaltung</t>
        </is>
      </c>
      <c r="E886" t="n">
        <v>-16236.72</v>
      </c>
      <c r="F886" t="n">
        <v>9045.49</v>
      </c>
      <c r="G886" t="n">
        <v>-7191.23</v>
      </c>
      <c r="H886" t="n">
        <v>36</v>
      </c>
    </row>
    <row r="887">
      <c r="A887" t="inlineStr">
        <is>
          <t>P4102157465</t>
        </is>
      </c>
      <c r="B887" t="inlineStr">
        <is>
          <t>Reinigungsarbeiten Block B</t>
        </is>
      </c>
      <c r="C887" t="inlineStr">
        <is>
          <t>West</t>
        </is>
      </c>
      <c r="D887" t="inlineStr">
        <is>
          <t>Verwaltung</t>
        </is>
      </c>
      <c r="E887" t="n">
        <v>-7882.97</v>
      </c>
      <c r="F887" t="n">
        <v>3774.25</v>
      </c>
      <c r="G887" t="n">
        <v>-4108.72</v>
      </c>
      <c r="H887" t="n">
        <v>9</v>
      </c>
    </row>
    <row r="888">
      <c r="A888" t="inlineStr">
        <is>
          <t>W4102504978</t>
        </is>
      </c>
      <c r="B888" t="inlineStr">
        <is>
          <t>PKW Frau Mattiza</t>
        </is>
      </c>
      <c r="C888" t="inlineStr">
        <is>
          <t>Verwaltung</t>
        </is>
      </c>
      <c r="D888" t="inlineStr">
        <is>
          <t>Verwaltung</t>
        </is>
      </c>
      <c r="E888" t="n">
        <v>0</v>
      </c>
      <c r="G888" t="n">
        <v>0</v>
      </c>
      <c r="H888" t="n">
        <v>2</v>
      </c>
    </row>
    <row r="889">
      <c r="A889" t="inlineStr">
        <is>
          <t>P4102658250</t>
        </is>
      </c>
      <c r="B889" t="inlineStr">
        <is>
          <t>Parkallee Velten, Brücke Stichkanal</t>
        </is>
      </c>
      <c r="C889" t="inlineStr">
        <is>
          <t>Berlin</t>
        </is>
      </c>
      <c r="D889" t="inlineStr">
        <is>
          <t>Verwaltung</t>
        </is>
      </c>
      <c r="E889" t="n">
        <v>39476.73</v>
      </c>
      <c r="F889" t="n">
        <v>-48.24</v>
      </c>
      <c r="G889" t="n">
        <v>39428.49</v>
      </c>
      <c r="H889" t="n">
        <v>13</v>
      </c>
    </row>
    <row r="890">
      <c r="A890" t="inlineStr">
        <is>
          <t>W4102154953</t>
        </is>
      </c>
      <c r="B890" t="inlineStr">
        <is>
          <t>CB-AA 140 Hr. Kraft</t>
        </is>
      </c>
      <c r="C890" t="inlineStr">
        <is>
          <t>West</t>
        </is>
      </c>
      <c r="D890" t="inlineStr">
        <is>
          <t>Firmenwagen</t>
        </is>
      </c>
      <c r="E890" t="n">
        <v>1481.75</v>
      </c>
      <c r="G890" t="n">
        <v>1481.75</v>
      </c>
      <c r="H890" t="n">
        <v>9</v>
      </c>
    </row>
    <row r="891">
      <c r="A891" t="inlineStr">
        <is>
          <t>P4102309044</t>
        </is>
      </c>
      <c r="B891" t="inlineStr">
        <is>
          <t>RB BASF 2022</t>
        </is>
      </c>
      <c r="C891" t="inlineStr">
        <is>
          <t>Süd-West</t>
        </is>
      </c>
      <c r="D891" t="inlineStr">
        <is>
          <t>Verwaltung</t>
        </is>
      </c>
      <c r="E891" t="n">
        <v>6447.83</v>
      </c>
      <c r="G891" t="n">
        <v>6447.83</v>
      </c>
      <c r="H891" t="n">
        <v>1</v>
      </c>
    </row>
    <row r="892">
      <c r="A892" t="inlineStr">
        <is>
          <t>P4102608278</t>
        </is>
      </c>
      <c r="B892" t="inlineStr">
        <is>
          <t>Maschinist KW Staudinger</t>
        </is>
      </c>
      <c r="C892" t="inlineStr">
        <is>
          <t>Ost</t>
        </is>
      </c>
      <c r="D892" t="inlineStr">
        <is>
          <t>Verwaltung</t>
        </is>
      </c>
      <c r="E892" t="n">
        <v>1010</v>
      </c>
      <c r="G892" t="n">
        <v>1010</v>
      </c>
      <c r="H892" t="n">
        <v>2</v>
      </c>
    </row>
    <row r="893">
      <c r="A893" t="inlineStr">
        <is>
          <t>P4102658225</t>
        </is>
      </c>
      <c r="B893" t="inlineStr">
        <is>
          <t>B1 Brandenburg Potsdamer Straße</t>
        </is>
      </c>
      <c r="C893" t="inlineStr">
        <is>
          <t>Berlin</t>
        </is>
      </c>
      <c r="D893" t="inlineStr">
        <is>
          <t>Verwaltung</t>
        </is>
      </c>
      <c r="E893" t="n">
        <v>59788.76</v>
      </c>
      <c r="F893" t="n">
        <v>0.4</v>
      </c>
      <c r="G893" t="n">
        <v>59789.16</v>
      </c>
      <c r="H893" t="n">
        <v>7</v>
      </c>
    </row>
    <row r="894">
      <c r="A894" t="inlineStr">
        <is>
          <t>W4102608246</t>
        </is>
      </c>
      <c r="B894" t="inlineStr">
        <is>
          <t>RB Kohlebunker/Brücke Lübbenau</t>
        </is>
      </c>
      <c r="C894" t="inlineStr">
        <is>
          <t>Ost</t>
        </is>
      </c>
      <c r="D894" t="inlineStr">
        <is>
          <t>Verwaltung</t>
        </is>
      </c>
      <c r="E894" t="n">
        <v>7875</v>
      </c>
      <c r="G894" t="n">
        <v>7875</v>
      </c>
      <c r="H894" t="n">
        <v>9</v>
      </c>
    </row>
    <row r="895">
      <c r="A895" t="inlineStr">
        <is>
          <t>P4102608266</t>
        </is>
      </c>
      <c r="B895" t="inlineStr">
        <is>
          <t>RB Kurmark- Kaserne Storkow</t>
        </is>
      </c>
      <c r="C895" t="inlineStr">
        <is>
          <t>Ost</t>
        </is>
      </c>
      <c r="D895" t="inlineStr">
        <is>
          <t>Verwaltung</t>
        </is>
      </c>
      <c r="E895" t="n">
        <v>870.84</v>
      </c>
      <c r="F895" t="n">
        <v>33.48</v>
      </c>
      <c r="G895" t="n">
        <v>904.3200000000001</v>
      </c>
      <c r="H895" t="n">
        <v>5</v>
      </c>
    </row>
    <row r="896">
      <c r="A896" t="inlineStr">
        <is>
          <t>P4102157447</t>
        </is>
      </c>
      <c r="B896" t="inlineStr">
        <is>
          <t>Hkm Demontage DN 500</t>
        </is>
      </c>
      <c r="C896" t="inlineStr">
        <is>
          <t>West</t>
        </is>
      </c>
      <c r="D896" t="inlineStr">
        <is>
          <t>Verwaltung</t>
        </is>
      </c>
      <c r="E896" t="n">
        <v>0</v>
      </c>
      <c r="G896" t="n">
        <v>0</v>
      </c>
      <c r="H896" t="n">
        <v>2</v>
      </c>
    </row>
    <row r="897">
      <c r="A897" t="inlineStr">
        <is>
          <t>W4102504104</t>
        </is>
      </c>
      <c r="B897" t="inlineStr">
        <is>
          <t>Dienstleistungsverrechn.</t>
        </is>
      </c>
      <c r="C897" t="inlineStr">
        <is>
          <t>Verwaltung</t>
        </is>
      </c>
      <c r="D897" t="inlineStr">
        <is>
          <t>Verwaltung</t>
        </is>
      </c>
      <c r="E897" t="n">
        <v>48751</v>
      </c>
      <c r="G897" t="n">
        <v>48751</v>
      </c>
      <c r="H897" t="n">
        <v>11</v>
      </c>
    </row>
    <row r="898">
      <c r="A898" t="inlineStr">
        <is>
          <t>P4102307447</t>
        </is>
      </c>
      <c r="B898" t="inlineStr">
        <is>
          <t>BASF C 317</t>
        </is>
      </c>
      <c r="C898" t="inlineStr">
        <is>
          <t>Süd-West</t>
        </is>
      </c>
      <c r="D898" t="inlineStr">
        <is>
          <t>Verwaltung</t>
        </is>
      </c>
      <c r="E898" t="n">
        <v>-13606.63</v>
      </c>
      <c r="F898" t="n">
        <v>10303.26</v>
      </c>
      <c r="G898" t="n">
        <v>-3303.37</v>
      </c>
      <c r="H898" t="n">
        <v>16</v>
      </c>
    </row>
    <row r="899">
      <c r="A899" t="inlineStr">
        <is>
          <t>W4102604951</t>
        </is>
      </c>
      <c r="B899" t="inlineStr">
        <is>
          <t>PKW Herr Tymczy</t>
        </is>
      </c>
      <c r="C899" t="inlineStr">
        <is>
          <t>Ost</t>
        </is>
      </c>
      <c r="D899" t="inlineStr">
        <is>
          <t>Verwaltung</t>
        </is>
      </c>
      <c r="E899" t="n">
        <v>2396.61</v>
      </c>
      <c r="G899" t="n">
        <v>2396.61</v>
      </c>
      <c r="H899" t="n">
        <v>11</v>
      </c>
    </row>
    <row r="900">
      <c r="A900" t="inlineStr">
        <is>
          <t>W4102504101</t>
        </is>
      </c>
      <c r="B900" t="inlineStr">
        <is>
          <t>Kaufm. Geschäftsfüh.</t>
        </is>
      </c>
      <c r="C900" t="inlineStr">
        <is>
          <t>Verwaltung</t>
        </is>
      </c>
      <c r="D900" t="inlineStr">
        <is>
          <t>Verwaltung</t>
        </is>
      </c>
      <c r="E900" t="n">
        <v>7</v>
      </c>
      <c r="G900" t="n">
        <v>7</v>
      </c>
      <c r="H900" t="n">
        <v>2</v>
      </c>
    </row>
    <row r="901">
      <c r="A901" t="inlineStr">
        <is>
          <t>W4102307414</t>
        </is>
      </c>
      <c r="B901" t="inlineStr">
        <is>
          <t>BASF - D 213</t>
        </is>
      </c>
      <c r="C901" t="inlineStr">
        <is>
          <t>Süd-West</t>
        </is>
      </c>
      <c r="D901" t="inlineStr">
        <is>
          <t>Verwaltung</t>
        </is>
      </c>
      <c r="E901" t="n">
        <v>65.02</v>
      </c>
      <c r="G901" t="n">
        <v>65.02</v>
      </c>
      <c r="H901" t="n">
        <v>1</v>
      </c>
    </row>
    <row r="902">
      <c r="A902" t="inlineStr">
        <is>
          <t>P4102307451</t>
        </is>
      </c>
      <c r="B902" t="inlineStr">
        <is>
          <t>BASF O 405 D 16+60 bar</t>
        </is>
      </c>
      <c r="C902" t="inlineStr">
        <is>
          <t>Süd-West</t>
        </is>
      </c>
      <c r="D902" t="inlineStr">
        <is>
          <t>Verwaltung</t>
        </is>
      </c>
      <c r="E902" t="n">
        <v>2162</v>
      </c>
      <c r="G902" t="n">
        <v>2162</v>
      </c>
      <c r="H902" t="n">
        <v>2</v>
      </c>
    </row>
    <row r="903">
      <c r="A903" t="inlineStr">
        <is>
          <t>P4102157429</t>
        </is>
      </c>
      <c r="B903" t="inlineStr">
        <is>
          <t>Covestro - Rückbau LEV O13</t>
        </is>
      </c>
      <c r="C903" t="inlineStr">
        <is>
          <t>West</t>
        </is>
      </c>
      <c r="D903" t="inlineStr">
        <is>
          <t>Verwaltung</t>
        </is>
      </c>
      <c r="E903" t="n">
        <v>-312613.51</v>
      </c>
      <c r="F903" t="n">
        <v>83.51000000000001</v>
      </c>
      <c r="G903" t="n">
        <v>-312530</v>
      </c>
      <c r="H903" t="n">
        <v>32</v>
      </c>
    </row>
    <row r="904">
      <c r="A904" t="inlineStr">
        <is>
          <t>W4102604941</t>
        </is>
      </c>
      <c r="B904" t="inlineStr">
        <is>
          <t>CB-TV 22E Tayron Hr Lorenz</t>
        </is>
      </c>
      <c r="C904" t="inlineStr">
        <is>
          <t>Ost</t>
        </is>
      </c>
      <c r="D904" t="inlineStr">
        <is>
          <t>Firmenwagen</t>
        </is>
      </c>
      <c r="E904" t="n">
        <v>15364.19</v>
      </c>
      <c r="G904" t="n">
        <v>15364.19</v>
      </c>
      <c r="H904" t="n">
        <v>61</v>
      </c>
    </row>
    <row r="905">
      <c r="A905" t="inlineStr">
        <is>
          <t>P4102307429</t>
        </is>
      </c>
      <c r="B905" t="inlineStr">
        <is>
          <t>BASF C 509</t>
        </is>
      </c>
      <c r="C905" t="inlineStr">
        <is>
          <t>Süd-West</t>
        </is>
      </c>
      <c r="D905" t="inlineStr">
        <is>
          <t>Verwaltung</t>
        </is>
      </c>
      <c r="E905" t="n">
        <v>-36018.06</v>
      </c>
      <c r="F905" t="n">
        <v>15628.78</v>
      </c>
      <c r="G905" t="n">
        <v>-20389.28</v>
      </c>
      <c r="H905" t="n">
        <v>27</v>
      </c>
    </row>
    <row r="906">
      <c r="A906" t="inlineStr">
        <is>
          <t>P4102307438</t>
        </is>
      </c>
      <c r="B906" t="inlineStr">
        <is>
          <t>Netze BW- UW Bruchsal</t>
        </is>
      </c>
      <c r="C906" t="inlineStr">
        <is>
          <t>Süd-West</t>
        </is>
      </c>
      <c r="D906" t="inlineStr">
        <is>
          <t>Verwaltung</t>
        </is>
      </c>
      <c r="E906" t="n">
        <v>-18186.86</v>
      </c>
      <c r="F906" t="n">
        <v>8445.530000000001</v>
      </c>
      <c r="G906" t="n">
        <v>-9741.33</v>
      </c>
      <c r="H906" t="n">
        <v>52</v>
      </c>
    </row>
    <row r="907">
      <c r="A907" t="inlineStr">
        <is>
          <t>W4102504975</t>
        </is>
      </c>
      <c r="B907" t="inlineStr">
        <is>
          <t>PKW Frau Noack</t>
        </is>
      </c>
      <c r="C907" t="inlineStr">
        <is>
          <t>Verwaltung</t>
        </is>
      </c>
      <c r="D907" t="inlineStr">
        <is>
          <t>Verwaltung</t>
        </is>
      </c>
      <c r="E907" t="n">
        <v>7775.76</v>
      </c>
      <c r="G907" t="n">
        <v>7775.76</v>
      </c>
      <c r="H907" t="n">
        <v>31</v>
      </c>
    </row>
    <row r="908">
      <c r="A908" t="inlineStr">
        <is>
          <t>W4102154964</t>
        </is>
      </c>
      <c r="B908" t="inlineStr">
        <is>
          <t>PKW Schalk CB - TV 93</t>
        </is>
      </c>
      <c r="C908" t="inlineStr">
        <is>
          <t>West</t>
        </is>
      </c>
      <c r="D908" t="inlineStr">
        <is>
          <t>Verwaltung</t>
        </is>
      </c>
      <c r="E908" t="n">
        <v>10521.82</v>
      </c>
      <c r="G908" t="n">
        <v>10521.82</v>
      </c>
      <c r="H908" t="n">
        <v>47</v>
      </c>
    </row>
    <row r="909">
      <c r="A909" t="inlineStr">
        <is>
          <t>W4102654945</t>
        </is>
      </c>
      <c r="B909" t="inlineStr">
        <is>
          <t>CB- TV 300E Hr. Kemper Mercedes</t>
        </is>
      </c>
      <c r="C909" t="inlineStr">
        <is>
          <t>Berlin</t>
        </is>
      </c>
      <c r="D909" t="inlineStr">
        <is>
          <t>Firmenwagen</t>
        </is>
      </c>
      <c r="E909" t="n">
        <v>15484.73</v>
      </c>
      <c r="G909" t="n">
        <v>15484.73</v>
      </c>
      <c r="H909" t="n">
        <v>66</v>
      </c>
    </row>
    <row r="910">
      <c r="A910" t="inlineStr">
        <is>
          <t>P4102608271</t>
        </is>
      </c>
      <c r="B910" t="inlineStr">
        <is>
          <t>Seilbagger Tagebau Jänschwalde</t>
        </is>
      </c>
      <c r="C910" t="inlineStr">
        <is>
          <t>Ost</t>
        </is>
      </c>
      <c r="D910" t="inlineStr">
        <is>
          <t>Verwaltung</t>
        </is>
      </c>
      <c r="E910" t="n">
        <v>-175139.26</v>
      </c>
      <c r="F910" t="n">
        <v>37906.39</v>
      </c>
      <c r="G910" t="n">
        <v>-137232.87</v>
      </c>
      <c r="H910" t="n">
        <v>51</v>
      </c>
    </row>
    <row r="911">
      <c r="A911" t="inlineStr">
        <is>
          <t>W4102504967</t>
        </is>
      </c>
      <c r="B911" t="inlineStr">
        <is>
          <t>CB-VT 476 Krull</t>
        </is>
      </c>
      <c r="C911" t="inlineStr">
        <is>
          <t>Verwaltung</t>
        </is>
      </c>
      <c r="D911" t="inlineStr">
        <is>
          <t>Firmenwagen</t>
        </is>
      </c>
      <c r="E911" t="n">
        <v>-63.3</v>
      </c>
      <c r="G911" t="n">
        <v>-63.3</v>
      </c>
      <c r="H911" t="n">
        <v>8</v>
      </c>
    </row>
    <row r="912">
      <c r="A912" t="inlineStr">
        <is>
          <t>W4102604949</t>
        </is>
      </c>
      <c r="B912" t="inlineStr">
        <is>
          <t>CB - VT 686 Passat Fr. Kolber</t>
        </is>
      </c>
      <c r="C912" t="inlineStr">
        <is>
          <t>Ost</t>
        </is>
      </c>
      <c r="D912" t="inlineStr">
        <is>
          <t>Firmenwagen</t>
        </is>
      </c>
      <c r="E912" t="n">
        <v>7178.67</v>
      </c>
      <c r="G912" t="n">
        <v>7178.67</v>
      </c>
      <c r="H912" t="n">
        <v>35</v>
      </c>
    </row>
    <row r="913">
      <c r="A913" t="inlineStr">
        <is>
          <t>P4102658254</t>
        </is>
      </c>
      <c r="B913" t="inlineStr">
        <is>
          <t>EÜ Langendreerstraße Bochum</t>
        </is>
      </c>
      <c r="C913" t="inlineStr">
        <is>
          <t>Berlin</t>
        </is>
      </c>
      <c r="D913" t="inlineStr">
        <is>
          <t>Verwaltung</t>
        </is>
      </c>
      <c r="E913" t="n">
        <v>-0.15</v>
      </c>
      <c r="F913" t="n">
        <v>-216.91</v>
      </c>
      <c r="G913" t="n">
        <v>-217.06</v>
      </c>
      <c r="H913" t="n">
        <v>4</v>
      </c>
    </row>
    <row r="914">
      <c r="A914" t="inlineStr">
        <is>
          <t>W4102504106</t>
        </is>
      </c>
      <c r="B914" t="inlineStr">
        <is>
          <t>Geschäftsfüh.</t>
        </is>
      </c>
      <c r="C914" t="inlineStr">
        <is>
          <t>Verwaltung</t>
        </is>
      </c>
      <c r="D914" t="inlineStr">
        <is>
          <t>Verwaltung</t>
        </is>
      </c>
      <c r="E914" t="n">
        <v>6459.33</v>
      </c>
      <c r="G914" t="n">
        <v>6459.33</v>
      </c>
      <c r="H914" t="n">
        <v>100</v>
      </c>
    </row>
    <row r="915">
      <c r="A915" t="inlineStr">
        <is>
          <t>P4102307439</t>
        </is>
      </c>
      <c r="B915" t="inlineStr">
        <is>
          <t>BASF U 405 Teil 1</t>
        </is>
      </c>
      <c r="C915" t="inlineStr">
        <is>
          <t>Süd-West</t>
        </is>
      </c>
      <c r="D915" t="inlineStr">
        <is>
          <t>Verwaltung</t>
        </is>
      </c>
      <c r="E915" t="n">
        <v>31290.29</v>
      </c>
      <c r="F915" t="n">
        <v>62845.63</v>
      </c>
      <c r="G915" t="n">
        <v>94135.92</v>
      </c>
      <c r="H915" t="n">
        <v>61</v>
      </c>
    </row>
    <row r="916">
      <c r="A916" t="inlineStr">
        <is>
          <t>W4102154968</t>
        </is>
      </c>
      <c r="B916" t="inlineStr">
        <is>
          <t>PKW Hr. Lanzar Tore</t>
        </is>
      </c>
      <c r="C916" t="inlineStr">
        <is>
          <t>West</t>
        </is>
      </c>
      <c r="D916" t="inlineStr">
        <is>
          <t>Verwaltung</t>
        </is>
      </c>
      <c r="E916" t="n">
        <v>1800.95</v>
      </c>
      <c r="G916" t="n">
        <v>1800.95</v>
      </c>
      <c r="H916" t="n">
        <v>4</v>
      </c>
    </row>
    <row r="917">
      <c r="A917" t="inlineStr">
        <is>
          <t>P4102307452</t>
        </is>
      </c>
      <c r="B917" t="inlineStr">
        <is>
          <t>InDuRec Asbestsan. Dacheind. Mannheim</t>
        </is>
      </c>
      <c r="C917" t="inlineStr">
        <is>
          <t>Süd-West</t>
        </is>
      </c>
      <c r="D917" t="inlineStr">
        <is>
          <t>Verwaltung</t>
        </is>
      </c>
      <c r="E917" t="n">
        <v>349.4</v>
      </c>
      <c r="G917" t="n">
        <v>349.4</v>
      </c>
      <c r="H917" t="n">
        <v>1</v>
      </c>
    </row>
    <row r="918">
      <c r="A918" t="inlineStr">
        <is>
          <t>P4102157470</t>
        </is>
      </c>
      <c r="B918" t="inlineStr">
        <is>
          <t>Sägetechn Demontage Mischgasleitung</t>
        </is>
      </c>
      <c r="C918" t="inlineStr">
        <is>
          <t>West</t>
        </is>
      </c>
      <c r="D918" t="inlineStr">
        <is>
          <t>Verwaltung</t>
        </is>
      </c>
      <c r="E918" t="n">
        <v>-17086.51</v>
      </c>
      <c r="F918" t="n">
        <v>3110.61</v>
      </c>
      <c r="G918" t="n">
        <v>-13975.9</v>
      </c>
      <c r="H918" t="n">
        <v>16</v>
      </c>
    </row>
    <row r="919">
      <c r="A919" t="inlineStr">
        <is>
          <t>P4102658229</t>
        </is>
      </c>
      <c r="B919" t="inlineStr">
        <is>
          <t>Markgrafenbrücke Berlin</t>
        </is>
      </c>
      <c r="C919" t="inlineStr">
        <is>
          <t>Berlin</t>
        </is>
      </c>
      <c r="D919" t="inlineStr">
        <is>
          <t>Verwaltung</t>
        </is>
      </c>
      <c r="E919" t="n">
        <v>-27893.64</v>
      </c>
      <c r="F919" t="n">
        <v>122323.84</v>
      </c>
      <c r="G919" t="n">
        <v>94430.2</v>
      </c>
      <c r="H919" t="n">
        <v>250</v>
      </c>
    </row>
    <row r="920">
      <c r="A920" t="inlineStr">
        <is>
          <t>P4102157411</t>
        </is>
      </c>
      <c r="B920" t="inlineStr">
        <is>
          <t>ARGE RB Chemiepark Krefeld</t>
        </is>
      </c>
      <c r="C920" t="inlineStr">
        <is>
          <t>West</t>
        </is>
      </c>
      <c r="D920" t="inlineStr">
        <is>
          <t>Verwaltung</t>
        </is>
      </c>
      <c r="E920" t="n">
        <v>-45582.42</v>
      </c>
      <c r="G920" t="n">
        <v>-45582.42</v>
      </c>
      <c r="H920" t="n">
        <v>1</v>
      </c>
    </row>
    <row r="921">
      <c r="A921" t="inlineStr">
        <is>
          <t>W4102652709</t>
        </is>
      </c>
      <c r="B921" t="inlineStr">
        <is>
          <t>CB-TV 96 Remault Kangoo</t>
        </is>
      </c>
      <c r="C921" t="inlineStr">
        <is>
          <t>Berlin</t>
        </is>
      </c>
      <c r="D921" t="inlineStr">
        <is>
          <t>Firmenwagen</t>
        </is>
      </c>
      <c r="E921" t="n">
        <v>799.38</v>
      </c>
      <c r="G921" t="n">
        <v>799.38</v>
      </c>
      <c r="H921" t="n">
        <v>7</v>
      </c>
    </row>
    <row r="922">
      <c r="A922" t="inlineStr">
        <is>
          <t>P4102307422</t>
        </is>
      </c>
      <c r="B922" t="inlineStr">
        <is>
          <t>BASF M 950</t>
        </is>
      </c>
      <c r="C922" t="inlineStr">
        <is>
          <t>Süd-West</t>
        </is>
      </c>
      <c r="D922" t="inlineStr">
        <is>
          <t>Verwaltung</t>
        </is>
      </c>
      <c r="E922" t="n">
        <v>26735.61</v>
      </c>
      <c r="F922" t="n">
        <v>2159.46</v>
      </c>
      <c r="G922" t="n">
        <v>28895.07</v>
      </c>
      <c r="H922" t="n">
        <v>9</v>
      </c>
    </row>
    <row r="923">
      <c r="A923" t="inlineStr">
        <is>
          <t>P4102658235</t>
        </is>
      </c>
      <c r="B923" t="inlineStr">
        <is>
          <t>ENB Neue Fahlenbergbrücke</t>
        </is>
      </c>
      <c r="C923" t="inlineStr">
        <is>
          <t>Berlin</t>
        </is>
      </c>
      <c r="D923" t="inlineStr">
        <is>
          <t>Verwaltung</t>
        </is>
      </c>
      <c r="E923" t="n">
        <v>0</v>
      </c>
      <c r="G923" t="n">
        <v>0</v>
      </c>
      <c r="H923" t="n">
        <v>2</v>
      </c>
    </row>
    <row r="924">
      <c r="A924" t="inlineStr">
        <is>
          <t>P4102658259</t>
        </is>
      </c>
      <c r="B924" t="inlineStr">
        <is>
          <t>ENB Eisenbahnbrücke Güsen</t>
        </is>
      </c>
      <c r="C924" t="inlineStr">
        <is>
          <t>Berlin</t>
        </is>
      </c>
      <c r="D924" t="inlineStr">
        <is>
          <t>Verwaltung</t>
        </is>
      </c>
      <c r="E924" t="n">
        <v>-91807.12</v>
      </c>
      <c r="F924" t="n">
        <v>41966.07</v>
      </c>
      <c r="G924" t="n">
        <v>-49841.05</v>
      </c>
      <c r="H924" t="n">
        <v>63</v>
      </c>
    </row>
    <row r="925">
      <c r="A925" t="inlineStr">
        <is>
          <t>W4102157414</t>
        </is>
      </c>
      <c r="B925" t="inlineStr">
        <is>
          <t>Krandemontage</t>
        </is>
      </c>
      <c r="C925" t="inlineStr">
        <is>
          <t>West</t>
        </is>
      </c>
      <c r="D925" t="inlineStr">
        <is>
          <t>Verwaltung</t>
        </is>
      </c>
      <c r="F925" t="n">
        <v>0</v>
      </c>
      <c r="G925" t="n">
        <v>0</v>
      </c>
      <c r="H925" t="n">
        <v>2</v>
      </c>
    </row>
    <row r="926">
      <c r="A926" t="inlineStr">
        <is>
          <t>P4102157464</t>
        </is>
      </c>
      <c r="B926" t="inlineStr">
        <is>
          <t>Asbest Schadstoffsanierung C 601</t>
        </is>
      </c>
      <c r="C926" t="inlineStr">
        <is>
          <t>West</t>
        </is>
      </c>
      <c r="D926" t="inlineStr">
        <is>
          <t>Verwaltung</t>
        </is>
      </c>
      <c r="E926" t="n">
        <v>-7778</v>
      </c>
      <c r="F926" t="n">
        <v>2119.47</v>
      </c>
      <c r="G926" t="n">
        <v>-5658.53</v>
      </c>
      <c r="H926" t="n">
        <v>14</v>
      </c>
    </row>
    <row r="927">
      <c r="A927" t="inlineStr">
        <is>
          <t>W4102504977</t>
        </is>
      </c>
      <c r="B927" t="inlineStr">
        <is>
          <t>PKW Herr Siebert</t>
        </is>
      </c>
      <c r="C927" t="inlineStr">
        <is>
          <t>Verwaltung</t>
        </is>
      </c>
      <c r="D927" t="inlineStr">
        <is>
          <t>Verwaltung</t>
        </is>
      </c>
      <c r="E927" t="n">
        <v>4285.08</v>
      </c>
      <c r="G927" t="n">
        <v>4285.08</v>
      </c>
      <c r="H927" t="n">
        <v>8</v>
      </c>
    </row>
    <row r="928">
      <c r="A928" t="inlineStr">
        <is>
          <t>W4102504976</t>
        </is>
      </c>
      <c r="B928" t="inlineStr">
        <is>
          <t>CB-TV 104 Skoda Superb - Herr Kenski</t>
        </is>
      </c>
      <c r="C928" t="inlineStr">
        <is>
          <t>Verwaltung</t>
        </is>
      </c>
      <c r="D928" t="inlineStr">
        <is>
          <t>Firmenwagen</t>
        </is>
      </c>
      <c r="E928" t="n">
        <v>5533.86</v>
      </c>
      <c r="G928" t="n">
        <v>5533.86</v>
      </c>
      <c r="H928" t="n">
        <v>25</v>
      </c>
    </row>
    <row r="929">
      <c r="A929" t="inlineStr">
        <is>
          <t>P4102157467</t>
        </is>
      </c>
      <c r="B929" t="inlineStr">
        <is>
          <t>Plakoma - Dem. Roheisenfähren</t>
        </is>
      </c>
      <c r="C929" t="inlineStr">
        <is>
          <t>West</t>
        </is>
      </c>
      <c r="D929" t="inlineStr">
        <is>
          <t>Verwaltung</t>
        </is>
      </c>
      <c r="E929" t="n">
        <v>-122000</v>
      </c>
      <c r="F929" t="n">
        <v>0</v>
      </c>
      <c r="G929" t="n">
        <v>-122000</v>
      </c>
      <c r="H929" t="n">
        <v>10</v>
      </c>
    </row>
    <row r="930">
      <c r="A930" t="inlineStr">
        <is>
          <t>W4102604611</t>
        </is>
      </c>
      <c r="B930" t="inlineStr">
        <is>
          <t>Lager Regon Sued</t>
        </is>
      </c>
      <c r="C930" t="inlineStr">
        <is>
          <t>Ost</t>
        </is>
      </c>
      <c r="D930" t="inlineStr">
        <is>
          <t>Lager</t>
        </is>
      </c>
      <c r="E930" t="n">
        <v>15642.18</v>
      </c>
      <c r="F930" t="n">
        <v>3965</v>
      </c>
      <c r="G930" t="n">
        <v>19607.18</v>
      </c>
      <c r="H930" t="n">
        <v>98</v>
      </c>
    </row>
    <row r="931">
      <c r="A931" t="inlineStr">
        <is>
          <t>P4102307441</t>
        </is>
      </c>
      <c r="B931" t="inlineStr">
        <is>
          <t>BASF  E 301</t>
        </is>
      </c>
      <c r="C931" t="inlineStr">
        <is>
          <t>Süd-West</t>
        </is>
      </c>
      <c r="D931" t="inlineStr">
        <is>
          <t>Verwaltung</t>
        </is>
      </c>
      <c r="E931" t="n">
        <v>-34662.12</v>
      </c>
      <c r="F931" t="n">
        <v>29235.93</v>
      </c>
      <c r="G931" t="n">
        <v>-5426.19</v>
      </c>
      <c r="H931" t="n">
        <v>45</v>
      </c>
    </row>
    <row r="932">
      <c r="A932" t="inlineStr">
        <is>
          <t>P4102157449</t>
        </is>
      </c>
      <c r="B932" t="inlineStr">
        <is>
          <t>RB Kessel KW Lausward</t>
        </is>
      </c>
      <c r="C932" t="inlineStr">
        <is>
          <t>West</t>
        </is>
      </c>
      <c r="D932" t="inlineStr">
        <is>
          <t>Verwaltung</t>
        </is>
      </c>
      <c r="E932" t="n">
        <v>-108785.12</v>
      </c>
      <c r="F932" t="n">
        <v>46566.47</v>
      </c>
      <c r="G932" t="n">
        <v>-62218.65</v>
      </c>
      <c r="H932" t="n">
        <v>103</v>
      </c>
    </row>
    <row r="933">
      <c r="A933" t="inlineStr">
        <is>
          <t>P4102307431</t>
        </is>
      </c>
      <c r="B933" t="inlineStr">
        <is>
          <t>HNVG Bauph. II Gaswerk</t>
        </is>
      </c>
      <c r="C933" t="inlineStr">
        <is>
          <t>Süd-West</t>
        </is>
      </c>
      <c r="D933" t="inlineStr">
        <is>
          <t>Verwaltung</t>
        </is>
      </c>
      <c r="E933" t="n">
        <v>-14290.34</v>
      </c>
      <c r="G933" t="n">
        <v>-14290.34</v>
      </c>
      <c r="H933" t="n">
        <v>2</v>
      </c>
    </row>
    <row r="934">
      <c r="A934" t="inlineStr">
        <is>
          <t>P4102157459</t>
        </is>
      </c>
      <c r="B934" t="inlineStr">
        <is>
          <t>RB alte Beizanlage</t>
        </is>
      </c>
      <c r="C934" t="inlineStr">
        <is>
          <t>West</t>
        </is>
      </c>
      <c r="D934" t="inlineStr">
        <is>
          <t>Verwaltung</t>
        </is>
      </c>
      <c r="E934" t="n">
        <v>-16619.55</v>
      </c>
      <c r="F934" t="n">
        <v>8287.49</v>
      </c>
      <c r="G934" t="n">
        <v>-8332.059999999999</v>
      </c>
      <c r="H934" t="n">
        <v>19</v>
      </c>
    </row>
    <row r="935">
      <c r="A935" t="inlineStr">
        <is>
          <t>W4102604414</t>
        </is>
      </c>
      <c r="B935" t="inlineStr">
        <is>
          <t>Halle Boxberg</t>
        </is>
      </c>
      <c r="C935" t="inlineStr">
        <is>
          <t>Ost</t>
        </is>
      </c>
      <c r="D935" t="inlineStr">
        <is>
          <t>Verwaltung</t>
        </is>
      </c>
      <c r="E935" t="n">
        <v>-1471.09</v>
      </c>
      <c r="G935" t="n">
        <v>-1471.09</v>
      </c>
      <c r="H935" t="n">
        <v>32</v>
      </c>
    </row>
    <row r="936">
      <c r="A936" t="inlineStr">
        <is>
          <t>P4102658272</t>
        </is>
      </c>
      <c r="B936" t="inlineStr">
        <is>
          <t>Beräumung Herzberger Straße</t>
        </is>
      </c>
      <c r="C936" t="inlineStr">
        <is>
          <t>Berlin</t>
        </is>
      </c>
      <c r="D936" t="inlineStr">
        <is>
          <t>Verwaltung</t>
        </is>
      </c>
      <c r="E936" t="n">
        <v>-19556.17</v>
      </c>
      <c r="F936" t="n">
        <v>25486.76</v>
      </c>
      <c r="G936" t="n">
        <v>5930.59</v>
      </c>
      <c r="H936" t="n">
        <v>62</v>
      </c>
    </row>
    <row r="937">
      <c r="A937" t="inlineStr">
        <is>
          <t>P4102604612</t>
        </is>
      </c>
      <c r="B937" t="inlineStr">
        <is>
          <t>Recyclingplatz Boxberg</t>
        </is>
      </c>
      <c r="C937" t="inlineStr">
        <is>
          <t>Ost</t>
        </is>
      </c>
      <c r="D937" t="inlineStr">
        <is>
          <t>Verwaltung</t>
        </is>
      </c>
      <c r="E937" t="n">
        <v>8715.889999999999</v>
      </c>
      <c r="F937" t="n">
        <v>132</v>
      </c>
      <c r="G937" t="n">
        <v>8847.889999999999</v>
      </c>
      <c r="H937" t="n">
        <v>9</v>
      </c>
    </row>
    <row r="938">
      <c r="A938" t="inlineStr">
        <is>
          <t>P4102608275</t>
        </is>
      </c>
      <c r="B938" t="inlineStr">
        <is>
          <t>An der Spreewaldbahn lübben</t>
        </is>
      </c>
      <c r="C938" t="inlineStr">
        <is>
          <t>Ost</t>
        </is>
      </c>
      <c r="D938" t="inlineStr">
        <is>
          <t>Verwaltung</t>
        </is>
      </c>
      <c r="E938" t="n">
        <v>-15953.08</v>
      </c>
      <c r="F938" t="n">
        <v>7986.92</v>
      </c>
      <c r="G938" t="n">
        <v>-7966.16</v>
      </c>
      <c r="H938" t="n">
        <v>18</v>
      </c>
    </row>
    <row r="939">
      <c r="A939" t="inlineStr">
        <is>
          <t>P4102608268</t>
        </is>
      </c>
      <c r="B939" t="inlineStr">
        <is>
          <t>Gutenbergstrasse Potsdam</t>
        </is>
      </c>
      <c r="C939" t="inlineStr">
        <is>
          <t>Ost</t>
        </is>
      </c>
      <c r="D939" t="inlineStr">
        <is>
          <t>Verwaltung</t>
        </is>
      </c>
      <c r="E939" t="n">
        <v>-4986.26</v>
      </c>
      <c r="F939" t="n">
        <v>3115.41</v>
      </c>
      <c r="G939" t="n">
        <v>-1870.85</v>
      </c>
      <c r="H939" t="n">
        <v>16</v>
      </c>
    </row>
    <row r="940">
      <c r="A940" t="inlineStr">
        <is>
          <t>P4102307423</t>
        </is>
      </c>
      <c r="B940" t="inlineStr">
        <is>
          <t>BASF F 712</t>
        </is>
      </c>
      <c r="C940" t="inlineStr">
        <is>
          <t>Süd-West</t>
        </is>
      </c>
      <c r="D940" t="inlineStr">
        <is>
          <t>Verwaltung</t>
        </is>
      </c>
      <c r="E940" t="n">
        <v>1244.98</v>
      </c>
      <c r="F940" t="n">
        <v>3720</v>
      </c>
      <c r="G940" t="n">
        <v>4964.98</v>
      </c>
      <c r="H940" t="n">
        <v>8</v>
      </c>
    </row>
    <row r="941">
      <c r="A941" t="inlineStr">
        <is>
          <t>P4102658276</t>
        </is>
      </c>
      <c r="B941" t="inlineStr">
        <is>
          <t>EÜ Braunsbedra</t>
        </is>
      </c>
      <c r="C941" t="inlineStr">
        <is>
          <t>Berlin</t>
        </is>
      </c>
      <c r="D941" t="inlineStr">
        <is>
          <t>Verwaltung</t>
        </is>
      </c>
      <c r="E941" t="n">
        <v>-71969.09</v>
      </c>
      <c r="F941" t="n">
        <v>45124.3</v>
      </c>
      <c r="G941" t="n">
        <v>-26844.79</v>
      </c>
      <c r="H941" t="n">
        <v>102</v>
      </c>
    </row>
    <row r="942">
      <c r="A942" t="inlineStr">
        <is>
          <t>P4102307306</t>
        </is>
      </c>
      <c r="B942" t="inlineStr">
        <is>
          <t>RB Halle Karlsruhe</t>
        </is>
      </c>
      <c r="C942" t="inlineStr">
        <is>
          <t>Süd-West</t>
        </is>
      </c>
      <c r="D942" t="inlineStr">
        <is>
          <t>Verwaltung</t>
        </is>
      </c>
      <c r="E942" t="n">
        <v>7000</v>
      </c>
      <c r="G942" t="n">
        <v>7000</v>
      </c>
      <c r="H942" t="n">
        <v>3</v>
      </c>
    </row>
    <row r="943">
      <c r="A943" t="inlineStr">
        <is>
          <t>P4102307448</t>
        </is>
      </c>
      <c r="B943" t="inlineStr">
        <is>
          <t>Kopf SynGas - Klärschlammvergasung</t>
        </is>
      </c>
      <c r="C943" t="inlineStr">
        <is>
          <t>Süd-West</t>
        </is>
      </c>
      <c r="D943" t="inlineStr">
        <is>
          <t>Verwaltung</t>
        </is>
      </c>
      <c r="E943" t="n">
        <v>-134.34</v>
      </c>
      <c r="F943" t="n">
        <v>5188.38</v>
      </c>
      <c r="G943" t="n">
        <v>5054.04</v>
      </c>
      <c r="H943" t="n">
        <v>24</v>
      </c>
    </row>
    <row r="944">
      <c r="A944" t="inlineStr">
        <is>
          <t>P4102157461</t>
        </is>
      </c>
      <c r="B944" t="inlineStr">
        <is>
          <t>Brücke D 1 Seitenteile</t>
        </is>
      </c>
      <c r="C944" t="inlineStr">
        <is>
          <t>West</t>
        </is>
      </c>
      <c r="D944" t="inlineStr">
        <is>
          <t>Verwaltung</t>
        </is>
      </c>
      <c r="E944" t="n">
        <v>-14385.05</v>
      </c>
      <c r="F944" t="n">
        <v>9618.66</v>
      </c>
      <c r="G944" t="n">
        <v>-4766.39</v>
      </c>
      <c r="H944" t="n">
        <v>31</v>
      </c>
    </row>
    <row r="945">
      <c r="A945" t="inlineStr">
        <is>
          <t>P4102157445</t>
        </is>
      </c>
      <c r="B945" t="inlineStr">
        <is>
          <t>RB 2 Stahlwände Lüra Halle</t>
        </is>
      </c>
      <c r="C945" t="inlineStr">
        <is>
          <t>West</t>
        </is>
      </c>
      <c r="D945" t="inlineStr">
        <is>
          <t>Verwaltung</t>
        </is>
      </c>
      <c r="E945" t="n">
        <v>189.05</v>
      </c>
      <c r="F945" t="n">
        <v>22.69</v>
      </c>
      <c r="G945" t="n">
        <v>211.74</v>
      </c>
      <c r="H945" t="n">
        <v>4</v>
      </c>
    </row>
    <row r="946">
      <c r="A946" t="inlineStr">
        <is>
          <t>P4102157442</t>
        </is>
      </c>
      <c r="B946" t="inlineStr">
        <is>
          <t>RB Leitstand Flämmaschine</t>
        </is>
      </c>
      <c r="C946" t="inlineStr">
        <is>
          <t>West</t>
        </is>
      </c>
      <c r="D946" t="inlineStr">
        <is>
          <t>Verwaltung</t>
        </is>
      </c>
      <c r="E946" t="n">
        <v>-16812.77</v>
      </c>
      <c r="F946" t="n">
        <v>11196.41</v>
      </c>
      <c r="G946" t="n">
        <v>-5616.36</v>
      </c>
      <c r="H946" t="n">
        <v>57</v>
      </c>
    </row>
    <row r="947">
      <c r="A947" t="inlineStr">
        <is>
          <t>P4102608260</t>
        </is>
      </c>
      <c r="B947" t="inlineStr">
        <is>
          <t>RB Floorflexplatten Berlin</t>
        </is>
      </c>
      <c r="C947" t="inlineStr">
        <is>
          <t>Ost</t>
        </is>
      </c>
      <c r="D947" t="inlineStr">
        <is>
          <t>Verwaltung</t>
        </is>
      </c>
      <c r="E947" t="n">
        <v>-9180.16</v>
      </c>
      <c r="F947" t="n">
        <v>3126.56</v>
      </c>
      <c r="G947" t="n">
        <v>-6053.6</v>
      </c>
      <c r="H947" t="n">
        <v>53</v>
      </c>
    </row>
    <row r="948">
      <c r="A948" t="inlineStr">
        <is>
          <t>W4102504971</t>
        </is>
      </c>
      <c r="B948" t="inlineStr">
        <is>
          <t>CB-CR 107 Werban</t>
        </is>
      </c>
      <c r="C948" t="inlineStr">
        <is>
          <t>Verwaltung</t>
        </is>
      </c>
      <c r="D948" t="inlineStr">
        <is>
          <t>Firmenwagen</t>
        </is>
      </c>
      <c r="E948" t="n">
        <v>4177.21</v>
      </c>
      <c r="G948" t="n">
        <v>4177.21</v>
      </c>
      <c r="H948" t="n">
        <v>33</v>
      </c>
    </row>
    <row r="949">
      <c r="A949" t="inlineStr">
        <is>
          <t>P4102307440</t>
        </is>
      </c>
      <c r="B949" t="inlineStr">
        <is>
          <t>BASF  L 605</t>
        </is>
      </c>
      <c r="C949" t="inlineStr">
        <is>
          <t>Süd-West</t>
        </is>
      </c>
      <c r="D949" t="inlineStr">
        <is>
          <t>Verwaltung</t>
        </is>
      </c>
      <c r="E949" t="n">
        <v>-88298.14999999999</v>
      </c>
      <c r="F949" t="n">
        <v>89355.84</v>
      </c>
      <c r="G949" t="n">
        <v>1057.69</v>
      </c>
      <c r="H949" t="n">
        <v>100</v>
      </c>
    </row>
    <row r="950">
      <c r="A950" t="inlineStr">
        <is>
          <t>P4102157458</t>
        </is>
      </c>
      <c r="B950" t="inlineStr">
        <is>
          <t>Kleinaufträge Region West 2026</t>
        </is>
      </c>
      <c r="C950" t="inlineStr">
        <is>
          <t>West</t>
        </is>
      </c>
      <c r="D950" t="inlineStr">
        <is>
          <t>Verwaltung</t>
        </is>
      </c>
      <c r="E950" t="n">
        <v>-22519.56</v>
      </c>
      <c r="F950" t="n">
        <v>5132.03</v>
      </c>
      <c r="G950" t="n">
        <v>-17387.53</v>
      </c>
      <c r="H950" t="n">
        <v>27</v>
      </c>
    </row>
    <row r="951">
      <c r="A951" t="inlineStr">
        <is>
          <t>W4102154961</t>
        </is>
      </c>
      <c r="B951" t="inlineStr">
        <is>
          <t>DO-AW 251 Ludwigs</t>
        </is>
      </c>
      <c r="C951" t="inlineStr">
        <is>
          <t>West</t>
        </is>
      </c>
      <c r="D951" t="inlineStr">
        <is>
          <t>Verwaltung</t>
        </is>
      </c>
      <c r="E951" t="n">
        <v>7249.24</v>
      </c>
      <c r="G951" t="n">
        <v>7249.24</v>
      </c>
      <c r="H951" t="n">
        <v>35</v>
      </c>
    </row>
    <row r="952">
      <c r="A952" t="inlineStr">
        <is>
          <t>W4102504211</t>
        </is>
      </c>
      <c r="B952" t="inlineStr">
        <is>
          <t>Rechnungsw./Finanzen</t>
        </is>
      </c>
      <c r="C952" t="inlineStr">
        <is>
          <t>Verwaltung</t>
        </is>
      </c>
      <c r="D952" t="inlineStr">
        <is>
          <t>Verwaltung</t>
        </is>
      </c>
      <c r="E952" t="n">
        <v>266.97</v>
      </c>
      <c r="G952" t="n">
        <v>266.97</v>
      </c>
      <c r="H952" t="n">
        <v>12</v>
      </c>
    </row>
    <row r="956">
      <c r="A956" t="inlineStr">
        <is>
          <t>v_abstimmung</t>
        </is>
      </c>
    </row>
    <row r="957">
      <c r="A957" t="inlineStr">
        <is>
          <t>jahr</t>
        </is>
      </c>
      <c r="B957" t="inlineStr">
        <is>
          <t>belegkreis</t>
        </is>
      </c>
      <c r="C957" t="inlineStr">
        <is>
          <t>kostentraeger</t>
        </is>
      </c>
      <c r="D957" t="inlineStr">
        <is>
          <t>belege</t>
        </is>
      </c>
      <c r="E957" t="inlineStr">
        <is>
          <t>saldo</t>
        </is>
      </c>
      <c r="F957" t="inlineStr">
        <is>
          <t>leistung</t>
        </is>
      </c>
      <c r="G957" t="inlineStr">
        <is>
          <t>k_var</t>
        </is>
      </c>
      <c r="H957" t="inlineStr">
        <is>
          <t>k_fix</t>
        </is>
      </c>
      <c r="I957" t="inlineStr">
        <is>
          <t>umlage</t>
        </is>
      </c>
      <c r="J957" t="inlineStr">
        <is>
          <t>neutral</t>
        </is>
      </c>
    </row>
    <row r="958">
      <c r="A958" t="n">
        <v>2026</v>
      </c>
      <c r="B958" t="inlineStr">
        <is>
          <t>ABRECHNUNG</t>
        </is>
      </c>
      <c r="C958" t="inlineStr">
        <is>
          <t>BEREICH</t>
        </is>
      </c>
      <c r="D958" t="n">
        <v>3</v>
      </c>
      <c r="E958" t="n">
        <v>-6.36</v>
      </c>
      <c r="F958" t="n">
        <v>0</v>
      </c>
      <c r="G958" t="n">
        <v>-11.85</v>
      </c>
      <c r="H958" t="n">
        <v>5.49</v>
      </c>
      <c r="I958" t="n">
        <v>0</v>
      </c>
      <c r="J958" t="n">
        <v>0</v>
      </c>
    </row>
    <row r="959">
      <c r="A959" t="n">
        <v>2026</v>
      </c>
      <c r="B959" t="inlineStr">
        <is>
          <t>ABRECHNUNG</t>
        </is>
      </c>
      <c r="C959" t="inlineStr">
        <is>
          <t>PROJEKT</t>
        </is>
      </c>
      <c r="D959" t="n">
        <v>3744</v>
      </c>
      <c r="E959" t="n">
        <v>11.85</v>
      </c>
      <c r="F959" t="n">
        <v>0</v>
      </c>
      <c r="G959" t="n">
        <v>11.85</v>
      </c>
      <c r="H959" t="n">
        <v>0</v>
      </c>
      <c r="I959" t="n">
        <v>0</v>
      </c>
      <c r="J959" t="n">
        <v>0</v>
      </c>
    </row>
    <row r="960">
      <c r="A960" t="n">
        <v>2026</v>
      </c>
      <c r="B960" t="inlineStr">
        <is>
          <t>ABRECHNUNG</t>
        </is>
      </c>
      <c r="C960" t="inlineStr">
        <is>
          <t>ZENTRALE</t>
        </is>
      </c>
      <c r="D960" t="n">
        <v>3</v>
      </c>
      <c r="E960" t="n">
        <v>-5.49</v>
      </c>
      <c r="F960" t="n">
        <v>0</v>
      </c>
      <c r="G960" t="n">
        <v>0</v>
      </c>
      <c r="H960" t="n">
        <v>-5.49</v>
      </c>
      <c r="I960" t="n">
        <v>0</v>
      </c>
      <c r="J960" t="n">
        <v>0</v>
      </c>
    </row>
    <row r="961">
      <c r="A961" t="n">
        <v>2026</v>
      </c>
      <c r="B961" t="inlineStr">
        <is>
          <t>PRIMAER</t>
        </is>
      </c>
      <c r="C961" t="inlineStr">
        <is>
          <t>BEREICH</t>
        </is>
      </c>
      <c r="D961" t="n">
        <v>3384</v>
      </c>
      <c r="E961" t="n">
        <v>616801.83</v>
      </c>
      <c r="F961" t="n">
        <v>34269.41</v>
      </c>
      <c r="G961" t="n">
        <v>120086.72</v>
      </c>
      <c r="H961" t="n">
        <v>549895.51</v>
      </c>
      <c r="I961" t="n">
        <v>0</v>
      </c>
      <c r="J961" t="n">
        <v>-18910.99</v>
      </c>
    </row>
    <row r="962">
      <c r="A962" t="n">
        <v>2026</v>
      </c>
      <c r="B962" t="inlineStr">
        <is>
          <t>PRIMAER</t>
        </is>
      </c>
      <c r="C962" t="inlineStr">
        <is>
          <t>NICHT_ZUGEORDNET</t>
        </is>
      </c>
      <c r="D962" t="n">
        <v>478</v>
      </c>
      <c r="E962" t="n">
        <v>-403215.61</v>
      </c>
      <c r="F962" t="n">
        <v>0</v>
      </c>
      <c r="G962" t="n">
        <v>3521.4</v>
      </c>
      <c r="H962" t="n">
        <v>-406737.01</v>
      </c>
      <c r="I962" t="n">
        <v>0</v>
      </c>
      <c r="J962" t="n">
        <v>0</v>
      </c>
    </row>
    <row r="963">
      <c r="A963" t="n">
        <v>2026</v>
      </c>
      <c r="B963" t="inlineStr">
        <is>
          <t>PRIMAER</t>
        </is>
      </c>
      <c r="C963" t="inlineStr">
        <is>
          <t>PROJEKT</t>
        </is>
      </c>
      <c r="D963" t="n">
        <v>3901</v>
      </c>
      <c r="E963" t="n">
        <v>-3315677.95</v>
      </c>
      <c r="F963" t="n">
        <v>15209891.15</v>
      </c>
      <c r="G963" t="n">
        <v>12114570.66</v>
      </c>
      <c r="H963" t="n">
        <v>63486.22</v>
      </c>
      <c r="I963" t="n">
        <v>0</v>
      </c>
      <c r="J963" t="n">
        <v>-283843.68</v>
      </c>
    </row>
    <row r="964">
      <c r="A964" t="n">
        <v>2026</v>
      </c>
      <c r="B964" t="inlineStr">
        <is>
          <t>PRIMAER</t>
        </is>
      </c>
      <c r="C964" t="inlineStr">
        <is>
          <t>ZENTRALE</t>
        </is>
      </c>
      <c r="D964" t="n">
        <v>1254</v>
      </c>
      <c r="E964" t="n">
        <v>739910.0699999999</v>
      </c>
      <c r="F964" t="n">
        <v>2846.89</v>
      </c>
      <c r="G964" t="n">
        <v>13923.7</v>
      </c>
      <c r="H964" t="n">
        <v>552818.5600000001</v>
      </c>
      <c r="I964" t="n">
        <v>0</v>
      </c>
      <c r="J964" t="n">
        <v>176014.7</v>
      </c>
    </row>
    <row r="965">
      <c r="A965" t="n">
        <v>2026</v>
      </c>
      <c r="B965" t="inlineStr">
        <is>
          <t>UMLAGE</t>
        </is>
      </c>
      <c r="C965" t="inlineStr">
        <is>
          <t>BEREICH</t>
        </is>
      </c>
      <c r="D965" t="n">
        <v>347</v>
      </c>
      <c r="E965" t="n">
        <v>-1515238.07</v>
      </c>
      <c r="F965" t="n">
        <v>0</v>
      </c>
      <c r="G965" t="n">
        <v>0</v>
      </c>
      <c r="H965" t="n">
        <v>0</v>
      </c>
      <c r="I965" t="n">
        <v>-1515238.07</v>
      </c>
      <c r="J965" t="n">
        <v>0</v>
      </c>
    </row>
    <row r="966">
      <c r="A966" t="n">
        <v>2026</v>
      </c>
      <c r="B966" t="inlineStr">
        <is>
          <t>UMLAGE</t>
        </is>
      </c>
      <c r="C966" t="inlineStr">
        <is>
          <t>PROJEKT</t>
        </is>
      </c>
      <c r="D966" t="n">
        <v>656</v>
      </c>
      <c r="E966" t="n">
        <v>148296.89</v>
      </c>
      <c r="F966" t="n">
        <v>0</v>
      </c>
      <c r="G966" t="n">
        <v>0</v>
      </c>
      <c r="H966" t="n">
        <v>0</v>
      </c>
      <c r="I966" t="n">
        <v>148296.89</v>
      </c>
      <c r="J966" t="n">
        <v>0</v>
      </c>
    </row>
    <row r="967">
      <c r="A967" t="n">
        <v>2026</v>
      </c>
      <c r="B967" t="inlineStr">
        <is>
          <t>VERRECHNUNG</t>
        </is>
      </c>
      <c r="C967" t="inlineStr">
        <is>
          <t>BEREICH</t>
        </is>
      </c>
      <c r="D967" t="n">
        <v>32</v>
      </c>
      <c r="E967" t="n">
        <v>9684</v>
      </c>
      <c r="F967" t="n">
        <v>0</v>
      </c>
      <c r="G967" t="n">
        <v>9684</v>
      </c>
      <c r="H967" t="n">
        <v>0</v>
      </c>
      <c r="I967" t="n">
        <v>0</v>
      </c>
      <c r="J967" t="n">
        <v>0</v>
      </c>
    </row>
    <row r="968">
      <c r="A968" t="n">
        <v>2026</v>
      </c>
      <c r="B968" t="inlineStr">
        <is>
          <t>VERRECHNUNG</t>
        </is>
      </c>
      <c r="C968" t="inlineStr">
        <is>
          <t>PROJEKT</t>
        </is>
      </c>
      <c r="D968" t="n">
        <v>1525</v>
      </c>
      <c r="E968" t="n">
        <v>247016.5</v>
      </c>
      <c r="F968" t="n">
        <v>0</v>
      </c>
      <c r="G968" t="n">
        <v>247016.5</v>
      </c>
      <c r="H968" t="n">
        <v>0</v>
      </c>
      <c r="I968" t="n">
        <v>0</v>
      </c>
      <c r="J968" t="n">
        <v>0</v>
      </c>
    </row>
    <row r="969">
      <c r="A969" t="n">
        <v>2026</v>
      </c>
      <c r="B969" t="inlineStr">
        <is>
          <t>VERRECHNUNG</t>
        </is>
      </c>
      <c r="C969" t="inlineStr">
        <is>
          <t>ZENTRALE</t>
        </is>
      </c>
      <c r="D969" t="n">
        <v>17</v>
      </c>
      <c r="E969" t="n">
        <v>3278</v>
      </c>
      <c r="F969" t="n">
        <v>0</v>
      </c>
      <c r="G969" t="n">
        <v>3278</v>
      </c>
      <c r="H969" t="n">
        <v>0</v>
      </c>
      <c r="I969" t="n">
        <v>0</v>
      </c>
      <c r="J969" t="n">
        <v>0</v>
      </c>
    </row>
    <row r="973">
      <c r="A973" t="inlineStr">
        <is>
          <t>kostenarten</t>
        </is>
      </c>
    </row>
    <row r="974">
      <c r="A974" t="inlineStr">
        <is>
          <t>kostenart_id</t>
        </is>
      </c>
      <c r="B974" t="inlineStr">
        <is>
          <t>kostenart_nr</t>
        </is>
      </c>
      <c r="C974" t="inlineStr">
        <is>
          <t>bezeichnung</t>
        </is>
      </c>
      <c r="D974" t="inlineStr">
        <is>
          <t>klr_typ</t>
        </is>
      </c>
      <c r="E974" t="inlineStr">
        <is>
          <t>db_stufe</t>
        </is>
      </c>
      <c r="F974" t="inlineStr">
        <is>
          <t>guv_gruppe</t>
        </is>
      </c>
      <c r="G974" t="inlineStr">
        <is>
          <t>variabel</t>
        </is>
      </c>
      <c r="H974" t="inlineStr">
        <is>
          <t>einzelkosten</t>
        </is>
      </c>
      <c r="I974" t="inlineStr">
        <is>
          <t>kontonummer</t>
        </is>
      </c>
      <c r="J974" t="inlineStr">
        <is>
          <t>klr_gruppe</t>
        </is>
      </c>
      <c r="K974" t="inlineStr">
        <is>
          <t>sortierung</t>
        </is>
      </c>
      <c r="L974" t="inlineStr">
        <is>
          <t>kontoart</t>
        </is>
      </c>
      <c r="M974" t="inlineStr">
        <is>
          <t>planungsgruppe</t>
        </is>
      </c>
      <c r="N974" t="inlineStr">
        <is>
          <t>kostenblock</t>
        </is>
      </c>
      <c r="O974" t="inlineStr">
        <is>
          <t>sap_guv_position</t>
        </is>
      </c>
      <c r="P974" t="inlineStr">
        <is>
          <t>ebitda_relevant</t>
        </is>
      </c>
      <c r="Q974" t="inlineStr">
        <is>
          <t>quelle</t>
        </is>
      </c>
      <c r="R974" t="inlineStr">
        <is>
          <t>ist_bilanzkonto</t>
        </is>
      </c>
    </row>
    <row r="975">
      <c r="A975" t="n">
        <v>87</v>
      </c>
      <c r="B975" t="inlineStr">
        <is>
          <t>265900.0</t>
        </is>
      </c>
      <c r="C975" t="inlineStr">
        <is>
          <t>Sonstige Zinsen und ähnl. Erträge verb.U</t>
        </is>
      </c>
      <c r="D975" t="inlineStr">
        <is>
          <t>NEUTRALER_ERTRAG</t>
        </is>
      </c>
      <c r="E975" t="n">
        <v>9</v>
      </c>
      <c r="F975" t="inlineStr">
        <is>
          <t>10 Zinsergebnis</t>
        </is>
      </c>
      <c r="G975" t="b">
        <v>0</v>
      </c>
      <c r="H975" t="b">
        <v>0</v>
      </c>
      <c r="I975" t="n">
        <v>265900</v>
      </c>
      <c r="J975" t="inlineStr">
        <is>
          <t>Zinsergebnis</t>
        </is>
      </c>
      <c r="K975" t="n">
        <v>100</v>
      </c>
      <c r="L975" t="inlineStr">
        <is>
          <t>finanz</t>
        </is>
      </c>
      <c r="M975" t="inlineStr">
        <is>
          <t>Zinsen und ähnliche Aufw./Ertr.</t>
        </is>
      </c>
      <c r="O975" t="inlineStr">
        <is>
          <t>Zinsertr verbun</t>
        </is>
      </c>
      <c r="P975" t="b">
        <v>0</v>
      </c>
      <c r="Q975" t="inlineStr">
        <is>
          <t>TVF-Kontenstamm</t>
        </is>
      </c>
      <c r="R975" t="b">
        <v>0</v>
      </c>
    </row>
    <row r="976">
      <c r="A976" t="n">
        <v>141</v>
      </c>
      <c r="B976" t="inlineStr">
        <is>
          <t>440020.0</t>
        </is>
      </c>
      <c r="C976" t="inlineStr">
        <is>
          <t>Kosten d.Vermarktung</t>
        </is>
      </c>
      <c r="D976" t="inlineStr">
        <is>
          <t>TRANSPORT</t>
        </is>
      </c>
      <c r="E976" t="n">
        <v>2</v>
      </c>
      <c r="F976" t="inlineStr">
        <is>
          <t>8 Sonstige betriebliche Aufwendungen</t>
        </is>
      </c>
      <c r="G976" t="b">
        <v>0</v>
      </c>
      <c r="H976" t="b">
        <v>0</v>
      </c>
      <c r="I976" t="n">
        <v>440020</v>
      </c>
      <c r="J976" t="inlineStr">
        <is>
          <t>Transport, Reise, Werbung</t>
        </is>
      </c>
      <c r="K976" t="n">
        <v>80</v>
      </c>
      <c r="L976" t="inlineStr">
        <is>
          <t>aufwand</t>
        </is>
      </c>
      <c r="M976" t="inlineStr">
        <is>
          <t>Sonstige betriebliche Aufwendungen</t>
        </is>
      </c>
      <c r="N976" t="inlineStr">
        <is>
          <t>Vertriebskosten</t>
        </is>
      </c>
      <c r="O976" t="inlineStr">
        <is>
          <t>Vertriebskosten</t>
        </is>
      </c>
      <c r="P976" t="b">
        <v>1</v>
      </c>
      <c r="Q976" t="inlineStr">
        <is>
          <t>TVF-Kontenstamm</t>
        </is>
      </c>
      <c r="R976" t="b">
        <v>0</v>
      </c>
    </row>
    <row r="977">
      <c r="A977" t="n">
        <v>55</v>
      </c>
      <c r="B977" t="inlineStr">
        <is>
          <t>450010.0</t>
        </is>
      </c>
      <c r="C977" t="inlineStr">
        <is>
          <t>Reisekosten Betriebsangehörige</t>
        </is>
      </c>
      <c r="D977" t="inlineStr">
        <is>
          <t>REISE_WERBUNG</t>
        </is>
      </c>
      <c r="E977" t="n">
        <v>2</v>
      </c>
      <c r="F977" t="inlineStr">
        <is>
          <t>8 Sonstige betriebliche Aufwendungen</t>
        </is>
      </c>
      <c r="G977" t="b">
        <v>0</v>
      </c>
      <c r="H977" t="b">
        <v>0</v>
      </c>
      <c r="I977" t="n">
        <v>450010</v>
      </c>
      <c r="J977" t="inlineStr">
        <is>
          <t>Transport, Reise, Werbung</t>
        </is>
      </c>
      <c r="K977" t="n">
        <v>80</v>
      </c>
      <c r="L977" t="inlineStr">
        <is>
          <t>aufwand</t>
        </is>
      </c>
      <c r="M977" t="inlineStr">
        <is>
          <t>Sonstige betriebliche Aufwendungen</t>
        </is>
      </c>
      <c r="N977" t="inlineStr">
        <is>
          <t>Vertriebskosten</t>
        </is>
      </c>
      <c r="O977" t="inlineStr">
        <is>
          <t>Vertriebskosten</t>
        </is>
      </c>
      <c r="P977" t="b">
        <v>1</v>
      </c>
      <c r="Q977" t="inlineStr">
        <is>
          <t>TVF-Kontenstamm</t>
        </is>
      </c>
      <c r="R977" t="b">
        <v>0</v>
      </c>
    </row>
    <row r="978">
      <c r="A978" t="n">
        <v>25</v>
      </c>
      <c r="B978" t="inlineStr">
        <is>
          <t>450080.0</t>
        </is>
      </c>
      <c r="C978" t="inlineStr">
        <is>
          <t>Werbung</t>
        </is>
      </c>
      <c r="D978" t="inlineStr">
        <is>
          <t>REISE_WERBUNG</t>
        </is>
      </c>
      <c r="E978" t="n">
        <v>2</v>
      </c>
      <c r="F978" t="inlineStr">
        <is>
          <t>8 Sonstige betriebliche Aufwendungen</t>
        </is>
      </c>
      <c r="G978" t="b">
        <v>0</v>
      </c>
      <c r="H978" t="b">
        <v>0</v>
      </c>
      <c r="I978" t="n">
        <v>450080</v>
      </c>
      <c r="J978" t="inlineStr">
        <is>
          <t>Transport, Reise, Werbung</t>
        </is>
      </c>
      <c r="K978" t="n">
        <v>80</v>
      </c>
      <c r="L978" t="inlineStr">
        <is>
          <t>aufwand</t>
        </is>
      </c>
      <c r="M978" t="inlineStr">
        <is>
          <t>Sonstige betriebliche Aufwendungen</t>
        </is>
      </c>
      <c r="N978" t="inlineStr">
        <is>
          <t>Vertriebskosten</t>
        </is>
      </c>
      <c r="O978" t="inlineStr">
        <is>
          <t>Vertriebskosten</t>
        </is>
      </c>
      <c r="P978" t="b">
        <v>1</v>
      </c>
      <c r="Q978" t="inlineStr">
        <is>
          <t>TVF-Kontenstamm</t>
        </is>
      </c>
      <c r="R978" t="b">
        <v>0</v>
      </c>
    </row>
    <row r="979">
      <c r="A979" t="n">
        <v>88</v>
      </c>
      <c r="B979" t="inlineStr">
        <is>
          <t>411050.0</t>
        </is>
      </c>
      <c r="C979" t="inlineStr">
        <is>
          <t>Personalversicherung</t>
        </is>
      </c>
      <c r="D979" t="inlineStr">
        <is>
          <t>PERSONAL</t>
        </is>
      </c>
      <c r="E979" t="n">
        <v>2</v>
      </c>
      <c r="F979" t="inlineStr">
        <is>
          <t>6 Personalaufwand</t>
        </is>
      </c>
      <c r="G979" t="b">
        <v>0</v>
      </c>
      <c r="H979" t="b">
        <v>0</v>
      </c>
      <c r="I979" t="n">
        <v>411050</v>
      </c>
      <c r="J979" t="inlineStr">
        <is>
          <t>Personal</t>
        </is>
      </c>
      <c r="K979" t="n">
        <v>60</v>
      </c>
      <c r="L979" t="inlineStr">
        <is>
          <t>aufwand</t>
        </is>
      </c>
      <c r="M979" t="inlineStr">
        <is>
          <t>Personal</t>
        </is>
      </c>
      <c r="P979" t="b">
        <v>1</v>
      </c>
      <c r="Q979" t="inlineStr">
        <is>
          <t>aus Nummernkreis hergeleitet</t>
        </is>
      </c>
      <c r="R979" t="b">
        <v>0</v>
      </c>
    </row>
    <row r="980">
      <c r="A980" t="n">
        <v>125</v>
      </c>
      <c r="B980" t="inlineStr">
        <is>
          <t>390000.0</t>
        </is>
      </c>
      <c r="C980" t="inlineStr">
        <is>
          <t>Bestandsveränderung.</t>
        </is>
      </c>
      <c r="D980" t="inlineStr">
        <is>
          <t>BESTANDSVERAENDERUNG</t>
        </is>
      </c>
      <c r="E980" t="n">
        <v>0</v>
      </c>
      <c r="F980" t="inlineStr">
        <is>
          <t>2 Bestandsveränderungen</t>
        </is>
      </c>
      <c r="G980" t="b">
        <v>0</v>
      </c>
      <c r="H980" t="b">
        <v>0</v>
      </c>
      <c r="I980" t="n">
        <v>390000</v>
      </c>
      <c r="J980" t="inlineStr">
        <is>
          <t>Bestandsveränderung</t>
        </is>
      </c>
      <c r="K980" t="n">
        <v>20</v>
      </c>
      <c r="L980" t="inlineStr">
        <is>
          <t>bestandsveraenderung</t>
        </is>
      </c>
      <c r="M980" t="inlineStr">
        <is>
          <t>Bestandsveränderung</t>
        </is>
      </c>
      <c r="O980" t="inlineStr">
        <is>
          <t>Bestandsveraend</t>
        </is>
      </c>
      <c r="P980" t="b">
        <v>1</v>
      </c>
      <c r="Q980" t="inlineStr">
        <is>
          <t>TVF-Kontenstamm</t>
        </is>
      </c>
      <c r="R980" t="b">
        <v>0</v>
      </c>
    </row>
    <row r="981">
      <c r="A981" t="n">
        <v>145</v>
      </c>
      <c r="B981" t="inlineStr">
        <is>
          <t>890300.0</t>
        </is>
      </c>
      <c r="C981" t="inlineStr">
        <is>
          <t>Sonst.Erlösschmälerg</t>
        </is>
      </c>
      <c r="D981" t="inlineStr">
        <is>
          <t>ERLOESSCHMAELERUNG</t>
        </is>
      </c>
      <c r="E981" t="n">
        <v>0</v>
      </c>
      <c r="F981" t="inlineStr">
        <is>
          <t>1 Umsatzerlöse</t>
        </is>
      </c>
      <c r="G981" t="b">
        <v>0</v>
      </c>
      <c r="H981" t="b">
        <v>0</v>
      </c>
      <c r="I981" t="n">
        <v>890300</v>
      </c>
      <c r="J981" t="inlineStr">
        <is>
          <t>Umsatzerlöse</t>
        </is>
      </c>
      <c r="K981" t="n">
        <v>10</v>
      </c>
      <c r="L981" t="inlineStr">
        <is>
          <t>ertrag</t>
        </is>
      </c>
      <c r="M981" t="inlineStr">
        <is>
          <t>Sonstige betriebliche Erträge</t>
        </is>
      </c>
      <c r="O981" t="inlineStr">
        <is>
          <t>Erloesschmaeler</t>
        </is>
      </c>
      <c r="P981" t="b">
        <v>1</v>
      </c>
      <c r="Q981" t="inlineStr">
        <is>
          <t>TVF-Kontenstamm</t>
        </is>
      </c>
      <c r="R981" t="b">
        <v>0</v>
      </c>
    </row>
    <row r="982">
      <c r="A982" t="n">
        <v>114</v>
      </c>
      <c r="B982" t="inlineStr">
        <is>
          <t>251300.0</t>
        </is>
      </c>
      <c r="C982" t="inlineStr">
        <is>
          <t>Übrige neutrale Ertr</t>
        </is>
      </c>
      <c r="D982" t="inlineStr">
        <is>
          <t>NEUTRALER_ERTRAG</t>
        </is>
      </c>
      <c r="E982" t="n">
        <v>9</v>
      </c>
      <c r="F982" t="inlineStr">
        <is>
          <t>3 Sonstige betriebliche Erträge</t>
        </is>
      </c>
      <c r="G982" t="b">
        <v>0</v>
      </c>
      <c r="H982" t="b">
        <v>0</v>
      </c>
      <c r="I982" t="n">
        <v>251300</v>
      </c>
      <c r="J982" t="inlineStr">
        <is>
          <t>Sonstiges</t>
        </is>
      </c>
      <c r="K982" t="n">
        <v>30</v>
      </c>
      <c r="L982" t="inlineStr">
        <is>
          <t>neutral</t>
        </is>
      </c>
      <c r="M982" t="inlineStr">
        <is>
          <t>Neutrales / periodenfremdes Ergebnis</t>
        </is>
      </c>
      <c r="O982" t="inlineStr">
        <is>
          <t>Uebr.neutr. Ert</t>
        </is>
      </c>
      <c r="P982" t="b">
        <v>0</v>
      </c>
      <c r="Q982" t="inlineStr">
        <is>
          <t>TVF-Kontenstamm</t>
        </is>
      </c>
      <c r="R982" t="b">
        <v>0</v>
      </c>
    </row>
    <row r="983">
      <c r="A983" t="n">
        <v>168</v>
      </c>
      <c r="B983" t="inlineStr">
        <is>
          <t>560099</t>
        </is>
      </c>
      <c r="C983" t="inlineStr">
        <is>
          <t>Neu aus Import – Bezeichnung pflegen</t>
        </is>
      </c>
      <c r="D983" t="inlineStr">
        <is>
          <t>SONSTIGES</t>
        </is>
      </c>
      <c r="E983" t="n">
        <v>2</v>
      </c>
      <c r="F983" t="inlineStr">
        <is>
          <t>8 Sonstige betriebliche Aufwendungen</t>
        </is>
      </c>
      <c r="G983" t="b">
        <v>0</v>
      </c>
      <c r="H983" t="b">
        <v>0</v>
      </c>
      <c r="I983" t="n">
        <v>560099</v>
      </c>
      <c r="J983" t="inlineStr">
        <is>
          <t>Sonstiges</t>
        </is>
      </c>
      <c r="K983" t="n">
        <v>80</v>
      </c>
      <c r="L983" t="inlineStr">
        <is>
          <t>aufwand</t>
        </is>
      </c>
      <c r="M983" t="inlineStr">
        <is>
          <t>Sonstiges</t>
        </is>
      </c>
      <c r="P983" t="b">
        <v>1</v>
      </c>
      <c r="Q983" t="inlineStr">
        <is>
          <t>aus Nummernkreis hergeleitet</t>
        </is>
      </c>
      <c r="R983" t="b">
        <v>0</v>
      </c>
    </row>
    <row r="984">
      <c r="A984" t="n">
        <v>110</v>
      </c>
      <c r="B984" t="inlineStr">
        <is>
          <t>231000.0</t>
        </is>
      </c>
      <c r="C984" t="inlineStr">
        <is>
          <t>Mindererl.b.Anlagenv</t>
        </is>
      </c>
      <c r="D984" t="inlineStr">
        <is>
          <t>NEUTRALER_AUFWAND</t>
        </is>
      </c>
      <c r="E984" t="n">
        <v>9</v>
      </c>
      <c r="F984" t="inlineStr">
        <is>
          <t>12 Periodenfremdes Ergebnis</t>
        </is>
      </c>
      <c r="G984" t="b">
        <v>0</v>
      </c>
      <c r="H984" t="b">
        <v>0</v>
      </c>
      <c r="I984" t="n">
        <v>231000</v>
      </c>
      <c r="J984" t="inlineStr">
        <is>
          <t>Sonstiges</t>
        </is>
      </c>
      <c r="K984" t="n">
        <v>120</v>
      </c>
      <c r="L984" t="inlineStr">
        <is>
          <t>neutral</t>
        </is>
      </c>
      <c r="M984" t="inlineStr">
        <is>
          <t>Neutrales / periodenfremdes Ergebnis</t>
        </is>
      </c>
      <c r="O984" t="inlineStr">
        <is>
          <t>Buchverluste</t>
        </is>
      </c>
      <c r="P984" t="b">
        <v>0</v>
      </c>
      <c r="Q984" t="inlineStr">
        <is>
          <t>TVF-Kontenstamm</t>
        </is>
      </c>
      <c r="R984" t="b">
        <v>0</v>
      </c>
    </row>
    <row r="985">
      <c r="A985" t="n">
        <v>111</v>
      </c>
      <c r="B985" t="inlineStr">
        <is>
          <t>231500.0</t>
        </is>
      </c>
      <c r="C985" t="inlineStr">
        <is>
          <t>Mehrerlös b.Anlagena</t>
        </is>
      </c>
      <c r="D985" t="inlineStr">
        <is>
          <t>NEUTRALER_AUFWAND</t>
        </is>
      </c>
      <c r="E985" t="n">
        <v>9</v>
      </c>
      <c r="F985" t="inlineStr">
        <is>
          <t>12 Periodenfremdes Ergebnis</t>
        </is>
      </c>
      <c r="G985" t="b">
        <v>0</v>
      </c>
      <c r="H985" t="b">
        <v>0</v>
      </c>
      <c r="I985" t="n">
        <v>231500</v>
      </c>
      <c r="J985" t="inlineStr">
        <is>
          <t>Sonstiges</t>
        </is>
      </c>
      <c r="K985" t="n">
        <v>120</v>
      </c>
      <c r="L985" t="inlineStr">
        <is>
          <t>neutral</t>
        </is>
      </c>
      <c r="M985" t="inlineStr">
        <is>
          <t>Neutrales / periodenfremdes Ergebnis</t>
        </is>
      </c>
      <c r="O985" t="inlineStr">
        <is>
          <t>Buchgewinne</t>
        </is>
      </c>
      <c r="P985" t="b">
        <v>0</v>
      </c>
      <c r="Q985" t="inlineStr">
        <is>
          <t>TVF-Kontenstamm</t>
        </is>
      </c>
      <c r="R985" t="b">
        <v>0</v>
      </c>
    </row>
    <row r="986">
      <c r="A986" t="n">
        <v>112</v>
      </c>
      <c r="B986" t="inlineStr">
        <is>
          <t>240000.0</t>
        </is>
      </c>
      <c r="C986" t="inlineStr">
        <is>
          <t>uneinbringl.Forderun</t>
        </is>
      </c>
      <c r="D986" t="inlineStr">
        <is>
          <t>NEUTRALER_AUFWAND</t>
        </is>
      </c>
      <c r="E986" t="n">
        <v>9</v>
      </c>
      <c r="F986" t="inlineStr">
        <is>
          <t>12 Periodenfremdes Ergebnis</t>
        </is>
      </c>
      <c r="G986" t="b">
        <v>0</v>
      </c>
      <c r="H986" t="b">
        <v>0</v>
      </c>
      <c r="I986" t="n">
        <v>240000</v>
      </c>
      <c r="J986" t="inlineStr">
        <is>
          <t>Sonstiges</t>
        </is>
      </c>
      <c r="K986" t="n">
        <v>120</v>
      </c>
      <c r="L986" t="inlineStr">
        <is>
          <t>neutral</t>
        </is>
      </c>
      <c r="M986" t="inlineStr">
        <is>
          <t>Neutrales / periodenfremdes Ergebnis</t>
        </is>
      </c>
      <c r="O986" t="inlineStr">
        <is>
          <t>Ford.verluste</t>
        </is>
      </c>
      <c r="P986" t="b">
        <v>0</v>
      </c>
      <c r="Q986" t="inlineStr">
        <is>
          <t>TVF-Kontenstamm</t>
        </is>
      </c>
      <c r="R986" t="b">
        <v>0</v>
      </c>
    </row>
    <row r="987">
      <c r="A987" t="n">
        <v>113</v>
      </c>
      <c r="B987" t="inlineStr">
        <is>
          <t>243000.0</t>
        </is>
      </c>
      <c r="C987" t="inlineStr">
        <is>
          <t>Einst.EWB zu Ford.</t>
        </is>
      </c>
      <c r="D987" t="inlineStr">
        <is>
          <t>NEUTRALER_AUFWAND</t>
        </is>
      </c>
      <c r="E987" t="n">
        <v>9</v>
      </c>
      <c r="F987" t="inlineStr">
        <is>
          <t>12 Periodenfremdes Ergebnis</t>
        </is>
      </c>
      <c r="G987" t="b">
        <v>0</v>
      </c>
      <c r="H987" t="b">
        <v>0</v>
      </c>
      <c r="I987" t="n">
        <v>243000</v>
      </c>
      <c r="J987" t="inlineStr">
        <is>
          <t>Sonstiges</t>
        </is>
      </c>
      <c r="K987" t="n">
        <v>120</v>
      </c>
      <c r="L987" t="inlineStr">
        <is>
          <t>neutral</t>
        </is>
      </c>
      <c r="M987" t="inlineStr">
        <is>
          <t>Neutrales / periodenfremdes Ergebnis</t>
        </is>
      </c>
      <c r="O987" t="inlineStr">
        <is>
          <t>Zuführ.WertberichtFo</t>
        </is>
      </c>
      <c r="P987" t="b">
        <v>0</v>
      </c>
      <c r="Q987" t="inlineStr">
        <is>
          <t>TVF-Kontenstamm</t>
        </is>
      </c>
      <c r="R987" t="b">
        <v>0</v>
      </c>
    </row>
    <row r="988">
      <c r="A988" t="n">
        <v>17</v>
      </c>
      <c r="B988" t="inlineStr">
        <is>
          <t>251000.0</t>
        </is>
      </c>
      <c r="C988" t="inlineStr">
        <is>
          <t>Sonstige periodenfremde Erträge</t>
        </is>
      </c>
      <c r="D988" t="inlineStr">
        <is>
          <t>NEUTRALER_ERTRAG</t>
        </is>
      </c>
      <c r="E988" t="n">
        <v>9</v>
      </c>
      <c r="F988" t="inlineStr">
        <is>
          <t>3 Sonstige betriebliche Erträge</t>
        </is>
      </c>
      <c r="G988" t="b">
        <v>0</v>
      </c>
      <c r="H988" t="b">
        <v>0</v>
      </c>
      <c r="I988" t="n">
        <v>251000</v>
      </c>
      <c r="J988" t="inlineStr">
        <is>
          <t>Sonstiges</t>
        </is>
      </c>
      <c r="K988" t="n">
        <v>30</v>
      </c>
      <c r="L988" t="inlineStr">
        <is>
          <t>neutral</t>
        </is>
      </c>
      <c r="M988" t="inlineStr">
        <is>
          <t>Neutrales / periodenfremdes Ergebnis</t>
        </is>
      </c>
      <c r="O988" t="inlineStr">
        <is>
          <t>Periodenfr. Ert</t>
        </is>
      </c>
      <c r="P988" t="b">
        <v>0</v>
      </c>
      <c r="Q988" t="inlineStr">
        <is>
          <t>TVF-Kontenstamm</t>
        </is>
      </c>
      <c r="R988" t="b">
        <v>0</v>
      </c>
    </row>
    <row r="989">
      <c r="A989" t="n">
        <v>115</v>
      </c>
      <c r="B989" t="inlineStr">
        <is>
          <t>265001.0</t>
        </is>
      </c>
      <c r="C989" t="inlineStr">
        <is>
          <t>Zinsen auf Steuerers</t>
        </is>
      </c>
      <c r="D989" t="inlineStr">
        <is>
          <t>NEUTRALER_ERTRAG</t>
        </is>
      </c>
      <c r="E989" t="n">
        <v>9</v>
      </c>
      <c r="F989" t="inlineStr">
        <is>
          <t>10 Zinsergebnis</t>
        </is>
      </c>
      <c r="G989" t="b">
        <v>0</v>
      </c>
      <c r="H989" t="b">
        <v>0</v>
      </c>
      <c r="I989" t="n">
        <v>265001</v>
      </c>
      <c r="J989" t="inlineStr">
        <is>
          <t>Zinsergebnis</t>
        </is>
      </c>
      <c r="K989" t="n">
        <v>100</v>
      </c>
      <c r="L989" t="inlineStr">
        <is>
          <t>finanz</t>
        </is>
      </c>
      <c r="M989" t="inlineStr">
        <is>
          <t>Zinsen und ähnliche Aufw./Ertr.</t>
        </is>
      </c>
      <c r="O989" t="inlineStr">
        <is>
          <t>Zinsertr Steuererst</t>
        </is>
      </c>
      <c r="P989" t="b">
        <v>0</v>
      </c>
      <c r="Q989" t="inlineStr">
        <is>
          <t>TVF-Kontenstamm</t>
        </is>
      </c>
      <c r="R989" t="b">
        <v>0</v>
      </c>
    </row>
    <row r="990">
      <c r="A990" t="n">
        <v>116</v>
      </c>
      <c r="B990" t="inlineStr">
        <is>
          <t>273000.0</t>
        </is>
      </c>
      <c r="C990" t="inlineStr">
        <is>
          <t>Ert.Herabsetz.Pau-WB</t>
        </is>
      </c>
      <c r="D990" t="inlineStr">
        <is>
          <t>NEUTRALER_ERTRAG</t>
        </is>
      </c>
      <c r="E990" t="n">
        <v>9</v>
      </c>
      <c r="F990" t="inlineStr">
        <is>
          <t>3 Sonstige betriebliche Erträge</t>
        </is>
      </c>
      <c r="G990" t="b">
        <v>0</v>
      </c>
      <c r="H990" t="b">
        <v>0</v>
      </c>
      <c r="I990" t="n">
        <v>273000</v>
      </c>
      <c r="J990" t="inlineStr">
        <is>
          <t>Sonstiges</t>
        </is>
      </c>
      <c r="K990" t="n">
        <v>30</v>
      </c>
      <c r="L990" t="inlineStr">
        <is>
          <t>neutral</t>
        </is>
      </c>
      <c r="M990" t="inlineStr">
        <is>
          <t>Neutrales / periodenfremdes Ergebnis</t>
        </is>
      </c>
      <c r="O990" t="inlineStr">
        <is>
          <t>Ertr. Verm.Wert</t>
        </is>
      </c>
      <c r="P990" t="b">
        <v>0</v>
      </c>
      <c r="Q990" t="inlineStr">
        <is>
          <t>TVF-Kontenstamm</t>
        </is>
      </c>
      <c r="R990" t="b">
        <v>0</v>
      </c>
    </row>
    <row r="991">
      <c r="A991" t="n">
        <v>117</v>
      </c>
      <c r="B991" t="inlineStr">
        <is>
          <t>273200.0</t>
        </is>
      </c>
      <c r="C991" t="inlineStr">
        <is>
          <t>Ertr.ausgeb.Ford.</t>
        </is>
      </c>
      <c r="D991" t="inlineStr">
        <is>
          <t>NEUTRALER_ERTRAG</t>
        </is>
      </c>
      <c r="E991" t="n">
        <v>9</v>
      </c>
      <c r="F991" t="inlineStr">
        <is>
          <t>3 Sonstige betriebliche Erträge</t>
        </is>
      </c>
      <c r="G991" t="b">
        <v>0</v>
      </c>
      <c r="H991" t="b">
        <v>0</v>
      </c>
      <c r="I991" t="n">
        <v>273200</v>
      </c>
      <c r="J991" t="inlineStr">
        <is>
          <t>Sonstiges</t>
        </is>
      </c>
      <c r="K991" t="n">
        <v>30</v>
      </c>
      <c r="L991" t="inlineStr">
        <is>
          <t>neutral</t>
        </is>
      </c>
      <c r="M991" t="inlineStr">
        <is>
          <t>Neutrales / periodenfremdes Ergebnis</t>
        </is>
      </c>
      <c r="O991" t="inlineStr">
        <is>
          <t>Ertr. Verm.Wert</t>
        </is>
      </c>
      <c r="P991" t="b">
        <v>0</v>
      </c>
      <c r="Q991" t="inlineStr">
        <is>
          <t>TVF-Kontenstamm</t>
        </is>
      </c>
      <c r="R991" t="b">
        <v>0</v>
      </c>
    </row>
    <row r="992">
      <c r="A992" t="n">
        <v>118</v>
      </c>
      <c r="B992" t="inlineStr">
        <is>
          <t>278000.0</t>
        </is>
      </c>
      <c r="C992" t="inlineStr">
        <is>
          <t>Steuererstat.VJ Eink</t>
        </is>
      </c>
      <c r="D992" t="inlineStr">
        <is>
          <t>STEUERN</t>
        </is>
      </c>
      <c r="E992" t="n">
        <v>9</v>
      </c>
      <c r="F992" t="inlineStr">
        <is>
          <t>11 Steuern vom Einkommen und Ertrag</t>
        </is>
      </c>
      <c r="G992" t="b">
        <v>0</v>
      </c>
      <c r="H992" t="b">
        <v>0</v>
      </c>
      <c r="I992" t="n">
        <v>278000</v>
      </c>
      <c r="J992" t="inlineStr">
        <is>
          <t>Sonstiges</t>
        </is>
      </c>
      <c r="K992" t="n">
        <v>110</v>
      </c>
      <c r="L992" t="inlineStr">
        <is>
          <t>steuern</t>
        </is>
      </c>
      <c r="M992" t="inlineStr">
        <is>
          <t>Steuern vom Einkommen und Ertrag</t>
        </is>
      </c>
      <c r="O992" t="inlineStr">
        <is>
          <t>Steuern E+E</t>
        </is>
      </c>
      <c r="P992" t="b">
        <v>0</v>
      </c>
      <c r="Q992" t="inlineStr">
        <is>
          <t>TVF-Kontenstamm</t>
        </is>
      </c>
      <c r="R992" t="b">
        <v>0</v>
      </c>
    </row>
    <row r="993">
      <c r="A993" t="n">
        <v>119</v>
      </c>
      <c r="B993" t="inlineStr">
        <is>
          <t>278100.0</t>
        </is>
      </c>
      <c r="C993" t="inlineStr">
        <is>
          <t>Steuererst. E+E Vj.</t>
        </is>
      </c>
      <c r="D993" t="inlineStr">
        <is>
          <t>STEUERN</t>
        </is>
      </c>
      <c r="E993" t="n">
        <v>9</v>
      </c>
      <c r="F993" t="inlineStr">
        <is>
          <t>11 Steuern vom Einkommen und Ertrag</t>
        </is>
      </c>
      <c r="G993" t="b">
        <v>0</v>
      </c>
      <c r="H993" t="b">
        <v>0</v>
      </c>
      <c r="I993" t="n">
        <v>278100</v>
      </c>
      <c r="J993" t="inlineStr">
        <is>
          <t>Sonstiges</t>
        </is>
      </c>
      <c r="K993" t="n">
        <v>110</v>
      </c>
      <c r="L993" t="inlineStr">
        <is>
          <t>steuern</t>
        </is>
      </c>
      <c r="M993" t="inlineStr">
        <is>
          <t>Steuern vom Einkommen und Ertrag</t>
        </is>
      </c>
      <c r="O993" t="inlineStr">
        <is>
          <t>Steuern E+E Vj</t>
        </is>
      </c>
      <c r="P993" t="b">
        <v>0</v>
      </c>
      <c r="Q993" t="inlineStr">
        <is>
          <t>TVF-Kontenstamm</t>
        </is>
      </c>
      <c r="R993" t="b">
        <v>1</v>
      </c>
    </row>
    <row r="994">
      <c r="A994" t="n">
        <v>121</v>
      </c>
      <c r="B994" t="inlineStr">
        <is>
          <t>287095.0</t>
        </is>
      </c>
      <c r="C994" t="inlineStr">
        <is>
          <t>Erträge Zinsen Debit</t>
        </is>
      </c>
      <c r="D994" t="inlineStr">
        <is>
          <t>NEUTRALER_ERTRAG</t>
        </is>
      </c>
      <c r="E994" t="n">
        <v>9</v>
      </c>
      <c r="F994" t="inlineStr">
        <is>
          <t>10 Zinsergebnis</t>
        </is>
      </c>
      <c r="G994" t="b">
        <v>0</v>
      </c>
      <c r="H994" t="b">
        <v>0</v>
      </c>
      <c r="I994" t="n">
        <v>287095</v>
      </c>
      <c r="J994" t="inlineStr">
        <is>
          <t>Zinsergebnis</t>
        </is>
      </c>
      <c r="K994" t="n">
        <v>100</v>
      </c>
      <c r="L994" t="inlineStr">
        <is>
          <t>finanz</t>
        </is>
      </c>
      <c r="M994" t="inlineStr">
        <is>
          <t>Zinsen und ähnliche Aufw./Ertr.</t>
        </is>
      </c>
      <c r="O994" t="inlineStr">
        <is>
          <t>übrige Zinsertr.</t>
        </is>
      </c>
      <c r="P994" t="b">
        <v>0</v>
      </c>
      <c r="Q994" t="inlineStr">
        <is>
          <t>TVF-Kontenstamm</t>
        </is>
      </c>
      <c r="R994" t="b">
        <v>0</v>
      </c>
    </row>
    <row r="995">
      <c r="A995" t="n">
        <v>122</v>
      </c>
      <c r="B995" t="inlineStr">
        <is>
          <t>300060.0</t>
        </is>
      </c>
      <c r="C995" t="inlineStr">
        <is>
          <t>Ank.and.Recyc.Prod.</t>
        </is>
      </c>
      <c r="D995" t="inlineStr">
        <is>
          <t>MATERIAL</t>
        </is>
      </c>
      <c r="E995" t="n">
        <v>1</v>
      </c>
      <c r="F995" t="inlineStr">
        <is>
          <t>4 Materialaufwand</t>
        </is>
      </c>
      <c r="G995" t="b">
        <v>1</v>
      </c>
      <c r="H995" t="b">
        <v>1</v>
      </c>
      <c r="I995" t="n">
        <v>300060</v>
      </c>
      <c r="J995" t="inlineStr">
        <is>
          <t>Material und Fremdleistungen</t>
        </is>
      </c>
      <c r="K995" t="n">
        <v>40</v>
      </c>
      <c r="L995" t="inlineStr">
        <is>
          <t>aufwand</t>
        </is>
      </c>
      <c r="M995" t="inlineStr">
        <is>
          <t>Materialaufwand / Fremdleistungen</t>
        </is>
      </c>
      <c r="N995" t="inlineStr">
        <is>
          <t>Vorleistungen</t>
        </is>
      </c>
      <c r="O995" t="inlineStr">
        <is>
          <t>Ankauf Rohstoff</t>
        </is>
      </c>
      <c r="P995" t="b">
        <v>1</v>
      </c>
      <c r="Q995" t="inlineStr">
        <is>
          <t>TVF-Kontenstamm</t>
        </is>
      </c>
      <c r="R995" t="b">
        <v>0</v>
      </c>
    </row>
    <row r="996">
      <c r="A996" t="n">
        <v>102</v>
      </c>
      <c r="B996" t="inlineStr">
        <is>
          <t>310040.0</t>
        </is>
      </c>
      <c r="C996" t="inlineStr">
        <is>
          <t>Gas (vornehmlich industr. Anlagen)</t>
        </is>
      </c>
      <c r="D996" t="inlineStr">
        <is>
          <t>MATERIAL</t>
        </is>
      </c>
      <c r="E996" t="n">
        <v>1</v>
      </c>
      <c r="F996" t="inlineStr">
        <is>
          <t>4 Materialaufwand</t>
        </is>
      </c>
      <c r="G996" t="b">
        <v>1</v>
      </c>
      <c r="H996" t="b">
        <v>1</v>
      </c>
      <c r="I996" t="n">
        <v>310040</v>
      </c>
      <c r="J996" t="inlineStr">
        <is>
          <t>Material und Fremdleistungen</t>
        </is>
      </c>
      <c r="K996" t="n">
        <v>40</v>
      </c>
      <c r="L996" t="inlineStr">
        <is>
          <t>aufwand</t>
        </is>
      </c>
      <c r="M996" t="inlineStr">
        <is>
          <t>Materialaufwand / Fremdleistungen</t>
        </is>
      </c>
      <c r="N996" t="inlineStr">
        <is>
          <t>Vorleistungen</t>
        </is>
      </c>
      <c r="O996" t="inlineStr">
        <is>
          <t>Aufw. Heizmat.</t>
        </is>
      </c>
      <c r="P996" t="b">
        <v>1</v>
      </c>
      <c r="Q996" t="inlineStr">
        <is>
          <t>TVF-Kontenstamm</t>
        </is>
      </c>
      <c r="R996" t="b">
        <v>0</v>
      </c>
    </row>
    <row r="997">
      <c r="A997" t="n">
        <v>136</v>
      </c>
      <c r="B997" t="inlineStr">
        <is>
          <t>411020.0</t>
        </is>
      </c>
      <c r="C997" t="inlineStr">
        <is>
          <t>Sozialabgaben</t>
        </is>
      </c>
      <c r="D997" t="inlineStr">
        <is>
          <t>PERSONAL</t>
        </is>
      </c>
      <c r="E997" t="n">
        <v>2</v>
      </c>
      <c r="F997" t="inlineStr">
        <is>
          <t>6 Personalaufwand</t>
        </is>
      </c>
      <c r="G997" t="b">
        <v>0</v>
      </c>
      <c r="H997" t="b">
        <v>0</v>
      </c>
      <c r="I997" t="n">
        <v>411020</v>
      </c>
      <c r="J997" t="inlineStr">
        <is>
          <t>Personal</t>
        </is>
      </c>
      <c r="K997" t="n">
        <v>60</v>
      </c>
      <c r="L997" t="inlineStr">
        <is>
          <t>aufwand</t>
        </is>
      </c>
      <c r="M997" t="inlineStr">
        <is>
          <t>Personalaufwand</t>
        </is>
      </c>
      <c r="N997" t="inlineStr">
        <is>
          <t>Personalaufwand</t>
        </is>
      </c>
      <c r="O997" t="inlineStr">
        <is>
          <t>Soziale Abgaben</t>
        </is>
      </c>
      <c r="P997" t="b">
        <v>1</v>
      </c>
      <c r="Q997" t="inlineStr">
        <is>
          <t>TVF-Kontenstamm</t>
        </is>
      </c>
      <c r="R997" t="b">
        <v>0</v>
      </c>
    </row>
    <row r="998">
      <c r="A998" t="n">
        <v>137</v>
      </c>
      <c r="B998" t="inlineStr">
        <is>
          <t>411030.0</t>
        </is>
      </c>
      <c r="C998" t="inlineStr">
        <is>
          <t>Arbeitgeberzusch.VWL</t>
        </is>
      </c>
      <c r="D998" t="inlineStr">
        <is>
          <t>PERSONAL</t>
        </is>
      </c>
      <c r="E998" t="n">
        <v>2</v>
      </c>
      <c r="F998" t="inlineStr">
        <is>
          <t>6 Personalaufwand</t>
        </is>
      </c>
      <c r="G998" t="b">
        <v>0</v>
      </c>
      <c r="H998" t="b">
        <v>0</v>
      </c>
      <c r="I998" t="n">
        <v>411030</v>
      </c>
      <c r="J998" t="inlineStr">
        <is>
          <t>Personal</t>
        </is>
      </c>
      <c r="K998" t="n">
        <v>60</v>
      </c>
      <c r="L998" t="inlineStr">
        <is>
          <t>aufwand</t>
        </is>
      </c>
      <c r="M998" t="inlineStr">
        <is>
          <t>Personalaufwand</t>
        </is>
      </c>
      <c r="N998" t="inlineStr">
        <is>
          <t>Personalaufwand</t>
        </is>
      </c>
      <c r="O998" t="inlineStr">
        <is>
          <t>Lohn + Gehalt</t>
        </is>
      </c>
      <c r="P998" t="b">
        <v>1</v>
      </c>
      <c r="Q998" t="inlineStr">
        <is>
          <t>TVF-Kontenstamm</t>
        </is>
      </c>
      <c r="R998" t="b">
        <v>0</v>
      </c>
    </row>
    <row r="999">
      <c r="A999" t="n">
        <v>47</v>
      </c>
      <c r="B999" t="inlineStr">
        <is>
          <t>411070.0</t>
        </is>
      </c>
      <c r="C999" t="inlineStr">
        <is>
          <t>Personalwerbung</t>
        </is>
      </c>
      <c r="D999" t="inlineStr">
        <is>
          <t>PERSONAL</t>
        </is>
      </c>
      <c r="E999" t="n">
        <v>2</v>
      </c>
      <c r="F999" t="inlineStr">
        <is>
          <t>6 Personalaufwand</t>
        </is>
      </c>
      <c r="G999" t="b">
        <v>0</v>
      </c>
      <c r="H999" t="b">
        <v>0</v>
      </c>
      <c r="I999" t="n">
        <v>411070</v>
      </c>
      <c r="J999" t="inlineStr">
        <is>
          <t>Personal</t>
        </is>
      </c>
      <c r="K999" t="n">
        <v>60</v>
      </c>
      <c r="L999" t="inlineStr">
        <is>
          <t>aufwand</t>
        </is>
      </c>
      <c r="M999" t="inlineStr">
        <is>
          <t>Personalaufwand</t>
        </is>
      </c>
      <c r="N999" t="inlineStr">
        <is>
          <t>Personalaufwand</t>
        </is>
      </c>
      <c r="O999" t="inlineStr">
        <is>
          <t>sonst Personalk</t>
        </is>
      </c>
      <c r="P999" t="b">
        <v>1</v>
      </c>
      <c r="Q999" t="inlineStr">
        <is>
          <t>TVF-Kontenstamm</t>
        </is>
      </c>
      <c r="R999" t="b">
        <v>0</v>
      </c>
    </row>
    <row r="1000">
      <c r="A1000" t="n">
        <v>48</v>
      </c>
      <c r="B1000" t="inlineStr">
        <is>
          <t>411090.0</t>
        </is>
      </c>
      <c r="C1000" t="inlineStr">
        <is>
          <t>Schulung und Ausbildung</t>
        </is>
      </c>
      <c r="D1000" t="inlineStr">
        <is>
          <t>PERSONAL</t>
        </is>
      </c>
      <c r="E1000" t="n">
        <v>2</v>
      </c>
      <c r="F1000" t="inlineStr">
        <is>
          <t>6 Personalaufwand</t>
        </is>
      </c>
      <c r="G1000" t="b">
        <v>0</v>
      </c>
      <c r="H1000" t="b">
        <v>0</v>
      </c>
      <c r="I1000" t="n">
        <v>411090</v>
      </c>
      <c r="J1000" t="inlineStr">
        <is>
          <t>Personal</t>
        </is>
      </c>
      <c r="K1000" t="n">
        <v>60</v>
      </c>
      <c r="L1000" t="inlineStr">
        <is>
          <t>aufwand</t>
        </is>
      </c>
      <c r="M1000" t="inlineStr">
        <is>
          <t>Personalaufwand</t>
        </is>
      </c>
      <c r="N1000" t="inlineStr">
        <is>
          <t>Personalaufwand</t>
        </is>
      </c>
      <c r="O1000" t="inlineStr">
        <is>
          <t>sonst Personalk</t>
        </is>
      </c>
      <c r="P1000" t="b">
        <v>1</v>
      </c>
      <c r="Q1000" t="inlineStr">
        <is>
          <t>TVF-Kontenstamm</t>
        </is>
      </c>
      <c r="R1000" t="b">
        <v>0</v>
      </c>
    </row>
    <row r="1001">
      <c r="A1001" t="n">
        <v>12</v>
      </c>
      <c r="B1001" t="inlineStr">
        <is>
          <t>411100.0</t>
        </is>
      </c>
      <c r="C1001" t="inlineStr">
        <is>
          <t>Arbeitskleidung und Arbeitschutzbedarf</t>
        </is>
      </c>
      <c r="D1001" t="inlineStr">
        <is>
          <t>PERSONAL</t>
        </is>
      </c>
      <c r="E1001" t="n">
        <v>2</v>
      </c>
      <c r="F1001" t="inlineStr">
        <is>
          <t>6 Personalaufwand</t>
        </is>
      </c>
      <c r="G1001" t="b">
        <v>0</v>
      </c>
      <c r="H1001" t="b">
        <v>0</v>
      </c>
      <c r="I1001" t="n">
        <v>411100</v>
      </c>
      <c r="J1001" t="inlineStr">
        <is>
          <t>Personal</t>
        </is>
      </c>
      <c r="K1001" t="n">
        <v>60</v>
      </c>
      <c r="L1001" t="inlineStr">
        <is>
          <t>aufwand</t>
        </is>
      </c>
      <c r="M1001" t="inlineStr">
        <is>
          <t>Personalaufwand</t>
        </is>
      </c>
      <c r="N1001" t="inlineStr">
        <is>
          <t>Personalaufwand</t>
        </is>
      </c>
      <c r="O1001" t="inlineStr">
        <is>
          <t>sonst Personalk</t>
        </is>
      </c>
      <c r="P1001" t="b">
        <v>1</v>
      </c>
      <c r="Q1001" t="inlineStr">
        <is>
          <t>TVF-Kontenstamm</t>
        </is>
      </c>
      <c r="R1001" t="b">
        <v>0</v>
      </c>
    </row>
    <row r="1002">
      <c r="A1002" t="n">
        <v>21</v>
      </c>
      <c r="B1002" t="inlineStr">
        <is>
          <t>411900.0</t>
        </is>
      </c>
      <c r="C1002" t="inlineStr">
        <is>
          <t>Sonstige Personalkosten</t>
        </is>
      </c>
      <c r="D1002" t="inlineStr">
        <is>
          <t>PERSONAL</t>
        </is>
      </c>
      <c r="E1002" t="n">
        <v>2</v>
      </c>
      <c r="F1002" t="inlineStr">
        <is>
          <t>6 Personalaufwand</t>
        </is>
      </c>
      <c r="G1002" t="b">
        <v>0</v>
      </c>
      <c r="H1002" t="b">
        <v>0</v>
      </c>
      <c r="I1002" t="n">
        <v>411900</v>
      </c>
      <c r="J1002" t="inlineStr">
        <is>
          <t>Personal</t>
        </is>
      </c>
      <c r="K1002" t="n">
        <v>60</v>
      </c>
      <c r="L1002" t="inlineStr">
        <is>
          <t>aufwand</t>
        </is>
      </c>
      <c r="M1002" t="inlineStr">
        <is>
          <t>Personalaufwand</t>
        </is>
      </c>
      <c r="N1002" t="inlineStr">
        <is>
          <t>Personalaufwand</t>
        </is>
      </c>
      <c r="O1002" t="inlineStr">
        <is>
          <t>sonst Personalk</t>
        </is>
      </c>
      <c r="P1002" t="b">
        <v>1</v>
      </c>
      <c r="Q1002" t="inlineStr">
        <is>
          <t>TVF-Kontenstamm</t>
        </is>
      </c>
      <c r="R1002" t="b">
        <v>0</v>
      </c>
    </row>
    <row r="1003">
      <c r="A1003" t="n">
        <v>138</v>
      </c>
      <c r="B1003" t="inlineStr">
        <is>
          <t>411910.0</t>
        </is>
      </c>
      <c r="C1003" t="inlineStr">
        <is>
          <t>Lohnzuschüsse(Lohnüb</t>
        </is>
      </c>
      <c r="D1003" t="inlineStr">
        <is>
          <t>PERSONAL</t>
        </is>
      </c>
      <c r="E1003" t="n">
        <v>2</v>
      </c>
      <c r="F1003" t="inlineStr">
        <is>
          <t>6 Personalaufwand</t>
        </is>
      </c>
      <c r="G1003" t="b">
        <v>0</v>
      </c>
      <c r="H1003" t="b">
        <v>0</v>
      </c>
      <c r="I1003" t="n">
        <v>411910</v>
      </c>
      <c r="J1003" t="inlineStr">
        <is>
          <t>Personal</t>
        </is>
      </c>
      <c r="K1003" t="n">
        <v>60</v>
      </c>
      <c r="L1003" t="inlineStr">
        <is>
          <t>aufwand</t>
        </is>
      </c>
      <c r="M1003" t="inlineStr">
        <is>
          <t>Personalaufwand</t>
        </is>
      </c>
      <c r="N1003" t="inlineStr">
        <is>
          <t>Personalaufwand</t>
        </is>
      </c>
      <c r="O1003" t="inlineStr">
        <is>
          <t>Ueb Lohn-Gehalt</t>
        </is>
      </c>
      <c r="P1003" t="b">
        <v>1</v>
      </c>
      <c r="Q1003" t="inlineStr">
        <is>
          <t>TVF-Kontenstamm</t>
        </is>
      </c>
      <c r="R1003" t="b">
        <v>0</v>
      </c>
    </row>
    <row r="1004">
      <c r="A1004" t="n">
        <v>38</v>
      </c>
      <c r="B1004" t="inlineStr">
        <is>
          <t>420012.0</t>
        </is>
      </c>
      <c r="C1004" t="inlineStr">
        <is>
          <t>Sonstige Kosten Grundstücke und Gebäude</t>
        </is>
      </c>
      <c r="D1004" t="inlineStr">
        <is>
          <t>RAUM_ANLAGEN</t>
        </is>
      </c>
      <c r="E1004" t="n">
        <v>2</v>
      </c>
      <c r="F1004" t="inlineStr">
        <is>
          <t>8 Sonstige betriebliche Aufwendungen</t>
        </is>
      </c>
      <c r="G1004" t="b">
        <v>0</v>
      </c>
      <c r="H1004" t="b">
        <v>0</v>
      </c>
      <c r="I1004" t="n">
        <v>420012</v>
      </c>
      <c r="J1004" t="inlineStr">
        <is>
          <t>Raum, Energie, Instandhaltung</t>
        </is>
      </c>
      <c r="K1004" t="n">
        <v>80</v>
      </c>
      <c r="L1004" t="inlineStr">
        <is>
          <t>aufwand</t>
        </is>
      </c>
      <c r="M1004" t="inlineStr">
        <is>
          <t>Sonstige betriebliche Aufwendungen</t>
        </is>
      </c>
      <c r="N1004" t="inlineStr">
        <is>
          <t>Raumkosten</t>
        </is>
      </c>
      <c r="O1004" t="inlineStr">
        <is>
          <t>Raumkosten</t>
        </is>
      </c>
      <c r="P1004" t="b">
        <v>1</v>
      </c>
      <c r="Q1004" t="inlineStr">
        <is>
          <t>TVF-Kontenstamm</t>
        </is>
      </c>
      <c r="R1004" t="b">
        <v>0</v>
      </c>
    </row>
    <row r="1005">
      <c r="A1005" t="n">
        <v>103</v>
      </c>
      <c r="B1005" t="inlineStr">
        <is>
          <t>420021.0</t>
        </is>
      </c>
      <c r="C1005" t="inlineStr">
        <is>
          <t>Raumpflege eigene Gebäude</t>
        </is>
      </c>
      <c r="D1005" t="inlineStr">
        <is>
          <t>RAUM_ANLAGEN</t>
        </is>
      </c>
      <c r="E1005" t="n">
        <v>2</v>
      </c>
      <c r="F1005" t="inlineStr">
        <is>
          <t>8 Sonstige betriebliche Aufwendungen</t>
        </is>
      </c>
      <c r="G1005" t="b">
        <v>0</v>
      </c>
      <c r="H1005" t="b">
        <v>0</v>
      </c>
      <c r="I1005" t="n">
        <v>420021</v>
      </c>
      <c r="J1005" t="inlineStr">
        <is>
          <t>Raum, Energie, Instandhaltung</t>
        </is>
      </c>
      <c r="K1005" t="n">
        <v>80</v>
      </c>
      <c r="L1005" t="inlineStr">
        <is>
          <t>aufwand</t>
        </is>
      </c>
      <c r="M1005" t="inlineStr">
        <is>
          <t>Sonstige betriebliche Aufwendungen</t>
        </is>
      </c>
      <c r="N1005" t="inlineStr">
        <is>
          <t>Raumkosten</t>
        </is>
      </c>
      <c r="O1005" t="inlineStr">
        <is>
          <t>Raumkosten</t>
        </is>
      </c>
      <c r="P1005" t="b">
        <v>1</v>
      </c>
      <c r="Q1005" t="inlineStr">
        <is>
          <t>TVF-Kontenstamm</t>
        </is>
      </c>
      <c r="R1005" t="b">
        <v>0</v>
      </c>
    </row>
    <row r="1006">
      <c r="A1006" t="n">
        <v>49</v>
      </c>
      <c r="B1006" t="inlineStr">
        <is>
          <t>420022.0</t>
        </is>
      </c>
      <c r="C1006" t="inlineStr">
        <is>
          <t>Raumpflege fremde Gebäude</t>
        </is>
      </c>
      <c r="D1006" t="inlineStr">
        <is>
          <t>RAUM_ANLAGEN</t>
        </is>
      </c>
      <c r="E1006" t="n">
        <v>2</v>
      </c>
      <c r="F1006" t="inlineStr">
        <is>
          <t>8 Sonstige betriebliche Aufwendungen</t>
        </is>
      </c>
      <c r="G1006" t="b">
        <v>0</v>
      </c>
      <c r="H1006" t="b">
        <v>0</v>
      </c>
      <c r="I1006" t="n">
        <v>420022</v>
      </c>
      <c r="J1006" t="inlineStr">
        <is>
          <t>Raum, Energie, Instandhaltung</t>
        </is>
      </c>
      <c r="K1006" t="n">
        <v>80</v>
      </c>
      <c r="L1006" t="inlineStr">
        <is>
          <t>aufwand</t>
        </is>
      </c>
      <c r="M1006" t="inlineStr">
        <is>
          <t>Sonstige betriebliche Aufwendungen</t>
        </is>
      </c>
      <c r="N1006" t="inlineStr">
        <is>
          <t>Raumkosten</t>
        </is>
      </c>
      <c r="O1006" t="inlineStr">
        <is>
          <t>Raumkosten</t>
        </is>
      </c>
      <c r="P1006" t="b">
        <v>1</v>
      </c>
      <c r="Q1006" t="inlineStr">
        <is>
          <t>TVF-Kontenstamm</t>
        </is>
      </c>
      <c r="R1006" t="b">
        <v>0</v>
      </c>
    </row>
    <row r="1007">
      <c r="A1007" t="n">
        <v>65</v>
      </c>
      <c r="B1007" t="inlineStr">
        <is>
          <t>480100.0</t>
        </is>
      </c>
      <c r="C1007" t="inlineStr">
        <is>
          <t>Normalabschreibung auf Anlagen</t>
        </is>
      </c>
      <c r="D1007" t="inlineStr">
        <is>
          <t>ABSCHREIBUNG</t>
        </is>
      </c>
      <c r="E1007" t="n">
        <v>2</v>
      </c>
      <c r="F1007" t="inlineStr">
        <is>
          <t>7 Abschreibungen</t>
        </is>
      </c>
      <c r="G1007" t="b">
        <v>0</v>
      </c>
      <c r="H1007" t="b">
        <v>0</v>
      </c>
      <c r="I1007" t="n">
        <v>480100</v>
      </c>
      <c r="J1007" t="inlineStr">
        <is>
          <t>Abschreibungen</t>
        </is>
      </c>
      <c r="K1007" t="n">
        <v>70</v>
      </c>
      <c r="L1007" t="inlineStr">
        <is>
          <t>afa</t>
        </is>
      </c>
      <c r="M1007" t="inlineStr">
        <is>
          <t>Abschreibungen</t>
        </is>
      </c>
      <c r="O1007" t="inlineStr">
        <is>
          <t>planm. AfA AV</t>
        </is>
      </c>
      <c r="P1007" t="b">
        <v>0</v>
      </c>
      <c r="Q1007" t="inlineStr">
        <is>
          <t>TVF-Kontenstamm</t>
        </is>
      </c>
      <c r="R1007" t="b">
        <v>0</v>
      </c>
    </row>
    <row r="1008">
      <c r="A1008" t="n">
        <v>1</v>
      </c>
      <c r="B1008" t="inlineStr">
        <is>
          <t>201000.0</t>
        </is>
      </c>
      <c r="C1008" t="inlineStr">
        <is>
          <t>Sonstige periodenfremde Aufwendungen</t>
        </is>
      </c>
      <c r="D1008" t="inlineStr">
        <is>
          <t>NEUTRALER_AUFWAND</t>
        </is>
      </c>
      <c r="E1008" t="n">
        <v>9</v>
      </c>
      <c r="F1008" t="inlineStr">
        <is>
          <t>12 Periodenfremdes Ergebnis</t>
        </is>
      </c>
      <c r="G1008" t="b">
        <v>0</v>
      </c>
      <c r="H1008" t="b">
        <v>0</v>
      </c>
      <c r="I1008" t="n">
        <v>201000</v>
      </c>
      <c r="J1008" t="inlineStr">
        <is>
          <t>Sonstiges</t>
        </is>
      </c>
      <c r="K1008" t="n">
        <v>120</v>
      </c>
      <c r="L1008" t="inlineStr">
        <is>
          <t>neutral</t>
        </is>
      </c>
      <c r="M1008" t="inlineStr">
        <is>
          <t>Neutrales / periodenfremdes Ergebnis</t>
        </is>
      </c>
      <c r="O1008" t="inlineStr">
        <is>
          <t>periodenfr Aufw</t>
        </is>
      </c>
      <c r="P1008" t="b">
        <v>0</v>
      </c>
      <c r="Q1008" t="inlineStr">
        <is>
          <t>TVF-Kontenstamm</t>
        </is>
      </c>
      <c r="R1008" t="b">
        <v>0</v>
      </c>
    </row>
    <row r="1009">
      <c r="A1009" t="n">
        <v>78</v>
      </c>
      <c r="B1009" t="inlineStr">
        <is>
          <t>210000.0</t>
        </is>
      </c>
      <c r="C1009" t="inlineStr">
        <is>
          <t>Übrige Zinsen und ähnliche Aufwendungen</t>
        </is>
      </c>
      <c r="D1009" t="inlineStr">
        <is>
          <t>ZINSEN</t>
        </is>
      </c>
      <c r="E1009" t="n">
        <v>9</v>
      </c>
      <c r="F1009" t="inlineStr">
        <is>
          <t>10 Zinsergebnis</t>
        </is>
      </c>
      <c r="G1009" t="b">
        <v>0</v>
      </c>
      <c r="H1009" t="b">
        <v>0</v>
      </c>
      <c r="I1009" t="n">
        <v>210000</v>
      </c>
      <c r="J1009" t="inlineStr">
        <is>
          <t>Zinsergebnis</t>
        </is>
      </c>
      <c r="K1009" t="n">
        <v>100</v>
      </c>
      <c r="L1009" t="inlineStr">
        <is>
          <t>finanz</t>
        </is>
      </c>
      <c r="M1009" t="inlineStr">
        <is>
          <t>Zinsen und ähnliche Aufw./Ertr.</t>
        </is>
      </c>
      <c r="O1009" t="inlineStr">
        <is>
          <t>übrige Zinsaufw.</t>
        </is>
      </c>
      <c r="P1009" t="b">
        <v>0</v>
      </c>
      <c r="Q1009" t="inlineStr">
        <is>
          <t>TVF-Kontenstamm</t>
        </is>
      </c>
      <c r="R1009" t="b">
        <v>0</v>
      </c>
    </row>
    <row r="1010">
      <c r="A1010" t="n">
        <v>109</v>
      </c>
      <c r="B1010" t="inlineStr">
        <is>
          <t>210001.0</t>
        </is>
      </c>
      <c r="C1010" t="inlineStr">
        <is>
          <t>Zins+Nebenl.Steuerza</t>
        </is>
      </c>
      <c r="D1010" t="inlineStr">
        <is>
          <t>ZINSEN</t>
        </is>
      </c>
      <c r="E1010" t="n">
        <v>9</v>
      </c>
      <c r="F1010" t="inlineStr">
        <is>
          <t>10 Zinsergebnis</t>
        </is>
      </c>
      <c r="G1010" t="b">
        <v>0</v>
      </c>
      <c r="H1010" t="b">
        <v>0</v>
      </c>
      <c r="I1010" t="n">
        <v>210001</v>
      </c>
      <c r="J1010" t="inlineStr">
        <is>
          <t>Zinsergebnis</t>
        </is>
      </c>
      <c r="K1010" t="n">
        <v>100</v>
      </c>
      <c r="L1010" t="inlineStr">
        <is>
          <t>finanz</t>
        </is>
      </c>
      <c r="M1010" t="inlineStr">
        <is>
          <t>Zinsen und ähnliche Aufw./Ertr.</t>
        </is>
      </c>
      <c r="O1010" t="inlineStr">
        <is>
          <t>Zinsaufw Steuern</t>
        </is>
      </c>
      <c r="P1010" t="b">
        <v>0</v>
      </c>
      <c r="Q1010" t="inlineStr">
        <is>
          <t>TVF-Kontenstamm</t>
        </is>
      </c>
      <c r="R1010" t="b">
        <v>0</v>
      </c>
    </row>
    <row r="1011">
      <c r="A1011" t="n">
        <v>107</v>
      </c>
      <c r="B1011" t="inlineStr">
        <is>
          <t>210900.0</t>
        </is>
      </c>
      <c r="C1011" t="inlineStr">
        <is>
          <t>Zinsaufwendungen an verbundene Unternehm</t>
        </is>
      </c>
      <c r="D1011" t="inlineStr">
        <is>
          <t>ZINSEN</t>
        </is>
      </c>
      <c r="E1011" t="n">
        <v>9</v>
      </c>
      <c r="F1011" t="inlineStr">
        <is>
          <t>10 Zinsergebnis</t>
        </is>
      </c>
      <c r="G1011" t="b">
        <v>0</v>
      </c>
      <c r="H1011" t="b">
        <v>0</v>
      </c>
      <c r="I1011" t="n">
        <v>210900</v>
      </c>
      <c r="J1011" t="inlineStr">
        <is>
          <t>Zinsergebnis</t>
        </is>
      </c>
      <c r="K1011" t="n">
        <v>100</v>
      </c>
      <c r="L1011" t="inlineStr">
        <is>
          <t>finanz</t>
        </is>
      </c>
      <c r="M1011" t="inlineStr">
        <is>
          <t>Zinsen und ähnliche Aufw./Ertr.</t>
        </is>
      </c>
      <c r="O1011" t="inlineStr">
        <is>
          <t>Zinsaufw verbun</t>
        </is>
      </c>
      <c r="P1011" t="b">
        <v>0</v>
      </c>
      <c r="Q1011" t="inlineStr">
        <is>
          <t>TVF-Kontenstamm</t>
        </is>
      </c>
      <c r="R1011" t="b">
        <v>0</v>
      </c>
    </row>
    <row r="1012">
      <c r="A1012" t="n">
        <v>86</v>
      </c>
      <c r="B1012" t="inlineStr">
        <is>
          <t>213101.0</t>
        </is>
      </c>
      <c r="C1012" t="inlineStr">
        <is>
          <t>Zinsen Factoring</t>
        </is>
      </c>
      <c r="D1012" t="inlineStr">
        <is>
          <t>ZINSEN</t>
        </is>
      </c>
      <c r="E1012" t="n">
        <v>9</v>
      </c>
      <c r="F1012" t="inlineStr">
        <is>
          <t>10 Zinsergebnis</t>
        </is>
      </c>
      <c r="G1012" t="b">
        <v>0</v>
      </c>
      <c r="H1012" t="b">
        <v>0</v>
      </c>
      <c r="I1012" t="n">
        <v>213101</v>
      </c>
      <c r="J1012" t="inlineStr">
        <is>
          <t>Zinsergebnis</t>
        </is>
      </c>
      <c r="K1012" t="n">
        <v>100</v>
      </c>
      <c r="L1012" t="inlineStr">
        <is>
          <t>finanz</t>
        </is>
      </c>
      <c r="M1012" t="inlineStr">
        <is>
          <t>Zinsen und ähnliche Aufw./Ertr.</t>
        </is>
      </c>
      <c r="O1012" t="inlineStr">
        <is>
          <t>Zinsen Fact/ABS</t>
        </is>
      </c>
      <c r="P1012" t="b">
        <v>0</v>
      </c>
      <c r="Q1012" t="inlineStr">
        <is>
          <t>TVF-Kontenstamm</t>
        </is>
      </c>
      <c r="R1012" t="b">
        <v>0</v>
      </c>
    </row>
    <row r="1013">
      <c r="A1013" t="n">
        <v>26</v>
      </c>
      <c r="B1013" t="inlineStr">
        <is>
          <t>213200.0</t>
        </is>
      </c>
      <c r="C1013" t="inlineStr">
        <is>
          <t>Avalgebühren und -provisionen</t>
        </is>
      </c>
      <c r="D1013" t="inlineStr">
        <is>
          <t>ZINSEN</t>
        </is>
      </c>
      <c r="E1013" t="n">
        <v>9</v>
      </c>
      <c r="F1013" t="inlineStr">
        <is>
          <t>10 Zinsergebnis</t>
        </is>
      </c>
      <c r="G1013" t="b">
        <v>0</v>
      </c>
      <c r="H1013" t="b">
        <v>0</v>
      </c>
      <c r="I1013" t="n">
        <v>213200</v>
      </c>
      <c r="J1013" t="inlineStr">
        <is>
          <t>Zinsergebnis</t>
        </is>
      </c>
      <c r="K1013" t="n">
        <v>100</v>
      </c>
      <c r="L1013" t="inlineStr">
        <is>
          <t>finanz</t>
        </is>
      </c>
      <c r="M1013" t="inlineStr">
        <is>
          <t>Zinsen und ähnliche Aufw./Ertr.</t>
        </is>
      </c>
      <c r="O1013" t="inlineStr">
        <is>
          <t>Avalgebühren,-prov.</t>
        </is>
      </c>
      <c r="P1013" t="b">
        <v>0</v>
      </c>
      <c r="Q1013" t="inlineStr">
        <is>
          <t>TVF-Kontenstamm</t>
        </is>
      </c>
      <c r="R1013" t="b">
        <v>0</v>
      </c>
    </row>
    <row r="1014">
      <c r="A1014" t="n">
        <v>97</v>
      </c>
      <c r="B1014" t="inlineStr">
        <is>
          <t>220000.0</t>
        </is>
      </c>
      <c r="C1014" t="inlineStr">
        <is>
          <t>Körperschaftsteuer</t>
        </is>
      </c>
      <c r="D1014" t="inlineStr">
        <is>
          <t>STEUERN</t>
        </is>
      </c>
      <c r="E1014" t="n">
        <v>9</v>
      </c>
      <c r="F1014" t="inlineStr">
        <is>
          <t>11 Steuern vom Einkommen und Ertrag</t>
        </is>
      </c>
      <c r="G1014" t="b">
        <v>0</v>
      </c>
      <c r="H1014" t="b">
        <v>0</v>
      </c>
      <c r="I1014" t="n">
        <v>220000</v>
      </c>
      <c r="J1014" t="inlineStr">
        <is>
          <t>Sonstiges</t>
        </is>
      </c>
      <c r="K1014" t="n">
        <v>110</v>
      </c>
      <c r="L1014" t="inlineStr">
        <is>
          <t>steuern</t>
        </is>
      </c>
      <c r="M1014" t="inlineStr">
        <is>
          <t>Steuern vom Einkommen und Ertrag</t>
        </is>
      </c>
      <c r="O1014" t="inlineStr">
        <is>
          <t>Steuern E+E</t>
        </is>
      </c>
      <c r="P1014" t="b">
        <v>0</v>
      </c>
      <c r="Q1014" t="inlineStr">
        <is>
          <t>TVF-Kontenstamm</t>
        </is>
      </c>
      <c r="R1014" t="b">
        <v>0</v>
      </c>
    </row>
    <row r="1015">
      <c r="A1015" t="n">
        <v>15</v>
      </c>
      <c r="B1015" t="inlineStr">
        <is>
          <t>840040.0</t>
        </is>
      </c>
      <c r="C1015" t="inlineStr">
        <is>
          <t>Erlöse Verkauf HW Schrott</t>
        </is>
      </c>
      <c r="D1015" t="inlineStr">
        <is>
          <t>ERLOES</t>
        </is>
      </c>
      <c r="E1015" t="n">
        <v>0</v>
      </c>
      <c r="F1015" t="inlineStr">
        <is>
          <t>1 Umsatzerlöse</t>
        </is>
      </c>
      <c r="G1015" t="b">
        <v>0</v>
      </c>
      <c r="H1015" t="b">
        <v>0</v>
      </c>
      <c r="I1015" t="n">
        <v>840040</v>
      </c>
      <c r="J1015" t="inlineStr">
        <is>
          <t>Umsatzerlöse</t>
        </is>
      </c>
      <c r="K1015" t="n">
        <v>10</v>
      </c>
      <c r="L1015" t="inlineStr">
        <is>
          <t>ertrag</t>
        </is>
      </c>
      <c r="M1015" t="inlineStr">
        <is>
          <t>Umsatzerlöse</t>
        </is>
      </c>
      <c r="O1015" t="inlineStr">
        <is>
          <t>Erl. Waren Dt.</t>
        </is>
      </c>
      <c r="P1015" t="b">
        <v>1</v>
      </c>
      <c r="Q1015" t="inlineStr">
        <is>
          <t>TVF-Kontenstamm</t>
        </is>
      </c>
      <c r="R1015" t="b">
        <v>0</v>
      </c>
    </row>
    <row r="1016">
      <c r="A1016" t="n">
        <v>29</v>
      </c>
      <c r="B1016" t="inlineStr">
        <is>
          <t>400030.0</t>
        </is>
      </c>
      <c r="C1016" t="inlineStr">
        <is>
          <t>Instandhaltung selbstfahrende Arbeitsmas</t>
        </is>
      </c>
      <c r="D1016" t="inlineStr">
        <is>
          <t>FUHRPARK</t>
        </is>
      </c>
      <c r="E1016" t="n">
        <v>2</v>
      </c>
      <c r="F1016" t="inlineStr">
        <is>
          <t>8 Sonstige betriebliche Aufwendungen</t>
        </is>
      </c>
      <c r="G1016" t="b">
        <v>0</v>
      </c>
      <c r="H1016" t="b">
        <v>0</v>
      </c>
      <c r="I1016" t="n">
        <v>400030</v>
      </c>
      <c r="J1016" t="inlineStr">
        <is>
          <t>Fuhrpark</t>
        </is>
      </c>
      <c r="K1016" t="n">
        <v>80</v>
      </c>
      <c r="L1016" t="inlineStr">
        <is>
          <t>aufwand</t>
        </is>
      </c>
      <c r="M1016" t="inlineStr">
        <is>
          <t>Sonstige betriebliche Aufwendungen</t>
        </is>
      </c>
      <c r="N1016" t="inlineStr">
        <is>
          <t>Fuhrparkkosten</t>
        </is>
      </c>
      <c r="O1016" t="inlineStr">
        <is>
          <t>Instandh.Fuhrp</t>
        </is>
      </c>
      <c r="P1016" t="b">
        <v>1</v>
      </c>
      <c r="Q1016" t="inlineStr">
        <is>
          <t>TVF-Kontenstamm</t>
        </is>
      </c>
      <c r="R1016" t="b">
        <v>0</v>
      </c>
    </row>
    <row r="1017">
      <c r="A1017" t="n">
        <v>70</v>
      </c>
      <c r="B1017" t="inlineStr">
        <is>
          <t>400035.0</t>
        </is>
      </c>
      <c r="C1017" t="inlineStr">
        <is>
          <t>Instandhaltung Miet-und Leasingfahrzeuge</t>
        </is>
      </c>
      <c r="D1017" t="inlineStr">
        <is>
          <t>FUHRPARK</t>
        </is>
      </c>
      <c r="E1017" t="n">
        <v>2</v>
      </c>
      <c r="F1017" t="inlineStr">
        <is>
          <t>8 Sonstige betriebliche Aufwendungen</t>
        </is>
      </c>
      <c r="G1017" t="b">
        <v>0</v>
      </c>
      <c r="H1017" t="b">
        <v>0</v>
      </c>
      <c r="I1017" t="n">
        <v>400035</v>
      </c>
      <c r="J1017" t="inlineStr">
        <is>
          <t>Fuhrpark</t>
        </is>
      </c>
      <c r="K1017" t="n">
        <v>80</v>
      </c>
      <c r="L1017" t="inlineStr">
        <is>
          <t>aufwand</t>
        </is>
      </c>
      <c r="M1017" t="inlineStr">
        <is>
          <t>Sonstige betriebliche Aufwendungen</t>
        </is>
      </c>
      <c r="N1017" t="inlineStr">
        <is>
          <t>Fuhrparkkosten</t>
        </is>
      </c>
      <c r="O1017" t="inlineStr">
        <is>
          <t>Instandh.Fuhrp</t>
        </is>
      </c>
      <c r="P1017" t="b">
        <v>1</v>
      </c>
      <c r="Q1017" t="inlineStr">
        <is>
          <t>TVF-Kontenstamm</t>
        </is>
      </c>
      <c r="R1017" t="b">
        <v>0</v>
      </c>
    </row>
    <row r="1018">
      <c r="A1018" t="n">
        <v>170</v>
      </c>
      <c r="B1018" t="inlineStr">
        <is>
          <t>411040</t>
        </is>
      </c>
      <c r="C1018" t="inlineStr">
        <is>
          <t>Neu aus Import – Bezeichnung pflegen</t>
        </is>
      </c>
      <c r="D1018" t="inlineStr">
        <is>
          <t>PERSONAL</t>
        </is>
      </c>
      <c r="E1018" t="n">
        <v>2</v>
      </c>
      <c r="F1018" t="inlineStr">
        <is>
          <t>6 Personalaufwand</t>
        </is>
      </c>
      <c r="G1018" t="b">
        <v>0</v>
      </c>
      <c r="H1018" t="b">
        <v>0</v>
      </c>
      <c r="I1018" t="n">
        <v>411040</v>
      </c>
      <c r="J1018" t="inlineStr">
        <is>
          <t>Personal</t>
        </is>
      </c>
      <c r="K1018" t="n">
        <v>60</v>
      </c>
      <c r="L1018" t="inlineStr">
        <is>
          <t>aufwand</t>
        </is>
      </c>
      <c r="M1018" t="inlineStr">
        <is>
          <t>Personal</t>
        </is>
      </c>
      <c r="P1018" t="b">
        <v>1</v>
      </c>
      <c r="Q1018" t="inlineStr">
        <is>
          <t>aus Nummernkreis hergeleitet</t>
        </is>
      </c>
      <c r="R1018" t="b">
        <v>0</v>
      </c>
    </row>
    <row r="1019">
      <c r="A1019" t="n">
        <v>30</v>
      </c>
      <c r="B1019" t="inlineStr">
        <is>
          <t>310900.0</t>
        </is>
      </c>
      <c r="C1019" t="inlineStr">
        <is>
          <t>Sonstige Hilfs- und Betriebsstoffe</t>
        </is>
      </c>
      <c r="D1019" t="inlineStr">
        <is>
          <t>MATERIAL</t>
        </is>
      </c>
      <c r="E1019" t="n">
        <v>1</v>
      </c>
      <c r="F1019" t="inlineStr">
        <is>
          <t>4 Materialaufwand</t>
        </is>
      </c>
      <c r="G1019" t="b">
        <v>1</v>
      </c>
      <c r="H1019" t="b">
        <v>1</v>
      </c>
      <c r="I1019" t="n">
        <v>310900</v>
      </c>
      <c r="J1019" t="inlineStr">
        <is>
          <t>Material und Fremdleistungen</t>
        </is>
      </c>
      <c r="K1019" t="n">
        <v>40</v>
      </c>
      <c r="L1019" t="inlineStr">
        <is>
          <t>aufwand</t>
        </is>
      </c>
      <c r="M1019" t="inlineStr">
        <is>
          <t>Materialaufwand / Fremdleistungen</t>
        </is>
      </c>
      <c r="N1019" t="inlineStr">
        <is>
          <t>Vorleistungen</t>
        </is>
      </c>
      <c r="O1019" t="inlineStr">
        <is>
          <t>Aufw. so. Hilfs</t>
        </is>
      </c>
      <c r="P1019" t="b">
        <v>1</v>
      </c>
      <c r="Q1019" t="inlineStr">
        <is>
          <t>TVF-Kontenstamm</t>
        </is>
      </c>
      <c r="R1019" t="b">
        <v>0</v>
      </c>
    </row>
    <row r="1020">
      <c r="A1020" t="n">
        <v>8</v>
      </c>
      <c r="B1020" t="inlineStr">
        <is>
          <t>330900.0</t>
        </is>
      </c>
      <c r="C1020" t="inlineStr">
        <is>
          <t>Erhaltene Skonti</t>
        </is>
      </c>
      <c r="D1020" t="inlineStr">
        <is>
          <t>MATERIAL</t>
        </is>
      </c>
      <c r="E1020" t="n">
        <v>1</v>
      </c>
      <c r="F1020" t="inlineStr">
        <is>
          <t>4 Materialaufwand</t>
        </is>
      </c>
      <c r="G1020" t="b">
        <v>1</v>
      </c>
      <c r="H1020" t="b">
        <v>1</v>
      </c>
      <c r="I1020" t="n">
        <v>330900</v>
      </c>
      <c r="J1020" t="inlineStr">
        <is>
          <t>Material und Fremdleistungen</t>
        </is>
      </c>
      <c r="K1020" t="n">
        <v>40</v>
      </c>
      <c r="L1020" t="inlineStr">
        <is>
          <t>aufwand</t>
        </is>
      </c>
      <c r="M1020" t="inlineStr">
        <is>
          <t>Materialaufwand / Fremdleistungen</t>
        </is>
      </c>
      <c r="N1020" t="inlineStr">
        <is>
          <t>Vorleistungen</t>
        </is>
      </c>
      <c r="O1020" t="inlineStr">
        <is>
          <t>Aufw. so. Hilfs</t>
        </is>
      </c>
      <c r="P1020" t="b">
        <v>1</v>
      </c>
      <c r="Q1020" t="inlineStr">
        <is>
          <t>TVF-Kontenstamm</t>
        </is>
      </c>
      <c r="R1020" t="b">
        <v>0</v>
      </c>
    </row>
    <row r="1021">
      <c r="A1021" t="n">
        <v>44</v>
      </c>
      <c r="B1021" t="inlineStr">
        <is>
          <t>340030.0</t>
        </is>
      </c>
      <c r="C1021" t="inlineStr">
        <is>
          <t>Fremdleistungen Personal</t>
        </is>
      </c>
      <c r="D1021" t="inlineStr">
        <is>
          <t>FREMDLEISTUNG</t>
        </is>
      </c>
      <c r="E1021" t="n">
        <v>1</v>
      </c>
      <c r="F1021" t="inlineStr">
        <is>
          <t>5 Aufwand für bezogene Leistungen</t>
        </is>
      </c>
      <c r="G1021" t="b">
        <v>1</v>
      </c>
      <c r="H1021" t="b">
        <v>1</v>
      </c>
      <c r="I1021" t="n">
        <v>340030</v>
      </c>
      <c r="J1021" t="inlineStr">
        <is>
          <t>Material und Fremdleistungen</t>
        </is>
      </c>
      <c r="K1021" t="n">
        <v>50</v>
      </c>
      <c r="L1021" t="inlineStr">
        <is>
          <t>aufwand</t>
        </is>
      </c>
      <c r="M1021" t="inlineStr">
        <is>
          <t>Materialaufwand / Fremdleistungen</t>
        </is>
      </c>
      <c r="N1021" t="inlineStr">
        <is>
          <t>Vorleistungen</t>
        </is>
      </c>
      <c r="O1021" t="inlineStr">
        <is>
          <t>Fremdl. Persona</t>
        </is>
      </c>
      <c r="P1021" t="b">
        <v>1</v>
      </c>
      <c r="Q1021" t="inlineStr">
        <is>
          <t>TVF-Kontenstamm</t>
        </is>
      </c>
      <c r="R1021" t="b">
        <v>0</v>
      </c>
    </row>
    <row r="1022">
      <c r="A1022" t="n">
        <v>2</v>
      </c>
      <c r="B1022" t="inlineStr">
        <is>
          <t>340050.0</t>
        </is>
      </c>
      <c r="C1022" t="inlineStr">
        <is>
          <t>Fremdleistungen Wartung/Pflege</t>
        </is>
      </c>
      <c r="D1022" t="inlineStr">
        <is>
          <t>FREMDLEISTUNG</t>
        </is>
      </c>
      <c r="E1022" t="n">
        <v>1</v>
      </c>
      <c r="F1022" t="inlineStr">
        <is>
          <t>5 Aufwand für bezogene Leistungen</t>
        </is>
      </c>
      <c r="G1022" t="b">
        <v>1</v>
      </c>
      <c r="H1022" t="b">
        <v>1</v>
      </c>
      <c r="I1022" t="n">
        <v>340050</v>
      </c>
      <c r="J1022" t="inlineStr">
        <is>
          <t>Material und Fremdleistungen</t>
        </is>
      </c>
      <c r="K1022" t="n">
        <v>50</v>
      </c>
      <c r="L1022" t="inlineStr">
        <is>
          <t>aufwand</t>
        </is>
      </c>
      <c r="M1022" t="inlineStr">
        <is>
          <t>Materialaufwand / Fremdleistungen</t>
        </is>
      </c>
      <c r="N1022" t="inlineStr">
        <is>
          <t>Vorleistungen</t>
        </is>
      </c>
      <c r="O1022" t="inlineStr">
        <is>
          <t>Ueb. bezog.Leis</t>
        </is>
      </c>
      <c r="P1022" t="b">
        <v>1</v>
      </c>
      <c r="Q1022" t="inlineStr">
        <is>
          <t>TVF-Kontenstamm</t>
        </is>
      </c>
      <c r="R1022" t="b">
        <v>0</v>
      </c>
    </row>
    <row r="1023">
      <c r="A1023" t="n">
        <v>123</v>
      </c>
      <c r="B1023" t="inlineStr">
        <is>
          <t>340100.0</t>
        </is>
      </c>
      <c r="C1023" t="inlineStr">
        <is>
          <t>Fremdl.Fuhrl.+Kippgb</t>
        </is>
      </c>
      <c r="D1023" t="inlineStr">
        <is>
          <t>FREMDLEISTUNG</t>
        </is>
      </c>
      <c r="E1023" t="n">
        <v>1</v>
      </c>
      <c r="F1023" t="inlineStr">
        <is>
          <t>5 Aufwand für bezogene Leistungen</t>
        </is>
      </c>
      <c r="G1023" t="b">
        <v>1</v>
      </c>
      <c r="H1023" t="b">
        <v>1</v>
      </c>
      <c r="I1023" t="n">
        <v>340100</v>
      </c>
      <c r="J1023" t="inlineStr">
        <is>
          <t>Material und Fremdleistungen</t>
        </is>
      </c>
      <c r="K1023" t="n">
        <v>50</v>
      </c>
      <c r="L1023" t="inlineStr">
        <is>
          <t>aufwand</t>
        </is>
      </c>
      <c r="M1023" t="inlineStr">
        <is>
          <t>Materialaufwand / Fremdleistungen</t>
        </is>
      </c>
      <c r="N1023" t="inlineStr">
        <is>
          <t>Vorleistungen</t>
        </is>
      </c>
      <c r="O1023" t="inlineStr">
        <is>
          <t>Fremdl. Fuhrlei</t>
        </is>
      </c>
      <c r="P1023" t="b">
        <v>1</v>
      </c>
      <c r="Q1023" t="inlineStr">
        <is>
          <t>TVF-Kontenstamm</t>
        </is>
      </c>
      <c r="R1023" t="b">
        <v>0</v>
      </c>
    </row>
    <row r="1024">
      <c r="A1024" t="n">
        <v>124</v>
      </c>
      <c r="B1024" t="inlineStr">
        <is>
          <t>350500.0</t>
        </is>
      </c>
      <c r="C1024" t="inlineStr">
        <is>
          <t>Weiterb.Fremdkosten</t>
        </is>
      </c>
      <c r="D1024" t="inlineStr">
        <is>
          <t>FREMDLEISTUNG</t>
        </is>
      </c>
      <c r="E1024" t="n">
        <v>1</v>
      </c>
      <c r="F1024" t="inlineStr">
        <is>
          <t>5 Aufwand für bezogene Leistungen</t>
        </is>
      </c>
      <c r="G1024" t="b">
        <v>1</v>
      </c>
      <c r="H1024" t="b">
        <v>1</v>
      </c>
      <c r="I1024" t="n">
        <v>350500</v>
      </c>
      <c r="J1024" t="inlineStr">
        <is>
          <t>Material und Fremdleistungen</t>
        </is>
      </c>
      <c r="K1024" t="n">
        <v>50</v>
      </c>
      <c r="L1024" t="inlineStr">
        <is>
          <t>aufwand</t>
        </is>
      </c>
      <c r="M1024" t="inlineStr">
        <is>
          <t>Materialaufwand / Fremdleistungen</t>
        </is>
      </c>
      <c r="N1024" t="inlineStr">
        <is>
          <t>Vorleistungen</t>
        </is>
      </c>
      <c r="O1024" t="inlineStr">
        <is>
          <t>Weiterber. Frem</t>
        </is>
      </c>
      <c r="P1024" t="b">
        <v>1</v>
      </c>
      <c r="Q1024" t="inlineStr">
        <is>
          <t>TVF-Kontenstamm</t>
        </is>
      </c>
      <c r="R1024" t="b">
        <v>0</v>
      </c>
    </row>
    <row r="1025">
      <c r="A1025" t="n">
        <v>108</v>
      </c>
      <c r="B1025" t="inlineStr">
        <is>
          <t>400010.0</t>
        </is>
      </c>
      <c r="C1025" t="inlineStr">
        <is>
          <t>Instandhaltung Lastkraftwagen</t>
        </is>
      </c>
      <c r="D1025" t="inlineStr">
        <is>
          <t>FUHRPARK</t>
        </is>
      </c>
      <c r="E1025" t="n">
        <v>2</v>
      </c>
      <c r="F1025" t="inlineStr">
        <is>
          <t>8 Sonstige betriebliche Aufwendungen</t>
        </is>
      </c>
      <c r="G1025" t="b">
        <v>0</v>
      </c>
      <c r="H1025" t="b">
        <v>0</v>
      </c>
      <c r="I1025" t="n">
        <v>400010</v>
      </c>
      <c r="J1025" t="inlineStr">
        <is>
          <t>Fuhrpark</t>
        </is>
      </c>
      <c r="K1025" t="n">
        <v>80</v>
      </c>
      <c r="L1025" t="inlineStr">
        <is>
          <t>aufwand</t>
        </is>
      </c>
      <c r="M1025" t="inlineStr">
        <is>
          <t>Sonstige betriebliche Aufwendungen</t>
        </is>
      </c>
      <c r="N1025" t="inlineStr">
        <is>
          <t>Fuhrparkkosten</t>
        </is>
      </c>
      <c r="O1025" t="inlineStr">
        <is>
          <t>Instandh.Fuhrp</t>
        </is>
      </c>
      <c r="P1025" t="b">
        <v>1</v>
      </c>
      <c r="Q1025" t="inlineStr">
        <is>
          <t>TVF-Kontenstamm</t>
        </is>
      </c>
      <c r="R1025" t="b">
        <v>0</v>
      </c>
    </row>
    <row r="1026">
      <c r="A1026" t="n">
        <v>74</v>
      </c>
      <c r="B1026" t="inlineStr">
        <is>
          <t>400011.0</t>
        </is>
      </c>
      <c r="C1026" t="inlineStr">
        <is>
          <t>Reifenkosten</t>
        </is>
      </c>
      <c r="D1026" t="inlineStr">
        <is>
          <t>FUHRPARK</t>
        </is>
      </c>
      <c r="E1026" t="n">
        <v>2</v>
      </c>
      <c r="F1026" t="inlineStr">
        <is>
          <t>8 Sonstige betriebliche Aufwendungen</t>
        </is>
      </c>
      <c r="G1026" t="b">
        <v>0</v>
      </c>
      <c r="H1026" t="b">
        <v>0</v>
      </c>
      <c r="I1026" t="n">
        <v>400011</v>
      </c>
      <c r="J1026" t="inlineStr">
        <is>
          <t>Fuhrpark</t>
        </is>
      </c>
      <c r="K1026" t="n">
        <v>80</v>
      </c>
      <c r="L1026" t="inlineStr">
        <is>
          <t>aufwand</t>
        </is>
      </c>
      <c r="M1026" t="inlineStr">
        <is>
          <t>Sonstige betriebliche Aufwendungen</t>
        </is>
      </c>
      <c r="N1026" t="inlineStr">
        <is>
          <t>Fuhrparkkosten</t>
        </is>
      </c>
      <c r="O1026" t="inlineStr">
        <is>
          <t>Instandh.Fuhrp</t>
        </is>
      </c>
      <c r="P1026" t="b">
        <v>1</v>
      </c>
      <c r="Q1026" t="inlineStr">
        <is>
          <t>TVF-Kontenstamm</t>
        </is>
      </c>
      <c r="R1026" t="b">
        <v>0</v>
      </c>
    </row>
    <row r="1027">
      <c r="A1027" t="n">
        <v>75</v>
      </c>
      <c r="B1027" t="inlineStr">
        <is>
          <t>400020.0</t>
        </is>
      </c>
      <c r="C1027" t="inlineStr">
        <is>
          <t>Instandhaltung Personenkraftwagen</t>
        </is>
      </c>
      <c r="D1027" t="inlineStr">
        <is>
          <t>FUHRPARK</t>
        </is>
      </c>
      <c r="E1027" t="n">
        <v>2</v>
      </c>
      <c r="F1027" t="inlineStr">
        <is>
          <t>8 Sonstige betriebliche Aufwendungen</t>
        </is>
      </c>
      <c r="G1027" t="b">
        <v>0</v>
      </c>
      <c r="H1027" t="b">
        <v>0</v>
      </c>
      <c r="I1027" t="n">
        <v>400020</v>
      </c>
      <c r="J1027" t="inlineStr">
        <is>
          <t>Fuhrpark</t>
        </is>
      </c>
      <c r="K1027" t="n">
        <v>80</v>
      </c>
      <c r="L1027" t="inlineStr">
        <is>
          <t>aufwand</t>
        </is>
      </c>
      <c r="M1027" t="inlineStr">
        <is>
          <t>Sonstige betriebliche Aufwendungen</t>
        </is>
      </c>
      <c r="N1027" t="inlineStr">
        <is>
          <t>Fuhrparkkosten</t>
        </is>
      </c>
      <c r="O1027" t="inlineStr">
        <is>
          <t>Instandh.Fuhrp</t>
        </is>
      </c>
      <c r="P1027" t="b">
        <v>1</v>
      </c>
      <c r="Q1027" t="inlineStr">
        <is>
          <t>TVF-Kontenstamm</t>
        </is>
      </c>
      <c r="R1027" t="b">
        <v>0</v>
      </c>
    </row>
    <row r="1028">
      <c r="A1028" t="n">
        <v>71</v>
      </c>
      <c r="B1028" t="inlineStr">
        <is>
          <t>400040.0</t>
        </is>
      </c>
      <c r="C1028" t="inlineStr">
        <is>
          <t>DEKRA / TÜV / sonstige Gebühren Fuhrpark</t>
        </is>
      </c>
      <c r="D1028" t="inlineStr">
        <is>
          <t>FUHRPARK</t>
        </is>
      </c>
      <c r="E1028" t="n">
        <v>2</v>
      </c>
      <c r="F1028" t="inlineStr">
        <is>
          <t>8 Sonstige betriebliche Aufwendungen</t>
        </is>
      </c>
      <c r="G1028" t="b">
        <v>0</v>
      </c>
      <c r="H1028" t="b">
        <v>0</v>
      </c>
      <c r="I1028" t="n">
        <v>400040</v>
      </c>
      <c r="J1028" t="inlineStr">
        <is>
          <t>Fuhrpark</t>
        </is>
      </c>
      <c r="K1028" t="n">
        <v>80</v>
      </c>
      <c r="L1028" t="inlineStr">
        <is>
          <t>aufwand</t>
        </is>
      </c>
      <c r="M1028" t="inlineStr">
        <is>
          <t>Sonstige betriebliche Aufwendungen</t>
        </is>
      </c>
      <c r="N1028" t="inlineStr">
        <is>
          <t>Fuhrparkkosten</t>
        </is>
      </c>
      <c r="O1028" t="inlineStr">
        <is>
          <t>Instandh.Fuhrp</t>
        </is>
      </c>
      <c r="P1028" t="b">
        <v>1</v>
      </c>
      <c r="Q1028" t="inlineStr">
        <is>
          <t>TVF-Kontenstamm</t>
        </is>
      </c>
      <c r="R1028" t="b">
        <v>0</v>
      </c>
    </row>
    <row r="1029">
      <c r="A1029" t="n">
        <v>50</v>
      </c>
      <c r="B1029" t="inlineStr">
        <is>
          <t>420030.0</t>
        </is>
      </c>
      <c r="C1029" t="inlineStr">
        <is>
          <t>Aufwand Energie</t>
        </is>
      </c>
      <c r="D1029" t="inlineStr">
        <is>
          <t>RAUM_ANLAGEN</t>
        </is>
      </c>
      <c r="E1029" t="n">
        <v>2</v>
      </c>
      <c r="F1029" t="inlineStr">
        <is>
          <t>8 Sonstige betriebliche Aufwendungen</t>
        </is>
      </c>
      <c r="G1029" t="b">
        <v>0</v>
      </c>
      <c r="H1029" t="b">
        <v>0</v>
      </c>
      <c r="I1029" t="n">
        <v>420030</v>
      </c>
      <c r="J1029" t="inlineStr">
        <is>
          <t>Raum, Energie, Instandhaltung</t>
        </is>
      </c>
      <c r="K1029" t="n">
        <v>80</v>
      </c>
      <c r="L1029" t="inlineStr">
        <is>
          <t>aufwand</t>
        </is>
      </c>
      <c r="M1029" t="inlineStr">
        <is>
          <t>Sonstige betriebliche Aufwendungen</t>
        </is>
      </c>
      <c r="N1029" t="inlineStr">
        <is>
          <t>Raumkosten</t>
        </is>
      </c>
      <c r="O1029" t="inlineStr">
        <is>
          <t>Raumkosten</t>
        </is>
      </c>
      <c r="P1029" t="b">
        <v>1</v>
      </c>
      <c r="Q1029" t="inlineStr">
        <is>
          <t>TVF-Kontenstamm</t>
        </is>
      </c>
      <c r="R1029" t="b">
        <v>0</v>
      </c>
    </row>
    <row r="1030">
      <c r="A1030" t="n">
        <v>51</v>
      </c>
      <c r="B1030" t="inlineStr">
        <is>
          <t>420040.0</t>
        </is>
      </c>
      <c r="C1030" t="inlineStr">
        <is>
          <t>Aufwand Wasser</t>
        </is>
      </c>
      <c r="D1030" t="inlineStr">
        <is>
          <t>RAUM_ANLAGEN</t>
        </is>
      </c>
      <c r="E1030" t="n">
        <v>2</v>
      </c>
      <c r="F1030" t="inlineStr">
        <is>
          <t>8 Sonstige betriebliche Aufwendungen</t>
        </is>
      </c>
      <c r="G1030" t="b">
        <v>0</v>
      </c>
      <c r="H1030" t="b">
        <v>0</v>
      </c>
      <c r="I1030" t="n">
        <v>420040</v>
      </c>
      <c r="J1030" t="inlineStr">
        <is>
          <t>Raum, Energie, Instandhaltung</t>
        </is>
      </c>
      <c r="K1030" t="n">
        <v>80</v>
      </c>
      <c r="L1030" t="inlineStr">
        <is>
          <t>aufwand</t>
        </is>
      </c>
      <c r="M1030" t="inlineStr">
        <is>
          <t>Sonstige betriebliche Aufwendungen</t>
        </is>
      </c>
      <c r="N1030" t="inlineStr">
        <is>
          <t>Raumkosten</t>
        </is>
      </c>
      <c r="O1030" t="inlineStr">
        <is>
          <t>Raumkosten</t>
        </is>
      </c>
      <c r="P1030" t="b">
        <v>1</v>
      </c>
      <c r="Q1030" t="inlineStr">
        <is>
          <t>TVF-Kontenstamm</t>
        </is>
      </c>
      <c r="R1030" t="b">
        <v>0</v>
      </c>
    </row>
    <row r="1031">
      <c r="A1031" t="n">
        <v>105</v>
      </c>
      <c r="B1031" t="inlineStr">
        <is>
          <t>431090.0</t>
        </is>
      </c>
      <c r="C1031" t="inlineStr">
        <is>
          <t>Sonstige Mieten</t>
        </is>
      </c>
      <c r="D1031" t="inlineStr">
        <is>
          <t>VERSICHERUNG_MIETE</t>
        </is>
      </c>
      <c r="E1031" t="n">
        <v>2</v>
      </c>
      <c r="F1031" t="inlineStr">
        <is>
          <t>8 Sonstige betriebliche Aufwendungen</t>
        </is>
      </c>
      <c r="G1031" t="b">
        <v>0</v>
      </c>
      <c r="H1031" t="b">
        <v>0</v>
      </c>
      <c r="I1031" t="n">
        <v>431090</v>
      </c>
      <c r="J1031" t="inlineStr">
        <is>
          <t>Versicherungen, Mieten, Steuern</t>
        </is>
      </c>
      <c r="K1031" t="n">
        <v>80</v>
      </c>
      <c r="L1031" t="inlineStr">
        <is>
          <t>aufwand</t>
        </is>
      </c>
      <c r="M1031" t="inlineStr">
        <is>
          <t>Sonstige betriebliche Aufwendungen</t>
        </is>
      </c>
      <c r="N1031" t="inlineStr">
        <is>
          <t>Raumkosten</t>
        </is>
      </c>
      <c r="O1031" t="inlineStr">
        <is>
          <t>Miete Grdst/Gebäud</t>
        </is>
      </c>
      <c r="P1031" t="b">
        <v>1</v>
      </c>
      <c r="Q1031" t="inlineStr">
        <is>
          <t>TVF-Kontenstamm</t>
        </is>
      </c>
      <c r="R1031" t="b">
        <v>0</v>
      </c>
    </row>
    <row r="1032">
      <c r="A1032" t="n">
        <v>98</v>
      </c>
      <c r="B1032" t="inlineStr">
        <is>
          <t>221200.0</t>
        </is>
      </c>
      <c r="C1032" t="inlineStr">
        <is>
          <t>Solidaritätszuschlag</t>
        </is>
      </c>
      <c r="D1032" t="inlineStr">
        <is>
          <t>STEUERN</t>
        </is>
      </c>
      <c r="E1032" t="n">
        <v>9</v>
      </c>
      <c r="F1032" t="inlineStr">
        <is>
          <t>11 Steuern vom Einkommen und Ertrag</t>
        </is>
      </c>
      <c r="G1032" t="b">
        <v>0</v>
      </c>
      <c r="H1032" t="b">
        <v>0</v>
      </c>
      <c r="I1032" t="n">
        <v>221200</v>
      </c>
      <c r="J1032" t="inlineStr">
        <is>
          <t>Sonstiges</t>
        </is>
      </c>
      <c r="K1032" t="n">
        <v>110</v>
      </c>
      <c r="L1032" t="inlineStr">
        <is>
          <t>steuern</t>
        </is>
      </c>
      <c r="M1032" t="inlineStr">
        <is>
          <t>Steuern vom Einkommen und Ertrag</t>
        </is>
      </c>
      <c r="O1032" t="inlineStr">
        <is>
          <t>Steuern E+E</t>
        </is>
      </c>
      <c r="P1032" t="b">
        <v>0</v>
      </c>
      <c r="Q1032" t="inlineStr">
        <is>
          <t>TVF-Kontenstamm</t>
        </is>
      </c>
      <c r="R1032" t="b">
        <v>0</v>
      </c>
    </row>
    <row r="1033">
      <c r="A1033" t="n">
        <v>13</v>
      </c>
      <c r="B1033" t="inlineStr">
        <is>
          <t>420060.0</t>
        </is>
      </c>
      <c r="C1033" t="inlineStr">
        <is>
          <t>Aufwand eigene Entsorgung</t>
        </is>
      </c>
      <c r="D1033" t="inlineStr">
        <is>
          <t>RAUM_ANLAGEN</t>
        </is>
      </c>
      <c r="E1033" t="n">
        <v>1</v>
      </c>
      <c r="F1033" t="inlineStr">
        <is>
          <t>8 Sonstige betriebliche Aufwendungen</t>
        </is>
      </c>
      <c r="G1033" t="b">
        <v>1</v>
      </c>
      <c r="H1033" t="b">
        <v>1</v>
      </c>
      <c r="I1033" t="n">
        <v>420060</v>
      </c>
      <c r="J1033" t="inlineStr">
        <is>
          <t>Raum, Energie, Instandhaltung</t>
        </is>
      </c>
      <c r="K1033" t="n">
        <v>80</v>
      </c>
      <c r="L1033" t="inlineStr">
        <is>
          <t>aufwand</t>
        </is>
      </c>
      <c r="M1033" t="inlineStr">
        <is>
          <t>Sonstige betriebliche Aufwendungen</t>
        </is>
      </c>
      <c r="N1033" t="inlineStr">
        <is>
          <t>Raumkosten</t>
        </is>
      </c>
      <c r="O1033" t="inlineStr">
        <is>
          <t>Raumkosten</t>
        </is>
      </c>
      <c r="P1033" t="b">
        <v>1</v>
      </c>
      <c r="Q1033" t="inlineStr">
        <is>
          <t>TVF-Kontenstamm</t>
        </is>
      </c>
      <c r="R1033" t="b">
        <v>0</v>
      </c>
    </row>
    <row r="1034">
      <c r="A1034" t="n">
        <v>14</v>
      </c>
      <c r="B1034" t="inlineStr">
        <is>
          <t>420100.0</t>
        </is>
      </c>
      <c r="C1034" t="inlineStr">
        <is>
          <t>Instandhaltung Betriebsausstattung</t>
        </is>
      </c>
      <c r="D1034" t="inlineStr">
        <is>
          <t>RAUM_ANLAGEN</t>
        </is>
      </c>
      <c r="E1034" t="n">
        <v>2</v>
      </c>
      <c r="F1034" t="inlineStr">
        <is>
          <t>8 Sonstige betriebliche Aufwendungen</t>
        </is>
      </c>
      <c r="G1034" t="b">
        <v>0</v>
      </c>
      <c r="H1034" t="b">
        <v>0</v>
      </c>
      <c r="I1034" t="n">
        <v>420100</v>
      </c>
      <c r="J1034" t="inlineStr">
        <is>
          <t>Raum, Energie, Instandhaltung</t>
        </is>
      </c>
      <c r="K1034" t="n">
        <v>80</v>
      </c>
      <c r="L1034" t="inlineStr">
        <is>
          <t>aufwand</t>
        </is>
      </c>
      <c r="M1034" t="inlineStr">
        <is>
          <t>Sonstige betriebliche Aufwendungen</t>
        </is>
      </c>
      <c r="N1034" t="inlineStr">
        <is>
          <t>Instandh. Betriebsausstattung</t>
        </is>
      </c>
      <c r="O1034" t="inlineStr">
        <is>
          <t>Instandh. BGA</t>
        </is>
      </c>
      <c r="P1034" t="b">
        <v>1</v>
      </c>
      <c r="Q1034" t="inlineStr">
        <is>
          <t>TVF-Kontenstamm</t>
        </is>
      </c>
      <c r="R1034" t="b">
        <v>0</v>
      </c>
    </row>
    <row r="1035">
      <c r="A1035" t="n">
        <v>139</v>
      </c>
      <c r="B1035" t="inlineStr">
        <is>
          <t>420300.0</t>
        </is>
      </c>
      <c r="C1035" t="inlineStr">
        <is>
          <t>Instand.masch.Anlag.</t>
        </is>
      </c>
      <c r="D1035" t="inlineStr">
        <is>
          <t>RAUM_ANLAGEN</t>
        </is>
      </c>
      <c r="E1035" t="n">
        <v>2</v>
      </c>
      <c r="F1035" t="inlineStr">
        <is>
          <t>8 Sonstige betriebliche Aufwendungen</t>
        </is>
      </c>
      <c r="G1035" t="b">
        <v>0</v>
      </c>
      <c r="H1035" t="b">
        <v>0</v>
      </c>
      <c r="I1035" t="n">
        <v>420300</v>
      </c>
      <c r="J1035" t="inlineStr">
        <is>
          <t>Raum, Energie, Instandhaltung</t>
        </is>
      </c>
      <c r="K1035" t="n">
        <v>80</v>
      </c>
      <c r="L1035" t="inlineStr">
        <is>
          <t>aufwand</t>
        </is>
      </c>
      <c r="M1035" t="inlineStr">
        <is>
          <t>Sonstige betriebliche Aufwendungen</t>
        </is>
      </c>
      <c r="N1035" t="inlineStr">
        <is>
          <t>Instandh. Betriebsausstattung</t>
        </is>
      </c>
      <c r="O1035" t="inlineStr">
        <is>
          <t>Instandh. BGA</t>
        </is>
      </c>
      <c r="P1035" t="b">
        <v>1</v>
      </c>
      <c r="Q1035" t="inlineStr">
        <is>
          <t>TVF-Kontenstamm</t>
        </is>
      </c>
      <c r="R1035" t="b">
        <v>0</v>
      </c>
    </row>
    <row r="1036">
      <c r="A1036" t="n">
        <v>16</v>
      </c>
      <c r="B1036" t="inlineStr">
        <is>
          <t>420400.0</t>
        </is>
      </c>
      <c r="C1036" t="inlineStr">
        <is>
          <t>Instandhaltung Geschäftsausstattung</t>
        </is>
      </c>
      <c r="D1036" t="inlineStr">
        <is>
          <t>RAUM_ANLAGEN</t>
        </is>
      </c>
      <c r="E1036" t="n">
        <v>2</v>
      </c>
      <c r="F1036" t="inlineStr">
        <is>
          <t>8 Sonstige betriebliche Aufwendungen</t>
        </is>
      </c>
      <c r="G1036" t="b">
        <v>0</v>
      </c>
      <c r="H1036" t="b">
        <v>0</v>
      </c>
      <c r="I1036" t="n">
        <v>420400</v>
      </c>
      <c r="J1036" t="inlineStr">
        <is>
          <t>Raum, Energie, Instandhaltung</t>
        </is>
      </c>
      <c r="K1036" t="n">
        <v>80</v>
      </c>
      <c r="L1036" t="inlineStr">
        <is>
          <t>aufwand</t>
        </is>
      </c>
      <c r="M1036" t="inlineStr">
        <is>
          <t>Sonstige betriebliche Aufwendungen</t>
        </is>
      </c>
      <c r="N1036" t="inlineStr">
        <is>
          <t>Verwaltungskosten</t>
        </is>
      </c>
      <c r="O1036" t="inlineStr">
        <is>
          <t>Verwaltungskost</t>
        </is>
      </c>
      <c r="P1036" t="b">
        <v>1</v>
      </c>
      <c r="Q1036" t="inlineStr">
        <is>
          <t>TVF-Kontenstamm</t>
        </is>
      </c>
      <c r="R1036" t="b">
        <v>0</v>
      </c>
    </row>
    <row r="1037">
      <c r="A1037" t="n">
        <v>104</v>
      </c>
      <c r="B1037" t="inlineStr">
        <is>
          <t>420450.0</t>
        </is>
      </c>
      <c r="C1037" t="inlineStr">
        <is>
          <t>Instandh./Reparatur/Wartung Miet- u. Lea</t>
        </is>
      </c>
      <c r="D1037" t="inlineStr">
        <is>
          <t>RAUM_ANLAGEN</t>
        </is>
      </c>
      <c r="E1037" t="n">
        <v>2</v>
      </c>
      <c r="F1037" t="inlineStr">
        <is>
          <t>8 Sonstige betriebliche Aufwendungen</t>
        </is>
      </c>
      <c r="G1037" t="b">
        <v>0</v>
      </c>
      <c r="H1037" t="b">
        <v>0</v>
      </c>
      <c r="I1037" t="n">
        <v>420450</v>
      </c>
      <c r="J1037" t="inlineStr">
        <is>
          <t>Raum, Energie, Instandhaltung</t>
        </is>
      </c>
      <c r="K1037" t="n">
        <v>80</v>
      </c>
      <c r="L1037" t="inlineStr">
        <is>
          <t>aufwand</t>
        </is>
      </c>
      <c r="M1037" t="inlineStr">
        <is>
          <t>Sonstige betriebliche Aufwendungen</t>
        </is>
      </c>
      <c r="N1037" t="inlineStr">
        <is>
          <t>Instandh. Betriebsausstattung</t>
        </is>
      </c>
      <c r="O1037" t="inlineStr">
        <is>
          <t>Instandh. BGA</t>
        </is>
      </c>
      <c r="P1037" t="b">
        <v>1</v>
      </c>
      <c r="Q1037" t="inlineStr">
        <is>
          <t>TVF-Kontenstamm</t>
        </is>
      </c>
      <c r="R1037" t="b">
        <v>0</v>
      </c>
    </row>
    <row r="1038">
      <c r="A1038" t="n">
        <v>52</v>
      </c>
      <c r="B1038" t="inlineStr">
        <is>
          <t>420500.0</t>
        </is>
      </c>
      <c r="C1038" t="inlineStr">
        <is>
          <t>Instandhaltung Behälter</t>
        </is>
      </c>
      <c r="D1038" t="inlineStr">
        <is>
          <t>RAUM_ANLAGEN</t>
        </is>
      </c>
      <c r="E1038" t="n">
        <v>2</v>
      </c>
      <c r="F1038" t="inlineStr">
        <is>
          <t>8 Sonstige betriebliche Aufwendungen</t>
        </is>
      </c>
      <c r="G1038" t="b">
        <v>0</v>
      </c>
      <c r="H1038" t="b">
        <v>0</v>
      </c>
      <c r="I1038" t="n">
        <v>420500</v>
      </c>
      <c r="J1038" t="inlineStr">
        <is>
          <t>Raum, Energie, Instandhaltung</t>
        </is>
      </c>
      <c r="K1038" t="n">
        <v>80</v>
      </c>
      <c r="L1038" t="inlineStr">
        <is>
          <t>aufwand</t>
        </is>
      </c>
      <c r="M1038" t="inlineStr">
        <is>
          <t>Sonstige betriebliche Aufwendungen</t>
        </is>
      </c>
      <c r="N1038" t="inlineStr">
        <is>
          <t>Instandh. Betriebsausstattung</t>
        </is>
      </c>
      <c r="O1038" t="inlineStr">
        <is>
          <t>Behaelterkosten</t>
        </is>
      </c>
      <c r="P1038" t="b">
        <v>1</v>
      </c>
      <c r="Q1038" t="inlineStr">
        <is>
          <t>TVF-Kontenstamm</t>
        </is>
      </c>
      <c r="R1038" t="b">
        <v>0</v>
      </c>
    </row>
    <row r="1039">
      <c r="A1039" t="n">
        <v>100</v>
      </c>
      <c r="B1039" t="inlineStr">
        <is>
          <t>430020.0</t>
        </is>
      </c>
      <c r="C1039" t="inlineStr">
        <is>
          <t>Gewerbeertragsteuer</t>
        </is>
      </c>
      <c r="D1039" t="inlineStr">
        <is>
          <t>STEUERN</t>
        </is>
      </c>
      <c r="E1039" t="n">
        <v>9</v>
      </c>
      <c r="F1039" t="inlineStr">
        <is>
          <t>11 Steuern vom Einkommen und Ertrag</t>
        </is>
      </c>
      <c r="G1039" t="b">
        <v>0</v>
      </c>
      <c r="H1039" t="b">
        <v>0</v>
      </c>
      <c r="I1039" t="n">
        <v>430020</v>
      </c>
      <c r="J1039" t="inlineStr">
        <is>
          <t>Versicherungen, Mieten, Steuern</t>
        </is>
      </c>
      <c r="K1039" t="n">
        <v>110</v>
      </c>
      <c r="L1039" t="inlineStr">
        <is>
          <t>steuern</t>
        </is>
      </c>
      <c r="M1039" t="inlineStr">
        <is>
          <t>Steuern vom Einkommen und Ertrag</t>
        </is>
      </c>
      <c r="O1039" t="inlineStr">
        <is>
          <t>Steuern E+E</t>
        </is>
      </c>
      <c r="P1039" t="b">
        <v>0</v>
      </c>
      <c r="Q1039" t="inlineStr">
        <is>
          <t>TVF-Kontenstamm</t>
        </is>
      </c>
      <c r="R1039" t="b">
        <v>0</v>
      </c>
    </row>
    <row r="1040">
      <c r="A1040" t="n">
        <v>140</v>
      </c>
      <c r="B1040" t="inlineStr">
        <is>
          <t>430040.0</t>
        </is>
      </c>
      <c r="C1040" t="inlineStr">
        <is>
          <t>Sonstige Steuern</t>
        </is>
      </c>
      <c r="D1040" t="inlineStr">
        <is>
          <t>STEUERN</t>
        </is>
      </c>
      <c r="E1040" t="n">
        <v>9</v>
      </c>
      <c r="F1040" t="inlineStr">
        <is>
          <t>11 Steuern vom Einkommen und Ertrag</t>
        </is>
      </c>
      <c r="G1040" t="b">
        <v>0</v>
      </c>
      <c r="H1040" t="b">
        <v>0</v>
      </c>
      <c r="I1040" t="n">
        <v>430040</v>
      </c>
      <c r="J1040" t="inlineStr">
        <is>
          <t>Versicherungen, Mieten, Steuern</t>
        </is>
      </c>
      <c r="K1040" t="n">
        <v>110</v>
      </c>
      <c r="L1040" t="inlineStr">
        <is>
          <t>steuern</t>
        </is>
      </c>
      <c r="M1040" t="inlineStr">
        <is>
          <t>Steuern vom Einkommen und Ertrag</t>
        </is>
      </c>
      <c r="O1040" t="inlineStr">
        <is>
          <t>Sonstige Steuer</t>
        </is>
      </c>
      <c r="P1040" t="b">
        <v>0</v>
      </c>
      <c r="Q1040" t="inlineStr">
        <is>
          <t>TVF-Kontenstamm</t>
        </is>
      </c>
      <c r="R1040" t="b">
        <v>0</v>
      </c>
    </row>
    <row r="1041">
      <c r="A1041" t="n">
        <v>53</v>
      </c>
      <c r="B1041" t="inlineStr">
        <is>
          <t>430110.0</t>
        </is>
      </c>
      <c r="C1041" t="inlineStr">
        <is>
          <t>Aufwendungen für Versicherungsschäden</t>
        </is>
      </c>
      <c r="D1041" t="inlineStr">
        <is>
          <t>VERSICHERUNG_MIETE</t>
        </is>
      </c>
      <c r="E1041" t="n">
        <v>2</v>
      </c>
      <c r="F1041" t="inlineStr">
        <is>
          <t>8 Sonstige betriebliche Aufwendungen</t>
        </is>
      </c>
      <c r="G1041" t="b">
        <v>0</v>
      </c>
      <c r="H1041" t="b">
        <v>0</v>
      </c>
      <c r="I1041" t="n">
        <v>430110</v>
      </c>
      <c r="J1041" t="inlineStr">
        <is>
          <t>Versicherungen, Mieten, Steuern</t>
        </is>
      </c>
      <c r="K1041" t="n">
        <v>80</v>
      </c>
      <c r="L1041" t="inlineStr">
        <is>
          <t>aufwand</t>
        </is>
      </c>
      <c r="M1041" t="inlineStr">
        <is>
          <t>Sonstige betriebliche Aufwendungen</t>
        </is>
      </c>
      <c r="N1041" t="inlineStr">
        <is>
          <t>Verwaltungskosten</t>
        </is>
      </c>
      <c r="O1041" t="inlineStr">
        <is>
          <t>So. betr. Aufwa</t>
        </is>
      </c>
      <c r="P1041" t="b">
        <v>1</v>
      </c>
      <c r="Q1041" t="inlineStr">
        <is>
          <t>TVF-Kontenstamm</t>
        </is>
      </c>
      <c r="R1041" t="b">
        <v>0</v>
      </c>
    </row>
    <row r="1042">
      <c r="A1042" t="n">
        <v>11</v>
      </c>
      <c r="B1042" t="inlineStr">
        <is>
          <t>430120.0</t>
        </is>
      </c>
      <c r="C1042" t="inlineStr">
        <is>
          <t>Sonstige Versicherungen</t>
        </is>
      </c>
      <c r="D1042" t="inlineStr">
        <is>
          <t>VERSICHERUNG_MIETE</t>
        </is>
      </c>
      <c r="E1042" t="n">
        <v>2</v>
      </c>
      <c r="F1042" t="inlineStr">
        <is>
          <t>8 Sonstige betriebliche Aufwendungen</t>
        </is>
      </c>
      <c r="G1042" t="b">
        <v>0</v>
      </c>
      <c r="H1042" t="b">
        <v>0</v>
      </c>
      <c r="I1042" t="n">
        <v>430120</v>
      </c>
      <c r="J1042" t="inlineStr">
        <is>
          <t>Versicherungen, Mieten, Steuern</t>
        </is>
      </c>
      <c r="K1042" t="n">
        <v>80</v>
      </c>
      <c r="L1042" t="inlineStr">
        <is>
          <t>aufwand</t>
        </is>
      </c>
      <c r="M1042" t="inlineStr">
        <is>
          <t>Sonstige betriebliche Aufwendungen</t>
        </is>
      </c>
      <c r="N1042" t="inlineStr">
        <is>
          <t>Verwaltungskosten</t>
        </is>
      </c>
      <c r="O1042" t="inlineStr">
        <is>
          <t>Versicherungskosten</t>
        </is>
      </c>
      <c r="P1042" t="b">
        <v>1</v>
      </c>
      <c r="Q1042" t="inlineStr">
        <is>
          <t>TVF-Kontenstamm</t>
        </is>
      </c>
      <c r="R1042" t="b">
        <v>0</v>
      </c>
    </row>
    <row r="1043">
      <c r="A1043" t="n">
        <v>54</v>
      </c>
      <c r="B1043" t="inlineStr">
        <is>
          <t>431010.0</t>
        </is>
      </c>
      <c r="C1043" t="inlineStr">
        <is>
          <t>Mieten Räume</t>
        </is>
      </c>
      <c r="D1043" t="inlineStr">
        <is>
          <t>VERSICHERUNG_MIETE</t>
        </is>
      </c>
      <c r="E1043" t="n">
        <v>2</v>
      </c>
      <c r="F1043" t="inlineStr">
        <is>
          <t>8 Sonstige betriebliche Aufwendungen</t>
        </is>
      </c>
      <c r="G1043" t="b">
        <v>0</v>
      </c>
      <c r="H1043" t="b">
        <v>0</v>
      </c>
      <c r="I1043" t="n">
        <v>431010</v>
      </c>
      <c r="J1043" t="inlineStr">
        <is>
          <t>Versicherungen, Mieten, Steuern</t>
        </is>
      </c>
      <c r="K1043" t="n">
        <v>80</v>
      </c>
      <c r="L1043" t="inlineStr">
        <is>
          <t>aufwand</t>
        </is>
      </c>
      <c r="M1043" t="inlineStr">
        <is>
          <t>Sonstige betriebliche Aufwendungen</t>
        </is>
      </c>
      <c r="N1043" t="inlineStr">
        <is>
          <t>Raumkosten</t>
        </is>
      </c>
      <c r="O1043" t="inlineStr">
        <is>
          <t>Miete Grdst/Gebäud</t>
        </is>
      </c>
      <c r="P1043" t="b">
        <v>1</v>
      </c>
      <c r="Q1043" t="inlineStr">
        <is>
          <t>TVF-Kontenstamm</t>
        </is>
      </c>
      <c r="R1043" t="b">
        <v>0</v>
      </c>
    </row>
    <row r="1044">
      <c r="A1044" t="n">
        <v>19</v>
      </c>
      <c r="B1044" t="inlineStr">
        <is>
          <t>431020.0</t>
        </is>
      </c>
      <c r="C1044" t="inlineStr">
        <is>
          <t>Mieten Plätze</t>
        </is>
      </c>
      <c r="D1044" t="inlineStr">
        <is>
          <t>VERSICHERUNG_MIETE</t>
        </is>
      </c>
      <c r="E1044" t="n">
        <v>2</v>
      </c>
      <c r="F1044" t="inlineStr">
        <is>
          <t>8 Sonstige betriebliche Aufwendungen</t>
        </is>
      </c>
      <c r="G1044" t="b">
        <v>0</v>
      </c>
      <c r="H1044" t="b">
        <v>0</v>
      </c>
      <c r="I1044" t="n">
        <v>431020</v>
      </c>
      <c r="J1044" t="inlineStr">
        <is>
          <t>Versicherungen, Mieten, Steuern</t>
        </is>
      </c>
      <c r="K1044" t="n">
        <v>80</v>
      </c>
      <c r="L1044" t="inlineStr">
        <is>
          <t>aufwand</t>
        </is>
      </c>
      <c r="M1044" t="inlineStr">
        <is>
          <t>Sonstige betriebliche Aufwendungen</t>
        </is>
      </c>
      <c r="N1044" t="inlineStr">
        <is>
          <t>Raumkosten</t>
        </is>
      </c>
      <c r="O1044" t="inlineStr">
        <is>
          <t>Miete Grdst/Gebäud</t>
        </is>
      </c>
      <c r="P1044" t="b">
        <v>1</v>
      </c>
      <c r="Q1044" t="inlineStr">
        <is>
          <t>TVF-Kontenstamm</t>
        </is>
      </c>
      <c r="R1044" t="b">
        <v>0</v>
      </c>
    </row>
    <row r="1045">
      <c r="A1045" t="n">
        <v>23</v>
      </c>
      <c r="B1045" t="inlineStr">
        <is>
          <t>431041.0</t>
        </is>
      </c>
      <c r="C1045" t="inlineStr">
        <is>
          <t>Miete Behälter</t>
        </is>
      </c>
      <c r="D1045" t="inlineStr">
        <is>
          <t>VERSICHERUNG_MIETE</t>
        </is>
      </c>
      <c r="E1045" t="n">
        <v>2</v>
      </c>
      <c r="F1045" t="inlineStr">
        <is>
          <t>8 Sonstige betriebliche Aufwendungen</t>
        </is>
      </c>
      <c r="G1045" t="b">
        <v>0</v>
      </c>
      <c r="H1045" t="b">
        <v>0</v>
      </c>
      <c r="I1045" t="n">
        <v>431041</v>
      </c>
      <c r="J1045" t="inlineStr">
        <is>
          <t>Versicherungen, Mieten, Steuern</t>
        </is>
      </c>
      <c r="K1045" t="n">
        <v>80</v>
      </c>
      <c r="L1045" t="inlineStr">
        <is>
          <t>aufwand</t>
        </is>
      </c>
      <c r="M1045" t="inlineStr">
        <is>
          <t>Sonstige betriebliche Aufwendungen</t>
        </is>
      </c>
      <c r="N1045" t="inlineStr">
        <is>
          <t>Instandh. Betriebsausstattung</t>
        </is>
      </c>
      <c r="O1045" t="inlineStr">
        <is>
          <t>Miete Behälter</t>
        </is>
      </c>
      <c r="P1045" t="b">
        <v>1</v>
      </c>
      <c r="Q1045" t="inlineStr">
        <is>
          <t>TVF-Kontenstamm</t>
        </is>
      </c>
      <c r="R1045" t="b">
        <v>0</v>
      </c>
    </row>
    <row r="1046">
      <c r="A1046" t="n">
        <v>142</v>
      </c>
      <c r="B1046" t="inlineStr">
        <is>
          <t>450120.0</t>
        </is>
      </c>
      <c r="C1046" t="inlineStr">
        <is>
          <t>Spesen (ohne VSt.)</t>
        </is>
      </c>
      <c r="D1046" t="inlineStr">
        <is>
          <t>REISE_WERBUNG</t>
        </is>
      </c>
      <c r="E1046" t="n">
        <v>2</v>
      </c>
      <c r="F1046" t="inlineStr">
        <is>
          <t>8 Sonstige betriebliche Aufwendungen</t>
        </is>
      </c>
      <c r="G1046" t="b">
        <v>0</v>
      </c>
      <c r="H1046" t="b">
        <v>0</v>
      </c>
      <c r="I1046" t="n">
        <v>450120</v>
      </c>
      <c r="J1046" t="inlineStr">
        <is>
          <t>Transport, Reise, Werbung</t>
        </is>
      </c>
      <c r="K1046" t="n">
        <v>80</v>
      </c>
      <c r="L1046" t="inlineStr">
        <is>
          <t>aufwand</t>
        </is>
      </c>
      <c r="M1046" t="inlineStr">
        <is>
          <t>Sonstige betriebliche Aufwendungen</t>
        </is>
      </c>
      <c r="N1046" t="inlineStr">
        <is>
          <t>Vertriebskosten</t>
        </is>
      </c>
      <c r="O1046" t="inlineStr">
        <is>
          <t>Vertriebskosten</t>
        </is>
      </c>
      <c r="P1046" t="b">
        <v>1</v>
      </c>
      <c r="Q1046" t="inlineStr">
        <is>
          <t>TVF-Kontenstamm</t>
        </is>
      </c>
      <c r="R1046" t="b">
        <v>0</v>
      </c>
    </row>
    <row r="1047">
      <c r="A1047" t="n">
        <v>126</v>
      </c>
      <c r="B1047" t="inlineStr">
        <is>
          <t>400111.0</t>
        </is>
      </c>
      <c r="C1047" t="inlineStr">
        <is>
          <t>Anmietung LKW</t>
        </is>
      </c>
      <c r="D1047" t="inlineStr">
        <is>
          <t>FUHRPARK</t>
        </is>
      </c>
      <c r="E1047" t="n">
        <v>2</v>
      </c>
      <c r="F1047" t="inlineStr">
        <is>
          <t>8 Sonstige betriebliche Aufwendungen</t>
        </is>
      </c>
      <c r="G1047" t="b">
        <v>0</v>
      </c>
      <c r="H1047" t="b">
        <v>0</v>
      </c>
      <c r="I1047" t="n">
        <v>400111</v>
      </c>
      <c r="J1047" t="inlineStr">
        <is>
          <t>Fuhrpark</t>
        </is>
      </c>
      <c r="K1047" t="n">
        <v>80</v>
      </c>
      <c r="L1047" t="inlineStr">
        <is>
          <t>aufwand</t>
        </is>
      </c>
      <c r="M1047" t="inlineStr">
        <is>
          <t>Sonstige betriebliche Aufwendungen</t>
        </is>
      </c>
      <c r="N1047" t="inlineStr">
        <is>
          <t>Fuhrparkkosten</t>
        </is>
      </c>
      <c r="O1047" t="inlineStr">
        <is>
          <t>Miete LKW,Schiffe</t>
        </is>
      </c>
      <c r="P1047" t="b">
        <v>1</v>
      </c>
      <c r="Q1047" t="inlineStr">
        <is>
          <t>TVF-Kontenstamm</t>
        </is>
      </c>
      <c r="R1047" t="b">
        <v>0</v>
      </c>
    </row>
    <row r="1048">
      <c r="A1048" t="n">
        <v>127</v>
      </c>
      <c r="B1048" t="inlineStr">
        <is>
          <t>400112.0</t>
        </is>
      </c>
      <c r="C1048" t="inlineStr">
        <is>
          <t>Leasing LKW</t>
        </is>
      </c>
      <c r="D1048" t="inlineStr">
        <is>
          <t>FUHRPARK</t>
        </is>
      </c>
      <c r="E1048" t="n">
        <v>2</v>
      </c>
      <c r="F1048" t="inlineStr">
        <is>
          <t>8 Sonstige betriebliche Aufwendungen</t>
        </is>
      </c>
      <c r="G1048" t="b">
        <v>0</v>
      </c>
      <c r="H1048" t="b">
        <v>0</v>
      </c>
      <c r="I1048" t="n">
        <v>400112</v>
      </c>
      <c r="J1048" t="inlineStr">
        <is>
          <t>Fuhrpark</t>
        </is>
      </c>
      <c r="K1048" t="n">
        <v>80</v>
      </c>
      <c r="L1048" t="inlineStr">
        <is>
          <t>aufwand</t>
        </is>
      </c>
      <c r="M1048" t="inlineStr">
        <is>
          <t>Sonstige betriebliche Aufwendungen</t>
        </is>
      </c>
      <c r="N1048" t="inlineStr">
        <is>
          <t>Fuhrparkkosten</t>
        </is>
      </c>
      <c r="O1048" t="inlineStr">
        <is>
          <t>Leasing LKW</t>
        </is>
      </c>
      <c r="P1048" t="b">
        <v>1</v>
      </c>
      <c r="Q1048" t="inlineStr">
        <is>
          <t>TVF-Kontenstamm</t>
        </is>
      </c>
      <c r="R1048" t="b">
        <v>0</v>
      </c>
    </row>
    <row r="1049">
      <c r="A1049" t="n">
        <v>45</v>
      </c>
      <c r="B1049" t="inlineStr">
        <is>
          <t>400121.0</t>
        </is>
      </c>
      <c r="C1049" t="inlineStr">
        <is>
          <t>Anmietung PKW</t>
        </is>
      </c>
      <c r="D1049" t="inlineStr">
        <is>
          <t>FUHRPARK</t>
        </is>
      </c>
      <c r="E1049" t="n">
        <v>2</v>
      </c>
      <c r="F1049" t="inlineStr">
        <is>
          <t>8 Sonstige betriebliche Aufwendungen</t>
        </is>
      </c>
      <c r="G1049" t="b">
        <v>0</v>
      </c>
      <c r="H1049" t="b">
        <v>0</v>
      </c>
      <c r="I1049" t="n">
        <v>400121</v>
      </c>
      <c r="J1049" t="inlineStr">
        <is>
          <t>Fuhrpark</t>
        </is>
      </c>
      <c r="K1049" t="n">
        <v>80</v>
      </c>
      <c r="L1049" t="inlineStr">
        <is>
          <t>aufwand</t>
        </is>
      </c>
      <c r="M1049" t="inlineStr">
        <is>
          <t>Sonstige betriebliche Aufwendungen</t>
        </is>
      </c>
      <c r="N1049" t="inlineStr">
        <is>
          <t>Fuhrparkkosten</t>
        </is>
      </c>
      <c r="O1049" t="inlineStr">
        <is>
          <t>Miete PKW</t>
        </is>
      </c>
      <c r="P1049" t="b">
        <v>1</v>
      </c>
      <c r="Q1049" t="inlineStr">
        <is>
          <t>TVF-Kontenstamm</t>
        </is>
      </c>
      <c r="R1049" t="b">
        <v>0</v>
      </c>
    </row>
    <row r="1050">
      <c r="A1050" t="n">
        <v>77</v>
      </c>
      <c r="B1050" t="inlineStr">
        <is>
          <t>400122.0</t>
        </is>
      </c>
      <c r="C1050" t="inlineStr">
        <is>
          <t>Leasing PKW</t>
        </is>
      </c>
      <c r="D1050" t="inlineStr">
        <is>
          <t>FUHRPARK</t>
        </is>
      </c>
      <c r="E1050" t="n">
        <v>2</v>
      </c>
      <c r="F1050" t="inlineStr">
        <is>
          <t>8 Sonstige betriebliche Aufwendungen</t>
        </is>
      </c>
      <c r="G1050" t="b">
        <v>0</v>
      </c>
      <c r="H1050" t="b">
        <v>0</v>
      </c>
      <c r="I1050" t="n">
        <v>400122</v>
      </c>
      <c r="J1050" t="inlineStr">
        <is>
          <t>Fuhrpark</t>
        </is>
      </c>
      <c r="K1050" t="n">
        <v>80</v>
      </c>
      <c r="L1050" t="inlineStr">
        <is>
          <t>aufwand</t>
        </is>
      </c>
      <c r="M1050" t="inlineStr">
        <is>
          <t>Sonstige betriebliche Aufwendungen</t>
        </is>
      </c>
      <c r="N1050" t="inlineStr">
        <is>
          <t>Fuhrparkkosten</t>
        </is>
      </c>
      <c r="O1050" t="inlineStr">
        <is>
          <t>Leasing PKW</t>
        </is>
      </c>
      <c r="P1050" t="b">
        <v>1</v>
      </c>
      <c r="Q1050" t="inlineStr">
        <is>
          <t>TVF-Kontenstamm</t>
        </is>
      </c>
      <c r="R1050" t="b">
        <v>0</v>
      </c>
    </row>
    <row r="1051">
      <c r="A1051" t="n">
        <v>128</v>
      </c>
      <c r="B1051" t="inlineStr">
        <is>
          <t>400131.0</t>
        </is>
      </c>
      <c r="C1051" t="inlineStr">
        <is>
          <t>Anmietung selbstf. A</t>
        </is>
      </c>
      <c r="D1051" t="inlineStr">
        <is>
          <t>FUHRPARK</t>
        </is>
      </c>
      <c r="E1051" t="n">
        <v>2</v>
      </c>
      <c r="F1051" t="inlineStr">
        <is>
          <t>8 Sonstige betriebliche Aufwendungen</t>
        </is>
      </c>
      <c r="G1051" t="b">
        <v>0</v>
      </c>
      <c r="H1051" t="b">
        <v>0</v>
      </c>
      <c r="I1051" t="n">
        <v>400131</v>
      </c>
      <c r="J1051" t="inlineStr">
        <is>
          <t>Fuhrpark</t>
        </is>
      </c>
      <c r="K1051" t="n">
        <v>80</v>
      </c>
      <c r="L1051" t="inlineStr">
        <is>
          <t>aufwand</t>
        </is>
      </c>
      <c r="M1051" t="inlineStr">
        <is>
          <t>Sonstige betriebliche Aufwendungen</t>
        </is>
      </c>
      <c r="N1051" t="inlineStr">
        <is>
          <t>Fuhrparkkosten</t>
        </is>
      </c>
      <c r="O1051" t="inlineStr">
        <is>
          <t>Miete LKW,Schiffe</t>
        </is>
      </c>
      <c r="P1051" t="b">
        <v>1</v>
      </c>
      <c r="Q1051" t="inlineStr">
        <is>
          <t>TVF-Kontenstamm</t>
        </is>
      </c>
      <c r="R1051" t="b">
        <v>0</v>
      </c>
    </row>
    <row r="1052">
      <c r="A1052" t="n">
        <v>129</v>
      </c>
      <c r="B1052" t="inlineStr">
        <is>
          <t>400132.0</t>
        </is>
      </c>
      <c r="C1052" t="inlineStr">
        <is>
          <t>Leasing selbstf. Arb</t>
        </is>
      </c>
      <c r="D1052" t="inlineStr">
        <is>
          <t>FUHRPARK</t>
        </is>
      </c>
      <c r="E1052" t="n">
        <v>2</v>
      </c>
      <c r="F1052" t="inlineStr">
        <is>
          <t>8 Sonstige betriebliche Aufwendungen</t>
        </is>
      </c>
      <c r="G1052" t="b">
        <v>0</v>
      </c>
      <c r="H1052" t="b">
        <v>0</v>
      </c>
      <c r="I1052" t="n">
        <v>400132</v>
      </c>
      <c r="J1052" t="inlineStr">
        <is>
          <t>Fuhrpark</t>
        </is>
      </c>
      <c r="K1052" t="n">
        <v>80</v>
      </c>
      <c r="L1052" t="inlineStr">
        <is>
          <t>aufwand</t>
        </is>
      </c>
      <c r="M1052" t="inlineStr">
        <is>
          <t>Sonstige betriebliche Aufwendungen</t>
        </is>
      </c>
      <c r="N1052" t="inlineStr">
        <is>
          <t>Fuhrparkkosten</t>
        </is>
      </c>
      <c r="O1052" t="inlineStr">
        <is>
          <t>Leasing LKW</t>
        </is>
      </c>
      <c r="P1052" t="b">
        <v>1</v>
      </c>
      <c r="Q1052" t="inlineStr">
        <is>
          <t>TVF-Kontenstamm</t>
        </is>
      </c>
      <c r="R1052" t="b">
        <v>0</v>
      </c>
    </row>
    <row r="1053">
      <c r="A1053" t="n">
        <v>9</v>
      </c>
      <c r="B1053" t="inlineStr">
        <is>
          <t>401000.0</t>
        </is>
      </c>
      <c r="C1053" t="inlineStr">
        <is>
          <t>Aufwand Diesel</t>
        </is>
      </c>
      <c r="D1053" t="inlineStr">
        <is>
          <t>FUHRPARK</t>
        </is>
      </c>
      <c r="E1053" t="n">
        <v>1</v>
      </c>
      <c r="F1053" t="inlineStr">
        <is>
          <t>8 Sonstige betriebliche Aufwendungen</t>
        </is>
      </c>
      <c r="G1053" t="b">
        <v>1</v>
      </c>
      <c r="H1053" t="b">
        <v>1</v>
      </c>
      <c r="I1053" t="n">
        <v>401000</v>
      </c>
      <c r="J1053" t="inlineStr">
        <is>
          <t>Fuhrpark</t>
        </is>
      </c>
      <c r="K1053" t="n">
        <v>80</v>
      </c>
      <c r="L1053" t="inlineStr">
        <is>
          <t>aufwand</t>
        </is>
      </c>
      <c r="M1053" t="inlineStr">
        <is>
          <t>Sonstige betriebliche Aufwendungen</t>
        </is>
      </c>
      <c r="N1053" t="inlineStr">
        <is>
          <t>Fuhrparkkosten</t>
        </is>
      </c>
      <c r="O1053" t="inlineStr">
        <is>
          <t>Treibstoffe, Oe</t>
        </is>
      </c>
      <c r="P1053" t="b">
        <v>1</v>
      </c>
      <c r="Q1053" t="inlineStr">
        <is>
          <t>TVF-Kontenstamm</t>
        </is>
      </c>
      <c r="R1053" t="b">
        <v>0</v>
      </c>
    </row>
    <row r="1054">
      <c r="A1054" t="n">
        <v>46</v>
      </c>
      <c r="B1054" t="inlineStr">
        <is>
          <t>401010.0</t>
        </is>
      </c>
      <c r="C1054" t="inlineStr">
        <is>
          <t>Benzin/Super</t>
        </is>
      </c>
      <c r="D1054" t="inlineStr">
        <is>
          <t>FUHRPARK</t>
        </is>
      </c>
      <c r="E1054" t="n">
        <v>2</v>
      </c>
      <c r="F1054" t="inlineStr">
        <is>
          <t>8 Sonstige betriebliche Aufwendungen</t>
        </is>
      </c>
      <c r="G1054" t="b">
        <v>0</v>
      </c>
      <c r="H1054" t="b">
        <v>0</v>
      </c>
      <c r="I1054" t="n">
        <v>401010</v>
      </c>
      <c r="J1054" t="inlineStr">
        <is>
          <t>Fuhrpark</t>
        </is>
      </c>
      <c r="K1054" t="n">
        <v>80</v>
      </c>
      <c r="L1054" t="inlineStr">
        <is>
          <t>aufwand</t>
        </is>
      </c>
      <c r="M1054" t="inlineStr">
        <is>
          <t>Sonstige betriebliche Aufwendungen</t>
        </is>
      </c>
      <c r="N1054" t="inlineStr">
        <is>
          <t>Fuhrparkkosten</t>
        </is>
      </c>
      <c r="O1054" t="inlineStr">
        <is>
          <t>Treibstoffe, Oe</t>
        </is>
      </c>
      <c r="P1054" t="b">
        <v>1</v>
      </c>
      <c r="Q1054" t="inlineStr">
        <is>
          <t>TVF-Kontenstamm</t>
        </is>
      </c>
      <c r="R1054" t="b">
        <v>0</v>
      </c>
    </row>
    <row r="1055">
      <c r="A1055" t="n">
        <v>101</v>
      </c>
      <c r="B1055" t="inlineStr">
        <is>
          <t>401015.0</t>
        </is>
      </c>
      <c r="C1055" t="inlineStr">
        <is>
          <t>Alternative Antriebe (u.a. Strom, Wasser</t>
        </is>
      </c>
      <c r="D1055" t="inlineStr">
        <is>
          <t>FUHRPARK</t>
        </is>
      </c>
      <c r="E1055" t="n">
        <v>2</v>
      </c>
      <c r="F1055" t="inlineStr">
        <is>
          <t>8 Sonstige betriebliche Aufwendungen</t>
        </is>
      </c>
      <c r="G1055" t="b">
        <v>0</v>
      </c>
      <c r="H1055" t="b">
        <v>0</v>
      </c>
      <c r="I1055" t="n">
        <v>401015</v>
      </c>
      <c r="J1055" t="inlineStr">
        <is>
          <t>Fuhrpark</t>
        </is>
      </c>
      <c r="K1055" t="n">
        <v>80</v>
      </c>
      <c r="L1055" t="inlineStr">
        <is>
          <t>aufwand</t>
        </is>
      </c>
      <c r="M1055" t="inlineStr">
        <is>
          <t>Sonstige betriebliche Aufwendungen</t>
        </is>
      </c>
      <c r="N1055" t="inlineStr">
        <is>
          <t>Fuhrparkkosten</t>
        </is>
      </c>
      <c r="O1055" t="inlineStr">
        <is>
          <t>Treibstoffe, Oe</t>
        </is>
      </c>
      <c r="P1055" t="b">
        <v>1</v>
      </c>
      <c r="Q1055" t="inlineStr">
        <is>
          <t>TVF-Kontenstamm</t>
        </is>
      </c>
      <c r="R1055" t="b">
        <v>0</v>
      </c>
    </row>
    <row r="1056">
      <c r="A1056" t="n">
        <v>83</v>
      </c>
      <c r="B1056" t="inlineStr">
        <is>
          <t>401020.0</t>
        </is>
      </c>
      <c r="C1056" t="inlineStr">
        <is>
          <t>Öle und Fette</t>
        </is>
      </c>
      <c r="D1056" t="inlineStr">
        <is>
          <t>FUHRPARK</t>
        </is>
      </c>
      <c r="E1056" t="n">
        <v>2</v>
      </c>
      <c r="F1056" t="inlineStr">
        <is>
          <t>8 Sonstige betriebliche Aufwendungen</t>
        </is>
      </c>
      <c r="G1056" t="b">
        <v>0</v>
      </c>
      <c r="H1056" t="b">
        <v>0</v>
      </c>
      <c r="I1056" t="n">
        <v>401020</v>
      </c>
      <c r="J1056" t="inlineStr">
        <is>
          <t>Fuhrpark</t>
        </is>
      </c>
      <c r="K1056" t="n">
        <v>80</v>
      </c>
      <c r="L1056" t="inlineStr">
        <is>
          <t>aufwand</t>
        </is>
      </c>
      <c r="M1056" t="inlineStr">
        <is>
          <t>Sonstige betriebliche Aufwendungen</t>
        </is>
      </c>
      <c r="N1056" t="inlineStr">
        <is>
          <t>Fuhrparkkosten</t>
        </is>
      </c>
      <c r="O1056" t="inlineStr">
        <is>
          <t>Treibstoffe, Oe</t>
        </is>
      </c>
      <c r="P1056" t="b">
        <v>1</v>
      </c>
      <c r="Q1056" t="inlineStr">
        <is>
          <t>TVF-Kontenstamm</t>
        </is>
      </c>
      <c r="R1056" t="b">
        <v>0</v>
      </c>
    </row>
    <row r="1057">
      <c r="A1057" t="n">
        <v>76</v>
      </c>
      <c r="B1057" t="inlineStr">
        <is>
          <t>401040.0</t>
        </is>
      </c>
      <c r="C1057" t="inlineStr">
        <is>
          <t>Kfz-Versicherungen</t>
        </is>
      </c>
      <c r="D1057" t="inlineStr">
        <is>
          <t>FUHRPARK</t>
        </is>
      </c>
      <c r="E1057" t="n">
        <v>2</v>
      </c>
      <c r="F1057" t="inlineStr">
        <is>
          <t>8 Sonstige betriebliche Aufwendungen</t>
        </is>
      </c>
      <c r="G1057" t="b">
        <v>0</v>
      </c>
      <c r="H1057" t="b">
        <v>0</v>
      </c>
      <c r="I1057" t="n">
        <v>401040</v>
      </c>
      <c r="J1057" t="inlineStr">
        <is>
          <t>Fuhrpark</t>
        </is>
      </c>
      <c r="K1057" t="n">
        <v>80</v>
      </c>
      <c r="L1057" t="inlineStr">
        <is>
          <t>aufwand</t>
        </is>
      </c>
      <c r="M1057" t="inlineStr">
        <is>
          <t>Sonstige betriebliche Aufwendungen</t>
        </is>
      </c>
      <c r="N1057" t="inlineStr">
        <is>
          <t>Fuhrparkkosten</t>
        </is>
      </c>
      <c r="O1057" t="inlineStr">
        <is>
          <t>Sonst Fuhrparkkosten</t>
        </is>
      </c>
      <c r="P1057" t="b">
        <v>1</v>
      </c>
      <c r="Q1057" t="inlineStr">
        <is>
          <t>TVF-Kontenstamm</t>
        </is>
      </c>
      <c r="R1057" t="b">
        <v>0</v>
      </c>
    </row>
    <row r="1058">
      <c r="A1058" t="n">
        <v>33</v>
      </c>
      <c r="B1058" t="inlineStr">
        <is>
          <t>401050.0</t>
        </is>
      </c>
      <c r="C1058" t="inlineStr">
        <is>
          <t>Autobahngebühren LKW</t>
        </is>
      </c>
      <c r="D1058" t="inlineStr">
        <is>
          <t>FUHRPARK</t>
        </is>
      </c>
      <c r="E1058" t="n">
        <v>2</v>
      </c>
      <c r="F1058" t="inlineStr">
        <is>
          <t>8 Sonstige betriebliche Aufwendungen</t>
        </is>
      </c>
      <c r="G1058" t="b">
        <v>0</v>
      </c>
      <c r="H1058" t="b">
        <v>0</v>
      </c>
      <c r="I1058" t="n">
        <v>401050</v>
      </c>
      <c r="J1058" t="inlineStr">
        <is>
          <t>Fuhrpark</t>
        </is>
      </c>
      <c r="K1058" t="n">
        <v>80</v>
      </c>
      <c r="L1058" t="inlineStr">
        <is>
          <t>aufwand</t>
        </is>
      </c>
      <c r="M1058" t="inlineStr">
        <is>
          <t>Sonstige betriebliche Aufwendungen</t>
        </is>
      </c>
      <c r="N1058" t="inlineStr">
        <is>
          <t>Fuhrparkkosten</t>
        </is>
      </c>
      <c r="O1058" t="inlineStr">
        <is>
          <t>Sonst Fuhrparkkosten</t>
        </is>
      </c>
      <c r="P1058" t="b">
        <v>1</v>
      </c>
      <c r="Q1058" t="inlineStr">
        <is>
          <t>TVF-Kontenstamm</t>
        </is>
      </c>
      <c r="R1058" t="b">
        <v>0</v>
      </c>
    </row>
    <row r="1059">
      <c r="A1059" t="n">
        <v>130</v>
      </c>
      <c r="B1059" t="inlineStr">
        <is>
          <t>410000.0</t>
        </is>
      </c>
      <c r="C1059" t="inlineStr">
        <is>
          <t>Löhne</t>
        </is>
      </c>
      <c r="D1059" t="inlineStr">
        <is>
          <t>PERSONAL</t>
        </is>
      </c>
      <c r="E1059" t="n">
        <v>2</v>
      </c>
      <c r="F1059" t="inlineStr">
        <is>
          <t>6 Personalaufwand</t>
        </is>
      </c>
      <c r="G1059" t="b">
        <v>0</v>
      </c>
      <c r="H1059" t="b">
        <v>0</v>
      </c>
      <c r="I1059" t="n">
        <v>410000</v>
      </c>
      <c r="J1059" t="inlineStr">
        <is>
          <t>Personal</t>
        </is>
      </c>
      <c r="K1059" t="n">
        <v>60</v>
      </c>
      <c r="L1059" t="inlineStr">
        <is>
          <t>aufwand</t>
        </is>
      </c>
      <c r="M1059" t="inlineStr">
        <is>
          <t>Personalaufwand</t>
        </is>
      </c>
      <c r="N1059" t="inlineStr">
        <is>
          <t>Personalaufwand</t>
        </is>
      </c>
      <c r="O1059" t="inlineStr">
        <is>
          <t>Lohn + Gehalt</t>
        </is>
      </c>
      <c r="P1059" t="b">
        <v>1</v>
      </c>
      <c r="Q1059" t="inlineStr">
        <is>
          <t>TVF-Kontenstamm</t>
        </is>
      </c>
      <c r="R1059" t="b">
        <v>0</v>
      </c>
    </row>
    <row r="1060">
      <c r="A1060" t="n">
        <v>131</v>
      </c>
      <c r="B1060" t="inlineStr">
        <is>
          <t>410030.0</t>
        </is>
      </c>
      <c r="C1060" t="inlineStr">
        <is>
          <t>Sonderzahl./Prämien</t>
        </is>
      </c>
      <c r="D1060" t="inlineStr">
        <is>
          <t>PERSONAL</t>
        </is>
      </c>
      <c r="E1060" t="n">
        <v>2</v>
      </c>
      <c r="F1060" t="inlineStr">
        <is>
          <t>6 Personalaufwand</t>
        </is>
      </c>
      <c r="G1060" t="b">
        <v>0</v>
      </c>
      <c r="H1060" t="b">
        <v>0</v>
      </c>
      <c r="I1060" t="n">
        <v>410030</v>
      </c>
      <c r="J1060" t="inlineStr">
        <is>
          <t>Personal</t>
        </is>
      </c>
      <c r="K1060" t="n">
        <v>60</v>
      </c>
      <c r="L1060" t="inlineStr">
        <is>
          <t>aufwand</t>
        </is>
      </c>
      <c r="M1060" t="inlineStr">
        <is>
          <t>Personalaufwand</t>
        </is>
      </c>
      <c r="N1060" t="inlineStr">
        <is>
          <t>Personalaufwand</t>
        </is>
      </c>
      <c r="O1060" t="inlineStr">
        <is>
          <t>Sonderz. Prämie</t>
        </is>
      </c>
      <c r="P1060" t="b">
        <v>1</v>
      </c>
      <c r="Q1060" t="inlineStr">
        <is>
          <t>TVF-Kontenstamm</t>
        </is>
      </c>
      <c r="R1060" t="b">
        <v>0</v>
      </c>
    </row>
    <row r="1061">
      <c r="A1061" t="n">
        <v>132</v>
      </c>
      <c r="B1061" t="inlineStr">
        <is>
          <t>410050.0</t>
        </is>
      </c>
      <c r="C1061" t="inlineStr">
        <is>
          <t>Überstunden Lohnempf</t>
        </is>
      </c>
      <c r="D1061" t="inlineStr">
        <is>
          <t>PERSONAL</t>
        </is>
      </c>
      <c r="E1061" t="n">
        <v>2</v>
      </c>
      <c r="F1061" t="inlineStr">
        <is>
          <t>6 Personalaufwand</t>
        </is>
      </c>
      <c r="G1061" t="b">
        <v>0</v>
      </c>
      <c r="H1061" t="b">
        <v>0</v>
      </c>
      <c r="I1061" t="n">
        <v>410050</v>
      </c>
      <c r="J1061" t="inlineStr">
        <is>
          <t>Personal</t>
        </is>
      </c>
      <c r="K1061" t="n">
        <v>60</v>
      </c>
      <c r="L1061" t="inlineStr">
        <is>
          <t>aufwand</t>
        </is>
      </c>
      <c r="M1061" t="inlineStr">
        <is>
          <t>Personalaufwand</t>
        </is>
      </c>
      <c r="N1061" t="inlineStr">
        <is>
          <t>Personalaufwand</t>
        </is>
      </c>
      <c r="O1061" t="inlineStr">
        <is>
          <t>Lohn + Gehalt</t>
        </is>
      </c>
      <c r="P1061" t="b">
        <v>1</v>
      </c>
      <c r="Q1061" t="inlineStr">
        <is>
          <t>TVF-Kontenstamm</t>
        </is>
      </c>
      <c r="R1061" t="b">
        <v>0</v>
      </c>
    </row>
    <row r="1062">
      <c r="A1062" t="n">
        <v>133</v>
      </c>
      <c r="B1062" t="inlineStr">
        <is>
          <t>410100.0</t>
        </is>
      </c>
      <c r="C1062" t="inlineStr">
        <is>
          <t>Gehalt</t>
        </is>
      </c>
      <c r="D1062" t="inlineStr">
        <is>
          <t>PERSONAL</t>
        </is>
      </c>
      <c r="E1062" t="n">
        <v>2</v>
      </c>
      <c r="F1062" t="inlineStr">
        <is>
          <t>6 Personalaufwand</t>
        </is>
      </c>
      <c r="G1062" t="b">
        <v>0</v>
      </c>
      <c r="H1062" t="b">
        <v>0</v>
      </c>
      <c r="I1062" t="n">
        <v>410100</v>
      </c>
      <c r="J1062" t="inlineStr">
        <is>
          <t>Personal</t>
        </is>
      </c>
      <c r="K1062" t="n">
        <v>60</v>
      </c>
      <c r="L1062" t="inlineStr">
        <is>
          <t>aufwand</t>
        </is>
      </c>
      <c r="M1062" t="inlineStr">
        <is>
          <t>Personalaufwand</t>
        </is>
      </c>
      <c r="N1062" t="inlineStr">
        <is>
          <t>Personalaufwand</t>
        </is>
      </c>
      <c r="O1062" t="inlineStr">
        <is>
          <t>Lohn + Gehalt</t>
        </is>
      </c>
      <c r="P1062" t="b">
        <v>1</v>
      </c>
      <c r="Q1062" t="inlineStr">
        <is>
          <t>TVF-Kontenstamm</t>
        </is>
      </c>
      <c r="R1062" t="b">
        <v>0</v>
      </c>
    </row>
    <row r="1063">
      <c r="A1063" t="n">
        <v>134</v>
      </c>
      <c r="B1063" t="inlineStr">
        <is>
          <t>411000.0</t>
        </is>
      </c>
      <c r="C1063" t="inlineStr">
        <is>
          <t>Altersversorgung</t>
        </is>
      </c>
      <c r="D1063" t="inlineStr">
        <is>
          <t>PERSONAL</t>
        </is>
      </c>
      <c r="E1063" t="n">
        <v>2</v>
      </c>
      <c r="F1063" t="inlineStr">
        <is>
          <t>6 Personalaufwand</t>
        </is>
      </c>
      <c r="G1063" t="b">
        <v>0</v>
      </c>
      <c r="H1063" t="b">
        <v>0</v>
      </c>
      <c r="I1063" t="n">
        <v>411000</v>
      </c>
      <c r="J1063" t="inlineStr">
        <is>
          <t>Personal</t>
        </is>
      </c>
      <c r="K1063" t="n">
        <v>60</v>
      </c>
      <c r="L1063" t="inlineStr">
        <is>
          <t>aufwand</t>
        </is>
      </c>
      <c r="M1063" t="inlineStr">
        <is>
          <t>Personalaufwand</t>
        </is>
      </c>
      <c r="N1063" t="inlineStr">
        <is>
          <t>Personalaufwand</t>
        </is>
      </c>
      <c r="O1063" t="inlineStr">
        <is>
          <t>Aufw. f. Alters</t>
        </is>
      </c>
      <c r="P1063" t="b">
        <v>1</v>
      </c>
      <c r="Q1063" t="inlineStr">
        <is>
          <t>TVF-Kontenstamm</t>
        </is>
      </c>
      <c r="R1063" t="b">
        <v>0</v>
      </c>
    </row>
    <row r="1064">
      <c r="A1064" t="n">
        <v>135</v>
      </c>
      <c r="B1064" t="inlineStr">
        <is>
          <t>411010.0</t>
        </is>
      </c>
      <c r="C1064" t="inlineStr">
        <is>
          <t>Beiträge Berufsgen.</t>
        </is>
      </c>
      <c r="D1064" t="inlineStr">
        <is>
          <t>PERSONAL</t>
        </is>
      </c>
      <c r="E1064" t="n">
        <v>2</v>
      </c>
      <c r="F1064" t="inlineStr">
        <is>
          <t>6 Personalaufwand</t>
        </is>
      </c>
      <c r="G1064" t="b">
        <v>0</v>
      </c>
      <c r="H1064" t="b">
        <v>0</v>
      </c>
      <c r="I1064" t="n">
        <v>411010</v>
      </c>
      <c r="J1064" t="inlineStr">
        <is>
          <t>Personal</t>
        </is>
      </c>
      <c r="K1064" t="n">
        <v>60</v>
      </c>
      <c r="L1064" t="inlineStr">
        <is>
          <t>aufwand</t>
        </is>
      </c>
      <c r="M1064" t="inlineStr">
        <is>
          <t>Personalaufwand</t>
        </is>
      </c>
      <c r="N1064" t="inlineStr">
        <is>
          <t>Personalaufwand</t>
        </is>
      </c>
      <c r="O1064" t="inlineStr">
        <is>
          <t>Soziale Abgaben</t>
        </is>
      </c>
      <c r="P1064" t="b">
        <v>1</v>
      </c>
      <c r="Q1064" t="inlineStr">
        <is>
          <t>TVF-Kontenstamm</t>
        </is>
      </c>
      <c r="R1064" t="b">
        <v>0</v>
      </c>
    </row>
    <row r="1065">
      <c r="A1065" t="n">
        <v>32</v>
      </c>
      <c r="B1065" t="inlineStr">
        <is>
          <t>460010.0</t>
        </is>
      </c>
      <c r="C1065" t="inlineStr">
        <is>
          <t>Büromaterial</t>
        </is>
      </c>
      <c r="D1065" t="inlineStr">
        <is>
          <t>VERWALTUNG</t>
        </is>
      </c>
      <c r="E1065" t="n">
        <v>2</v>
      </c>
      <c r="F1065" t="inlineStr">
        <is>
          <t>8 Sonstige betriebliche Aufwendungen</t>
        </is>
      </c>
      <c r="G1065" t="b">
        <v>0</v>
      </c>
      <c r="H1065" t="b">
        <v>0</v>
      </c>
      <c r="I1065" t="n">
        <v>460010</v>
      </c>
      <c r="J1065" t="inlineStr">
        <is>
          <t>Verwaltung und Beratung</t>
        </is>
      </c>
      <c r="K1065" t="n">
        <v>80</v>
      </c>
      <c r="L1065" t="inlineStr">
        <is>
          <t>aufwand</t>
        </is>
      </c>
      <c r="M1065" t="inlineStr">
        <is>
          <t>Sonstige betriebliche Aufwendungen</t>
        </is>
      </c>
      <c r="N1065" t="inlineStr">
        <is>
          <t>Verwaltungskosten</t>
        </is>
      </c>
      <c r="O1065" t="inlineStr">
        <is>
          <t>Verwaltungskost</t>
        </is>
      </c>
      <c r="P1065" t="b">
        <v>1</v>
      </c>
      <c r="Q1065" t="inlineStr">
        <is>
          <t>TVF-Kontenstamm</t>
        </is>
      </c>
      <c r="R1065" t="b">
        <v>0</v>
      </c>
    </row>
    <row r="1066">
      <c r="A1066" t="n">
        <v>60</v>
      </c>
      <c r="B1066" t="inlineStr">
        <is>
          <t>460030.0</t>
        </is>
      </c>
      <c r="C1066" t="inlineStr">
        <is>
          <t>Telekommunikation</t>
        </is>
      </c>
      <c r="D1066" t="inlineStr">
        <is>
          <t>VERWALTUNG</t>
        </is>
      </c>
      <c r="E1066" t="n">
        <v>2</v>
      </c>
      <c r="F1066" t="inlineStr">
        <is>
          <t>8 Sonstige betriebliche Aufwendungen</t>
        </is>
      </c>
      <c r="G1066" t="b">
        <v>0</v>
      </c>
      <c r="H1066" t="b">
        <v>0</v>
      </c>
      <c r="I1066" t="n">
        <v>460030</v>
      </c>
      <c r="J1066" t="inlineStr">
        <is>
          <t>Verwaltung und Beratung</t>
        </is>
      </c>
      <c r="K1066" t="n">
        <v>80</v>
      </c>
      <c r="L1066" t="inlineStr">
        <is>
          <t>aufwand</t>
        </is>
      </c>
      <c r="M1066" t="inlineStr">
        <is>
          <t>Sonstige betriebliche Aufwendungen</t>
        </is>
      </c>
      <c r="N1066" t="inlineStr">
        <is>
          <t>Verwaltungskosten</t>
        </is>
      </c>
      <c r="O1066" t="inlineStr">
        <is>
          <t>Verwaltungskost</t>
        </is>
      </c>
      <c r="P1066" t="b">
        <v>1</v>
      </c>
      <c r="Q1066" t="inlineStr">
        <is>
          <t>TVF-Kontenstamm</t>
        </is>
      </c>
      <c r="R1066" t="b">
        <v>0</v>
      </c>
    </row>
    <row r="1067">
      <c r="A1067" t="n">
        <v>34</v>
      </c>
      <c r="B1067" t="inlineStr">
        <is>
          <t>460040.0</t>
        </is>
      </c>
      <c r="C1067" t="inlineStr">
        <is>
          <t>Portogebühren</t>
        </is>
      </c>
      <c r="D1067" t="inlineStr">
        <is>
          <t>VERWALTUNG</t>
        </is>
      </c>
      <c r="E1067" t="n">
        <v>2</v>
      </c>
      <c r="F1067" t="inlineStr">
        <is>
          <t>8 Sonstige betriebliche Aufwendungen</t>
        </is>
      </c>
      <c r="G1067" t="b">
        <v>0</v>
      </c>
      <c r="H1067" t="b">
        <v>0</v>
      </c>
      <c r="I1067" t="n">
        <v>460040</v>
      </c>
      <c r="J1067" t="inlineStr">
        <is>
          <t>Verwaltung und Beratung</t>
        </is>
      </c>
      <c r="K1067" t="n">
        <v>80</v>
      </c>
      <c r="L1067" t="inlineStr">
        <is>
          <t>aufwand</t>
        </is>
      </c>
      <c r="M1067" t="inlineStr">
        <is>
          <t>Sonstige betriebliche Aufwendungen</t>
        </is>
      </c>
      <c r="N1067" t="inlineStr">
        <is>
          <t>Verwaltungskosten</t>
        </is>
      </c>
      <c r="O1067" t="inlineStr">
        <is>
          <t>Verwaltungskost</t>
        </is>
      </c>
      <c r="P1067" t="b">
        <v>1</v>
      </c>
      <c r="Q1067" t="inlineStr">
        <is>
          <t>TVF-Kontenstamm</t>
        </is>
      </c>
      <c r="R1067" t="b">
        <v>0</v>
      </c>
    </row>
    <row r="1068">
      <c r="A1068" t="n">
        <v>36</v>
      </c>
      <c r="B1068" t="inlineStr">
        <is>
          <t>460060.0</t>
        </is>
      </c>
      <c r="C1068" t="inlineStr">
        <is>
          <t>Kosten EDV</t>
        </is>
      </c>
      <c r="D1068" t="inlineStr">
        <is>
          <t>VERWALTUNG</t>
        </is>
      </c>
      <c r="E1068" t="n">
        <v>2</v>
      </c>
      <c r="F1068" t="inlineStr">
        <is>
          <t>8 Sonstige betriebliche Aufwendungen</t>
        </is>
      </c>
      <c r="G1068" t="b">
        <v>0</v>
      </c>
      <c r="H1068" t="b">
        <v>0</v>
      </c>
      <c r="I1068" t="n">
        <v>460060</v>
      </c>
      <c r="J1068" t="inlineStr">
        <is>
          <t>Verwaltung und Beratung</t>
        </is>
      </c>
      <c r="K1068" t="n">
        <v>80</v>
      </c>
      <c r="L1068" t="inlineStr">
        <is>
          <t>aufwand</t>
        </is>
      </c>
      <c r="M1068" t="inlineStr">
        <is>
          <t>Sonstige betriebliche Aufwendungen</t>
        </is>
      </c>
      <c r="N1068" t="inlineStr">
        <is>
          <t>Verwaltungskosten</t>
        </is>
      </c>
      <c r="O1068" t="inlineStr">
        <is>
          <t>IT-Aufwendungen</t>
        </is>
      </c>
      <c r="P1068" t="b">
        <v>1</v>
      </c>
      <c r="Q1068" t="inlineStr">
        <is>
          <t>TVF-Kontenstamm</t>
        </is>
      </c>
      <c r="R1068" t="b">
        <v>0</v>
      </c>
    </row>
    <row r="1069">
      <c r="A1069" t="n">
        <v>96</v>
      </c>
      <c r="B1069" t="inlineStr">
        <is>
          <t>460065.0</t>
        </is>
      </c>
      <c r="C1069" t="inlineStr">
        <is>
          <t>IT Lizenzgebühren</t>
        </is>
      </c>
      <c r="D1069" t="inlineStr">
        <is>
          <t>VERWALTUNG</t>
        </is>
      </c>
      <c r="E1069" t="n">
        <v>2</v>
      </c>
      <c r="F1069" t="inlineStr">
        <is>
          <t>8 Sonstige betriebliche Aufwendungen</t>
        </is>
      </c>
      <c r="G1069" t="b">
        <v>0</v>
      </c>
      <c r="H1069" t="b">
        <v>0</v>
      </c>
      <c r="I1069" t="n">
        <v>460065</v>
      </c>
      <c r="J1069" t="inlineStr">
        <is>
          <t>Verwaltung und Beratung</t>
        </is>
      </c>
      <c r="K1069" t="n">
        <v>80</v>
      </c>
      <c r="L1069" t="inlineStr">
        <is>
          <t>aufwand</t>
        </is>
      </c>
      <c r="M1069" t="inlineStr">
        <is>
          <t>Sonstige betriebliche Aufwendungen</t>
        </is>
      </c>
      <c r="N1069" t="inlineStr">
        <is>
          <t>Verwaltungskosten</t>
        </is>
      </c>
      <c r="O1069" t="inlineStr">
        <is>
          <t>IT-Aufwendungen</t>
        </is>
      </c>
      <c r="P1069" t="b">
        <v>1</v>
      </c>
      <c r="Q1069" t="inlineStr">
        <is>
          <t>TVF-Kontenstamm</t>
        </is>
      </c>
      <c r="R1069" t="b">
        <v>0</v>
      </c>
    </row>
    <row r="1070">
      <c r="A1070" t="n">
        <v>62</v>
      </c>
      <c r="B1070" t="inlineStr">
        <is>
          <t>460900.0</t>
        </is>
      </c>
      <c r="C1070" t="inlineStr">
        <is>
          <t>Sonstige Verwaltungskosten</t>
        </is>
      </c>
      <c r="D1070" t="inlineStr">
        <is>
          <t>VERWALTUNG</t>
        </is>
      </c>
      <c r="E1070" t="n">
        <v>2</v>
      </c>
      <c r="F1070" t="inlineStr">
        <is>
          <t>8 Sonstige betriebliche Aufwendungen</t>
        </is>
      </c>
      <c r="G1070" t="b">
        <v>0</v>
      </c>
      <c r="H1070" t="b">
        <v>0</v>
      </c>
      <c r="I1070" t="n">
        <v>460900</v>
      </c>
      <c r="J1070" t="inlineStr">
        <is>
          <t>Verwaltung und Beratung</t>
        </is>
      </c>
      <c r="K1070" t="n">
        <v>80</v>
      </c>
      <c r="L1070" t="inlineStr">
        <is>
          <t>aufwand</t>
        </is>
      </c>
      <c r="M1070" t="inlineStr">
        <is>
          <t>Sonstige betriebliche Aufwendungen</t>
        </is>
      </c>
      <c r="N1070" t="inlineStr">
        <is>
          <t>Verwaltungskosten</t>
        </is>
      </c>
      <c r="O1070" t="inlineStr">
        <is>
          <t>Verwaltungskost</t>
        </is>
      </c>
      <c r="P1070" t="b">
        <v>1</v>
      </c>
      <c r="Q1070" t="inlineStr">
        <is>
          <t>TVF-Kontenstamm</t>
        </is>
      </c>
      <c r="R1070" t="b">
        <v>0</v>
      </c>
    </row>
    <row r="1071">
      <c r="A1071" t="n">
        <v>63</v>
      </c>
      <c r="B1071" t="inlineStr">
        <is>
          <t>470010.0</t>
        </is>
      </c>
      <c r="C1071" t="inlineStr">
        <is>
          <t>Anwalts- und Gerichtskosten</t>
        </is>
      </c>
      <c r="D1071" t="inlineStr">
        <is>
          <t>BERATUNG_UMLAGE</t>
        </is>
      </c>
      <c r="E1071" t="n">
        <v>2</v>
      </c>
      <c r="F1071" t="inlineStr">
        <is>
          <t>8 Sonstige betriebliche Aufwendungen</t>
        </is>
      </c>
      <c r="G1071" t="b">
        <v>0</v>
      </c>
      <c r="H1071" t="b">
        <v>0</v>
      </c>
      <c r="I1071" t="n">
        <v>470010</v>
      </c>
      <c r="J1071" t="inlineStr">
        <is>
          <t>Verwaltung und Beratung</t>
        </is>
      </c>
      <c r="K1071" t="n">
        <v>80</v>
      </c>
      <c r="L1071" t="inlineStr">
        <is>
          <t>aufwand</t>
        </is>
      </c>
      <c r="M1071" t="inlineStr">
        <is>
          <t>Sonstige betriebliche Aufwendungen</t>
        </is>
      </c>
      <c r="N1071" t="inlineStr">
        <is>
          <t>Verwaltungskosten</t>
        </is>
      </c>
      <c r="O1071" t="inlineStr">
        <is>
          <t>Rechts- u. Beratungs</t>
        </is>
      </c>
      <c r="P1071" t="b">
        <v>1</v>
      </c>
      <c r="Q1071" t="inlineStr">
        <is>
          <t>TVF-Kontenstamm</t>
        </is>
      </c>
      <c r="R1071" t="b">
        <v>0</v>
      </c>
    </row>
    <row r="1072">
      <c r="A1072" t="n">
        <v>93</v>
      </c>
      <c r="B1072" t="inlineStr">
        <is>
          <t>470020.0</t>
        </is>
      </c>
      <c r="C1072" t="inlineStr">
        <is>
          <t>kaufm. Beratung und Buchführung</t>
        </is>
      </c>
      <c r="D1072" t="inlineStr">
        <is>
          <t>BERATUNG_UMLAGE</t>
        </is>
      </c>
      <c r="E1072" t="n">
        <v>2</v>
      </c>
      <c r="F1072" t="inlineStr">
        <is>
          <t>8 Sonstige betriebliche Aufwendungen</t>
        </is>
      </c>
      <c r="G1072" t="b">
        <v>0</v>
      </c>
      <c r="H1072" t="b">
        <v>0</v>
      </c>
      <c r="I1072" t="n">
        <v>470020</v>
      </c>
      <c r="J1072" t="inlineStr">
        <is>
          <t>Verwaltung und Beratung</t>
        </is>
      </c>
      <c r="K1072" t="n">
        <v>80</v>
      </c>
      <c r="L1072" t="inlineStr">
        <is>
          <t>aufwand</t>
        </is>
      </c>
      <c r="M1072" t="inlineStr">
        <is>
          <t>Sonstige betriebliche Aufwendungen</t>
        </is>
      </c>
      <c r="N1072" t="inlineStr">
        <is>
          <t>Verwaltungskosten</t>
        </is>
      </c>
      <c r="O1072" t="inlineStr">
        <is>
          <t>Rechts- u. Beratungs</t>
        </is>
      </c>
      <c r="P1072" t="b">
        <v>1</v>
      </c>
      <c r="Q1072" t="inlineStr">
        <is>
          <t>TVF-Kontenstamm</t>
        </is>
      </c>
      <c r="R1072" t="b">
        <v>0</v>
      </c>
    </row>
    <row r="1073">
      <c r="A1073" t="n">
        <v>64</v>
      </c>
      <c r="B1073" t="inlineStr">
        <is>
          <t>470030.0</t>
        </is>
      </c>
      <c r="C1073" t="inlineStr">
        <is>
          <t>Beratungskosten Allgemeine Verwaltung</t>
        </is>
      </c>
      <c r="D1073" t="inlineStr">
        <is>
          <t>BERATUNG_UMLAGE</t>
        </is>
      </c>
      <c r="E1073" t="n">
        <v>2</v>
      </c>
      <c r="F1073" t="inlineStr">
        <is>
          <t>8 Sonstige betriebliche Aufwendungen</t>
        </is>
      </c>
      <c r="G1073" t="b">
        <v>0</v>
      </c>
      <c r="H1073" t="b">
        <v>0</v>
      </c>
      <c r="I1073" t="n">
        <v>470030</v>
      </c>
      <c r="J1073" t="inlineStr">
        <is>
          <t>Verwaltung und Beratung</t>
        </is>
      </c>
      <c r="K1073" t="n">
        <v>80</v>
      </c>
      <c r="L1073" t="inlineStr">
        <is>
          <t>aufwand</t>
        </is>
      </c>
      <c r="M1073" t="inlineStr">
        <is>
          <t>Sonstige betriebliche Aufwendungen</t>
        </is>
      </c>
      <c r="N1073" t="inlineStr">
        <is>
          <t>Verwaltungskosten</t>
        </is>
      </c>
      <c r="O1073" t="inlineStr">
        <is>
          <t>Verwaltungskost</t>
        </is>
      </c>
      <c r="P1073" t="b">
        <v>1</v>
      </c>
      <c r="Q1073" t="inlineStr">
        <is>
          <t>TVF-Kontenstamm</t>
        </is>
      </c>
      <c r="R1073" t="b">
        <v>0</v>
      </c>
    </row>
    <row r="1074">
      <c r="A1074" t="n">
        <v>95</v>
      </c>
      <c r="B1074" t="inlineStr">
        <is>
          <t>470036.0</t>
        </is>
      </c>
      <c r="C1074" t="inlineStr">
        <is>
          <t>Aufwendungen Umlage zentrale Verwaltung</t>
        </is>
      </c>
      <c r="D1074" t="inlineStr">
        <is>
          <t>BERATUNG_UMLAGE</t>
        </is>
      </c>
      <c r="E1074" t="n">
        <v>2</v>
      </c>
      <c r="F1074" t="inlineStr">
        <is>
          <t>8 Sonstige betriebliche Aufwendungen</t>
        </is>
      </c>
      <c r="G1074" t="b">
        <v>0</v>
      </c>
      <c r="H1074" t="b">
        <v>0</v>
      </c>
      <c r="I1074" t="n">
        <v>470036</v>
      </c>
      <c r="J1074" t="inlineStr">
        <is>
          <t>Verwaltung und Beratung</t>
        </is>
      </c>
      <c r="K1074" t="n">
        <v>80</v>
      </c>
      <c r="L1074" t="inlineStr">
        <is>
          <t>aufwand</t>
        </is>
      </c>
      <c r="M1074" t="inlineStr">
        <is>
          <t>Sonstige betriebliche Aufwendungen</t>
        </is>
      </c>
      <c r="N1074" t="inlineStr">
        <is>
          <t>Verwaltungskosten</t>
        </is>
      </c>
      <c r="O1074" t="inlineStr">
        <is>
          <t>Aufwand Umlage</t>
        </is>
      </c>
      <c r="P1074" t="b">
        <v>1</v>
      </c>
      <c r="Q1074" t="inlineStr">
        <is>
          <t>TVF-Kontenstamm</t>
        </is>
      </c>
      <c r="R1074" t="b">
        <v>0</v>
      </c>
    </row>
    <row r="1075">
      <c r="A1075" t="n">
        <v>4</v>
      </c>
      <c r="B1075" t="inlineStr">
        <is>
          <t>830510.0</t>
        </is>
      </c>
      <c r="C1075" t="inlineStr">
        <is>
          <t>Erlöse Abrisse/Demontagen</t>
        </is>
      </c>
      <c r="D1075" t="inlineStr">
        <is>
          <t>ERLOES</t>
        </is>
      </c>
      <c r="E1075" t="n">
        <v>0</v>
      </c>
      <c r="F1075" t="inlineStr">
        <is>
          <t>1 Umsatzerlöse</t>
        </is>
      </c>
      <c r="G1075" t="b">
        <v>0</v>
      </c>
      <c r="H1075" t="b">
        <v>0</v>
      </c>
      <c r="I1075" t="n">
        <v>830510</v>
      </c>
      <c r="J1075" t="inlineStr">
        <is>
          <t>Umsatzerlöse</t>
        </is>
      </c>
      <c r="K1075" t="n">
        <v>10</v>
      </c>
      <c r="L1075" t="inlineStr">
        <is>
          <t>ertrag</t>
        </is>
      </c>
      <c r="M1075" t="inlineStr">
        <is>
          <t>Umsatzerlöse</t>
        </is>
      </c>
      <c r="O1075" t="inlineStr">
        <is>
          <t>Erl. so. DL Dt.</t>
        </is>
      </c>
      <c r="P1075" t="b">
        <v>1</v>
      </c>
      <c r="Q1075" t="inlineStr">
        <is>
          <t>TVF-Kontenstamm</t>
        </is>
      </c>
      <c r="R1075" t="b">
        <v>0</v>
      </c>
    </row>
    <row r="1076">
      <c r="A1076" t="n">
        <v>39</v>
      </c>
      <c r="B1076" t="inlineStr">
        <is>
          <t>860000.0</t>
        </is>
      </c>
      <c r="C1076" t="inlineStr">
        <is>
          <t>Erlöse weiterberechnete Fremdkosten</t>
        </is>
      </c>
      <c r="D1076" t="inlineStr">
        <is>
          <t>ERLOES</t>
        </is>
      </c>
      <c r="E1076" t="n">
        <v>0</v>
      </c>
      <c r="F1076" t="inlineStr">
        <is>
          <t>1 Umsatzerlöse</t>
        </is>
      </c>
      <c r="G1076" t="b">
        <v>0</v>
      </c>
      <c r="H1076" t="b">
        <v>0</v>
      </c>
      <c r="I1076" t="n">
        <v>860000</v>
      </c>
      <c r="J1076" t="inlineStr">
        <is>
          <t>Umsatzerlöse</t>
        </is>
      </c>
      <c r="K1076" t="n">
        <v>10</v>
      </c>
      <c r="L1076" t="inlineStr">
        <is>
          <t>ertrag</t>
        </is>
      </c>
      <c r="M1076" t="inlineStr">
        <is>
          <t>Sonstige betriebliche Erträge</t>
        </is>
      </c>
      <c r="O1076" t="inlineStr">
        <is>
          <t>Ertr. weiterber</t>
        </is>
      </c>
      <c r="P1076" t="b">
        <v>1</v>
      </c>
      <c r="Q1076" t="inlineStr">
        <is>
          <t>TVF-Kontenstamm</t>
        </is>
      </c>
      <c r="R1076" t="b">
        <v>0</v>
      </c>
    </row>
    <row r="1077">
      <c r="A1077" t="n">
        <v>144</v>
      </c>
      <c r="B1077" t="inlineStr">
        <is>
          <t>890200.0</t>
        </is>
      </c>
      <c r="C1077" t="inlineStr">
        <is>
          <t>Erl.selbstgen.Fahrz</t>
        </is>
      </c>
      <c r="D1077" t="inlineStr">
        <is>
          <t>ERLOES</t>
        </is>
      </c>
      <c r="E1077" t="n">
        <v>0</v>
      </c>
      <c r="F1077" t="inlineStr">
        <is>
          <t>1 Umsatzerlöse</t>
        </is>
      </c>
      <c r="G1077" t="b">
        <v>0</v>
      </c>
      <c r="H1077" t="b">
        <v>0</v>
      </c>
      <c r="I1077" t="n">
        <v>890200</v>
      </c>
      <c r="J1077" t="inlineStr">
        <is>
          <t>Umsatzerlöse</t>
        </is>
      </c>
      <c r="K1077" t="n">
        <v>10</v>
      </c>
      <c r="L1077" t="inlineStr">
        <is>
          <t>ertrag</t>
        </is>
      </c>
      <c r="M1077" t="inlineStr">
        <is>
          <t>Sonstige betriebliche Erträge</t>
        </is>
      </c>
      <c r="O1077" t="inlineStr">
        <is>
          <t>Ertrag KFZ-Nutz</t>
        </is>
      </c>
      <c r="P1077" t="b">
        <v>1</v>
      </c>
      <c r="Q1077" t="inlineStr">
        <is>
          <t>TVF-Kontenstamm</t>
        </is>
      </c>
      <c r="R1077" t="b">
        <v>0</v>
      </c>
    </row>
    <row r="1078">
      <c r="A1078" t="n">
        <v>27</v>
      </c>
      <c r="B1078" t="inlineStr">
        <is>
          <t>890800.0</t>
        </is>
      </c>
      <c r="C1078" t="inlineStr">
        <is>
          <t>Erlöse Zahlungsdifferenzen Debitoren</t>
        </is>
      </c>
      <c r="D1078" t="inlineStr">
        <is>
          <t>ERLOES</t>
        </is>
      </c>
      <c r="E1078" t="n">
        <v>0</v>
      </c>
      <c r="F1078" t="inlineStr">
        <is>
          <t>1 Umsatzerlöse</t>
        </is>
      </c>
      <c r="G1078" t="b">
        <v>0</v>
      </c>
      <c r="H1078" t="b">
        <v>0</v>
      </c>
      <c r="I1078" t="n">
        <v>890800</v>
      </c>
      <c r="J1078" t="inlineStr">
        <is>
          <t>Umsatzerlöse</t>
        </is>
      </c>
      <c r="K1078" t="n">
        <v>10</v>
      </c>
      <c r="L1078" t="inlineStr">
        <is>
          <t>ertrag</t>
        </is>
      </c>
      <c r="M1078" t="inlineStr">
        <is>
          <t>Umsatzerlöse</t>
        </is>
      </c>
      <c r="P1078" t="b">
        <v>1</v>
      </c>
      <c r="Q1078" t="inlineStr">
        <is>
          <t>aus Nummernkreis hergeleitet</t>
        </is>
      </c>
      <c r="R1078" t="b">
        <v>0</v>
      </c>
    </row>
    <row r="1079">
      <c r="A1079" t="n">
        <v>69</v>
      </c>
      <c r="B1079" t="inlineStr">
        <is>
          <t>410130.0</t>
        </is>
      </c>
      <c r="C1079" t="inlineStr">
        <is>
          <t>Sonderzahlungen und Prämien Gehaltsempfä</t>
        </is>
      </c>
      <c r="D1079" t="inlineStr">
        <is>
          <t>PERSONAL</t>
        </is>
      </c>
      <c r="E1079" t="n">
        <v>2</v>
      </c>
      <c r="F1079" t="inlineStr">
        <is>
          <t>6 Personalaufwand</t>
        </is>
      </c>
      <c r="G1079" t="b">
        <v>0</v>
      </c>
      <c r="H1079" t="b">
        <v>0</v>
      </c>
      <c r="I1079" t="n">
        <v>410130</v>
      </c>
      <c r="J1079" t="inlineStr">
        <is>
          <t>Personal</t>
        </is>
      </c>
      <c r="K1079" t="n">
        <v>60</v>
      </c>
      <c r="L1079" t="inlineStr">
        <is>
          <t>aufwand</t>
        </is>
      </c>
      <c r="M1079" t="inlineStr">
        <is>
          <t>Personal</t>
        </is>
      </c>
      <c r="P1079" t="b">
        <v>1</v>
      </c>
      <c r="Q1079" t="inlineStr">
        <is>
          <t>aus Nummernkreis hergeleitet</t>
        </is>
      </c>
      <c r="R1079" t="b">
        <v>0</v>
      </c>
    </row>
    <row r="1080">
      <c r="A1080" t="n">
        <v>179</v>
      </c>
      <c r="B1080" t="inlineStr">
        <is>
          <t>411890</t>
        </is>
      </c>
      <c r="C1080" t="inlineStr">
        <is>
          <t>Neu aus Import – Bezeichnung pflegen</t>
        </is>
      </c>
      <c r="D1080" t="inlineStr">
        <is>
          <t>PERSONAL</t>
        </is>
      </c>
      <c r="E1080" t="n">
        <v>2</v>
      </c>
      <c r="F1080" t="inlineStr">
        <is>
          <t>6 Personalaufwand</t>
        </is>
      </c>
      <c r="G1080" t="b">
        <v>0</v>
      </c>
      <c r="H1080" t="b">
        <v>0</v>
      </c>
      <c r="I1080" t="n">
        <v>411890</v>
      </c>
      <c r="J1080" t="inlineStr">
        <is>
          <t>Personal</t>
        </is>
      </c>
      <c r="K1080" t="n">
        <v>60</v>
      </c>
      <c r="L1080" t="inlineStr">
        <is>
          <t>aufwand</t>
        </is>
      </c>
      <c r="M1080" t="inlineStr">
        <is>
          <t>Personal</t>
        </is>
      </c>
      <c r="P1080" t="b">
        <v>1</v>
      </c>
      <c r="Q1080" t="inlineStr">
        <is>
          <t>aus Nummernkreis hergeleitet</t>
        </is>
      </c>
      <c r="R1080" t="b">
        <v>0</v>
      </c>
    </row>
    <row r="1081">
      <c r="A1081" t="n">
        <v>80</v>
      </c>
      <c r="B1081" t="inlineStr">
        <is>
          <t>420015.0</t>
        </is>
      </c>
      <c r="C1081" t="inlineStr">
        <is>
          <t>Instandhaltungskosten fremde  Gebäude</t>
        </is>
      </c>
      <c r="D1081" t="inlineStr">
        <is>
          <t>RAUM_ANLAGEN</t>
        </is>
      </c>
      <c r="E1081" t="n">
        <v>2</v>
      </c>
      <c r="F1081" t="inlineStr">
        <is>
          <t>8 Sonstige betriebliche Aufwendungen</t>
        </is>
      </c>
      <c r="G1081" t="b">
        <v>0</v>
      </c>
      <c r="H1081" t="b">
        <v>0</v>
      </c>
      <c r="I1081" t="n">
        <v>420015</v>
      </c>
      <c r="J1081" t="inlineStr">
        <is>
          <t>Raum, Energie, Instandhaltung</t>
        </is>
      </c>
      <c r="K1081" t="n">
        <v>80</v>
      </c>
      <c r="L1081" t="inlineStr">
        <is>
          <t>aufwand</t>
        </is>
      </c>
      <c r="M1081" t="inlineStr">
        <is>
          <t>Raum, Energie, Instandhaltung</t>
        </is>
      </c>
      <c r="P1081" t="b">
        <v>1</v>
      </c>
      <c r="Q1081" t="inlineStr">
        <is>
          <t>aus Nummernkreis hergeleitet</t>
        </is>
      </c>
      <c r="R1081" t="b">
        <v>0</v>
      </c>
    </row>
    <row r="1082">
      <c r="A1082" t="n">
        <v>31</v>
      </c>
      <c r="B1082" t="inlineStr">
        <is>
          <t>420600.0</t>
        </is>
      </c>
      <c r="C1082" t="inlineStr">
        <is>
          <t>Werkstattbedarf (Kleinwerkzeuge b.100,-D</t>
        </is>
      </c>
      <c r="D1082" t="inlineStr">
        <is>
          <t>RAUM_ANLAGEN</t>
        </is>
      </c>
      <c r="E1082" t="n">
        <v>2</v>
      </c>
      <c r="F1082" t="inlineStr">
        <is>
          <t>8 Sonstige betriebliche Aufwendungen</t>
        </is>
      </c>
      <c r="G1082" t="b">
        <v>0</v>
      </c>
      <c r="H1082" t="b">
        <v>0</v>
      </c>
      <c r="I1082" t="n">
        <v>420600</v>
      </c>
      <c r="J1082" t="inlineStr">
        <is>
          <t>Raum, Energie, Instandhaltung</t>
        </is>
      </c>
      <c r="K1082" t="n">
        <v>80</v>
      </c>
      <c r="L1082" t="inlineStr">
        <is>
          <t>aufwand</t>
        </is>
      </c>
      <c r="M1082" t="inlineStr">
        <is>
          <t>Raum, Energie, Instandhaltung</t>
        </is>
      </c>
      <c r="P1082" t="b">
        <v>1</v>
      </c>
      <c r="Q1082" t="inlineStr">
        <is>
          <t>aus Nummernkreis hergeleitet</t>
        </is>
      </c>
      <c r="R1082" t="b">
        <v>0</v>
      </c>
    </row>
    <row r="1083">
      <c r="A1083" t="n">
        <v>22</v>
      </c>
      <c r="B1083" t="inlineStr">
        <is>
          <t>420700.0</t>
        </is>
      </c>
      <c r="C1083" t="inlineStr">
        <is>
          <t>Verbrauch Hilfs- u. Betriebsstoffe</t>
        </is>
      </c>
      <c r="D1083" t="inlineStr">
        <is>
          <t>RAUM_ANLAGEN</t>
        </is>
      </c>
      <c r="E1083" t="n">
        <v>2</v>
      </c>
      <c r="F1083" t="inlineStr">
        <is>
          <t>8 Sonstige betriebliche Aufwendungen</t>
        </is>
      </c>
      <c r="G1083" t="b">
        <v>0</v>
      </c>
      <c r="H1083" t="b">
        <v>0</v>
      </c>
      <c r="I1083" t="n">
        <v>420700</v>
      </c>
      <c r="J1083" t="inlineStr">
        <is>
          <t>Raum, Energie, Instandhaltung</t>
        </is>
      </c>
      <c r="K1083" t="n">
        <v>80</v>
      </c>
      <c r="L1083" t="inlineStr">
        <is>
          <t>aufwand</t>
        </is>
      </c>
      <c r="M1083" t="inlineStr">
        <is>
          <t>Raum, Energie, Instandhaltung</t>
        </is>
      </c>
      <c r="P1083" t="b">
        <v>1</v>
      </c>
      <c r="Q1083" t="inlineStr">
        <is>
          <t>aus Nummernkreis hergeleitet</t>
        </is>
      </c>
      <c r="R1083" t="b">
        <v>0</v>
      </c>
    </row>
    <row r="1084">
      <c r="A1084" t="n">
        <v>99</v>
      </c>
      <c r="B1084" t="inlineStr">
        <is>
          <t>430010.0</t>
        </is>
      </c>
      <c r="C1084" t="inlineStr">
        <is>
          <t>Vermögensteuer, Grundsteuer u.a.</t>
        </is>
      </c>
      <c r="D1084" t="inlineStr">
        <is>
          <t>STEUERN</t>
        </is>
      </c>
      <c r="E1084" t="n">
        <v>9</v>
      </c>
      <c r="F1084" t="inlineStr">
        <is>
          <t>11 Steuern vom Einkommen und Ertrag</t>
        </is>
      </c>
      <c r="G1084" t="b">
        <v>0</v>
      </c>
      <c r="H1084" t="b">
        <v>0</v>
      </c>
      <c r="I1084" t="n">
        <v>430010</v>
      </c>
      <c r="J1084" t="inlineStr">
        <is>
          <t>Versicherungen, Mieten, Steuern</t>
        </is>
      </c>
      <c r="K1084" t="n">
        <v>110</v>
      </c>
      <c r="L1084" t="inlineStr">
        <is>
          <t>steuern</t>
        </is>
      </c>
      <c r="M1084" t="inlineStr">
        <is>
          <t>Versicherungen, Mieten, Steuern</t>
        </is>
      </c>
      <c r="P1084" t="b">
        <v>0</v>
      </c>
      <c r="Q1084" t="inlineStr">
        <is>
          <t>aus Nummernkreis hergeleitet</t>
        </is>
      </c>
      <c r="R1084" t="b">
        <v>0</v>
      </c>
    </row>
    <row r="1085">
      <c r="A1085" t="n">
        <v>89</v>
      </c>
      <c r="B1085" t="inlineStr">
        <is>
          <t>430121.0</t>
        </is>
      </c>
      <c r="C1085" t="inlineStr">
        <is>
          <t>Warenkreditversicherung</t>
        </is>
      </c>
      <c r="D1085" t="inlineStr">
        <is>
          <t>VERSICHERUNG_MIETE</t>
        </is>
      </c>
      <c r="E1085" t="n">
        <v>2</v>
      </c>
      <c r="F1085" t="inlineStr">
        <is>
          <t>8 Sonstige betriebliche Aufwendungen</t>
        </is>
      </c>
      <c r="G1085" t="b">
        <v>0</v>
      </c>
      <c r="H1085" t="b">
        <v>0</v>
      </c>
      <c r="I1085" t="n">
        <v>430121</v>
      </c>
      <c r="J1085" t="inlineStr">
        <is>
          <t>Versicherungen, Mieten, Steuern</t>
        </is>
      </c>
      <c r="K1085" t="n">
        <v>80</v>
      </c>
      <c r="L1085" t="inlineStr">
        <is>
          <t>aufwand</t>
        </is>
      </c>
      <c r="M1085" t="inlineStr">
        <is>
          <t>Versicherungen, Mieten, Steuern</t>
        </is>
      </c>
      <c r="P1085" t="b">
        <v>1</v>
      </c>
      <c r="Q1085" t="inlineStr">
        <is>
          <t>aus Nummernkreis hergeleitet</t>
        </is>
      </c>
      <c r="R1085" t="b">
        <v>0</v>
      </c>
    </row>
    <row r="1086">
      <c r="A1086" t="n">
        <v>73</v>
      </c>
      <c r="B1086" t="inlineStr">
        <is>
          <t>440050.0</t>
        </is>
      </c>
      <c r="C1086" t="inlineStr">
        <is>
          <t>Transportkosten (außerhalb Recy)</t>
        </is>
      </c>
      <c r="D1086" t="inlineStr">
        <is>
          <t>TRANSPORT</t>
        </is>
      </c>
      <c r="E1086" t="n">
        <v>1</v>
      </c>
      <c r="F1086" t="inlineStr">
        <is>
          <t>8 Sonstige betriebliche Aufwendungen</t>
        </is>
      </c>
      <c r="G1086" t="b">
        <v>1</v>
      </c>
      <c r="H1086" t="b">
        <v>1</v>
      </c>
      <c r="I1086" t="n">
        <v>440050</v>
      </c>
      <c r="J1086" t="inlineStr">
        <is>
          <t>Transport, Reise, Werbung</t>
        </is>
      </c>
      <c r="K1086" t="n">
        <v>80</v>
      </c>
      <c r="L1086" t="inlineStr">
        <is>
          <t>aufwand</t>
        </is>
      </c>
      <c r="M1086" t="inlineStr">
        <is>
          <t>Transport, Reise, Werbung</t>
        </is>
      </c>
      <c r="P1086" t="b">
        <v>1</v>
      </c>
      <c r="Q1086" t="inlineStr">
        <is>
          <t>aus Nummernkreis hergeleitet</t>
        </is>
      </c>
      <c r="R1086" t="b">
        <v>0</v>
      </c>
    </row>
    <row r="1087">
      <c r="A1087" t="n">
        <v>56</v>
      </c>
      <c r="B1087" t="inlineStr">
        <is>
          <t>450011.0</t>
        </is>
      </c>
      <c r="C1087" t="inlineStr">
        <is>
          <t>Verpfl.mehraufwand (pauschal)</t>
        </is>
      </c>
      <c r="D1087" t="inlineStr">
        <is>
          <t>REISE_WERBUNG</t>
        </is>
      </c>
      <c r="E1087" t="n">
        <v>2</v>
      </c>
      <c r="F1087" t="inlineStr">
        <is>
          <t>8 Sonstige betriebliche Aufwendungen</t>
        </is>
      </c>
      <c r="G1087" t="b">
        <v>0</v>
      </c>
      <c r="H1087" t="b">
        <v>0</v>
      </c>
      <c r="I1087" t="n">
        <v>450011</v>
      </c>
      <c r="J1087" t="inlineStr">
        <is>
          <t>Transport, Reise, Werbung</t>
        </is>
      </c>
      <c r="K1087" t="n">
        <v>80</v>
      </c>
      <c r="L1087" t="inlineStr">
        <is>
          <t>aufwand</t>
        </is>
      </c>
      <c r="M1087" t="inlineStr">
        <is>
          <t>Transport, Reise, Werbung</t>
        </is>
      </c>
      <c r="P1087" t="b">
        <v>1</v>
      </c>
      <c r="Q1087" t="inlineStr">
        <is>
          <t>aus Nummernkreis hergeleitet</t>
        </is>
      </c>
      <c r="R1087" t="b">
        <v>0</v>
      </c>
    </row>
    <row r="1088">
      <c r="A1088" t="n">
        <v>81</v>
      </c>
      <c r="B1088" t="inlineStr">
        <is>
          <t>450012.0</t>
        </is>
      </c>
      <c r="C1088" t="inlineStr">
        <is>
          <t>Kilometergeld (pauschal)</t>
        </is>
      </c>
      <c r="D1088" t="inlineStr">
        <is>
          <t>REISE_WERBUNG</t>
        </is>
      </c>
      <c r="E1088" t="n">
        <v>2</v>
      </c>
      <c r="F1088" t="inlineStr">
        <is>
          <t>8 Sonstige betriebliche Aufwendungen</t>
        </is>
      </c>
      <c r="G1088" t="b">
        <v>0</v>
      </c>
      <c r="H1088" t="b">
        <v>0</v>
      </c>
      <c r="I1088" t="n">
        <v>450012</v>
      </c>
      <c r="J1088" t="inlineStr">
        <is>
          <t>Transport, Reise, Werbung</t>
        </is>
      </c>
      <c r="K1088" t="n">
        <v>80</v>
      </c>
      <c r="L1088" t="inlineStr">
        <is>
          <t>aufwand</t>
        </is>
      </c>
      <c r="M1088" t="inlineStr">
        <is>
          <t>Transport, Reise, Werbung</t>
        </is>
      </c>
      <c r="P1088" t="b">
        <v>1</v>
      </c>
      <c r="Q1088" t="inlineStr">
        <is>
          <t>aus Nummernkreis hergeleitet</t>
        </is>
      </c>
      <c r="R1088" t="b">
        <v>0</v>
      </c>
    </row>
    <row r="1089">
      <c r="A1089" t="n">
        <v>82</v>
      </c>
      <c r="B1089" t="inlineStr">
        <is>
          <t>450013.0</t>
        </is>
      </c>
      <c r="C1089" t="inlineStr">
        <is>
          <t>Kürzung Verpfleg.mehraufwand</t>
        </is>
      </c>
      <c r="D1089" t="inlineStr">
        <is>
          <t>REISE_WERBUNG</t>
        </is>
      </c>
      <c r="E1089" t="n">
        <v>2</v>
      </c>
      <c r="F1089" t="inlineStr">
        <is>
          <t>8 Sonstige betriebliche Aufwendungen</t>
        </is>
      </c>
      <c r="G1089" t="b">
        <v>0</v>
      </c>
      <c r="H1089" t="b">
        <v>0</v>
      </c>
      <c r="I1089" t="n">
        <v>450013</v>
      </c>
      <c r="J1089" t="inlineStr">
        <is>
          <t>Transport, Reise, Werbung</t>
        </is>
      </c>
      <c r="K1089" t="n">
        <v>80</v>
      </c>
      <c r="L1089" t="inlineStr">
        <is>
          <t>aufwand</t>
        </is>
      </c>
      <c r="M1089" t="inlineStr">
        <is>
          <t>Transport, Reise, Werbung</t>
        </is>
      </c>
      <c r="P1089" t="b">
        <v>1</v>
      </c>
      <c r="Q1089" t="inlineStr">
        <is>
          <t>aus Nummernkreis hergeleitet</t>
        </is>
      </c>
      <c r="R1089" t="b">
        <v>0</v>
      </c>
    </row>
    <row r="1090">
      <c r="A1090" t="n">
        <v>90</v>
      </c>
      <c r="B1090" t="inlineStr">
        <is>
          <t>450020.0</t>
        </is>
      </c>
      <c r="C1090" t="inlineStr">
        <is>
          <t>Reisekosten Betriebsfremde</t>
        </is>
      </c>
      <c r="D1090" t="inlineStr">
        <is>
          <t>REISE_WERBUNG</t>
        </is>
      </c>
      <c r="E1090" t="n">
        <v>2</v>
      </c>
      <c r="F1090" t="inlineStr">
        <is>
          <t>8 Sonstige betriebliche Aufwendungen</t>
        </is>
      </c>
      <c r="G1090" t="b">
        <v>0</v>
      </c>
      <c r="H1090" t="b">
        <v>0</v>
      </c>
      <c r="I1090" t="n">
        <v>450020</v>
      </c>
      <c r="J1090" t="inlineStr">
        <is>
          <t>Transport, Reise, Werbung</t>
        </is>
      </c>
      <c r="K1090" t="n">
        <v>80</v>
      </c>
      <c r="L1090" t="inlineStr">
        <is>
          <t>aufwand</t>
        </is>
      </c>
      <c r="M1090" t="inlineStr">
        <is>
          <t>Transport, Reise, Werbung</t>
        </is>
      </c>
      <c r="P1090" t="b">
        <v>1</v>
      </c>
      <c r="Q1090" t="inlineStr">
        <is>
          <t>aus Nummernkreis hergeleitet</t>
        </is>
      </c>
      <c r="R1090" t="b">
        <v>0</v>
      </c>
    </row>
    <row r="1091">
      <c r="A1091" t="n">
        <v>24</v>
      </c>
      <c r="B1091" t="inlineStr">
        <is>
          <t>450030.0</t>
        </is>
      </c>
      <c r="C1091" t="inlineStr">
        <is>
          <t>Bewirtung zu 100 % abzugsfähig</t>
        </is>
      </c>
      <c r="D1091" t="inlineStr">
        <is>
          <t>REISE_WERBUNG</t>
        </is>
      </c>
      <c r="E1091" t="n">
        <v>2</v>
      </c>
      <c r="F1091" t="inlineStr">
        <is>
          <t>8 Sonstige betriebliche Aufwendungen</t>
        </is>
      </c>
      <c r="G1091" t="b">
        <v>0</v>
      </c>
      <c r="H1091" t="b">
        <v>0</v>
      </c>
      <c r="I1091" t="n">
        <v>450030</v>
      </c>
      <c r="J1091" t="inlineStr">
        <is>
          <t>Transport, Reise, Werbung</t>
        </is>
      </c>
      <c r="K1091" t="n">
        <v>80</v>
      </c>
      <c r="L1091" t="inlineStr">
        <is>
          <t>aufwand</t>
        </is>
      </c>
      <c r="M1091" t="inlineStr">
        <is>
          <t>Transport, Reise, Werbung</t>
        </is>
      </c>
      <c r="P1091" t="b">
        <v>1</v>
      </c>
      <c r="Q1091" t="inlineStr">
        <is>
          <t>aus Nummernkreis hergeleitet</t>
        </is>
      </c>
      <c r="R1091" t="b">
        <v>0</v>
      </c>
    </row>
    <row r="1092">
      <c r="A1092" t="n">
        <v>35</v>
      </c>
      <c r="B1092" t="inlineStr">
        <is>
          <t>450039.0</t>
        </is>
      </c>
      <c r="C1092" t="inlineStr">
        <is>
          <t>Bewirtung zu 70 % abzugsfähig</t>
        </is>
      </c>
      <c r="D1092" t="inlineStr">
        <is>
          <t>REISE_WERBUNG</t>
        </is>
      </c>
      <c r="E1092" t="n">
        <v>2</v>
      </c>
      <c r="F1092" t="inlineStr">
        <is>
          <t>8 Sonstige betriebliche Aufwendungen</t>
        </is>
      </c>
      <c r="G1092" t="b">
        <v>0</v>
      </c>
      <c r="H1092" t="b">
        <v>0</v>
      </c>
      <c r="I1092" t="n">
        <v>450039</v>
      </c>
      <c r="J1092" t="inlineStr">
        <is>
          <t>Transport, Reise, Werbung</t>
        </is>
      </c>
      <c r="K1092" t="n">
        <v>80</v>
      </c>
      <c r="L1092" t="inlineStr">
        <is>
          <t>aufwand</t>
        </is>
      </c>
      <c r="M1092" t="inlineStr">
        <is>
          <t>Transport, Reise, Werbung</t>
        </is>
      </c>
      <c r="P1092" t="b">
        <v>1</v>
      </c>
      <c r="Q1092" t="inlineStr">
        <is>
          <t>aus Nummernkreis hergeleitet</t>
        </is>
      </c>
      <c r="R1092" t="b">
        <v>0</v>
      </c>
    </row>
    <row r="1093">
      <c r="A1093" t="n">
        <v>57</v>
      </c>
      <c r="B1093" t="inlineStr">
        <is>
          <t>450050.0</t>
        </is>
      </c>
      <c r="C1093" t="inlineStr">
        <is>
          <t>Allgemeine Repräsentationskosten</t>
        </is>
      </c>
      <c r="D1093" t="inlineStr">
        <is>
          <t>REISE_WERBUNG</t>
        </is>
      </c>
      <c r="E1093" t="n">
        <v>2</v>
      </c>
      <c r="F1093" t="inlineStr">
        <is>
          <t>8 Sonstige betriebliche Aufwendungen</t>
        </is>
      </c>
      <c r="G1093" t="b">
        <v>0</v>
      </c>
      <c r="H1093" t="b">
        <v>0</v>
      </c>
      <c r="I1093" t="n">
        <v>450050</v>
      </c>
      <c r="J1093" t="inlineStr">
        <is>
          <t>Transport, Reise, Werbung</t>
        </is>
      </c>
      <c r="K1093" t="n">
        <v>80</v>
      </c>
      <c r="L1093" t="inlineStr">
        <is>
          <t>aufwand</t>
        </is>
      </c>
      <c r="M1093" t="inlineStr">
        <is>
          <t>Transport, Reise, Werbung</t>
        </is>
      </c>
      <c r="P1093" t="b">
        <v>1</v>
      </c>
      <c r="Q1093" t="inlineStr">
        <is>
          <t>aus Nummernkreis hergeleitet</t>
        </is>
      </c>
      <c r="R1093" t="b">
        <v>0</v>
      </c>
    </row>
    <row r="1094">
      <c r="A1094" t="n">
        <v>58</v>
      </c>
      <c r="B1094" t="inlineStr">
        <is>
          <t>450061.0</t>
        </is>
      </c>
      <c r="C1094" t="inlineStr">
        <is>
          <t>Geschenke Zuwend. &lt; Wertgrenze Dritte/Ar</t>
        </is>
      </c>
      <c r="D1094" t="inlineStr">
        <is>
          <t>REISE_WERBUNG</t>
        </is>
      </c>
      <c r="E1094" t="n">
        <v>2</v>
      </c>
      <c r="F1094" t="inlineStr">
        <is>
          <t>8 Sonstige betriebliche Aufwendungen</t>
        </is>
      </c>
      <c r="G1094" t="b">
        <v>0</v>
      </c>
      <c r="H1094" t="b">
        <v>0</v>
      </c>
      <c r="I1094" t="n">
        <v>450061</v>
      </c>
      <c r="J1094" t="inlineStr">
        <is>
          <t>Transport, Reise, Werbung</t>
        </is>
      </c>
      <c r="K1094" t="n">
        <v>80</v>
      </c>
      <c r="L1094" t="inlineStr">
        <is>
          <t>aufwand</t>
        </is>
      </c>
      <c r="M1094" t="inlineStr">
        <is>
          <t>Transport, Reise, Werbung</t>
        </is>
      </c>
      <c r="P1094" t="b">
        <v>1</v>
      </c>
      <c r="Q1094" t="inlineStr">
        <is>
          <t>aus Nummernkreis hergeleitet</t>
        </is>
      </c>
      <c r="R1094" t="b">
        <v>0</v>
      </c>
    </row>
    <row r="1095">
      <c r="A1095" t="n">
        <v>106</v>
      </c>
      <c r="B1095" t="inlineStr">
        <is>
          <t>450081.0</t>
        </is>
      </c>
      <c r="C1095" t="inlineStr">
        <is>
          <t>Sponsoring</t>
        </is>
      </c>
      <c r="D1095" t="inlineStr">
        <is>
          <t>REISE_WERBUNG</t>
        </is>
      </c>
      <c r="E1095" t="n">
        <v>2</v>
      </c>
      <c r="F1095" t="inlineStr">
        <is>
          <t>8 Sonstige betriebliche Aufwendungen</t>
        </is>
      </c>
      <c r="G1095" t="b">
        <v>0</v>
      </c>
      <c r="H1095" t="b">
        <v>0</v>
      </c>
      <c r="I1095" t="n">
        <v>450081</v>
      </c>
      <c r="J1095" t="inlineStr">
        <is>
          <t>Transport, Reise, Werbung</t>
        </is>
      </c>
      <c r="K1095" t="n">
        <v>80</v>
      </c>
      <c r="L1095" t="inlineStr">
        <is>
          <t>aufwand</t>
        </is>
      </c>
      <c r="M1095" t="inlineStr">
        <is>
          <t>Transport, Reise, Werbung</t>
        </is>
      </c>
      <c r="P1095" t="b">
        <v>1</v>
      </c>
      <c r="Q1095" t="inlineStr">
        <is>
          <t>aus Nummernkreis hergeleitet</t>
        </is>
      </c>
      <c r="R1095" t="b">
        <v>0</v>
      </c>
    </row>
    <row r="1096">
      <c r="A1096" t="n">
        <v>59</v>
      </c>
      <c r="B1096" t="inlineStr">
        <is>
          <t>460020.0</t>
        </is>
      </c>
      <c r="C1096" t="inlineStr">
        <is>
          <t>Zeitungen, Zeitschrift.und Bücher</t>
        </is>
      </c>
      <c r="D1096" t="inlineStr">
        <is>
          <t>VERWALTUNG</t>
        </is>
      </c>
      <c r="E1096" t="n">
        <v>2</v>
      </c>
      <c r="F1096" t="inlineStr">
        <is>
          <t>8 Sonstige betriebliche Aufwendungen</t>
        </is>
      </c>
      <c r="G1096" t="b">
        <v>0</v>
      </c>
      <c r="H1096" t="b">
        <v>0</v>
      </c>
      <c r="I1096" t="n">
        <v>460020</v>
      </c>
      <c r="J1096" t="inlineStr">
        <is>
          <t>Verwaltung und Beratung</t>
        </is>
      </c>
      <c r="K1096" t="n">
        <v>80</v>
      </c>
      <c r="L1096" t="inlineStr">
        <is>
          <t>aufwand</t>
        </is>
      </c>
      <c r="M1096" t="inlineStr">
        <is>
          <t>Verwaltung und Beratung</t>
        </is>
      </c>
      <c r="P1096" t="b">
        <v>1</v>
      </c>
      <c r="Q1096" t="inlineStr">
        <is>
          <t>aus Nummernkreis hergeleitet</t>
        </is>
      </c>
      <c r="R1096" t="b">
        <v>0</v>
      </c>
    </row>
    <row r="1097">
      <c r="A1097" t="n">
        <v>91</v>
      </c>
      <c r="B1097" t="inlineStr">
        <is>
          <t>460080.0</t>
        </is>
      </c>
      <c r="C1097" t="inlineStr">
        <is>
          <t>Pflichtbeiträge zu Verbänden</t>
        </is>
      </c>
      <c r="D1097" t="inlineStr">
        <is>
          <t>VERWALTUNG</t>
        </is>
      </c>
      <c r="E1097" t="n">
        <v>2</v>
      </c>
      <c r="F1097" t="inlineStr">
        <is>
          <t>8 Sonstige betriebliche Aufwendungen</t>
        </is>
      </c>
      <c r="G1097" t="b">
        <v>0</v>
      </c>
      <c r="H1097" t="b">
        <v>0</v>
      </c>
      <c r="I1097" t="n">
        <v>460080</v>
      </c>
      <c r="J1097" t="inlineStr">
        <is>
          <t>Verwaltung und Beratung</t>
        </is>
      </c>
      <c r="K1097" t="n">
        <v>80</v>
      </c>
      <c r="L1097" t="inlineStr">
        <is>
          <t>aufwand</t>
        </is>
      </c>
      <c r="M1097" t="inlineStr">
        <is>
          <t>Verwaltung und Beratung</t>
        </is>
      </c>
      <c r="P1097" t="b">
        <v>1</v>
      </c>
      <c r="Q1097" t="inlineStr">
        <is>
          <t>aus Nummernkreis hergeleitet</t>
        </is>
      </c>
      <c r="R1097" t="b">
        <v>0</v>
      </c>
    </row>
    <row r="1098">
      <c r="A1098" t="n">
        <v>92</v>
      </c>
      <c r="B1098" t="inlineStr">
        <is>
          <t>460081.0</t>
        </is>
      </c>
      <c r="C1098" t="inlineStr">
        <is>
          <t>Beiträge zu sonstigen Vereinigungen</t>
        </is>
      </c>
      <c r="D1098" t="inlineStr">
        <is>
          <t>VERWALTUNG</t>
        </is>
      </c>
      <c r="E1098" t="n">
        <v>2</v>
      </c>
      <c r="F1098" t="inlineStr">
        <is>
          <t>8 Sonstige betriebliche Aufwendungen</t>
        </is>
      </c>
      <c r="G1098" t="b">
        <v>0</v>
      </c>
      <c r="H1098" t="b">
        <v>0</v>
      </c>
      <c r="I1098" t="n">
        <v>460081</v>
      </c>
      <c r="J1098" t="inlineStr">
        <is>
          <t>Verwaltung und Beratung</t>
        </is>
      </c>
      <c r="K1098" t="n">
        <v>80</v>
      </c>
      <c r="L1098" t="inlineStr">
        <is>
          <t>aufwand</t>
        </is>
      </c>
      <c r="M1098" t="inlineStr">
        <is>
          <t>Verwaltung und Beratung</t>
        </is>
      </c>
      <c r="P1098" t="b">
        <v>1</v>
      </c>
      <c r="Q1098" t="inlineStr">
        <is>
          <t>aus Nummernkreis hergeleitet</t>
        </is>
      </c>
      <c r="R1098" t="b">
        <v>0</v>
      </c>
    </row>
    <row r="1099">
      <c r="A1099" t="n">
        <v>6</v>
      </c>
      <c r="B1099" t="inlineStr">
        <is>
          <t>7612000.0</t>
        </is>
      </c>
      <c r="C1099" t="inlineStr">
        <is>
          <t>Verrechnung Geräte</t>
        </is>
      </c>
      <c r="D1099" t="inlineStr">
        <is>
          <t>GERAETEVERRECHNUNG</t>
        </is>
      </c>
      <c r="E1099" t="n">
        <v>1</v>
      </c>
      <c r="F1099" t="inlineStr">
        <is>
          <t>8 Sonstige betriebliche Aufwendungen</t>
        </is>
      </c>
      <c r="G1099" t="b">
        <v>1</v>
      </c>
      <c r="H1099" t="b">
        <v>1</v>
      </c>
      <c r="I1099" t="n">
        <v>7612000</v>
      </c>
      <c r="J1099" t="inlineStr">
        <is>
          <t>Innerbetriebliche Verrechnung</t>
        </is>
      </c>
      <c r="K1099" t="n">
        <v>80</v>
      </c>
      <c r="L1099" t="inlineStr">
        <is>
          <t>aufwand</t>
        </is>
      </c>
      <c r="M1099" t="inlineStr">
        <is>
          <t>Innerbetriebliche Verrechnung</t>
        </is>
      </c>
      <c r="P1099" t="b">
        <v>1</v>
      </c>
      <c r="Q1099" t="inlineStr">
        <is>
          <t>aus Nummernkreis hergeleitet</t>
        </is>
      </c>
      <c r="R1099" t="b">
        <v>0</v>
      </c>
    </row>
    <row r="1100">
      <c r="A1100" t="n">
        <v>7</v>
      </c>
      <c r="B1100" t="inlineStr">
        <is>
          <t>7801020.0</t>
        </is>
      </c>
      <c r="C1100" t="inlineStr">
        <is>
          <t>Gemeinkostenzuschläge 12 % TVF Altwert</t>
        </is>
      </c>
      <c r="D1100" t="inlineStr">
        <is>
          <t>GEMEINKOSTENUMLAGE</t>
        </is>
      </c>
      <c r="E1100" t="n">
        <v>2</v>
      </c>
      <c r="F1100" t="inlineStr">
        <is>
          <t>8 Sonstige betriebliche Aufwendungen</t>
        </is>
      </c>
      <c r="G1100" t="b">
        <v>0</v>
      </c>
      <c r="H1100" t="b">
        <v>0</v>
      </c>
      <c r="I1100" t="n">
        <v>7801020</v>
      </c>
      <c r="J1100" t="inlineStr">
        <is>
          <t>Innerbetriebliche Verrechnung</t>
        </is>
      </c>
      <c r="K1100" t="n">
        <v>80</v>
      </c>
      <c r="L1100" t="inlineStr">
        <is>
          <t>aufwand</t>
        </is>
      </c>
      <c r="M1100" t="inlineStr">
        <is>
          <t>Innerbetriebliche Verrechnung</t>
        </is>
      </c>
      <c r="P1100" t="b">
        <v>1</v>
      </c>
      <c r="Q1100" t="inlineStr">
        <is>
          <t>aus Nummernkreis hergeleitet</t>
        </is>
      </c>
      <c r="R1100" t="b">
        <v>0</v>
      </c>
    </row>
    <row r="1101">
      <c r="A1101" t="n">
        <v>163</v>
      </c>
      <c r="B1101" t="inlineStr">
        <is>
          <t>560006</t>
        </is>
      </c>
      <c r="C1101" t="inlineStr">
        <is>
          <t>ERP-Systeme</t>
        </is>
      </c>
      <c r="D1101" t="inlineStr">
        <is>
          <t>SONSTIGES</t>
        </is>
      </c>
      <c r="E1101" t="n">
        <v>2</v>
      </c>
      <c r="F1101" t="inlineStr">
        <is>
          <t>8 Sonstige betriebliche Aufwendungen</t>
        </is>
      </c>
      <c r="G1101" t="b">
        <v>0</v>
      </c>
      <c r="H1101" t="b">
        <v>0</v>
      </c>
      <c r="I1101" t="n">
        <v>560006</v>
      </c>
      <c r="J1101" t="inlineStr">
        <is>
          <t>Sonstiges</t>
        </is>
      </c>
      <c r="K1101" t="n">
        <v>80</v>
      </c>
      <c r="L1101" t="inlineStr">
        <is>
          <t>aufwand</t>
        </is>
      </c>
      <c r="M1101" t="inlineStr">
        <is>
          <t>Sonstiges</t>
        </is>
      </c>
      <c r="P1101" t="b">
        <v>0</v>
      </c>
      <c r="Q1101" t="inlineStr">
        <is>
          <t>aus Nummernkreis hergeleitet</t>
        </is>
      </c>
      <c r="R1101" t="b">
        <v>0</v>
      </c>
    </row>
    <row r="1102">
      <c r="A1102" t="n">
        <v>172</v>
      </c>
      <c r="B1102" t="inlineStr">
        <is>
          <t>460050</t>
        </is>
      </c>
      <c r="C1102" t="inlineStr">
        <is>
          <t>Neu aus Import – Bezeichnung pflegen</t>
        </is>
      </c>
      <c r="D1102" t="inlineStr">
        <is>
          <t>VERWALTUNG</t>
        </is>
      </c>
      <c r="E1102" t="n">
        <v>2</v>
      </c>
      <c r="F1102" t="inlineStr">
        <is>
          <t>8 Sonstige betriebliche Aufwendungen</t>
        </is>
      </c>
      <c r="G1102" t="b">
        <v>0</v>
      </c>
      <c r="H1102" t="b">
        <v>0</v>
      </c>
      <c r="I1102" t="n">
        <v>460050</v>
      </c>
      <c r="J1102" t="inlineStr">
        <is>
          <t>Verwaltung und Beratung</t>
        </is>
      </c>
      <c r="K1102" t="n">
        <v>80</v>
      </c>
      <c r="L1102" t="inlineStr">
        <is>
          <t>aufwand</t>
        </is>
      </c>
      <c r="M1102" t="inlineStr">
        <is>
          <t>Verwaltung und Beratung</t>
        </is>
      </c>
      <c r="P1102" t="b">
        <v>1</v>
      </c>
      <c r="Q1102" t="inlineStr">
        <is>
          <t>aus Nummernkreis hergeleitet</t>
        </is>
      </c>
      <c r="R1102" t="b">
        <v>0</v>
      </c>
    </row>
    <row r="1103">
      <c r="A1103" t="n">
        <v>173</v>
      </c>
      <c r="B1103" t="inlineStr">
        <is>
          <t>410010</t>
        </is>
      </c>
      <c r="C1103" t="inlineStr">
        <is>
          <t>Neu aus Import – Bezeichnung pflegen</t>
        </is>
      </c>
      <c r="D1103" t="inlineStr">
        <is>
          <t>PERSONAL</t>
        </is>
      </c>
      <c r="E1103" t="n">
        <v>2</v>
      </c>
      <c r="F1103" t="inlineStr">
        <is>
          <t>6 Personalaufwand</t>
        </is>
      </c>
      <c r="G1103" t="b">
        <v>0</v>
      </c>
      <c r="H1103" t="b">
        <v>0</v>
      </c>
      <c r="I1103" t="n">
        <v>410010</v>
      </c>
      <c r="J1103" t="inlineStr">
        <is>
          <t>Personal</t>
        </is>
      </c>
      <c r="K1103" t="n">
        <v>60</v>
      </c>
      <c r="L1103" t="inlineStr">
        <is>
          <t>aufwand</t>
        </is>
      </c>
      <c r="M1103" t="inlineStr">
        <is>
          <t>Personal</t>
        </is>
      </c>
      <c r="P1103" t="b">
        <v>1</v>
      </c>
      <c r="Q1103" t="inlineStr">
        <is>
          <t>aus Nummernkreis hergeleitet</t>
        </is>
      </c>
      <c r="R1103" t="b">
        <v>0</v>
      </c>
    </row>
    <row r="1104">
      <c r="A1104" t="n">
        <v>175</v>
      </c>
      <c r="B1104" t="inlineStr">
        <is>
          <t>411021</t>
        </is>
      </c>
      <c r="C1104" t="inlineStr">
        <is>
          <t>Neu aus Import – Bezeichnung pflegen</t>
        </is>
      </c>
      <c r="D1104" t="inlineStr">
        <is>
          <t>PERSONAL</t>
        </is>
      </c>
      <c r="E1104" t="n">
        <v>2</v>
      </c>
      <c r="F1104" t="inlineStr">
        <is>
          <t>6 Personalaufwand</t>
        </is>
      </c>
      <c r="G1104" t="b">
        <v>0</v>
      </c>
      <c r="H1104" t="b">
        <v>0</v>
      </c>
      <c r="I1104" t="n">
        <v>411021</v>
      </c>
      <c r="J1104" t="inlineStr">
        <is>
          <t>Personal</t>
        </is>
      </c>
      <c r="K1104" t="n">
        <v>60</v>
      </c>
      <c r="L1104" t="inlineStr">
        <is>
          <t>aufwand</t>
        </is>
      </c>
      <c r="M1104" t="inlineStr">
        <is>
          <t>Personal</t>
        </is>
      </c>
      <c r="P1104" t="b">
        <v>1</v>
      </c>
      <c r="Q1104" t="inlineStr">
        <is>
          <t>aus Nummernkreis hergeleitet</t>
        </is>
      </c>
      <c r="R1104" t="b">
        <v>0</v>
      </c>
    </row>
    <row r="1105">
      <c r="A1105" t="n">
        <v>176</v>
      </c>
      <c r="B1105" t="inlineStr">
        <is>
          <t>410060</t>
        </is>
      </c>
      <c r="C1105" t="inlineStr">
        <is>
          <t>Neu aus Import – Bezeichnung pflegen</t>
        </is>
      </c>
      <c r="D1105" t="inlineStr">
        <is>
          <t>PERSONAL</t>
        </is>
      </c>
      <c r="E1105" t="n">
        <v>2</v>
      </c>
      <c r="F1105" t="inlineStr">
        <is>
          <t>6 Personalaufwand</t>
        </is>
      </c>
      <c r="G1105" t="b">
        <v>0</v>
      </c>
      <c r="H1105" t="b">
        <v>0</v>
      </c>
      <c r="I1105" t="n">
        <v>410060</v>
      </c>
      <c r="J1105" t="inlineStr">
        <is>
          <t>Personal</t>
        </is>
      </c>
      <c r="K1105" t="n">
        <v>60</v>
      </c>
      <c r="L1105" t="inlineStr">
        <is>
          <t>aufwand</t>
        </is>
      </c>
      <c r="M1105" t="inlineStr">
        <is>
          <t>Personal</t>
        </is>
      </c>
      <c r="P1105" t="b">
        <v>1</v>
      </c>
      <c r="Q1105" t="inlineStr">
        <is>
          <t>aus Nummernkreis hergeleitet</t>
        </is>
      </c>
      <c r="R1105" t="b">
        <v>0</v>
      </c>
    </row>
    <row r="1106">
      <c r="A1106" t="n">
        <v>177</v>
      </c>
      <c r="B1106" t="inlineStr">
        <is>
          <t>410160</t>
        </is>
      </c>
      <c r="C1106" t="inlineStr">
        <is>
          <t>Neu aus Import – Bezeichnung pflegen</t>
        </is>
      </c>
      <c r="D1106" t="inlineStr">
        <is>
          <t>PERSONAL</t>
        </is>
      </c>
      <c r="E1106" t="n">
        <v>2</v>
      </c>
      <c r="F1106" t="inlineStr">
        <is>
          <t>6 Personalaufwand</t>
        </is>
      </c>
      <c r="G1106" t="b">
        <v>0</v>
      </c>
      <c r="H1106" t="b">
        <v>0</v>
      </c>
      <c r="I1106" t="n">
        <v>410160</v>
      </c>
      <c r="J1106" t="inlineStr">
        <is>
          <t>Personal</t>
        </is>
      </c>
      <c r="K1106" t="n">
        <v>60</v>
      </c>
      <c r="L1106" t="inlineStr">
        <is>
          <t>aufwand</t>
        </is>
      </c>
      <c r="M1106" t="inlineStr">
        <is>
          <t>Personal</t>
        </is>
      </c>
      <c r="P1106" t="b">
        <v>1</v>
      </c>
      <c r="Q1106" t="inlineStr">
        <is>
          <t>aus Nummernkreis hergeleitet</t>
        </is>
      </c>
      <c r="R1106" t="b">
        <v>0</v>
      </c>
    </row>
    <row r="1107">
      <c r="A1107" t="n">
        <v>178</v>
      </c>
      <c r="B1107" t="inlineStr">
        <is>
          <t>410110</t>
        </is>
      </c>
      <c r="C1107" t="inlineStr">
        <is>
          <t>Neu aus Import – Bezeichnung pflegen</t>
        </is>
      </c>
      <c r="D1107" t="inlineStr">
        <is>
          <t>PERSONAL</t>
        </is>
      </c>
      <c r="E1107" t="n">
        <v>2</v>
      </c>
      <c r="F1107" t="inlineStr">
        <is>
          <t>6 Personalaufwand</t>
        </is>
      </c>
      <c r="G1107" t="b">
        <v>0</v>
      </c>
      <c r="H1107" t="b">
        <v>0</v>
      </c>
      <c r="I1107" t="n">
        <v>410110</v>
      </c>
      <c r="J1107" t="inlineStr">
        <is>
          <t>Personal</t>
        </is>
      </c>
      <c r="K1107" t="n">
        <v>60</v>
      </c>
      <c r="L1107" t="inlineStr">
        <is>
          <t>aufwand</t>
        </is>
      </c>
      <c r="M1107" t="inlineStr">
        <is>
          <t>Personal</t>
        </is>
      </c>
      <c r="P1107" t="b">
        <v>1</v>
      </c>
      <c r="Q1107" t="inlineStr">
        <is>
          <t>aus Nummernkreis hergeleitet</t>
        </is>
      </c>
      <c r="R1107" t="b">
        <v>0</v>
      </c>
    </row>
    <row r="1108">
      <c r="A1108" t="n">
        <v>42</v>
      </c>
      <c r="B1108" t="inlineStr">
        <is>
          <t>289200.0</t>
        </is>
      </c>
      <c r="C1108" t="inlineStr">
        <is>
          <t>Verr. kalk. Zinsen</t>
        </is>
      </c>
      <c r="D1108" t="inlineStr">
        <is>
          <t>KALKULATORISCH</t>
        </is>
      </c>
      <c r="E1108" t="n">
        <v>9</v>
      </c>
      <c r="F1108" t="inlineStr">
        <is>
          <t>9 Kalkulatorische Kosten</t>
        </is>
      </c>
      <c r="G1108" t="b">
        <v>0</v>
      </c>
      <c r="H1108" t="b">
        <v>0</v>
      </c>
      <c r="I1108" t="n">
        <v>289200</v>
      </c>
      <c r="J1108" t="inlineStr">
        <is>
          <t>Kalkulatorische Kosten</t>
        </is>
      </c>
      <c r="K1108" t="n">
        <v>90</v>
      </c>
      <c r="L1108" t="inlineStr">
        <is>
          <t>neutral</t>
        </is>
      </c>
      <c r="M1108" t="inlineStr">
        <is>
          <t>Kalkulatorische Kosten</t>
        </is>
      </c>
      <c r="P1108" t="b">
        <v>0</v>
      </c>
      <c r="Q1108" t="inlineStr">
        <is>
          <t>aus Nummernkreis hergeleitet</t>
        </is>
      </c>
      <c r="R1108" t="b">
        <v>1</v>
      </c>
    </row>
    <row r="1109">
      <c r="A1109" t="n">
        <v>43</v>
      </c>
      <c r="B1109" t="inlineStr">
        <is>
          <t>289300.0</t>
        </is>
      </c>
      <c r="C1109" t="inlineStr">
        <is>
          <t>Verr. kalk. Abschreibungen</t>
        </is>
      </c>
      <c r="D1109" t="inlineStr">
        <is>
          <t>KALKULATORISCH</t>
        </is>
      </c>
      <c r="E1109" t="n">
        <v>9</v>
      </c>
      <c r="F1109" t="inlineStr">
        <is>
          <t>9 Kalkulatorische Kosten</t>
        </is>
      </c>
      <c r="G1109" t="b">
        <v>0</v>
      </c>
      <c r="H1109" t="b">
        <v>0</v>
      </c>
      <c r="I1109" t="n">
        <v>289300</v>
      </c>
      <c r="J1109" t="inlineStr">
        <is>
          <t>Kalkulatorische Kosten</t>
        </is>
      </c>
      <c r="K1109" t="n">
        <v>90</v>
      </c>
      <c r="L1109" t="inlineStr">
        <is>
          <t>neutral</t>
        </is>
      </c>
      <c r="M1109" t="inlineStr">
        <is>
          <t>Kalkulatorische Kosten</t>
        </is>
      </c>
      <c r="P1109" t="b">
        <v>0</v>
      </c>
      <c r="Q1109" t="inlineStr">
        <is>
          <t>aus Nummernkreis hergeleitet</t>
        </is>
      </c>
      <c r="R1109" t="b">
        <v>1</v>
      </c>
    </row>
    <row r="1110">
      <c r="A1110" t="n">
        <v>37</v>
      </c>
      <c r="B1110" t="inlineStr">
        <is>
          <t>300075.0</t>
        </is>
      </c>
      <c r="C1110" t="inlineStr">
        <is>
          <t>Materialaufwand Abbruch u. Rückbau</t>
        </is>
      </c>
      <c r="D1110" t="inlineStr">
        <is>
          <t>MATERIAL</t>
        </is>
      </c>
      <c r="E1110" t="n">
        <v>1</v>
      </c>
      <c r="F1110" t="inlineStr">
        <is>
          <t>4 Materialaufwand</t>
        </is>
      </c>
      <c r="G1110" t="b">
        <v>1</v>
      </c>
      <c r="H1110" t="b">
        <v>1</v>
      </c>
      <c r="I1110" t="n">
        <v>300075</v>
      </c>
      <c r="J1110" t="inlineStr">
        <is>
          <t>Material und Fremdleistungen</t>
        </is>
      </c>
      <c r="K1110" t="n">
        <v>40</v>
      </c>
      <c r="L1110" t="inlineStr">
        <is>
          <t>aufwand</t>
        </is>
      </c>
      <c r="M1110" t="inlineStr">
        <is>
          <t>Material und Fremdleistungen</t>
        </is>
      </c>
      <c r="P1110" t="b">
        <v>1</v>
      </c>
      <c r="Q1110" t="inlineStr">
        <is>
          <t>aus Nummernkreis hergeleitet</t>
        </is>
      </c>
      <c r="R1110" t="b">
        <v>0</v>
      </c>
    </row>
    <row r="1111">
      <c r="A1111" t="n">
        <v>79</v>
      </c>
      <c r="B1111" t="inlineStr">
        <is>
          <t>310010.0</t>
        </is>
      </c>
      <c r="C1111" t="inlineStr">
        <is>
          <t>Reinigungsmaterial</t>
        </is>
      </c>
      <c r="D1111" t="inlineStr">
        <is>
          <t>MATERIAL</t>
        </is>
      </c>
      <c r="E1111" t="n">
        <v>1</v>
      </c>
      <c r="F1111" t="inlineStr">
        <is>
          <t>4 Materialaufwand</t>
        </is>
      </c>
      <c r="G1111" t="b">
        <v>1</v>
      </c>
      <c r="H1111" t="b">
        <v>1</v>
      </c>
      <c r="I1111" t="n">
        <v>310010</v>
      </c>
      <c r="J1111" t="inlineStr">
        <is>
          <t>Material und Fremdleistungen</t>
        </is>
      </c>
      <c r="K1111" t="n">
        <v>40</v>
      </c>
      <c r="L1111" t="inlineStr">
        <is>
          <t>aufwand</t>
        </is>
      </c>
      <c r="M1111" t="inlineStr">
        <is>
          <t>Material und Fremdleistungen</t>
        </is>
      </c>
      <c r="P1111" t="b">
        <v>1</v>
      </c>
      <c r="Q1111" t="inlineStr">
        <is>
          <t>aus Nummernkreis hergeleitet</t>
        </is>
      </c>
      <c r="R1111" t="b">
        <v>0</v>
      </c>
    </row>
    <row r="1112">
      <c r="A1112" t="n">
        <v>20</v>
      </c>
      <c r="B1112" t="inlineStr">
        <is>
          <t>310080.0</t>
        </is>
      </c>
      <c r="C1112" t="inlineStr">
        <is>
          <t>Technische Gase</t>
        </is>
      </c>
      <c r="D1112" t="inlineStr">
        <is>
          <t>MATERIAL</t>
        </is>
      </c>
      <c r="E1112" t="n">
        <v>1</v>
      </c>
      <c r="F1112" t="inlineStr">
        <is>
          <t>4 Materialaufwand</t>
        </is>
      </c>
      <c r="G1112" t="b">
        <v>1</v>
      </c>
      <c r="H1112" t="b">
        <v>1</v>
      </c>
      <c r="I1112" t="n">
        <v>310080</v>
      </c>
      <c r="J1112" t="inlineStr">
        <is>
          <t>Material und Fremdleistungen</t>
        </is>
      </c>
      <c r="K1112" t="n">
        <v>40</v>
      </c>
      <c r="L1112" t="inlineStr">
        <is>
          <t>aufwand</t>
        </is>
      </c>
      <c r="M1112" t="inlineStr">
        <is>
          <t>Material und Fremdleistungen</t>
        </is>
      </c>
      <c r="P1112" t="b">
        <v>1</v>
      </c>
      <c r="Q1112" t="inlineStr">
        <is>
          <t>aus Nummernkreis hergeleitet</t>
        </is>
      </c>
      <c r="R1112" t="b">
        <v>0</v>
      </c>
    </row>
    <row r="1113">
      <c r="A1113" t="n">
        <v>18</v>
      </c>
      <c r="B1113" t="inlineStr">
        <is>
          <t>340600.0</t>
        </is>
      </c>
      <c r="C1113" t="inlineStr">
        <is>
          <t>Bezogene Leistung periodenfremd</t>
        </is>
      </c>
      <c r="D1113" t="inlineStr">
        <is>
          <t>FREMDLEISTUNG</t>
        </is>
      </c>
      <c r="E1113" t="n">
        <v>1</v>
      </c>
      <c r="F1113" t="inlineStr">
        <is>
          <t>5 Aufwand für bezogene Leistungen</t>
        </is>
      </c>
      <c r="G1113" t="b">
        <v>1</v>
      </c>
      <c r="H1113" t="b">
        <v>1</v>
      </c>
      <c r="I1113" t="n">
        <v>340600</v>
      </c>
      <c r="J1113" t="inlineStr">
        <is>
          <t>Material und Fremdleistungen</t>
        </is>
      </c>
      <c r="K1113" t="n">
        <v>50</v>
      </c>
      <c r="L1113" t="inlineStr">
        <is>
          <t>aufwand</t>
        </is>
      </c>
      <c r="M1113" t="inlineStr">
        <is>
          <t>Material und Fremdleistungen</t>
        </is>
      </c>
      <c r="P1113" t="b">
        <v>1</v>
      </c>
      <c r="Q1113" t="inlineStr">
        <is>
          <t>aus Nummernkreis hergeleitet</t>
        </is>
      </c>
      <c r="R1113" t="b">
        <v>0</v>
      </c>
    </row>
    <row r="1114">
      <c r="A1114" t="n">
        <v>3</v>
      </c>
      <c r="B1114" t="inlineStr">
        <is>
          <t>392000.0</t>
        </is>
      </c>
      <c r="C1114" t="inlineStr">
        <is>
          <t>Bestandsveränderungen unfertige Erzeugni</t>
        </is>
      </c>
      <c r="D1114" t="inlineStr">
        <is>
          <t>BESTANDSVERAENDERUNG</t>
        </is>
      </c>
      <c r="E1114" t="n">
        <v>0</v>
      </c>
      <c r="F1114" t="inlineStr">
        <is>
          <t>2 Bestandsveränderungen</t>
        </is>
      </c>
      <c r="G1114" t="b">
        <v>0</v>
      </c>
      <c r="H1114" t="b">
        <v>0</v>
      </c>
      <c r="I1114" t="n">
        <v>392000</v>
      </c>
      <c r="J1114" t="inlineStr">
        <is>
          <t>Bestandsveränderung</t>
        </is>
      </c>
      <c r="K1114" t="n">
        <v>20</v>
      </c>
      <c r="L1114" t="inlineStr">
        <is>
          <t>bestandsveraenderung</t>
        </is>
      </c>
      <c r="M1114" t="inlineStr">
        <is>
          <t>Bestandsveränderung</t>
        </is>
      </c>
      <c r="P1114" t="b">
        <v>1</v>
      </c>
      <c r="Q1114" t="inlineStr">
        <is>
          <t>aus Nummernkreis hergeleitet</t>
        </is>
      </c>
      <c r="R1114" t="b">
        <v>0</v>
      </c>
    </row>
    <row r="1115">
      <c r="A1115" t="n">
        <v>85</v>
      </c>
      <c r="B1115" t="inlineStr">
        <is>
          <t>460090.0</t>
        </is>
      </c>
      <c r="C1115" t="inlineStr">
        <is>
          <t>Schreib- und Verwaltungsgebühren an Behö</t>
        </is>
      </c>
      <c r="D1115" t="inlineStr">
        <is>
          <t>VERWALTUNG</t>
        </is>
      </c>
      <c r="E1115" t="n">
        <v>2</v>
      </c>
      <c r="F1115" t="inlineStr">
        <is>
          <t>8 Sonstige betriebliche Aufwendungen</t>
        </is>
      </c>
      <c r="G1115" t="b">
        <v>0</v>
      </c>
      <c r="H1115" t="b">
        <v>0</v>
      </c>
      <c r="I1115" t="n">
        <v>460090</v>
      </c>
      <c r="J1115" t="inlineStr">
        <is>
          <t>Verwaltung und Beratung</t>
        </is>
      </c>
      <c r="K1115" t="n">
        <v>80</v>
      </c>
      <c r="L1115" t="inlineStr">
        <is>
          <t>aufwand</t>
        </is>
      </c>
      <c r="M1115" t="inlineStr">
        <is>
          <t>Verwaltung und Beratung</t>
        </is>
      </c>
      <c r="P1115" t="b">
        <v>1</v>
      </c>
      <c r="Q1115" t="inlineStr">
        <is>
          <t>aus Nummernkreis hergeleitet</t>
        </is>
      </c>
      <c r="R1115" t="b">
        <v>0</v>
      </c>
    </row>
    <row r="1116">
      <c r="A1116" t="n">
        <v>61</v>
      </c>
      <c r="B1116" t="inlineStr">
        <is>
          <t>460200.0</t>
        </is>
      </c>
      <c r="C1116" t="inlineStr">
        <is>
          <t>Beiträge Fachtagungen</t>
        </is>
      </c>
      <c r="D1116" t="inlineStr">
        <is>
          <t>VERWALTUNG</t>
        </is>
      </c>
      <c r="E1116" t="n">
        <v>2</v>
      </c>
      <c r="F1116" t="inlineStr">
        <is>
          <t>8 Sonstige betriebliche Aufwendungen</t>
        </is>
      </c>
      <c r="G1116" t="b">
        <v>0</v>
      </c>
      <c r="H1116" t="b">
        <v>0</v>
      </c>
      <c r="I1116" t="n">
        <v>460200</v>
      </c>
      <c r="J1116" t="inlineStr">
        <is>
          <t>Verwaltung und Beratung</t>
        </is>
      </c>
      <c r="K1116" t="n">
        <v>80</v>
      </c>
      <c r="L1116" t="inlineStr">
        <is>
          <t>aufwand</t>
        </is>
      </c>
      <c r="M1116" t="inlineStr">
        <is>
          <t>Verwaltung und Beratung</t>
        </is>
      </c>
      <c r="P1116" t="b">
        <v>1</v>
      </c>
      <c r="Q1116" t="inlineStr">
        <is>
          <t>aus Nummernkreis hergeleitet</t>
        </is>
      </c>
      <c r="R1116" t="b">
        <v>0</v>
      </c>
    </row>
    <row r="1117">
      <c r="A1117" t="n">
        <v>94</v>
      </c>
      <c r="B1117" t="inlineStr">
        <is>
          <t>470025.0</t>
        </is>
      </c>
      <c r="C1117" t="inlineStr">
        <is>
          <t>Steuerberatungskosten</t>
        </is>
      </c>
      <c r="D1117" t="inlineStr">
        <is>
          <t>BERATUNG_UMLAGE</t>
        </is>
      </c>
      <c r="E1117" t="n">
        <v>2</v>
      </c>
      <c r="F1117" t="inlineStr">
        <is>
          <t>8 Sonstige betriebliche Aufwendungen</t>
        </is>
      </c>
      <c r="G1117" t="b">
        <v>0</v>
      </c>
      <c r="H1117" t="b">
        <v>0</v>
      </c>
      <c r="I1117" t="n">
        <v>470025</v>
      </c>
      <c r="J1117" t="inlineStr">
        <is>
          <t>Verwaltung und Beratung</t>
        </is>
      </c>
      <c r="K1117" t="n">
        <v>80</v>
      </c>
      <c r="L1117" t="inlineStr">
        <is>
          <t>aufwand</t>
        </is>
      </c>
      <c r="M1117" t="inlineStr">
        <is>
          <t>Verwaltung und Beratung</t>
        </is>
      </c>
      <c r="P1117" t="b">
        <v>1</v>
      </c>
      <c r="Q1117" t="inlineStr">
        <is>
          <t>aus Nummernkreis hergeleitet</t>
        </is>
      </c>
      <c r="R1117" t="b">
        <v>0</v>
      </c>
    </row>
    <row r="1118">
      <c r="A1118" t="n">
        <v>66</v>
      </c>
      <c r="B1118" t="inlineStr">
        <is>
          <t>480110.0</t>
        </is>
      </c>
      <c r="C1118" t="inlineStr">
        <is>
          <t>Abschreibungen auf Anlagen (GWG)</t>
        </is>
      </c>
      <c r="D1118" t="inlineStr">
        <is>
          <t>ABSCHREIBUNG</t>
        </is>
      </c>
      <c r="E1118" t="n">
        <v>2</v>
      </c>
      <c r="F1118" t="inlineStr">
        <is>
          <t>7 Abschreibungen</t>
        </is>
      </c>
      <c r="G1118" t="b">
        <v>0</v>
      </c>
      <c r="H1118" t="b">
        <v>0</v>
      </c>
      <c r="I1118" t="n">
        <v>480110</v>
      </c>
      <c r="J1118" t="inlineStr">
        <is>
          <t>Abschreibungen</t>
        </is>
      </c>
      <c r="K1118" t="n">
        <v>70</v>
      </c>
      <c r="L1118" t="inlineStr">
        <is>
          <t>afa</t>
        </is>
      </c>
      <c r="M1118" t="inlineStr">
        <is>
          <t>Abschreibungen</t>
        </is>
      </c>
      <c r="P1118" t="b">
        <v>0</v>
      </c>
      <c r="Q1118" t="inlineStr">
        <is>
          <t>aus Nummernkreis hergeleitet</t>
        </is>
      </c>
      <c r="R1118" t="b">
        <v>0</v>
      </c>
    </row>
    <row r="1119">
      <c r="A1119" t="n">
        <v>67</v>
      </c>
      <c r="B1119" t="inlineStr">
        <is>
          <t>499200.0</t>
        </is>
      </c>
      <c r="C1119" t="inlineStr">
        <is>
          <t>Kalk. Zinsen</t>
        </is>
      </c>
      <c r="D1119" t="inlineStr">
        <is>
          <t>KALKULATORISCH</t>
        </is>
      </c>
      <c r="E1119" t="n">
        <v>9</v>
      </c>
      <c r="F1119" t="inlineStr">
        <is>
          <t>9 Kalkulatorische Kosten</t>
        </is>
      </c>
      <c r="G1119" t="b">
        <v>0</v>
      </c>
      <c r="H1119" t="b">
        <v>0</v>
      </c>
      <c r="I1119" t="n">
        <v>499200</v>
      </c>
      <c r="J1119" t="inlineStr">
        <is>
          <t>Kalkulatorische Kosten</t>
        </is>
      </c>
      <c r="K1119" t="n">
        <v>90</v>
      </c>
      <c r="L1119" t="inlineStr">
        <is>
          <t>neutral</t>
        </is>
      </c>
      <c r="M1119" t="inlineStr">
        <is>
          <t>Kalkulatorische Kosten</t>
        </is>
      </c>
      <c r="P1119" t="b">
        <v>0</v>
      </c>
      <c r="Q1119" t="inlineStr">
        <is>
          <t>aus Nummernkreis hergeleitet</t>
        </is>
      </c>
      <c r="R1119" t="b">
        <v>1</v>
      </c>
    </row>
    <row r="1120">
      <c r="A1120" t="n">
        <v>68</v>
      </c>
      <c r="B1120" t="inlineStr">
        <is>
          <t>499300.0</t>
        </is>
      </c>
      <c r="C1120" t="inlineStr">
        <is>
          <t>Kalk. Abschreibungen</t>
        </is>
      </c>
      <c r="D1120" t="inlineStr">
        <is>
          <t>KALKULATORISCH</t>
        </is>
      </c>
      <c r="E1120" t="n">
        <v>9</v>
      </c>
      <c r="F1120" t="inlineStr">
        <is>
          <t>9 Kalkulatorische Kosten</t>
        </is>
      </c>
      <c r="G1120" t="b">
        <v>0</v>
      </c>
      <c r="H1120" t="b">
        <v>0</v>
      </c>
      <c r="I1120" t="n">
        <v>499300</v>
      </c>
      <c r="J1120" t="inlineStr">
        <is>
          <t>Kalkulatorische Kosten</t>
        </is>
      </c>
      <c r="K1120" t="n">
        <v>90</v>
      </c>
      <c r="L1120" t="inlineStr">
        <is>
          <t>neutral</t>
        </is>
      </c>
      <c r="M1120" t="inlineStr">
        <is>
          <t>Kalkulatorische Kosten</t>
        </is>
      </c>
      <c r="P1120" t="b">
        <v>0</v>
      </c>
      <c r="Q1120" t="inlineStr">
        <is>
          <t>aus Nummernkreis hergeleitet</t>
        </is>
      </c>
      <c r="R1120" t="b">
        <v>1</v>
      </c>
    </row>
    <row r="1121">
      <c r="A1121" t="n">
        <v>10</v>
      </c>
      <c r="B1121" t="inlineStr">
        <is>
          <t>7611100.0</t>
        </is>
      </c>
      <c r="C1121" t="inlineStr">
        <is>
          <t>Lohnverr. Gruppe1</t>
        </is>
      </c>
      <c r="D1121" t="inlineStr">
        <is>
          <t>LOHNVERRECHNUNG</t>
        </is>
      </c>
      <c r="E1121" t="n">
        <v>1</v>
      </c>
      <c r="F1121" t="inlineStr">
        <is>
          <t>6 Personalaufwand</t>
        </is>
      </c>
      <c r="G1121" t="b">
        <v>1</v>
      </c>
      <c r="H1121" t="b">
        <v>1</v>
      </c>
      <c r="I1121" t="n">
        <v>7611100</v>
      </c>
      <c r="J1121" t="inlineStr">
        <is>
          <t>Innerbetriebliche Verrechnung</t>
        </is>
      </c>
      <c r="K1121" t="n">
        <v>60</v>
      </c>
      <c r="L1121" t="inlineStr">
        <is>
          <t>aufwand</t>
        </is>
      </c>
      <c r="M1121" t="inlineStr">
        <is>
          <t>Innerbetriebliche Verrechnung</t>
        </is>
      </c>
      <c r="P1121" t="b">
        <v>1</v>
      </c>
      <c r="Q1121" t="inlineStr">
        <is>
          <t>aus Nummernkreis hergeleitet</t>
        </is>
      </c>
      <c r="R1121" t="b">
        <v>0</v>
      </c>
    </row>
    <row r="1122">
      <c r="A1122" t="n">
        <v>5</v>
      </c>
      <c r="B1122" t="inlineStr">
        <is>
          <t>7611200.0</t>
        </is>
      </c>
      <c r="C1122" t="inlineStr">
        <is>
          <t>Lohnverr. Gruppe 2</t>
        </is>
      </c>
      <c r="D1122" t="inlineStr">
        <is>
          <t>LOHNVERRECHNUNG</t>
        </is>
      </c>
      <c r="E1122" t="n">
        <v>1</v>
      </c>
      <c r="F1122" t="inlineStr">
        <is>
          <t>6 Personalaufwand</t>
        </is>
      </c>
      <c r="G1122" t="b">
        <v>1</v>
      </c>
      <c r="H1122" t="b">
        <v>1</v>
      </c>
      <c r="I1122" t="n">
        <v>7611200</v>
      </c>
      <c r="J1122" t="inlineStr">
        <is>
          <t>Innerbetriebliche Verrechnung</t>
        </is>
      </c>
      <c r="K1122" t="n">
        <v>60</v>
      </c>
      <c r="L1122" t="inlineStr">
        <is>
          <t>aufwand</t>
        </is>
      </c>
      <c r="M1122" t="inlineStr">
        <is>
          <t>Innerbetriebliche Verrechnung</t>
        </is>
      </c>
      <c r="P1122" t="b">
        <v>1</v>
      </c>
      <c r="Q1122" t="inlineStr">
        <is>
          <t>aus Nummernkreis hergeleitet</t>
        </is>
      </c>
      <c r="R1122" t="b">
        <v>0</v>
      </c>
    </row>
    <row r="1123">
      <c r="A1123" t="n">
        <v>28</v>
      </c>
      <c r="B1123" t="inlineStr">
        <is>
          <t>890100.0</t>
        </is>
      </c>
      <c r="C1123" t="inlineStr">
        <is>
          <t>Gewährte Skonti</t>
        </is>
      </c>
      <c r="D1123" t="inlineStr">
        <is>
          <t>ERLOESSCHMAELERUNG</t>
        </is>
      </c>
      <c r="E1123" t="n">
        <v>0</v>
      </c>
      <c r="F1123" t="inlineStr">
        <is>
          <t>1 Umsatzerlöse</t>
        </is>
      </c>
      <c r="G1123" t="b">
        <v>0</v>
      </c>
      <c r="H1123" t="b">
        <v>0</v>
      </c>
      <c r="I1123" t="n">
        <v>890100</v>
      </c>
      <c r="J1123" t="inlineStr">
        <is>
          <t>Umsatzerlöse</t>
        </is>
      </c>
      <c r="K1123" t="n">
        <v>10</v>
      </c>
      <c r="L1123" t="inlineStr">
        <is>
          <t>ertrag</t>
        </is>
      </c>
      <c r="M1123" t="inlineStr">
        <is>
          <t>Umsatzerlöse</t>
        </is>
      </c>
      <c r="P1123" t="b">
        <v>1</v>
      </c>
      <c r="Q1123" t="inlineStr">
        <is>
          <t>aus Nummernkreis hergeleitet</t>
        </is>
      </c>
      <c r="R1123" t="b">
        <v>0</v>
      </c>
    </row>
    <row r="1124">
      <c r="A1124" t="n">
        <v>120</v>
      </c>
      <c r="B1124" t="inlineStr">
        <is>
          <t>286900.0</t>
        </is>
      </c>
      <c r="C1124" t="inlineStr">
        <is>
          <t>and.sonst.betr.Aufw.</t>
        </is>
      </c>
      <c r="D1124" t="inlineStr">
        <is>
          <t>SONSTIGES</t>
        </is>
      </c>
      <c r="E1124" t="n">
        <v>2</v>
      </c>
      <c r="F1124" t="inlineStr">
        <is>
          <t>8 Sonstige betriebliche Aufwendungen</t>
        </is>
      </c>
      <c r="G1124" t="b">
        <v>0</v>
      </c>
      <c r="H1124" t="b">
        <v>0</v>
      </c>
      <c r="I1124" t="n">
        <v>286900</v>
      </c>
      <c r="J1124" t="inlineStr">
        <is>
          <t>Sonstiges</t>
        </is>
      </c>
      <c r="K1124" t="n">
        <v>80</v>
      </c>
      <c r="L1124" t="inlineStr">
        <is>
          <t>aufwand</t>
        </is>
      </c>
      <c r="M1124" t="inlineStr">
        <is>
          <t>Sonstige betriebliche Aufwendungen</t>
        </is>
      </c>
      <c r="O1124" t="inlineStr">
        <is>
          <t>sonst. Betriebl. Aufwendungen</t>
        </is>
      </c>
      <c r="P1124" t="b">
        <v>1</v>
      </c>
      <c r="Q1124" t="inlineStr">
        <is>
          <t>TVF-Kontenstamm</t>
        </is>
      </c>
      <c r="R1124" t="b">
        <v>0</v>
      </c>
    </row>
    <row r="1125">
      <c r="A1125" t="n">
        <v>171</v>
      </c>
      <c r="B1125" t="inlineStr">
        <is>
          <t>287090</t>
        </is>
      </c>
      <c r="C1125" t="inlineStr">
        <is>
          <t>Erträge Mahngebühren</t>
        </is>
      </c>
      <c r="D1125" t="inlineStr">
        <is>
          <t>SONSTIGER_ERTRAG</t>
        </is>
      </c>
      <c r="E1125" t="n">
        <v>9</v>
      </c>
      <c r="F1125" t="inlineStr">
        <is>
          <t>3 Sonstige betriebliche Erträge</t>
        </is>
      </c>
      <c r="G1125" t="b">
        <v>0</v>
      </c>
      <c r="H1125" t="b">
        <v>0</v>
      </c>
      <c r="I1125" t="n">
        <v>287090</v>
      </c>
      <c r="J1125" t="inlineStr">
        <is>
          <t>Sonstige betriebliche Erträge</t>
        </is>
      </c>
      <c r="K1125" t="n">
        <v>30</v>
      </c>
      <c r="L1125" t="inlineStr">
        <is>
          <t>ertrag</t>
        </is>
      </c>
      <c r="M1125" t="inlineStr">
        <is>
          <t>Sonstige betriebliche Erträge</t>
        </is>
      </c>
      <c r="O1125" t="inlineStr">
        <is>
          <t>Andere sonstige betriebliche Erträge</t>
        </is>
      </c>
      <c r="P1125" t="b">
        <v>1</v>
      </c>
      <c r="Q1125" t="inlineStr">
        <is>
          <t>aus Nummernkreis hergeleitet</t>
        </is>
      </c>
      <c r="R1125" t="b">
        <v>0</v>
      </c>
    </row>
    <row r="1126">
      <c r="A1126" t="n">
        <v>41</v>
      </c>
      <c r="B1126" t="inlineStr">
        <is>
          <t>252000.0</t>
        </is>
      </c>
      <c r="C1126" t="inlineStr">
        <is>
          <t>andere sonst.betriebl. Erträge</t>
        </is>
      </c>
      <c r="D1126" t="inlineStr">
        <is>
          <t>SONSTIGER_ERTRAG</t>
        </is>
      </c>
      <c r="E1126" t="n">
        <v>9</v>
      </c>
      <c r="F1126" t="inlineStr">
        <is>
          <t>3 Sonstige betriebliche Erträge</t>
        </is>
      </c>
      <c r="G1126" t="b">
        <v>0</v>
      </c>
      <c r="H1126" t="b">
        <v>0</v>
      </c>
      <c r="I1126" t="n">
        <v>252000</v>
      </c>
      <c r="J1126" t="inlineStr">
        <is>
          <t>Sonstige betriebliche Erträge</t>
        </is>
      </c>
      <c r="K1126" t="n">
        <v>30</v>
      </c>
      <c r="L1126" t="inlineStr">
        <is>
          <t>ertrag</t>
        </is>
      </c>
      <c r="M1126" t="inlineStr">
        <is>
          <t>Sonstige betriebliche Erträge</t>
        </is>
      </c>
      <c r="O1126" t="inlineStr">
        <is>
          <t>Andere sonstige betriebliche Erträge</t>
        </is>
      </c>
      <c r="P1126" t="b">
        <v>1</v>
      </c>
      <c r="Q1126" t="inlineStr">
        <is>
          <t>TVF-Kontenstamm</t>
        </is>
      </c>
      <c r="R1126" t="b">
        <v>0</v>
      </c>
    </row>
    <row r="1127">
      <c r="A1127" t="n">
        <v>84</v>
      </c>
      <c r="B1127" t="inlineStr">
        <is>
          <t>274200.0</t>
        </is>
      </c>
      <c r="C1127" t="inlineStr">
        <is>
          <t>Versicherungsentschädigungen</t>
        </is>
      </c>
      <c r="D1127" t="inlineStr">
        <is>
          <t>SONSTIGER_ERTRAG</t>
        </is>
      </c>
      <c r="E1127" t="n">
        <v>9</v>
      </c>
      <c r="F1127" t="inlineStr">
        <is>
          <t>3 Sonstige betriebliche Erträge</t>
        </is>
      </c>
      <c r="G1127" t="b">
        <v>0</v>
      </c>
      <c r="H1127" t="b">
        <v>0</v>
      </c>
      <c r="I1127" t="n">
        <v>274200</v>
      </c>
      <c r="J1127" t="inlineStr">
        <is>
          <t>Sonstige betriebliche Erträge</t>
        </is>
      </c>
      <c r="K1127" t="n">
        <v>30</v>
      </c>
      <c r="L1127" t="inlineStr">
        <is>
          <t>ertrag</t>
        </is>
      </c>
      <c r="M1127" t="inlineStr">
        <is>
          <t>Sonstige betriebliche Erträge</t>
        </is>
      </c>
      <c r="O1127" t="inlineStr">
        <is>
          <t>Andere sonstige betriebliche Erträge</t>
        </is>
      </c>
      <c r="P1127" t="b">
        <v>1</v>
      </c>
      <c r="Q1127" t="inlineStr">
        <is>
          <t>TVF-Kontenstamm</t>
        </is>
      </c>
      <c r="R1127" t="b">
        <v>0</v>
      </c>
    </row>
    <row r="1128">
      <c r="A1128" t="n">
        <v>169</v>
      </c>
      <c r="B1128" t="inlineStr">
        <is>
          <t>560008</t>
        </is>
      </c>
      <c r="C1128" t="inlineStr">
        <is>
          <t>Mobile Communications</t>
        </is>
      </c>
      <c r="D1128" t="inlineStr">
        <is>
          <t>SONSTIGES</t>
        </is>
      </c>
      <c r="E1128" t="n">
        <v>2</v>
      </c>
      <c r="F1128" t="inlineStr">
        <is>
          <t>8 Sonstige betriebliche Aufwendungen</t>
        </is>
      </c>
      <c r="G1128" t="b">
        <v>0</v>
      </c>
      <c r="H1128" t="b">
        <v>0</v>
      </c>
      <c r="I1128" t="n">
        <v>560008</v>
      </c>
      <c r="J1128" t="inlineStr">
        <is>
          <t>Sonstiges</t>
        </is>
      </c>
      <c r="K1128" t="n">
        <v>80</v>
      </c>
      <c r="L1128" t="inlineStr">
        <is>
          <t>aufwand</t>
        </is>
      </c>
      <c r="M1128" t="inlineStr">
        <is>
          <t>Sonstiges</t>
        </is>
      </c>
      <c r="P1128" t="b">
        <v>0</v>
      </c>
      <c r="Q1128" t="inlineStr">
        <is>
          <t>aus Nummernkreis hergeleitet</t>
        </is>
      </c>
      <c r="R1128" t="b">
        <v>0</v>
      </c>
    </row>
    <row r="1129">
      <c r="A1129" t="n">
        <v>174</v>
      </c>
      <c r="B1129" t="inlineStr">
        <is>
          <t>272000</t>
        </is>
      </c>
      <c r="C1129" t="inlineStr">
        <is>
          <t>Verrechnete Erlöse aus Anlagenverkauf</t>
        </is>
      </c>
      <c r="D1129" t="inlineStr">
        <is>
          <t>NEUTRALER_ERTRAG</t>
        </is>
      </c>
      <c r="E1129" t="n">
        <v>9</v>
      </c>
      <c r="F1129" t="inlineStr">
        <is>
          <t>12 Periodenfremdes Ergebnis</t>
        </is>
      </c>
      <c r="G1129" t="b">
        <v>0</v>
      </c>
      <c r="H1129" t="b">
        <v>0</v>
      </c>
      <c r="I1129" t="n">
        <v>272000</v>
      </c>
      <c r="J1129" t="inlineStr">
        <is>
          <t>Sonstiges</t>
        </is>
      </c>
      <c r="K1129" t="n">
        <v>120</v>
      </c>
      <c r="L1129" t="inlineStr">
        <is>
          <t>neutral</t>
        </is>
      </c>
      <c r="M1129" t="inlineStr">
        <is>
          <t>Neutrales / periodenfremdes Ergebnis</t>
        </is>
      </c>
      <c r="O1129" t="inlineStr">
        <is>
          <t>Uebrige neutrale Ertraege</t>
        </is>
      </c>
      <c r="P1129" t="b">
        <v>0</v>
      </c>
      <c r="Q1129" t="inlineStr">
        <is>
          <t>aus Nummernkreis hergeleitet</t>
        </is>
      </c>
      <c r="R1129" t="b">
        <v>0</v>
      </c>
    </row>
    <row r="1130">
      <c r="A1130" t="n">
        <v>40</v>
      </c>
      <c r="B1130" t="inlineStr">
        <is>
          <t>273500.0</t>
        </is>
      </c>
      <c r="C1130" t="inlineStr">
        <is>
          <t>Erträge Auflösung von Rückstellungen (ac</t>
        </is>
      </c>
      <c r="D1130" t="inlineStr">
        <is>
          <t>NEUTRALER_ERTRAG</t>
        </is>
      </c>
      <c r="E1130" t="n">
        <v>9</v>
      </c>
      <c r="F1130" t="inlineStr">
        <is>
          <t>12 Periodenfremdes Ergebnis</t>
        </is>
      </c>
      <c r="G1130" t="b">
        <v>0</v>
      </c>
      <c r="H1130" t="b">
        <v>0</v>
      </c>
      <c r="I1130" t="n">
        <v>273500</v>
      </c>
      <c r="J1130" t="inlineStr">
        <is>
          <t>Sonstiges</t>
        </is>
      </c>
      <c r="K1130" t="n">
        <v>120</v>
      </c>
      <c r="L1130" t="inlineStr">
        <is>
          <t>neutral</t>
        </is>
      </c>
      <c r="M1130" t="inlineStr">
        <is>
          <t>Neutrales / periodenfremdes Ergebnis</t>
        </is>
      </c>
      <c r="O1130" t="inlineStr">
        <is>
          <t>Uebrige neutrale Ertraege</t>
        </is>
      </c>
      <c r="P1130" t="b">
        <v>0</v>
      </c>
      <c r="Q1130" t="inlineStr">
        <is>
          <t>TVF-Kontenstamm</t>
        </is>
      </c>
      <c r="R1130" t="b">
        <v>0</v>
      </c>
    </row>
    <row r="1131">
      <c r="A1131" t="n">
        <v>143</v>
      </c>
      <c r="B1131" t="inlineStr">
        <is>
          <t>890010.0</t>
        </is>
      </c>
      <c r="C1131" t="inlineStr">
        <is>
          <t>Erl.Anlagenverkäufe</t>
        </is>
      </c>
      <c r="D1131" t="inlineStr">
        <is>
          <t>NEUTRALER_ERTRAG</t>
        </is>
      </c>
      <c r="E1131" t="n">
        <v>9</v>
      </c>
      <c r="F1131" t="inlineStr">
        <is>
          <t>12 Periodenfremdes Ergebnis</t>
        </is>
      </c>
      <c r="G1131" t="b">
        <v>0</v>
      </c>
      <c r="H1131" t="b">
        <v>0</v>
      </c>
      <c r="I1131" t="n">
        <v>890010</v>
      </c>
      <c r="J1131" t="inlineStr">
        <is>
          <t>Sonstiges</t>
        </is>
      </c>
      <c r="K1131" t="n">
        <v>120</v>
      </c>
      <c r="L1131" t="inlineStr">
        <is>
          <t>neutral</t>
        </is>
      </c>
      <c r="M1131" t="inlineStr">
        <is>
          <t>Neutrales / periodenfremdes Ergebnis</t>
        </is>
      </c>
      <c r="O1131" t="inlineStr">
        <is>
          <t>Uebrige neutrale Ertraege</t>
        </is>
      </c>
      <c r="P1131" t="b">
        <v>0</v>
      </c>
      <c r="Q1131" t="inlineStr">
        <is>
          <t>TVF-Kontenstamm</t>
        </is>
      </c>
      <c r="R1131" t="b">
        <v>0</v>
      </c>
    </row>
    <row r="1132">
      <c r="A1132" t="n">
        <v>72</v>
      </c>
      <c r="B1132" t="inlineStr">
        <is>
          <t>401030.0</t>
        </is>
      </c>
      <c r="C1132" t="inlineStr">
        <is>
          <t>Kfz-Steuern</t>
        </is>
      </c>
      <c r="D1132" t="inlineStr">
        <is>
          <t>STEUERN</t>
        </is>
      </c>
      <c r="E1132" t="n">
        <v>9</v>
      </c>
      <c r="F1132" t="inlineStr">
        <is>
          <t>11 Steuern vom Einkommen und Ertrag</t>
        </is>
      </c>
      <c r="G1132" t="b">
        <v>0</v>
      </c>
      <c r="H1132" t="b">
        <v>0</v>
      </c>
      <c r="I1132" t="n">
        <v>401030</v>
      </c>
      <c r="J1132" t="inlineStr">
        <is>
          <t>Versicherungen, Mieten, Steuern</t>
        </is>
      </c>
      <c r="K1132" t="n">
        <v>110</v>
      </c>
      <c r="L1132" t="inlineStr">
        <is>
          <t>steuern</t>
        </is>
      </c>
      <c r="M1132" t="inlineStr">
        <is>
          <t>Steuern vom Einkommen und Ertrag</t>
        </is>
      </c>
      <c r="O1132" t="inlineStr">
        <is>
          <t>Sonstige Steuern</t>
        </is>
      </c>
      <c r="P1132" t="b">
        <v>0</v>
      </c>
      <c r="Q1132" t="inlineStr">
        <is>
          <t>TVF-Kontenstamm</t>
        </is>
      </c>
      <c r="R1132" t="b">
        <v>0</v>
      </c>
    </row>
    <row r="1133">
      <c r="A1133" t="n">
        <v>164</v>
      </c>
      <c r="B1133" t="inlineStr">
        <is>
          <t>560007</t>
        </is>
      </c>
      <c r="C1133" t="inlineStr">
        <is>
          <t>HR-Systeme</t>
        </is>
      </c>
      <c r="D1133" t="inlineStr">
        <is>
          <t>SONSTIGES</t>
        </is>
      </c>
      <c r="E1133" t="n">
        <v>2</v>
      </c>
      <c r="F1133" t="inlineStr">
        <is>
          <t>8 Sonstige betriebliche Aufwendungen</t>
        </is>
      </c>
      <c r="G1133" t="b">
        <v>0</v>
      </c>
      <c r="H1133" t="b">
        <v>0</v>
      </c>
      <c r="I1133" t="n">
        <v>560007</v>
      </c>
      <c r="J1133" t="inlineStr">
        <is>
          <t>Sonstiges</t>
        </is>
      </c>
      <c r="K1133" t="n">
        <v>80</v>
      </c>
      <c r="L1133" t="inlineStr">
        <is>
          <t>aufwand</t>
        </is>
      </c>
      <c r="M1133" t="inlineStr">
        <is>
          <t>Sonstiges</t>
        </is>
      </c>
      <c r="P1133" t="b">
        <v>0</v>
      </c>
      <c r="Q1133" t="inlineStr">
        <is>
          <t>aus Nummernkreis hergeleitet</t>
        </is>
      </c>
      <c r="R1133" t="b">
        <v>0</v>
      </c>
    </row>
    <row r="1134">
      <c r="A1134" t="n">
        <v>165</v>
      </c>
      <c r="B1134" t="inlineStr">
        <is>
          <t>560004</t>
        </is>
      </c>
      <c r="C1134" t="inlineStr">
        <is>
          <t>Druck &amp; Scanservices</t>
        </is>
      </c>
      <c r="D1134" t="inlineStr">
        <is>
          <t>SONSTIGES</t>
        </is>
      </c>
      <c r="E1134" t="n">
        <v>2</v>
      </c>
      <c r="F1134" t="inlineStr">
        <is>
          <t>8 Sonstige betriebliche Aufwendungen</t>
        </is>
      </c>
      <c r="G1134" t="b">
        <v>0</v>
      </c>
      <c r="H1134" t="b">
        <v>0</v>
      </c>
      <c r="I1134" t="n">
        <v>560004</v>
      </c>
      <c r="J1134" t="inlineStr">
        <is>
          <t>Sonstiges</t>
        </is>
      </c>
      <c r="K1134" t="n">
        <v>80</v>
      </c>
      <c r="L1134" t="inlineStr">
        <is>
          <t>aufwand</t>
        </is>
      </c>
      <c r="M1134" t="inlineStr">
        <is>
          <t>Sonstiges</t>
        </is>
      </c>
      <c r="P1134" t="b">
        <v>0</v>
      </c>
      <c r="Q1134" t="inlineStr">
        <is>
          <t>aus Nummernkreis hergeleitet</t>
        </is>
      </c>
      <c r="R1134" t="b">
        <v>0</v>
      </c>
    </row>
    <row r="1135">
      <c r="A1135" t="n">
        <v>166</v>
      </c>
      <c r="B1135" t="inlineStr">
        <is>
          <t>560002</t>
        </is>
      </c>
      <c r="C1135" t="inlineStr">
        <is>
          <t>Arbeitsplatz</t>
        </is>
      </c>
      <c r="D1135" t="inlineStr">
        <is>
          <t>SONSTIGES</t>
        </is>
      </c>
      <c r="E1135" t="n">
        <v>2</v>
      </c>
      <c r="F1135" t="inlineStr">
        <is>
          <t>8 Sonstige betriebliche Aufwendungen</t>
        </is>
      </c>
      <c r="G1135" t="b">
        <v>0</v>
      </c>
      <c r="H1135" t="b">
        <v>0</v>
      </c>
      <c r="I1135" t="n">
        <v>560002</v>
      </c>
      <c r="J1135" t="inlineStr">
        <is>
          <t>Sonstiges</t>
        </is>
      </c>
      <c r="K1135" t="n">
        <v>80</v>
      </c>
      <c r="L1135" t="inlineStr">
        <is>
          <t>aufwand</t>
        </is>
      </c>
      <c r="M1135" t="inlineStr">
        <is>
          <t>Sonstiges</t>
        </is>
      </c>
      <c r="P1135" t="b">
        <v>0</v>
      </c>
      <c r="Q1135" t="inlineStr">
        <is>
          <t>aus Nummernkreis hergeleitet</t>
        </is>
      </c>
      <c r="R1135" t="b">
        <v>0</v>
      </c>
    </row>
    <row r="1136">
      <c r="A1136" t="n">
        <v>167</v>
      </c>
      <c r="B1136" t="inlineStr">
        <is>
          <t>560009</t>
        </is>
      </c>
      <c r="C1136" t="inlineStr">
        <is>
          <t>Sonstige Software</t>
        </is>
      </c>
      <c r="D1136" t="inlineStr">
        <is>
          <t>SONSTIGES</t>
        </is>
      </c>
      <c r="E1136" t="n">
        <v>2</v>
      </c>
      <c r="F1136" t="inlineStr">
        <is>
          <t>8 Sonstige betriebliche Aufwendungen</t>
        </is>
      </c>
      <c r="G1136" t="b">
        <v>0</v>
      </c>
      <c r="H1136" t="b">
        <v>0</v>
      </c>
      <c r="I1136" t="n">
        <v>560009</v>
      </c>
      <c r="J1136" t="inlineStr">
        <is>
          <t>Sonstiges</t>
        </is>
      </c>
      <c r="K1136" t="n">
        <v>80</v>
      </c>
      <c r="L1136" t="inlineStr">
        <is>
          <t>aufwand</t>
        </is>
      </c>
      <c r="M1136" t="inlineStr">
        <is>
          <t>Sonstiges</t>
        </is>
      </c>
      <c r="P1136" t="b">
        <v>0</v>
      </c>
      <c r="Q1136" t="inlineStr">
        <is>
          <t>aus Nummernkreis hergeleitet</t>
        </is>
      </c>
      <c r="R1136" t="b">
        <v>0</v>
      </c>
    </row>
    <row r="1140">
      <c r="A1140" t="inlineStr">
        <is>
          <t>stunden_monat</t>
        </is>
      </c>
    </row>
    <row r="1141">
      <c r="A1141" t="inlineStr">
        <is>
          <t>monat</t>
        </is>
      </c>
      <c r="B1141" t="inlineStr">
        <is>
          <t>produktiv</t>
        </is>
      </c>
      <c r="C1141" t="inlineStr">
        <is>
          <t>unproduktiv</t>
        </is>
      </c>
      <c r="D1141" t="inlineStr">
        <is>
          <t>urlaub</t>
        </is>
      </c>
      <c r="E1141" t="inlineStr">
        <is>
          <t>krankheit</t>
        </is>
      </c>
      <c r="F1141" t="inlineStr">
        <is>
          <t>feiertag</t>
        </is>
      </c>
      <c r="G1141" t="inlineStr">
        <is>
          <t>gesamt</t>
        </is>
      </c>
      <c r="H1141" t="inlineStr">
        <is>
          <t>tage</t>
        </is>
      </c>
      <c r="I1141" t="inlineStr">
        <is>
          <t>projekte</t>
        </is>
      </c>
      <c r="J1141" t="inlineStr">
        <is>
          <t>anwesend</t>
        </is>
      </c>
      <c r="K1141" t="inlineStr">
        <is>
          <t>auslastung</t>
        </is>
      </c>
      <c r="L1141" t="inlineStr">
        <is>
          <t>produktivquote</t>
        </is>
      </c>
      <c r="M1141" t="inlineStr">
        <is>
          <t>mitarbeiter</t>
        </is>
      </c>
    </row>
    <row r="1142">
      <c r="A1142" t="n">
        <v>1</v>
      </c>
      <c r="B1142" t="n">
        <v>4837.75</v>
      </c>
      <c r="C1142" t="n">
        <v>228</v>
      </c>
      <c r="D1142" t="n">
        <v>593</v>
      </c>
      <c r="E1142" t="n">
        <v>440</v>
      </c>
      <c r="F1142" t="n">
        <v>300</v>
      </c>
      <c r="G1142" t="n">
        <v>6758.75</v>
      </c>
      <c r="H1142" t="n">
        <v>780</v>
      </c>
      <c r="I1142" t="n">
        <v>55</v>
      </c>
      <c r="J1142" t="n">
        <v>5065.75</v>
      </c>
      <c r="K1142" t="n">
        <v>3044.7</v>
      </c>
      <c r="L1142" t="n">
        <v>2390.9</v>
      </c>
      <c r="M1142" t="n">
        <v>37</v>
      </c>
    </row>
    <row r="1143">
      <c r="A1143" t="n">
        <v>2</v>
      </c>
      <c r="B1143" t="n">
        <v>4853.5</v>
      </c>
      <c r="C1143" t="n">
        <v>317</v>
      </c>
      <c r="D1143" t="n">
        <v>494.5</v>
      </c>
      <c r="E1143" t="n">
        <v>528</v>
      </c>
      <c r="F1143" t="n">
        <v>0</v>
      </c>
      <c r="G1143" t="n">
        <v>6291</v>
      </c>
      <c r="H1143" t="n">
        <v>726</v>
      </c>
      <c r="I1143" t="n">
        <v>56</v>
      </c>
      <c r="J1143" t="n">
        <v>5170.5</v>
      </c>
      <c r="K1143" t="n">
        <v>3076.2</v>
      </c>
      <c r="L1143" t="n">
        <v>2743</v>
      </c>
      <c r="M1143" t="n">
        <v>36</v>
      </c>
    </row>
    <row r="1144">
      <c r="A1144" t="n">
        <v>3</v>
      </c>
      <c r="B1144" t="n">
        <v>6095</v>
      </c>
      <c r="C1144" t="n">
        <v>290</v>
      </c>
      <c r="D1144" t="n">
        <v>640</v>
      </c>
      <c r="E1144" t="n">
        <v>447</v>
      </c>
      <c r="F1144" t="n">
        <v>0</v>
      </c>
      <c r="G1144" t="n">
        <v>7632</v>
      </c>
      <c r="H1144" t="n">
        <v>856</v>
      </c>
      <c r="I1144" t="n">
        <v>62</v>
      </c>
      <c r="J1144" t="n">
        <v>6385</v>
      </c>
      <c r="K1144" t="n">
        <v>3375.8</v>
      </c>
      <c r="L1144" t="n">
        <v>2989.7</v>
      </c>
      <c r="M1144" t="n">
        <v>38</v>
      </c>
    </row>
    <row r="1145">
      <c r="A1145" t="n">
        <v>4</v>
      </c>
      <c r="B1145" t="n">
        <v>4640.75</v>
      </c>
      <c r="C1145" t="n">
        <v>376.5</v>
      </c>
      <c r="D1145" t="n">
        <v>721</v>
      </c>
      <c r="E1145" t="n">
        <v>648</v>
      </c>
      <c r="F1145" t="n">
        <v>670</v>
      </c>
      <c r="G1145" t="n">
        <v>7305.25</v>
      </c>
      <c r="H1145" t="n">
        <v>854</v>
      </c>
      <c r="I1145" t="n">
        <v>64</v>
      </c>
      <c r="J1145" t="n">
        <v>5017.25</v>
      </c>
      <c r="K1145" t="n">
        <v>3182.8</v>
      </c>
      <c r="L1145" t="n">
        <v>2400.2</v>
      </c>
      <c r="M1145" t="n">
        <v>42</v>
      </c>
    </row>
    <row r="1146">
      <c r="A1146" t="n">
        <v>5</v>
      </c>
      <c r="B1146" t="n">
        <v>3938.75</v>
      </c>
      <c r="C1146" t="n">
        <v>446.5</v>
      </c>
      <c r="D1146" t="n">
        <v>610.5</v>
      </c>
      <c r="E1146" t="n">
        <v>501</v>
      </c>
      <c r="F1146" t="n">
        <v>997</v>
      </c>
      <c r="G1146" t="n">
        <v>6704.75</v>
      </c>
      <c r="H1146" t="n">
        <v>799</v>
      </c>
      <c r="I1146" t="n">
        <v>61</v>
      </c>
      <c r="J1146" t="n">
        <v>4385.25</v>
      </c>
      <c r="K1146" t="n">
        <v>3157.6</v>
      </c>
      <c r="L1146" t="n">
        <v>2185.7</v>
      </c>
      <c r="M1146" t="n">
        <v>42</v>
      </c>
    </row>
    <row r="1149">
      <c r="C1149" t="inlineStr">
        <is>
          <t>SharePoint-Verknüpfungen (Dateien im selben Ordner)</t>
        </is>
      </c>
    </row>
    <row r="1150">
      <c r="C1150" t="inlineStr">
        <is>
          <t>Diese Datei</t>
        </is>
      </c>
      <c r="D1150" t="inlineStr">
        <is>
          <t>D KLR.xlsx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N689"/>
  <sheetViews>
    <sheetView workbookViewId="0">
      <selection activeCell="A1" sqref="A1"/>
    </sheetView>
  </sheetViews>
  <sheetFormatPr baseColWidth="8" defaultRowHeight="15"/>
  <sheetData>
    <row r="2">
      <c r="C2" t="inlineStr">
        <is>
          <t>Liquidität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v_liq_woche</t>
        </is>
      </c>
    </row>
    <row r="7">
      <c r="A7" t="inlineStr">
        <is>
          <t>iso_jahr</t>
        </is>
      </c>
      <c r="B7" t="inlineStr">
        <is>
          <t>kalenderwoche</t>
        </is>
      </c>
      <c r="C7" t="inlineStr">
        <is>
          <t>von</t>
        </is>
      </c>
      <c r="D7" t="inlineStr">
        <is>
          <t>bis</t>
        </is>
      </c>
      <c r="E7" t="inlineStr">
        <is>
          <t>eingang</t>
        </is>
      </c>
      <c r="F7" t="inlineStr">
        <is>
          <t>ausgang</t>
        </is>
      </c>
      <c r="G7" t="inlineStr">
        <is>
          <t>veraenderung</t>
        </is>
      </c>
      <c r="H7" t="inlineStr">
        <is>
          <t>saldo_tiefpunkt</t>
        </is>
      </c>
      <c r="I7" t="inlineStr">
        <is>
          <t>saldo_ende</t>
        </is>
      </c>
      <c r="J7" t="inlineStr">
        <is>
          <t>tiefpunkt_am</t>
        </is>
      </c>
    </row>
    <row r="8">
      <c r="A8" t="n">
        <v>2026</v>
      </c>
      <c r="B8" t="n">
        <v>33</v>
      </c>
      <c r="C8" t="inlineStr">
        <is>
          <t>2026-08-11</t>
        </is>
      </c>
      <c r="D8" t="inlineStr">
        <is>
          <t>2026-08-14</t>
        </is>
      </c>
      <c r="E8" t="n">
        <v>57663.24</v>
      </c>
      <c r="F8" t="n">
        <v>-482714.05</v>
      </c>
      <c r="G8" t="n">
        <v>-425050.81</v>
      </c>
      <c r="H8" t="n">
        <v>-1273561.11</v>
      </c>
      <c r="I8" t="n">
        <v>-1273561.11</v>
      </c>
      <c r="J8" t="inlineStr">
        <is>
          <t>2026-08-14</t>
        </is>
      </c>
    </row>
    <row r="9">
      <c r="A9" t="n">
        <v>2026</v>
      </c>
      <c r="B9" t="n">
        <v>34</v>
      </c>
      <c r="C9" t="inlineStr">
        <is>
          <t>2026-08-17</t>
        </is>
      </c>
      <c r="D9" t="inlineStr">
        <is>
          <t>2026-08-21</t>
        </is>
      </c>
      <c r="E9" t="n">
        <v>642836.22</v>
      </c>
      <c r="F9" t="n">
        <v>-121089.12</v>
      </c>
      <c r="G9" t="n">
        <v>521747.1</v>
      </c>
      <c r="H9" t="n">
        <v>-807896.99</v>
      </c>
      <c r="I9" t="n">
        <v>-751814.01</v>
      </c>
      <c r="J9" t="inlineStr">
        <is>
          <t>2026-08-19</t>
        </is>
      </c>
    </row>
    <row r="10">
      <c r="A10" t="n">
        <v>2026</v>
      </c>
      <c r="B10" t="n">
        <v>35</v>
      </c>
      <c r="C10" t="inlineStr">
        <is>
          <t>2026-08-24</t>
        </is>
      </c>
      <c r="D10" t="inlineStr">
        <is>
          <t>2026-08-28</t>
        </is>
      </c>
      <c r="E10" t="n">
        <v>494890.26</v>
      </c>
      <c r="F10" t="n">
        <v>-575987.86</v>
      </c>
      <c r="G10" t="n">
        <v>-81097.60000000001</v>
      </c>
      <c r="H10" t="n">
        <v>-832911.61</v>
      </c>
      <c r="I10" t="n">
        <v>-832911.61</v>
      </c>
      <c r="J10" t="inlineStr">
        <is>
          <t>2026-08-28</t>
        </is>
      </c>
    </row>
    <row r="11">
      <c r="A11" t="n">
        <v>2026</v>
      </c>
      <c r="B11" t="n">
        <v>36</v>
      </c>
      <c r="C11" t="inlineStr">
        <is>
          <t>2026-08-31</t>
        </is>
      </c>
      <c r="D11" t="inlineStr">
        <is>
          <t>2026-09-03</t>
        </is>
      </c>
      <c r="E11" t="n">
        <v>199182.29</v>
      </c>
      <c r="F11" t="n">
        <v>-299065.32</v>
      </c>
      <c r="G11" t="n">
        <v>-99883.03</v>
      </c>
      <c r="H11" t="n">
        <v>-1052972.85</v>
      </c>
      <c r="I11" t="n">
        <v>-932794.64</v>
      </c>
      <c r="J11" t="inlineStr">
        <is>
          <t>2026-09-01</t>
        </is>
      </c>
    </row>
    <row r="12">
      <c r="A12" t="n">
        <v>2026</v>
      </c>
      <c r="B12" t="n">
        <v>37</v>
      </c>
      <c r="C12" t="inlineStr">
        <is>
          <t>2026-09-07</t>
        </is>
      </c>
      <c r="D12" t="inlineStr">
        <is>
          <t>2026-09-11</t>
        </is>
      </c>
      <c r="E12" t="n">
        <v>693356.3</v>
      </c>
      <c r="F12" t="n">
        <v>-745145.99</v>
      </c>
      <c r="G12" t="n">
        <v>-51789.69</v>
      </c>
      <c r="H12" t="n">
        <v>-1045647.62</v>
      </c>
      <c r="I12" t="n">
        <v>-984584.33</v>
      </c>
      <c r="J12" t="inlineStr">
        <is>
          <t>2026-09-10</t>
        </is>
      </c>
    </row>
    <row r="13">
      <c r="A13" t="n">
        <v>2026</v>
      </c>
      <c r="B13" t="n">
        <v>38</v>
      </c>
      <c r="C13" t="inlineStr">
        <is>
          <t>2026-09-14</t>
        </is>
      </c>
      <c r="D13" t="inlineStr">
        <is>
          <t>2026-09-17</t>
        </is>
      </c>
      <c r="E13" t="n">
        <v>521646.76</v>
      </c>
      <c r="F13" t="n">
        <v>-225027.24</v>
      </c>
      <c r="G13" t="n">
        <v>296619.52</v>
      </c>
      <c r="H13" t="n">
        <v>-822557.48</v>
      </c>
      <c r="I13" t="n">
        <v>-687964.8100000001</v>
      </c>
      <c r="J13" t="inlineStr">
        <is>
          <t>2026-09-15</t>
        </is>
      </c>
    </row>
    <row r="14">
      <c r="A14" t="n">
        <v>2026</v>
      </c>
      <c r="B14" t="n">
        <v>39</v>
      </c>
      <c r="C14" t="inlineStr">
        <is>
          <t>2026-09-21</t>
        </is>
      </c>
      <c r="D14" t="inlineStr">
        <is>
          <t>2026-09-25</t>
        </is>
      </c>
      <c r="E14" t="n">
        <v>245815.86</v>
      </c>
      <c r="F14" t="n">
        <v>-212843.19</v>
      </c>
      <c r="G14" t="n">
        <v>32972.67</v>
      </c>
      <c r="H14" t="n">
        <v>-713117</v>
      </c>
      <c r="I14" t="n">
        <v>-654992.14</v>
      </c>
      <c r="J14" t="inlineStr">
        <is>
          <t>2026-09-22</t>
        </is>
      </c>
    </row>
    <row r="15">
      <c r="A15" t="n">
        <v>2026</v>
      </c>
      <c r="B15" t="n">
        <v>40</v>
      </c>
      <c r="C15" t="inlineStr">
        <is>
          <t>2026-09-28</t>
        </is>
      </c>
      <c r="D15" t="inlineStr">
        <is>
          <t>2026-10-01</t>
        </is>
      </c>
      <c r="E15" t="n">
        <v>234582.68</v>
      </c>
      <c r="F15" t="n">
        <v>-443147.77</v>
      </c>
      <c r="G15" t="n">
        <v>-208565.09</v>
      </c>
      <c r="H15" t="n">
        <v>-1047298.42</v>
      </c>
      <c r="I15" t="n">
        <v>-863557.23</v>
      </c>
      <c r="J15" t="inlineStr">
        <is>
          <t>2026-09-29</t>
        </is>
      </c>
    </row>
    <row r="16">
      <c r="A16" t="n">
        <v>2026</v>
      </c>
      <c r="B16" t="n">
        <v>41</v>
      </c>
      <c r="C16" t="inlineStr">
        <is>
          <t>2026-10-05</t>
        </is>
      </c>
      <c r="D16" t="inlineStr">
        <is>
          <t>2026-10-09</t>
        </is>
      </c>
      <c r="E16" t="n">
        <v>776089.86</v>
      </c>
      <c r="F16" t="n">
        <v>-329301.1</v>
      </c>
      <c r="G16" t="n">
        <v>446788.76</v>
      </c>
      <c r="H16" t="n">
        <v>-586737.42</v>
      </c>
      <c r="I16" t="n">
        <v>-416768.47</v>
      </c>
      <c r="J16" t="inlineStr">
        <is>
          <t>2026-10-05</t>
        </is>
      </c>
    </row>
    <row r="17">
      <c r="A17" t="n">
        <v>2026</v>
      </c>
      <c r="B17" t="n">
        <v>42</v>
      </c>
      <c r="C17" t="inlineStr">
        <is>
          <t>2026-10-12</t>
        </is>
      </c>
      <c r="D17" t="inlineStr">
        <is>
          <t>2026-10-16</t>
        </is>
      </c>
      <c r="E17" t="n">
        <v>225696.24</v>
      </c>
      <c r="F17" t="n">
        <v>-411116.37</v>
      </c>
      <c r="G17" t="n">
        <v>-185420.13</v>
      </c>
      <c r="H17" t="n">
        <v>-758593.9399999999</v>
      </c>
      <c r="I17" t="n">
        <v>-602188.6</v>
      </c>
      <c r="J17" t="inlineStr">
        <is>
          <t>2026-10-14</t>
        </is>
      </c>
    </row>
    <row r="18">
      <c r="A18" t="n">
        <v>2026</v>
      </c>
      <c r="B18" t="n">
        <v>43</v>
      </c>
      <c r="C18" t="inlineStr">
        <is>
          <t>2026-10-19</t>
        </is>
      </c>
      <c r="D18" t="inlineStr">
        <is>
          <t>2026-10-23</t>
        </is>
      </c>
      <c r="E18" t="n">
        <v>57176.23</v>
      </c>
      <c r="F18" t="n">
        <v>-151903.24</v>
      </c>
      <c r="G18" t="n">
        <v>-94727.00999999999</v>
      </c>
      <c r="H18" t="n">
        <v>-745825.5</v>
      </c>
      <c r="I18" t="n">
        <v>-696915.61</v>
      </c>
      <c r="J18" t="inlineStr">
        <is>
          <t>2026-10-20</t>
        </is>
      </c>
    </row>
    <row r="19">
      <c r="A19" t="n">
        <v>2026</v>
      </c>
      <c r="B19" t="n">
        <v>44</v>
      </c>
      <c r="C19" t="inlineStr">
        <is>
          <t>2026-10-26</t>
        </is>
      </c>
      <c r="D19" t="inlineStr">
        <is>
          <t>2026-10-29</t>
        </is>
      </c>
      <c r="E19" t="n">
        <v>407945.2</v>
      </c>
      <c r="F19" t="n">
        <v>-596084.6</v>
      </c>
      <c r="G19" t="n">
        <v>-188139.4</v>
      </c>
      <c r="H19" t="n">
        <v>-970666.74</v>
      </c>
      <c r="I19" t="n">
        <v>-885055.01</v>
      </c>
      <c r="J19" t="inlineStr">
        <is>
          <t>2026-10-27</t>
        </is>
      </c>
    </row>
    <row r="20">
      <c r="A20" t="n">
        <v>2026</v>
      </c>
      <c r="B20" t="n">
        <v>45</v>
      </c>
      <c r="C20" t="inlineStr">
        <is>
          <t>2026-11-02</t>
        </is>
      </c>
      <c r="D20" t="inlineStr">
        <is>
          <t>2026-11-06</t>
        </is>
      </c>
      <c r="E20" t="n">
        <v>261595.23</v>
      </c>
      <c r="F20" t="n">
        <v>-250423.43</v>
      </c>
      <c r="G20" t="n">
        <v>11171.8</v>
      </c>
      <c r="H20" t="n">
        <v>-910149.59</v>
      </c>
      <c r="I20" t="n">
        <v>-873883.21</v>
      </c>
      <c r="J20" t="inlineStr">
        <is>
          <t>2026-11-03</t>
        </is>
      </c>
    </row>
    <row r="24">
      <c r="A24" t="inlineStr">
        <is>
          <t>v_liq_kategorie_woche</t>
        </is>
      </c>
    </row>
    <row r="25">
      <c r="A25" t="inlineStr">
        <is>
          <t>iso_jahr</t>
        </is>
      </c>
      <c r="B25" t="inlineStr">
        <is>
          <t>kalenderwoche</t>
        </is>
      </c>
      <c r="C25" t="inlineStr">
        <is>
          <t>kategorie</t>
        </is>
      </c>
      <c r="D25" t="inlineStr">
        <is>
          <t>richtung</t>
        </is>
      </c>
      <c r="E25" t="inlineStr">
        <is>
          <t>betrag</t>
        </is>
      </c>
    </row>
    <row r="26">
      <c r="A26" t="n">
        <v>2026</v>
      </c>
      <c r="B26" t="n">
        <v>41</v>
      </c>
      <c r="C26" t="inlineStr">
        <is>
          <t>Kundenrechnungen-brutto-extern</t>
        </is>
      </c>
      <c r="D26" t="inlineStr">
        <is>
          <t>ein</t>
        </is>
      </c>
      <c r="E26" t="n">
        <v>776089.86</v>
      </c>
    </row>
    <row r="27">
      <c r="A27" t="n">
        <v>2026</v>
      </c>
      <c r="B27" t="n">
        <v>44</v>
      </c>
      <c r="C27" t="inlineStr">
        <is>
          <t>Löhne und Gehälter</t>
        </is>
      </c>
      <c r="D27" t="inlineStr">
        <is>
          <t>aus</t>
        </is>
      </c>
      <c r="E27" t="n">
        <v>-176141</v>
      </c>
    </row>
    <row r="28">
      <c r="A28" t="n">
        <v>2026</v>
      </c>
      <c r="B28" t="n">
        <v>37</v>
      </c>
      <c r="C28" t="inlineStr">
        <is>
          <t>Factoring</t>
        </is>
      </c>
      <c r="D28" t="inlineStr">
        <is>
          <t>ein</t>
        </is>
      </c>
      <c r="E28" t="n">
        <v>61063.29</v>
      </c>
    </row>
    <row r="29">
      <c r="A29" t="n">
        <v>2026</v>
      </c>
      <c r="B29" t="n">
        <v>34</v>
      </c>
      <c r="C29" t="inlineStr">
        <is>
          <t>Lieferantenechnungen-brutto-intern</t>
        </is>
      </c>
      <c r="D29" t="inlineStr">
        <is>
          <t>aus</t>
        </is>
      </c>
      <c r="E29" t="n">
        <v>-84.20999999999999</v>
      </c>
    </row>
    <row r="30">
      <c r="A30" t="n">
        <v>2026</v>
      </c>
      <c r="B30" t="n">
        <v>45</v>
      </c>
      <c r="C30" t="inlineStr">
        <is>
          <t>Kundenrechnungen-brutto-extern</t>
        </is>
      </c>
      <c r="D30" t="inlineStr">
        <is>
          <t>ein</t>
        </is>
      </c>
      <c r="E30" t="n">
        <v>261595.23</v>
      </c>
    </row>
    <row r="31">
      <c r="A31" t="n">
        <v>2026</v>
      </c>
      <c r="B31" t="n">
        <v>40</v>
      </c>
      <c r="C31" t="inlineStr">
        <is>
          <t>Löhne und Gehälter</t>
        </is>
      </c>
      <c r="D31" t="inlineStr">
        <is>
          <t>aus</t>
        </is>
      </c>
      <c r="E31" t="n">
        <v>-176141</v>
      </c>
    </row>
    <row r="32">
      <c r="A32" t="n">
        <v>2026</v>
      </c>
      <c r="B32" t="n">
        <v>42</v>
      </c>
      <c r="C32" t="inlineStr">
        <is>
          <t>Kundenrechnungen-brutto-extern</t>
        </is>
      </c>
      <c r="D32" t="inlineStr">
        <is>
          <t>ein</t>
        </is>
      </c>
      <c r="E32" t="n">
        <v>225696.24</v>
      </c>
    </row>
    <row r="33">
      <c r="A33" t="n">
        <v>2026</v>
      </c>
      <c r="B33" t="n">
        <v>44</v>
      </c>
      <c r="C33" t="inlineStr">
        <is>
          <t>Lieferantenrechnungen-brutto-extern</t>
        </is>
      </c>
      <c r="D33" t="inlineStr">
        <is>
          <t>aus</t>
        </is>
      </c>
      <c r="E33" t="n">
        <v>-282970.36</v>
      </c>
    </row>
    <row r="34">
      <c r="A34" t="n">
        <v>2026</v>
      </c>
      <c r="B34" t="n">
        <v>43</v>
      </c>
      <c r="C34" t="inlineStr">
        <is>
          <t>Lieferantenechnungen-brutto-intern</t>
        </is>
      </c>
      <c r="D34" t="inlineStr">
        <is>
          <t>aus</t>
        </is>
      </c>
      <c r="E34" t="n">
        <v>-176.53</v>
      </c>
    </row>
    <row r="35">
      <c r="A35" t="n">
        <v>2026</v>
      </c>
      <c r="B35" t="n">
        <v>39</v>
      </c>
      <c r="C35" t="inlineStr">
        <is>
          <t>Sozialversicherungsbeiträge</t>
        </is>
      </c>
      <c r="D35" t="inlineStr">
        <is>
          <t>aus</t>
        </is>
      </c>
      <c r="E35" t="n">
        <v>-136182.72</v>
      </c>
    </row>
    <row r="36">
      <c r="A36" t="n">
        <v>2026</v>
      </c>
      <c r="B36" t="n">
        <v>35</v>
      </c>
      <c r="C36" t="inlineStr">
        <is>
          <t>Sozialversicherungsbeiträge</t>
        </is>
      </c>
      <c r="D36" t="inlineStr">
        <is>
          <t>aus</t>
        </is>
      </c>
      <c r="E36" t="n">
        <v>-135329.78</v>
      </c>
    </row>
    <row r="37">
      <c r="A37" t="n">
        <v>2026</v>
      </c>
      <c r="B37" t="n">
        <v>37</v>
      </c>
      <c r="C37" t="inlineStr">
        <is>
          <t>Lieferantenechnungen-brutto-intern</t>
        </is>
      </c>
      <c r="D37" t="inlineStr">
        <is>
          <t>aus</t>
        </is>
      </c>
      <c r="E37" t="n">
        <v>-13820.01</v>
      </c>
    </row>
    <row r="38">
      <c r="A38" t="n">
        <v>2026</v>
      </c>
      <c r="B38" t="n">
        <v>43</v>
      </c>
      <c r="C38" t="inlineStr">
        <is>
          <t>Kundenrechnungen-brutto-extern</t>
        </is>
      </c>
      <c r="D38" t="inlineStr">
        <is>
          <t>ein</t>
        </is>
      </c>
      <c r="E38" t="n">
        <v>57176.23</v>
      </c>
    </row>
    <row r="39">
      <c r="A39" t="n">
        <v>2026</v>
      </c>
      <c r="B39" t="n">
        <v>41</v>
      </c>
      <c r="C39" t="inlineStr">
        <is>
          <t>Leasing</t>
        </is>
      </c>
      <c r="D39" t="inlineStr">
        <is>
          <t>aus</t>
        </is>
      </c>
      <c r="E39" t="n">
        <v>-312.52</v>
      </c>
    </row>
    <row r="40">
      <c r="A40" t="n">
        <v>2026</v>
      </c>
      <c r="B40" t="n">
        <v>42</v>
      </c>
      <c r="C40" t="inlineStr">
        <is>
          <t>Leasing</t>
        </is>
      </c>
      <c r="D40" t="inlineStr">
        <is>
          <t>aus</t>
        </is>
      </c>
      <c r="E40" t="n">
        <v>-2142.65</v>
      </c>
    </row>
    <row r="41">
      <c r="A41" t="n">
        <v>2026</v>
      </c>
      <c r="B41" t="n">
        <v>39</v>
      </c>
      <c r="C41" t="inlineStr">
        <is>
          <t>Leasing</t>
        </is>
      </c>
      <c r="D41" t="inlineStr">
        <is>
          <t>aus</t>
        </is>
      </c>
      <c r="E41" t="n">
        <v>-792.0700000000001</v>
      </c>
    </row>
    <row r="42">
      <c r="A42" t="n">
        <v>2026</v>
      </c>
      <c r="B42" t="n">
        <v>35</v>
      </c>
      <c r="C42" t="inlineStr">
        <is>
          <t>Leasing</t>
        </is>
      </c>
      <c r="D42" t="inlineStr">
        <is>
          <t>aus</t>
        </is>
      </c>
      <c r="E42" t="n">
        <v>-1277.56</v>
      </c>
    </row>
    <row r="43">
      <c r="A43" t="n">
        <v>2026</v>
      </c>
      <c r="B43" t="n">
        <v>45</v>
      </c>
      <c r="C43" t="inlineStr">
        <is>
          <t>Lieferantenrechnungen-brutto-extern</t>
        </is>
      </c>
      <c r="D43" t="inlineStr">
        <is>
          <t>aus</t>
        </is>
      </c>
      <c r="E43" t="n">
        <v>-205682.76</v>
      </c>
    </row>
    <row r="44">
      <c r="A44" t="n">
        <v>2026</v>
      </c>
      <c r="B44" t="n">
        <v>36</v>
      </c>
      <c r="C44" t="inlineStr">
        <is>
          <t>Lieferantenrechnungen-brutto-extern</t>
        </is>
      </c>
      <c r="D44" t="inlineStr">
        <is>
          <t>aus</t>
        </is>
      </c>
      <c r="E44" t="n">
        <v>-293812.09</v>
      </c>
    </row>
    <row r="45">
      <c r="A45" t="n">
        <v>2026</v>
      </c>
      <c r="B45" t="n">
        <v>35</v>
      </c>
      <c r="C45" t="inlineStr">
        <is>
          <t>Lieferantenrechnungen-brutto-extern</t>
        </is>
      </c>
      <c r="D45" t="inlineStr">
        <is>
          <t>aus</t>
        </is>
      </c>
      <c r="E45" t="n">
        <v>-264519.28</v>
      </c>
    </row>
    <row r="46">
      <c r="A46" t="n">
        <v>2026</v>
      </c>
      <c r="B46" t="n">
        <v>34</v>
      </c>
      <c r="C46" t="inlineStr">
        <is>
          <t>Leasing</t>
        </is>
      </c>
      <c r="D46" t="inlineStr">
        <is>
          <t>aus</t>
        </is>
      </c>
      <c r="E46" t="n">
        <v>-1249.52</v>
      </c>
    </row>
    <row r="47">
      <c r="A47" t="n">
        <v>2026</v>
      </c>
      <c r="B47" t="n">
        <v>42</v>
      </c>
      <c r="C47" t="inlineStr">
        <is>
          <t>Lieferantenrechnungen-brutto-extern</t>
        </is>
      </c>
      <c r="D47" t="inlineStr">
        <is>
          <t>aus</t>
        </is>
      </c>
      <c r="E47" t="n">
        <v>-375423.05</v>
      </c>
    </row>
    <row r="48">
      <c r="A48" t="n">
        <v>2026</v>
      </c>
      <c r="B48" t="n">
        <v>39</v>
      </c>
      <c r="C48" t="inlineStr">
        <is>
          <t>Lieferantenrechnungen-brutto-extern</t>
        </is>
      </c>
      <c r="D48" t="inlineStr">
        <is>
          <t>aus</t>
        </is>
      </c>
      <c r="E48" t="n">
        <v>-68451.61</v>
      </c>
    </row>
    <row r="49">
      <c r="A49" t="n">
        <v>2026</v>
      </c>
      <c r="B49" t="n">
        <v>36</v>
      </c>
      <c r="C49" t="inlineStr">
        <is>
          <t>Leasing</t>
        </is>
      </c>
      <c r="D49" t="inlineStr">
        <is>
          <t>aus</t>
        </is>
      </c>
      <c r="E49" t="n">
        <v>-5253.23</v>
      </c>
    </row>
    <row r="50">
      <c r="A50" t="n">
        <v>2026</v>
      </c>
      <c r="B50" t="n">
        <v>36</v>
      </c>
      <c r="C50" t="inlineStr">
        <is>
          <t>Kundenrechnungen-brutto-extern</t>
        </is>
      </c>
      <c r="D50" t="inlineStr">
        <is>
          <t>ein</t>
        </is>
      </c>
      <c r="E50" t="n">
        <v>199182.29</v>
      </c>
    </row>
    <row r="51">
      <c r="A51" t="n">
        <v>2026</v>
      </c>
      <c r="B51" t="n">
        <v>37</v>
      </c>
      <c r="C51" t="inlineStr">
        <is>
          <t>Umsatzsteuer</t>
        </is>
      </c>
      <c r="D51" t="inlineStr">
        <is>
          <t>aus</t>
        </is>
      </c>
      <c r="E51" t="n">
        <v>-162647.85</v>
      </c>
    </row>
    <row r="52">
      <c r="A52" t="n">
        <v>2026</v>
      </c>
      <c r="B52" t="n">
        <v>35</v>
      </c>
      <c r="C52" t="inlineStr">
        <is>
          <t>Kundenrechnungen-brutto-extern</t>
        </is>
      </c>
      <c r="D52" t="inlineStr">
        <is>
          <t>ein</t>
        </is>
      </c>
      <c r="E52" t="n">
        <v>396542.26</v>
      </c>
    </row>
    <row r="53">
      <c r="A53" t="n">
        <v>2026</v>
      </c>
      <c r="B53" t="n">
        <v>34</v>
      </c>
      <c r="C53" t="inlineStr">
        <is>
          <t>Lieferantenrechnungen-brutto-extern</t>
        </is>
      </c>
      <c r="D53" t="inlineStr">
        <is>
          <t>aus</t>
        </is>
      </c>
      <c r="E53" t="n">
        <v>-119755.39</v>
      </c>
    </row>
    <row r="54">
      <c r="A54" t="n">
        <v>2026</v>
      </c>
      <c r="B54" t="n">
        <v>34</v>
      </c>
      <c r="C54" t="inlineStr">
        <is>
          <t>Kundenrechnungen-brutto-extern</t>
        </is>
      </c>
      <c r="D54" t="inlineStr">
        <is>
          <t>ein</t>
        </is>
      </c>
      <c r="E54" t="n">
        <v>642836.22</v>
      </c>
    </row>
    <row r="55">
      <c r="A55" t="n">
        <v>2026</v>
      </c>
      <c r="B55" t="n">
        <v>33</v>
      </c>
      <c r="C55" t="inlineStr">
        <is>
          <t>Lieferantenrechnungen-brutto-extern</t>
        </is>
      </c>
      <c r="D55" t="inlineStr">
        <is>
          <t>aus</t>
        </is>
      </c>
      <c r="E55" t="n">
        <v>-173349.74</v>
      </c>
    </row>
    <row r="56">
      <c r="A56" t="n">
        <v>2026</v>
      </c>
      <c r="B56" t="n">
        <v>45</v>
      </c>
      <c r="C56" t="inlineStr">
        <is>
          <t>Umsatzsteuer</t>
        </is>
      </c>
      <c r="D56" t="inlineStr">
        <is>
          <t>aus</t>
        </is>
      </c>
      <c r="E56" t="n">
        <v>-24331.36</v>
      </c>
    </row>
    <row r="57">
      <c r="A57" t="n">
        <v>2026</v>
      </c>
      <c r="B57" t="n">
        <v>41</v>
      </c>
      <c r="C57" t="inlineStr">
        <is>
          <t>Lieferantenrechnungen-brutto-extern</t>
        </is>
      </c>
      <c r="D57" t="inlineStr">
        <is>
          <t>aus</t>
        </is>
      </c>
      <c r="E57" t="n">
        <v>-287252.14</v>
      </c>
    </row>
    <row r="58">
      <c r="A58" t="n">
        <v>2026</v>
      </c>
      <c r="B58" t="n">
        <v>44</v>
      </c>
      <c r="C58" t="inlineStr">
        <is>
          <t>Kundenrechnungen-brutto-extern</t>
        </is>
      </c>
      <c r="D58" t="inlineStr">
        <is>
          <t>ein</t>
        </is>
      </c>
      <c r="E58" t="n">
        <v>407945.2</v>
      </c>
    </row>
    <row r="59">
      <c r="A59" t="n">
        <v>2026</v>
      </c>
      <c r="B59" t="n">
        <v>40</v>
      </c>
      <c r="C59" t="inlineStr">
        <is>
          <t>Kundenrechnungen-brutto-extern</t>
        </is>
      </c>
      <c r="D59" t="inlineStr">
        <is>
          <t>ein</t>
        </is>
      </c>
      <c r="E59" t="n">
        <v>234582.68</v>
      </c>
    </row>
    <row r="60">
      <c r="A60" t="n">
        <v>2026</v>
      </c>
      <c r="B60" t="n">
        <v>33</v>
      </c>
      <c r="C60" t="inlineStr">
        <is>
          <t>Leasing</t>
        </is>
      </c>
      <c r="D60" t="inlineStr">
        <is>
          <t>aus</t>
        </is>
      </c>
      <c r="E60" t="n">
        <v>-1312.64</v>
      </c>
    </row>
    <row r="61">
      <c r="A61" t="n">
        <v>2026</v>
      </c>
      <c r="B61" t="n">
        <v>39</v>
      </c>
      <c r="C61" t="inlineStr">
        <is>
          <t>Kundenrechnungen-brutto-extern</t>
        </is>
      </c>
      <c r="D61" t="inlineStr">
        <is>
          <t>ein</t>
        </is>
      </c>
      <c r="E61" t="n">
        <v>245815.86</v>
      </c>
    </row>
    <row r="62">
      <c r="A62" t="n">
        <v>2026</v>
      </c>
      <c r="B62" t="n">
        <v>41</v>
      </c>
      <c r="C62" t="inlineStr">
        <is>
          <t>Umsatzsteuer</t>
        </is>
      </c>
      <c r="D62" t="inlineStr">
        <is>
          <t>aus</t>
        </is>
      </c>
      <c r="E62" t="n">
        <v>-20676.17</v>
      </c>
    </row>
    <row r="63">
      <c r="A63" t="n">
        <v>2026</v>
      </c>
      <c r="B63" t="n">
        <v>38</v>
      </c>
      <c r="C63" t="inlineStr">
        <is>
          <t>Lieferantenrechnungen-brutto-extern</t>
        </is>
      </c>
      <c r="D63" t="inlineStr">
        <is>
          <t>aus</t>
        </is>
      </c>
      <c r="E63" t="n">
        <v>-222591.59</v>
      </c>
    </row>
    <row r="64">
      <c r="A64" t="n">
        <v>2026</v>
      </c>
      <c r="B64" t="n">
        <v>42</v>
      </c>
      <c r="C64" t="inlineStr">
        <is>
          <t>Lohnsteuer</t>
        </is>
      </c>
      <c r="D64" t="inlineStr">
        <is>
          <t>aus</t>
        </is>
      </c>
      <c r="E64" t="n">
        <v>-33550.67</v>
      </c>
    </row>
    <row r="65">
      <c r="A65" t="n">
        <v>2026</v>
      </c>
      <c r="B65" t="n">
        <v>38</v>
      </c>
      <c r="C65" t="inlineStr">
        <is>
          <t>Kundenrechnungen-brutto-extern</t>
        </is>
      </c>
      <c r="D65" t="inlineStr">
        <is>
          <t>ein</t>
        </is>
      </c>
      <c r="E65" t="n">
        <v>521646.76</v>
      </c>
    </row>
    <row r="66">
      <c r="A66" t="n">
        <v>2026</v>
      </c>
      <c r="B66" t="n">
        <v>43</v>
      </c>
      <c r="C66" t="inlineStr">
        <is>
          <t>Lieferantenrechnungen-brutto-extern</t>
        </is>
      </c>
      <c r="D66" t="inlineStr">
        <is>
          <t>aus</t>
        </is>
      </c>
      <c r="E66" t="n">
        <v>-150820.16</v>
      </c>
    </row>
    <row r="67">
      <c r="A67" t="n">
        <v>2026</v>
      </c>
      <c r="B67" t="n">
        <v>37</v>
      </c>
      <c r="C67" t="inlineStr">
        <is>
          <t>Lohnsteuer</t>
        </is>
      </c>
      <c r="D67" t="inlineStr">
        <is>
          <t>aus</t>
        </is>
      </c>
      <c r="E67" t="n">
        <v>-33306.9</v>
      </c>
    </row>
    <row r="68">
      <c r="A68" t="n">
        <v>2026</v>
      </c>
      <c r="B68" t="n">
        <v>37</v>
      </c>
      <c r="C68" t="inlineStr">
        <is>
          <t>Leasing</t>
        </is>
      </c>
      <c r="D68" t="inlineStr">
        <is>
          <t>aus</t>
        </is>
      </c>
      <c r="E68" t="n">
        <v>-312.52</v>
      </c>
    </row>
    <row r="69">
      <c r="A69" t="n">
        <v>2026</v>
      </c>
      <c r="B69" t="n">
        <v>39</v>
      </c>
      <c r="C69" t="inlineStr">
        <is>
          <t>Lieferantenechnungen-brutto-intern</t>
        </is>
      </c>
      <c r="D69" t="inlineStr">
        <is>
          <t>aus</t>
        </is>
      </c>
      <c r="E69" t="n">
        <v>-7416.79</v>
      </c>
    </row>
    <row r="70">
      <c r="A70" t="n">
        <v>2026</v>
      </c>
      <c r="B70" t="n">
        <v>33</v>
      </c>
      <c r="C70" t="inlineStr">
        <is>
          <t>Factoring</t>
        </is>
      </c>
      <c r="D70" t="inlineStr">
        <is>
          <t>ein</t>
        </is>
      </c>
      <c r="E70" t="n">
        <v>-308051.67</v>
      </c>
    </row>
    <row r="71">
      <c r="A71" t="n">
        <v>2026</v>
      </c>
      <c r="B71" t="n">
        <v>40</v>
      </c>
      <c r="C71" t="inlineStr">
        <is>
          <t>Leasing</t>
        </is>
      </c>
      <c r="D71" t="inlineStr">
        <is>
          <t>aus</t>
        </is>
      </c>
      <c r="E71" t="n">
        <v>-5865.23</v>
      </c>
    </row>
    <row r="72">
      <c r="A72" t="n">
        <v>2026</v>
      </c>
      <c r="B72" t="n">
        <v>37</v>
      </c>
      <c r="C72" t="inlineStr">
        <is>
          <t>Lieferantenrechnungen-brutto-extern</t>
        </is>
      </c>
      <c r="D72" t="inlineStr">
        <is>
          <t>aus</t>
        </is>
      </c>
      <c r="E72" t="n">
        <v>-535058.71</v>
      </c>
    </row>
    <row r="73">
      <c r="A73" t="n">
        <v>2026</v>
      </c>
      <c r="B73" t="n">
        <v>45</v>
      </c>
      <c r="C73" t="inlineStr">
        <is>
          <t>Leasing</t>
        </is>
      </c>
      <c r="D73" t="inlineStr">
        <is>
          <t>aus</t>
        </is>
      </c>
      <c r="E73" t="n">
        <v>-5326.23</v>
      </c>
    </row>
    <row r="74">
      <c r="A74" t="n">
        <v>2026</v>
      </c>
      <c r="B74" t="n">
        <v>40</v>
      </c>
      <c r="C74" t="inlineStr">
        <is>
          <t>Lieferantenrechnungen-brutto-extern</t>
        </is>
      </c>
      <c r="D74" t="inlineStr">
        <is>
          <t>aus</t>
        </is>
      </c>
      <c r="E74" t="n">
        <v>-261141.54</v>
      </c>
    </row>
    <row r="75">
      <c r="A75" t="n">
        <v>2026</v>
      </c>
      <c r="B75" t="n">
        <v>38</v>
      </c>
      <c r="C75" t="inlineStr">
        <is>
          <t>Leasing</t>
        </is>
      </c>
      <c r="D75" t="inlineStr">
        <is>
          <t>aus</t>
        </is>
      </c>
      <c r="E75" t="n">
        <v>-2435.65</v>
      </c>
    </row>
    <row r="76">
      <c r="A76" t="n">
        <v>2026</v>
      </c>
      <c r="B76" t="n">
        <v>41</v>
      </c>
      <c r="C76" t="inlineStr">
        <is>
          <t>Lieferantenechnungen-brutto-intern</t>
        </is>
      </c>
      <c r="D76" t="inlineStr">
        <is>
          <t>aus</t>
        </is>
      </c>
      <c r="E76" t="n">
        <v>-21060.27</v>
      </c>
    </row>
    <row r="77">
      <c r="A77" t="n">
        <v>2026</v>
      </c>
      <c r="B77" t="n">
        <v>43</v>
      </c>
      <c r="C77" t="inlineStr">
        <is>
          <t>Leasing</t>
        </is>
      </c>
      <c r="D77" t="inlineStr">
        <is>
          <t>aus</t>
        </is>
      </c>
      <c r="E77" t="n">
        <v>-906.55</v>
      </c>
    </row>
    <row r="78">
      <c r="A78" t="n">
        <v>2026</v>
      </c>
      <c r="B78" t="n">
        <v>35</v>
      </c>
      <c r="C78" t="inlineStr">
        <is>
          <t>Gewerbesteuer</t>
        </is>
      </c>
      <c r="D78" t="inlineStr">
        <is>
          <t>aus</t>
        </is>
      </c>
      <c r="E78" t="n">
        <v>43918</v>
      </c>
    </row>
    <row r="79">
      <c r="A79" t="n">
        <v>2026</v>
      </c>
      <c r="B79" t="n">
        <v>35</v>
      </c>
      <c r="C79" t="inlineStr">
        <is>
          <t>Löhne und Gehälter</t>
        </is>
      </c>
      <c r="D79" t="inlineStr">
        <is>
          <t>aus</t>
        </is>
      </c>
      <c r="E79" t="n">
        <v>-174861.24</v>
      </c>
    </row>
    <row r="80">
      <c r="A80" t="n">
        <v>2026</v>
      </c>
      <c r="B80" t="n">
        <v>44</v>
      </c>
      <c r="C80" t="inlineStr">
        <is>
          <t>Leasing</t>
        </is>
      </c>
      <c r="D80" t="inlineStr">
        <is>
          <t>aus</t>
        </is>
      </c>
      <c r="E80" t="n">
        <v>-790.52</v>
      </c>
    </row>
    <row r="81">
      <c r="A81" t="n">
        <v>2026</v>
      </c>
      <c r="B81" t="n">
        <v>44</v>
      </c>
      <c r="C81" t="inlineStr">
        <is>
          <t>Sozialversicherungsbeiträge</t>
        </is>
      </c>
      <c r="D81" t="inlineStr">
        <is>
          <t>aus</t>
        </is>
      </c>
      <c r="E81" t="n">
        <v>-136182.72</v>
      </c>
    </row>
    <row r="82">
      <c r="A82" t="n">
        <v>2026</v>
      </c>
      <c r="B82" t="n">
        <v>45</v>
      </c>
      <c r="C82" t="inlineStr">
        <is>
          <t>Lieferantenechnungen-brutto-intern</t>
        </is>
      </c>
      <c r="D82" t="inlineStr">
        <is>
          <t>aus</t>
        </is>
      </c>
      <c r="E82" t="n">
        <v>-15083.08</v>
      </c>
    </row>
    <row r="83">
      <c r="A83" t="n">
        <v>2026</v>
      </c>
      <c r="B83" t="n">
        <v>35</v>
      </c>
      <c r="C83" t="inlineStr">
        <is>
          <t>Körperschaftssteuer</t>
        </is>
      </c>
      <c r="D83" t="inlineStr">
        <is>
          <t>aus</t>
        </is>
      </c>
      <c r="E83" t="n">
        <v>54430</v>
      </c>
    </row>
    <row r="84">
      <c r="A84" t="n">
        <v>2026</v>
      </c>
      <c r="B84" t="n">
        <v>37</v>
      </c>
      <c r="C84" t="inlineStr">
        <is>
          <t>Kundenrechnungen-brutto-extern</t>
        </is>
      </c>
      <c r="D84" t="inlineStr">
        <is>
          <t>ein</t>
        </is>
      </c>
      <c r="E84" t="n">
        <v>632293.01</v>
      </c>
    </row>
    <row r="85">
      <c r="A85" t="n">
        <v>2026</v>
      </c>
      <c r="B85" t="n">
        <v>33</v>
      </c>
      <c r="C85" t="inlineStr">
        <is>
          <t>Kundenrechnungen-brutto-extern</t>
        </is>
      </c>
      <c r="D85" t="inlineStr">
        <is>
          <t>ein</t>
        </is>
      </c>
      <c r="E85" t="n">
        <v>57663.24</v>
      </c>
    </row>
    <row r="89">
      <c r="A89" t="inlineStr">
        <is>
          <t>v_geplante_zahlung</t>
        </is>
      </c>
    </row>
    <row r="90">
      <c r="A90" t="inlineStr">
        <is>
          <t>jahr</t>
        </is>
      </c>
      <c r="B90" t="inlineStr">
        <is>
          <t>monat</t>
        </is>
      </c>
      <c r="C90" t="inlineStr">
        <is>
          <t>regionscode</t>
        </is>
      </c>
      <c r="D90" t="inlineStr">
        <is>
          <t>betrag</t>
        </is>
      </c>
      <c r="E90" t="inlineStr">
        <is>
          <t>richtung</t>
        </is>
      </c>
      <c r="F90" t="inlineStr">
        <is>
          <t>partner</t>
        </is>
      </c>
      <c r="G90" t="inlineStr">
        <is>
          <t>zweck</t>
        </is>
      </c>
      <c r="H90" t="inlineStr">
        <is>
          <t>status</t>
        </is>
      </c>
      <c r="I90" t="inlineStr">
        <is>
          <t>herkunft</t>
        </is>
      </c>
    </row>
    <row r="91">
      <c r="A91" t="n">
        <v>2026</v>
      </c>
      <c r="B91" t="n">
        <v>5</v>
      </c>
      <c r="C91" t="inlineStr">
        <is>
          <t>15</t>
        </is>
      </c>
      <c r="D91" t="n">
        <v>29150</v>
      </c>
      <c r="E91" t="inlineStr">
        <is>
          <t>EIN</t>
        </is>
      </c>
      <c r="F91" t="inlineStr">
        <is>
          <t>thyssenkrupp Steel Europe AG</t>
        </is>
      </c>
      <c r="G91" t="inlineStr">
        <is>
          <t>Chance: Rückbau Kalkbehälter Pfannenofen</t>
        </is>
      </c>
      <c r="H91" t="inlineStr">
        <is>
          <t>ANGEBOT</t>
        </is>
      </c>
      <c r="I91" t="inlineStr">
        <is>
          <t>CHANCE</t>
        </is>
      </c>
    </row>
    <row r="92">
      <c r="A92" t="n">
        <v>2026</v>
      </c>
      <c r="B92" t="n">
        <v>5</v>
      </c>
      <c r="C92" t="inlineStr">
        <is>
          <t>15</t>
        </is>
      </c>
      <c r="D92" t="n">
        <v>16250</v>
      </c>
      <c r="E92" t="inlineStr">
        <is>
          <t>EIN</t>
        </is>
      </c>
      <c r="F92" t="inlineStr">
        <is>
          <t>Innomotics GmbH</t>
        </is>
      </c>
      <c r="G92" t="inlineStr">
        <is>
          <t>Chance: Rückbau Rundbogenhalle</t>
        </is>
      </c>
      <c r="H92" t="inlineStr">
        <is>
          <t>ANGEBOT</t>
        </is>
      </c>
      <c r="I92" t="inlineStr">
        <is>
          <t>CHANCE</t>
        </is>
      </c>
    </row>
    <row r="93">
      <c r="A93" t="n">
        <v>2026</v>
      </c>
      <c r="B93" t="n">
        <v>5</v>
      </c>
      <c r="C93" t="inlineStr">
        <is>
          <t>15</t>
        </is>
      </c>
      <c r="D93" t="n">
        <v>1700</v>
      </c>
      <c r="E93" t="inlineStr">
        <is>
          <t>EIN</t>
        </is>
      </c>
      <c r="F93" t="inlineStr">
        <is>
          <t>ABH Elektromontage GmbH</t>
        </is>
      </c>
      <c r="G93" t="inlineStr">
        <is>
          <t>Chance: Verschrottung Aufenthaltscontainer</t>
        </is>
      </c>
      <c r="H93" t="inlineStr">
        <is>
          <t>ANGEBOT</t>
        </is>
      </c>
      <c r="I93" t="inlineStr">
        <is>
          <t>CHANCE</t>
        </is>
      </c>
    </row>
    <row r="94">
      <c r="A94" t="n">
        <v>2026</v>
      </c>
      <c r="B94" t="n">
        <v>6</v>
      </c>
      <c r="C94" t="inlineStr">
        <is>
          <t>15</t>
        </is>
      </c>
      <c r="D94" t="n">
        <v>50000</v>
      </c>
      <c r="E94" t="inlineStr">
        <is>
          <t>EIN</t>
        </is>
      </c>
      <c r="F94" t="inlineStr">
        <is>
          <t>Arntz Erke Architekten</t>
        </is>
      </c>
      <c r="G94" t="inlineStr">
        <is>
          <t>Chance: Rückbau Dach SBS Alter Markt</t>
        </is>
      </c>
      <c r="H94" t="inlineStr">
        <is>
          <t>ANGEBOT</t>
        </is>
      </c>
      <c r="I94" t="inlineStr">
        <is>
          <t>CHANCE</t>
        </is>
      </c>
    </row>
    <row r="95">
      <c r="A95" t="n">
        <v>2026</v>
      </c>
      <c r="B95" t="n">
        <v>6</v>
      </c>
      <c r="C95" t="inlineStr">
        <is>
          <t>15</t>
        </is>
      </c>
      <c r="D95" t="n">
        <v>4900</v>
      </c>
      <c r="E95" t="inlineStr">
        <is>
          <t>EIN</t>
        </is>
      </c>
      <c r="F95" t="inlineStr">
        <is>
          <t>WSW Energie &amp; Wasser AG</t>
        </is>
      </c>
      <c r="G95" t="inlineStr">
        <is>
          <t>Chance: Rückbau Rohrleitung DN1200</t>
        </is>
      </c>
      <c r="H95" t="inlineStr">
        <is>
          <t>ANGEBOT</t>
        </is>
      </c>
      <c r="I95" t="inlineStr">
        <is>
          <t>CHANCE</t>
        </is>
      </c>
    </row>
    <row r="96">
      <c r="A96" t="n">
        <v>2026</v>
      </c>
      <c r="B96" t="n">
        <v>6</v>
      </c>
      <c r="C96" t="inlineStr">
        <is>
          <t>15</t>
        </is>
      </c>
      <c r="D96" t="n">
        <v>55200</v>
      </c>
      <c r="E96" t="inlineStr">
        <is>
          <t>EIN</t>
        </is>
      </c>
      <c r="F96" t="inlineStr">
        <is>
          <t>iFT Statik</t>
        </is>
      </c>
      <c r="G96" t="inlineStr">
        <is>
          <t>Chance: Abbruch Turbine, 221154 Perstorp</t>
        </is>
      </c>
      <c r="H96" t="inlineStr">
        <is>
          <t>ANGEBOT</t>
        </is>
      </c>
      <c r="I96" t="inlineStr">
        <is>
          <t>CHANCE</t>
        </is>
      </c>
    </row>
    <row r="97">
      <c r="A97" t="n">
        <v>2026</v>
      </c>
      <c r="B97" t="n">
        <v>6</v>
      </c>
      <c r="C97" t="inlineStr">
        <is>
          <t>15</t>
        </is>
      </c>
      <c r="D97" t="n">
        <v>6250</v>
      </c>
      <c r="E97" t="inlineStr">
        <is>
          <t>EIN</t>
        </is>
      </c>
      <c r="F97" t="inlineStr">
        <is>
          <t>WSW Energie &amp; Wasser AG</t>
        </is>
      </c>
      <c r="G97" t="inlineStr">
        <is>
          <t>Chance: Rückbau Rohrleitungen Dessauerstraße</t>
        </is>
      </c>
      <c r="H97" t="inlineStr">
        <is>
          <t>ANGEBOT</t>
        </is>
      </c>
      <c r="I97" t="inlineStr">
        <is>
          <t>CHANCE</t>
        </is>
      </c>
    </row>
    <row r="98">
      <c r="A98" t="n">
        <v>2026</v>
      </c>
      <c r="B98" t="n">
        <v>6</v>
      </c>
      <c r="C98" t="inlineStr">
        <is>
          <t>15</t>
        </is>
      </c>
      <c r="D98" t="n">
        <v>936513.05</v>
      </c>
      <c r="E98" t="inlineStr">
        <is>
          <t>EIN</t>
        </is>
      </c>
      <c r="F98" t="inlineStr">
        <is>
          <t>Ruhr Oel GmbH - BP Gelsenkirchen</t>
        </is>
      </c>
      <c r="G98" t="inlineStr">
        <is>
          <t>Chance: Rückbau Bau 69 BP Werk Horst</t>
        </is>
      </c>
      <c r="H98" t="inlineStr">
        <is>
          <t>ANGEBOT</t>
        </is>
      </c>
      <c r="I98" t="inlineStr">
        <is>
          <t>CHANCE</t>
        </is>
      </c>
    </row>
    <row r="99">
      <c r="A99" t="n">
        <v>2026</v>
      </c>
      <c r="B99" t="n">
        <v>6</v>
      </c>
      <c r="C99" t="inlineStr">
        <is>
          <t>15</t>
        </is>
      </c>
      <c r="D99" t="n">
        <v>11750</v>
      </c>
      <c r="E99" t="inlineStr">
        <is>
          <t>EIN</t>
        </is>
      </c>
      <c r="F99" t="inlineStr">
        <is>
          <t>thyssenkrupp Steel Europe AG</t>
        </is>
      </c>
      <c r="G99" t="inlineStr">
        <is>
          <t>Chance: TKSE Koksgasleitung Ringleitung DN 150 ca. 250m Anlage SRW</t>
        </is>
      </c>
      <c r="H99" t="inlineStr">
        <is>
          <t>ANGEBOT</t>
        </is>
      </c>
      <c r="I99" t="inlineStr">
        <is>
          <t>CHANCE</t>
        </is>
      </c>
    </row>
    <row r="100">
      <c r="A100" t="n">
        <v>2026</v>
      </c>
      <c r="B100" t="n">
        <v>6</v>
      </c>
      <c r="C100" t="inlineStr">
        <is>
          <t>15</t>
        </is>
      </c>
      <c r="D100" t="n">
        <v>3675</v>
      </c>
      <c r="E100" t="inlineStr">
        <is>
          <t>EIN</t>
        </is>
      </c>
      <c r="F100" t="inlineStr">
        <is>
          <t>SMB Rohrleitungsbau Wildau GmbH &amp; Co. KG</t>
        </is>
      </c>
      <c r="G100" t="inlineStr">
        <is>
          <t>Chance: Demontage HO 2 Brenngasleitung A 26008 Schalldämpfer DN 3400</t>
        </is>
      </c>
      <c r="H100" t="inlineStr">
        <is>
          <t>ANGEBOT</t>
        </is>
      </c>
      <c r="I100" t="inlineStr">
        <is>
          <t>CHANCE</t>
        </is>
      </c>
    </row>
    <row r="101">
      <c r="A101" t="n">
        <v>2026</v>
      </c>
      <c r="B101" t="n">
        <v>6</v>
      </c>
      <c r="C101" t="inlineStr">
        <is>
          <t>15</t>
        </is>
      </c>
      <c r="D101" t="n">
        <v>79500</v>
      </c>
      <c r="E101" t="inlineStr">
        <is>
          <t>EIN</t>
        </is>
      </c>
      <c r="F101" t="inlineStr">
        <is>
          <t>ArcelorMittal Bremen GmbH</t>
        </is>
      </c>
      <c r="G101" t="inlineStr">
        <is>
          <t>Chance: Demontage H2S-Behälter</t>
        </is>
      </c>
      <c r="H101" t="inlineStr">
        <is>
          <t>ANGEBOT</t>
        </is>
      </c>
      <c r="I101" t="inlineStr">
        <is>
          <t>CHANCE</t>
        </is>
      </c>
    </row>
    <row r="102">
      <c r="A102" t="n">
        <v>2026</v>
      </c>
      <c r="B102" t="n">
        <v>6</v>
      </c>
      <c r="C102" t="inlineStr">
        <is>
          <t>15</t>
        </is>
      </c>
      <c r="D102" t="n">
        <v>79950</v>
      </c>
      <c r="E102" t="inlineStr">
        <is>
          <t>EIN</t>
        </is>
      </c>
      <c r="F102" t="inlineStr">
        <is>
          <t>Thyssenkrupp Mill Services &amp; Systems GmbH</t>
        </is>
      </c>
      <c r="G102" t="inlineStr">
        <is>
          <t>Chance: Demontage und Entsorgung Stahlbaukonstruktion</t>
        </is>
      </c>
      <c r="H102" t="inlineStr">
        <is>
          <t>ANGEBOT</t>
        </is>
      </c>
      <c r="I102" t="inlineStr">
        <is>
          <t>CHANCE</t>
        </is>
      </c>
    </row>
    <row r="103">
      <c r="A103" t="n">
        <v>2026</v>
      </c>
      <c r="B103" t="n">
        <v>7</v>
      </c>
      <c r="C103" t="inlineStr">
        <is>
          <t>15</t>
        </is>
      </c>
      <c r="D103" t="n">
        <v>17375</v>
      </c>
      <c r="E103" t="inlineStr">
        <is>
          <t>EIN</t>
        </is>
      </c>
      <c r="F103" t="inlineStr">
        <is>
          <t>Thyssenkrupp Steel Europe AG</t>
        </is>
      </c>
      <c r="G103" t="inlineStr">
        <is>
          <t>Chance: Demontage Turbine im Gebäude Drucklufterzeugung</t>
        </is>
      </c>
      <c r="H103" t="inlineStr">
        <is>
          <t>ANGEBOT</t>
        </is>
      </c>
      <c r="I103" t="inlineStr">
        <is>
          <t>CHANCE</t>
        </is>
      </c>
    </row>
    <row r="104">
      <c r="A104" t="n">
        <v>2026</v>
      </c>
      <c r="B104" t="n">
        <v>7</v>
      </c>
      <c r="C104" t="inlineStr">
        <is>
          <t>15</t>
        </is>
      </c>
      <c r="D104" t="n">
        <v>20790</v>
      </c>
      <c r="E104" t="inlineStr">
        <is>
          <t>EIN</t>
        </is>
      </c>
      <c r="F104" t="inlineStr">
        <is>
          <t>Thyssenkrupp Steel Europe AG</t>
        </is>
      </c>
      <c r="G104" t="inlineStr">
        <is>
          <t>Chance: Entkernung UHP-Pumpenhaus</t>
        </is>
      </c>
      <c r="H104" t="inlineStr">
        <is>
          <t>ANGEBOT</t>
        </is>
      </c>
      <c r="I104" t="inlineStr">
        <is>
          <t>CHANCE</t>
        </is>
      </c>
    </row>
    <row r="105">
      <c r="A105" t="n">
        <v>2026</v>
      </c>
      <c r="B105" t="n">
        <v>6</v>
      </c>
      <c r="C105" t="inlineStr">
        <is>
          <t>15</t>
        </is>
      </c>
      <c r="D105" t="n">
        <v>105264</v>
      </c>
      <c r="E105" t="inlineStr">
        <is>
          <t>EIN</t>
        </is>
      </c>
      <c r="F105" t="inlineStr">
        <is>
          <t>thyssenkrupp Millservices &amp; Systems GmbH</t>
        </is>
      </c>
      <c r="G105" t="inlineStr">
        <is>
          <t>Chance: Verschrottung Kranbahn OX1, 2026</t>
        </is>
      </c>
      <c r="H105" t="inlineStr">
        <is>
          <t>ANGEBOT</t>
        </is>
      </c>
      <c r="I105" t="inlineStr">
        <is>
          <t>CHANCE</t>
        </is>
      </c>
    </row>
    <row r="106">
      <c r="A106" t="n">
        <v>2026</v>
      </c>
      <c r="B106" t="n">
        <v>7</v>
      </c>
      <c r="C106" t="inlineStr">
        <is>
          <t>15</t>
        </is>
      </c>
      <c r="D106" t="n">
        <v>60615</v>
      </c>
      <c r="E106" t="inlineStr">
        <is>
          <t>EIN</t>
        </is>
      </c>
      <c r="F106" t="inlineStr">
        <is>
          <t>Thyssenkrupp Steel Europe AG</t>
        </is>
      </c>
      <c r="G106" t="inlineStr">
        <is>
          <t>Chance: Demontage Bestandskamin Sinteranlage 3</t>
        </is>
      </c>
      <c r="H106" t="inlineStr">
        <is>
          <t>ANGEBOT</t>
        </is>
      </c>
      <c r="I106" t="inlineStr">
        <is>
          <t>CHANCE</t>
        </is>
      </c>
    </row>
    <row r="107">
      <c r="A107" t="n">
        <v>2026</v>
      </c>
      <c r="B107" t="n">
        <v>7</v>
      </c>
      <c r="C107" t="inlineStr">
        <is>
          <t>15</t>
        </is>
      </c>
      <c r="D107" t="n">
        <v>259750</v>
      </c>
      <c r="E107" t="inlineStr">
        <is>
          <t>EIN</t>
        </is>
      </c>
      <c r="F107" t="inlineStr">
        <is>
          <t>Stadtwerke Düsseldorf</t>
        </is>
      </c>
      <c r="G107" t="inlineStr">
        <is>
          <t>Chance: Rückbau Turbine und Kondensator im KW Flingern</t>
        </is>
      </c>
      <c r="H107" t="inlineStr">
        <is>
          <t>ANGEBOT</t>
        </is>
      </c>
      <c r="I107" t="inlineStr">
        <is>
          <t>CHANCE</t>
        </is>
      </c>
    </row>
    <row r="108">
      <c r="A108" t="n">
        <v>2026</v>
      </c>
      <c r="B108" t="n">
        <v>7</v>
      </c>
      <c r="C108" t="inlineStr">
        <is>
          <t>15</t>
        </is>
      </c>
      <c r="D108" t="n">
        <v>2117.02</v>
      </c>
      <c r="E108" t="inlineStr">
        <is>
          <t>EIN</t>
        </is>
      </c>
      <c r="F108" t="inlineStr">
        <is>
          <t>Thyssenkrupp Steel Europe AG</t>
        </is>
      </c>
      <c r="G108" t="inlineStr">
        <is>
          <t>Chance: Rückbau Koksgasleitung- Ringleitung DN 150 ca. 250m, Anlage SRW, Separierung und Verladung</t>
        </is>
      </c>
      <c r="H108" t="inlineStr">
        <is>
          <t>ANGEBOT</t>
        </is>
      </c>
      <c r="I108" t="inlineStr">
        <is>
          <t>CHANCE</t>
        </is>
      </c>
    </row>
    <row r="109">
      <c r="A109" t="n">
        <v>2026</v>
      </c>
      <c r="B109" t="n">
        <v>8</v>
      </c>
      <c r="C109" t="inlineStr">
        <is>
          <t>15</t>
        </is>
      </c>
      <c r="D109" t="n">
        <v>15200</v>
      </c>
      <c r="E109" t="inlineStr">
        <is>
          <t>EIN</t>
        </is>
      </c>
      <c r="F109" t="inlineStr">
        <is>
          <t>thyssenkrupp Steel Europe AG</t>
        </is>
      </c>
      <c r="G109" t="inlineStr">
        <is>
          <t>Chance: Rückbau von 60 Kühlstühlen</t>
        </is>
      </c>
      <c r="H109" t="inlineStr">
        <is>
          <t>ANGEBOT</t>
        </is>
      </c>
      <c r="I109" t="inlineStr">
        <is>
          <t>CHANCE</t>
        </is>
      </c>
    </row>
    <row r="110">
      <c r="A110" t="n">
        <v>2026</v>
      </c>
      <c r="B110" t="n">
        <v>8</v>
      </c>
      <c r="C110" t="inlineStr">
        <is>
          <t>15</t>
        </is>
      </c>
      <c r="D110" t="n">
        <v>38450</v>
      </c>
      <c r="E110" t="inlineStr">
        <is>
          <t>EIN</t>
        </is>
      </c>
      <c r="F110" t="inlineStr">
        <is>
          <t>SMB Rohrleitungsbau Wildau GmbH &amp; Co. KG</t>
        </is>
      </c>
      <c r="G110" t="inlineStr">
        <is>
          <t>Chance: Rückbau von 2 Mischgasleitungen DN 1800 - DN 2000 im Landschaftspark, Duisburg Nord über der A59</t>
        </is>
      </c>
      <c r="H110" t="inlineStr">
        <is>
          <t>ANGEBOT</t>
        </is>
      </c>
      <c r="I110" t="inlineStr">
        <is>
          <t>CHANCE</t>
        </is>
      </c>
    </row>
    <row r="111">
      <c r="A111" t="n">
        <v>2026</v>
      </c>
      <c r="B111" t="n">
        <v>8</v>
      </c>
      <c r="C111" t="inlineStr">
        <is>
          <t>15</t>
        </is>
      </c>
      <c r="D111" t="n">
        <v>22250</v>
      </c>
      <c r="E111" t="inlineStr">
        <is>
          <t>EIN</t>
        </is>
      </c>
      <c r="F111" t="inlineStr">
        <is>
          <t>Felco GmbH Industrieanlagen</t>
        </is>
      </c>
      <c r="G111" t="inlineStr">
        <is>
          <t>Chance: Rückbau von 4 Sandfilter bei Bayer Bergkamen</t>
        </is>
      </c>
      <c r="H111" t="inlineStr">
        <is>
          <t>ANGEBOT</t>
        </is>
      </c>
      <c r="I111" t="inlineStr">
        <is>
          <t>CHANCE</t>
        </is>
      </c>
    </row>
    <row r="112">
      <c r="A112" t="n">
        <v>2026</v>
      </c>
      <c r="B112" t="n">
        <v>8</v>
      </c>
      <c r="C112" t="inlineStr">
        <is>
          <t>15</t>
        </is>
      </c>
      <c r="D112" t="n">
        <v>564615.24</v>
      </c>
      <c r="E112" t="inlineStr">
        <is>
          <t>EIN</t>
        </is>
      </c>
      <c r="F112" t="inlineStr">
        <is>
          <t>SBO Servicebetrieb Oberhausen</t>
        </is>
      </c>
      <c r="G112" t="inlineStr">
        <is>
          <t>Chance: Gesamtschule Weierheide, Erweiterung - Abbrucharbeiten</t>
        </is>
      </c>
      <c r="H112" t="inlineStr">
        <is>
          <t>ANGEBOT</t>
        </is>
      </c>
      <c r="I112" t="inlineStr">
        <is>
          <t>CHANCE</t>
        </is>
      </c>
    </row>
    <row r="113">
      <c r="A113" t="n">
        <v>2026</v>
      </c>
      <c r="B113" t="n">
        <v>8</v>
      </c>
      <c r="C113" t="inlineStr">
        <is>
          <t>15</t>
        </is>
      </c>
      <c r="D113" t="n">
        <v>465.63</v>
      </c>
      <c r="E113" t="inlineStr">
        <is>
          <t>EIN</t>
        </is>
      </c>
      <c r="F113" t="inlineStr">
        <is>
          <t>Bau- und Liegenschaftsbetrieb NRW, Niederlassung Düsseldorf</t>
        </is>
      </c>
      <c r="G113" t="inlineStr">
        <is>
          <t>Chance: Schadstoffsanierung Campus Düsseldorf</t>
        </is>
      </c>
      <c r="H113" t="inlineStr">
        <is>
          <t>ANGEBOT</t>
        </is>
      </c>
      <c r="I113" t="inlineStr">
        <is>
          <t>CHANCE</t>
        </is>
      </c>
    </row>
    <row r="114">
      <c r="A114" t="n">
        <v>2026</v>
      </c>
      <c r="B114" t="n">
        <v>9</v>
      </c>
      <c r="C114" t="inlineStr">
        <is>
          <t>15</t>
        </is>
      </c>
      <c r="D114" t="n">
        <v>63453.95</v>
      </c>
      <c r="E114" t="inlineStr">
        <is>
          <t>EIN</t>
        </is>
      </c>
      <c r="F114" t="inlineStr">
        <is>
          <t>SBO Servicebetrieb Oberhausen</t>
        </is>
      </c>
      <c r="G114" t="inlineStr">
        <is>
          <t>Chance: Emscher Sport- und Bewegungspark Holten - Abbrucharbeiten</t>
        </is>
      </c>
      <c r="H114" t="inlineStr">
        <is>
          <t>ANGEBOT</t>
        </is>
      </c>
      <c r="I114" t="inlineStr">
        <is>
          <t>CHANCE</t>
        </is>
      </c>
    </row>
    <row r="115">
      <c r="A115" t="n">
        <v>2026</v>
      </c>
      <c r="B115" t="n">
        <v>9</v>
      </c>
      <c r="C115" t="inlineStr">
        <is>
          <t>15</t>
        </is>
      </c>
      <c r="D115" t="n">
        <v>60500</v>
      </c>
      <c r="E115" t="inlineStr">
        <is>
          <t>EIN</t>
        </is>
      </c>
      <c r="F115" t="inlineStr">
        <is>
          <t>ThyssenKrupp MillServices &amp; Systems GmbH</t>
        </is>
      </c>
      <c r="G115" t="inlineStr">
        <is>
          <t>Chance: Demontage und Verschrottung Löseturm und Rohrbrücken</t>
        </is>
      </c>
      <c r="H115" t="inlineStr">
        <is>
          <t>ANGEBOT</t>
        </is>
      </c>
      <c r="I115" t="inlineStr">
        <is>
          <t>CHANCE</t>
        </is>
      </c>
    </row>
    <row r="116">
      <c r="A116" t="n">
        <v>2026</v>
      </c>
      <c r="B116" t="n">
        <v>9</v>
      </c>
      <c r="C116" t="inlineStr">
        <is>
          <t>15</t>
        </is>
      </c>
      <c r="D116" t="n">
        <v>139121.66</v>
      </c>
      <c r="E116" t="inlineStr">
        <is>
          <t>EIN</t>
        </is>
      </c>
      <c r="F116" t="inlineStr">
        <is>
          <t>Sakosta GmbH</t>
        </is>
      </c>
      <c r="G116" t="inlineStr">
        <is>
          <t>Chance: Sanierung HICOG Siedlung BA4-BA6</t>
        </is>
      </c>
      <c r="H116" t="inlineStr">
        <is>
          <t>ANGEBOT</t>
        </is>
      </c>
      <c r="I116" t="inlineStr">
        <is>
          <t>CHANCE</t>
        </is>
      </c>
    </row>
    <row r="117">
      <c r="A117" t="n">
        <v>2026</v>
      </c>
      <c r="B117" t="n">
        <v>9</v>
      </c>
      <c r="C117" t="inlineStr">
        <is>
          <t>15</t>
        </is>
      </c>
      <c r="D117" t="n">
        <v>348026.61</v>
      </c>
      <c r="E117" t="inlineStr">
        <is>
          <t>EIN</t>
        </is>
      </c>
      <c r="F117" t="inlineStr">
        <is>
          <t>Covestro Deutschland AG</t>
        </is>
      </c>
      <c r="G117" t="inlineStr">
        <is>
          <t>Chance: Rückbau Gebäude UER-N203/N204</t>
        </is>
      </c>
      <c r="H117" t="inlineStr">
        <is>
          <t>ANGEBOT</t>
        </is>
      </c>
      <c r="I117" t="inlineStr">
        <is>
          <t>CHANCE</t>
        </is>
      </c>
    </row>
    <row r="118">
      <c r="A118" t="n">
        <v>2026</v>
      </c>
      <c r="B118" t="n">
        <v>9</v>
      </c>
      <c r="C118" t="inlineStr">
        <is>
          <t>15</t>
        </is>
      </c>
      <c r="D118" t="n">
        <v>10250</v>
      </c>
      <c r="E118" t="inlineStr">
        <is>
          <t>EIN</t>
        </is>
      </c>
      <c r="F118" t="inlineStr">
        <is>
          <t>thyssenkrupp Steel Europe AG</t>
        </is>
      </c>
      <c r="G118" t="inlineStr">
        <is>
          <t>Chance: Chargierfähige Aufbereitung der Roheisenfähren B14 &amp; B15</t>
        </is>
      </c>
      <c r="H118" t="inlineStr">
        <is>
          <t>ANGEBOT</t>
        </is>
      </c>
      <c r="I118" t="inlineStr">
        <is>
          <t>CHANCE</t>
        </is>
      </c>
    </row>
    <row r="119">
      <c r="A119" t="n">
        <v>2026</v>
      </c>
      <c r="B119" t="n">
        <v>10</v>
      </c>
      <c r="C119" t="inlineStr">
        <is>
          <t>15</t>
        </is>
      </c>
      <c r="D119" t="n">
        <v>52750</v>
      </c>
      <c r="E119" t="inlineStr">
        <is>
          <t>EIN</t>
        </is>
      </c>
      <c r="F119" t="inlineStr">
        <is>
          <t>Stainless Alloys GmbH &amp; Co KG</t>
        </is>
      </c>
      <c r="G119" t="inlineStr">
        <is>
          <t>Chance: Demontage und Entsorgung Dacheindeckung</t>
        </is>
      </c>
      <c r="H119" t="inlineStr">
        <is>
          <t>ANGEBOT</t>
        </is>
      </c>
      <c r="I119" t="inlineStr">
        <is>
          <t>CHANCE</t>
        </is>
      </c>
    </row>
    <row r="120">
      <c r="A120" t="n">
        <v>2026</v>
      </c>
      <c r="B120" t="n">
        <v>10</v>
      </c>
      <c r="C120" t="inlineStr">
        <is>
          <t>15</t>
        </is>
      </c>
      <c r="D120" t="n">
        <v>347500</v>
      </c>
      <c r="E120" t="inlineStr">
        <is>
          <t>EIN</t>
        </is>
      </c>
      <c r="F120" t="inlineStr">
        <is>
          <t>Stainless Alloys GmbH &amp; Co KG</t>
        </is>
      </c>
      <c r="G120" t="inlineStr">
        <is>
          <t>Chance: Rückbau Betriebshallen und Nebengebäude</t>
        </is>
      </c>
      <c r="H120" t="inlineStr">
        <is>
          <t>ANGEBOT</t>
        </is>
      </c>
      <c r="I120" t="inlineStr">
        <is>
          <t>CHANCE</t>
        </is>
      </c>
    </row>
    <row r="121">
      <c r="A121" t="n">
        <v>2026</v>
      </c>
      <c r="B121" t="n">
        <v>7</v>
      </c>
      <c r="C121" t="inlineStr">
        <is>
          <t>15</t>
        </is>
      </c>
      <c r="D121" t="n">
        <v>32500</v>
      </c>
      <c r="E121" t="inlineStr">
        <is>
          <t>EIN</t>
        </is>
      </c>
      <c r="F121" t="inlineStr">
        <is>
          <t>Oberländer Recycling Maschinen GmbH</t>
        </is>
      </c>
      <c r="G121" t="inlineStr">
        <is>
          <t>Chance: Rückbau Sperrmüllschere</t>
        </is>
      </c>
      <c r="H121" t="inlineStr">
        <is>
          <t>ANGEBOT</t>
        </is>
      </c>
      <c r="I121" t="inlineStr">
        <is>
          <t>CHANCE</t>
        </is>
      </c>
    </row>
    <row r="122">
      <c r="A122" t="n">
        <v>2026</v>
      </c>
      <c r="B122" t="n">
        <v>10</v>
      </c>
      <c r="C122" t="inlineStr">
        <is>
          <t>15</t>
        </is>
      </c>
      <c r="D122" t="n">
        <v>475</v>
      </c>
      <c r="E122" t="inlineStr">
        <is>
          <t>EIN</t>
        </is>
      </c>
      <c r="F122" t="inlineStr">
        <is>
          <t>Baustoffzentrum Ruhrtal GmbH</t>
        </is>
      </c>
      <c r="G122" t="inlineStr">
        <is>
          <t>Chance: Zerkleinerung Stahlträger</t>
        </is>
      </c>
      <c r="H122" t="inlineStr">
        <is>
          <t>ANGEBOT</t>
        </is>
      </c>
      <c r="I122" t="inlineStr">
        <is>
          <t>CHANCE</t>
        </is>
      </c>
    </row>
    <row r="123">
      <c r="A123" t="n">
        <v>2026</v>
      </c>
      <c r="B123" t="n">
        <v>10</v>
      </c>
      <c r="C123" t="inlineStr">
        <is>
          <t>15</t>
        </is>
      </c>
      <c r="D123" t="n">
        <v>299750</v>
      </c>
      <c r="E123" t="inlineStr">
        <is>
          <t>EIN</t>
        </is>
      </c>
      <c r="F123" t="inlineStr">
        <is>
          <t>thyssenkrupp Steel Europe AG</t>
        </is>
      </c>
      <c r="G123" t="inlineStr">
        <is>
          <t>Chance: TKSE – Demontage und Verschrottung Brückenkrane F10 &amp; F13</t>
        </is>
      </c>
      <c r="H123" t="inlineStr">
        <is>
          <t>ANGEBOT</t>
        </is>
      </c>
      <c r="I123" t="inlineStr">
        <is>
          <t>CHANCE</t>
        </is>
      </c>
    </row>
    <row r="124">
      <c r="A124" t="n">
        <v>2026</v>
      </c>
      <c r="B124" t="n">
        <v>10</v>
      </c>
      <c r="C124" t="inlineStr">
        <is>
          <t>15</t>
        </is>
      </c>
      <c r="D124" t="n">
        <v>267.75</v>
      </c>
      <c r="E124" t="inlineStr">
        <is>
          <t>EIN</t>
        </is>
      </c>
      <c r="F124" t="inlineStr">
        <is>
          <t>Mainka Bau GmbH &amp; Co. KG</t>
        </is>
      </c>
      <c r="G124" t="inlineStr">
        <is>
          <t>Chance: Mainka SGA3, Gestellung von Geräten und Personal im Stundenlohn</t>
        </is>
      </c>
      <c r="H124" t="inlineStr">
        <is>
          <t>ANGEBOT</t>
        </is>
      </c>
      <c r="I124" t="inlineStr">
        <is>
          <t>CHANCE</t>
        </is>
      </c>
    </row>
    <row r="125">
      <c r="A125" t="n">
        <v>2026</v>
      </c>
      <c r="B125" t="n">
        <v>10</v>
      </c>
      <c r="C125" t="inlineStr">
        <is>
          <t>15</t>
        </is>
      </c>
      <c r="D125" t="n">
        <v>66400</v>
      </c>
      <c r="E125" t="inlineStr">
        <is>
          <t>EIN</t>
        </is>
      </c>
      <c r="F125" t="inlineStr">
        <is>
          <t>Egger Holzwerkstoffe Brilon GmbH &amp; Co.KG</t>
        </is>
      </c>
      <c r="G125" t="inlineStr">
        <is>
          <t>Chance: Rückbau von 2 Silos</t>
        </is>
      </c>
      <c r="H125" t="inlineStr">
        <is>
          <t>ANGEBOT</t>
        </is>
      </c>
      <c r="I125" t="inlineStr">
        <is>
          <t>CHANCE</t>
        </is>
      </c>
    </row>
    <row r="126">
      <c r="A126" t="n">
        <v>2026</v>
      </c>
      <c r="B126" t="n">
        <v>11</v>
      </c>
      <c r="C126" t="inlineStr">
        <is>
          <t>15</t>
        </is>
      </c>
      <c r="D126" t="n">
        <v>29695</v>
      </c>
      <c r="E126" t="inlineStr">
        <is>
          <t>EIN</t>
        </is>
      </c>
      <c r="F126" t="inlineStr">
        <is>
          <t>I+D Sanierungstechnik</t>
        </is>
      </c>
      <c r="G126" t="inlineStr">
        <is>
          <t>Chance: KA Rheinhausen, Ertüchtigung Zwischenpumpwerk – Sanierungs- und Demonta-gearbeiten</t>
        </is>
      </c>
      <c r="H126" t="inlineStr">
        <is>
          <t>ANGEBOT</t>
        </is>
      </c>
      <c r="I126" t="inlineStr">
        <is>
          <t>CHANCE</t>
        </is>
      </c>
    </row>
    <row r="127">
      <c r="A127" t="n">
        <v>2026</v>
      </c>
      <c r="B127" t="n">
        <v>6</v>
      </c>
      <c r="C127" t="inlineStr">
        <is>
          <t>30</t>
        </is>
      </c>
      <c r="D127" t="n">
        <v>14245.25</v>
      </c>
      <c r="E127" t="inlineStr">
        <is>
          <t>EIN</t>
        </is>
      </c>
      <c r="F127" t="inlineStr">
        <is>
          <t>EnBW</t>
        </is>
      </c>
      <c r="G127" t="inlineStr">
        <is>
          <t>Chance: Turmstation</t>
        </is>
      </c>
      <c r="H127" t="inlineStr">
        <is>
          <t>ANGEBOT</t>
        </is>
      </c>
      <c r="I127" t="inlineStr">
        <is>
          <t>CHANCE</t>
        </is>
      </c>
    </row>
    <row r="128">
      <c r="A128" t="n">
        <v>2026</v>
      </c>
      <c r="B128" t="n">
        <v>9</v>
      </c>
      <c r="C128" t="inlineStr">
        <is>
          <t>30</t>
        </is>
      </c>
      <c r="D128" t="n">
        <v>24810</v>
      </c>
      <c r="E128" t="inlineStr">
        <is>
          <t>EIN</t>
        </is>
      </c>
      <c r="F128" t="inlineStr">
        <is>
          <t>SPB Consulting</t>
        </is>
      </c>
      <c r="G128" t="inlineStr">
        <is>
          <t>Chance: Durato, Lagerhallen</t>
        </is>
      </c>
      <c r="H128" t="inlineStr">
        <is>
          <t>ANGEBOT</t>
        </is>
      </c>
      <c r="I128" t="inlineStr">
        <is>
          <t>CHANCE</t>
        </is>
      </c>
    </row>
    <row r="129">
      <c r="A129" t="n">
        <v>2026</v>
      </c>
      <c r="B129" t="n">
        <v>9</v>
      </c>
      <c r="C129" t="inlineStr">
        <is>
          <t>30</t>
        </is>
      </c>
      <c r="D129" t="n">
        <v>175249.63</v>
      </c>
      <c r="E129" t="inlineStr">
        <is>
          <t>EIN</t>
        </is>
      </c>
      <c r="F129" t="inlineStr">
        <is>
          <t>BASF</t>
        </is>
      </c>
      <c r="G129" t="inlineStr">
        <is>
          <t>Chance: S 607</t>
        </is>
      </c>
      <c r="H129" t="inlineStr">
        <is>
          <t>ANGEBOT</t>
        </is>
      </c>
      <c r="I129" t="inlineStr">
        <is>
          <t>CHANCE</t>
        </is>
      </c>
    </row>
    <row r="130">
      <c r="A130" t="n">
        <v>2026</v>
      </c>
      <c r="B130" t="n">
        <v>9</v>
      </c>
      <c r="C130" t="inlineStr">
        <is>
          <t>30</t>
        </is>
      </c>
      <c r="D130" t="n">
        <v>9250</v>
      </c>
      <c r="E130" t="inlineStr">
        <is>
          <t>EIN</t>
        </is>
      </c>
      <c r="F130" t="inlineStr">
        <is>
          <t>Strabag</t>
        </is>
      </c>
      <c r="G130" t="inlineStr">
        <is>
          <t>Chance: Hofmann - BASF</t>
        </is>
      </c>
      <c r="H130" t="inlineStr">
        <is>
          <t>ANGEBOT</t>
        </is>
      </c>
      <c r="I130" t="inlineStr">
        <is>
          <t>CHANCE</t>
        </is>
      </c>
    </row>
    <row r="131">
      <c r="A131" t="n">
        <v>2026</v>
      </c>
      <c r="B131" t="n">
        <v>9</v>
      </c>
      <c r="C131" t="inlineStr">
        <is>
          <t>30</t>
        </is>
      </c>
      <c r="D131" t="n">
        <v>16265</v>
      </c>
      <c r="E131" t="inlineStr">
        <is>
          <t>EIN</t>
        </is>
      </c>
      <c r="F131" t="inlineStr">
        <is>
          <t>BASF</t>
        </is>
      </c>
      <c r="G131" t="inlineStr">
        <is>
          <t>Chance: B 513: B125, B 135</t>
        </is>
      </c>
      <c r="H131" t="inlineStr">
        <is>
          <t>ANGEBOT</t>
        </is>
      </c>
      <c r="I131" t="inlineStr">
        <is>
          <t>CHANCE</t>
        </is>
      </c>
    </row>
    <row r="132">
      <c r="A132" t="n">
        <v>2026</v>
      </c>
      <c r="B132" t="n">
        <v>9</v>
      </c>
      <c r="C132" t="inlineStr">
        <is>
          <t>30</t>
        </is>
      </c>
      <c r="D132" t="n">
        <v>3400</v>
      </c>
      <c r="E132" t="inlineStr">
        <is>
          <t>EIN</t>
        </is>
      </c>
      <c r="F132" t="inlineStr">
        <is>
          <t>Hofmann</t>
        </is>
      </c>
      <c r="G132" t="inlineStr">
        <is>
          <t>Chance: BASF - Zwischenbühne</t>
        </is>
      </c>
      <c r="H132" t="inlineStr">
        <is>
          <t>ANGEBOT</t>
        </is>
      </c>
      <c r="I132" t="inlineStr">
        <is>
          <t>CHANCE</t>
        </is>
      </c>
    </row>
    <row r="133">
      <c r="A133" t="n">
        <v>2026</v>
      </c>
      <c r="B133" t="n">
        <v>10</v>
      </c>
      <c r="C133" t="inlineStr">
        <is>
          <t>30</t>
        </is>
      </c>
      <c r="D133" t="n">
        <v>5128.75</v>
      </c>
      <c r="E133" t="inlineStr">
        <is>
          <t>EIN</t>
        </is>
      </c>
      <c r="F133" t="inlineStr">
        <is>
          <t>Gelsenwasser</t>
        </is>
      </c>
      <c r="G133" t="inlineStr">
        <is>
          <t>Chance: KA AWA-Heizung, Container</t>
        </is>
      </c>
      <c r="H133" t="inlineStr">
        <is>
          <t>ANGEBOT</t>
        </is>
      </c>
      <c r="I133" t="inlineStr">
        <is>
          <t>CHANCE</t>
        </is>
      </c>
    </row>
    <row r="134">
      <c r="A134" t="n">
        <v>2026</v>
      </c>
      <c r="B134" t="n">
        <v>11</v>
      </c>
      <c r="C134" t="inlineStr">
        <is>
          <t>30</t>
        </is>
      </c>
      <c r="D134" t="n">
        <v>39250</v>
      </c>
      <c r="E134" t="inlineStr">
        <is>
          <t>EIN</t>
        </is>
      </c>
      <c r="F134" t="inlineStr">
        <is>
          <t>Strabag</t>
        </is>
      </c>
      <c r="G134" t="inlineStr">
        <is>
          <t>Chance: Z590, Z593</t>
        </is>
      </c>
      <c r="H134" t="inlineStr">
        <is>
          <t>ANGEBOT</t>
        </is>
      </c>
      <c r="I134" t="inlineStr">
        <is>
          <t>CHANCE</t>
        </is>
      </c>
    </row>
    <row r="135">
      <c r="A135" t="n">
        <v>2026</v>
      </c>
      <c r="B135" t="n">
        <v>5</v>
      </c>
      <c r="C135" t="inlineStr">
        <is>
          <t>65</t>
        </is>
      </c>
      <c r="D135" t="n">
        <v>20784.82</v>
      </c>
      <c r="E135" t="inlineStr">
        <is>
          <t>EIN</t>
        </is>
      </c>
      <c r="F135" t="inlineStr">
        <is>
          <t>Gerd Müller Bauunternehmen GmbH</t>
        </is>
      </c>
      <c r="G135" t="inlineStr">
        <is>
          <t>Chance: ENB Brücke Sprenzer See</t>
        </is>
      </c>
      <c r="H135" t="inlineStr">
        <is>
          <t>ANGEBOT</t>
        </is>
      </c>
      <c r="I135" t="inlineStr">
        <is>
          <t>CHANCE</t>
        </is>
      </c>
    </row>
    <row r="136">
      <c r="A136" t="n">
        <v>2026</v>
      </c>
      <c r="B136" t="n">
        <v>5</v>
      </c>
      <c r="C136" t="inlineStr">
        <is>
          <t>60</t>
        </is>
      </c>
      <c r="D136" t="n">
        <v>90624</v>
      </c>
      <c r="E136" t="inlineStr">
        <is>
          <t>EIN</t>
        </is>
      </c>
      <c r="F136" t="inlineStr">
        <is>
          <t>DF Anlagentechnik GmbH</t>
        </is>
      </c>
      <c r="G136" t="inlineStr">
        <is>
          <t>Chance: Tagebau Jänschwalde</t>
        </is>
      </c>
      <c r="H136" t="inlineStr">
        <is>
          <t>ANGEBOT</t>
        </is>
      </c>
      <c r="I136" t="inlineStr">
        <is>
          <t>CHANCE</t>
        </is>
      </c>
    </row>
    <row r="137">
      <c r="A137" t="n">
        <v>2026</v>
      </c>
      <c r="B137" t="n">
        <v>5</v>
      </c>
      <c r="C137" t="inlineStr">
        <is>
          <t>65</t>
        </is>
      </c>
      <c r="D137" t="n">
        <v>90114.67999999999</v>
      </c>
      <c r="E137" t="inlineStr">
        <is>
          <t>EIN</t>
        </is>
      </c>
      <c r="F137" t="inlineStr">
        <is>
          <t>Gerd Müller Bauunternehmen GmbH</t>
        </is>
      </c>
      <c r="G137" t="inlineStr">
        <is>
          <t>Chance: ENB Brücke Rennbahnallee</t>
        </is>
      </c>
      <c r="H137" t="inlineStr">
        <is>
          <t>ANGEBOT</t>
        </is>
      </c>
      <c r="I137" t="inlineStr">
        <is>
          <t>CHANCE</t>
        </is>
      </c>
    </row>
    <row r="138">
      <c r="A138" t="n">
        <v>2026</v>
      </c>
      <c r="B138" t="n">
        <v>5</v>
      </c>
      <c r="C138" t="inlineStr">
        <is>
          <t>65</t>
        </is>
      </c>
      <c r="D138" t="n">
        <v>49815.8</v>
      </c>
      <c r="E138" t="inlineStr">
        <is>
          <t>EIN</t>
        </is>
      </c>
      <c r="F138" t="inlineStr">
        <is>
          <t>OST BAU</t>
        </is>
      </c>
      <c r="G138" t="inlineStr">
        <is>
          <t>Chance: A14, Los 2.5 Krugbrücke</t>
        </is>
      </c>
      <c r="H138" t="inlineStr">
        <is>
          <t>ANGEBOT</t>
        </is>
      </c>
      <c r="I138" t="inlineStr">
        <is>
          <t>CHANCE</t>
        </is>
      </c>
    </row>
    <row r="139">
      <c r="A139" t="n">
        <v>2026</v>
      </c>
      <c r="B139" t="n">
        <v>5</v>
      </c>
      <c r="C139" t="inlineStr">
        <is>
          <t>65</t>
        </is>
      </c>
      <c r="D139" t="n">
        <v>26061.23</v>
      </c>
      <c r="E139" t="inlineStr">
        <is>
          <t>EIN</t>
        </is>
      </c>
      <c r="F139" t="inlineStr">
        <is>
          <t>Echterhoff Bau GmbH</t>
        </is>
      </c>
      <c r="G139" t="inlineStr">
        <is>
          <t>Chance: Abbrucharbeiten PFA 1- km 45,404 Quaal</t>
        </is>
      </c>
      <c r="H139" t="inlineStr">
        <is>
          <t>ANGEBOT</t>
        </is>
      </c>
      <c r="I139" t="inlineStr">
        <is>
          <t>CHANCE</t>
        </is>
      </c>
    </row>
    <row r="140">
      <c r="A140" t="n">
        <v>2026</v>
      </c>
      <c r="B140" t="n">
        <v>5</v>
      </c>
      <c r="C140" t="inlineStr">
        <is>
          <t>65</t>
        </is>
      </c>
      <c r="D140" t="n">
        <v>23916.74</v>
      </c>
      <c r="E140" t="inlineStr">
        <is>
          <t>EIN</t>
        </is>
      </c>
      <c r="F140" t="inlineStr">
        <is>
          <t>Echterhoff Bau GmbH</t>
        </is>
      </c>
      <c r="G140" t="inlineStr">
        <is>
          <t>Chance: Abbrucharbeiten PFA 1- km 41,718 Plüschow</t>
        </is>
      </c>
      <c r="H140" t="inlineStr">
        <is>
          <t>ANGEBOT</t>
        </is>
      </c>
      <c r="I140" t="inlineStr">
        <is>
          <t>CHANCE</t>
        </is>
      </c>
    </row>
    <row r="141">
      <c r="A141" t="n">
        <v>2026</v>
      </c>
      <c r="B141" t="n">
        <v>5</v>
      </c>
      <c r="C141" t="inlineStr">
        <is>
          <t>60</t>
        </is>
      </c>
      <c r="D141" t="n">
        <v>83195.38</v>
      </c>
      <c r="E141" t="inlineStr">
        <is>
          <t>EIN</t>
        </is>
      </c>
      <c r="F141" t="inlineStr">
        <is>
          <t>BS|ENERGY</t>
        </is>
      </c>
      <c r="G141" t="inlineStr">
        <is>
          <t>Chance: Demontage Heißwassererzeuger 2</t>
        </is>
      </c>
      <c r="H141" t="inlineStr">
        <is>
          <t>ANGEBOT</t>
        </is>
      </c>
      <c r="I141" t="inlineStr">
        <is>
          <t>CHANCE</t>
        </is>
      </c>
    </row>
    <row r="142">
      <c r="A142" t="n">
        <v>2026</v>
      </c>
      <c r="B142" t="n">
        <v>5</v>
      </c>
      <c r="C142" t="inlineStr">
        <is>
          <t>65</t>
        </is>
      </c>
      <c r="D142" t="n">
        <v>22260.87</v>
      </c>
      <c r="E142" t="inlineStr">
        <is>
          <t>EIN</t>
        </is>
      </c>
      <c r="F142" t="inlineStr">
        <is>
          <t>Matthäi Bauunternemen</t>
        </is>
      </c>
      <c r="G142" t="inlineStr">
        <is>
          <t>Chance: Veltener Stichkanal, Ausbaggerung</t>
        </is>
      </c>
      <c r="H142" t="inlineStr">
        <is>
          <t>ANGEBOT</t>
        </is>
      </c>
      <c r="I142" t="inlineStr">
        <is>
          <t>CHANCE</t>
        </is>
      </c>
    </row>
    <row r="143">
      <c r="A143" t="n">
        <v>2026</v>
      </c>
      <c r="B143" t="n">
        <v>11</v>
      </c>
      <c r="C143" t="inlineStr">
        <is>
          <t>30</t>
        </is>
      </c>
      <c r="D143" t="n">
        <v>13754752.14</v>
      </c>
      <c r="E143" t="inlineStr">
        <is>
          <t>EIN</t>
        </is>
      </c>
      <c r="F143" t="inlineStr">
        <is>
          <t>BASF</t>
        </is>
      </c>
      <c r="G143" t="inlineStr">
        <is>
          <t>Chance: A 726 Kraftwerk</t>
        </is>
      </c>
      <c r="H143" t="inlineStr">
        <is>
          <t>LEAD</t>
        </is>
      </c>
      <c r="I143" t="inlineStr">
        <is>
          <t>CHANCE</t>
        </is>
      </c>
    </row>
    <row r="144">
      <c r="A144" t="n">
        <v>2026</v>
      </c>
      <c r="B144" t="n">
        <v>5</v>
      </c>
      <c r="C144" t="inlineStr">
        <is>
          <t>60</t>
        </is>
      </c>
      <c r="D144" t="n">
        <v>1679869.74</v>
      </c>
      <c r="E144" t="inlineStr">
        <is>
          <t>EIN</t>
        </is>
      </c>
      <c r="F144" t="inlineStr">
        <is>
          <t>LEAG, Lausitz Energie Kraftwerke AG</t>
        </is>
      </c>
      <c r="G144" t="inlineStr">
        <is>
          <t>Chance: Abbruch Maschienenhaus Hirschfelde</t>
        </is>
      </c>
      <c r="H144" t="inlineStr">
        <is>
          <t>LEAD</t>
        </is>
      </c>
      <c r="I144" t="inlineStr">
        <is>
          <t>CHANCE</t>
        </is>
      </c>
    </row>
    <row r="145">
      <c r="A145" t="n">
        <v>2026</v>
      </c>
      <c r="B145" t="n">
        <v>5</v>
      </c>
      <c r="C145" t="inlineStr">
        <is>
          <t>60</t>
        </is>
      </c>
      <c r="D145" t="n">
        <v>249867.2</v>
      </c>
      <c r="E145" t="inlineStr">
        <is>
          <t>EIN</t>
        </is>
      </c>
      <c r="F145" t="inlineStr">
        <is>
          <t>Howoge Wohnungsbaugesellschaft mbH</t>
        </is>
      </c>
      <c r="G145" t="inlineStr">
        <is>
          <t>Chance: Theater Karlshorst</t>
        </is>
      </c>
      <c r="H145" t="inlineStr">
        <is>
          <t>ANGEBOT</t>
        </is>
      </c>
      <c r="I145" t="inlineStr">
        <is>
          <t>CHANCE</t>
        </is>
      </c>
    </row>
    <row r="146">
      <c r="A146" t="n">
        <v>2026</v>
      </c>
      <c r="B146" t="n">
        <v>6</v>
      </c>
      <c r="C146" t="inlineStr">
        <is>
          <t>60</t>
        </is>
      </c>
      <c r="D146" t="n">
        <v>309</v>
      </c>
      <c r="E146" t="inlineStr">
        <is>
          <t>EIN</t>
        </is>
      </c>
      <c r="F146" t="inlineStr">
        <is>
          <t>DF Anlagentechnik GmbH</t>
        </is>
      </c>
      <c r="G146" t="inlineStr">
        <is>
          <t>Chance: Nachtrag Einsatz Bagger und Hyraul. Seiltechnik</t>
        </is>
      </c>
      <c r="H146" t="inlineStr">
        <is>
          <t>ANGEBOT</t>
        </is>
      </c>
      <c r="I146" t="inlineStr">
        <is>
          <t>CHANCE</t>
        </is>
      </c>
    </row>
    <row r="147">
      <c r="A147" t="n">
        <v>2026</v>
      </c>
      <c r="B147" t="n">
        <v>6</v>
      </c>
      <c r="C147" t="inlineStr">
        <is>
          <t>60</t>
        </is>
      </c>
      <c r="D147" t="n">
        <v>20685.15</v>
      </c>
      <c r="E147" t="inlineStr">
        <is>
          <t>EIN</t>
        </is>
      </c>
      <c r="F147" t="inlineStr">
        <is>
          <t>DF Anlagentechnik GmbH</t>
        </is>
      </c>
      <c r="G147" t="inlineStr">
        <is>
          <t>Chance: Einsatz Seilbagger</t>
        </is>
      </c>
      <c r="H147" t="inlineStr">
        <is>
          <t>ANGEBOT</t>
        </is>
      </c>
      <c r="I147" t="inlineStr">
        <is>
          <t>CHANCE</t>
        </is>
      </c>
    </row>
    <row r="148">
      <c r="A148" t="n">
        <v>2026</v>
      </c>
      <c r="B148" t="n">
        <v>6</v>
      </c>
      <c r="C148" t="inlineStr">
        <is>
          <t>65</t>
        </is>
      </c>
      <c r="D148" t="n">
        <v>57587.91</v>
      </c>
      <c r="E148" t="inlineStr">
        <is>
          <t>EIN</t>
        </is>
      </c>
      <c r="F148" t="inlineStr">
        <is>
          <t>Bauunternehmen Gerd Müller GmbH</t>
        </is>
      </c>
      <c r="G148" t="inlineStr">
        <is>
          <t>Chance: ENB Brücke über den Mühlenbach</t>
        </is>
      </c>
      <c r="H148" t="inlineStr">
        <is>
          <t>ANGEBOT</t>
        </is>
      </c>
      <c r="I148" t="inlineStr">
        <is>
          <t>CHANCE</t>
        </is>
      </c>
    </row>
    <row r="149">
      <c r="A149" t="n">
        <v>2026</v>
      </c>
      <c r="B149" t="n">
        <v>6</v>
      </c>
      <c r="C149" t="inlineStr">
        <is>
          <t>60</t>
        </is>
      </c>
      <c r="D149" t="n">
        <v>987.9</v>
      </c>
      <c r="E149" t="inlineStr">
        <is>
          <t>EIN</t>
        </is>
      </c>
      <c r="F149" t="inlineStr">
        <is>
          <t>BLB</t>
        </is>
      </c>
      <c r="G149" t="inlineStr">
        <is>
          <t>Chance: Entsorgung Kurmark-Kaserne Storkow</t>
        </is>
      </c>
      <c r="H149" t="inlineStr">
        <is>
          <t>ANGEBOT</t>
        </is>
      </c>
      <c r="I149" t="inlineStr">
        <is>
          <t>CHANCE</t>
        </is>
      </c>
    </row>
    <row r="150">
      <c r="A150" t="n">
        <v>2026</v>
      </c>
      <c r="B150" t="n">
        <v>6</v>
      </c>
      <c r="C150" t="inlineStr">
        <is>
          <t>65</t>
        </is>
      </c>
      <c r="D150" t="n">
        <v>9982.49</v>
      </c>
      <c r="E150" t="inlineStr">
        <is>
          <t>EIN</t>
        </is>
      </c>
      <c r="F150" t="inlineStr">
        <is>
          <t>Bauunternehmen Gerd Müller GmbH</t>
        </is>
      </c>
      <c r="G150" t="inlineStr">
        <is>
          <t>Chance: Brücke Dubkow-Mühle</t>
        </is>
      </c>
      <c r="H150" t="inlineStr">
        <is>
          <t>ANGEBOT</t>
        </is>
      </c>
      <c r="I150" t="inlineStr">
        <is>
          <t>CHANCE</t>
        </is>
      </c>
    </row>
    <row r="151">
      <c r="A151" t="n">
        <v>2026</v>
      </c>
      <c r="B151" t="n">
        <v>6</v>
      </c>
      <c r="C151" t="inlineStr">
        <is>
          <t>65</t>
        </is>
      </c>
      <c r="D151" t="n">
        <v>103146.79</v>
      </c>
      <c r="E151" t="inlineStr">
        <is>
          <t>EIN</t>
        </is>
      </c>
      <c r="F151" t="inlineStr">
        <is>
          <t>Bauunternehmen Gerd Müller GmbH</t>
        </is>
      </c>
      <c r="G151" t="inlineStr">
        <is>
          <t>Chance: L11 DBAG Brücke Langhagen</t>
        </is>
      </c>
      <c r="H151" t="inlineStr">
        <is>
          <t>ANGEBOT</t>
        </is>
      </c>
      <c r="I151" t="inlineStr">
        <is>
          <t>CHANCE</t>
        </is>
      </c>
    </row>
    <row r="152">
      <c r="A152" t="n">
        <v>2026</v>
      </c>
      <c r="B152" t="n">
        <v>7</v>
      </c>
      <c r="C152" t="inlineStr">
        <is>
          <t>60</t>
        </is>
      </c>
      <c r="D152" t="n">
        <v>132080</v>
      </c>
      <c r="E152" t="inlineStr">
        <is>
          <t>EIN</t>
        </is>
      </c>
      <c r="F152" t="inlineStr">
        <is>
          <t>RWE Power AG</t>
        </is>
      </c>
      <c r="G152" t="inlineStr">
        <is>
          <t>Chance: Sprengarbeiten Bg. 260, Tgb. Hambach</t>
        </is>
      </c>
      <c r="H152" t="inlineStr">
        <is>
          <t>ANGEBOT</t>
        </is>
      </c>
      <c r="I152" t="inlineStr">
        <is>
          <t>CHANCE</t>
        </is>
      </c>
    </row>
    <row r="153">
      <c r="A153" t="n">
        <v>2026</v>
      </c>
      <c r="B153" t="n">
        <v>7</v>
      </c>
      <c r="C153" t="inlineStr">
        <is>
          <t>65</t>
        </is>
      </c>
      <c r="D153" t="n">
        <v>35036.28</v>
      </c>
      <c r="E153" t="inlineStr">
        <is>
          <t>EIN</t>
        </is>
      </c>
      <c r="F153" t="inlineStr">
        <is>
          <t>STRABAG AG</t>
        </is>
      </c>
      <c r="G153" t="inlineStr">
        <is>
          <t>Chance: Abbruch/Rückau ENB Hellersdorfer Brücke</t>
        </is>
      </c>
      <c r="H153" t="inlineStr">
        <is>
          <t>ANGEBOT</t>
        </is>
      </c>
      <c r="I153" t="inlineStr">
        <is>
          <t>CHANCE</t>
        </is>
      </c>
    </row>
    <row r="154">
      <c r="A154" t="n">
        <v>2026</v>
      </c>
      <c r="B154" t="n">
        <v>7</v>
      </c>
      <c r="C154" t="inlineStr">
        <is>
          <t>60</t>
        </is>
      </c>
      <c r="D154" t="n">
        <v>11313.2</v>
      </c>
      <c r="E154" t="inlineStr">
        <is>
          <t>EIN</t>
        </is>
      </c>
      <c r="F154" t="inlineStr">
        <is>
          <t>Robert Dec</t>
        </is>
      </c>
      <c r="G154" t="inlineStr">
        <is>
          <t>Chance: Abbruch Schornstein</t>
        </is>
      </c>
      <c r="H154" t="inlineStr">
        <is>
          <t>ANGEBOT</t>
        </is>
      </c>
      <c r="I154" t="inlineStr">
        <is>
          <t>CHANCE</t>
        </is>
      </c>
    </row>
    <row r="155">
      <c r="A155" t="n">
        <v>2026</v>
      </c>
      <c r="B155" t="n">
        <v>7</v>
      </c>
      <c r="C155" t="inlineStr">
        <is>
          <t>60</t>
        </is>
      </c>
      <c r="D155" t="n">
        <v>286644.55</v>
      </c>
      <c r="E155" t="inlineStr">
        <is>
          <t>EIN</t>
        </is>
      </c>
      <c r="F155" t="inlineStr">
        <is>
          <t>Land Berlin</t>
        </is>
      </c>
      <c r="G155" t="inlineStr">
        <is>
          <t>Chance: Rückbau WCD Alfred-Randt-Straße</t>
        </is>
      </c>
      <c r="H155" t="inlineStr">
        <is>
          <t>ANGEBOT</t>
        </is>
      </c>
      <c r="I155" t="inlineStr">
        <is>
          <t>CHANCE</t>
        </is>
      </c>
    </row>
    <row r="156">
      <c r="A156" t="n">
        <v>2026</v>
      </c>
      <c r="B156" t="n">
        <v>7</v>
      </c>
      <c r="C156" t="inlineStr">
        <is>
          <t>65</t>
        </is>
      </c>
      <c r="D156" t="n">
        <v>89862.22</v>
      </c>
      <c r="E156" t="inlineStr">
        <is>
          <t>EIN</t>
        </is>
      </c>
      <c r="F156" t="inlineStr">
        <is>
          <t>B+H Bau GmbH</t>
        </is>
      </c>
      <c r="G156" t="inlineStr">
        <is>
          <t>Chance: EÜ Bodlenberg Erdbau/Abbruch</t>
        </is>
      </c>
      <c r="H156" t="inlineStr">
        <is>
          <t>ANGEBOT</t>
        </is>
      </c>
      <c r="I156" t="inlineStr">
        <is>
          <t>CHANCE</t>
        </is>
      </c>
    </row>
    <row r="157">
      <c r="A157" t="n">
        <v>2026</v>
      </c>
      <c r="B157" t="n">
        <v>7</v>
      </c>
      <c r="C157" t="inlineStr">
        <is>
          <t>65</t>
        </is>
      </c>
      <c r="D157" t="n">
        <v>99934.17</v>
      </c>
      <c r="E157" t="inlineStr">
        <is>
          <t>EIN</t>
        </is>
      </c>
      <c r="F157" t="inlineStr">
        <is>
          <t>OST BAU</t>
        </is>
      </c>
      <c r="G157" t="inlineStr">
        <is>
          <t>Chance: Abbruch Rückbau ENB SÜ Louisenfeld</t>
        </is>
      </c>
      <c r="H157" t="inlineStr">
        <is>
          <t>ANGEBOT</t>
        </is>
      </c>
      <c r="I157" t="inlineStr">
        <is>
          <t>CHANCE</t>
        </is>
      </c>
    </row>
    <row r="158">
      <c r="A158" t="n">
        <v>2026</v>
      </c>
      <c r="B158" t="n">
        <v>8</v>
      </c>
      <c r="C158" t="inlineStr">
        <is>
          <t>60</t>
        </is>
      </c>
      <c r="D158" t="n">
        <v>764674.29</v>
      </c>
      <c r="E158" t="inlineStr">
        <is>
          <t>EIN</t>
        </is>
      </c>
      <c r="F158" t="inlineStr">
        <is>
          <t>Alstom / Arcadis</t>
        </is>
      </c>
      <c r="G158" t="inlineStr">
        <is>
          <t>Chance: Rückbau ALSTOM Hennigsdorf Proi I</t>
        </is>
      </c>
      <c r="H158" t="inlineStr">
        <is>
          <t>ANGEBOT</t>
        </is>
      </c>
      <c r="I158" t="inlineStr">
        <is>
          <t>CHANCE</t>
        </is>
      </c>
    </row>
    <row r="159">
      <c r="A159" t="n">
        <v>2026</v>
      </c>
      <c r="B159" t="n">
        <v>8</v>
      </c>
      <c r="C159" t="inlineStr">
        <is>
          <t>65</t>
        </is>
      </c>
      <c r="D159" t="n">
        <v>92822.89</v>
      </c>
      <c r="E159" t="inlineStr">
        <is>
          <t>EIN</t>
        </is>
      </c>
      <c r="F159" t="inlineStr">
        <is>
          <t>Bauunternehmen Gerd Müller GmbH</t>
        </is>
      </c>
      <c r="G159" t="inlineStr">
        <is>
          <t>Chance: ENB Havelbrücke</t>
        </is>
      </c>
      <c r="H159" t="inlineStr">
        <is>
          <t>ANGEBOT</t>
        </is>
      </c>
      <c r="I159" t="inlineStr">
        <is>
          <t>CHANCE</t>
        </is>
      </c>
    </row>
    <row r="160">
      <c r="A160" t="n">
        <v>2026</v>
      </c>
      <c r="B160" t="n">
        <v>8</v>
      </c>
      <c r="C160" t="inlineStr">
        <is>
          <t>60</t>
        </is>
      </c>
      <c r="D160" t="n">
        <v>91641.32000000001</v>
      </c>
      <c r="E160" t="inlineStr">
        <is>
          <t>EIN</t>
        </is>
      </c>
      <c r="F160" t="inlineStr">
        <is>
          <t>Architekturbüro Rüdiger Karl</t>
        </is>
      </c>
      <c r="G160" t="inlineStr">
        <is>
          <t>Chance: Teilrückbau Geb. 137 FP Holzdorf</t>
        </is>
      </c>
      <c r="H160" t="inlineStr">
        <is>
          <t>ANGEBOT</t>
        </is>
      </c>
      <c r="I160" t="inlineStr">
        <is>
          <t>CHANCE</t>
        </is>
      </c>
    </row>
    <row r="161">
      <c r="A161" t="n">
        <v>2026</v>
      </c>
      <c r="B161" t="n">
        <v>8</v>
      </c>
      <c r="C161" t="inlineStr">
        <is>
          <t>65</t>
        </is>
      </c>
      <c r="D161" t="n">
        <v>10739.13</v>
      </c>
      <c r="E161" t="inlineStr">
        <is>
          <t>EIN</t>
        </is>
      </c>
      <c r="F161" t="inlineStr">
        <is>
          <t>OST BAU</t>
        </is>
      </c>
      <c r="G161" t="inlineStr">
        <is>
          <t>Chance: Ersatzneubau Schlossparkbrücke III</t>
        </is>
      </c>
      <c r="H161" t="inlineStr">
        <is>
          <t>ANGEBOT</t>
        </is>
      </c>
      <c r="I161" t="inlineStr">
        <is>
          <t>CHANCE</t>
        </is>
      </c>
    </row>
    <row r="162">
      <c r="A162" t="n">
        <v>2026</v>
      </c>
      <c r="B162" t="n">
        <v>8</v>
      </c>
      <c r="C162" t="inlineStr">
        <is>
          <t>60</t>
        </is>
      </c>
      <c r="D162" t="n">
        <v>998464.25</v>
      </c>
      <c r="E162" t="inlineStr">
        <is>
          <t>EIN</t>
        </is>
      </c>
      <c r="F162" t="inlineStr">
        <is>
          <t>BBR</t>
        </is>
      </c>
      <c r="G162" t="inlineStr">
        <is>
          <t>Chance: Bw-KKH, Scharnhorststraße 13</t>
        </is>
      </c>
      <c r="H162" t="inlineStr">
        <is>
          <t>ANGEBOT</t>
        </is>
      </c>
      <c r="I162" t="inlineStr">
        <is>
          <t>CHANCE</t>
        </is>
      </c>
    </row>
    <row r="163">
      <c r="A163" t="n">
        <v>2026</v>
      </c>
      <c r="B163" t="n">
        <v>8</v>
      </c>
      <c r="C163" t="inlineStr">
        <is>
          <t>65</t>
        </is>
      </c>
      <c r="D163" t="n">
        <v>87108.91</v>
      </c>
      <c r="E163" t="inlineStr">
        <is>
          <t>EIN</t>
        </is>
      </c>
      <c r="F163" t="inlineStr">
        <is>
          <t>Bauunternehmen Gerd Müller GmbH</t>
        </is>
      </c>
      <c r="G163" t="inlineStr">
        <is>
          <t>Chance: A 11, km 68,915 - 73,355 linke RF</t>
        </is>
      </c>
      <c r="H163" t="inlineStr">
        <is>
          <t>ANGEBOT</t>
        </is>
      </c>
      <c r="I163" t="inlineStr">
        <is>
          <t>CHANCE</t>
        </is>
      </c>
    </row>
    <row r="164">
      <c r="A164" t="n">
        <v>2026</v>
      </c>
      <c r="B164" t="n">
        <v>9</v>
      </c>
      <c r="C164" t="inlineStr">
        <is>
          <t>65</t>
        </is>
      </c>
      <c r="D164" t="n">
        <v>88558</v>
      </c>
      <c r="E164" t="inlineStr">
        <is>
          <t>EIN</t>
        </is>
      </c>
      <c r="F164" t="inlineStr">
        <is>
          <t>BUG Verkehrsbau SE</t>
        </is>
      </c>
      <c r="G164" t="inlineStr">
        <is>
          <t>Chance: Abbrucharbeiten VST Schönebeck</t>
        </is>
      </c>
      <c r="H164" t="inlineStr">
        <is>
          <t>ANGEBOT</t>
        </is>
      </c>
      <c r="I164" t="inlineStr">
        <is>
          <t>CHANCE</t>
        </is>
      </c>
    </row>
    <row r="165">
      <c r="A165" t="n">
        <v>2026</v>
      </c>
      <c r="B165" t="n">
        <v>9</v>
      </c>
      <c r="C165" t="inlineStr">
        <is>
          <t>60</t>
        </is>
      </c>
      <c r="D165" t="n">
        <v>272658.25</v>
      </c>
      <c r="E165" t="inlineStr">
        <is>
          <t>EIN</t>
        </is>
      </c>
      <c r="F165" t="inlineStr">
        <is>
          <t>Evangelische Elisabeth Klinik</t>
        </is>
      </c>
      <c r="G165" t="inlineStr">
        <is>
          <t>Chance: Abbruch Küchengebäude</t>
        </is>
      </c>
      <c r="H165" t="inlineStr">
        <is>
          <t>ANGEBOT</t>
        </is>
      </c>
      <c r="I165" t="inlineStr">
        <is>
          <t>CHANCE</t>
        </is>
      </c>
    </row>
    <row r="166">
      <c r="A166" t="n">
        <v>2026</v>
      </c>
      <c r="B166" t="n">
        <v>9</v>
      </c>
      <c r="C166" t="inlineStr">
        <is>
          <t>65</t>
        </is>
      </c>
      <c r="D166" t="n">
        <v>344314.52</v>
      </c>
      <c r="E166" t="inlineStr">
        <is>
          <t>EIN</t>
        </is>
      </c>
      <c r="F166" t="inlineStr">
        <is>
          <t>Adam Hörnig Baugesellschaft</t>
        </is>
      </c>
      <c r="G166" t="inlineStr">
        <is>
          <t>Chance: A45 Bahnbrücke</t>
        </is>
      </c>
      <c r="H166" t="inlineStr">
        <is>
          <t>ANGEBOT</t>
        </is>
      </c>
      <c r="I166" t="inlineStr">
        <is>
          <t>CHANCE</t>
        </is>
      </c>
    </row>
    <row r="167">
      <c r="A167" t="n">
        <v>2026</v>
      </c>
      <c r="B167" t="n">
        <v>9</v>
      </c>
      <c r="C167" t="inlineStr">
        <is>
          <t>65</t>
        </is>
      </c>
      <c r="D167" t="n">
        <v>492333.05</v>
      </c>
      <c r="E167" t="inlineStr">
        <is>
          <t>EIN</t>
        </is>
      </c>
      <c r="F167" t="inlineStr">
        <is>
          <t>Senatsverwaltung für Mobilität, Verkehr, Klimaschutz und Umwelt</t>
        </is>
      </c>
      <c r="G167" t="inlineStr">
        <is>
          <t>Chance: Brücke an der Wuhlheide -Rückbau Rampenbauwerke, Anpassung Verkehrslage</t>
        </is>
      </c>
      <c r="H167" t="inlineStr">
        <is>
          <t>ANGEBOT</t>
        </is>
      </c>
      <c r="I167" t="inlineStr">
        <is>
          <t>CHANCE</t>
        </is>
      </c>
    </row>
    <row r="168">
      <c r="A168" t="n">
        <v>2026</v>
      </c>
      <c r="B168" t="n">
        <v>9</v>
      </c>
      <c r="C168" t="inlineStr">
        <is>
          <t>65</t>
        </is>
      </c>
      <c r="D168" t="n">
        <v>18877.49</v>
      </c>
      <c r="E168" t="inlineStr">
        <is>
          <t>EIN</t>
        </is>
      </c>
      <c r="F168" t="inlineStr">
        <is>
          <t>Bauunternehmen Gerd Müller GmbH</t>
        </is>
      </c>
      <c r="G168" t="inlineStr">
        <is>
          <t>Chance: B 198, Brücke ü.d. Welse</t>
        </is>
      </c>
      <c r="H168" t="inlineStr">
        <is>
          <t>ANGEBOT</t>
        </is>
      </c>
      <c r="I168" t="inlineStr">
        <is>
          <t>CHANCE</t>
        </is>
      </c>
    </row>
    <row r="169">
      <c r="A169" t="n">
        <v>2026</v>
      </c>
      <c r="B169" t="n">
        <v>9</v>
      </c>
      <c r="C169" t="inlineStr">
        <is>
          <t>60</t>
        </is>
      </c>
      <c r="D169" t="n">
        <v>251.1</v>
      </c>
      <c r="E169" t="inlineStr">
        <is>
          <t>EIN</t>
        </is>
      </c>
      <c r="F169" t="inlineStr">
        <is>
          <t>Oostdam Metallhandels GmbH</t>
        </is>
      </c>
      <c r="G169" t="inlineStr">
        <is>
          <t>Chance: UW Neuenhagen - Entsorgung</t>
        </is>
      </c>
      <c r="H169" t="inlineStr">
        <is>
          <t>ANGEBOT</t>
        </is>
      </c>
      <c r="I169" t="inlineStr">
        <is>
          <t>CHANCE</t>
        </is>
      </c>
    </row>
    <row r="170">
      <c r="A170" t="n">
        <v>2026</v>
      </c>
      <c r="B170" t="n">
        <v>9</v>
      </c>
      <c r="C170" t="inlineStr">
        <is>
          <t>60</t>
        </is>
      </c>
      <c r="D170" t="n">
        <v>262825.47</v>
      </c>
      <c r="E170" t="inlineStr">
        <is>
          <t>EIN</t>
        </is>
      </c>
      <c r="F170" t="inlineStr">
        <is>
          <t>G &amp; L Dachbau GmbH</t>
        </is>
      </c>
      <c r="G170" t="inlineStr">
        <is>
          <t>Chance: Reuss Berlin</t>
        </is>
      </c>
      <c r="H170" t="inlineStr">
        <is>
          <t>ANGEBOT</t>
        </is>
      </c>
      <c r="I170" t="inlineStr">
        <is>
          <t>CHANCE</t>
        </is>
      </c>
    </row>
    <row r="171">
      <c r="A171" t="n">
        <v>2026</v>
      </c>
      <c r="B171" t="n">
        <v>10</v>
      </c>
      <c r="C171" t="inlineStr">
        <is>
          <t>60</t>
        </is>
      </c>
      <c r="D171" t="n">
        <v>8217</v>
      </c>
      <c r="E171" t="inlineStr">
        <is>
          <t>EIN</t>
        </is>
      </c>
      <c r="F171" t="inlineStr">
        <is>
          <t>LEAG</t>
        </is>
      </c>
      <c r="G171" t="inlineStr">
        <is>
          <t>Chance: Verschrottung in den Tagebauen</t>
        </is>
      </c>
      <c r="H171" t="inlineStr">
        <is>
          <t>ANGEBOT</t>
        </is>
      </c>
      <c r="I171" t="inlineStr">
        <is>
          <t>CHANCE</t>
        </is>
      </c>
    </row>
    <row r="172">
      <c r="A172" t="n">
        <v>2026</v>
      </c>
      <c r="B172" t="n">
        <v>10</v>
      </c>
      <c r="C172" t="inlineStr">
        <is>
          <t>60</t>
        </is>
      </c>
      <c r="D172" t="n">
        <v>303.25</v>
      </c>
      <c r="E172" t="inlineStr">
        <is>
          <t>EIN</t>
        </is>
      </c>
      <c r="F172" t="inlineStr">
        <is>
          <t>private textiles Gmbh</t>
        </is>
      </c>
      <c r="G172" t="inlineStr">
        <is>
          <t>Chance: Entsorgung Gemischte Bau- und Abbruchabfälle</t>
        </is>
      </c>
      <c r="H172" t="inlineStr">
        <is>
          <t>ANGEBOT</t>
        </is>
      </c>
      <c r="I172" t="inlineStr">
        <is>
          <t>CHANCE</t>
        </is>
      </c>
    </row>
    <row r="173">
      <c r="A173" t="n">
        <v>2026</v>
      </c>
      <c r="B173" t="n">
        <v>10</v>
      </c>
      <c r="C173" t="inlineStr">
        <is>
          <t>60</t>
        </is>
      </c>
      <c r="D173" t="n">
        <v>142046.32</v>
      </c>
      <c r="E173" t="inlineStr">
        <is>
          <t>EIN</t>
        </is>
      </c>
      <c r="F173" t="inlineStr">
        <is>
          <t>LEAG, Lausitz Energie Bergbau AG</t>
        </is>
      </c>
      <c r="G173" t="inlineStr">
        <is>
          <t>Chance: Öllager II Tagesanlagen Jänschwalde</t>
        </is>
      </c>
      <c r="H173" t="inlineStr">
        <is>
          <t>ANGEBOT</t>
        </is>
      </c>
      <c r="I173" t="inlineStr">
        <is>
          <t>CHANCE</t>
        </is>
      </c>
    </row>
    <row r="174">
      <c r="A174" t="n">
        <v>2026</v>
      </c>
      <c r="B174" t="n">
        <v>10</v>
      </c>
      <c r="C174" t="inlineStr">
        <is>
          <t>65</t>
        </is>
      </c>
      <c r="D174" t="n">
        <v>319018.73</v>
      </c>
      <c r="E174" t="inlineStr">
        <is>
          <t>EIN</t>
        </is>
      </c>
      <c r="F174" t="inlineStr">
        <is>
          <t>Prümer GmbH</t>
        </is>
      </c>
      <c r="G174" t="inlineStr">
        <is>
          <t>Chance: Rückbau Brücke Uechtingstraße</t>
        </is>
      </c>
      <c r="H174" t="inlineStr">
        <is>
          <t>ANGEBOT</t>
        </is>
      </c>
      <c r="I174" t="inlineStr">
        <is>
          <t>CHANCE</t>
        </is>
      </c>
    </row>
    <row r="175">
      <c r="A175" t="n">
        <v>2026</v>
      </c>
      <c r="B175" t="n">
        <v>10</v>
      </c>
      <c r="C175" t="inlineStr">
        <is>
          <t>65</t>
        </is>
      </c>
      <c r="D175" t="n">
        <v>70458.2</v>
      </c>
      <c r="E175" t="inlineStr">
        <is>
          <t>EIN</t>
        </is>
      </c>
      <c r="F175" t="inlineStr">
        <is>
          <t>K+S Minerals and Agriculture GmbH</t>
        </is>
      </c>
      <c r="G175" t="inlineStr">
        <is>
          <t>Chance: Rückbau Brückenbauwerk km 2,445</t>
        </is>
      </c>
      <c r="H175" t="inlineStr">
        <is>
          <t>ANGEBOT</t>
        </is>
      </c>
      <c r="I175" t="inlineStr">
        <is>
          <t>CHANCE</t>
        </is>
      </c>
    </row>
    <row r="176">
      <c r="A176" t="n">
        <v>2026</v>
      </c>
      <c r="B176" t="n">
        <v>10</v>
      </c>
      <c r="C176" t="inlineStr">
        <is>
          <t>65</t>
        </is>
      </c>
      <c r="D176" t="n">
        <v>36845.03</v>
      </c>
      <c r="E176" t="inlineStr">
        <is>
          <t>EIN</t>
        </is>
      </c>
      <c r="F176" t="inlineStr">
        <is>
          <t>Bauunternehmung Gebr. Echterhoff GmbH &amp; Co. KG</t>
        </is>
      </c>
      <c r="G176" t="inlineStr">
        <is>
          <t>Chance: EÜ Wiltbergstraße, S-Bf. Buch</t>
        </is>
      </c>
      <c r="H176" t="inlineStr">
        <is>
          <t>ANGEBOT</t>
        </is>
      </c>
      <c r="I176" t="inlineStr">
        <is>
          <t>CHANCE</t>
        </is>
      </c>
    </row>
    <row r="177">
      <c r="A177" t="n">
        <v>2026</v>
      </c>
      <c r="B177" t="n">
        <v>10</v>
      </c>
      <c r="C177" t="inlineStr">
        <is>
          <t>65</t>
        </is>
      </c>
      <c r="D177" t="n">
        <v>18561.79</v>
      </c>
      <c r="E177" t="inlineStr">
        <is>
          <t>EIN</t>
        </is>
      </c>
      <c r="F177" t="inlineStr">
        <is>
          <t>Bauunternehmen Gerd Müller GmbH</t>
        </is>
      </c>
      <c r="G177" t="inlineStr">
        <is>
          <t>Chance: Neubau Hechtgrabenbrücke, Abbrucharbeiten</t>
        </is>
      </c>
      <c r="H177" t="inlineStr">
        <is>
          <t>ANGEBOT</t>
        </is>
      </c>
      <c r="I177" t="inlineStr">
        <is>
          <t>CHANCE</t>
        </is>
      </c>
    </row>
    <row r="178">
      <c r="A178" t="n">
        <v>2026</v>
      </c>
      <c r="B178" t="n">
        <v>10</v>
      </c>
      <c r="C178" t="inlineStr">
        <is>
          <t>65</t>
        </is>
      </c>
      <c r="D178" t="n">
        <v>86513.75</v>
      </c>
      <c r="E178" t="inlineStr">
        <is>
          <t>EIN</t>
        </is>
      </c>
      <c r="F178" t="inlineStr">
        <is>
          <t>ALBA Metall Nord GmbH</t>
        </is>
      </c>
      <c r="G178" t="inlineStr">
        <is>
          <t>Chance: Rückbau Bodenplatte ALBA</t>
        </is>
      </c>
      <c r="H178" t="inlineStr">
        <is>
          <t>ANGEBOT</t>
        </is>
      </c>
      <c r="I178" t="inlineStr">
        <is>
          <t>CHANCE</t>
        </is>
      </c>
    </row>
    <row r="179">
      <c r="A179" t="n">
        <v>2026</v>
      </c>
      <c r="B179" t="n">
        <v>11</v>
      </c>
      <c r="C179" t="inlineStr">
        <is>
          <t>65</t>
        </is>
      </c>
      <c r="D179" t="n">
        <v>1518273.86</v>
      </c>
      <c r="E179" t="inlineStr">
        <is>
          <t>EIN</t>
        </is>
      </c>
      <c r="F179" t="inlineStr">
        <is>
          <t>AMAND Bau NRW GmbH &amp; Co. KG</t>
        </is>
      </c>
      <c r="G179" t="inlineStr">
        <is>
          <t>Chance: A42, ENB Bahnof Grünstraße</t>
        </is>
      </c>
      <c r="H179" t="inlineStr">
        <is>
          <t>ANGEBOT</t>
        </is>
      </c>
      <c r="I179" t="inlineStr">
        <is>
          <t>CHANCE</t>
        </is>
      </c>
    </row>
    <row r="180">
      <c r="A180" t="n">
        <v>2026</v>
      </c>
      <c r="B180" t="n">
        <v>11</v>
      </c>
      <c r="C180" t="inlineStr">
        <is>
          <t>65</t>
        </is>
      </c>
      <c r="D180" t="n">
        <v>48390.77</v>
      </c>
      <c r="E180" t="inlineStr">
        <is>
          <t>EIN</t>
        </is>
      </c>
      <c r="F180" t="inlineStr">
        <is>
          <t>ERA GmbH</t>
        </is>
      </c>
      <c r="G180" t="inlineStr">
        <is>
          <t>Chance: Ersatzneubau EÜ Strelitzer Chaussee</t>
        </is>
      </c>
      <c r="H180" t="inlineStr">
        <is>
          <t>ANGEBOT</t>
        </is>
      </c>
      <c r="I180" t="inlineStr">
        <is>
          <t>CHANCE</t>
        </is>
      </c>
    </row>
    <row r="181">
      <c r="A181" t="n">
        <v>2026</v>
      </c>
      <c r="B181" t="n">
        <v>11</v>
      </c>
      <c r="C181" t="inlineStr">
        <is>
          <t>60</t>
        </is>
      </c>
      <c r="D181" t="n">
        <v>305564.72</v>
      </c>
      <c r="E181" t="inlineStr">
        <is>
          <t>EIN</t>
        </is>
      </c>
      <c r="F181" t="inlineStr">
        <is>
          <t>BASF Infraservice &amp; Solutions Lausitz GmbH</t>
        </is>
      </c>
      <c r="G181" t="inlineStr">
        <is>
          <t>Chance: Rückbau HCL D700</t>
        </is>
      </c>
      <c r="H181" t="inlineStr">
        <is>
          <t>ANGEBOT</t>
        </is>
      </c>
      <c r="I181" t="inlineStr">
        <is>
          <t>CHANCE</t>
        </is>
      </c>
    </row>
    <row r="182">
      <c r="A182" t="n">
        <v>2026</v>
      </c>
      <c r="B182" t="n">
        <v>11</v>
      </c>
      <c r="C182" t="inlineStr">
        <is>
          <t>65</t>
        </is>
      </c>
      <c r="D182" t="n">
        <v>82403.25999999999</v>
      </c>
      <c r="E182" t="inlineStr">
        <is>
          <t>EIN</t>
        </is>
      </c>
      <c r="F182" t="inlineStr">
        <is>
          <t>Bauunternehmen Gerd Müller GmbH</t>
        </is>
      </c>
      <c r="G182" t="inlineStr">
        <is>
          <t>Chance: Ersatzneubau Brücke K19</t>
        </is>
      </c>
      <c r="H182" t="inlineStr">
        <is>
          <t>ANGEBOT</t>
        </is>
      </c>
      <c r="I182" t="inlineStr">
        <is>
          <t>CHANCE</t>
        </is>
      </c>
    </row>
    <row r="183">
      <c r="A183" t="n">
        <v>2026</v>
      </c>
      <c r="B183" t="n">
        <v>11</v>
      </c>
      <c r="C183" t="inlineStr">
        <is>
          <t>60</t>
        </is>
      </c>
      <c r="D183" t="n">
        <v>122512.3</v>
      </c>
      <c r="E183" t="inlineStr">
        <is>
          <t>EIN</t>
        </is>
      </c>
      <c r="F183" t="inlineStr">
        <is>
          <t>BASF Infraservice &amp; Solutions Lausitz GmbH</t>
        </is>
      </c>
      <c r="G183" t="inlineStr">
        <is>
          <t>Chance: Abbruch C424 Werkstattgebäude</t>
        </is>
      </c>
      <c r="H183" t="inlineStr">
        <is>
          <t>ANGEBOT</t>
        </is>
      </c>
      <c r="I183" t="inlineStr">
        <is>
          <t>CHANCE</t>
        </is>
      </c>
    </row>
    <row r="184">
      <c r="A184" t="n">
        <v>2026</v>
      </c>
      <c r="B184" t="n">
        <v>11</v>
      </c>
      <c r="C184" t="inlineStr">
        <is>
          <t>65</t>
        </is>
      </c>
      <c r="D184" t="n">
        <v>102881.93</v>
      </c>
      <c r="E184" t="inlineStr">
        <is>
          <t>EIN</t>
        </is>
      </c>
      <c r="F184" t="inlineStr">
        <is>
          <t>Spitzke SE</t>
        </is>
      </c>
      <c r="G184" t="inlineStr">
        <is>
          <t>Chance: EÜ Bovestraße - Erdarbeiten Bauphase 10 Bur 21.07.26</t>
        </is>
      </c>
      <c r="H184" t="inlineStr">
        <is>
          <t>ANGEBOT</t>
        </is>
      </c>
      <c r="I184" t="inlineStr">
        <is>
          <t>CHANCE</t>
        </is>
      </c>
    </row>
    <row r="185">
      <c r="A185" t="n">
        <v>2026</v>
      </c>
      <c r="B185" t="n">
        <v>12</v>
      </c>
      <c r="C185" t="inlineStr">
        <is>
          <t>60</t>
        </is>
      </c>
      <c r="D185" t="n">
        <v>120984.63</v>
      </c>
      <c r="E185" t="inlineStr">
        <is>
          <t>EIN</t>
        </is>
      </c>
      <c r="F185" t="inlineStr">
        <is>
          <t>LEAG, Lausitz Energie Bergbau AG</t>
        </is>
      </c>
      <c r="G185" t="inlineStr">
        <is>
          <t>Chance: Kaue 5 Tagesanlagen Jänschwalde</t>
        </is>
      </c>
      <c r="H185" t="inlineStr">
        <is>
          <t>ANGEBOT</t>
        </is>
      </c>
      <c r="I185" t="inlineStr">
        <is>
          <t>CHANCE</t>
        </is>
      </c>
    </row>
    <row r="186">
      <c r="A186" t="n">
        <v>2026</v>
      </c>
      <c r="B186" t="n">
        <v>12</v>
      </c>
      <c r="C186" t="inlineStr">
        <is>
          <t>60</t>
        </is>
      </c>
      <c r="D186" t="n">
        <v>1874717.59</v>
      </c>
      <c r="E186" t="inlineStr">
        <is>
          <t>EIN</t>
        </is>
      </c>
      <c r="F186" t="inlineStr">
        <is>
          <t>Lausitz Energie Bergbau AG</t>
        </is>
      </c>
      <c r="G186" t="inlineStr">
        <is>
          <t>Chance: Tagesanlagen Nochten Los 1</t>
        </is>
      </c>
      <c r="H186" t="inlineStr">
        <is>
          <t>ANGEBOT</t>
        </is>
      </c>
      <c r="I186" t="inlineStr">
        <is>
          <t>CHANCE</t>
        </is>
      </c>
    </row>
    <row r="187">
      <c r="A187" t="n">
        <v>2026</v>
      </c>
      <c r="B187" t="n">
        <v>12</v>
      </c>
      <c r="C187" t="inlineStr">
        <is>
          <t>60</t>
        </is>
      </c>
      <c r="D187" t="n">
        <v>65996.84</v>
      </c>
      <c r="E187" t="inlineStr">
        <is>
          <t>EIN</t>
        </is>
      </c>
      <c r="F187" t="inlineStr">
        <is>
          <t>LEAG Clean Power GmbH</t>
        </is>
      </c>
      <c r="G187" t="inlineStr">
        <is>
          <t>Chance: Rückbau Teilfläche 1</t>
        </is>
      </c>
      <c r="H187" t="inlineStr">
        <is>
          <t>ANGEBOT</t>
        </is>
      </c>
      <c r="I187" t="inlineStr">
        <is>
          <t>CHANCE</t>
        </is>
      </c>
    </row>
    <row r="188">
      <c r="A188" t="n">
        <v>2026</v>
      </c>
      <c r="B188" t="n">
        <v>12</v>
      </c>
      <c r="C188" t="inlineStr">
        <is>
          <t>60</t>
        </is>
      </c>
      <c r="D188" t="n">
        <v>76000</v>
      </c>
      <c r="E188" t="inlineStr">
        <is>
          <t>EIN</t>
        </is>
      </c>
      <c r="F188" t="inlineStr">
        <is>
          <t>Krüger Metallhandel</t>
        </is>
      </c>
      <c r="G188" t="inlineStr">
        <is>
          <t>Chance: Säuretanks</t>
        </is>
      </c>
      <c r="H188" t="inlineStr">
        <is>
          <t>ANGEBOT</t>
        </is>
      </c>
      <c r="I188" t="inlineStr">
        <is>
          <t>CHANCE</t>
        </is>
      </c>
    </row>
    <row r="189">
      <c r="A189" t="n">
        <v>2026</v>
      </c>
      <c r="B189" t="n">
        <v>12</v>
      </c>
      <c r="C189" t="inlineStr">
        <is>
          <t>60</t>
        </is>
      </c>
      <c r="D189" t="n">
        <v>148792.73</v>
      </c>
      <c r="E189" t="inlineStr">
        <is>
          <t>EIN</t>
        </is>
      </c>
      <c r="F189" t="inlineStr">
        <is>
          <t>Amt Gartz (Oder)</t>
        </is>
      </c>
      <c r="G189" t="inlineStr">
        <is>
          <t>Chance: Abbruch Scheunenanlage Hohenselchow</t>
        </is>
      </c>
      <c r="H189" t="inlineStr">
        <is>
          <t>ANGEBOT</t>
        </is>
      </c>
      <c r="I189" t="inlineStr">
        <is>
          <t>CHANCE</t>
        </is>
      </c>
    </row>
    <row r="190">
      <c r="A190" t="n">
        <v>2026</v>
      </c>
      <c r="B190" t="n">
        <v>12</v>
      </c>
      <c r="C190" t="inlineStr">
        <is>
          <t>60</t>
        </is>
      </c>
      <c r="D190" t="n">
        <v>18620</v>
      </c>
      <c r="E190" t="inlineStr">
        <is>
          <t>EIN</t>
        </is>
      </c>
      <c r="F190" t="inlineStr">
        <is>
          <t>LEAG Lausitz Energie Bergbau AG</t>
        </is>
      </c>
      <c r="G190" t="inlineStr">
        <is>
          <t>Chance: Rückbau Kranbahn Tagesanlagen Jänschwalde</t>
        </is>
      </c>
      <c r="H190" t="inlineStr">
        <is>
          <t>ANGEBOT</t>
        </is>
      </c>
      <c r="I190" t="inlineStr">
        <is>
          <t>CHANCE</t>
        </is>
      </c>
    </row>
    <row r="191">
      <c r="A191" t="n">
        <v>2026</v>
      </c>
      <c r="B191" t="n">
        <v>9</v>
      </c>
      <c r="C191" t="inlineStr">
        <is>
          <t>60</t>
        </is>
      </c>
      <c r="D191" t="n">
        <v>2062099.21</v>
      </c>
      <c r="E191" t="inlineStr">
        <is>
          <t>EIN</t>
        </is>
      </c>
      <c r="F191" t="inlineStr">
        <is>
          <t>Onyx Farge GmbH &amp; Co. KGaA</t>
        </is>
      </c>
      <c r="G191" t="inlineStr">
        <is>
          <t>Chance: KW Farge</t>
        </is>
      </c>
      <c r="H191" t="inlineStr">
        <is>
          <t>QUALIFIZIERT</t>
        </is>
      </c>
      <c r="I191" t="inlineStr">
        <is>
          <t>CHANCE</t>
        </is>
      </c>
    </row>
    <row r="195">
      <c r="A195" t="inlineStr">
        <is>
          <t>v_liq_tag</t>
        </is>
      </c>
    </row>
    <row r="196">
      <c r="A196" t="inlineStr">
        <is>
          <t>datum</t>
        </is>
      </c>
      <c r="B196" t="inlineStr">
        <is>
          <t>iso_jahr</t>
        </is>
      </c>
      <c r="C196" t="inlineStr">
        <is>
          <t>kalenderwoche</t>
        </is>
      </c>
      <c r="D196" t="inlineStr">
        <is>
          <t>monat</t>
        </is>
      </c>
      <c r="E196" t="inlineStr">
        <is>
          <t>wochentag</t>
        </is>
      </c>
      <c r="F196" t="inlineStr">
        <is>
          <t>eingang</t>
        </is>
      </c>
      <c r="G196" t="inlineStr">
        <is>
          <t>ausgang</t>
        </is>
      </c>
      <c r="H196" t="inlineStr">
        <is>
          <t>veraenderung</t>
        </is>
      </c>
      <c r="I196" t="inlineStr">
        <is>
          <t>saldo</t>
        </is>
      </c>
    </row>
    <row r="197">
      <c r="A197" t="inlineStr">
        <is>
          <t>2026-08-11</t>
        </is>
      </c>
      <c r="B197" t="n">
        <v>2026</v>
      </c>
      <c r="C197" t="n">
        <v>33</v>
      </c>
      <c r="D197" t="n">
        <v>8</v>
      </c>
      <c r="E197" t="inlineStr">
        <is>
          <t>Tue</t>
        </is>
      </c>
      <c r="F197" t="n">
        <v>0</v>
      </c>
      <c r="G197" t="n">
        <v>-49173.1</v>
      </c>
      <c r="H197" t="n">
        <v>-49173.1</v>
      </c>
      <c r="I197" t="n">
        <v>-897683.4</v>
      </c>
    </row>
    <row r="198">
      <c r="A198" t="inlineStr">
        <is>
          <t>2026-08-12</t>
        </is>
      </c>
      <c r="B198" t="n">
        <v>2026</v>
      </c>
      <c r="C198" t="n">
        <v>33</v>
      </c>
      <c r="D198" t="n">
        <v>8</v>
      </c>
      <c r="E198" t="inlineStr">
        <is>
          <t>Wed</t>
        </is>
      </c>
      <c r="F198" t="n">
        <v>0</v>
      </c>
      <c r="G198" t="n">
        <v>-1107.64</v>
      </c>
      <c r="H198" t="n">
        <v>-1107.64</v>
      </c>
      <c r="I198" t="n">
        <v>-898791.04</v>
      </c>
    </row>
    <row r="199">
      <c r="A199" t="inlineStr">
        <is>
          <t>2026-08-13</t>
        </is>
      </c>
      <c r="B199" t="n">
        <v>2026</v>
      </c>
      <c r="C199" t="n">
        <v>33</v>
      </c>
      <c r="D199" t="n">
        <v>8</v>
      </c>
      <c r="E199" t="inlineStr">
        <is>
          <t>Thu</t>
        </is>
      </c>
      <c r="F199" t="n">
        <v>57663.24</v>
      </c>
      <c r="G199" t="n">
        <v>-432368.31</v>
      </c>
      <c r="H199" t="n">
        <v>-374705.07</v>
      </c>
      <c r="I199" t="n">
        <v>-1273496.11</v>
      </c>
    </row>
    <row r="200">
      <c r="A200" t="inlineStr">
        <is>
          <t>2026-08-14</t>
        </is>
      </c>
      <c r="B200" t="n">
        <v>2026</v>
      </c>
      <c r="C200" t="n">
        <v>33</v>
      </c>
      <c r="D200" t="n">
        <v>8</v>
      </c>
      <c r="E200" t="inlineStr">
        <is>
          <t>Fri</t>
        </is>
      </c>
      <c r="F200" t="n">
        <v>0</v>
      </c>
      <c r="G200" t="n">
        <v>-65</v>
      </c>
      <c r="H200" t="n">
        <v>-65</v>
      </c>
      <c r="I200" t="n">
        <v>-1273561.11</v>
      </c>
    </row>
    <row r="201">
      <c r="A201" t="inlineStr">
        <is>
          <t>2026-08-17</t>
        </is>
      </c>
      <c r="B201" t="n">
        <v>2026</v>
      </c>
      <c r="C201" t="n">
        <v>34</v>
      </c>
      <c r="D201" t="n">
        <v>8</v>
      </c>
      <c r="E201" t="inlineStr">
        <is>
          <t>Mon</t>
        </is>
      </c>
      <c r="F201" t="n">
        <v>476006.8</v>
      </c>
      <c r="G201" t="n">
        <v>-1123.01</v>
      </c>
      <c r="H201" t="n">
        <v>474883.79</v>
      </c>
      <c r="I201" t="n">
        <v>-798677.3199999999</v>
      </c>
    </row>
    <row r="202">
      <c r="A202" t="inlineStr">
        <is>
          <t>2026-08-18</t>
        </is>
      </c>
      <c r="B202" t="n">
        <v>2026</v>
      </c>
      <c r="C202" t="n">
        <v>34</v>
      </c>
      <c r="D202" t="n">
        <v>8</v>
      </c>
      <c r="E202" t="inlineStr">
        <is>
          <t>Tue</t>
        </is>
      </c>
      <c r="F202" t="n">
        <v>110667.16</v>
      </c>
      <c r="G202" t="n">
        <v>-119839.6</v>
      </c>
      <c r="H202" t="n">
        <v>-9172.440000000001</v>
      </c>
      <c r="I202" t="n">
        <v>-807849.76</v>
      </c>
    </row>
    <row r="203">
      <c r="A203" t="inlineStr">
        <is>
          <t>2026-08-19</t>
        </is>
      </c>
      <c r="B203" t="n">
        <v>2026</v>
      </c>
      <c r="C203" t="n">
        <v>34</v>
      </c>
      <c r="D203" t="n">
        <v>8</v>
      </c>
      <c r="E203" t="inlineStr">
        <is>
          <t>Wed</t>
        </is>
      </c>
      <c r="F203" t="n">
        <v>0</v>
      </c>
      <c r="G203" t="n">
        <v>-47.23</v>
      </c>
      <c r="H203" t="n">
        <v>-47.23</v>
      </c>
      <c r="I203" t="n">
        <v>-807896.99</v>
      </c>
    </row>
    <row r="204">
      <c r="A204" t="inlineStr">
        <is>
          <t>2026-08-20</t>
        </is>
      </c>
      <c r="B204" t="n">
        <v>2026</v>
      </c>
      <c r="C204" t="n">
        <v>34</v>
      </c>
      <c r="D204" t="n">
        <v>8</v>
      </c>
      <c r="E204" t="inlineStr">
        <is>
          <t>Thu</t>
        </is>
      </c>
      <c r="F204" t="n">
        <v>56162.26</v>
      </c>
      <c r="G204" t="n">
        <v>0</v>
      </c>
      <c r="H204" t="n">
        <v>56162.26</v>
      </c>
      <c r="I204" t="n">
        <v>-751734.73</v>
      </c>
    </row>
    <row r="205">
      <c r="A205" t="inlineStr">
        <is>
          <t>2026-08-21</t>
        </is>
      </c>
      <c r="B205" t="n">
        <v>2026</v>
      </c>
      <c r="C205" t="n">
        <v>34</v>
      </c>
      <c r="D205" t="n">
        <v>8</v>
      </c>
      <c r="E205" t="inlineStr">
        <is>
          <t>Fri</t>
        </is>
      </c>
      <c r="F205" t="n">
        <v>0</v>
      </c>
      <c r="G205" t="n">
        <v>-79.28</v>
      </c>
      <c r="H205" t="n">
        <v>-79.28</v>
      </c>
      <c r="I205" t="n">
        <v>-751814.01</v>
      </c>
    </row>
    <row r="206">
      <c r="A206" t="inlineStr">
        <is>
          <t>2026-08-24</t>
        </is>
      </c>
      <c r="B206" t="n">
        <v>2026</v>
      </c>
      <c r="C206" t="n">
        <v>35</v>
      </c>
      <c r="D206" t="n">
        <v>8</v>
      </c>
      <c r="E206" t="inlineStr">
        <is>
          <t>Mon</t>
        </is>
      </c>
      <c r="F206" t="n">
        <v>107064.64</v>
      </c>
      <c r="G206" t="n">
        <v>-487.04</v>
      </c>
      <c r="H206" t="n">
        <v>106577.6</v>
      </c>
      <c r="I206" t="n">
        <v>-645236.41</v>
      </c>
    </row>
    <row r="207">
      <c r="A207" t="inlineStr">
        <is>
          <t>2026-08-25</t>
        </is>
      </c>
      <c r="B207" t="n">
        <v>2026</v>
      </c>
      <c r="C207" t="n">
        <v>35</v>
      </c>
      <c r="D207" t="n">
        <v>8</v>
      </c>
      <c r="E207" t="inlineStr">
        <is>
          <t>Tue</t>
        </is>
      </c>
      <c r="F207" t="n">
        <v>279614.87</v>
      </c>
      <c r="G207" t="n">
        <v>-264697.8</v>
      </c>
      <c r="H207" t="n">
        <v>14917.07</v>
      </c>
      <c r="I207" t="n">
        <v>-630319.34</v>
      </c>
    </row>
    <row r="208">
      <c r="A208" t="inlineStr">
        <is>
          <t>2026-08-26</t>
        </is>
      </c>
      <c r="B208" t="n">
        <v>2026</v>
      </c>
      <c r="C208" t="n">
        <v>35</v>
      </c>
      <c r="D208" t="n">
        <v>8</v>
      </c>
      <c r="E208" t="inlineStr">
        <is>
          <t>Wed</t>
        </is>
      </c>
      <c r="F208" t="n">
        <v>662.13</v>
      </c>
      <c r="G208" t="n">
        <v>-135471.78</v>
      </c>
      <c r="H208" t="n">
        <v>-134809.65</v>
      </c>
      <c r="I208" t="n">
        <v>-765128.99</v>
      </c>
    </row>
    <row r="209">
      <c r="A209" t="inlineStr">
        <is>
          <t>2026-08-27</t>
        </is>
      </c>
      <c r="B209" t="n">
        <v>2026</v>
      </c>
      <c r="C209" t="n">
        <v>35</v>
      </c>
      <c r="D209" t="n">
        <v>8</v>
      </c>
      <c r="E209" t="inlineStr">
        <is>
          <t>Thu</t>
        </is>
      </c>
      <c r="F209" t="n">
        <v>107548.62</v>
      </c>
      <c r="G209" t="n">
        <v>0</v>
      </c>
      <c r="H209" t="n">
        <v>107548.62</v>
      </c>
      <c r="I209" t="n">
        <v>-657580.37</v>
      </c>
    </row>
    <row r="210">
      <c r="A210" t="inlineStr">
        <is>
          <t>2026-08-28</t>
        </is>
      </c>
      <c r="B210" t="n">
        <v>2026</v>
      </c>
      <c r="C210" t="n">
        <v>35</v>
      </c>
      <c r="D210" t="n">
        <v>8</v>
      </c>
      <c r="E210" t="inlineStr">
        <is>
          <t>Fri</t>
        </is>
      </c>
      <c r="F210" t="n">
        <v>0</v>
      </c>
      <c r="G210" t="n">
        <v>-175331.24</v>
      </c>
      <c r="H210" t="n">
        <v>-175331.24</v>
      </c>
      <c r="I210" t="n">
        <v>-832911.61</v>
      </c>
    </row>
    <row r="211">
      <c r="A211" t="inlineStr">
        <is>
          <t>2026-08-31</t>
        </is>
      </c>
      <c r="B211" t="n">
        <v>2026</v>
      </c>
      <c r="C211" t="n">
        <v>36</v>
      </c>
      <c r="D211" t="n">
        <v>8</v>
      </c>
      <c r="E211" t="inlineStr">
        <is>
          <t>Mon</t>
        </is>
      </c>
      <c r="F211" t="n">
        <v>2160.41</v>
      </c>
      <c r="G211" t="n">
        <v>0</v>
      </c>
      <c r="H211" t="n">
        <v>2160.41</v>
      </c>
      <c r="I211" t="n">
        <v>-830751.2</v>
      </c>
    </row>
    <row r="212">
      <c r="A212" t="inlineStr">
        <is>
          <t>2026-09-01</t>
        </is>
      </c>
      <c r="B212" t="n">
        <v>2026</v>
      </c>
      <c r="C212" t="n">
        <v>36</v>
      </c>
      <c r="D212" t="n">
        <v>9</v>
      </c>
      <c r="E212" t="inlineStr">
        <is>
          <t>Tue</t>
        </is>
      </c>
      <c r="F212" t="n">
        <v>76843.67</v>
      </c>
      <c r="G212" t="n">
        <v>-299065.32</v>
      </c>
      <c r="H212" t="n">
        <v>-222221.65</v>
      </c>
      <c r="I212" t="n">
        <v>-1052972.85</v>
      </c>
    </row>
    <row r="213">
      <c r="A213" t="inlineStr">
        <is>
          <t>2026-09-03</t>
        </is>
      </c>
      <c r="B213" t="n">
        <v>2026</v>
      </c>
      <c r="C213" t="n">
        <v>36</v>
      </c>
      <c r="D213" t="n">
        <v>9</v>
      </c>
      <c r="E213" t="inlineStr">
        <is>
          <t>Thu</t>
        </is>
      </c>
      <c r="F213" t="n">
        <v>120178.21</v>
      </c>
      <c r="G213" t="n">
        <v>0</v>
      </c>
      <c r="H213" t="n">
        <v>120178.21</v>
      </c>
      <c r="I213" t="n">
        <v>-932794.64</v>
      </c>
    </row>
    <row r="214">
      <c r="A214" t="inlineStr">
        <is>
          <t>2026-09-07</t>
        </is>
      </c>
      <c r="B214" t="n">
        <v>2026</v>
      </c>
      <c r="C214" t="n">
        <v>37</v>
      </c>
      <c r="D214" t="n">
        <v>9</v>
      </c>
      <c r="E214" t="inlineStr">
        <is>
          <t>Mon</t>
        </is>
      </c>
      <c r="F214" t="n">
        <v>71697.75999999999</v>
      </c>
      <c r="G214" t="n">
        <v>-73</v>
      </c>
      <c r="H214" t="n">
        <v>71624.75999999999</v>
      </c>
      <c r="I214" t="n">
        <v>-861169.88</v>
      </c>
    </row>
    <row r="215">
      <c r="A215" t="inlineStr">
        <is>
          <t>2026-09-08</t>
        </is>
      </c>
      <c r="B215" t="n">
        <v>2026</v>
      </c>
      <c r="C215" t="n">
        <v>37</v>
      </c>
      <c r="D215" t="n">
        <v>9</v>
      </c>
      <c r="E215" t="inlineStr">
        <is>
          <t>Tue</t>
        </is>
      </c>
      <c r="F215" t="n">
        <v>552733.28</v>
      </c>
      <c r="G215" t="n">
        <v>-711625.5699999999</v>
      </c>
      <c r="H215" t="n">
        <v>-158892.29</v>
      </c>
      <c r="I215" t="n">
        <v>-1020062.17</v>
      </c>
    </row>
    <row r="216">
      <c r="A216" t="inlineStr">
        <is>
          <t>2026-09-09</t>
        </is>
      </c>
      <c r="B216" t="n">
        <v>2026</v>
      </c>
      <c r="C216" t="n">
        <v>37</v>
      </c>
      <c r="D216" t="n">
        <v>9</v>
      </c>
      <c r="E216" t="inlineStr">
        <is>
          <t>Wed</t>
        </is>
      </c>
      <c r="F216" t="n">
        <v>0</v>
      </c>
      <c r="G216" t="n">
        <v>-140.52</v>
      </c>
      <c r="H216" t="n">
        <v>-140.52</v>
      </c>
      <c r="I216" t="n">
        <v>-1020202.69</v>
      </c>
    </row>
    <row r="217">
      <c r="A217" t="inlineStr">
        <is>
          <t>2026-09-10</t>
        </is>
      </c>
      <c r="B217" t="n">
        <v>2026</v>
      </c>
      <c r="C217" t="n">
        <v>37</v>
      </c>
      <c r="D217" t="n">
        <v>9</v>
      </c>
      <c r="E217" t="inlineStr">
        <is>
          <t>Thu</t>
        </is>
      </c>
      <c r="F217" t="n">
        <v>7861.97</v>
      </c>
      <c r="G217" t="n">
        <v>-33306.9</v>
      </c>
      <c r="H217" t="n">
        <v>-25444.93</v>
      </c>
      <c r="I217" t="n">
        <v>-1045647.62</v>
      </c>
    </row>
    <row r="218">
      <c r="A218" t="inlineStr">
        <is>
          <t>2026-09-11</t>
        </is>
      </c>
      <c r="B218" t="n">
        <v>2026</v>
      </c>
      <c r="C218" t="n">
        <v>37</v>
      </c>
      <c r="D218" t="n">
        <v>9</v>
      </c>
      <c r="E218" t="inlineStr">
        <is>
          <t>Fri</t>
        </is>
      </c>
      <c r="F218" t="n">
        <v>61063.29</v>
      </c>
      <c r="G218" t="n">
        <v>0</v>
      </c>
      <c r="H218" t="n">
        <v>61063.29</v>
      </c>
      <c r="I218" t="n">
        <v>-984584.33</v>
      </c>
    </row>
    <row r="219">
      <c r="A219" t="inlineStr">
        <is>
          <t>2026-09-14</t>
        </is>
      </c>
      <c r="B219" t="n">
        <v>2026</v>
      </c>
      <c r="C219" t="n">
        <v>38</v>
      </c>
      <c r="D219" t="n">
        <v>9</v>
      </c>
      <c r="E219" t="inlineStr">
        <is>
          <t>Mon</t>
        </is>
      </c>
      <c r="F219" t="n">
        <v>340286.6</v>
      </c>
      <c r="G219" t="n">
        <v>-1312.64</v>
      </c>
      <c r="H219" t="n">
        <v>338973.96</v>
      </c>
      <c r="I219" t="n">
        <v>-645610.37</v>
      </c>
    </row>
    <row r="220">
      <c r="A220" t="inlineStr">
        <is>
          <t>2026-09-15</t>
        </is>
      </c>
      <c r="B220" t="n">
        <v>2026</v>
      </c>
      <c r="C220" t="n">
        <v>38</v>
      </c>
      <c r="D220" t="n">
        <v>9</v>
      </c>
      <c r="E220" t="inlineStr">
        <is>
          <t>Tue</t>
        </is>
      </c>
      <c r="F220" t="n">
        <v>45760.28</v>
      </c>
      <c r="G220" t="n">
        <v>-222707.39</v>
      </c>
      <c r="H220" t="n">
        <v>-176947.11</v>
      </c>
      <c r="I220" t="n">
        <v>-822557.48</v>
      </c>
    </row>
    <row r="221">
      <c r="A221" t="inlineStr">
        <is>
          <t>2026-09-16</t>
        </is>
      </c>
      <c r="B221" t="n">
        <v>2026</v>
      </c>
      <c r="C221" t="n">
        <v>38</v>
      </c>
      <c r="D221" t="n">
        <v>9</v>
      </c>
      <c r="E221" t="inlineStr">
        <is>
          <t>Wed</t>
        </is>
      </c>
      <c r="F221" t="n">
        <v>21412.68</v>
      </c>
      <c r="G221" t="n">
        <v>-714.21</v>
      </c>
      <c r="H221" t="n">
        <v>20698.47</v>
      </c>
      <c r="I221" t="n">
        <v>-801859.01</v>
      </c>
    </row>
    <row r="222">
      <c r="A222" t="inlineStr">
        <is>
          <t>2026-09-17</t>
        </is>
      </c>
      <c r="B222" t="n">
        <v>2026</v>
      </c>
      <c r="C222" t="n">
        <v>38</v>
      </c>
      <c r="D222" t="n">
        <v>9</v>
      </c>
      <c r="E222" t="inlineStr">
        <is>
          <t>Thu</t>
        </is>
      </c>
      <c r="F222" t="n">
        <v>114187.2</v>
      </c>
      <c r="G222" t="n">
        <v>-293</v>
      </c>
      <c r="H222" t="n">
        <v>113894.2</v>
      </c>
      <c r="I222" t="n">
        <v>-687964.8100000001</v>
      </c>
    </row>
    <row r="223">
      <c r="A223" t="inlineStr">
        <is>
          <t>2026-09-21</t>
        </is>
      </c>
      <c r="B223" t="n">
        <v>2026</v>
      </c>
      <c r="C223" t="n">
        <v>39</v>
      </c>
      <c r="D223" t="n">
        <v>9</v>
      </c>
      <c r="E223" t="inlineStr">
        <is>
          <t>Mon</t>
        </is>
      </c>
      <c r="F223" t="n">
        <v>8653.51</v>
      </c>
      <c r="G223" t="n">
        <v>-126.51</v>
      </c>
      <c r="H223" t="n">
        <v>8527</v>
      </c>
      <c r="I223" t="n">
        <v>-679437.8100000001</v>
      </c>
    </row>
    <row r="224">
      <c r="A224" t="inlineStr">
        <is>
          <t>2026-09-22</t>
        </is>
      </c>
      <c r="B224" t="n">
        <v>2026</v>
      </c>
      <c r="C224" t="n">
        <v>39</v>
      </c>
      <c r="D224" t="n">
        <v>9</v>
      </c>
      <c r="E224" t="inlineStr">
        <is>
          <t>Tue</t>
        </is>
      </c>
      <c r="F224" t="n">
        <v>42241.34</v>
      </c>
      <c r="G224" t="n">
        <v>-75920.53</v>
      </c>
      <c r="H224" t="n">
        <v>-33679.19</v>
      </c>
      <c r="I224" t="n">
        <v>-713117</v>
      </c>
    </row>
    <row r="225">
      <c r="A225" t="inlineStr">
        <is>
          <t>2026-09-23</t>
        </is>
      </c>
      <c r="B225" t="n">
        <v>2026</v>
      </c>
      <c r="C225" t="n">
        <v>39</v>
      </c>
      <c r="D225" t="n">
        <v>9</v>
      </c>
      <c r="E225" t="inlineStr">
        <is>
          <t>Wed</t>
        </is>
      </c>
      <c r="F225" t="n">
        <v>189852.48</v>
      </c>
      <c r="G225" t="n">
        <v>-434.91</v>
      </c>
      <c r="H225" t="n">
        <v>189417.57</v>
      </c>
      <c r="I225" t="n">
        <v>-523699.43</v>
      </c>
    </row>
    <row r="226">
      <c r="A226" t="inlineStr">
        <is>
          <t>2026-09-24</t>
        </is>
      </c>
      <c r="B226" t="n">
        <v>2026</v>
      </c>
      <c r="C226" t="n">
        <v>39</v>
      </c>
      <c r="D226" t="n">
        <v>9</v>
      </c>
      <c r="E226" t="inlineStr">
        <is>
          <t>Thu</t>
        </is>
      </c>
      <c r="F226" t="n">
        <v>5068.53</v>
      </c>
      <c r="G226" t="n">
        <v>0</v>
      </c>
      <c r="H226" t="n">
        <v>5068.53</v>
      </c>
      <c r="I226" t="n">
        <v>-518630.9</v>
      </c>
    </row>
    <row r="227">
      <c r="A227" t="inlineStr">
        <is>
          <t>2026-09-25</t>
        </is>
      </c>
      <c r="B227" t="n">
        <v>2026</v>
      </c>
      <c r="C227" t="n">
        <v>39</v>
      </c>
      <c r="D227" t="n">
        <v>9</v>
      </c>
      <c r="E227" t="inlineStr">
        <is>
          <t>Fri</t>
        </is>
      </c>
      <c r="F227" t="n">
        <v>0</v>
      </c>
      <c r="G227" t="n">
        <v>-136361.24</v>
      </c>
      <c r="H227" t="n">
        <v>-136361.24</v>
      </c>
      <c r="I227" t="n">
        <v>-654992.14</v>
      </c>
    </row>
    <row r="228">
      <c r="A228" t="inlineStr">
        <is>
          <t>2026-09-28</t>
        </is>
      </c>
      <c r="B228" t="n">
        <v>2026</v>
      </c>
      <c r="C228" t="n">
        <v>40</v>
      </c>
      <c r="D228" t="n">
        <v>9</v>
      </c>
      <c r="E228" t="inlineStr">
        <is>
          <t>Mon</t>
        </is>
      </c>
      <c r="F228" t="n">
        <v>23739.69</v>
      </c>
      <c r="G228" t="n">
        <v>-612</v>
      </c>
      <c r="H228" t="n">
        <v>23127.69</v>
      </c>
      <c r="I228" t="n">
        <v>-631864.45</v>
      </c>
    </row>
    <row r="229">
      <c r="A229" t="inlineStr">
        <is>
          <t>2026-09-29</t>
        </is>
      </c>
      <c r="B229" t="n">
        <v>2026</v>
      </c>
      <c r="C229" t="n">
        <v>40</v>
      </c>
      <c r="D229" t="n">
        <v>9</v>
      </c>
      <c r="E229" t="inlineStr">
        <is>
          <t>Tue</t>
        </is>
      </c>
      <c r="F229" t="n">
        <v>21848.57</v>
      </c>
      <c r="G229" t="n">
        <v>-437282.54</v>
      </c>
      <c r="H229" t="n">
        <v>-415433.97</v>
      </c>
      <c r="I229" t="n">
        <v>-1047298.42</v>
      </c>
    </row>
    <row r="230">
      <c r="A230" t="inlineStr">
        <is>
          <t>2026-09-30</t>
        </is>
      </c>
      <c r="B230" t="n">
        <v>2026</v>
      </c>
      <c r="C230" t="n">
        <v>40</v>
      </c>
      <c r="D230" t="n">
        <v>9</v>
      </c>
      <c r="E230" t="inlineStr">
        <is>
          <t>Wed</t>
        </is>
      </c>
      <c r="F230" t="n">
        <v>6768.09</v>
      </c>
      <c r="G230" t="n">
        <v>0</v>
      </c>
      <c r="H230" t="n">
        <v>6768.09</v>
      </c>
      <c r="I230" t="n">
        <v>-1040530.33</v>
      </c>
    </row>
    <row r="231">
      <c r="A231" t="inlineStr">
        <is>
          <t>2026-10-01</t>
        </is>
      </c>
      <c r="B231" t="n">
        <v>2026</v>
      </c>
      <c r="C231" t="n">
        <v>40</v>
      </c>
      <c r="D231" t="n">
        <v>10</v>
      </c>
      <c r="E231" t="inlineStr">
        <is>
          <t>Thu</t>
        </is>
      </c>
      <c r="F231" t="n">
        <v>182226.33</v>
      </c>
      <c r="G231" t="n">
        <v>-5253.23</v>
      </c>
      <c r="H231" t="n">
        <v>176973.1</v>
      </c>
      <c r="I231" t="n">
        <v>-863557.23</v>
      </c>
    </row>
    <row r="232">
      <c r="A232" t="inlineStr">
        <is>
          <t>2026-10-05</t>
        </is>
      </c>
      <c r="B232" t="n">
        <v>2026</v>
      </c>
      <c r="C232" t="n">
        <v>41</v>
      </c>
      <c r="D232" t="n">
        <v>10</v>
      </c>
      <c r="E232" t="inlineStr">
        <is>
          <t>Mon</t>
        </is>
      </c>
      <c r="F232" t="n">
        <v>276819.81</v>
      </c>
      <c r="G232" t="n">
        <v>0</v>
      </c>
      <c r="H232" t="n">
        <v>276819.81</v>
      </c>
      <c r="I232" t="n">
        <v>-586737.42</v>
      </c>
    </row>
    <row r="233">
      <c r="A233" t="inlineStr">
        <is>
          <t>2026-10-06</t>
        </is>
      </c>
      <c r="B233" t="n">
        <v>2026</v>
      </c>
      <c r="C233" t="n">
        <v>41</v>
      </c>
      <c r="D233" t="n">
        <v>10</v>
      </c>
      <c r="E233" t="inlineStr">
        <is>
          <t>Tue</t>
        </is>
      </c>
      <c r="F233" t="n">
        <v>370531.63</v>
      </c>
      <c r="G233" t="n">
        <v>-329061.58</v>
      </c>
      <c r="H233" t="n">
        <v>41470.05</v>
      </c>
      <c r="I233" t="n">
        <v>-545267.37</v>
      </c>
    </row>
    <row r="234">
      <c r="A234" t="inlineStr">
        <is>
          <t>2026-10-07</t>
        </is>
      </c>
      <c r="B234" t="n">
        <v>2026</v>
      </c>
      <c r="C234" t="n">
        <v>41</v>
      </c>
      <c r="D234" t="n">
        <v>10</v>
      </c>
      <c r="E234" t="inlineStr">
        <is>
          <t>Wed</t>
        </is>
      </c>
      <c r="F234" t="n">
        <v>14936.01</v>
      </c>
      <c r="G234" t="n">
        <v>0</v>
      </c>
      <c r="H234" t="n">
        <v>14936.01</v>
      </c>
      <c r="I234" t="n">
        <v>-530331.36</v>
      </c>
    </row>
    <row r="235">
      <c r="A235" t="inlineStr">
        <is>
          <t>2026-10-08</t>
        </is>
      </c>
      <c r="B235" t="n">
        <v>2026</v>
      </c>
      <c r="C235" t="n">
        <v>41</v>
      </c>
      <c r="D235" t="n">
        <v>10</v>
      </c>
      <c r="E235" t="inlineStr">
        <is>
          <t>Thu</t>
        </is>
      </c>
      <c r="F235" t="n">
        <v>113802.41</v>
      </c>
      <c r="G235" t="n">
        <v>-99</v>
      </c>
      <c r="H235" t="n">
        <v>113703.41</v>
      </c>
      <c r="I235" t="n">
        <v>-416627.95</v>
      </c>
    </row>
    <row r="236">
      <c r="A236" t="inlineStr">
        <is>
          <t>2026-10-09</t>
        </is>
      </c>
      <c r="B236" t="n">
        <v>2026</v>
      </c>
      <c r="C236" t="n">
        <v>41</v>
      </c>
      <c r="D236" t="n">
        <v>10</v>
      </c>
      <c r="E236" t="inlineStr">
        <is>
          <t>Fri</t>
        </is>
      </c>
      <c r="F236" t="n">
        <v>0</v>
      </c>
      <c r="G236" t="n">
        <v>-140.52</v>
      </c>
      <c r="H236" t="n">
        <v>-140.52</v>
      </c>
      <c r="I236" t="n">
        <v>-416768.47</v>
      </c>
    </row>
    <row r="237">
      <c r="A237" t="inlineStr">
        <is>
          <t>2026-10-12</t>
        </is>
      </c>
      <c r="B237" t="n">
        <v>2026</v>
      </c>
      <c r="C237" t="n">
        <v>42</v>
      </c>
      <c r="D237" t="n">
        <v>10</v>
      </c>
      <c r="E237" t="inlineStr">
        <is>
          <t>Mon</t>
        </is>
      </c>
      <c r="F237" t="n">
        <v>9942.26</v>
      </c>
      <c r="G237" t="n">
        <v>-34658.31</v>
      </c>
      <c r="H237" t="n">
        <v>-24716.05</v>
      </c>
      <c r="I237" t="n">
        <v>-441484.52</v>
      </c>
    </row>
    <row r="238">
      <c r="A238" t="inlineStr">
        <is>
          <t>2026-10-13</t>
        </is>
      </c>
      <c r="B238" t="n">
        <v>2026</v>
      </c>
      <c r="C238" t="n">
        <v>42</v>
      </c>
      <c r="D238" t="n">
        <v>10</v>
      </c>
      <c r="E238" t="inlineStr">
        <is>
          <t>Tue</t>
        </is>
      </c>
      <c r="F238" t="n">
        <v>58518.63</v>
      </c>
      <c r="G238" t="n">
        <v>-375563.05</v>
      </c>
      <c r="H238" t="n">
        <v>-317044.42</v>
      </c>
      <c r="I238" t="n">
        <v>-758528.9399999999</v>
      </c>
    </row>
    <row r="239">
      <c r="A239" t="inlineStr">
        <is>
          <t>2026-10-14</t>
        </is>
      </c>
      <c r="B239" t="n">
        <v>2026</v>
      </c>
      <c r="C239" t="n">
        <v>42</v>
      </c>
      <c r="D239" t="n">
        <v>10</v>
      </c>
      <c r="E239" t="inlineStr">
        <is>
          <t>Wed</t>
        </is>
      </c>
      <c r="F239" t="n">
        <v>0</v>
      </c>
      <c r="G239" t="n">
        <v>-65</v>
      </c>
      <c r="H239" t="n">
        <v>-65</v>
      </c>
      <c r="I239" t="n">
        <v>-758593.9399999999</v>
      </c>
    </row>
    <row r="240">
      <c r="A240" t="inlineStr">
        <is>
          <t>2026-10-15</t>
        </is>
      </c>
      <c r="B240" t="n">
        <v>2026</v>
      </c>
      <c r="C240" t="n">
        <v>42</v>
      </c>
      <c r="D240" t="n">
        <v>10</v>
      </c>
      <c r="E240" t="inlineStr">
        <is>
          <t>Thu</t>
        </is>
      </c>
      <c r="F240" t="n">
        <v>157235.35</v>
      </c>
      <c r="G240" t="n">
        <v>-115.8</v>
      </c>
      <c r="H240" t="n">
        <v>157119.55</v>
      </c>
      <c r="I240" t="n">
        <v>-601474.39</v>
      </c>
    </row>
    <row r="241">
      <c r="A241" t="inlineStr">
        <is>
          <t>2026-10-16</t>
        </is>
      </c>
      <c r="B241" t="n">
        <v>2026</v>
      </c>
      <c r="C241" t="n">
        <v>42</v>
      </c>
      <c r="D241" t="n">
        <v>10</v>
      </c>
      <c r="E241" t="inlineStr">
        <is>
          <t>Fri</t>
        </is>
      </c>
      <c r="F241" t="n">
        <v>0</v>
      </c>
      <c r="G241" t="n">
        <v>-714.21</v>
      </c>
      <c r="H241" t="n">
        <v>-714.21</v>
      </c>
      <c r="I241" t="n">
        <v>-602188.6</v>
      </c>
    </row>
    <row r="242">
      <c r="A242" t="inlineStr">
        <is>
          <t>2026-10-19</t>
        </is>
      </c>
      <c r="B242" t="n">
        <v>2026</v>
      </c>
      <c r="C242" t="n">
        <v>43</v>
      </c>
      <c r="D242" t="n">
        <v>10</v>
      </c>
      <c r="E242" t="inlineStr">
        <is>
          <t>Mon</t>
        </is>
      </c>
      <c r="F242" t="n">
        <v>7700.02</v>
      </c>
      <c r="G242" t="n">
        <v>-340.23</v>
      </c>
      <c r="H242" t="n">
        <v>7359.79</v>
      </c>
      <c r="I242" t="n">
        <v>-594828.8100000001</v>
      </c>
    </row>
    <row r="243">
      <c r="A243" t="inlineStr">
        <is>
          <t>2026-10-20</t>
        </is>
      </c>
      <c r="B243" t="n">
        <v>2026</v>
      </c>
      <c r="C243" t="n">
        <v>43</v>
      </c>
      <c r="D243" t="n">
        <v>10</v>
      </c>
      <c r="E243" t="inlineStr">
        <is>
          <t>Tue</t>
        </is>
      </c>
      <c r="F243" t="n">
        <v>0</v>
      </c>
      <c r="G243" t="n">
        <v>-150996.69</v>
      </c>
      <c r="H243" t="n">
        <v>-150996.69</v>
      </c>
      <c r="I243" t="n">
        <v>-745825.5</v>
      </c>
    </row>
    <row r="244">
      <c r="A244" t="inlineStr">
        <is>
          <t>2026-10-21</t>
        </is>
      </c>
      <c r="B244" t="n">
        <v>2026</v>
      </c>
      <c r="C244" t="n">
        <v>43</v>
      </c>
      <c r="D244" t="n">
        <v>10</v>
      </c>
      <c r="E244" t="inlineStr">
        <is>
          <t>Wed</t>
        </is>
      </c>
      <c r="F244" t="n">
        <v>1448.38</v>
      </c>
      <c r="G244" t="n">
        <v>-79.28</v>
      </c>
      <c r="H244" t="n">
        <v>1369.1</v>
      </c>
      <c r="I244" t="n">
        <v>-744456.4</v>
      </c>
    </row>
    <row r="245">
      <c r="A245" t="inlineStr">
        <is>
          <t>2026-10-22</t>
        </is>
      </c>
      <c r="B245" t="n">
        <v>2026</v>
      </c>
      <c r="C245" t="n">
        <v>43</v>
      </c>
      <c r="D245" t="n">
        <v>10</v>
      </c>
      <c r="E245" t="inlineStr">
        <is>
          <t>Thu</t>
        </is>
      </c>
      <c r="F245" t="n">
        <v>48027.83</v>
      </c>
      <c r="G245" t="n">
        <v>-52.13</v>
      </c>
      <c r="H245" t="n">
        <v>47975.7</v>
      </c>
      <c r="I245" t="n">
        <v>-696480.7</v>
      </c>
    </row>
    <row r="246">
      <c r="A246" t="inlineStr">
        <is>
          <t>2026-10-23</t>
        </is>
      </c>
      <c r="B246" t="n">
        <v>2026</v>
      </c>
      <c r="C246" t="n">
        <v>43</v>
      </c>
      <c r="D246" t="n">
        <v>10</v>
      </c>
      <c r="E246" t="inlineStr">
        <is>
          <t>Fri</t>
        </is>
      </c>
      <c r="F246" t="n">
        <v>0</v>
      </c>
      <c r="G246" t="n">
        <v>-434.91</v>
      </c>
      <c r="H246" t="n">
        <v>-434.91</v>
      </c>
      <c r="I246" t="n">
        <v>-696915.61</v>
      </c>
    </row>
    <row r="247">
      <c r="A247" t="inlineStr">
        <is>
          <t>2026-10-26</t>
        </is>
      </c>
      <c r="B247" t="n">
        <v>2026</v>
      </c>
      <c r="C247" t="n">
        <v>44</v>
      </c>
      <c r="D247" t="n">
        <v>10</v>
      </c>
      <c r="E247" t="inlineStr">
        <is>
          <t>Mon</t>
        </is>
      </c>
      <c r="F247" t="n">
        <v>0</v>
      </c>
      <c r="G247" t="n">
        <v>-320.52</v>
      </c>
      <c r="H247" t="n">
        <v>-320.52</v>
      </c>
      <c r="I247" t="n">
        <v>-697236.13</v>
      </c>
    </row>
    <row r="248">
      <c r="A248" t="inlineStr">
        <is>
          <t>2026-10-27</t>
        </is>
      </c>
      <c r="B248" t="n">
        <v>2026</v>
      </c>
      <c r="C248" t="n">
        <v>44</v>
      </c>
      <c r="D248" t="n">
        <v>10</v>
      </c>
      <c r="E248" t="inlineStr">
        <is>
          <t>Tue</t>
        </is>
      </c>
      <c r="F248" t="n">
        <v>145722.47</v>
      </c>
      <c r="G248" t="n">
        <v>-419153.08</v>
      </c>
      <c r="H248" t="n">
        <v>-273430.61</v>
      </c>
      <c r="I248" t="n">
        <v>-970666.74</v>
      </c>
    </row>
    <row r="249">
      <c r="A249" t="inlineStr">
        <is>
          <t>2026-10-28</t>
        </is>
      </c>
      <c r="B249" t="n">
        <v>2026</v>
      </c>
      <c r="C249" t="n">
        <v>44</v>
      </c>
      <c r="D249" t="n">
        <v>10</v>
      </c>
      <c r="E249" t="inlineStr">
        <is>
          <t>Wed</t>
        </is>
      </c>
      <c r="F249" t="n">
        <v>211922.84</v>
      </c>
      <c r="G249" t="n">
        <v>-470</v>
      </c>
      <c r="H249" t="n">
        <v>211452.84</v>
      </c>
      <c r="I249" t="n">
        <v>-759213.9</v>
      </c>
    </row>
    <row r="250">
      <c r="A250" t="inlineStr">
        <is>
          <t>2026-10-29</t>
        </is>
      </c>
      <c r="B250" t="n">
        <v>2026</v>
      </c>
      <c r="C250" t="n">
        <v>44</v>
      </c>
      <c r="D250" t="n">
        <v>10</v>
      </c>
      <c r="E250" t="inlineStr">
        <is>
          <t>Thu</t>
        </is>
      </c>
      <c r="F250" t="n">
        <v>50299.89</v>
      </c>
      <c r="G250" t="n">
        <v>-176141</v>
      </c>
      <c r="H250" t="n">
        <v>-125841.11</v>
      </c>
      <c r="I250" t="n">
        <v>-885055.01</v>
      </c>
    </row>
    <row r="251">
      <c r="A251" t="inlineStr">
        <is>
          <t>2026-11-02</t>
        </is>
      </c>
      <c r="B251" t="n">
        <v>2026</v>
      </c>
      <c r="C251" t="n">
        <v>45</v>
      </c>
      <c r="D251" t="n">
        <v>11</v>
      </c>
      <c r="E251" t="inlineStr">
        <is>
          <t>Mon</t>
        </is>
      </c>
      <c r="F251" t="n">
        <v>31927.13</v>
      </c>
      <c r="G251" t="n">
        <v>-5253.23</v>
      </c>
      <c r="H251" t="n">
        <v>26673.9</v>
      </c>
      <c r="I251" t="n">
        <v>-858381.11</v>
      </c>
    </row>
    <row r="252">
      <c r="A252" t="inlineStr">
        <is>
          <t>2026-11-03</t>
        </is>
      </c>
      <c r="B252" t="n">
        <v>2026</v>
      </c>
      <c r="C252" t="n">
        <v>45</v>
      </c>
      <c r="D252" t="n">
        <v>11</v>
      </c>
      <c r="E252" t="inlineStr">
        <is>
          <t>Tue</t>
        </is>
      </c>
      <c r="F252" t="n">
        <v>193328.72</v>
      </c>
      <c r="G252" t="n">
        <v>-245097.2</v>
      </c>
      <c r="H252" t="n">
        <v>-51768.48</v>
      </c>
      <c r="I252" t="n">
        <v>-910149.59</v>
      </c>
    </row>
    <row r="253">
      <c r="A253" t="inlineStr">
        <is>
          <t>2026-11-04</t>
        </is>
      </c>
      <c r="B253" t="n">
        <v>2026</v>
      </c>
      <c r="C253" t="n">
        <v>45</v>
      </c>
      <c r="D253" t="n">
        <v>11</v>
      </c>
      <c r="E253" t="inlineStr">
        <is>
          <t>Wed</t>
        </is>
      </c>
      <c r="F253" t="n">
        <v>11060.37</v>
      </c>
      <c r="G253" t="n">
        <v>0</v>
      </c>
      <c r="H253" t="n">
        <v>11060.37</v>
      </c>
      <c r="I253" t="n">
        <v>-899089.22</v>
      </c>
    </row>
    <row r="254">
      <c r="A254" t="inlineStr">
        <is>
          <t>2026-11-05</t>
        </is>
      </c>
      <c r="B254" t="n">
        <v>2026</v>
      </c>
      <c r="C254" t="n">
        <v>45</v>
      </c>
      <c r="D254" t="n">
        <v>11</v>
      </c>
      <c r="E254" t="inlineStr">
        <is>
          <t>Thu</t>
        </is>
      </c>
      <c r="F254" t="n">
        <v>25279.01</v>
      </c>
      <c r="G254" t="n">
        <v>0</v>
      </c>
      <c r="H254" t="n">
        <v>25279.01</v>
      </c>
      <c r="I254" t="n">
        <v>-873810.21</v>
      </c>
    </row>
    <row r="255">
      <c r="A255" t="inlineStr">
        <is>
          <t>2026-11-06</t>
        </is>
      </c>
      <c r="B255" t="n">
        <v>2026</v>
      </c>
      <c r="C255" t="n">
        <v>45</v>
      </c>
      <c r="D255" t="n">
        <v>11</v>
      </c>
      <c r="E255" t="inlineStr">
        <is>
          <t>Fri</t>
        </is>
      </c>
      <c r="F255" t="n">
        <v>0</v>
      </c>
      <c r="G255" t="n">
        <v>-73</v>
      </c>
      <c r="H255" t="n">
        <v>-73</v>
      </c>
      <c r="I255" t="n">
        <v>-873883.21</v>
      </c>
    </row>
    <row r="259">
      <c r="A259" t="inlineStr">
        <is>
          <t>liq_parameter</t>
        </is>
      </c>
    </row>
    <row r="260">
      <c r="A260" t="inlineStr">
        <is>
          <t>jahr</t>
        </is>
      </c>
      <c r="B260" t="inlineStr">
        <is>
          <t>schluessel</t>
        </is>
      </c>
      <c r="C260" t="inlineStr">
        <is>
          <t>wert</t>
        </is>
      </c>
      <c r="D260" t="inlineStr">
        <is>
          <t>einheit</t>
        </is>
      </c>
      <c r="E260" t="inlineStr">
        <is>
          <t>beschreibung</t>
        </is>
      </c>
    </row>
    <row r="261">
      <c r="A261" t="n">
        <v>2026</v>
      </c>
      <c r="B261" t="inlineStr">
        <is>
          <t>dso_tage</t>
        </is>
      </c>
      <c r="C261" t="n">
        <v>119</v>
      </c>
      <c r="D261" t="inlineStr">
        <is>
          <t>Tage</t>
        </is>
      </c>
      <c r="E261" t="inlineStr">
        <is>
          <t>Debitorenlaufzeit: von der Umsatzbuchung bis zum Zahlungseingang. Kalibriert an den Ist-Bewegungen.</t>
        </is>
      </c>
    </row>
    <row r="262">
      <c r="A262" t="n">
        <v>2026</v>
      </c>
      <c r="B262" t="inlineStr">
        <is>
          <t>dpo_tage</t>
        </is>
      </c>
      <c r="C262" t="n">
        <v>45</v>
      </c>
      <c r="D262" t="inlineStr">
        <is>
          <t>Tage</t>
        </is>
      </c>
      <c r="E262" t="inlineStr">
        <is>
          <t>Kreditorenlaufzeit: von der Kostenentstehung bis zur Auszahlung der Sachkosten. Kalibriert.</t>
        </is>
      </c>
    </row>
    <row r="263">
      <c r="A263" t="n">
        <v>2026</v>
      </c>
      <c r="B263" t="inlineStr">
        <is>
          <t>systematischer_zufluss</t>
        </is>
      </c>
      <c r="C263" t="n">
        <v>209759.08</v>
      </c>
      <c r="D263" t="inlineStr">
        <is>
          <t>EUR/Monat</t>
        </is>
      </c>
      <c r="E263" t="inlineStr">
        <is>
          <t>Regelmaessiger Zufluss, den das Modell weder Umsatz noch Anzahlung zuordnen kann. Vermutlich Factoring.</t>
        </is>
      </c>
    </row>
    <row r="264">
      <c r="A264" t="n">
        <v>2026</v>
      </c>
      <c r="B264" t="inlineStr">
        <is>
          <t>realisierungsquote_az</t>
        </is>
      </c>
      <c r="C264" t="n">
        <v>1</v>
      </c>
      <c r="D264" t="inlineStr">
        <is>
          <t>Anteil</t>
        </is>
      </c>
      <c r="E264" t="inlineStr">
        <is>
          <t>Anteil der geplanten Anzahlungseingaenge, der tatsaechlich zufliesst.</t>
        </is>
      </c>
    </row>
    <row r="265">
      <c r="A265" t="n">
        <v>2026</v>
      </c>
      <c r="B265" t="inlineStr">
        <is>
          <t>tage_je_monat</t>
        </is>
      </c>
      <c r="C265" t="n">
        <v>30.4375</v>
      </c>
      <c r="D265" t="inlineStr">
        <is>
          <t>Tage</t>
        </is>
      </c>
      <c r="E265" t="inlineStr">
        <is>
          <t>365,25 / 12. Umrechnung der Zahlungsziele in Monatsversaetze.</t>
        </is>
      </c>
    </row>
    <row r="266">
      <c r="A266" t="n">
        <v>2026</v>
      </c>
      <c r="B266" t="inlineStr">
        <is>
          <t>personal_monat</t>
        </is>
      </c>
      <c r="C266" t="n">
        <v>333887.39</v>
      </c>
      <c r="D266" t="inlineStr">
        <is>
          <t>EUR/Monat</t>
        </is>
      </c>
      <c r="E266" t="inlineStr">
        <is>
          <t>Personalaufwand Jahresforecast / 12. Wird im Entstehungsmonat gezahlt, daher ohne Zahlungsziel.</t>
        </is>
      </c>
    </row>
    <row r="267">
      <c r="A267" t="n">
        <v>2026</v>
      </c>
      <c r="B267" t="inlineStr">
        <is>
          <t>abschreibung_monat</t>
        </is>
      </c>
      <c r="C267" t="n">
        <v>9455.99</v>
      </c>
      <c r="D267" t="inlineStr">
        <is>
          <t>EUR/Monat</t>
        </is>
      </c>
      <c r="E267" t="inlineStr">
        <is>
          <t>Nicht zahlungswirksam, wird aus den Sachkosten herausgerechnet.</t>
        </is>
      </c>
    </row>
    <row r="268">
      <c r="A268" t="n">
        <v>2026</v>
      </c>
      <c r="B268" t="inlineStr">
        <is>
          <t>zins_steuer_monat</t>
        </is>
      </c>
      <c r="C268" t="n">
        <v>4058.81</v>
      </c>
      <c r="D268" t="inlineStr">
        <is>
          <t>EUR/Monat</t>
        </is>
      </c>
      <c r="E268" t="inlineStr">
        <is>
          <t>Zinsaufwand abzueglich Zinsertrag zuzueglich sonstige Steuern.</t>
        </is>
      </c>
    </row>
    <row r="269">
      <c r="A269" t="n">
        <v>2026</v>
      </c>
      <c r="B269" t="inlineStr">
        <is>
          <t>bestand_angeforderte_az_start</t>
        </is>
      </c>
      <c r="C269" t="n">
        <v>1476386.65</v>
      </c>
      <c r="D269" t="inlineStr">
        <is>
          <t>EUR</t>
        </is>
      </c>
      <c r="E269" t="inlineStr">
        <is>
          <t>Bestand zum 31.07.2026. Laeuft im Modell bis Dezember gleichmaessig aus.</t>
        </is>
      </c>
    </row>
    <row r="270">
      <c r="A270" t="n">
        <v>2026</v>
      </c>
      <c r="B270" t="inlineStr">
        <is>
          <t>tilgung_monat</t>
        </is>
      </c>
      <c r="C270" t="n">
        <v>0</v>
      </c>
      <c r="D270" t="inlineStr">
        <is>
          <t>EUR/Monat</t>
        </is>
      </c>
      <c r="E270" t="inlineStr">
        <is>
          <t>Tilgungsplan des Konzerndarlehens liegt noch nicht vor.</t>
        </is>
      </c>
    </row>
    <row r="271">
      <c r="A271" t="n">
        <v>2026</v>
      </c>
      <c r="B271" t="inlineStr">
        <is>
          <t>investition_monat</t>
        </is>
      </c>
      <c r="C271" t="n">
        <v>0</v>
      </c>
      <c r="D271" t="inlineStr">
        <is>
          <t>EUR/Monat</t>
        </is>
      </c>
      <c r="E271" t="inlineStr">
        <is>
          <t>Annahme: kein signifikantes Investment.</t>
        </is>
      </c>
    </row>
    <row r="272">
      <c r="A272" t="n">
        <v>2026</v>
      </c>
      <c r="B272" t="inlineStr">
        <is>
          <t>umsatzsteuer_aktiv</t>
        </is>
      </c>
      <c r="C272" t="n">
        <v>0</v>
      </c>
      <c r="D272" t="inlineStr">
        <is>
          <t>Schalter</t>
        </is>
      </c>
      <c r="E272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273">
      <c r="A273" t="n">
        <v>2026</v>
      </c>
      <c r="B273" t="inlineStr">
        <is>
          <t>ust_satz</t>
        </is>
      </c>
      <c r="C273" t="n">
        <v>0.19</v>
      </c>
      <c r="D273" t="inlineStr">
        <is>
          <t>Anteil</t>
        </is>
      </c>
      <c r="E273" t="inlineStr">
        <is>
          <t>Regelsteuersatz.</t>
        </is>
      </c>
    </row>
    <row r="274">
      <c r="A274" t="n">
        <v>2026</v>
      </c>
      <c r="B274" t="inlineStr">
        <is>
          <t>ust_verzug_monate</t>
        </is>
      </c>
      <c r="C274" t="n">
        <v>2</v>
      </c>
      <c r="D274" t="inlineStr">
        <is>
          <t>Monate</t>
        </is>
      </c>
      <c r="E274" t="inlineStr">
        <is>
          <t>Voranmeldung zuzueglich Dauerfristverlaengerung.</t>
        </is>
      </c>
    </row>
    <row r="275">
      <c r="A275" t="n">
        <v>2026</v>
      </c>
      <c r="B275" t="inlineStr">
        <is>
          <t>startmonat_plan</t>
        </is>
      </c>
      <c r="C275" t="n">
        <v>9</v>
      </c>
      <c r="D275" t="inlineStr">
        <is>
          <t>Monat</t>
        </is>
      </c>
      <c r="E275" t="inlineStr">
        <is>
          <t>Erster Planmonat. Davor gelten Ist-Werte.</t>
        </is>
      </c>
    </row>
    <row r="276">
      <c r="A276" t="n">
        <v>2026</v>
      </c>
      <c r="B276" t="inlineStr">
        <is>
          <t>startbestand</t>
        </is>
      </c>
      <c r="C276" t="n">
        <v>1944327.5</v>
      </c>
      <c r="D276" t="inlineStr">
        <is>
          <t>EUR</t>
        </is>
      </c>
      <c r="E276" t="inlineStr">
        <is>
          <t>Cash-Pool-Saldo zum 31.07.2026. Negativ = Verbindlichkeit gegenueber dem Mutterkonzern.</t>
        </is>
      </c>
    </row>
    <row r="280">
      <c r="A280" t="inlineStr">
        <is>
          <t>offener_posten</t>
        </is>
      </c>
    </row>
    <row r="281">
      <c r="A281" t="inlineStr">
        <is>
          <t>posten_id</t>
        </is>
      </c>
      <c r="B281" t="inlineStr">
        <is>
          <t>art</t>
        </is>
      </c>
      <c r="C281" t="inlineStr">
        <is>
          <t>buchungskreis</t>
        </is>
      </c>
      <c r="D281" t="inlineStr">
        <is>
          <t>konto</t>
        </is>
      </c>
      <c r="E281" t="inlineStr">
        <is>
          <t>belegart</t>
        </is>
      </c>
      <c r="F281" t="inlineStr">
        <is>
          <t>belegnummer</t>
        </is>
      </c>
      <c r="G281" t="inlineStr">
        <is>
          <t>belegdatum</t>
        </is>
      </c>
      <c r="H281" t="inlineStr">
        <is>
          <t>nettofaelligkeit</t>
        </is>
      </c>
      <c r="I281" t="inlineStr">
        <is>
          <t>betrag</t>
        </is>
      </c>
      <c r="J281" t="inlineStr">
        <is>
          <t>waehrung</t>
        </is>
      </c>
      <c r="K281" t="inlineStr">
        <is>
          <t>ausgleichsdatum</t>
        </is>
      </c>
      <c r="L281" t="inlineStr">
        <is>
          <t>text</t>
        </is>
      </c>
      <c r="M281" t="inlineStr">
        <is>
          <t>auftrag</t>
        </is>
      </c>
      <c r="N281" t="inlineStr">
        <is>
          <t>stand</t>
        </is>
      </c>
    </row>
    <row r="282">
      <c r="A282" t="n">
        <v>1381</v>
      </c>
      <c r="B282" t="inlineStr">
        <is>
          <t>FORDERUNG</t>
        </is>
      </c>
      <c r="C282" t="inlineStr">
        <is>
          <t>4102.0</t>
        </is>
      </c>
      <c r="D282" t="inlineStr">
        <is>
          <t>8910190602.0</t>
        </is>
      </c>
      <c r="E282" t="inlineStr">
        <is>
          <t>DB</t>
        </is>
      </c>
      <c r="F282" t="inlineStr">
        <is>
          <t>4719000434.0</t>
        </is>
      </c>
      <c r="G282" t="inlineStr">
        <is>
          <t>2026-08-05</t>
        </is>
      </c>
      <c r="H282" t="inlineStr">
        <is>
          <t>2026-09-04</t>
        </is>
      </c>
      <c r="I282" t="n">
        <v>552620.95</v>
      </c>
      <c r="J282" t="inlineStr">
        <is>
          <t>EUR</t>
        </is>
      </c>
      <c r="L282" t="inlineStr">
        <is>
          <t>*157455 7.AR Schadstoffsanierung</t>
        </is>
      </c>
      <c r="M282" t="inlineStr">
        <is>
          <t>157455</t>
        </is>
      </c>
      <c r="N282" t="inlineStr">
        <is>
          <t>2026-08-20</t>
        </is>
      </c>
    </row>
    <row r="283">
      <c r="A283" t="n">
        <v>1382</v>
      </c>
      <c r="B283" t="inlineStr">
        <is>
          <t>FORDERUNG</t>
        </is>
      </c>
      <c r="C283" t="inlineStr">
        <is>
          <t>4102.0</t>
        </is>
      </c>
      <c r="D283" t="inlineStr">
        <is>
          <t>8910117607.0</t>
        </is>
      </c>
      <c r="E283" t="inlineStr">
        <is>
          <t>DB</t>
        </is>
      </c>
      <c r="F283" t="inlineStr">
        <is>
          <t>4719000247.0</t>
        </is>
      </c>
      <c r="G283" t="inlineStr">
        <is>
          <t>2026-05-26</t>
        </is>
      </c>
      <c r="H283" t="inlineStr">
        <is>
          <t>2026-07-25</t>
        </is>
      </c>
      <c r="I283" t="n">
        <v>299584.91</v>
      </c>
      <c r="J283" t="inlineStr">
        <is>
          <t>EUR</t>
        </is>
      </c>
      <c r="L283" t="inlineStr">
        <is>
          <t>*157414 - Krandemontage 05.24 - 05.26</t>
        </is>
      </c>
      <c r="M283" t="inlineStr">
        <is>
          <t>157414</t>
        </is>
      </c>
      <c r="N283" t="inlineStr">
        <is>
          <t>2026-08-20</t>
        </is>
      </c>
    </row>
    <row r="284">
      <c r="A284" t="n">
        <v>1383</v>
      </c>
      <c r="B284" t="inlineStr">
        <is>
          <t>FORDERUNG</t>
        </is>
      </c>
      <c r="C284" t="inlineStr">
        <is>
          <t>4102.0</t>
        </is>
      </c>
      <c r="D284" t="inlineStr">
        <is>
          <t>8910190362.0</t>
        </is>
      </c>
      <c r="E284" t="inlineStr">
        <is>
          <t>DB</t>
        </is>
      </c>
      <c r="F284" t="inlineStr">
        <is>
          <t>4719000410.0</t>
        </is>
      </c>
      <c r="G284" t="inlineStr">
        <is>
          <t>2026-07-17</t>
        </is>
      </c>
      <c r="H284" t="inlineStr">
        <is>
          <t>2026-08-16</t>
        </is>
      </c>
      <c r="I284" t="n">
        <v>271700.8</v>
      </c>
      <c r="J284" t="inlineStr">
        <is>
          <t>EUR</t>
        </is>
      </c>
      <c r="L284" t="inlineStr">
        <is>
          <t>*157463 - Rückbau Maschinenhaus</t>
        </is>
      </c>
      <c r="M284" t="inlineStr">
        <is>
          <t>157463</t>
        </is>
      </c>
      <c r="N284" t="inlineStr">
        <is>
          <t>2026-08-20</t>
        </is>
      </c>
    </row>
    <row r="285">
      <c r="A285" t="n">
        <v>1384</v>
      </c>
      <c r="B285" t="inlineStr">
        <is>
          <t>FORDERUNG</t>
        </is>
      </c>
      <c r="C285" t="inlineStr">
        <is>
          <t>4102.0</t>
        </is>
      </c>
      <c r="D285" t="inlineStr">
        <is>
          <t>8910190504.0</t>
        </is>
      </c>
      <c r="E285" t="inlineStr">
        <is>
          <t>DB</t>
        </is>
      </c>
      <c r="F285" t="inlineStr">
        <is>
          <t>4719000437.0</t>
        </is>
      </c>
      <c r="G285" t="inlineStr">
        <is>
          <t>2026-08-05</t>
        </is>
      </c>
      <c r="H285" t="inlineStr">
        <is>
          <t>2026-10-04</t>
        </is>
      </c>
      <c r="I285" t="n">
        <v>241140.49</v>
      </c>
      <c r="J285" t="inlineStr">
        <is>
          <t>EUR</t>
        </is>
      </c>
      <c r="L285" t="inlineStr">
        <is>
          <t>*157451 10.AR Sanierung Campus Golzheim</t>
        </is>
      </c>
      <c r="M285" t="inlineStr">
        <is>
          <t>157451</t>
        </is>
      </c>
      <c r="N285" t="inlineStr">
        <is>
          <t>2026-08-20</t>
        </is>
      </c>
    </row>
    <row r="286">
      <c r="A286" t="n">
        <v>1385</v>
      </c>
      <c r="B286" t="inlineStr">
        <is>
          <t>FORDERUNG</t>
        </is>
      </c>
      <c r="C286" t="inlineStr">
        <is>
          <t>4102.0</t>
        </is>
      </c>
      <c r="D286" t="inlineStr">
        <is>
          <t>8910190191.0</t>
        </is>
      </c>
      <c r="E286" t="inlineStr">
        <is>
          <t>DB</t>
        </is>
      </c>
      <c r="F286" t="inlineStr">
        <is>
          <t>4719000415.0</t>
        </is>
      </c>
      <c r="G286" t="inlineStr">
        <is>
          <t>2026-07-16</t>
        </is>
      </c>
      <c r="H286" t="inlineStr">
        <is>
          <t>2026-08-15</t>
        </is>
      </c>
      <c r="I286" t="n">
        <v>204242.25</v>
      </c>
      <c r="J286" t="inlineStr">
        <is>
          <t>EUR</t>
        </is>
      </c>
      <c r="L286" t="inlineStr">
        <is>
          <t>*608263 - Rückbau Abraumförderbrücke</t>
        </is>
      </c>
      <c r="M286" t="inlineStr">
        <is>
          <t>608263</t>
        </is>
      </c>
      <c r="N286" t="inlineStr">
        <is>
          <t>2026-08-20</t>
        </is>
      </c>
    </row>
    <row r="287">
      <c r="A287" t="n">
        <v>1386</v>
      </c>
      <c r="B287" t="inlineStr">
        <is>
          <t>FORDERUNG</t>
        </is>
      </c>
      <c r="C287" t="inlineStr">
        <is>
          <t>4102.0</t>
        </is>
      </c>
      <c r="D287" t="inlineStr">
        <is>
          <t>8910190191.0</t>
        </is>
      </c>
      <c r="E287" t="inlineStr">
        <is>
          <t>DB</t>
        </is>
      </c>
      <c r="F287" t="inlineStr">
        <is>
          <t>4719000350.0</t>
        </is>
      </c>
      <c r="G287" t="inlineStr">
        <is>
          <t>2026-06-30</t>
        </is>
      </c>
      <c r="H287" t="inlineStr">
        <is>
          <t>2026-07-30</t>
        </is>
      </c>
      <c r="I287" t="n">
        <v>184376.95</v>
      </c>
      <c r="J287" t="inlineStr">
        <is>
          <t>EUR</t>
        </is>
      </c>
      <c r="L287" t="inlineStr">
        <is>
          <t>*608263 Rückbau Abraumförderbrücke</t>
        </is>
      </c>
      <c r="M287" t="inlineStr">
        <is>
          <t>608263</t>
        </is>
      </c>
      <c r="N287" t="inlineStr">
        <is>
          <t>2026-08-20</t>
        </is>
      </c>
    </row>
    <row r="288">
      <c r="A288" t="n">
        <v>1387</v>
      </c>
      <c r="B288" t="inlineStr">
        <is>
          <t>FORDERUNG</t>
        </is>
      </c>
      <c r="C288" t="inlineStr">
        <is>
          <t>4102.0</t>
        </is>
      </c>
      <c r="D288" t="inlineStr">
        <is>
          <t>8910156854.0</t>
        </is>
      </c>
      <c r="E288" t="inlineStr">
        <is>
          <t>DB</t>
        </is>
      </c>
      <c r="F288" t="inlineStr">
        <is>
          <t>4719000426.0</t>
        </is>
      </c>
      <c r="G288" t="inlineStr">
        <is>
          <t>2026-07-31</t>
        </is>
      </c>
      <c r="H288" t="inlineStr">
        <is>
          <t>2026-08-22</t>
        </is>
      </c>
      <c r="I288" t="n">
        <v>108571.48</v>
      </c>
      <c r="J288" t="inlineStr">
        <is>
          <t>EUR</t>
        </is>
      </c>
      <c r="L288" t="inlineStr">
        <is>
          <t>*608246 15.AR Rückbau Kohlebunker</t>
        </is>
      </c>
      <c r="M288" t="inlineStr">
        <is>
          <t>608246</t>
        </is>
      </c>
      <c r="N288" t="inlineStr">
        <is>
          <t>2026-08-20</t>
        </is>
      </c>
    </row>
    <row r="289">
      <c r="A289" t="n">
        <v>1388</v>
      </c>
      <c r="B289" t="inlineStr">
        <is>
          <t>FORDERUNG</t>
        </is>
      </c>
      <c r="C289" t="inlineStr">
        <is>
          <t>4102.0</t>
        </is>
      </c>
      <c r="D289" t="inlineStr">
        <is>
          <t>8910188848.0</t>
        </is>
      </c>
      <c r="E289" t="inlineStr">
        <is>
          <t>DB</t>
        </is>
      </c>
      <c r="F289" t="inlineStr">
        <is>
          <t>4719000593.0</t>
        </is>
      </c>
      <c r="G289" t="inlineStr">
        <is>
          <t>2025-12-15</t>
        </is>
      </c>
      <c r="H289" t="inlineStr">
        <is>
          <t>2026-01-14</t>
        </is>
      </c>
      <c r="I289" t="n">
        <v>76785.46000000001</v>
      </c>
      <c r="J289" t="inlineStr">
        <is>
          <t>EUR</t>
        </is>
      </c>
      <c r="L289" t="inlineStr">
        <is>
          <t>*658225 - SR Abbrucharbeiten</t>
        </is>
      </c>
      <c r="M289" t="inlineStr">
        <is>
          <t>658225</t>
        </is>
      </c>
      <c r="N289" t="inlineStr">
        <is>
          <t>2026-08-20</t>
        </is>
      </c>
    </row>
    <row r="290">
      <c r="A290" t="n">
        <v>1389</v>
      </c>
      <c r="B290" t="inlineStr">
        <is>
          <t>FORDERUNG</t>
        </is>
      </c>
      <c r="C290" t="inlineStr">
        <is>
          <t>4102.0</t>
        </is>
      </c>
      <c r="D290" t="inlineStr">
        <is>
          <t>8910190747.0</t>
        </is>
      </c>
      <c r="E290" t="inlineStr">
        <is>
          <t>DB</t>
        </is>
      </c>
      <c r="F290" t="inlineStr">
        <is>
          <t>4719000428.0</t>
        </is>
      </c>
      <c r="G290" t="inlineStr">
        <is>
          <t>2026-08-03</t>
        </is>
      </c>
      <c r="H290" t="inlineStr">
        <is>
          <t>2026-09-02</t>
        </is>
      </c>
      <c r="I290" t="n">
        <v>73729.58</v>
      </c>
      <c r="J290" t="inlineStr">
        <is>
          <t>EUR</t>
        </is>
      </c>
      <c r="L290" t="inlineStr">
        <is>
          <t>*608271 Tagebau Jänschwalde</t>
        </is>
      </c>
      <c r="M290" t="inlineStr">
        <is>
          <t>608271</t>
        </is>
      </c>
      <c r="N290" t="inlineStr">
        <is>
          <t>2026-08-20</t>
        </is>
      </c>
    </row>
    <row r="291">
      <c r="A291" t="n">
        <v>1390</v>
      </c>
      <c r="B291" t="inlineStr">
        <is>
          <t>FORDERUNG</t>
        </is>
      </c>
      <c r="C291" t="inlineStr">
        <is>
          <t>4102.0</t>
        </is>
      </c>
      <c r="D291" t="inlineStr">
        <is>
          <t>8910184197.0</t>
        </is>
      </c>
      <c r="E291" t="inlineStr">
        <is>
          <t>DB</t>
        </is>
      </c>
      <c r="F291" t="inlineStr">
        <is>
          <t>4719000420.0</t>
        </is>
      </c>
      <c r="G291" t="inlineStr">
        <is>
          <t>2026-07-27</t>
        </is>
      </c>
      <c r="H291" t="inlineStr">
        <is>
          <t>2026-08-26</t>
        </is>
      </c>
      <c r="I291" t="n">
        <v>66796.97</v>
      </c>
      <c r="J291" t="inlineStr">
        <is>
          <t>EUR</t>
        </is>
      </c>
      <c r="L291" t="inlineStr">
        <is>
          <t>*658276 - 2. AR</t>
        </is>
      </c>
      <c r="M291" t="inlineStr">
        <is>
          <t>658276</t>
        </is>
      </c>
      <c r="N291" t="inlineStr">
        <is>
          <t>2026-08-20</t>
        </is>
      </c>
    </row>
    <row r="292">
      <c r="A292" t="n">
        <v>1391</v>
      </c>
      <c r="B292" t="inlineStr">
        <is>
          <t>FORDERUNG</t>
        </is>
      </c>
      <c r="C292" t="inlineStr">
        <is>
          <t>4102.0</t>
        </is>
      </c>
      <c r="D292" t="inlineStr">
        <is>
          <t>8910184197.0</t>
        </is>
      </c>
      <c r="E292" t="inlineStr">
        <is>
          <t>DB</t>
        </is>
      </c>
      <c r="F292" t="inlineStr">
        <is>
          <t>4719000342.0</t>
        </is>
      </c>
      <c r="G292" t="inlineStr">
        <is>
          <t>2026-06-29</t>
        </is>
      </c>
      <c r="H292" t="inlineStr">
        <is>
          <t>2026-07-29</t>
        </is>
      </c>
      <c r="I292" t="n">
        <v>65892.57000000001</v>
      </c>
      <c r="J292" t="inlineStr">
        <is>
          <t>EUR</t>
        </is>
      </c>
      <c r="L292" t="inlineStr">
        <is>
          <t>*658276 1.AR Abbrucharbeiten</t>
        </is>
      </c>
      <c r="M292" t="inlineStr">
        <is>
          <t>658276</t>
        </is>
      </c>
      <c r="N292" t="inlineStr">
        <is>
          <t>2026-08-20</t>
        </is>
      </c>
    </row>
    <row r="293">
      <c r="A293" t="n">
        <v>1392</v>
      </c>
      <c r="B293" t="inlineStr">
        <is>
          <t>FORDERUNG</t>
        </is>
      </c>
      <c r="C293" t="inlineStr">
        <is>
          <t>4102.0</t>
        </is>
      </c>
      <c r="D293" t="inlineStr">
        <is>
          <t>8910190517.0</t>
        </is>
      </c>
      <c r="E293" t="inlineStr">
        <is>
          <t>DB</t>
        </is>
      </c>
      <c r="F293" t="inlineStr">
        <is>
          <t>4719000388.0</t>
        </is>
      </c>
      <c r="G293" t="inlineStr">
        <is>
          <t>2026-07-14</t>
        </is>
      </c>
      <c r="H293" t="inlineStr">
        <is>
          <t>2026-08-13</t>
        </is>
      </c>
      <c r="I293" t="n">
        <v>57663.24</v>
      </c>
      <c r="J293" t="inlineStr">
        <is>
          <t>EUR</t>
        </is>
      </c>
      <c r="L293" t="inlineStr">
        <is>
          <t>*307442 - Schwimmhalle Entkernung und Demontage</t>
        </is>
      </c>
      <c r="M293" t="inlineStr">
        <is>
          <t>307442</t>
        </is>
      </c>
      <c r="N293" t="inlineStr">
        <is>
          <t>2026-08-20</t>
        </is>
      </c>
    </row>
    <row r="294">
      <c r="A294" t="n">
        <v>1393</v>
      </c>
      <c r="B294" t="inlineStr">
        <is>
          <t>FORDERUNG</t>
        </is>
      </c>
      <c r="C294" t="inlineStr">
        <is>
          <t>4102.0</t>
        </is>
      </c>
      <c r="D294" t="inlineStr">
        <is>
          <t>8910190191.0</t>
        </is>
      </c>
      <c r="E294" t="inlineStr">
        <is>
          <t>DB</t>
        </is>
      </c>
      <c r="F294" t="inlineStr">
        <is>
          <t>4719000432.0</t>
        </is>
      </c>
      <c r="G294" t="inlineStr">
        <is>
          <t>2026-08-04</t>
        </is>
      </c>
      <c r="H294" t="inlineStr">
        <is>
          <t>2026-09-03</t>
        </is>
      </c>
      <c r="I294" t="n">
        <v>52052</v>
      </c>
      <c r="J294" t="inlineStr">
        <is>
          <t>EUR</t>
        </is>
      </c>
      <c r="L294" t="inlineStr">
        <is>
          <t>*608263 Rückbau Abraumförderbrücke</t>
        </is>
      </c>
      <c r="M294" t="inlineStr">
        <is>
          <t>608263</t>
        </is>
      </c>
      <c r="N294" t="inlineStr">
        <is>
          <t>2026-08-20</t>
        </is>
      </c>
    </row>
    <row r="295">
      <c r="A295" t="n">
        <v>1394</v>
      </c>
      <c r="B295" t="inlineStr">
        <is>
          <t>FORDERUNG</t>
        </is>
      </c>
      <c r="C295" t="inlineStr">
        <is>
          <t>4102.0</t>
        </is>
      </c>
      <c r="D295" t="inlineStr">
        <is>
          <t>8910190191.0</t>
        </is>
      </c>
      <c r="E295" t="inlineStr">
        <is>
          <t>DB</t>
        </is>
      </c>
      <c r="F295" t="inlineStr">
        <is>
          <t>4719000349.0</t>
        </is>
      </c>
      <c r="G295" t="inlineStr">
        <is>
          <t>2026-06-30</t>
        </is>
      </c>
      <c r="H295" t="inlineStr">
        <is>
          <t>2026-07-30</t>
        </is>
      </c>
      <c r="I295" t="n">
        <v>44187</v>
      </c>
      <c r="J295" t="inlineStr">
        <is>
          <t>EUR</t>
        </is>
      </c>
      <c r="L295" t="inlineStr">
        <is>
          <t>*608263 Rückbau Abraumförderbrücke</t>
        </is>
      </c>
      <c r="M295" t="inlineStr">
        <is>
          <t>608263</t>
        </is>
      </c>
      <c r="N295" t="inlineStr">
        <is>
          <t>2026-08-20</t>
        </is>
      </c>
    </row>
    <row r="296">
      <c r="A296" t="n">
        <v>1395</v>
      </c>
      <c r="B296" t="inlineStr">
        <is>
          <t>FORDERUNG</t>
        </is>
      </c>
      <c r="C296" t="inlineStr">
        <is>
          <t>4102.0</t>
        </is>
      </c>
      <c r="D296" t="inlineStr">
        <is>
          <t>8910117607.0</t>
        </is>
      </c>
      <c r="E296" t="inlineStr">
        <is>
          <t>DB</t>
        </is>
      </c>
      <c r="F296" t="inlineStr">
        <is>
          <t>4719000411.0</t>
        </is>
      </c>
      <c r="G296" t="inlineStr">
        <is>
          <t>2026-07-16</t>
        </is>
      </c>
      <c r="H296" t="inlineStr">
        <is>
          <t>2026-09-14</t>
        </is>
      </c>
      <c r="I296" t="n">
        <v>44030</v>
      </c>
      <c r="J296" t="inlineStr">
        <is>
          <t>EUR</t>
        </is>
      </c>
      <c r="L296" t="inlineStr">
        <is>
          <t>*157461 - Rückbau Brücke</t>
        </is>
      </c>
      <c r="M296" t="inlineStr">
        <is>
          <t>157461</t>
        </is>
      </c>
      <c r="N296" t="inlineStr">
        <is>
          <t>2026-08-20</t>
        </is>
      </c>
    </row>
    <row r="297">
      <c r="A297" t="n">
        <v>1396</v>
      </c>
      <c r="B297" t="inlineStr">
        <is>
          <t>FORDERUNG</t>
        </is>
      </c>
      <c r="C297" t="inlineStr">
        <is>
          <t>4102.0</t>
        </is>
      </c>
      <c r="D297" t="inlineStr">
        <is>
          <t>8910117568.0</t>
        </is>
      </c>
      <c r="E297" t="inlineStr">
        <is>
          <t>DB</t>
        </is>
      </c>
      <c r="F297" t="inlineStr">
        <is>
          <t>4719000421.0</t>
        </is>
      </c>
      <c r="G297" t="inlineStr">
        <is>
          <t>2026-07-28</t>
        </is>
      </c>
      <c r="H297" t="inlineStr">
        <is>
          <t>2026-08-27</t>
        </is>
      </c>
      <c r="I297" t="n">
        <v>38973.71</v>
      </c>
      <c r="J297" t="inlineStr">
        <is>
          <t>EUR</t>
        </is>
      </c>
      <c r="L297" t="inlineStr">
        <is>
          <t>*307447 - GU RE30-2026-0109</t>
        </is>
      </c>
      <c r="M297" t="inlineStr">
        <is>
          <t>307447</t>
        </is>
      </c>
      <c r="N297" t="inlineStr">
        <is>
          <t>2026-08-20</t>
        </is>
      </c>
    </row>
    <row r="298">
      <c r="A298" t="n">
        <v>1397</v>
      </c>
      <c r="B298" t="inlineStr">
        <is>
          <t>FORDERUNG</t>
        </is>
      </c>
      <c r="C298" t="inlineStr">
        <is>
          <t>4102.0</t>
        </is>
      </c>
      <c r="D298" t="inlineStr">
        <is>
          <t>8910146937.0</t>
        </is>
      </c>
      <c r="E298" t="inlineStr">
        <is>
          <t>DB</t>
        </is>
      </c>
      <c r="F298" t="inlineStr">
        <is>
          <t>4719000429.0</t>
        </is>
      </c>
      <c r="G298" t="inlineStr">
        <is>
          <t>2026-08-03</t>
        </is>
      </c>
      <c r="H298" t="inlineStr">
        <is>
          <t>2026-09-02</t>
        </is>
      </c>
      <c r="I298" t="n">
        <v>27258.48</v>
      </c>
      <c r="J298" t="inlineStr">
        <is>
          <t>EUR</t>
        </is>
      </c>
      <c r="L298" t="inlineStr">
        <is>
          <t>*608270 Tagebau Jänschwalde</t>
        </is>
      </c>
      <c r="M298" t="inlineStr">
        <is>
          <t>608270</t>
        </is>
      </c>
      <c r="N298" t="inlineStr">
        <is>
          <t>2026-08-20</t>
        </is>
      </c>
    </row>
    <row r="299">
      <c r="A299" t="n">
        <v>1398</v>
      </c>
      <c r="B299" t="inlineStr">
        <is>
          <t>FORDERUNG</t>
        </is>
      </c>
      <c r="C299" t="inlineStr">
        <is>
          <t>4102.0</t>
        </is>
      </c>
      <c r="D299" t="inlineStr">
        <is>
          <t>8910184196.0</t>
        </is>
      </c>
      <c r="E299" t="inlineStr">
        <is>
          <t>DB</t>
        </is>
      </c>
      <c r="F299" t="inlineStr">
        <is>
          <t>4719000433.0</t>
        </is>
      </c>
      <c r="G299" t="inlineStr">
        <is>
          <t>2026-07-31</t>
        </is>
      </c>
      <c r="H299" t="inlineStr">
        <is>
          <t>2026-08-30</t>
        </is>
      </c>
      <c r="I299" t="n">
        <v>23800</v>
      </c>
      <c r="J299" t="inlineStr">
        <is>
          <t>EUR</t>
        </is>
      </c>
      <c r="L299" t="inlineStr">
        <is>
          <t>*307438 Rückbau UW Bruchsal</t>
        </is>
      </c>
      <c r="M299" t="inlineStr">
        <is>
          <t>307438</t>
        </is>
      </c>
      <c r="N299" t="inlineStr">
        <is>
          <t>2026-08-20</t>
        </is>
      </c>
    </row>
    <row r="300">
      <c r="A300" t="n">
        <v>1399</v>
      </c>
      <c r="B300" t="inlineStr">
        <is>
          <t>FORDERUNG</t>
        </is>
      </c>
      <c r="C300" t="inlineStr">
        <is>
          <t>4102.0</t>
        </is>
      </c>
      <c r="D300" t="inlineStr">
        <is>
          <t>8910120461.0</t>
        </is>
      </c>
      <c r="E300" t="inlineStr">
        <is>
          <t>DB</t>
        </is>
      </c>
      <c r="F300" t="inlineStr">
        <is>
          <t>4719000418.0</t>
        </is>
      </c>
      <c r="G300" t="inlineStr">
        <is>
          <t>2026-07-30</t>
        </is>
      </c>
      <c r="H300" t="inlineStr">
        <is>
          <t>2026-08-20</t>
        </is>
      </c>
      <c r="I300" t="n">
        <v>15470</v>
      </c>
      <c r="J300" t="inlineStr">
        <is>
          <t>EUR</t>
        </is>
      </c>
      <c r="L300" t="inlineStr">
        <is>
          <t>*607989 - Kleinaufträge Region Ost</t>
        </is>
      </c>
      <c r="M300" t="inlineStr">
        <is>
          <t>607989</t>
        </is>
      </c>
      <c r="N300" t="inlineStr">
        <is>
          <t>2026-08-20</t>
        </is>
      </c>
    </row>
    <row r="301">
      <c r="A301" t="n">
        <v>1400</v>
      </c>
      <c r="B301" t="inlineStr">
        <is>
          <t>FORDERUNG</t>
        </is>
      </c>
      <c r="C301" t="inlineStr">
        <is>
          <t>4102.0</t>
        </is>
      </c>
      <c r="D301" t="inlineStr">
        <is>
          <t>8910188895.0</t>
        </is>
      </c>
      <c r="E301" t="inlineStr">
        <is>
          <t>DB</t>
        </is>
      </c>
      <c r="F301" t="inlineStr">
        <is>
          <t>4719000253.0</t>
        </is>
      </c>
      <c r="G301" t="inlineStr">
        <is>
          <t>2026-05-22</t>
        </is>
      </c>
      <c r="H301" t="inlineStr">
        <is>
          <t>2026-07-06</t>
        </is>
      </c>
      <c r="I301" t="n">
        <v>12143.39</v>
      </c>
      <c r="J301" t="inlineStr">
        <is>
          <t>EUR</t>
        </is>
      </c>
      <c r="L301" t="inlineStr">
        <is>
          <t>*307436 - Entkernungsarbeiten</t>
        </is>
      </c>
      <c r="M301" t="inlineStr">
        <is>
          <t>307436</t>
        </is>
      </c>
      <c r="N301" t="inlineStr">
        <is>
          <t>2026-08-20</t>
        </is>
      </c>
    </row>
    <row r="302">
      <c r="A302" t="n">
        <v>1401</v>
      </c>
      <c r="B302" t="inlineStr">
        <is>
          <t>FORDERUNG</t>
        </is>
      </c>
      <c r="C302" t="inlineStr">
        <is>
          <t>4102.0</t>
        </is>
      </c>
      <c r="D302" t="inlineStr">
        <is>
          <t>8910117568.0</t>
        </is>
      </c>
      <c r="E302" t="inlineStr">
        <is>
          <t>DB</t>
        </is>
      </c>
      <c r="F302" t="inlineStr">
        <is>
          <t>4719000423.0</t>
        </is>
      </c>
      <c r="G302" t="inlineStr">
        <is>
          <t>2026-07-28</t>
        </is>
      </c>
      <c r="H302" t="inlineStr">
        <is>
          <t>2026-08-27</t>
        </is>
      </c>
      <c r="I302" t="n">
        <v>11866.68</v>
      </c>
      <c r="J302" t="inlineStr">
        <is>
          <t>EUR</t>
        </is>
      </c>
      <c r="L302" t="inlineStr">
        <is>
          <t>*309045 - GU RE30-2026-0107</t>
        </is>
      </c>
      <c r="M302" t="inlineStr">
        <is>
          <t>309045</t>
        </is>
      </c>
      <c r="N302" t="inlineStr">
        <is>
          <t>2026-08-20</t>
        </is>
      </c>
    </row>
    <row r="303">
      <c r="A303" t="n">
        <v>1402</v>
      </c>
      <c r="B303" t="inlineStr">
        <is>
          <t>FORDERUNG</t>
        </is>
      </c>
      <c r="C303" t="inlineStr">
        <is>
          <t>4102.0</t>
        </is>
      </c>
      <c r="D303" t="inlineStr">
        <is>
          <t>8910117607.0</t>
        </is>
      </c>
      <c r="E303" t="inlineStr">
        <is>
          <t>DB</t>
        </is>
      </c>
      <c r="F303" t="inlineStr">
        <is>
          <t>4719000360.0</t>
        </is>
      </c>
      <c r="G303" t="inlineStr">
        <is>
          <t>2026-07-02</t>
        </is>
      </c>
      <c r="H303" t="inlineStr">
        <is>
          <t>2026-08-31</t>
        </is>
      </c>
      <c r="I303" t="n">
        <v>11635.34</v>
      </c>
      <c r="J303" t="inlineStr">
        <is>
          <t>EUR</t>
        </is>
      </c>
      <c r="L303" t="inlineStr">
        <is>
          <t>*157457 Rückbau Koksgasleitung</t>
        </is>
      </c>
      <c r="M303" t="inlineStr">
        <is>
          <t>157457</t>
        </is>
      </c>
      <c r="N303" t="inlineStr">
        <is>
          <t>2026-08-20</t>
        </is>
      </c>
    </row>
    <row r="304">
      <c r="A304" t="n">
        <v>1403</v>
      </c>
      <c r="B304" t="inlineStr">
        <is>
          <t>FORDERUNG</t>
        </is>
      </c>
      <c r="C304" t="inlineStr">
        <is>
          <t>4102.0</t>
        </is>
      </c>
      <c r="D304" t="inlineStr">
        <is>
          <t>8910117607.0</t>
        </is>
      </c>
      <c r="E304" t="inlineStr">
        <is>
          <t>DB</t>
        </is>
      </c>
      <c r="F304" t="inlineStr">
        <is>
          <t>4719000361.0</t>
        </is>
      </c>
      <c r="G304" t="inlineStr">
        <is>
          <t>2026-07-02</t>
        </is>
      </c>
      <c r="H304" t="inlineStr">
        <is>
          <t>2026-08-31</t>
        </is>
      </c>
      <c r="I304" t="n">
        <v>11187.48</v>
      </c>
      <c r="J304" t="inlineStr">
        <is>
          <t>EUR</t>
        </is>
      </c>
      <c r="L304" t="inlineStr">
        <is>
          <t>*157457 Rückbau Koksgasleitung</t>
        </is>
      </c>
      <c r="M304" t="inlineStr">
        <is>
          <t>157457</t>
        </is>
      </c>
      <c r="N304" t="inlineStr">
        <is>
          <t>2026-08-20</t>
        </is>
      </c>
    </row>
    <row r="305">
      <c r="A305" t="n">
        <v>1404</v>
      </c>
      <c r="B305" t="inlineStr">
        <is>
          <t>FORDERUNG</t>
        </is>
      </c>
      <c r="C305" t="inlineStr">
        <is>
          <t>4102.0</t>
        </is>
      </c>
      <c r="D305" t="inlineStr">
        <is>
          <t>8910117607.0</t>
        </is>
      </c>
      <c r="E305" t="inlineStr">
        <is>
          <t>DB</t>
        </is>
      </c>
      <c r="F305" t="inlineStr">
        <is>
          <t>4719000362.0</t>
        </is>
      </c>
      <c r="G305" t="inlineStr">
        <is>
          <t>2026-07-02</t>
        </is>
      </c>
      <c r="H305" t="inlineStr">
        <is>
          <t>2026-08-31</t>
        </is>
      </c>
      <c r="I305" t="n">
        <v>10751.51</v>
      </c>
      <c r="J305" t="inlineStr">
        <is>
          <t>EUR</t>
        </is>
      </c>
      <c r="L305" t="inlineStr">
        <is>
          <t>*157457 Verschrottung v. Rohrleitungen</t>
        </is>
      </c>
      <c r="M305" t="inlineStr">
        <is>
          <t>157457</t>
        </is>
      </c>
      <c r="N305" t="inlineStr">
        <is>
          <t>2026-08-20</t>
        </is>
      </c>
    </row>
    <row r="306">
      <c r="A306" t="n">
        <v>1405</v>
      </c>
      <c r="B306" t="inlineStr">
        <is>
          <t>FORDERUNG</t>
        </is>
      </c>
      <c r="C306" t="inlineStr">
        <is>
          <t>4102.0</t>
        </is>
      </c>
      <c r="D306" t="inlineStr">
        <is>
          <t>8910117607.0</t>
        </is>
      </c>
      <c r="E306" t="inlineStr">
        <is>
          <t>DB</t>
        </is>
      </c>
      <c r="F306" t="inlineStr">
        <is>
          <t>4719000381.0</t>
        </is>
      </c>
      <c r="G306" t="inlineStr">
        <is>
          <t>2026-07-15</t>
        </is>
      </c>
      <c r="H306" t="inlineStr">
        <is>
          <t>2026-09-13</t>
        </is>
      </c>
      <c r="I306" t="n">
        <v>10046.93</v>
      </c>
      <c r="J306" t="inlineStr">
        <is>
          <t>EUR</t>
        </is>
      </c>
      <c r="L306" t="inlineStr">
        <is>
          <t>*157457 - Rückbau Koksgasleitung</t>
        </is>
      </c>
      <c r="M306" t="inlineStr">
        <is>
          <t>157457</t>
        </is>
      </c>
      <c r="N306" t="inlineStr">
        <is>
          <t>2026-08-20</t>
        </is>
      </c>
    </row>
    <row r="307">
      <c r="A307" t="n">
        <v>1406</v>
      </c>
      <c r="B307" t="inlineStr">
        <is>
          <t>FORDERUNG</t>
        </is>
      </c>
      <c r="C307" t="inlineStr">
        <is>
          <t>4102.0</t>
        </is>
      </c>
      <c r="D307" t="inlineStr">
        <is>
          <t>8910117568.0</t>
        </is>
      </c>
      <c r="E307" t="inlineStr">
        <is>
          <t>DB</t>
        </is>
      </c>
      <c r="F307" t="inlineStr">
        <is>
          <t>4719000422.0</t>
        </is>
      </c>
      <c r="G307" t="inlineStr">
        <is>
          <t>2026-07-28</t>
        </is>
      </c>
      <c r="H307" t="inlineStr">
        <is>
          <t>2026-08-27</t>
        </is>
      </c>
      <c r="I307" t="n">
        <v>9817.5</v>
      </c>
      <c r="J307" t="inlineStr">
        <is>
          <t>EUR</t>
        </is>
      </c>
      <c r="L307" t="inlineStr">
        <is>
          <t>*309045 - GU RE30-2026-0108</t>
        </is>
      </c>
      <c r="M307" t="inlineStr">
        <is>
          <t>309045</t>
        </is>
      </c>
      <c r="N307" t="inlineStr">
        <is>
          <t>2026-08-20</t>
        </is>
      </c>
    </row>
    <row r="308">
      <c r="A308" t="n">
        <v>1407</v>
      </c>
      <c r="B308" t="inlineStr">
        <is>
          <t>FORDERUNG</t>
        </is>
      </c>
      <c r="C308" t="inlineStr">
        <is>
          <t>4102.0</t>
        </is>
      </c>
      <c r="D308" t="inlineStr">
        <is>
          <t>8910190191.0</t>
        </is>
      </c>
      <c r="E308" t="inlineStr">
        <is>
          <t>DB</t>
        </is>
      </c>
      <c r="F308" t="inlineStr">
        <is>
          <t>4719000431.0</t>
        </is>
      </c>
      <c r="G308" t="inlineStr">
        <is>
          <t>2026-08-04</t>
        </is>
      </c>
      <c r="H308" t="inlineStr">
        <is>
          <t>2026-09-03</t>
        </is>
      </c>
      <c r="I308" t="n">
        <v>9282</v>
      </c>
      <c r="J308" t="inlineStr">
        <is>
          <t>EUR</t>
        </is>
      </c>
      <c r="L308" t="inlineStr">
        <is>
          <t>*608263 Rückbau Abraumförderbrücke</t>
        </is>
      </c>
      <c r="M308" t="inlineStr">
        <is>
          <t>608263</t>
        </is>
      </c>
      <c r="N308" t="inlineStr">
        <is>
          <t>2026-08-20</t>
        </is>
      </c>
    </row>
    <row r="309">
      <c r="A309" t="n">
        <v>1408</v>
      </c>
      <c r="B309" t="inlineStr">
        <is>
          <t>FORDERUNG</t>
        </is>
      </c>
      <c r="C309" t="inlineStr">
        <is>
          <t>4102.0</t>
        </is>
      </c>
      <c r="D309" t="inlineStr">
        <is>
          <t>8910146937.0</t>
        </is>
      </c>
      <c r="E309" t="inlineStr">
        <is>
          <t>DB</t>
        </is>
      </c>
      <c r="F309" t="inlineStr">
        <is>
          <t>4719000430.0</t>
        </is>
      </c>
      <c r="G309" t="inlineStr">
        <is>
          <t>2026-08-03</t>
        </is>
      </c>
      <c r="H309" t="inlineStr">
        <is>
          <t>2026-09-02</t>
        </is>
      </c>
      <c r="I309" t="n">
        <v>8568</v>
      </c>
      <c r="J309" t="inlineStr">
        <is>
          <t>EUR</t>
        </is>
      </c>
      <c r="L309" t="inlineStr">
        <is>
          <t>*607989 Tagebau Jänschwalde</t>
        </is>
      </c>
      <c r="M309" t="inlineStr">
        <is>
          <t>607989</t>
        </is>
      </c>
      <c r="N309" t="inlineStr">
        <is>
          <t>2026-08-20</t>
        </is>
      </c>
    </row>
    <row r="310">
      <c r="A310" t="n">
        <v>1409</v>
      </c>
      <c r="B310" t="inlineStr">
        <is>
          <t>FORDERUNG</t>
        </is>
      </c>
      <c r="C310" t="inlineStr">
        <is>
          <t>4102.0</t>
        </is>
      </c>
      <c r="D310" t="inlineStr">
        <is>
          <t>8910117607.0</t>
        </is>
      </c>
      <c r="E310" t="inlineStr">
        <is>
          <t>DB</t>
        </is>
      </c>
      <c r="F310" t="inlineStr">
        <is>
          <t>4719000382.0</t>
        </is>
      </c>
      <c r="G310" t="inlineStr">
        <is>
          <t>2026-07-15</t>
        </is>
      </c>
      <c r="H310" t="inlineStr">
        <is>
          <t>2026-09-13</t>
        </is>
      </c>
      <c r="I310" t="n">
        <v>8457.559999999999</v>
      </c>
      <c r="J310" t="inlineStr">
        <is>
          <t>EUR</t>
        </is>
      </c>
      <c r="L310" t="inlineStr">
        <is>
          <t>*157457 - Gestellung Bühne mit Fahrer</t>
        </is>
      </c>
      <c r="M310" t="inlineStr">
        <is>
          <t>157457</t>
        </is>
      </c>
      <c r="N310" t="inlineStr">
        <is>
          <t>2026-08-20</t>
        </is>
      </c>
    </row>
    <row r="311">
      <c r="A311" t="n">
        <v>1410</v>
      </c>
      <c r="B311" t="inlineStr">
        <is>
          <t>FORDERUNG</t>
        </is>
      </c>
      <c r="C311" t="inlineStr">
        <is>
          <t>4102.0</t>
        </is>
      </c>
      <c r="D311" t="inlineStr">
        <is>
          <t>8910117607.0</t>
        </is>
      </c>
      <c r="E311" t="inlineStr">
        <is>
          <t>DB</t>
        </is>
      </c>
      <c r="F311" t="inlineStr">
        <is>
          <t>4719000383.0</t>
        </is>
      </c>
      <c r="G311" t="inlineStr">
        <is>
          <t>2026-07-15</t>
        </is>
      </c>
      <c r="H311" t="inlineStr">
        <is>
          <t>2026-09-13</t>
        </is>
      </c>
      <c r="I311" t="n">
        <v>8428.6</v>
      </c>
      <c r="J311" t="inlineStr">
        <is>
          <t>EUR</t>
        </is>
      </c>
      <c r="L311" t="inlineStr">
        <is>
          <t>*157457 - Gestellung Bühne mit Fahrer</t>
        </is>
      </c>
      <c r="M311" t="inlineStr">
        <is>
          <t>157457</t>
        </is>
      </c>
      <c r="N311" t="inlineStr">
        <is>
          <t>2026-08-20</t>
        </is>
      </c>
    </row>
    <row r="312">
      <c r="A312" t="n">
        <v>1411</v>
      </c>
      <c r="B312" t="inlineStr">
        <is>
          <t>FORDERUNG</t>
        </is>
      </c>
      <c r="C312" t="inlineStr">
        <is>
          <t>4102.0</t>
        </is>
      </c>
      <c r="D312" t="inlineStr">
        <is>
          <t>8910117607.0</t>
        </is>
      </c>
      <c r="E312" t="inlineStr">
        <is>
          <t>DB</t>
        </is>
      </c>
      <c r="F312" t="inlineStr">
        <is>
          <t>4719000365.0</t>
        </is>
      </c>
      <c r="G312" t="inlineStr">
        <is>
          <t>2026-07-02</t>
        </is>
      </c>
      <c r="H312" t="inlineStr">
        <is>
          <t>2026-08-31</t>
        </is>
      </c>
      <c r="I312" t="n">
        <v>8189.48</v>
      </c>
      <c r="J312" t="inlineStr">
        <is>
          <t>EUR</t>
        </is>
      </c>
      <c r="L312" t="inlineStr">
        <is>
          <t>*157457 Verschrottung v. Rohrleitungen</t>
        </is>
      </c>
      <c r="M312" t="inlineStr">
        <is>
          <t>157457</t>
        </is>
      </c>
      <c r="N312" t="inlineStr">
        <is>
          <t>2026-08-20</t>
        </is>
      </c>
    </row>
    <row r="313">
      <c r="A313" t="n">
        <v>1412</v>
      </c>
      <c r="B313" t="inlineStr">
        <is>
          <t>FORDERUNG</t>
        </is>
      </c>
      <c r="C313" t="inlineStr">
        <is>
          <t>4102.0</t>
        </is>
      </c>
      <c r="D313" t="inlineStr">
        <is>
          <t>8910123654.0</t>
        </is>
      </c>
      <c r="E313" t="inlineStr">
        <is>
          <t>DB</t>
        </is>
      </c>
      <c r="F313" t="inlineStr">
        <is>
          <t>4719000259.0</t>
        </is>
      </c>
      <c r="G313" t="inlineStr">
        <is>
          <t>2026-05-29</t>
        </is>
      </c>
      <c r="H313" t="inlineStr">
        <is>
          <t>2026-06-28</t>
        </is>
      </c>
      <c r="I313" t="n">
        <v>7084.8</v>
      </c>
      <c r="J313" t="inlineStr">
        <is>
          <t>EUR</t>
        </is>
      </c>
      <c r="L313" t="inlineStr">
        <is>
          <t>*157458 - Mischschrott</t>
        </is>
      </c>
      <c r="M313" t="inlineStr">
        <is>
          <t>157458</t>
        </is>
      </c>
      <c r="N313" t="inlineStr">
        <is>
          <t>2026-08-20</t>
        </is>
      </c>
    </row>
    <row r="314">
      <c r="A314" t="n">
        <v>1413</v>
      </c>
      <c r="B314" t="inlineStr">
        <is>
          <t>FORDERUNG</t>
        </is>
      </c>
      <c r="C314" t="inlineStr">
        <is>
          <t>4102.0</t>
        </is>
      </c>
      <c r="D314" t="inlineStr">
        <is>
          <t>8910117607.0</t>
        </is>
      </c>
      <c r="E314" t="inlineStr">
        <is>
          <t>DB</t>
        </is>
      </c>
      <c r="F314" t="inlineStr">
        <is>
          <t>4719000380.0</t>
        </is>
      </c>
      <c r="G314" t="inlineStr">
        <is>
          <t>2026-07-15</t>
        </is>
      </c>
      <c r="H314" t="inlineStr">
        <is>
          <t>2026-09-13</t>
        </is>
      </c>
      <c r="I314" t="n">
        <v>5823.36</v>
      </c>
      <c r="J314" t="inlineStr">
        <is>
          <t>EUR</t>
        </is>
      </c>
      <c r="L314" t="inlineStr">
        <is>
          <t>*157457 - div. Transport und Verladearbeiten</t>
        </is>
      </c>
      <c r="M314" t="inlineStr">
        <is>
          <t>157457</t>
        </is>
      </c>
      <c r="N314" t="inlineStr">
        <is>
          <t>2026-08-20</t>
        </is>
      </c>
    </row>
    <row r="315">
      <c r="A315" t="n">
        <v>1414</v>
      </c>
      <c r="B315" t="inlineStr">
        <is>
          <t>FORDERUNG</t>
        </is>
      </c>
      <c r="C315" t="inlineStr">
        <is>
          <t>4102.0</t>
        </is>
      </c>
      <c r="D315" t="inlineStr">
        <is>
          <t>8910188771.0</t>
        </is>
      </c>
      <c r="E315" t="inlineStr">
        <is>
          <t>DB</t>
        </is>
      </c>
      <c r="F315" t="inlineStr">
        <is>
          <t>4719000340.0</t>
        </is>
      </c>
      <c r="G315" t="inlineStr">
        <is>
          <t>2025-08-22</t>
        </is>
      </c>
      <c r="H315" t="inlineStr">
        <is>
          <t>2025-09-05</t>
        </is>
      </c>
      <c r="I315" t="n">
        <v>1982.97</v>
      </c>
      <c r="J315" t="inlineStr">
        <is>
          <t>EUR</t>
        </is>
      </c>
      <c r="L315" t="inlineStr">
        <is>
          <t>*307306 Niederschlagschutz</t>
        </is>
      </c>
      <c r="M315" t="inlineStr">
        <is>
          <t>307306</t>
        </is>
      </c>
      <c r="N315" t="inlineStr">
        <is>
          <t>2026-08-20</t>
        </is>
      </c>
    </row>
    <row r="316">
      <c r="A316" t="n">
        <v>1415</v>
      </c>
      <c r="B316" t="inlineStr">
        <is>
          <t>FORDERUNG</t>
        </is>
      </c>
      <c r="C316" t="inlineStr">
        <is>
          <t>4102.0</t>
        </is>
      </c>
      <c r="D316" t="inlineStr">
        <is>
          <t>8910189350.0</t>
        </is>
      </c>
      <c r="E316" t="inlineStr">
        <is>
          <t>DB</t>
        </is>
      </c>
      <c r="F316" t="inlineStr">
        <is>
          <t>4719000356.0</t>
        </is>
      </c>
      <c r="G316" t="inlineStr">
        <is>
          <t>2026-06-30</t>
        </is>
      </c>
      <c r="H316" t="inlineStr">
        <is>
          <t>2026-07-30</t>
        </is>
      </c>
      <c r="I316" t="n">
        <v>1128.43</v>
      </c>
      <c r="J316" t="inlineStr">
        <is>
          <t>EUR</t>
        </is>
      </c>
      <c r="L316" t="inlineStr">
        <is>
          <t>*658256 Grundinstandsetzung v. Schleusen</t>
        </is>
      </c>
      <c r="M316" t="inlineStr">
        <is>
          <t>658256</t>
        </is>
      </c>
      <c r="N316" t="inlineStr">
        <is>
          <t>2026-08-20</t>
        </is>
      </c>
    </row>
    <row r="317">
      <c r="A317" t="n">
        <v>1416</v>
      </c>
      <c r="B317" t="inlineStr">
        <is>
          <t>FORDERUNG</t>
        </is>
      </c>
      <c r="C317" t="inlineStr">
        <is>
          <t>4102.0</t>
        </is>
      </c>
      <c r="D317" t="inlineStr">
        <is>
          <t>8910188771.0</t>
        </is>
      </c>
      <c r="E317" t="inlineStr">
        <is>
          <t>DB</t>
        </is>
      </c>
      <c r="F317" t="inlineStr">
        <is>
          <t>4719000341.0</t>
        </is>
      </c>
      <c r="G317" t="inlineStr">
        <is>
          <t>2025-08-22</t>
        </is>
      </c>
      <c r="H317" t="inlineStr">
        <is>
          <t>2025-09-05</t>
        </is>
      </c>
      <c r="I317" t="n">
        <v>952</v>
      </c>
      <c r="J317" t="inlineStr">
        <is>
          <t>EUR</t>
        </is>
      </c>
      <c r="L317" t="inlineStr">
        <is>
          <t>*307306 Rückbau Sandklassierer</t>
        </is>
      </c>
      <c r="M317" t="inlineStr">
        <is>
          <t>307306</t>
        </is>
      </c>
      <c r="N317" t="inlineStr">
        <is>
          <t>2026-08-20</t>
        </is>
      </c>
    </row>
    <row r="318">
      <c r="A318" t="n">
        <v>1417</v>
      </c>
      <c r="B318" t="inlineStr">
        <is>
          <t>FORDERUNG</t>
        </is>
      </c>
      <c r="C318" t="inlineStr">
        <is>
          <t>4102.0</t>
        </is>
      </c>
      <c r="D318" t="inlineStr">
        <is>
          <t>8910189470.0</t>
        </is>
      </c>
      <c r="E318" t="inlineStr">
        <is>
          <t>DB</t>
        </is>
      </c>
      <c r="F318" t="inlineStr">
        <is>
          <t>4719000175.0</t>
        </is>
      </c>
      <c r="G318" t="inlineStr">
        <is>
          <t>2026-04-27</t>
        </is>
      </c>
      <c r="H318" t="inlineStr">
        <is>
          <t>2026-05-27</t>
        </is>
      </c>
      <c r="I318" t="n">
        <v>828.73</v>
      </c>
      <c r="J318" t="inlineStr">
        <is>
          <t>EUR</t>
        </is>
      </c>
      <c r="L318" t="inlineStr">
        <is>
          <t>*304611 - Arbeitsschuhe 01.2026 - 04.2026</t>
        </is>
      </c>
      <c r="M318" t="inlineStr">
        <is>
          <t>304611</t>
        </is>
      </c>
      <c r="N318" t="inlineStr">
        <is>
          <t>2026-08-20</t>
        </is>
      </c>
    </row>
    <row r="319">
      <c r="A319" t="n">
        <v>1418</v>
      </c>
      <c r="B319" t="inlineStr">
        <is>
          <t>FORDERUNG</t>
        </is>
      </c>
      <c r="C319" t="inlineStr">
        <is>
          <t>4102.0</t>
        </is>
      </c>
      <c r="D319" t="inlineStr">
        <is>
          <t>8910189470.0</t>
        </is>
      </c>
      <c r="E319" t="inlineStr">
        <is>
          <t>DB</t>
        </is>
      </c>
      <c r="F319" t="inlineStr">
        <is>
          <t>4719000313.0</t>
        </is>
      </c>
      <c r="G319" t="inlineStr">
        <is>
          <t>2026-06-11</t>
        </is>
      </c>
      <c r="H319" t="inlineStr">
        <is>
          <t>2026-06-25</t>
        </is>
      </c>
      <c r="I319" t="n">
        <v>512.54</v>
      </c>
      <c r="J319" t="inlineStr">
        <is>
          <t>EUR</t>
        </is>
      </c>
      <c r="L319" t="inlineStr">
        <is>
          <t>*304611 Arbeitsschuhe</t>
        </is>
      </c>
      <c r="M319" t="inlineStr">
        <is>
          <t>304611</t>
        </is>
      </c>
      <c r="N319" t="inlineStr">
        <is>
          <t>2026-08-20</t>
        </is>
      </c>
    </row>
    <row r="320">
      <c r="A320" t="n">
        <v>1419</v>
      </c>
      <c r="B320" t="inlineStr">
        <is>
          <t>FORDERUNG</t>
        </is>
      </c>
      <c r="C320" t="inlineStr">
        <is>
          <t>4102.0</t>
        </is>
      </c>
      <c r="D320" t="inlineStr">
        <is>
          <t>8910188771.0</t>
        </is>
      </c>
      <c r="E320" t="inlineStr">
        <is>
          <t>DB</t>
        </is>
      </c>
      <c r="F320" t="inlineStr">
        <is>
          <t>4719000339.0</t>
        </is>
      </c>
      <c r="G320" t="inlineStr">
        <is>
          <t>2025-08-22</t>
        </is>
      </c>
      <c r="H320" t="inlineStr">
        <is>
          <t>2025-09-05</t>
        </is>
      </c>
      <c r="I320" t="n">
        <v>452.2</v>
      </c>
      <c r="J320" t="inlineStr">
        <is>
          <t>EUR</t>
        </is>
      </c>
      <c r="L320" t="inlineStr">
        <is>
          <t>*307306 provisorische Entwässerung</t>
        </is>
      </c>
      <c r="M320" t="inlineStr">
        <is>
          <t>307306</t>
        </is>
      </c>
      <c r="N320" t="inlineStr">
        <is>
          <t>2026-08-20</t>
        </is>
      </c>
    </row>
    <row r="321">
      <c r="A321" t="n">
        <v>1420</v>
      </c>
      <c r="B321" t="inlineStr">
        <is>
          <t>FORDERUNG</t>
        </is>
      </c>
      <c r="C321" t="inlineStr">
        <is>
          <t>4102.0</t>
        </is>
      </c>
      <c r="D321" t="inlineStr">
        <is>
          <t>8910138957.0</t>
        </is>
      </c>
      <c r="E321" t="inlineStr">
        <is>
          <t>DB</t>
        </is>
      </c>
      <c r="F321" t="inlineStr">
        <is>
          <t>4719000348.0</t>
        </is>
      </c>
      <c r="G321" t="inlineStr">
        <is>
          <t>2026-06-29</t>
        </is>
      </c>
      <c r="H321" t="inlineStr">
        <is>
          <t>2026-07-13</t>
        </is>
      </c>
      <c r="I321" t="n">
        <v>452.2</v>
      </c>
      <c r="J321" t="inlineStr">
        <is>
          <t>EUR</t>
        </is>
      </c>
      <c r="L321" t="inlineStr">
        <is>
          <t>*607989  Kleinaufträge Region Ost</t>
        </is>
      </c>
      <c r="M321" t="inlineStr">
        <is>
          <t>607989</t>
        </is>
      </c>
      <c r="N321" t="inlineStr">
        <is>
          <t>2026-08-20</t>
        </is>
      </c>
    </row>
    <row r="322">
      <c r="A322" t="n">
        <v>1421</v>
      </c>
      <c r="B322" t="inlineStr">
        <is>
          <t>FORDERUNG</t>
        </is>
      </c>
      <c r="C322" t="inlineStr">
        <is>
          <t>4102.0</t>
        </is>
      </c>
      <c r="D322" t="inlineStr">
        <is>
          <t>8910117570.0</t>
        </is>
      </c>
      <c r="E322" t="inlineStr">
        <is>
          <t>DB</t>
        </is>
      </c>
      <c r="F322" t="inlineStr">
        <is>
          <t>4719000416.0</t>
        </is>
      </c>
      <c r="G322" t="inlineStr">
        <is>
          <t>2026-07-30</t>
        </is>
      </c>
      <c r="H322" t="inlineStr">
        <is>
          <t>2026-08-29</t>
        </is>
      </c>
      <c r="I322" t="n">
        <v>404.6</v>
      </c>
      <c r="J322" t="inlineStr">
        <is>
          <t>EUR</t>
        </is>
      </c>
      <c r="L322" t="inlineStr">
        <is>
          <t>*607989 - Tausch / Stellung / Abholung</t>
        </is>
      </c>
      <c r="M322" t="inlineStr">
        <is>
          <t>607989</t>
        </is>
      </c>
      <c r="N322" t="inlineStr">
        <is>
          <t>2026-08-20</t>
        </is>
      </c>
    </row>
    <row r="323">
      <c r="A323" t="n">
        <v>1422</v>
      </c>
      <c r="B323" t="inlineStr">
        <is>
          <t>FORDERUNG</t>
        </is>
      </c>
      <c r="C323" t="inlineStr">
        <is>
          <t>4102.0</t>
        </is>
      </c>
      <c r="D323" t="inlineStr">
        <is>
          <t>8910190788.0</t>
        </is>
      </c>
      <c r="E323" t="inlineStr">
        <is>
          <t>DB</t>
        </is>
      </c>
      <c r="F323" t="inlineStr">
        <is>
          <t>4719000408.0</t>
        </is>
      </c>
      <c r="G323" t="inlineStr">
        <is>
          <t>2026-07-16</t>
        </is>
      </c>
      <c r="H323" t="inlineStr">
        <is>
          <t>2026-07-30</t>
        </is>
      </c>
      <c r="I323" t="n">
        <v>258.05</v>
      </c>
      <c r="J323" t="inlineStr">
        <is>
          <t>EUR</t>
        </is>
      </c>
      <c r="L323" t="inlineStr">
        <is>
          <t>*607989 - Kleinaufträge Region Ost</t>
        </is>
      </c>
      <c r="M323" t="inlineStr">
        <is>
          <t>607989</t>
        </is>
      </c>
      <c r="N323" t="inlineStr">
        <is>
          <t>2026-08-20</t>
        </is>
      </c>
    </row>
    <row r="324">
      <c r="A324" t="n">
        <v>1423</v>
      </c>
      <c r="B324" t="inlineStr">
        <is>
          <t>FORDERUNG</t>
        </is>
      </c>
      <c r="C324" t="inlineStr">
        <is>
          <t>4102.0</t>
        </is>
      </c>
      <c r="D324" t="inlineStr">
        <is>
          <t>8910190846.0</t>
        </is>
      </c>
      <c r="E324" t="inlineStr">
        <is>
          <t>DB</t>
        </is>
      </c>
      <c r="F324" t="inlineStr">
        <is>
          <t>4719000384.0</t>
        </is>
      </c>
      <c r="G324" t="inlineStr">
        <is>
          <t>2026-07-10</t>
        </is>
      </c>
      <c r="H324" t="inlineStr">
        <is>
          <t>2026-07-24</t>
        </is>
      </c>
      <c r="I324" t="n">
        <v>127.5</v>
      </c>
      <c r="J324" t="inlineStr">
        <is>
          <t>EUR</t>
        </is>
      </c>
      <c r="L324" t="inlineStr">
        <is>
          <t>*304611 - Arbeitsschuhe</t>
        </is>
      </c>
      <c r="M324" t="inlineStr">
        <is>
          <t>304611</t>
        </is>
      </c>
      <c r="N324" t="inlineStr">
        <is>
          <t>2026-08-20</t>
        </is>
      </c>
    </row>
    <row r="325">
      <c r="A325" t="n">
        <v>1424</v>
      </c>
      <c r="B325" t="inlineStr">
        <is>
          <t>FORDERUNG</t>
        </is>
      </c>
      <c r="C325" t="inlineStr">
        <is>
          <t>4102.0</t>
        </is>
      </c>
      <c r="D325" t="inlineStr">
        <is>
          <t>8910190732.0</t>
        </is>
      </c>
      <c r="E325" t="inlineStr">
        <is>
          <t>DB</t>
        </is>
      </c>
      <c r="F325" t="inlineStr">
        <is>
          <t>4719000395.0</t>
        </is>
      </c>
      <c r="G325" t="inlineStr">
        <is>
          <t>2026-07-10</t>
        </is>
      </c>
      <c r="H325" t="inlineStr">
        <is>
          <t>2026-08-09</t>
        </is>
      </c>
      <c r="I325" t="n">
        <v>63.75</v>
      </c>
      <c r="J325" t="inlineStr">
        <is>
          <t>EUR</t>
        </is>
      </c>
      <c r="L325" t="inlineStr">
        <is>
          <t>*304611 - Arbeitsschuhe</t>
        </is>
      </c>
      <c r="M325" t="inlineStr">
        <is>
          <t>304611</t>
        </is>
      </c>
      <c r="N325" t="inlineStr">
        <is>
          <t>2026-08-20</t>
        </is>
      </c>
    </row>
    <row r="326">
      <c r="A326" t="n">
        <v>1425</v>
      </c>
      <c r="B326" t="inlineStr">
        <is>
          <t>FORDERUNG</t>
        </is>
      </c>
      <c r="C326" t="inlineStr">
        <is>
          <t>4102.0</t>
        </is>
      </c>
      <c r="D326" t="inlineStr">
        <is>
          <t>8910189470.0</t>
        </is>
      </c>
      <c r="E326" t="inlineStr">
        <is>
          <t>K4</t>
        </is>
      </c>
      <c r="F326" t="inlineStr">
        <is>
          <t>1170009.0</t>
        </is>
      </c>
      <c r="G326" t="inlineStr">
        <is>
          <t>2026-06-30</t>
        </is>
      </c>
      <c r="H326" t="inlineStr">
        <is>
          <t>2026-06-30</t>
        </is>
      </c>
      <c r="I326" t="n">
        <v>-300</v>
      </c>
      <c r="J326" t="inlineStr">
        <is>
          <t>EUR</t>
        </is>
      </c>
      <c r="L326" t="inlineStr">
        <is>
          <t>AR 30-2026-0038 - Debi 8910189470 22.07.2026</t>
        </is>
      </c>
      <c r="M326" t="inlineStr">
        <is>
          <t>8910189</t>
        </is>
      </c>
      <c r="N326" t="inlineStr">
        <is>
          <t>2026-08-20</t>
        </is>
      </c>
    </row>
    <row r="327">
      <c r="A327" t="n">
        <v>1426</v>
      </c>
      <c r="B327" t="inlineStr">
        <is>
          <t>VERBINDLICHKEIT</t>
        </is>
      </c>
      <c r="C327" t="inlineStr">
        <is>
          <t>4102.0</t>
        </is>
      </c>
      <c r="E327" t="inlineStr">
        <is>
          <t>KR</t>
        </is>
      </c>
      <c r="F327" t="inlineStr">
        <is>
          <t>8035</t>
        </is>
      </c>
      <c r="H327" t="inlineStr">
        <is>
          <t>2026-08-24</t>
        </is>
      </c>
      <c r="I327" t="n">
        <v>-20</v>
      </c>
      <c r="J327" t="inlineStr">
        <is>
          <t>EUR</t>
        </is>
      </c>
      <c r="L327" t="inlineStr">
        <is>
          <t>07/26 Nichtnutzungsgebühr Hr. Flamme</t>
        </is>
      </c>
      <c r="N327" t="inlineStr">
        <is>
          <t>2026-08-20</t>
        </is>
      </c>
    </row>
    <row r="328">
      <c r="A328" t="n">
        <v>1427</v>
      </c>
      <c r="B328" t="inlineStr">
        <is>
          <t>VERBINDLICHKEIT</t>
        </is>
      </c>
      <c r="C328" t="inlineStr">
        <is>
          <t>4102.0</t>
        </is>
      </c>
      <c r="E328" t="inlineStr">
        <is>
          <t>KR</t>
        </is>
      </c>
      <c r="F328" t="inlineStr">
        <is>
          <t>7837</t>
        </is>
      </c>
      <c r="H328" t="inlineStr">
        <is>
          <t>2026-08-10</t>
        </is>
      </c>
      <c r="I328" t="n">
        <v>-365.16</v>
      </c>
      <c r="J328" t="inlineStr">
        <is>
          <t>EUR</t>
        </is>
      </c>
      <c r="L328" t="inlineStr">
        <is>
          <t>07/26 medizinische Leistungen</t>
        </is>
      </c>
      <c r="N328" t="inlineStr">
        <is>
          <t>2026-08-20</t>
        </is>
      </c>
    </row>
    <row r="329">
      <c r="A329" t="n">
        <v>1428</v>
      </c>
      <c r="B329" t="inlineStr">
        <is>
          <t>VERBINDLICHKEIT</t>
        </is>
      </c>
      <c r="C329" t="inlineStr">
        <is>
          <t>4102.0</t>
        </is>
      </c>
      <c r="E329" t="inlineStr">
        <is>
          <t>KG</t>
        </is>
      </c>
      <c r="F329" t="inlineStr">
        <is>
          <t>2077</t>
        </is>
      </c>
      <c r="H329" t="inlineStr">
        <is>
          <t>2026-05-31</t>
        </is>
      </c>
      <c r="I329" t="n">
        <v>8828.610000000001</v>
      </c>
      <c r="J329" t="inlineStr">
        <is>
          <t>EUR</t>
        </is>
      </c>
      <c r="L329" t="inlineStr">
        <is>
          <t>Storno zu 426050024 05/26 Gestellung Teleskop</t>
        </is>
      </c>
      <c r="N329" t="inlineStr">
        <is>
          <t>2026-08-20</t>
        </is>
      </c>
    </row>
    <row r="330">
      <c r="A330" t="n">
        <v>1429</v>
      </c>
      <c r="B330" t="inlineStr">
        <is>
          <t>VERBINDLICHKEIT</t>
        </is>
      </c>
      <c r="C330" t="inlineStr">
        <is>
          <t>4102.0</t>
        </is>
      </c>
      <c r="E330" t="inlineStr">
        <is>
          <t>KR</t>
        </is>
      </c>
      <c r="F330" t="inlineStr">
        <is>
          <t>7112</t>
        </is>
      </c>
      <c r="H330" t="inlineStr">
        <is>
          <t>2026-06-09</t>
        </is>
      </c>
      <c r="I330" t="n">
        <v>-6413.51</v>
      </c>
      <c r="J330" t="inlineStr">
        <is>
          <t>EUR</t>
        </is>
      </c>
      <c r="L330" t="inlineStr">
        <is>
          <t>05/26 Gestellung Teleskop-Geländekran</t>
        </is>
      </c>
      <c r="N330" t="inlineStr">
        <is>
          <t>2026-08-20</t>
        </is>
      </c>
    </row>
    <row r="331">
      <c r="A331" t="n">
        <v>1430</v>
      </c>
      <c r="B331" t="inlineStr">
        <is>
          <t>VERBINDLICHKEIT</t>
        </is>
      </c>
      <c r="C331" t="inlineStr">
        <is>
          <t>4102.0</t>
        </is>
      </c>
      <c r="E331" t="inlineStr">
        <is>
          <t>KR</t>
        </is>
      </c>
      <c r="F331" t="inlineStr">
        <is>
          <t>7457</t>
        </is>
      </c>
      <c r="H331" t="inlineStr">
        <is>
          <t>2026-07-02</t>
        </is>
      </c>
      <c r="I331" t="n">
        <v>-883.46</v>
      </c>
      <c r="J331" t="inlineStr">
        <is>
          <t>EUR</t>
        </is>
      </c>
      <c r="L331" t="inlineStr">
        <is>
          <t>06/26 Gestellung LDK</t>
        </is>
      </c>
      <c r="N331" t="inlineStr">
        <is>
          <t>2026-08-20</t>
        </is>
      </c>
    </row>
    <row r="332">
      <c r="A332" t="n">
        <v>1431</v>
      </c>
      <c r="B332" t="inlineStr">
        <is>
          <t>VERBINDLICHKEIT</t>
        </is>
      </c>
      <c r="C332" t="inlineStr">
        <is>
          <t>4102.0</t>
        </is>
      </c>
      <c r="E332" t="inlineStr">
        <is>
          <t>KR</t>
        </is>
      </c>
      <c r="F332" t="inlineStr">
        <is>
          <t>7423</t>
        </is>
      </c>
      <c r="H332" t="inlineStr">
        <is>
          <t>2026-06-30</t>
        </is>
      </c>
      <c r="I332" t="n">
        <v>-1308.14</v>
      </c>
      <c r="J332" t="inlineStr">
        <is>
          <t>EUR</t>
        </is>
      </c>
      <c r="L332" t="inlineStr">
        <is>
          <t>06/26 Gestellung LKW mit Ladekran</t>
        </is>
      </c>
      <c r="N332" t="inlineStr">
        <is>
          <t>2026-08-20</t>
        </is>
      </c>
    </row>
    <row r="333">
      <c r="A333" t="n">
        <v>1432</v>
      </c>
      <c r="B333" t="inlineStr">
        <is>
          <t>VERBINDLICHKEIT</t>
        </is>
      </c>
      <c r="C333" t="inlineStr">
        <is>
          <t>4102.0</t>
        </is>
      </c>
      <c r="E333" t="inlineStr">
        <is>
          <t>KR</t>
        </is>
      </c>
      <c r="F333" t="inlineStr">
        <is>
          <t>8008</t>
        </is>
      </c>
      <c r="H333" t="inlineStr">
        <is>
          <t>2026-08-10</t>
        </is>
      </c>
      <c r="I333" t="n">
        <v>-1805.46</v>
      </c>
      <c r="J333" t="inlineStr">
        <is>
          <t>EUR</t>
        </is>
      </c>
      <c r="L333" t="inlineStr">
        <is>
          <t>06/26 WKV-Prämien-Abrechnung</t>
        </is>
      </c>
      <c r="N333" t="inlineStr">
        <is>
          <t>2026-08-20</t>
        </is>
      </c>
    </row>
    <row r="334">
      <c r="A334" t="n">
        <v>1433</v>
      </c>
      <c r="B334" t="inlineStr">
        <is>
          <t>VERBINDLICHKEIT</t>
        </is>
      </c>
      <c r="C334" t="inlineStr">
        <is>
          <t>4102.0</t>
        </is>
      </c>
      <c r="E334" t="inlineStr">
        <is>
          <t>KR</t>
        </is>
      </c>
      <c r="F334" t="inlineStr">
        <is>
          <t>7975</t>
        </is>
      </c>
      <c r="H334" t="inlineStr">
        <is>
          <t>2026-09-02</t>
        </is>
      </c>
      <c r="I334" t="n">
        <v>-2032.14</v>
      </c>
      <c r="J334" t="inlineStr">
        <is>
          <t>EUR</t>
        </is>
      </c>
      <c r="L334" t="inlineStr">
        <is>
          <t>07/26 Diesel Lübbenau</t>
        </is>
      </c>
      <c r="N334" t="inlineStr">
        <is>
          <t>2026-08-20</t>
        </is>
      </c>
    </row>
    <row r="335">
      <c r="A335" t="n">
        <v>1434</v>
      </c>
      <c r="B335" t="inlineStr">
        <is>
          <t>VERBINDLICHKEIT</t>
        </is>
      </c>
      <c r="C335" t="inlineStr">
        <is>
          <t>4102.0</t>
        </is>
      </c>
      <c r="E335" t="inlineStr">
        <is>
          <t>KR</t>
        </is>
      </c>
      <c r="F335" t="inlineStr">
        <is>
          <t>7922</t>
        </is>
      </c>
      <c r="H335" t="inlineStr">
        <is>
          <t>2026-08-29</t>
        </is>
      </c>
      <c r="I335" t="n">
        <v>-2762.64</v>
      </c>
      <c r="J335" t="inlineStr">
        <is>
          <t>EUR</t>
        </is>
      </c>
      <c r="L335" t="inlineStr">
        <is>
          <t>07/26 Diesel Lübbenau</t>
        </is>
      </c>
      <c r="N335" t="inlineStr">
        <is>
          <t>2026-08-20</t>
        </is>
      </c>
    </row>
    <row r="336">
      <c r="A336" t="n">
        <v>1435</v>
      </c>
      <c r="B336" t="inlineStr">
        <is>
          <t>VERBINDLICHKEIT</t>
        </is>
      </c>
      <c r="C336" t="inlineStr">
        <is>
          <t>4102.0</t>
        </is>
      </c>
      <c r="E336" t="inlineStr">
        <is>
          <t>KR</t>
        </is>
      </c>
      <c r="F336" t="inlineStr">
        <is>
          <t>7923</t>
        </is>
      </c>
      <c r="H336" t="inlineStr">
        <is>
          <t>2026-08-29</t>
        </is>
      </c>
      <c r="I336" t="n">
        <v>-1165.07</v>
      </c>
      <c r="J336" t="inlineStr">
        <is>
          <t>EUR</t>
        </is>
      </c>
      <c r="L336" t="inlineStr">
        <is>
          <t>07/26 Diesel Lübbenau</t>
        </is>
      </c>
      <c r="N336" t="inlineStr">
        <is>
          <t>2026-08-20</t>
        </is>
      </c>
    </row>
    <row r="337">
      <c r="A337" t="n">
        <v>1436</v>
      </c>
      <c r="B337" t="inlineStr">
        <is>
          <t>VERBINDLICHKEIT</t>
        </is>
      </c>
      <c r="C337" t="inlineStr">
        <is>
          <t>4102.0</t>
        </is>
      </c>
      <c r="E337" t="inlineStr">
        <is>
          <t>KR</t>
        </is>
      </c>
      <c r="F337" t="inlineStr">
        <is>
          <t>7845</t>
        </is>
      </c>
      <c r="H337" t="inlineStr">
        <is>
          <t>2026-08-20</t>
        </is>
      </c>
      <c r="I337" t="n">
        <v>-2209.16</v>
      </c>
      <c r="J337" t="inlineStr">
        <is>
          <t>EUR</t>
        </is>
      </c>
      <c r="L337" t="inlineStr">
        <is>
          <t>07/26 Diesel Lübbenau</t>
        </is>
      </c>
      <c r="N337" t="inlineStr">
        <is>
          <t>2026-08-20</t>
        </is>
      </c>
    </row>
    <row r="338">
      <c r="A338" t="n">
        <v>1437</v>
      </c>
      <c r="B338" t="inlineStr">
        <is>
          <t>VERBINDLICHKEIT</t>
        </is>
      </c>
      <c r="C338" t="inlineStr">
        <is>
          <t>4102.0</t>
        </is>
      </c>
      <c r="E338" t="inlineStr">
        <is>
          <t>KR</t>
        </is>
      </c>
      <c r="F338" t="inlineStr">
        <is>
          <t>7886</t>
        </is>
      </c>
      <c r="H338" t="inlineStr">
        <is>
          <t>2026-08-23</t>
        </is>
      </c>
      <c r="I338" t="n">
        <v>-1052.32</v>
      </c>
      <c r="J338" t="inlineStr">
        <is>
          <t>EUR</t>
        </is>
      </c>
      <c r="L338" t="inlineStr">
        <is>
          <t>07/26 Diesel Jänschwalde</t>
        </is>
      </c>
      <c r="N338" t="inlineStr">
        <is>
          <t>2026-08-20</t>
        </is>
      </c>
    </row>
    <row r="339">
      <c r="A339" t="n">
        <v>1438</v>
      </c>
      <c r="B339" t="inlineStr">
        <is>
          <t>VERBINDLICHKEIT</t>
        </is>
      </c>
      <c r="C339" t="inlineStr">
        <is>
          <t>4102.0</t>
        </is>
      </c>
      <c r="E339" t="inlineStr">
        <is>
          <t>KR</t>
        </is>
      </c>
      <c r="F339" t="inlineStr">
        <is>
          <t>7801</t>
        </is>
      </c>
      <c r="H339" t="inlineStr">
        <is>
          <t>2026-08-15</t>
        </is>
      </c>
      <c r="I339" t="n">
        <v>-1087.78</v>
      </c>
      <c r="J339" t="inlineStr">
        <is>
          <t>EUR</t>
        </is>
      </c>
      <c r="L339" t="inlineStr">
        <is>
          <t>07/26 Diesel Lübbenau</t>
        </is>
      </c>
      <c r="N339" t="inlineStr">
        <is>
          <t>2026-08-20</t>
        </is>
      </c>
    </row>
    <row r="340">
      <c r="A340" t="n">
        <v>1439</v>
      </c>
      <c r="B340" t="inlineStr">
        <is>
          <t>VERBINDLICHKEIT</t>
        </is>
      </c>
      <c r="C340" t="inlineStr">
        <is>
          <t>4102.0</t>
        </is>
      </c>
      <c r="E340" t="inlineStr">
        <is>
          <t>KR</t>
        </is>
      </c>
      <c r="F340" t="inlineStr">
        <is>
          <t>7737</t>
        </is>
      </c>
      <c r="H340" t="inlineStr">
        <is>
          <t>2026-08-09</t>
        </is>
      </c>
      <c r="I340" t="n">
        <v>-2266.96</v>
      </c>
      <c r="J340" t="inlineStr">
        <is>
          <t>EUR</t>
        </is>
      </c>
      <c r="L340" t="inlineStr">
        <is>
          <t>07/26 Diesel Lübbenau</t>
        </is>
      </c>
      <c r="N340" t="inlineStr">
        <is>
          <t>2026-08-20</t>
        </is>
      </c>
    </row>
    <row r="341">
      <c r="A341" t="n">
        <v>1440</v>
      </c>
      <c r="B341" t="inlineStr">
        <is>
          <t>VERBINDLICHKEIT</t>
        </is>
      </c>
      <c r="C341" t="inlineStr">
        <is>
          <t>4102.0</t>
        </is>
      </c>
      <c r="E341" t="inlineStr">
        <is>
          <t>KI</t>
        </is>
      </c>
      <c r="F341" t="inlineStr">
        <is>
          <t>4714000039</t>
        </is>
      </c>
      <c r="H341" t="inlineStr">
        <is>
          <t>2026-08-10</t>
        </is>
      </c>
      <c r="I341" t="n">
        <v>-42.84</v>
      </c>
      <c r="J341" t="inlineStr">
        <is>
          <t>EUR</t>
        </is>
      </c>
      <c r="L341" t="inlineStr">
        <is>
          <t>*Rückzahlung Skonto Rechnung 3230</t>
        </is>
      </c>
      <c r="N341" t="inlineStr">
        <is>
          <t>2026-08-20</t>
        </is>
      </c>
    </row>
    <row r="342">
      <c r="A342" t="n">
        <v>1441</v>
      </c>
      <c r="B342" t="inlineStr">
        <is>
          <t>VERBINDLICHKEIT</t>
        </is>
      </c>
      <c r="C342" t="inlineStr">
        <is>
          <t>4102.0</t>
        </is>
      </c>
      <c r="E342" t="inlineStr">
        <is>
          <t>KI</t>
        </is>
      </c>
      <c r="F342" t="inlineStr">
        <is>
          <t>4714000039</t>
        </is>
      </c>
      <c r="H342" t="inlineStr">
        <is>
          <t>2026-08-10</t>
        </is>
      </c>
      <c r="I342" t="n">
        <v>-10.71</v>
      </c>
      <c r="J342" t="inlineStr">
        <is>
          <t>EUR</t>
        </is>
      </c>
      <c r="L342" t="inlineStr">
        <is>
          <t>*Rückzahlung Skonto Rechnung 3236</t>
        </is>
      </c>
      <c r="N342" t="inlineStr">
        <is>
          <t>2026-08-20</t>
        </is>
      </c>
    </row>
    <row r="343">
      <c r="A343" t="n">
        <v>1442</v>
      </c>
      <c r="B343" t="inlineStr">
        <is>
          <t>VERBINDLICHKEIT</t>
        </is>
      </c>
      <c r="C343" t="inlineStr">
        <is>
          <t>4102.0</t>
        </is>
      </c>
      <c r="E343" t="inlineStr">
        <is>
          <t>KI</t>
        </is>
      </c>
      <c r="F343" t="inlineStr">
        <is>
          <t>4714000039</t>
        </is>
      </c>
      <c r="H343" t="inlineStr">
        <is>
          <t>2026-08-10</t>
        </is>
      </c>
      <c r="I343" t="n">
        <v>-99.95999999999999</v>
      </c>
      <c r="J343" t="inlineStr">
        <is>
          <t>EUR</t>
        </is>
      </c>
      <c r="L343" t="inlineStr">
        <is>
          <t>*Rückzahlung Skonto Rechnung 3254</t>
        </is>
      </c>
      <c r="N343" t="inlineStr">
        <is>
          <t>2026-08-20</t>
        </is>
      </c>
    </row>
    <row r="344">
      <c r="A344" t="n">
        <v>1443</v>
      </c>
      <c r="B344" t="inlineStr">
        <is>
          <t>VERBINDLICHKEIT</t>
        </is>
      </c>
      <c r="C344" t="inlineStr">
        <is>
          <t>4102.0</t>
        </is>
      </c>
      <c r="E344" t="inlineStr">
        <is>
          <t>KI</t>
        </is>
      </c>
      <c r="F344" t="inlineStr">
        <is>
          <t>4714000039</t>
        </is>
      </c>
      <c r="H344" t="inlineStr">
        <is>
          <t>2026-08-10</t>
        </is>
      </c>
      <c r="I344" t="n">
        <v>-7.14</v>
      </c>
      <c r="J344" t="inlineStr">
        <is>
          <t>EUR</t>
        </is>
      </c>
      <c r="L344" t="inlineStr">
        <is>
          <t>*Rückzahlung Skonto Rechnung 3307</t>
        </is>
      </c>
      <c r="N344" t="inlineStr">
        <is>
          <t>2026-08-20</t>
        </is>
      </c>
    </row>
    <row r="345">
      <c r="A345" t="n">
        <v>1444</v>
      </c>
      <c r="B345" t="inlineStr">
        <is>
          <t>VERBINDLICHKEIT</t>
        </is>
      </c>
      <c r="C345" t="inlineStr">
        <is>
          <t>4102.0</t>
        </is>
      </c>
      <c r="E345" t="inlineStr">
        <is>
          <t>KI</t>
        </is>
      </c>
      <c r="F345" t="inlineStr">
        <is>
          <t>4714000039</t>
        </is>
      </c>
      <c r="H345" t="inlineStr">
        <is>
          <t>2026-08-10</t>
        </is>
      </c>
      <c r="I345" t="n">
        <v>-7.14</v>
      </c>
      <c r="J345" t="inlineStr">
        <is>
          <t>EUR</t>
        </is>
      </c>
      <c r="L345" t="inlineStr">
        <is>
          <t>*Rückzahlung Skonto Rechnung 3395</t>
        </is>
      </c>
      <c r="N345" t="inlineStr">
        <is>
          <t>2026-08-20</t>
        </is>
      </c>
    </row>
    <row r="346">
      <c r="A346" t="n">
        <v>1445</v>
      </c>
      <c r="B346" t="inlineStr">
        <is>
          <t>VERBINDLICHKEIT</t>
        </is>
      </c>
      <c r="C346" t="inlineStr">
        <is>
          <t>4102.0</t>
        </is>
      </c>
      <c r="E346" t="inlineStr">
        <is>
          <t>KI</t>
        </is>
      </c>
      <c r="F346" t="inlineStr">
        <is>
          <t>4714000039</t>
        </is>
      </c>
      <c r="H346" t="inlineStr">
        <is>
          <t>2026-08-10</t>
        </is>
      </c>
      <c r="I346" t="n">
        <v>-5.14</v>
      </c>
      <c r="J346" t="inlineStr">
        <is>
          <t>EUR</t>
        </is>
      </c>
      <c r="L346" t="inlineStr">
        <is>
          <t>*Rückzahlung Skonto Rechnung 3396</t>
        </is>
      </c>
      <c r="N346" t="inlineStr">
        <is>
          <t>2026-08-20</t>
        </is>
      </c>
    </row>
    <row r="347">
      <c r="A347" t="n">
        <v>1446</v>
      </c>
      <c r="B347" t="inlineStr">
        <is>
          <t>VERBINDLICHKEIT</t>
        </is>
      </c>
      <c r="C347" t="inlineStr">
        <is>
          <t>4102.0</t>
        </is>
      </c>
      <c r="E347" t="inlineStr">
        <is>
          <t>KI</t>
        </is>
      </c>
      <c r="F347" t="inlineStr">
        <is>
          <t>4714000039</t>
        </is>
      </c>
      <c r="H347" t="inlineStr">
        <is>
          <t>2026-08-10</t>
        </is>
      </c>
      <c r="I347" t="n">
        <v>-53.55</v>
      </c>
      <c r="J347" t="inlineStr">
        <is>
          <t>EUR</t>
        </is>
      </c>
      <c r="L347" t="inlineStr">
        <is>
          <t>*Rückzahlung Skonto Rechnung 3448</t>
        </is>
      </c>
      <c r="N347" t="inlineStr">
        <is>
          <t>2026-08-20</t>
        </is>
      </c>
    </row>
    <row r="348">
      <c r="A348" t="n">
        <v>1447</v>
      </c>
      <c r="B348" t="inlineStr">
        <is>
          <t>VERBINDLICHKEIT</t>
        </is>
      </c>
      <c r="C348" t="inlineStr">
        <is>
          <t>4102.0</t>
        </is>
      </c>
      <c r="E348" t="inlineStr">
        <is>
          <t>KI</t>
        </is>
      </c>
      <c r="F348" t="inlineStr">
        <is>
          <t>4714000039</t>
        </is>
      </c>
      <c r="H348" t="inlineStr">
        <is>
          <t>2026-08-10</t>
        </is>
      </c>
      <c r="I348" t="n">
        <v>-26.78</v>
      </c>
      <c r="J348" t="inlineStr">
        <is>
          <t>EUR</t>
        </is>
      </c>
      <c r="L348" t="inlineStr">
        <is>
          <t>*Rückzahlung Skonto Rechnung 3449</t>
        </is>
      </c>
      <c r="N348" t="inlineStr">
        <is>
          <t>2026-08-20</t>
        </is>
      </c>
    </row>
    <row r="349">
      <c r="A349" t="n">
        <v>1448</v>
      </c>
      <c r="B349" t="inlineStr">
        <is>
          <t>VERBINDLICHKEIT</t>
        </is>
      </c>
      <c r="C349" t="inlineStr">
        <is>
          <t>4102.0</t>
        </is>
      </c>
      <c r="E349" t="inlineStr">
        <is>
          <t>KI</t>
        </is>
      </c>
      <c r="F349" t="inlineStr">
        <is>
          <t>4714000039</t>
        </is>
      </c>
      <c r="H349" t="inlineStr">
        <is>
          <t>2026-08-10</t>
        </is>
      </c>
      <c r="I349" t="n">
        <v>-17.85</v>
      </c>
      <c r="J349" t="inlineStr">
        <is>
          <t>EUR</t>
        </is>
      </c>
      <c r="L349" t="inlineStr">
        <is>
          <t>*Rückzahlung Skonto Rechnung 3457</t>
        </is>
      </c>
      <c r="N349" t="inlineStr">
        <is>
          <t>2026-08-20</t>
        </is>
      </c>
    </row>
    <row r="350">
      <c r="A350" t="n">
        <v>1449</v>
      </c>
      <c r="B350" t="inlineStr">
        <is>
          <t>VERBINDLICHKEIT</t>
        </is>
      </c>
      <c r="C350" t="inlineStr">
        <is>
          <t>4102.0</t>
        </is>
      </c>
      <c r="E350" t="inlineStr">
        <is>
          <t>KI</t>
        </is>
      </c>
      <c r="F350" t="inlineStr">
        <is>
          <t>4714000039</t>
        </is>
      </c>
      <c r="H350" t="inlineStr">
        <is>
          <t>2026-08-10</t>
        </is>
      </c>
      <c r="I350" t="n">
        <v>-8.93</v>
      </c>
      <c r="J350" t="inlineStr">
        <is>
          <t>EUR</t>
        </is>
      </c>
      <c r="L350" t="inlineStr">
        <is>
          <t>*Rückzahlung Skonto Rechnung 3471</t>
        </is>
      </c>
      <c r="N350" t="inlineStr">
        <is>
          <t>2026-08-20</t>
        </is>
      </c>
    </row>
    <row r="351">
      <c r="A351" t="n">
        <v>1450</v>
      </c>
      <c r="B351" t="inlineStr">
        <is>
          <t>VERBINDLICHKEIT</t>
        </is>
      </c>
      <c r="C351" t="inlineStr">
        <is>
          <t>4102.0</t>
        </is>
      </c>
      <c r="E351" t="inlineStr">
        <is>
          <t>KR</t>
        </is>
      </c>
      <c r="F351" t="inlineStr">
        <is>
          <t>7915</t>
        </is>
      </c>
      <c r="H351" t="inlineStr">
        <is>
          <t>2026-07-17</t>
        </is>
      </c>
      <c r="I351" t="n">
        <v>-243</v>
      </c>
      <c r="J351" t="inlineStr">
        <is>
          <t>EUR</t>
        </is>
      </c>
      <c r="L351" t="inlineStr">
        <is>
          <t>CB-TV 105 Kfz-Steuer 06.07.-05.07.</t>
        </is>
      </c>
      <c r="N351" t="inlineStr">
        <is>
          <t>2026-08-20</t>
        </is>
      </c>
    </row>
    <row r="352">
      <c r="A352" t="n">
        <v>1451</v>
      </c>
      <c r="B352" t="inlineStr">
        <is>
          <t>VERBINDLICHKEIT</t>
        </is>
      </c>
      <c r="C352" t="inlineStr">
        <is>
          <t>4102.0</t>
        </is>
      </c>
      <c r="E352" t="inlineStr">
        <is>
          <t>KR</t>
        </is>
      </c>
      <c r="F352" t="inlineStr">
        <is>
          <t>8078</t>
        </is>
      </c>
      <c r="H352" t="inlineStr">
        <is>
          <t>2026-08-28</t>
        </is>
      </c>
      <c r="I352" t="n">
        <v>-5559.57</v>
      </c>
      <c r="J352" t="inlineStr">
        <is>
          <t>EUR</t>
        </is>
      </c>
      <c r="L352" t="inlineStr">
        <is>
          <t>07/26 AdBlue, Diesel</t>
        </is>
      </c>
      <c r="N352" t="inlineStr">
        <is>
          <t>2026-08-20</t>
        </is>
      </c>
    </row>
    <row r="353">
      <c r="A353" t="n">
        <v>1452</v>
      </c>
      <c r="B353" t="inlineStr">
        <is>
          <t>VERBINDLICHKEIT</t>
        </is>
      </c>
      <c r="C353" t="inlineStr">
        <is>
          <t>4102.0</t>
        </is>
      </c>
      <c r="E353" t="inlineStr">
        <is>
          <t>KR</t>
        </is>
      </c>
      <c r="F353" t="inlineStr">
        <is>
          <t>7930</t>
        </is>
      </c>
      <c r="H353" t="inlineStr">
        <is>
          <t>2026-07-22</t>
        </is>
      </c>
      <c r="I353" t="n">
        <v>-54429.56</v>
      </c>
      <c r="J353" t="inlineStr">
        <is>
          <t>EUR</t>
        </is>
      </c>
      <c r="L353" t="inlineStr">
        <is>
          <t>03+05/26 VZ Körperschaftssteuer/Soli-Zuschlag</t>
        </is>
      </c>
      <c r="N353" t="inlineStr">
        <is>
          <t>2026-08-20</t>
        </is>
      </c>
    </row>
    <row r="354">
      <c r="A354" t="n">
        <v>1453</v>
      </c>
      <c r="B354" t="inlineStr">
        <is>
          <t>VERBINDLICHKEIT</t>
        </is>
      </c>
      <c r="C354" t="inlineStr">
        <is>
          <t>4102.0</t>
        </is>
      </c>
      <c r="E354" t="inlineStr">
        <is>
          <t>KR</t>
        </is>
      </c>
      <c r="F354" t="inlineStr">
        <is>
          <t>7879</t>
        </is>
      </c>
      <c r="H354" t="inlineStr">
        <is>
          <t>2026-08-13</t>
        </is>
      </c>
      <c r="I354" t="n">
        <v>-44.55</v>
      </c>
      <c r="J354" t="inlineStr">
        <is>
          <t>EUR</t>
        </is>
      </c>
      <c r="L354" t="inlineStr">
        <is>
          <t>07/26 Verbandskasten, Post-It</t>
        </is>
      </c>
      <c r="N354" t="inlineStr">
        <is>
          <t>2026-08-20</t>
        </is>
      </c>
    </row>
    <row r="355">
      <c r="A355" t="n">
        <v>1454</v>
      </c>
      <c r="B355" t="inlineStr">
        <is>
          <t>VERBINDLICHKEIT</t>
        </is>
      </c>
      <c r="C355" t="inlineStr">
        <is>
          <t>4102.0</t>
        </is>
      </c>
      <c r="E355" t="inlineStr">
        <is>
          <t>KR</t>
        </is>
      </c>
      <c r="F355" t="inlineStr">
        <is>
          <t>7888</t>
        </is>
      </c>
      <c r="H355" t="inlineStr">
        <is>
          <t>2026-08-12</t>
        </is>
      </c>
      <c r="I355" t="n">
        <v>-76.77</v>
      </c>
      <c r="J355" t="inlineStr">
        <is>
          <t>EUR</t>
        </is>
      </c>
      <c r="L355" t="inlineStr">
        <is>
          <t>07/26 div. Bürobedarf</t>
        </is>
      </c>
      <c r="N355" t="inlineStr">
        <is>
          <t>2026-08-20</t>
        </is>
      </c>
    </row>
    <row r="356">
      <c r="A356" t="n">
        <v>1455</v>
      </c>
      <c r="B356" t="inlineStr">
        <is>
          <t>VERBINDLICHKEIT</t>
        </is>
      </c>
      <c r="C356" t="inlineStr">
        <is>
          <t>4102.0</t>
        </is>
      </c>
      <c r="E356" t="inlineStr">
        <is>
          <t>KR</t>
        </is>
      </c>
      <c r="F356" t="inlineStr">
        <is>
          <t>8076</t>
        </is>
      </c>
      <c r="H356" t="inlineStr">
        <is>
          <t>2026-08-26</t>
        </is>
      </c>
      <c r="I356" t="n">
        <v>-289.73</v>
      </c>
      <c r="J356" t="inlineStr">
        <is>
          <t>EUR</t>
        </is>
      </c>
      <c r="L356" t="inlineStr">
        <is>
          <t>08/26 Bürostuhl, Steckdosenleiste</t>
        </is>
      </c>
      <c r="N356" t="inlineStr">
        <is>
          <t>2026-08-20</t>
        </is>
      </c>
    </row>
    <row r="357">
      <c r="A357" t="n">
        <v>1456</v>
      </c>
      <c r="B357" t="inlineStr">
        <is>
          <t>VERBINDLICHKEIT</t>
        </is>
      </c>
      <c r="C357" t="inlineStr">
        <is>
          <t>4102.0</t>
        </is>
      </c>
      <c r="E357" t="inlineStr">
        <is>
          <t>KR</t>
        </is>
      </c>
      <c r="F357" t="inlineStr">
        <is>
          <t>7897</t>
        </is>
      </c>
      <c r="H357" t="inlineStr">
        <is>
          <t>2026-09-25</t>
        </is>
      </c>
      <c r="I357" t="n">
        <v>-259.57</v>
      </c>
      <c r="J357" t="inlineStr">
        <is>
          <t>EUR</t>
        </is>
      </c>
      <c r="L357" t="inlineStr">
        <is>
          <t>07/26 Sicherheitsstiefel S7,Bundhose,Klinge Messer</t>
        </is>
      </c>
      <c r="N357" t="inlineStr">
        <is>
          <t>2026-08-20</t>
        </is>
      </c>
    </row>
    <row r="358">
      <c r="A358" t="n">
        <v>1457</v>
      </c>
      <c r="B358" t="inlineStr">
        <is>
          <t>VERBINDLICHKEIT</t>
        </is>
      </c>
      <c r="C358" t="inlineStr">
        <is>
          <t>4102.0</t>
        </is>
      </c>
      <c r="E358" t="inlineStr">
        <is>
          <t>KR</t>
        </is>
      </c>
      <c r="F358" t="inlineStr">
        <is>
          <t>7855</t>
        </is>
      </c>
      <c r="H358" t="inlineStr">
        <is>
          <t>2026-09-18</t>
        </is>
      </c>
      <c r="I358" t="n">
        <v>-154.14</v>
      </c>
      <c r="J358" t="inlineStr">
        <is>
          <t>EUR</t>
        </is>
      </c>
      <c r="L358" t="inlineStr">
        <is>
          <t>07/26 Stahlbandmaß,Graffiti-Entferner,Haftschmier</t>
        </is>
      </c>
      <c r="N358" t="inlineStr">
        <is>
          <t>2026-08-20</t>
        </is>
      </c>
    </row>
    <row r="359">
      <c r="A359" t="n">
        <v>1458</v>
      </c>
      <c r="B359" t="inlineStr">
        <is>
          <t>VERBINDLICHKEIT</t>
        </is>
      </c>
      <c r="C359" t="inlineStr">
        <is>
          <t>4102.0</t>
        </is>
      </c>
      <c r="E359" t="inlineStr">
        <is>
          <t>KR</t>
        </is>
      </c>
      <c r="F359" t="inlineStr">
        <is>
          <t>7192</t>
        </is>
      </c>
      <c r="H359" t="inlineStr">
        <is>
          <t>2026-08-07</t>
        </is>
      </c>
      <c r="I359" t="n">
        <v>-199.67</v>
      </c>
      <c r="J359" t="inlineStr">
        <is>
          <t>EUR</t>
        </is>
      </c>
      <c r="L359" t="inlineStr">
        <is>
          <t>06/26 Schutzhandsch., Zubeh. Lötwerkzeuge, Lack..</t>
        </is>
      </c>
      <c r="N359" t="inlineStr">
        <is>
          <t>2026-08-20</t>
        </is>
      </c>
    </row>
    <row r="360">
      <c r="A360" t="n">
        <v>1459</v>
      </c>
      <c r="B360" t="inlineStr">
        <is>
          <t>VERBINDLICHKEIT</t>
        </is>
      </c>
      <c r="C360" t="inlineStr">
        <is>
          <t>4102.0</t>
        </is>
      </c>
      <c r="E360" t="inlineStr">
        <is>
          <t>KR</t>
        </is>
      </c>
      <c r="F360" t="inlineStr">
        <is>
          <t>7795</t>
        </is>
      </c>
      <c r="H360" t="inlineStr">
        <is>
          <t>2026-09-13</t>
        </is>
      </c>
      <c r="I360" t="n">
        <v>-1182.02</v>
      </c>
      <c r="J360" t="inlineStr">
        <is>
          <t>EUR</t>
        </is>
      </c>
      <c r="L360" t="inlineStr">
        <is>
          <t>07/26 div. Werkstattbedarf</t>
        </is>
      </c>
      <c r="N360" t="inlineStr">
        <is>
          <t>2026-08-20</t>
        </is>
      </c>
    </row>
    <row r="361">
      <c r="A361" t="n">
        <v>1460</v>
      </c>
      <c r="B361" t="inlineStr">
        <is>
          <t>VERBINDLICHKEIT</t>
        </is>
      </c>
      <c r="C361" t="inlineStr">
        <is>
          <t>4102.0</t>
        </is>
      </c>
      <c r="E361" t="inlineStr">
        <is>
          <t>KR</t>
        </is>
      </c>
      <c r="F361" t="inlineStr">
        <is>
          <t>8004</t>
        </is>
      </c>
      <c r="H361" t="inlineStr">
        <is>
          <t>2026-09-29</t>
        </is>
      </c>
      <c r="I361" t="n">
        <v>-86.26000000000001</v>
      </c>
      <c r="J361" t="inlineStr">
        <is>
          <t>EUR</t>
        </is>
      </c>
      <c r="L361" t="inlineStr">
        <is>
          <t>07/26 div. Artikel</t>
        </is>
      </c>
      <c r="N361" t="inlineStr">
        <is>
          <t>2026-08-20</t>
        </is>
      </c>
    </row>
    <row r="362">
      <c r="A362" t="n">
        <v>1461</v>
      </c>
      <c r="B362" t="inlineStr">
        <is>
          <t>VERBINDLICHKEIT</t>
        </is>
      </c>
      <c r="C362" t="inlineStr">
        <is>
          <t>4102.0</t>
        </is>
      </c>
      <c r="E362" t="inlineStr">
        <is>
          <t>KR</t>
        </is>
      </c>
      <c r="F362" t="inlineStr">
        <is>
          <t>8000</t>
        </is>
      </c>
      <c r="H362" t="inlineStr">
        <is>
          <t>2026-09-29</t>
        </is>
      </c>
      <c r="I362" t="n">
        <v>-65.02</v>
      </c>
      <c r="J362" t="inlineStr">
        <is>
          <t>EUR</t>
        </is>
      </c>
      <c r="L362" t="inlineStr">
        <is>
          <t>07/26 div. Artikel</t>
        </is>
      </c>
      <c r="N362" t="inlineStr">
        <is>
          <t>2026-08-20</t>
        </is>
      </c>
    </row>
    <row r="363">
      <c r="A363" t="n">
        <v>1462</v>
      </c>
      <c r="B363" t="inlineStr">
        <is>
          <t>VERBINDLICHKEIT</t>
        </is>
      </c>
      <c r="C363" t="inlineStr">
        <is>
          <t>4102.0</t>
        </is>
      </c>
      <c r="E363" t="inlineStr">
        <is>
          <t>KR</t>
        </is>
      </c>
      <c r="F363" t="inlineStr">
        <is>
          <t>8052</t>
        </is>
      </c>
      <c r="H363" t="inlineStr">
        <is>
          <t>2026-10-02</t>
        </is>
      </c>
      <c r="I363" t="n">
        <v>-62.45</v>
      </c>
      <c r="J363" t="inlineStr">
        <is>
          <t>EUR</t>
        </is>
      </c>
      <c r="L363" t="inlineStr">
        <is>
          <t>08/26 Dickschichtlack</t>
        </is>
      </c>
      <c r="N363" t="inlineStr">
        <is>
          <t>2026-08-20</t>
        </is>
      </c>
    </row>
    <row r="364">
      <c r="A364" t="n">
        <v>1463</v>
      </c>
      <c r="B364" t="inlineStr">
        <is>
          <t>VERBINDLICHKEIT</t>
        </is>
      </c>
      <c r="C364" t="inlineStr">
        <is>
          <t>4102.0</t>
        </is>
      </c>
      <c r="E364" t="inlineStr">
        <is>
          <t>KR</t>
        </is>
      </c>
      <c r="F364" t="inlineStr">
        <is>
          <t>8034</t>
        </is>
      </c>
      <c r="H364" t="inlineStr">
        <is>
          <t>2026-08-18</t>
        </is>
      </c>
      <c r="I364" t="n">
        <v>-78.54000000000001</v>
      </c>
      <c r="J364" t="inlineStr">
        <is>
          <t>EUR</t>
        </is>
      </c>
      <c r="L364" t="inlineStr">
        <is>
          <t>07/26 Nutzung Bäderbetriebe</t>
        </is>
      </c>
      <c r="N364" t="inlineStr">
        <is>
          <t>2026-08-20</t>
        </is>
      </c>
    </row>
    <row r="365">
      <c r="A365" t="n">
        <v>1464</v>
      </c>
      <c r="B365" t="inlineStr">
        <is>
          <t>VERBINDLICHKEIT</t>
        </is>
      </c>
      <c r="C365" t="inlineStr">
        <is>
          <t>4102.0</t>
        </is>
      </c>
      <c r="E365" t="inlineStr">
        <is>
          <t>KR</t>
        </is>
      </c>
      <c r="F365" t="inlineStr">
        <is>
          <t>8055</t>
        </is>
      </c>
      <c r="H365" t="inlineStr">
        <is>
          <t>2026-10-04</t>
        </is>
      </c>
      <c r="I365" t="n">
        <v>-928.2</v>
      </c>
      <c r="J365" t="inlineStr">
        <is>
          <t>EUR</t>
        </is>
      </c>
      <c r="L365" t="inlineStr">
        <is>
          <t>08/26 Miete Sanitärcontainer, Standardcontainer</t>
        </is>
      </c>
      <c r="N365" t="inlineStr">
        <is>
          <t>2026-08-20</t>
        </is>
      </c>
    </row>
    <row r="366">
      <c r="A366" t="n">
        <v>1465</v>
      </c>
      <c r="B366" t="inlineStr">
        <is>
          <t>VERBINDLICHKEIT</t>
        </is>
      </c>
      <c r="C366" t="inlineStr">
        <is>
          <t>4102.0</t>
        </is>
      </c>
      <c r="E366" t="inlineStr">
        <is>
          <t>KR</t>
        </is>
      </c>
      <c r="F366" t="inlineStr">
        <is>
          <t>7937</t>
        </is>
      </c>
      <c r="H366" t="inlineStr">
        <is>
          <t>2026-08-30</t>
        </is>
      </c>
      <c r="I366" t="n">
        <v>-950.75</v>
      </c>
      <c r="J366" t="inlineStr">
        <is>
          <t>EUR</t>
        </is>
      </c>
      <c r="L366" t="inlineStr">
        <is>
          <t>07/26 Rep. Radlader 908</t>
        </is>
      </c>
      <c r="N366" t="inlineStr">
        <is>
          <t>2026-08-20</t>
        </is>
      </c>
    </row>
    <row r="367">
      <c r="A367" t="n">
        <v>1466</v>
      </c>
      <c r="B367" t="inlineStr">
        <is>
          <t>VERBINDLICHKEIT</t>
        </is>
      </c>
      <c r="C367" t="inlineStr">
        <is>
          <t>4102.0</t>
        </is>
      </c>
      <c r="E367" t="inlineStr">
        <is>
          <t>KG</t>
        </is>
      </c>
      <c r="F367" t="inlineStr">
        <is>
          <t>2113</t>
        </is>
      </c>
      <c r="H367" t="inlineStr">
        <is>
          <t>2026-07-30</t>
        </is>
      </c>
      <c r="I367" t="n">
        <v>1360.17</v>
      </c>
      <c r="J367" t="inlineStr">
        <is>
          <t>EUR</t>
        </is>
      </c>
      <c r="L367" t="inlineStr">
        <is>
          <t>Storno zu REK1132418 06/26 PE-Schlauchfolie</t>
        </is>
      </c>
      <c r="N367" t="inlineStr">
        <is>
          <t>2026-08-20</t>
        </is>
      </c>
    </row>
    <row r="368">
      <c r="A368" t="n">
        <v>1467</v>
      </c>
      <c r="B368" t="inlineStr">
        <is>
          <t>VERBINDLICHKEIT</t>
        </is>
      </c>
      <c r="C368" t="inlineStr">
        <is>
          <t>4102.0</t>
        </is>
      </c>
      <c r="E368" t="inlineStr">
        <is>
          <t>KR</t>
        </is>
      </c>
      <c r="F368" t="inlineStr">
        <is>
          <t>7665</t>
        </is>
      </c>
      <c r="H368" t="inlineStr">
        <is>
          <t>2026-08-06</t>
        </is>
      </c>
      <c r="I368" t="n">
        <v>-1596.33</v>
      </c>
      <c r="J368" t="inlineStr">
        <is>
          <t>EUR</t>
        </is>
      </c>
      <c r="L368" t="inlineStr">
        <is>
          <t>07/26 PE-Schlauchfolie</t>
        </is>
      </c>
      <c r="N368" t="inlineStr">
        <is>
          <t>2026-08-20</t>
        </is>
      </c>
    </row>
    <row r="369">
      <c r="A369" t="n">
        <v>1468</v>
      </c>
      <c r="B369" t="inlineStr">
        <is>
          <t>VERBINDLICHKEIT</t>
        </is>
      </c>
      <c r="C369" t="inlineStr">
        <is>
          <t>4102.0</t>
        </is>
      </c>
      <c r="E369" t="inlineStr">
        <is>
          <t>KR</t>
        </is>
      </c>
      <c r="F369" t="inlineStr">
        <is>
          <t>8061</t>
        </is>
      </c>
      <c r="H369" t="inlineStr">
        <is>
          <t>2026-09-04</t>
        </is>
      </c>
      <c r="I369" t="n">
        <v>-532.11</v>
      </c>
      <c r="J369" t="inlineStr">
        <is>
          <t>EUR</t>
        </is>
      </c>
      <c r="L369" t="inlineStr">
        <is>
          <t>08/26 PE-Schlauchfolie</t>
        </is>
      </c>
      <c r="N369" t="inlineStr">
        <is>
          <t>2026-08-20</t>
        </is>
      </c>
    </row>
    <row r="370">
      <c r="A370" t="n">
        <v>1469</v>
      </c>
      <c r="B370" t="inlineStr">
        <is>
          <t>VERBINDLICHKEIT</t>
        </is>
      </c>
      <c r="C370" t="inlineStr">
        <is>
          <t>4102.0</t>
        </is>
      </c>
      <c r="E370" t="inlineStr">
        <is>
          <t>KR</t>
        </is>
      </c>
      <c r="F370" t="inlineStr">
        <is>
          <t>7900</t>
        </is>
      </c>
      <c r="H370" t="inlineStr">
        <is>
          <t>2026-09-26</t>
        </is>
      </c>
      <c r="I370" t="n">
        <v>-17516.8</v>
      </c>
      <c r="J370" t="inlineStr">
        <is>
          <t>EUR</t>
        </is>
      </c>
      <c r="L370" t="inlineStr">
        <is>
          <t>07/26 GK10 Kranzkette, 1- strg. 26x14500</t>
        </is>
      </c>
      <c r="N370" t="inlineStr">
        <is>
          <t>2026-08-20</t>
        </is>
      </c>
    </row>
    <row r="371">
      <c r="A371" t="n">
        <v>1470</v>
      </c>
      <c r="B371" t="inlineStr">
        <is>
          <t>VERBINDLICHKEIT</t>
        </is>
      </c>
      <c r="C371" t="inlineStr">
        <is>
          <t>4102.0</t>
        </is>
      </c>
      <c r="E371" t="inlineStr">
        <is>
          <t>KR</t>
        </is>
      </c>
      <c r="F371" t="inlineStr">
        <is>
          <t>7957</t>
        </is>
      </c>
      <c r="H371" t="inlineStr">
        <is>
          <t>2026-09-29</t>
        </is>
      </c>
      <c r="I371" t="n">
        <v>-1248.76</v>
      </c>
      <c r="J371" t="inlineStr">
        <is>
          <t>EUR</t>
        </is>
      </c>
      <c r="L371" t="inlineStr">
        <is>
          <t>07/26 Miete 4 Kammer Personalschleuse plus Zubehör</t>
        </is>
      </c>
      <c r="N371" t="inlineStr">
        <is>
          <t>2026-08-20</t>
        </is>
      </c>
    </row>
    <row r="372">
      <c r="A372" t="n">
        <v>1471</v>
      </c>
      <c r="B372" t="inlineStr">
        <is>
          <t>VERBINDLICHKEIT</t>
        </is>
      </c>
      <c r="C372" t="inlineStr">
        <is>
          <t>4102.0</t>
        </is>
      </c>
      <c r="E372" t="inlineStr">
        <is>
          <t>KR</t>
        </is>
      </c>
      <c r="F372" t="inlineStr">
        <is>
          <t>7956</t>
        </is>
      </c>
      <c r="H372" t="inlineStr">
        <is>
          <t>2026-09-29</t>
        </is>
      </c>
      <c r="I372" t="n">
        <v>-958.64</v>
      </c>
      <c r="J372" t="inlineStr">
        <is>
          <t>EUR</t>
        </is>
      </c>
      <c r="L372" t="inlineStr">
        <is>
          <t>07/26 Miete 4 Kammer Personalschleuse plus Zubehör</t>
        </is>
      </c>
      <c r="N372" t="inlineStr">
        <is>
          <t>2026-08-20</t>
        </is>
      </c>
    </row>
    <row r="373">
      <c r="A373" t="n">
        <v>1472</v>
      </c>
      <c r="B373" t="inlineStr">
        <is>
          <t>VERBINDLICHKEIT</t>
        </is>
      </c>
      <c r="C373" t="inlineStr">
        <is>
          <t>4102.0</t>
        </is>
      </c>
      <c r="E373" t="inlineStr">
        <is>
          <t>KR</t>
        </is>
      </c>
      <c r="F373" t="inlineStr">
        <is>
          <t>7768</t>
        </is>
      </c>
      <c r="H373" t="inlineStr">
        <is>
          <t>2026-09-12</t>
        </is>
      </c>
      <c r="I373" t="n">
        <v>-916.95</v>
      </c>
      <c r="J373" t="inlineStr">
        <is>
          <t>EUR</t>
        </is>
      </c>
      <c r="L373" t="inlineStr">
        <is>
          <t>07/26 Miete 4 Kammer Personalschleuse plus Zubehör</t>
        </is>
      </c>
      <c r="N373" t="inlineStr">
        <is>
          <t>2026-08-20</t>
        </is>
      </c>
    </row>
    <row r="374">
      <c r="A374" t="n">
        <v>1473</v>
      </c>
      <c r="B374" t="inlineStr">
        <is>
          <t>VERBINDLICHKEIT</t>
        </is>
      </c>
      <c r="C374" t="inlineStr">
        <is>
          <t>4102.0</t>
        </is>
      </c>
      <c r="E374" t="inlineStr">
        <is>
          <t>KR</t>
        </is>
      </c>
      <c r="F374" t="inlineStr">
        <is>
          <t>7767</t>
        </is>
      </c>
      <c r="H374" t="inlineStr">
        <is>
          <t>2026-09-12</t>
        </is>
      </c>
      <c r="I374" t="n">
        <v>-1194.46</v>
      </c>
      <c r="J374" t="inlineStr">
        <is>
          <t>EUR</t>
        </is>
      </c>
      <c r="L374" t="inlineStr">
        <is>
          <t>07/26 Miete 4 Kammer Personalschleuse plus Zubehör</t>
        </is>
      </c>
      <c r="N374" t="inlineStr">
        <is>
          <t>2026-08-20</t>
        </is>
      </c>
    </row>
    <row r="375">
      <c r="A375" t="n">
        <v>1474</v>
      </c>
      <c r="B375" t="inlineStr">
        <is>
          <t>VERBINDLICHKEIT</t>
        </is>
      </c>
      <c r="C375" t="inlineStr">
        <is>
          <t>4102.0</t>
        </is>
      </c>
      <c r="E375" t="inlineStr">
        <is>
          <t>KR</t>
        </is>
      </c>
      <c r="F375" t="inlineStr">
        <is>
          <t>7703</t>
        </is>
      </c>
      <c r="H375" t="inlineStr">
        <is>
          <t>2026-08-16</t>
        </is>
      </c>
      <c r="I375" t="n">
        <v>-233.04</v>
      </c>
      <c r="J375" t="inlineStr">
        <is>
          <t>EUR</t>
        </is>
      </c>
      <c r="L375" t="inlineStr">
        <is>
          <t>06-07/26 Miete Bauwagen</t>
        </is>
      </c>
      <c r="N375" t="inlineStr">
        <is>
          <t>2026-08-20</t>
        </is>
      </c>
    </row>
    <row r="376">
      <c r="A376" t="n">
        <v>1475</v>
      </c>
      <c r="B376" t="inlineStr">
        <is>
          <t>VERBINDLICHKEIT</t>
        </is>
      </c>
      <c r="C376" t="inlineStr">
        <is>
          <t>4102.0</t>
        </is>
      </c>
      <c r="E376" t="inlineStr">
        <is>
          <t>KR</t>
        </is>
      </c>
      <c r="F376" t="inlineStr">
        <is>
          <t>7908</t>
        </is>
      </c>
      <c r="H376" t="inlineStr">
        <is>
          <t>2026-09-07</t>
        </is>
      </c>
      <c r="I376" t="n">
        <v>-1355.95</v>
      </c>
      <c r="J376" t="inlineStr">
        <is>
          <t>EUR</t>
        </is>
      </c>
      <c r="L376" t="inlineStr">
        <is>
          <t>07/26 Miete Minibagger CAT 300.9 plus Zubehör</t>
        </is>
      </c>
      <c r="N376" t="inlineStr">
        <is>
          <t>2026-08-20</t>
        </is>
      </c>
    </row>
    <row r="377">
      <c r="A377" t="n">
        <v>1476</v>
      </c>
      <c r="B377" t="inlineStr">
        <is>
          <t>VERBINDLICHKEIT</t>
        </is>
      </c>
      <c r="C377" t="inlineStr">
        <is>
          <t>4102.0</t>
        </is>
      </c>
      <c r="E377" t="inlineStr">
        <is>
          <t>KR</t>
        </is>
      </c>
      <c r="F377" t="inlineStr">
        <is>
          <t>7914</t>
        </is>
      </c>
      <c r="H377" t="inlineStr">
        <is>
          <t>2026-09-06</t>
        </is>
      </c>
      <c r="I377" t="n">
        <v>-8.75</v>
      </c>
      <c r="J377" t="inlineStr">
        <is>
          <t>EUR</t>
        </is>
      </c>
      <c r="L377" t="inlineStr">
        <is>
          <t>07/26 Miete Metallbauzaun plus Zubehör</t>
        </is>
      </c>
      <c r="N377" t="inlineStr">
        <is>
          <t>2026-08-20</t>
        </is>
      </c>
    </row>
    <row r="378">
      <c r="A378" t="n">
        <v>1477</v>
      </c>
      <c r="B378" t="inlineStr">
        <is>
          <t>VERBINDLICHKEIT</t>
        </is>
      </c>
      <c r="C378" t="inlineStr">
        <is>
          <t>4102.0</t>
        </is>
      </c>
      <c r="E378" t="inlineStr">
        <is>
          <t>KR</t>
        </is>
      </c>
      <c r="F378" t="inlineStr">
        <is>
          <t>7925</t>
        </is>
      </c>
      <c r="H378" t="inlineStr">
        <is>
          <t>2026-09-08</t>
        </is>
      </c>
      <c r="I378" t="n">
        <v>-1929.8</v>
      </c>
      <c r="J378" t="inlineStr">
        <is>
          <t>EUR</t>
        </is>
      </c>
      <c r="L378" t="inlineStr">
        <is>
          <t>07/26 Diesel</t>
        </is>
      </c>
      <c r="N378" t="inlineStr">
        <is>
          <t>2026-08-20</t>
        </is>
      </c>
    </row>
    <row r="379">
      <c r="A379" t="n">
        <v>1478</v>
      </c>
      <c r="B379" t="inlineStr">
        <is>
          <t>VERBINDLICHKEIT</t>
        </is>
      </c>
      <c r="C379" t="inlineStr">
        <is>
          <t>4102.0</t>
        </is>
      </c>
      <c r="E379" t="inlineStr">
        <is>
          <t>KR</t>
        </is>
      </c>
      <c r="F379" t="inlineStr">
        <is>
          <t>7911</t>
        </is>
      </c>
      <c r="H379" t="inlineStr">
        <is>
          <t>2026-09-06</t>
        </is>
      </c>
      <c r="I379" t="n">
        <v>-1116.22</v>
      </c>
      <c r="J379" t="inlineStr">
        <is>
          <t>EUR</t>
        </is>
      </c>
      <c r="L379" t="inlineStr">
        <is>
          <t>07/26 Miete Teiflöffel</t>
        </is>
      </c>
      <c r="N379" t="inlineStr">
        <is>
          <t>2026-08-20</t>
        </is>
      </c>
    </row>
    <row r="380">
      <c r="A380" t="n">
        <v>1479</v>
      </c>
      <c r="B380" t="inlineStr">
        <is>
          <t>VERBINDLICHKEIT</t>
        </is>
      </c>
      <c r="C380" t="inlineStr">
        <is>
          <t>4102.0</t>
        </is>
      </c>
      <c r="E380" t="inlineStr">
        <is>
          <t>KR</t>
        </is>
      </c>
      <c r="F380" t="inlineStr">
        <is>
          <t>7924</t>
        </is>
      </c>
      <c r="H380" t="inlineStr">
        <is>
          <t>2026-09-08</t>
        </is>
      </c>
      <c r="I380" t="n">
        <v>-583.1</v>
      </c>
      <c r="J380" t="inlineStr">
        <is>
          <t>EUR</t>
        </is>
      </c>
      <c r="L380" t="inlineStr">
        <is>
          <t>07/26 Fäkalienentsorgung Sanierung G22</t>
        </is>
      </c>
      <c r="N380" t="inlineStr">
        <is>
          <t>2026-08-20</t>
        </is>
      </c>
    </row>
    <row r="381">
      <c r="A381" t="n">
        <v>1480</v>
      </c>
      <c r="B381" t="inlineStr">
        <is>
          <t>VERBINDLICHKEIT</t>
        </is>
      </c>
      <c r="C381" t="inlineStr">
        <is>
          <t>4102.0</t>
        </is>
      </c>
      <c r="E381" t="inlineStr">
        <is>
          <t>KR</t>
        </is>
      </c>
      <c r="F381" t="inlineStr">
        <is>
          <t>7913</t>
        </is>
      </c>
      <c r="H381" t="inlineStr">
        <is>
          <t>2026-09-06</t>
        </is>
      </c>
      <c r="I381" t="n">
        <v>-166.77</v>
      </c>
      <c r="J381" t="inlineStr">
        <is>
          <t>EUR</t>
        </is>
      </c>
      <c r="L381" t="inlineStr">
        <is>
          <t>07/26 Miete Metallbauzaun plus Zubehör</t>
        </is>
      </c>
      <c r="N381" t="inlineStr">
        <is>
          <t>2026-08-20</t>
        </is>
      </c>
    </row>
    <row r="382">
      <c r="A382" t="n">
        <v>1481</v>
      </c>
      <c r="B382" t="inlineStr">
        <is>
          <t>VERBINDLICHKEIT</t>
        </is>
      </c>
      <c r="C382" t="inlineStr">
        <is>
          <t>4102.0</t>
        </is>
      </c>
      <c r="E382" t="inlineStr">
        <is>
          <t>KR</t>
        </is>
      </c>
      <c r="F382" t="inlineStr">
        <is>
          <t>8026</t>
        </is>
      </c>
      <c r="H382" t="inlineStr">
        <is>
          <t>2026-09-12</t>
        </is>
      </c>
      <c r="I382" t="n">
        <v>-484.81</v>
      </c>
      <c r="J382" t="inlineStr">
        <is>
          <t>EUR</t>
        </is>
      </c>
      <c r="L382" t="inlineStr">
        <is>
          <t>08/26 Miete Doppelcontainer plus Zubehör</t>
        </is>
      </c>
      <c r="N382" t="inlineStr">
        <is>
          <t>2026-08-20</t>
        </is>
      </c>
    </row>
    <row r="383">
      <c r="A383" t="n">
        <v>1482</v>
      </c>
      <c r="B383" t="inlineStr">
        <is>
          <t>VERBINDLICHKEIT</t>
        </is>
      </c>
      <c r="C383" t="inlineStr">
        <is>
          <t>4102.0</t>
        </is>
      </c>
      <c r="E383" t="inlineStr">
        <is>
          <t>KR</t>
        </is>
      </c>
      <c r="F383" t="inlineStr">
        <is>
          <t>8027</t>
        </is>
      </c>
      <c r="H383" t="inlineStr">
        <is>
          <t>2026-09-12</t>
        </is>
      </c>
      <c r="I383" t="n">
        <v>-2431.05</v>
      </c>
      <c r="J383" t="inlineStr">
        <is>
          <t>EUR</t>
        </is>
      </c>
      <c r="L383" t="inlineStr">
        <is>
          <t>08/26 Miete Raum-Modul plus Zubehör</t>
        </is>
      </c>
      <c r="N383" t="inlineStr">
        <is>
          <t>2026-08-20</t>
        </is>
      </c>
    </row>
    <row r="384">
      <c r="A384" t="n">
        <v>1483</v>
      </c>
      <c r="B384" t="inlineStr">
        <is>
          <t>VERBINDLICHKEIT</t>
        </is>
      </c>
      <c r="C384" t="inlineStr">
        <is>
          <t>4102.0</t>
        </is>
      </c>
      <c r="E384" t="inlineStr">
        <is>
          <t>KR</t>
        </is>
      </c>
      <c r="F384" t="inlineStr">
        <is>
          <t>8028</t>
        </is>
      </c>
      <c r="H384" t="inlineStr">
        <is>
          <t>2026-09-12</t>
        </is>
      </c>
      <c r="I384" t="n">
        <v>-1433.71</v>
      </c>
      <c r="J384" t="inlineStr">
        <is>
          <t>EUR</t>
        </is>
      </c>
      <c r="L384" t="inlineStr">
        <is>
          <t>08/26 Miete Raum-Modul plus Zubehör</t>
        </is>
      </c>
      <c r="N384" t="inlineStr">
        <is>
          <t>2026-08-20</t>
        </is>
      </c>
    </row>
    <row r="385">
      <c r="A385" t="n">
        <v>1484</v>
      </c>
      <c r="B385" t="inlineStr">
        <is>
          <t>VERBINDLICHKEIT</t>
        </is>
      </c>
      <c r="C385" t="inlineStr">
        <is>
          <t>4102.0</t>
        </is>
      </c>
      <c r="E385" t="inlineStr">
        <is>
          <t>KR</t>
        </is>
      </c>
      <c r="F385" t="inlineStr">
        <is>
          <t>7986</t>
        </is>
      </c>
      <c r="H385" t="inlineStr">
        <is>
          <t>2026-09-09</t>
        </is>
      </c>
      <c r="I385" t="n">
        <v>-6255.78</v>
      </c>
      <c r="J385" t="inlineStr">
        <is>
          <t>EUR</t>
        </is>
      </c>
      <c r="L385" t="inlineStr">
        <is>
          <t>07/26 Miete Radlader CAT 906 plus Zubehör</t>
        </is>
      </c>
      <c r="N385" t="inlineStr">
        <is>
          <t>2026-08-20</t>
        </is>
      </c>
    </row>
    <row r="386">
      <c r="A386" t="n">
        <v>1485</v>
      </c>
      <c r="B386" t="inlineStr">
        <is>
          <t>VERBINDLICHKEIT</t>
        </is>
      </c>
      <c r="C386" t="inlineStr">
        <is>
          <t>4102.0</t>
        </is>
      </c>
      <c r="E386" t="inlineStr">
        <is>
          <t>KR</t>
        </is>
      </c>
      <c r="F386" t="inlineStr">
        <is>
          <t>7993</t>
        </is>
      </c>
      <c r="H386" t="inlineStr">
        <is>
          <t>2026-09-09</t>
        </is>
      </c>
      <c r="I386" t="n">
        <v>-1755.19</v>
      </c>
      <c r="J386" t="inlineStr">
        <is>
          <t>EUR</t>
        </is>
      </c>
      <c r="L386" t="inlineStr">
        <is>
          <t>07/26 Miete Walzenzug CAT</t>
        </is>
      </c>
      <c r="N386" t="inlineStr">
        <is>
          <t>2026-08-20</t>
        </is>
      </c>
    </row>
    <row r="387">
      <c r="A387" t="n">
        <v>1486</v>
      </c>
      <c r="B387" t="inlineStr">
        <is>
          <t>VERBINDLICHKEIT</t>
        </is>
      </c>
      <c r="C387" t="inlineStr">
        <is>
          <t>4102.0</t>
        </is>
      </c>
      <c r="E387" t="inlineStr">
        <is>
          <t>KR</t>
        </is>
      </c>
      <c r="F387" t="inlineStr">
        <is>
          <t>7982</t>
        </is>
      </c>
      <c r="H387" t="inlineStr">
        <is>
          <t>2026-09-09</t>
        </is>
      </c>
      <c r="I387" t="n">
        <v>-1489.76</v>
      </c>
      <c r="J387" t="inlineStr">
        <is>
          <t>EUR</t>
        </is>
      </c>
      <c r="L387" t="inlineStr">
        <is>
          <t>07/26 Miete Minibagger CAT 300.9 plus Zubehör</t>
        </is>
      </c>
      <c r="N387" t="inlineStr">
        <is>
          <t>2026-08-20</t>
        </is>
      </c>
    </row>
    <row r="388">
      <c r="A388" t="n">
        <v>1487</v>
      </c>
      <c r="B388" t="inlineStr">
        <is>
          <t>VERBINDLICHKEIT</t>
        </is>
      </c>
      <c r="C388" t="inlineStr">
        <is>
          <t>4102.0</t>
        </is>
      </c>
      <c r="E388" t="inlineStr">
        <is>
          <t>KR</t>
        </is>
      </c>
      <c r="F388" t="inlineStr">
        <is>
          <t>7983</t>
        </is>
      </c>
      <c r="H388" t="inlineStr">
        <is>
          <t>2026-09-09</t>
        </is>
      </c>
      <c r="I388" t="n">
        <v>-225.62</v>
      </c>
      <c r="J388" t="inlineStr">
        <is>
          <t>EUR</t>
        </is>
      </c>
      <c r="L388" t="inlineStr">
        <is>
          <t>07/26 Miete Lagercontainer, Metallbauzaun</t>
        </is>
      </c>
      <c r="N388" t="inlineStr">
        <is>
          <t>2026-08-20</t>
        </is>
      </c>
    </row>
    <row r="389">
      <c r="A389" t="n">
        <v>1488</v>
      </c>
      <c r="B389" t="inlineStr">
        <is>
          <t>VERBINDLICHKEIT</t>
        </is>
      </c>
      <c r="C389" t="inlineStr">
        <is>
          <t>4102.0</t>
        </is>
      </c>
      <c r="E389" t="inlineStr">
        <is>
          <t>KR</t>
        </is>
      </c>
      <c r="F389" t="inlineStr">
        <is>
          <t>7990</t>
        </is>
      </c>
      <c r="H389" t="inlineStr">
        <is>
          <t>2026-09-09</t>
        </is>
      </c>
      <c r="I389" t="n">
        <v>-79.97</v>
      </c>
      <c r="J389" t="inlineStr">
        <is>
          <t>EUR</t>
        </is>
      </c>
      <c r="L389" t="inlineStr">
        <is>
          <t>07/26 Miete Metallbauzaun plus Zubehör</t>
        </is>
      </c>
      <c r="N389" t="inlineStr">
        <is>
          <t>2026-08-20</t>
        </is>
      </c>
    </row>
    <row r="390">
      <c r="A390" t="n">
        <v>1489</v>
      </c>
      <c r="B390" t="inlineStr">
        <is>
          <t>VERBINDLICHKEIT</t>
        </is>
      </c>
      <c r="C390" t="inlineStr">
        <is>
          <t>4102.0</t>
        </is>
      </c>
      <c r="E390" t="inlineStr">
        <is>
          <t>KR</t>
        </is>
      </c>
      <c r="F390" t="inlineStr">
        <is>
          <t>7992</t>
        </is>
      </c>
      <c r="H390" t="inlineStr">
        <is>
          <t>2026-09-09</t>
        </is>
      </c>
      <c r="I390" t="n">
        <v>-2559.1</v>
      </c>
      <c r="J390" t="inlineStr">
        <is>
          <t>EUR</t>
        </is>
      </c>
      <c r="L390" t="inlineStr">
        <is>
          <t>07/26 Miete Radlader CAT 908M plus Zubehör</t>
        </is>
      </c>
      <c r="N390" t="inlineStr">
        <is>
          <t>2026-08-20</t>
        </is>
      </c>
    </row>
    <row r="391">
      <c r="A391" t="n">
        <v>1490</v>
      </c>
      <c r="B391" t="inlineStr">
        <is>
          <t>VERBINDLICHKEIT</t>
        </is>
      </c>
      <c r="C391" t="inlineStr">
        <is>
          <t>4102.0</t>
        </is>
      </c>
      <c r="E391" t="inlineStr">
        <is>
          <t>KR</t>
        </is>
      </c>
      <c r="F391" t="inlineStr">
        <is>
          <t>7984</t>
        </is>
      </c>
      <c r="H391" t="inlineStr">
        <is>
          <t>2026-09-09</t>
        </is>
      </c>
      <c r="I391" t="n">
        <v>-1485.64</v>
      </c>
      <c r="J391" t="inlineStr">
        <is>
          <t>EUR</t>
        </is>
      </c>
      <c r="L391" t="inlineStr">
        <is>
          <t>07/26 Miete Kompressor XAS plus Zubehör</t>
        </is>
      </c>
      <c r="N391" t="inlineStr">
        <is>
          <t>2026-08-20</t>
        </is>
      </c>
    </row>
    <row r="392">
      <c r="A392" t="n">
        <v>1491</v>
      </c>
      <c r="B392" t="inlineStr">
        <is>
          <t>VERBINDLICHKEIT</t>
        </is>
      </c>
      <c r="C392" t="inlineStr">
        <is>
          <t>4102.0</t>
        </is>
      </c>
      <c r="E392" t="inlineStr">
        <is>
          <t>KR</t>
        </is>
      </c>
      <c r="F392" t="inlineStr">
        <is>
          <t>7985</t>
        </is>
      </c>
      <c r="H392" t="inlineStr">
        <is>
          <t>2026-09-09</t>
        </is>
      </c>
      <c r="I392" t="n">
        <v>-582.49</v>
      </c>
      <c r="J392" t="inlineStr">
        <is>
          <t>EUR</t>
        </is>
      </c>
      <c r="L392" t="inlineStr">
        <is>
          <t>07/26 Miete Mobile Tankanlage</t>
        </is>
      </c>
      <c r="N392" t="inlineStr">
        <is>
          <t>2026-08-20</t>
        </is>
      </c>
    </row>
    <row r="393">
      <c r="A393" t="n">
        <v>1492</v>
      </c>
      <c r="B393" t="inlineStr">
        <is>
          <t>VERBINDLICHKEIT</t>
        </is>
      </c>
      <c r="C393" t="inlineStr">
        <is>
          <t>4102.0</t>
        </is>
      </c>
      <c r="E393" t="inlineStr">
        <is>
          <t>KR</t>
        </is>
      </c>
      <c r="F393" t="inlineStr">
        <is>
          <t>7981</t>
        </is>
      </c>
      <c r="H393" t="inlineStr">
        <is>
          <t>2026-09-09</t>
        </is>
      </c>
      <c r="I393" t="n">
        <v>-1331.49</v>
      </c>
      <c r="J393" t="inlineStr">
        <is>
          <t>EUR</t>
        </is>
      </c>
      <c r="L393" t="inlineStr">
        <is>
          <t>07/26 Miete Minibagger CAT 302.7 plus Zubehör</t>
        </is>
      </c>
      <c r="N393" t="inlineStr">
        <is>
          <t>2026-08-20</t>
        </is>
      </c>
    </row>
    <row r="394">
      <c r="A394" t="n">
        <v>1493</v>
      </c>
      <c r="B394" t="inlineStr">
        <is>
          <t>VERBINDLICHKEIT</t>
        </is>
      </c>
      <c r="C394" t="inlineStr">
        <is>
          <t>4102.0</t>
        </is>
      </c>
      <c r="E394" t="inlineStr">
        <is>
          <t>KR</t>
        </is>
      </c>
      <c r="F394" t="inlineStr">
        <is>
          <t>7988</t>
        </is>
      </c>
      <c r="H394" t="inlineStr">
        <is>
          <t>2026-09-09</t>
        </is>
      </c>
      <c r="I394" t="n">
        <v>-124.95</v>
      </c>
      <c r="J394" t="inlineStr">
        <is>
          <t>EUR</t>
        </is>
      </c>
      <c r="L394" t="inlineStr">
        <is>
          <t>07/26 Miete Metallbauzaun plus Zubehör</t>
        </is>
      </c>
      <c r="N394" t="inlineStr">
        <is>
          <t>2026-08-20</t>
        </is>
      </c>
    </row>
    <row r="395">
      <c r="A395" t="n">
        <v>1494</v>
      </c>
      <c r="B395" t="inlineStr">
        <is>
          <t>VERBINDLICHKEIT</t>
        </is>
      </c>
      <c r="C395" t="inlineStr">
        <is>
          <t>4102.0</t>
        </is>
      </c>
      <c r="E395" t="inlineStr">
        <is>
          <t>KR</t>
        </is>
      </c>
      <c r="F395" t="inlineStr">
        <is>
          <t>7989</t>
        </is>
      </c>
      <c r="H395" t="inlineStr">
        <is>
          <t>2026-09-09</t>
        </is>
      </c>
      <c r="I395" t="n">
        <v>-1482.98</v>
      </c>
      <c r="J395" t="inlineStr">
        <is>
          <t>EUR</t>
        </is>
      </c>
      <c r="L395" t="inlineStr">
        <is>
          <t>07/26 Miete Schlaghammer</t>
        </is>
      </c>
      <c r="N395" t="inlineStr">
        <is>
          <t>2026-08-20</t>
        </is>
      </c>
    </row>
    <row r="396">
      <c r="A396" t="n">
        <v>1495</v>
      </c>
      <c r="B396" t="inlineStr">
        <is>
          <t>VERBINDLICHKEIT</t>
        </is>
      </c>
      <c r="C396" t="inlineStr">
        <is>
          <t>4102.0</t>
        </is>
      </c>
      <c r="E396" t="inlineStr">
        <is>
          <t>KR</t>
        </is>
      </c>
      <c r="F396" t="inlineStr">
        <is>
          <t>7991</t>
        </is>
      </c>
      <c r="H396" t="inlineStr">
        <is>
          <t>2026-09-09</t>
        </is>
      </c>
      <c r="I396" t="n">
        <v>-124.95</v>
      </c>
      <c r="J396" t="inlineStr">
        <is>
          <t>EUR</t>
        </is>
      </c>
      <c r="L396" t="inlineStr">
        <is>
          <t>07/26 Miete Metallbauzaun plus Zubehör</t>
        </is>
      </c>
      <c r="N396" t="inlineStr">
        <is>
          <t>2026-08-20</t>
        </is>
      </c>
    </row>
    <row r="397">
      <c r="A397" t="n">
        <v>1496</v>
      </c>
      <c r="B397" t="inlineStr">
        <is>
          <t>VERBINDLICHKEIT</t>
        </is>
      </c>
      <c r="C397" t="inlineStr">
        <is>
          <t>4102.0</t>
        </is>
      </c>
      <c r="E397" t="inlineStr">
        <is>
          <t>KR</t>
        </is>
      </c>
      <c r="F397" t="inlineStr">
        <is>
          <t>8030</t>
        </is>
      </c>
      <c r="H397" t="inlineStr">
        <is>
          <t>2026-09-13</t>
        </is>
      </c>
      <c r="I397" t="n">
        <v>-416.63</v>
      </c>
      <c r="J397" t="inlineStr">
        <is>
          <t>EUR</t>
        </is>
      </c>
      <c r="L397" t="inlineStr">
        <is>
          <t>08/26 Rep. Hydraulikhammer SB52</t>
        </is>
      </c>
      <c r="N397" t="inlineStr">
        <is>
          <t>2026-08-20</t>
        </is>
      </c>
    </row>
    <row r="398">
      <c r="A398" t="n">
        <v>1497</v>
      </c>
      <c r="B398" t="inlineStr">
        <is>
          <t>VERBINDLICHKEIT</t>
        </is>
      </c>
      <c r="C398" t="inlineStr">
        <is>
          <t>4102.0</t>
        </is>
      </c>
      <c r="E398" t="inlineStr">
        <is>
          <t>KR</t>
        </is>
      </c>
      <c r="F398" t="inlineStr">
        <is>
          <t>8031</t>
        </is>
      </c>
      <c r="H398" t="inlineStr">
        <is>
          <t>2026-09-13</t>
        </is>
      </c>
      <c r="I398" t="n">
        <v>-651.54</v>
      </c>
      <c r="J398" t="inlineStr">
        <is>
          <t>EUR</t>
        </is>
      </c>
      <c r="L398" t="inlineStr">
        <is>
          <t>08/26 Rep. Radlader CAT 906M</t>
        </is>
      </c>
      <c r="N398" t="inlineStr">
        <is>
          <t>2026-08-20</t>
        </is>
      </c>
    </row>
    <row r="399">
      <c r="A399" t="n">
        <v>1498</v>
      </c>
      <c r="B399" t="inlineStr">
        <is>
          <t>VERBINDLICHKEIT</t>
        </is>
      </c>
      <c r="C399" t="inlineStr">
        <is>
          <t>4102.0</t>
        </is>
      </c>
      <c r="E399" t="inlineStr">
        <is>
          <t>KR</t>
        </is>
      </c>
      <c r="F399" t="inlineStr">
        <is>
          <t>8029</t>
        </is>
      </c>
      <c r="H399" t="inlineStr">
        <is>
          <t>2026-09-12</t>
        </is>
      </c>
      <c r="I399" t="n">
        <v>-408.41</v>
      </c>
      <c r="J399" t="inlineStr">
        <is>
          <t>EUR</t>
        </is>
      </c>
      <c r="L399" t="inlineStr">
        <is>
          <t>08/26 Miete Raum-Modul plus Zubehör</t>
        </is>
      </c>
      <c r="N399" t="inlineStr">
        <is>
          <t>2026-08-20</t>
        </is>
      </c>
    </row>
    <row r="400">
      <c r="A400" t="n">
        <v>1499</v>
      </c>
      <c r="B400" t="inlineStr">
        <is>
          <t>VERBINDLICHKEIT</t>
        </is>
      </c>
      <c r="C400" t="inlineStr">
        <is>
          <t>4102.0</t>
        </is>
      </c>
      <c r="E400" t="inlineStr">
        <is>
          <t>KR</t>
        </is>
      </c>
      <c r="F400" t="inlineStr">
        <is>
          <t>7987</t>
        </is>
      </c>
      <c r="H400" t="inlineStr">
        <is>
          <t>2026-09-09</t>
        </is>
      </c>
      <c r="I400" t="n">
        <v>-1861.16</v>
      </c>
      <c r="J400" t="inlineStr">
        <is>
          <t>EUR</t>
        </is>
      </c>
      <c r="L400" t="inlineStr">
        <is>
          <t>07/26 Miete Radlader CAT 906M plus Zubehör</t>
        </is>
      </c>
      <c r="N400" t="inlineStr">
        <is>
          <t>2026-08-20</t>
        </is>
      </c>
    </row>
    <row r="401">
      <c r="A401" t="n">
        <v>1500</v>
      </c>
      <c r="B401" t="inlineStr">
        <is>
          <t>VERBINDLICHKEIT</t>
        </is>
      </c>
      <c r="C401" t="inlineStr">
        <is>
          <t>4102.0</t>
        </is>
      </c>
      <c r="E401" t="inlineStr">
        <is>
          <t>KR</t>
        </is>
      </c>
      <c r="F401" t="inlineStr">
        <is>
          <t>8011</t>
        </is>
      </c>
      <c r="H401" t="inlineStr">
        <is>
          <t>2026-08-18</t>
        </is>
      </c>
      <c r="I401" t="n">
        <v>-208.25</v>
      </c>
      <c r="J401" t="inlineStr">
        <is>
          <t>EUR</t>
        </is>
      </c>
      <c r="L401" t="inlineStr">
        <is>
          <t>08/26 Makita Akku Basisset</t>
        </is>
      </c>
      <c r="N401" t="inlineStr">
        <is>
          <t>2026-08-20</t>
        </is>
      </c>
    </row>
    <row r="402">
      <c r="A402" t="n">
        <v>1501</v>
      </c>
      <c r="B402" t="inlineStr">
        <is>
          <t>VERBINDLICHKEIT</t>
        </is>
      </c>
      <c r="C402" t="inlineStr">
        <is>
          <t>4102.0</t>
        </is>
      </c>
      <c r="E402" t="inlineStr">
        <is>
          <t>KR</t>
        </is>
      </c>
      <c r="F402" t="inlineStr">
        <is>
          <t>8012</t>
        </is>
      </c>
      <c r="H402" t="inlineStr">
        <is>
          <t>2026-08-18</t>
        </is>
      </c>
      <c r="I402" t="n">
        <v>-302.02</v>
      </c>
      <c r="J402" t="inlineStr">
        <is>
          <t>EUR</t>
        </is>
      </c>
      <c r="L402" t="inlineStr">
        <is>
          <t>08/26 Multinorm-Bundhose, - Latzhose, - Bundjacke</t>
        </is>
      </c>
      <c r="N402" t="inlineStr">
        <is>
          <t>2026-08-20</t>
        </is>
      </c>
    </row>
    <row r="403">
      <c r="A403" t="n">
        <v>1502</v>
      </c>
      <c r="B403" t="inlineStr">
        <is>
          <t>VERBINDLICHKEIT</t>
        </is>
      </c>
      <c r="C403" t="inlineStr">
        <is>
          <t>4102.0</t>
        </is>
      </c>
      <c r="E403" t="inlineStr">
        <is>
          <t>KR</t>
        </is>
      </c>
      <c r="F403" t="inlineStr">
        <is>
          <t>8013</t>
        </is>
      </c>
      <c r="H403" t="inlineStr">
        <is>
          <t>2026-08-18</t>
        </is>
      </c>
      <c r="I403" t="n">
        <v>-827.79</v>
      </c>
      <c r="J403" t="inlineStr">
        <is>
          <t>EUR</t>
        </is>
      </c>
      <c r="L403" t="inlineStr">
        <is>
          <t>08/26 div. Artikel</t>
        </is>
      </c>
      <c r="N403" t="inlineStr">
        <is>
          <t>2026-08-20</t>
        </is>
      </c>
    </row>
    <row r="404">
      <c r="A404" t="n">
        <v>1503</v>
      </c>
      <c r="B404" t="inlineStr">
        <is>
          <t>VERBINDLICHKEIT</t>
        </is>
      </c>
      <c r="C404" t="inlineStr">
        <is>
          <t>4102.0</t>
        </is>
      </c>
      <c r="E404" t="inlineStr">
        <is>
          <t>KR</t>
        </is>
      </c>
      <c r="F404" t="inlineStr">
        <is>
          <t>8049</t>
        </is>
      </c>
      <c r="H404" t="inlineStr">
        <is>
          <t>2026-08-13</t>
        </is>
      </c>
      <c r="I404" t="n">
        <v>-85.23</v>
      </c>
      <c r="J404" t="inlineStr">
        <is>
          <t>EUR</t>
        </is>
      </c>
      <c r="L404" t="inlineStr">
        <is>
          <t>07/26 Ticket: #2045381 - Speicherplatz USB-LW</t>
        </is>
      </c>
      <c r="N404" t="inlineStr">
        <is>
          <t>2026-08-20</t>
        </is>
      </c>
    </row>
    <row r="405">
      <c r="A405" t="n">
        <v>1504</v>
      </c>
      <c r="B405" t="inlineStr">
        <is>
          <t>VERBINDLICHKEIT</t>
        </is>
      </c>
      <c r="C405" t="inlineStr">
        <is>
          <t>4102.0</t>
        </is>
      </c>
      <c r="E405" t="inlineStr">
        <is>
          <t>KR</t>
        </is>
      </c>
      <c r="F405" t="inlineStr">
        <is>
          <t>7890</t>
        </is>
      </c>
      <c r="H405" t="inlineStr">
        <is>
          <t>2026-08-07</t>
        </is>
      </c>
      <c r="I405" t="n">
        <v>-10.02</v>
      </c>
      <c r="J405" t="inlineStr">
        <is>
          <t>EUR</t>
        </is>
      </c>
      <c r="L405" t="inlineStr">
        <is>
          <t>06/26 Energielieferung</t>
        </is>
      </c>
      <c r="N405" t="inlineStr">
        <is>
          <t>2026-08-20</t>
        </is>
      </c>
    </row>
    <row r="406">
      <c r="A406" t="n">
        <v>1505</v>
      </c>
      <c r="B406" t="inlineStr">
        <is>
          <t>VERBINDLICHKEIT</t>
        </is>
      </c>
      <c r="C406" t="inlineStr">
        <is>
          <t>4102.0</t>
        </is>
      </c>
      <c r="E406" t="inlineStr">
        <is>
          <t>KR</t>
        </is>
      </c>
      <c r="F406" t="inlineStr">
        <is>
          <t>7889</t>
        </is>
      </c>
      <c r="H406" t="inlineStr">
        <is>
          <t>2026-08-07</t>
        </is>
      </c>
      <c r="I406" t="n">
        <v>-10.35</v>
      </c>
      <c r="J406" t="inlineStr">
        <is>
          <t>EUR</t>
        </is>
      </c>
      <c r="L406" t="inlineStr">
        <is>
          <t>06/26 Infrastrukturpauschale</t>
        </is>
      </c>
      <c r="N406" t="inlineStr">
        <is>
          <t>2026-08-20</t>
        </is>
      </c>
    </row>
    <row r="407">
      <c r="A407" t="n">
        <v>1506</v>
      </c>
      <c r="B407" t="inlineStr">
        <is>
          <t>VERBINDLICHKEIT</t>
        </is>
      </c>
      <c r="C407" t="inlineStr">
        <is>
          <t>4102.0</t>
        </is>
      </c>
      <c r="E407" t="inlineStr">
        <is>
          <t>KR</t>
        </is>
      </c>
      <c r="F407" t="inlineStr">
        <is>
          <t>7891</t>
        </is>
      </c>
      <c r="H407" t="inlineStr">
        <is>
          <t>2026-08-07</t>
        </is>
      </c>
      <c r="I407" t="n">
        <v>-20.19</v>
      </c>
      <c r="J407" t="inlineStr">
        <is>
          <t>EUR</t>
        </is>
      </c>
      <c r="L407" t="inlineStr">
        <is>
          <t>Quartal II 2026 Trinkwasser</t>
        </is>
      </c>
      <c r="N407" t="inlineStr">
        <is>
          <t>2026-08-20</t>
        </is>
      </c>
    </row>
    <row r="408">
      <c r="A408" t="n">
        <v>1507</v>
      </c>
      <c r="B408" t="inlineStr">
        <is>
          <t>VERBINDLICHKEIT</t>
        </is>
      </c>
      <c r="C408" t="inlineStr">
        <is>
          <t>4102.0</t>
        </is>
      </c>
      <c r="E408" t="inlineStr">
        <is>
          <t>KR</t>
        </is>
      </c>
      <c r="F408" t="inlineStr">
        <is>
          <t>7892</t>
        </is>
      </c>
      <c r="H408" t="inlineStr">
        <is>
          <t>2026-08-07</t>
        </is>
      </c>
      <c r="I408" t="n">
        <v>-125.71</v>
      </c>
      <c r="J408" t="inlineStr">
        <is>
          <t>EUR</t>
        </is>
      </c>
      <c r="L408" t="inlineStr">
        <is>
          <t>06/26 Strom</t>
        </is>
      </c>
      <c r="N408" t="inlineStr">
        <is>
          <t>2026-08-20</t>
        </is>
      </c>
    </row>
    <row r="409">
      <c r="A409" t="n">
        <v>1508</v>
      </c>
      <c r="B409" t="inlineStr">
        <is>
          <t>VERBINDLICHKEIT</t>
        </is>
      </c>
      <c r="C409" t="inlineStr">
        <is>
          <t>4102.0</t>
        </is>
      </c>
      <c r="E409" t="inlineStr">
        <is>
          <t>KR</t>
        </is>
      </c>
      <c r="F409" t="inlineStr">
        <is>
          <t>8042</t>
        </is>
      </c>
      <c r="H409" t="inlineStr">
        <is>
          <t>2026-08-14</t>
        </is>
      </c>
      <c r="I409" t="n">
        <v>-1642.2</v>
      </c>
      <c r="J409" t="inlineStr">
        <is>
          <t>EUR</t>
        </is>
      </c>
      <c r="L409" t="inlineStr">
        <is>
          <t>07/26 Spinde</t>
        </is>
      </c>
      <c r="N409" t="inlineStr">
        <is>
          <t>2026-08-20</t>
        </is>
      </c>
    </row>
    <row r="410">
      <c r="A410" t="n">
        <v>1509</v>
      </c>
      <c r="B410" t="inlineStr">
        <is>
          <t>VERBINDLICHKEIT</t>
        </is>
      </c>
      <c r="C410" t="inlineStr">
        <is>
          <t>4102.0</t>
        </is>
      </c>
      <c r="E410" t="inlineStr">
        <is>
          <t>KR</t>
        </is>
      </c>
      <c r="F410" t="inlineStr">
        <is>
          <t>8075</t>
        </is>
      </c>
      <c r="H410" t="inlineStr">
        <is>
          <t>2026-08-21</t>
        </is>
      </c>
      <c r="I410" t="n">
        <v>-333.8</v>
      </c>
      <c r="J410" t="inlineStr">
        <is>
          <t>EUR</t>
        </is>
      </c>
      <c r="L410" t="inlineStr">
        <is>
          <t>08/26 Miete</t>
        </is>
      </c>
      <c r="N410" t="inlineStr">
        <is>
          <t>2026-08-20</t>
        </is>
      </c>
    </row>
    <row r="411">
      <c r="A411" t="n">
        <v>1510</v>
      </c>
      <c r="B411" t="inlineStr">
        <is>
          <t>VERBINDLICHKEIT</t>
        </is>
      </c>
      <c r="C411" t="inlineStr">
        <is>
          <t>4102.0</t>
        </is>
      </c>
      <c r="E411" t="inlineStr">
        <is>
          <t>KR</t>
        </is>
      </c>
      <c r="F411" t="inlineStr">
        <is>
          <t>8024</t>
        </is>
      </c>
      <c r="H411" t="inlineStr">
        <is>
          <t>2026-10-02</t>
        </is>
      </c>
      <c r="I411" t="n">
        <v>-284.41</v>
      </c>
      <c r="J411" t="inlineStr">
        <is>
          <t>EUR</t>
        </is>
      </c>
      <c r="L411" t="inlineStr">
        <is>
          <t>07-08/26 Toilettenkabine KW 29-32</t>
        </is>
      </c>
      <c r="N411" t="inlineStr">
        <is>
          <t>2026-08-20</t>
        </is>
      </c>
    </row>
    <row r="412">
      <c r="A412" t="n">
        <v>1511</v>
      </c>
      <c r="B412" t="inlineStr">
        <is>
          <t>VERBINDLICHKEIT</t>
        </is>
      </c>
      <c r="C412" t="inlineStr">
        <is>
          <t>4102.0</t>
        </is>
      </c>
      <c r="E412" t="inlineStr">
        <is>
          <t>KR</t>
        </is>
      </c>
      <c r="F412" t="inlineStr">
        <is>
          <t>8064</t>
        </is>
      </c>
      <c r="H412" t="inlineStr">
        <is>
          <t>2026-08-07</t>
        </is>
      </c>
      <c r="I412" t="n">
        <v>-1187.62</v>
      </c>
      <c r="J412" t="inlineStr">
        <is>
          <t>EUR</t>
        </is>
      </c>
      <c r="L412" t="inlineStr">
        <is>
          <t>07-08/26 Leasing &amp; Service CB-TV 108</t>
        </is>
      </c>
      <c r="N412" t="inlineStr">
        <is>
          <t>2026-08-20</t>
        </is>
      </c>
    </row>
    <row r="413">
      <c r="A413" t="n">
        <v>1512</v>
      </c>
      <c r="B413" t="inlineStr">
        <is>
          <t>VERBINDLICHKEIT</t>
        </is>
      </c>
      <c r="C413" t="inlineStr">
        <is>
          <t>4102.0</t>
        </is>
      </c>
      <c r="E413" t="inlineStr">
        <is>
          <t>KR</t>
        </is>
      </c>
      <c r="F413" t="inlineStr">
        <is>
          <t>7852</t>
        </is>
      </c>
      <c r="H413" t="inlineStr">
        <is>
          <t>2026-08-20</t>
        </is>
      </c>
      <c r="I413" t="n">
        <v>-92.69</v>
      </c>
      <c r="J413" t="inlineStr">
        <is>
          <t>EUR</t>
        </is>
      </c>
      <c r="L413" t="inlineStr">
        <is>
          <t>07/26 Meisselpaste 400g Patrone</t>
        </is>
      </c>
      <c r="N413" t="inlineStr">
        <is>
          <t>2026-08-20</t>
        </is>
      </c>
    </row>
    <row r="414">
      <c r="A414" t="n">
        <v>1513</v>
      </c>
      <c r="B414" t="inlineStr">
        <is>
          <t>VERBINDLICHKEIT</t>
        </is>
      </c>
      <c r="C414" t="inlineStr">
        <is>
          <t>4102.0</t>
        </is>
      </c>
      <c r="E414" t="inlineStr">
        <is>
          <t>KR</t>
        </is>
      </c>
      <c r="F414" t="inlineStr">
        <is>
          <t>7784</t>
        </is>
      </c>
      <c r="H414" t="inlineStr">
        <is>
          <t>2026-08-13</t>
        </is>
      </c>
      <c r="I414" t="n">
        <v>-202.3</v>
      </c>
      <c r="J414" t="inlineStr">
        <is>
          <t>EUR</t>
        </is>
      </c>
      <c r="L414" t="inlineStr">
        <is>
          <t>07/26 302.7D SN:LJL01582 CAT Minibagger Switch</t>
        </is>
      </c>
      <c r="N414" t="inlineStr">
        <is>
          <t>2026-08-20</t>
        </is>
      </c>
    </row>
    <row r="415">
      <c r="A415" t="n">
        <v>1514</v>
      </c>
      <c r="B415" t="inlineStr">
        <is>
          <t>VERBINDLICHKEIT</t>
        </is>
      </c>
      <c r="C415" t="inlineStr">
        <is>
          <t>4102.0</t>
        </is>
      </c>
      <c r="E415" t="inlineStr">
        <is>
          <t>KR</t>
        </is>
      </c>
      <c r="F415" t="inlineStr">
        <is>
          <t>7821</t>
        </is>
      </c>
      <c r="H415" t="inlineStr">
        <is>
          <t>2026-08-16</t>
        </is>
      </c>
      <c r="I415" t="n">
        <v>-780.37</v>
      </c>
      <c r="J415" t="inlineStr">
        <is>
          <t>EUR</t>
        </is>
      </c>
      <c r="L415" t="inlineStr">
        <is>
          <t>06/26 Rep. VRG40 20820(200305600)</t>
        </is>
      </c>
      <c r="N415" t="inlineStr">
        <is>
          <t>2026-08-20</t>
        </is>
      </c>
    </row>
    <row r="416">
      <c r="A416" t="n">
        <v>1515</v>
      </c>
      <c r="B416" t="inlineStr">
        <is>
          <t>VERBINDLICHKEIT</t>
        </is>
      </c>
      <c r="C416" t="inlineStr">
        <is>
          <t>4102.0</t>
        </is>
      </c>
      <c r="E416" t="inlineStr">
        <is>
          <t>KR</t>
        </is>
      </c>
      <c r="F416" t="inlineStr">
        <is>
          <t>7822</t>
        </is>
      </c>
      <c r="H416" t="inlineStr">
        <is>
          <t>2026-08-16</t>
        </is>
      </c>
      <c r="I416" t="n">
        <v>-69.06</v>
      </c>
      <c r="J416" t="inlineStr">
        <is>
          <t>EUR</t>
        </is>
      </c>
      <c r="L416" t="inlineStr">
        <is>
          <t>07/26 Rep. 330-07 CAT Kettenbagger SN:XNB40160</t>
        </is>
      </c>
      <c r="N416" t="inlineStr">
        <is>
          <t>2026-08-20</t>
        </is>
      </c>
    </row>
    <row r="417">
      <c r="A417" t="n">
        <v>1516</v>
      </c>
      <c r="B417" t="inlineStr">
        <is>
          <t>VERBINDLICHKEIT</t>
        </is>
      </c>
      <c r="C417" t="inlineStr">
        <is>
          <t>4102.0</t>
        </is>
      </c>
      <c r="E417" t="inlineStr">
        <is>
          <t>KR</t>
        </is>
      </c>
      <c r="F417" t="inlineStr">
        <is>
          <t>7869</t>
        </is>
      </c>
      <c r="H417" t="inlineStr">
        <is>
          <t>2026-08-21</t>
        </is>
      </c>
      <c r="I417" t="n">
        <v>-1279.96</v>
      </c>
      <c r="J417" t="inlineStr">
        <is>
          <t>EUR</t>
        </is>
      </c>
      <c r="L417" t="inlineStr">
        <is>
          <t>07/26 Rep. M318-07A CAT Mobilbagger</t>
        </is>
      </c>
      <c r="N417" t="inlineStr">
        <is>
          <t>2026-08-20</t>
        </is>
      </c>
    </row>
    <row r="418">
      <c r="A418" t="n">
        <v>1517</v>
      </c>
      <c r="B418" t="inlineStr">
        <is>
          <t>VERBINDLICHKEIT</t>
        </is>
      </c>
      <c r="C418" t="inlineStr">
        <is>
          <t>4102.0</t>
        </is>
      </c>
      <c r="E418" t="inlineStr">
        <is>
          <t>KR</t>
        </is>
      </c>
      <c r="F418" t="inlineStr">
        <is>
          <t>7880</t>
        </is>
      </c>
      <c r="H418" t="inlineStr">
        <is>
          <t>2026-08-21</t>
        </is>
      </c>
      <c r="I418" t="n">
        <v>-3696.19</v>
      </c>
      <c r="J418" t="inlineStr">
        <is>
          <t>EUR</t>
        </is>
      </c>
      <c r="L418" t="inlineStr">
        <is>
          <t>07/26 Insp. 330-07 CAT Kettenbagger XNB40160</t>
        </is>
      </c>
      <c r="N418" t="inlineStr">
        <is>
          <t>2026-08-20</t>
        </is>
      </c>
    </row>
    <row r="419">
      <c r="A419" t="n">
        <v>1518</v>
      </c>
      <c r="B419" t="inlineStr">
        <is>
          <t>VERBINDLICHKEIT</t>
        </is>
      </c>
      <c r="C419" t="inlineStr">
        <is>
          <t>4102.0</t>
        </is>
      </c>
      <c r="E419" t="inlineStr">
        <is>
          <t>KR</t>
        </is>
      </c>
      <c r="F419" t="inlineStr">
        <is>
          <t>7676</t>
        </is>
      </c>
      <c r="H419" t="inlineStr">
        <is>
          <t>2026-08-05</t>
        </is>
      </c>
      <c r="I419" t="n">
        <v>-2671.17</v>
      </c>
      <c r="J419" t="inlineStr">
        <is>
          <t>EUR</t>
        </is>
      </c>
      <c r="L419" t="inlineStr">
        <is>
          <t>07/26 Insp. 330-07 CAT Kettenbagger XNB50156</t>
        </is>
      </c>
      <c r="N419" t="inlineStr">
        <is>
          <t>2026-08-20</t>
        </is>
      </c>
    </row>
    <row r="420">
      <c r="A420" t="n">
        <v>1519</v>
      </c>
      <c r="B420" t="inlineStr">
        <is>
          <t>VERBINDLICHKEIT</t>
        </is>
      </c>
      <c r="C420" t="inlineStr">
        <is>
          <t>4102.0</t>
        </is>
      </c>
      <c r="E420" t="inlineStr">
        <is>
          <t>KR</t>
        </is>
      </c>
      <c r="F420" t="inlineStr">
        <is>
          <t>7675</t>
        </is>
      </c>
      <c r="H420" t="inlineStr">
        <is>
          <t>2026-08-05</t>
        </is>
      </c>
      <c r="I420" t="n">
        <v>-643.12</v>
      </c>
      <c r="J420" t="inlineStr">
        <is>
          <t>EUR</t>
        </is>
      </c>
      <c r="L420" t="inlineStr">
        <is>
          <t>07/26 Rep. 330-07 CAT Kettenbagger XNB20285</t>
        </is>
      </c>
      <c r="N420" t="inlineStr">
        <is>
          <t>2026-08-20</t>
        </is>
      </c>
    </row>
    <row r="421">
      <c r="A421" t="n">
        <v>1520</v>
      </c>
      <c r="B421" t="inlineStr">
        <is>
          <t>VERBINDLICHKEIT</t>
        </is>
      </c>
      <c r="C421" t="inlineStr">
        <is>
          <t>4102.0</t>
        </is>
      </c>
      <c r="E421" t="inlineStr">
        <is>
          <t>KR</t>
        </is>
      </c>
      <c r="F421" t="inlineStr">
        <is>
          <t>8079</t>
        </is>
      </c>
      <c r="H421" t="inlineStr">
        <is>
          <t>2026-09-04</t>
        </is>
      </c>
      <c r="I421" t="n">
        <v>-309.67</v>
      </c>
      <c r="J421" t="inlineStr">
        <is>
          <t>EUR</t>
        </is>
      </c>
      <c r="L421" t="inlineStr">
        <is>
          <t>08/26 Rep. 330-07 CAT Kettenbagger XNB50156</t>
        </is>
      </c>
      <c r="N421" t="inlineStr">
        <is>
          <t>2026-08-20</t>
        </is>
      </c>
    </row>
    <row r="422">
      <c r="A422" t="n">
        <v>1521</v>
      </c>
      <c r="B422" t="inlineStr">
        <is>
          <t>VERBINDLICHKEIT</t>
        </is>
      </c>
      <c r="C422" t="inlineStr">
        <is>
          <t>4102.0</t>
        </is>
      </c>
      <c r="E422" t="inlineStr">
        <is>
          <t>KR</t>
        </is>
      </c>
      <c r="F422" t="inlineStr">
        <is>
          <t>7817</t>
        </is>
      </c>
      <c r="H422" t="inlineStr">
        <is>
          <t>2026-08-15</t>
        </is>
      </c>
      <c r="I422" t="n">
        <v>-1208.97</v>
      </c>
      <c r="J422" t="inlineStr">
        <is>
          <t>EUR</t>
        </is>
      </c>
      <c r="L422" t="inlineStr">
        <is>
          <t>06/26 Überpr./Wartung/Instands. Hardware</t>
        </is>
      </c>
      <c r="N422" t="inlineStr">
        <is>
          <t>2026-08-20</t>
        </is>
      </c>
    </row>
    <row r="423">
      <c r="A423" t="n">
        <v>1522</v>
      </c>
      <c r="B423" t="inlineStr">
        <is>
          <t>VERBINDLICHKEIT</t>
        </is>
      </c>
      <c r="C423" t="inlineStr">
        <is>
          <t>4102.0</t>
        </is>
      </c>
      <c r="E423" t="inlineStr">
        <is>
          <t>ZS</t>
        </is>
      </c>
      <c r="F423" t="inlineStr">
        <is>
          <t>1200627</t>
        </is>
      </c>
      <c r="H423" t="inlineStr">
        <is>
          <t>2026-07-31</t>
        </is>
      </c>
      <c r="I423" t="n">
        <v>-2226</v>
      </c>
      <c r="J423" t="inlineStr">
        <is>
          <t>EUR</t>
        </is>
      </c>
      <c r="L423" t="inlineStr">
        <is>
          <t>*ZE 111008700-VGW0320001-26 Gewerbesteuer/2026</t>
        </is>
      </c>
      <c r="N423" t="inlineStr">
        <is>
          <t>2026-08-20</t>
        </is>
      </c>
    </row>
    <row r="424">
      <c r="A424" t="n">
        <v>1523</v>
      </c>
      <c r="B424" t="inlineStr">
        <is>
          <t>VERBINDLICHKEIT</t>
        </is>
      </c>
      <c r="C424" t="inlineStr">
        <is>
          <t>4102.0</t>
        </is>
      </c>
      <c r="E424" t="inlineStr">
        <is>
          <t>ZS</t>
        </is>
      </c>
      <c r="F424" t="inlineStr">
        <is>
          <t>1200628</t>
        </is>
      </c>
      <c r="H424" t="inlineStr">
        <is>
          <t>2026-07-31</t>
        </is>
      </c>
      <c r="I424" t="n">
        <v>-4469</v>
      </c>
      <c r="J424" t="inlineStr">
        <is>
          <t>EUR</t>
        </is>
      </c>
      <c r="L424" t="inlineStr">
        <is>
          <t>*ZE 111008700-VGW0320001-24 Gewerbesteuer/2024</t>
        </is>
      </c>
      <c r="N424" t="inlineStr">
        <is>
          <t>2026-08-20</t>
        </is>
      </c>
    </row>
    <row r="425">
      <c r="A425" t="n">
        <v>1524</v>
      </c>
      <c r="B425" t="inlineStr">
        <is>
          <t>VERBINDLICHKEIT</t>
        </is>
      </c>
      <c r="C425" t="inlineStr">
        <is>
          <t>4102.0</t>
        </is>
      </c>
      <c r="E425" t="inlineStr">
        <is>
          <t>KG</t>
        </is>
      </c>
      <c r="F425" t="inlineStr">
        <is>
          <t>2118</t>
        </is>
      </c>
      <c r="H425" t="inlineStr">
        <is>
          <t>2026-07-27</t>
        </is>
      </c>
      <c r="I425" t="n">
        <v>6695</v>
      </c>
      <c r="J425" t="inlineStr">
        <is>
          <t>EUR</t>
        </is>
      </c>
      <c r="L425" t="inlineStr">
        <is>
          <t>*0320001 Erstattung GewSt Boxberg 2024 + 2026</t>
        </is>
      </c>
      <c r="N425" t="inlineStr">
        <is>
          <t>2026-08-20</t>
        </is>
      </c>
    </row>
    <row r="426">
      <c r="A426" t="n">
        <v>1525</v>
      </c>
      <c r="B426" t="inlineStr">
        <is>
          <t>VERBINDLICHKEIT</t>
        </is>
      </c>
      <c r="C426" t="inlineStr">
        <is>
          <t>4102.0</t>
        </is>
      </c>
      <c r="E426" t="inlineStr">
        <is>
          <t>KR</t>
        </is>
      </c>
      <c r="F426" t="inlineStr">
        <is>
          <t>7995</t>
        </is>
      </c>
      <c r="H426" t="inlineStr">
        <is>
          <t>2026-08-30</t>
        </is>
      </c>
      <c r="I426" t="n">
        <v>-503.61</v>
      </c>
      <c r="J426" t="inlineStr">
        <is>
          <t>EUR</t>
        </is>
      </c>
      <c r="L426" t="inlineStr">
        <is>
          <t>07/26 Miete Trägerklemme</t>
        </is>
      </c>
      <c r="N426" t="inlineStr">
        <is>
          <t>2026-08-20</t>
        </is>
      </c>
    </row>
    <row r="427">
      <c r="A427" t="n">
        <v>1526</v>
      </c>
      <c r="B427" t="inlineStr">
        <is>
          <t>VERBINDLICHKEIT</t>
        </is>
      </c>
      <c r="C427" t="inlineStr">
        <is>
          <t>4102.0</t>
        </is>
      </c>
      <c r="E427" t="inlineStr">
        <is>
          <t>KR</t>
        </is>
      </c>
      <c r="F427" t="inlineStr">
        <is>
          <t>7828</t>
        </is>
      </c>
      <c r="H427" t="inlineStr">
        <is>
          <t>2026-08-16</t>
        </is>
      </c>
      <c r="I427" t="n">
        <v>-1556.17</v>
      </c>
      <c r="J427" t="inlineStr">
        <is>
          <t>EUR</t>
        </is>
      </c>
      <c r="L427" t="inlineStr">
        <is>
          <t>06-07/26 Mautabrechnung</t>
        </is>
      </c>
      <c r="N427" t="inlineStr">
        <is>
          <t>2026-08-20</t>
        </is>
      </c>
    </row>
    <row r="428">
      <c r="A428" t="n">
        <v>1527</v>
      </c>
      <c r="B428" t="inlineStr">
        <is>
          <t>VERBINDLICHKEIT</t>
        </is>
      </c>
      <c r="C428" t="inlineStr">
        <is>
          <t>4102.0</t>
        </is>
      </c>
      <c r="E428" t="inlineStr">
        <is>
          <t>KR</t>
        </is>
      </c>
      <c r="F428" t="inlineStr">
        <is>
          <t>7856</t>
        </is>
      </c>
      <c r="H428" t="inlineStr">
        <is>
          <t>2026-08-05</t>
        </is>
      </c>
      <c r="I428" t="n">
        <v>-3528.11</v>
      </c>
      <c r="J428" t="inlineStr">
        <is>
          <t>EUR</t>
        </is>
      </c>
      <c r="L428" t="inlineStr">
        <is>
          <t>06/26 Behälter aufstellen &amp; entleeren</t>
        </is>
      </c>
      <c r="N428" t="inlineStr">
        <is>
          <t>2026-08-20</t>
        </is>
      </c>
    </row>
    <row r="429">
      <c r="A429" t="n">
        <v>1528</v>
      </c>
      <c r="B429" t="inlineStr">
        <is>
          <t>VERBINDLICHKEIT</t>
        </is>
      </c>
      <c r="C429" t="inlineStr">
        <is>
          <t>4102.0</t>
        </is>
      </c>
      <c r="E429" t="inlineStr">
        <is>
          <t>KR</t>
        </is>
      </c>
      <c r="F429" t="inlineStr">
        <is>
          <t>7872</t>
        </is>
      </c>
      <c r="H429" t="inlineStr">
        <is>
          <t>2026-09-21</t>
        </is>
      </c>
      <c r="I429" t="n">
        <v>-203.67</v>
      </c>
      <c r="J429" t="inlineStr">
        <is>
          <t>EUR</t>
        </is>
      </c>
      <c r="L429" t="inlineStr">
        <is>
          <t>07/26 Big Bag</t>
        </is>
      </c>
      <c r="N429" t="inlineStr">
        <is>
          <t>2026-08-20</t>
        </is>
      </c>
    </row>
    <row r="430">
      <c r="A430" t="n">
        <v>1529</v>
      </c>
      <c r="B430" t="inlineStr">
        <is>
          <t>VERBINDLICHKEIT</t>
        </is>
      </c>
      <c r="C430" t="inlineStr">
        <is>
          <t>4102.0</t>
        </is>
      </c>
      <c r="E430" t="inlineStr">
        <is>
          <t>KR</t>
        </is>
      </c>
      <c r="F430" t="inlineStr">
        <is>
          <t>7998</t>
        </is>
      </c>
      <c r="H430" t="inlineStr">
        <is>
          <t>2026-08-14</t>
        </is>
      </c>
      <c r="I430" t="n">
        <v>-207.42</v>
      </c>
      <c r="J430" t="inlineStr">
        <is>
          <t>EUR</t>
        </is>
      </c>
      <c r="L430" t="inlineStr">
        <is>
          <t>07/26 UHR Moriz-Seeler-Str. 5 Berlin - Turm 2. OG</t>
        </is>
      </c>
      <c r="N430" t="inlineStr">
        <is>
          <t>2026-08-20</t>
        </is>
      </c>
    </row>
    <row r="431">
      <c r="A431" t="n">
        <v>1530</v>
      </c>
      <c r="B431" t="inlineStr">
        <is>
          <t>VERBINDLICHKEIT</t>
        </is>
      </c>
      <c r="C431" t="inlineStr">
        <is>
          <t>4102.0</t>
        </is>
      </c>
      <c r="E431" t="inlineStr">
        <is>
          <t>KR</t>
        </is>
      </c>
      <c r="F431" t="inlineStr">
        <is>
          <t>7921</t>
        </is>
      </c>
      <c r="H431" t="inlineStr">
        <is>
          <t>2026-09-27</t>
        </is>
      </c>
      <c r="I431" t="n">
        <v>-318.91</v>
      </c>
      <c r="J431" t="inlineStr">
        <is>
          <t>EUR</t>
        </is>
      </c>
      <c r="L431" t="inlineStr">
        <is>
          <t>06/26 UHR - RB Ost, Gebäude 1L08 Halle VII Boxberg</t>
        </is>
      </c>
      <c r="N431" t="inlineStr">
        <is>
          <t>2026-08-20</t>
        </is>
      </c>
    </row>
    <row r="432">
      <c r="A432" t="n">
        <v>1531</v>
      </c>
      <c r="B432" t="inlineStr">
        <is>
          <t>VERBINDLICHKEIT</t>
        </is>
      </c>
      <c r="C432" t="inlineStr">
        <is>
          <t>4102.0</t>
        </is>
      </c>
      <c r="E432" t="inlineStr">
        <is>
          <t>KR</t>
        </is>
      </c>
      <c r="F432" t="inlineStr">
        <is>
          <t>7959</t>
        </is>
      </c>
      <c r="H432" t="inlineStr">
        <is>
          <t>2026-07-31</t>
        </is>
      </c>
      <c r="I432" t="n">
        <v>-868.95</v>
      </c>
      <c r="J432" t="inlineStr">
        <is>
          <t>EUR</t>
        </is>
      </c>
      <c r="L432" t="inlineStr">
        <is>
          <t>06-07/26 Mietwagen Hr. Kilinc</t>
        </is>
      </c>
      <c r="N432" t="inlineStr">
        <is>
          <t>2026-08-20</t>
        </is>
      </c>
    </row>
    <row r="433">
      <c r="A433" t="n">
        <v>1532</v>
      </c>
      <c r="B433" t="inlineStr">
        <is>
          <t>VERBINDLICHKEIT</t>
        </is>
      </c>
      <c r="C433" t="inlineStr">
        <is>
          <t>4102.0</t>
        </is>
      </c>
      <c r="E433" t="inlineStr">
        <is>
          <t>KR</t>
        </is>
      </c>
      <c r="F433" t="inlineStr">
        <is>
          <t>7958</t>
        </is>
      </c>
      <c r="H433" t="inlineStr">
        <is>
          <t>2026-07-31</t>
        </is>
      </c>
      <c r="I433" t="n">
        <v>-839</v>
      </c>
      <c r="J433" t="inlineStr">
        <is>
          <t>EUR</t>
        </is>
      </c>
      <c r="L433" t="inlineStr">
        <is>
          <t>06-07/26 Mietwagen Hr. Lanzar</t>
        </is>
      </c>
      <c r="N433" t="inlineStr">
        <is>
          <t>2026-08-20</t>
        </is>
      </c>
    </row>
    <row r="434">
      <c r="A434" t="n">
        <v>1533</v>
      </c>
      <c r="B434" t="inlineStr">
        <is>
          <t>VERBINDLICHKEIT</t>
        </is>
      </c>
      <c r="C434" t="inlineStr">
        <is>
          <t>4102.0</t>
        </is>
      </c>
      <c r="E434" t="inlineStr">
        <is>
          <t>KR</t>
        </is>
      </c>
      <c r="F434" t="inlineStr">
        <is>
          <t>7873</t>
        </is>
      </c>
      <c r="H434" t="inlineStr">
        <is>
          <t>2026-09-21</t>
        </is>
      </c>
      <c r="I434" t="n">
        <v>-677.11</v>
      </c>
      <c r="J434" t="inlineStr">
        <is>
          <t>EUR</t>
        </is>
      </c>
      <c r="L434" t="inlineStr">
        <is>
          <t>07/26 LDPE-Baufolie, Einwegmaske</t>
        </is>
      </c>
      <c r="N434" t="inlineStr">
        <is>
          <t>2026-08-20</t>
        </is>
      </c>
    </row>
    <row r="435">
      <c r="A435" t="n">
        <v>1534</v>
      </c>
      <c r="B435" t="inlineStr">
        <is>
          <t>VERBINDLICHKEIT</t>
        </is>
      </c>
      <c r="C435" t="inlineStr">
        <is>
          <t>4102.0</t>
        </is>
      </c>
      <c r="E435" t="inlineStr">
        <is>
          <t>KR</t>
        </is>
      </c>
      <c r="F435" t="inlineStr">
        <is>
          <t>8070</t>
        </is>
      </c>
      <c r="H435" t="inlineStr">
        <is>
          <t>2026-09-06</t>
        </is>
      </c>
      <c r="I435" t="n">
        <v>-241.58</v>
      </c>
      <c r="J435" t="inlineStr">
        <is>
          <t>EUR</t>
        </is>
      </c>
      <c r="L435" t="inlineStr">
        <is>
          <t>07/26 Annahme Holz</t>
        </is>
      </c>
      <c r="N435" t="inlineStr">
        <is>
          <t>2026-08-20</t>
        </is>
      </c>
    </row>
    <row r="436">
      <c r="A436" t="n">
        <v>1535</v>
      </c>
      <c r="B436" t="inlineStr">
        <is>
          <t>VERBINDLICHKEIT</t>
        </is>
      </c>
      <c r="C436" t="inlineStr">
        <is>
          <t>4102.0</t>
        </is>
      </c>
      <c r="E436" t="inlineStr">
        <is>
          <t>XK</t>
        </is>
      </c>
      <c r="F436" t="inlineStr">
        <is>
          <t>6000000229</t>
        </is>
      </c>
      <c r="H436" t="inlineStr">
        <is>
          <t>2026-05-01</t>
        </is>
      </c>
      <c r="I436" t="n">
        <v>-3894.16</v>
      </c>
      <c r="J436" t="inlineStr">
        <is>
          <t>EUR</t>
        </is>
      </c>
      <c r="L436" t="inlineStr">
        <is>
          <t>Miete CAT Umschlagbagger MH3024-07</t>
        </is>
      </c>
      <c r="N436" t="inlineStr">
        <is>
          <t>2026-08-20</t>
        </is>
      </c>
    </row>
    <row r="437">
      <c r="A437" t="n">
        <v>1536</v>
      </c>
      <c r="B437" t="inlineStr">
        <is>
          <t>VERBINDLICHKEIT</t>
        </is>
      </c>
      <c r="C437" t="inlineStr">
        <is>
          <t>4102.0</t>
        </is>
      </c>
      <c r="E437" t="inlineStr">
        <is>
          <t>KR</t>
        </is>
      </c>
      <c r="F437" t="inlineStr">
        <is>
          <t>7974</t>
        </is>
      </c>
      <c r="H437" t="inlineStr">
        <is>
          <t>2026-08-04</t>
        </is>
      </c>
      <c r="I437" t="n">
        <v>-174.93</v>
      </c>
      <c r="J437" t="inlineStr">
        <is>
          <t>EUR</t>
        </is>
      </c>
      <c r="L437" t="inlineStr">
        <is>
          <t>05-06/26 Prüfungsgebühren</t>
        </is>
      </c>
      <c r="N437" t="inlineStr">
        <is>
          <t>2026-08-20</t>
        </is>
      </c>
    </row>
    <row r="438">
      <c r="A438" t="n">
        <v>1537</v>
      </c>
      <c r="B438" t="inlineStr">
        <is>
          <t>VERBINDLICHKEIT</t>
        </is>
      </c>
      <c r="C438" t="inlineStr">
        <is>
          <t>4102.0</t>
        </is>
      </c>
      <c r="E438" t="inlineStr">
        <is>
          <t>KR</t>
        </is>
      </c>
      <c r="F438" t="inlineStr">
        <is>
          <t>7842</t>
        </is>
      </c>
      <c r="H438" t="inlineStr">
        <is>
          <t>2026-07-28</t>
        </is>
      </c>
      <c r="I438" t="n">
        <v>-49.98</v>
      </c>
      <c r="J438" t="inlineStr">
        <is>
          <t>EUR</t>
        </is>
      </c>
      <c r="L438" t="inlineStr">
        <is>
          <t>06/26 Spinde</t>
        </is>
      </c>
      <c r="N438" t="inlineStr">
        <is>
          <t>2026-08-20</t>
        </is>
      </c>
    </row>
    <row r="439">
      <c r="A439" t="n">
        <v>1538</v>
      </c>
      <c r="B439" t="inlineStr">
        <is>
          <t>VERBINDLICHKEIT</t>
        </is>
      </c>
      <c r="C439" t="inlineStr">
        <is>
          <t>4102.0</t>
        </is>
      </c>
      <c r="E439" t="inlineStr">
        <is>
          <t>KR</t>
        </is>
      </c>
      <c r="F439" t="inlineStr">
        <is>
          <t>7979</t>
        </is>
      </c>
      <c r="H439" t="inlineStr">
        <is>
          <t>2026-08-08</t>
        </is>
      </c>
      <c r="I439" t="n">
        <v>-2.28</v>
      </c>
      <c r="J439" t="inlineStr">
        <is>
          <t>EUR</t>
        </is>
      </c>
      <c r="L439" t="inlineStr">
        <is>
          <t>08/26 Strom</t>
        </is>
      </c>
      <c r="N439" t="inlineStr">
        <is>
          <t>2026-08-20</t>
        </is>
      </c>
    </row>
    <row r="440">
      <c r="A440" t="n">
        <v>1539</v>
      </c>
      <c r="B440" t="inlineStr">
        <is>
          <t>VERBINDLICHKEIT</t>
        </is>
      </c>
      <c r="C440" t="inlineStr">
        <is>
          <t>4102.0</t>
        </is>
      </c>
      <c r="E440" t="inlineStr">
        <is>
          <t>KG</t>
        </is>
      </c>
      <c r="F440" t="inlineStr">
        <is>
          <t>2100</t>
        </is>
      </c>
      <c r="H440" t="inlineStr">
        <is>
          <t>2026-06-25</t>
        </is>
      </c>
      <c r="I440" t="n">
        <v>119</v>
      </c>
      <c r="J440" t="inlineStr">
        <is>
          <t>EUR</t>
        </is>
      </c>
      <c r="L440" t="inlineStr">
        <is>
          <t>Storno zu 17149503 06/26 fehlende Torkarten</t>
        </is>
      </c>
      <c r="N440" t="inlineStr">
        <is>
          <t>2026-08-20</t>
        </is>
      </c>
    </row>
    <row r="441">
      <c r="A441" t="n">
        <v>1540</v>
      </c>
      <c r="B441" t="inlineStr">
        <is>
          <t>VERBINDLICHKEIT</t>
        </is>
      </c>
      <c r="C441" t="inlineStr">
        <is>
          <t>4102.0</t>
        </is>
      </c>
      <c r="E441" t="inlineStr">
        <is>
          <t>KR</t>
        </is>
      </c>
      <c r="F441" t="inlineStr">
        <is>
          <t>8067</t>
        </is>
      </c>
      <c r="H441" t="inlineStr">
        <is>
          <t>2026-08-08</t>
        </is>
      </c>
      <c r="I441" t="n">
        <v>-128.52</v>
      </c>
      <c r="J441" t="inlineStr">
        <is>
          <t>EUR</t>
        </is>
      </c>
      <c r="L441" t="inlineStr">
        <is>
          <t>08/26 Miete / Pacht</t>
        </is>
      </c>
      <c r="N441" t="inlineStr">
        <is>
          <t>2026-08-20</t>
        </is>
      </c>
    </row>
    <row r="442">
      <c r="A442" t="n">
        <v>1541</v>
      </c>
      <c r="B442" t="inlineStr">
        <is>
          <t>VERBINDLICHKEIT</t>
        </is>
      </c>
      <c r="C442" t="inlineStr">
        <is>
          <t>4102.0</t>
        </is>
      </c>
      <c r="E442" t="inlineStr">
        <is>
          <t>KR</t>
        </is>
      </c>
      <c r="F442" t="inlineStr">
        <is>
          <t>8033</t>
        </is>
      </c>
      <c r="H442" t="inlineStr">
        <is>
          <t>2026-09-03</t>
        </is>
      </c>
      <c r="I442" t="n">
        <v>-629.22</v>
      </c>
      <c r="J442" t="inlineStr">
        <is>
          <t>EUR</t>
        </is>
      </c>
      <c r="L442" t="inlineStr">
        <is>
          <t>07/26 Sauerstoff, Propan, div. Mieten</t>
        </is>
      </c>
      <c r="N442" t="inlineStr">
        <is>
          <t>2026-08-20</t>
        </is>
      </c>
    </row>
    <row r="443">
      <c r="A443" t="n">
        <v>1542</v>
      </c>
      <c r="B443" t="inlineStr">
        <is>
          <t>VERBINDLICHKEIT</t>
        </is>
      </c>
      <c r="C443" t="inlineStr">
        <is>
          <t>4102.0</t>
        </is>
      </c>
      <c r="E443" t="inlineStr">
        <is>
          <t>KR</t>
        </is>
      </c>
      <c r="F443" t="inlineStr">
        <is>
          <t>8032</t>
        </is>
      </c>
      <c r="H443" t="inlineStr">
        <is>
          <t>2026-09-03</t>
        </is>
      </c>
      <c r="I443" t="n">
        <v>-573.13</v>
      </c>
      <c r="J443" t="inlineStr">
        <is>
          <t>EUR</t>
        </is>
      </c>
      <c r="L443" t="inlineStr">
        <is>
          <t>07/26 div. Mieten</t>
        </is>
      </c>
      <c r="N443" t="inlineStr">
        <is>
          <t>2026-08-20</t>
        </is>
      </c>
    </row>
    <row r="444">
      <c r="A444" t="n">
        <v>1543</v>
      </c>
      <c r="B444" t="inlineStr">
        <is>
          <t>VERBINDLICHKEIT</t>
        </is>
      </c>
      <c r="C444" t="inlineStr">
        <is>
          <t>4102.0</t>
        </is>
      </c>
      <c r="E444" t="inlineStr">
        <is>
          <t>KR</t>
        </is>
      </c>
      <c r="F444" t="inlineStr">
        <is>
          <t>8037</t>
        </is>
      </c>
      <c r="H444" t="inlineStr">
        <is>
          <t>2026-09-03</t>
        </is>
      </c>
      <c r="I444" t="n">
        <v>-213.34</v>
      </c>
      <c r="J444" t="inlineStr">
        <is>
          <t>EUR</t>
        </is>
      </c>
      <c r="L444" t="inlineStr">
        <is>
          <t>07/26 div. Mieten</t>
        </is>
      </c>
      <c r="N444" t="inlineStr">
        <is>
          <t>2026-08-20</t>
        </is>
      </c>
    </row>
    <row r="445">
      <c r="A445" t="n">
        <v>1544</v>
      </c>
      <c r="B445" t="inlineStr">
        <is>
          <t>VERBINDLICHKEIT</t>
        </is>
      </c>
      <c r="C445" t="inlineStr">
        <is>
          <t>4102.0</t>
        </is>
      </c>
      <c r="E445" t="inlineStr">
        <is>
          <t>KR</t>
        </is>
      </c>
      <c r="F445" t="inlineStr">
        <is>
          <t>8039</t>
        </is>
      </c>
      <c r="H445" t="inlineStr">
        <is>
          <t>2026-09-03</t>
        </is>
      </c>
      <c r="I445" t="n">
        <v>-110.32</v>
      </c>
      <c r="J445" t="inlineStr">
        <is>
          <t>EUR</t>
        </is>
      </c>
      <c r="L445" t="inlineStr">
        <is>
          <t>07/26 div. Mieten</t>
        </is>
      </c>
      <c r="N445" t="inlineStr">
        <is>
          <t>2026-08-20</t>
        </is>
      </c>
    </row>
    <row r="446">
      <c r="A446" t="n">
        <v>1545</v>
      </c>
      <c r="B446" t="inlineStr">
        <is>
          <t>VERBINDLICHKEIT</t>
        </is>
      </c>
      <c r="C446" t="inlineStr">
        <is>
          <t>4102.0</t>
        </is>
      </c>
      <c r="E446" t="inlineStr">
        <is>
          <t>KR</t>
        </is>
      </c>
      <c r="F446" t="inlineStr">
        <is>
          <t>8038</t>
        </is>
      </c>
      <c r="H446" t="inlineStr">
        <is>
          <t>2026-09-03</t>
        </is>
      </c>
      <c r="I446" t="n">
        <v>-20.97</v>
      </c>
      <c r="J446" t="inlineStr">
        <is>
          <t>EUR</t>
        </is>
      </c>
      <c r="L446" t="inlineStr">
        <is>
          <t>07/26 div. Mieten</t>
        </is>
      </c>
      <c r="N446" t="inlineStr">
        <is>
          <t>2026-08-20</t>
        </is>
      </c>
    </row>
    <row r="447">
      <c r="A447" t="n">
        <v>1546</v>
      </c>
      <c r="B447" t="inlineStr">
        <is>
          <t>VERBINDLICHKEIT</t>
        </is>
      </c>
      <c r="C447" t="inlineStr">
        <is>
          <t>4102.0</t>
        </is>
      </c>
      <c r="E447" t="inlineStr">
        <is>
          <t>KR</t>
        </is>
      </c>
      <c r="F447" t="inlineStr">
        <is>
          <t>8036</t>
        </is>
      </c>
      <c r="H447" t="inlineStr">
        <is>
          <t>2026-09-03</t>
        </is>
      </c>
      <c r="I447" t="n">
        <v>-248.97</v>
      </c>
      <c r="J447" t="inlineStr">
        <is>
          <t>EUR</t>
        </is>
      </c>
      <c r="L447" t="inlineStr">
        <is>
          <t>07/26 div. Mieten</t>
        </is>
      </c>
      <c r="N447" t="inlineStr">
        <is>
          <t>2026-08-20</t>
        </is>
      </c>
    </row>
    <row r="448">
      <c r="A448" t="n">
        <v>1547</v>
      </c>
      <c r="B448" t="inlineStr">
        <is>
          <t>VERBINDLICHKEIT</t>
        </is>
      </c>
      <c r="C448" t="inlineStr">
        <is>
          <t>4102.0</t>
        </is>
      </c>
      <c r="E448" t="inlineStr">
        <is>
          <t>KR</t>
        </is>
      </c>
      <c r="F448" t="inlineStr">
        <is>
          <t>8017</t>
        </is>
      </c>
      <c r="H448" t="inlineStr">
        <is>
          <t>2026-09-03</t>
        </is>
      </c>
      <c r="I448" t="n">
        <v>-890</v>
      </c>
      <c r="J448" t="inlineStr">
        <is>
          <t>EUR</t>
        </is>
      </c>
      <c r="L448" t="inlineStr">
        <is>
          <t>08/26 Ausbilderlehrgang Hr. Kühn</t>
        </is>
      </c>
      <c r="N448" t="inlineStr">
        <is>
          <t>2026-08-20</t>
        </is>
      </c>
    </row>
    <row r="449">
      <c r="A449" t="n">
        <v>1548</v>
      </c>
      <c r="B449" t="inlineStr">
        <is>
          <t>VERBINDLICHKEIT</t>
        </is>
      </c>
      <c r="C449" t="inlineStr">
        <is>
          <t>4102.0</t>
        </is>
      </c>
      <c r="E449" t="inlineStr">
        <is>
          <t>KR</t>
        </is>
      </c>
      <c r="F449" t="inlineStr">
        <is>
          <t>8069</t>
        </is>
      </c>
      <c r="H449" t="inlineStr">
        <is>
          <t>2026-10-05</t>
        </is>
      </c>
      <c r="I449" t="n">
        <v>-85.68000000000001</v>
      </c>
      <c r="J449" t="inlineStr">
        <is>
          <t>EUR</t>
        </is>
      </c>
      <c r="L449" t="inlineStr">
        <is>
          <t>08/26 Fußmattensatz</t>
        </is>
      </c>
      <c r="N449" t="inlineStr">
        <is>
          <t>2026-08-20</t>
        </is>
      </c>
    </row>
    <row r="450">
      <c r="A450" t="n">
        <v>1549</v>
      </c>
      <c r="B450" t="inlineStr">
        <is>
          <t>VERBINDLICHKEIT</t>
        </is>
      </c>
      <c r="C450" t="inlineStr">
        <is>
          <t>4102.0</t>
        </is>
      </c>
      <c r="E450" t="inlineStr">
        <is>
          <t>KR</t>
        </is>
      </c>
      <c r="F450" t="inlineStr">
        <is>
          <t>8014</t>
        </is>
      </c>
      <c r="H450" t="inlineStr">
        <is>
          <t>2026-08-05</t>
        </is>
      </c>
      <c r="I450" t="n">
        <v>-15940.24</v>
      </c>
      <c r="J450" t="inlineStr">
        <is>
          <t>EUR</t>
        </is>
      </c>
      <c r="L450" t="inlineStr">
        <is>
          <t>07/26 Gerüst - Currenta Schadstoffsanierung G22</t>
        </is>
      </c>
      <c r="N450" t="inlineStr">
        <is>
          <t>2026-08-20</t>
        </is>
      </c>
    </row>
    <row r="451">
      <c r="A451" t="n">
        <v>1550</v>
      </c>
      <c r="B451" t="inlineStr">
        <is>
          <t>VERBINDLICHKEIT</t>
        </is>
      </c>
      <c r="C451" t="inlineStr">
        <is>
          <t>4102.0</t>
        </is>
      </c>
      <c r="E451" t="inlineStr">
        <is>
          <t>KR</t>
        </is>
      </c>
      <c r="F451" t="inlineStr">
        <is>
          <t>7976</t>
        </is>
      </c>
      <c r="H451" t="inlineStr">
        <is>
          <t>2026-08-04</t>
        </is>
      </c>
      <c r="I451" t="n">
        <v>-6111.89</v>
      </c>
      <c r="J451" t="inlineStr">
        <is>
          <t>EUR</t>
        </is>
      </c>
      <c r="L451" t="inlineStr">
        <is>
          <t>07/26 Gerüst - Currenta Schadstoffsanierung G22</t>
        </is>
      </c>
      <c r="N451" t="inlineStr">
        <is>
          <t>2026-08-20</t>
        </is>
      </c>
    </row>
    <row r="452">
      <c r="A452" t="n">
        <v>1551</v>
      </c>
      <c r="B452" t="inlineStr">
        <is>
          <t>VERBINDLICHKEIT</t>
        </is>
      </c>
      <c r="C452" t="inlineStr">
        <is>
          <t>4102.0</t>
        </is>
      </c>
      <c r="E452" t="inlineStr">
        <is>
          <t>KR</t>
        </is>
      </c>
      <c r="F452" t="inlineStr">
        <is>
          <t>7929</t>
        </is>
      </c>
      <c r="H452" t="inlineStr">
        <is>
          <t>2026-07-30</t>
        </is>
      </c>
      <c r="I452" t="n">
        <v>-9372.610000000001</v>
      </c>
      <c r="J452" t="inlineStr">
        <is>
          <t>EUR</t>
        </is>
      </c>
      <c r="L452" t="inlineStr">
        <is>
          <t>03/26 Eisen und Stahl</t>
        </is>
      </c>
      <c r="N452" t="inlineStr">
        <is>
          <t>2026-08-20</t>
        </is>
      </c>
    </row>
    <row r="453">
      <c r="A453" t="n">
        <v>1552</v>
      </c>
      <c r="B453" t="inlineStr">
        <is>
          <t>VERBINDLICHKEIT</t>
        </is>
      </c>
      <c r="C453" t="inlineStr">
        <is>
          <t>4102.0</t>
        </is>
      </c>
      <c r="E453" t="inlineStr">
        <is>
          <t>KG</t>
        </is>
      </c>
      <c r="F453" t="inlineStr">
        <is>
          <t>2080</t>
        </is>
      </c>
      <c r="H453" t="inlineStr">
        <is>
          <t>2026-05-18</t>
        </is>
      </c>
      <c r="I453" t="n">
        <v>180</v>
      </c>
      <c r="J453" t="inlineStr">
        <is>
          <t>EUR</t>
        </is>
      </c>
      <c r="L453" t="inlineStr">
        <is>
          <t>GewSt + Zinsen 2020, 2021, 2022 Duisburg</t>
        </is>
      </c>
      <c r="N453" t="inlineStr">
        <is>
          <t>2026-08-20</t>
        </is>
      </c>
    </row>
    <row r="454">
      <c r="A454" t="n">
        <v>1553</v>
      </c>
      <c r="B454" t="inlineStr">
        <is>
          <t>VERBINDLICHKEIT</t>
        </is>
      </c>
      <c r="C454" t="inlineStr">
        <is>
          <t>4102.0</t>
        </is>
      </c>
      <c r="E454" t="inlineStr">
        <is>
          <t>ZS</t>
        </is>
      </c>
      <c r="F454" t="inlineStr">
        <is>
          <t>1200663</t>
        </is>
      </c>
      <c r="H454" t="inlineStr">
        <is>
          <t>2026-08-07</t>
        </is>
      </c>
      <c r="I454" t="n">
        <v>-11080</v>
      </c>
      <c r="J454" t="inlineStr">
        <is>
          <t>EUR</t>
        </is>
      </c>
      <c r="L454" t="inlineStr">
        <is>
          <t>*ZE ERSTATT.014/690/53443 GEW.ST 2024</t>
        </is>
      </c>
      <c r="N454" t="inlineStr">
        <is>
          <t>2026-08-20</t>
        </is>
      </c>
    </row>
    <row r="455">
      <c r="A455" t="n">
        <v>1554</v>
      </c>
      <c r="B455" t="inlineStr">
        <is>
          <t>VERBINDLICHKEIT</t>
        </is>
      </c>
      <c r="C455" t="inlineStr">
        <is>
          <t>4102.0</t>
        </is>
      </c>
      <c r="E455" t="inlineStr">
        <is>
          <t>ZS</t>
        </is>
      </c>
      <c r="F455" t="inlineStr">
        <is>
          <t>1200663</t>
        </is>
      </c>
      <c r="H455" t="inlineStr">
        <is>
          <t>2026-08-07</t>
        </is>
      </c>
      <c r="I455" t="n">
        <v>-34</v>
      </c>
      <c r="J455" t="inlineStr">
        <is>
          <t>EUR</t>
        </is>
      </c>
      <c r="L455" t="inlineStr">
        <is>
          <t>*ZE ERSTATT.014/690/53443 GEW.ST 24 ZINSEN</t>
        </is>
      </c>
      <c r="N455" t="inlineStr">
        <is>
          <t>2026-08-20</t>
        </is>
      </c>
    </row>
    <row r="456">
      <c r="A456" t="n">
        <v>1555</v>
      </c>
      <c r="B456" t="inlineStr">
        <is>
          <t>VERBINDLICHKEIT</t>
        </is>
      </c>
      <c r="C456" t="inlineStr">
        <is>
          <t>4102.0</t>
        </is>
      </c>
      <c r="E456" t="inlineStr">
        <is>
          <t>ZS</t>
        </is>
      </c>
      <c r="F456" t="inlineStr">
        <is>
          <t>1200663</t>
        </is>
      </c>
      <c r="H456" t="inlineStr">
        <is>
          <t>2026-08-07</t>
        </is>
      </c>
      <c r="I456" t="n">
        <v>-2701</v>
      </c>
      <c r="J456" t="inlineStr">
        <is>
          <t>EUR</t>
        </is>
      </c>
      <c r="L456" t="inlineStr">
        <is>
          <t>*ZE ERSTATT.014/690/53443 GEW.ST 1VJ.26</t>
        </is>
      </c>
      <c r="N456" t="inlineStr">
        <is>
          <t>2026-08-20</t>
        </is>
      </c>
    </row>
    <row r="457">
      <c r="A457" t="n">
        <v>1556</v>
      </c>
      <c r="B457" t="inlineStr">
        <is>
          <t>VERBINDLICHKEIT</t>
        </is>
      </c>
      <c r="C457" t="inlineStr">
        <is>
          <t>4102.0</t>
        </is>
      </c>
      <c r="E457" t="inlineStr">
        <is>
          <t>ZS</t>
        </is>
      </c>
      <c r="F457" t="inlineStr">
        <is>
          <t>1200663</t>
        </is>
      </c>
      <c r="H457" t="inlineStr">
        <is>
          <t>2026-08-07</t>
        </is>
      </c>
      <c r="I457" t="n">
        <v>-2701</v>
      </c>
      <c r="J457" t="inlineStr">
        <is>
          <t>EUR</t>
        </is>
      </c>
      <c r="L457" t="inlineStr">
        <is>
          <t>*ZE ERSTATT.014/690/53443 GEW.ST 2VJ.26</t>
        </is>
      </c>
      <c r="N457" t="inlineStr">
        <is>
          <t>2026-08-20</t>
        </is>
      </c>
    </row>
    <row r="458">
      <c r="A458" t="n">
        <v>1557</v>
      </c>
      <c r="B458" t="inlineStr">
        <is>
          <t>VERBINDLICHKEIT</t>
        </is>
      </c>
      <c r="C458" t="inlineStr">
        <is>
          <t>4102.0</t>
        </is>
      </c>
      <c r="E458" t="inlineStr">
        <is>
          <t>KR</t>
        </is>
      </c>
      <c r="F458" t="inlineStr">
        <is>
          <t>7973</t>
        </is>
      </c>
      <c r="H458" t="inlineStr">
        <is>
          <t>2026-08-04</t>
        </is>
      </c>
      <c r="I458" t="n">
        <v>-800.45</v>
      </c>
      <c r="J458" t="inlineStr">
        <is>
          <t>EUR</t>
        </is>
      </c>
      <c r="L458" t="inlineStr">
        <is>
          <t>06/26 Prämienabrechnung</t>
        </is>
      </c>
      <c r="N458" t="inlineStr">
        <is>
          <t>2026-08-20</t>
        </is>
      </c>
    </row>
    <row r="459">
      <c r="A459" t="n">
        <v>1558</v>
      </c>
      <c r="B459" t="inlineStr">
        <is>
          <t>VERBINDLICHKEIT</t>
        </is>
      </c>
      <c r="C459" t="inlineStr">
        <is>
          <t>4102.0</t>
        </is>
      </c>
      <c r="E459" t="inlineStr">
        <is>
          <t>ZS</t>
        </is>
      </c>
      <c r="F459" t="inlineStr">
        <is>
          <t>1200331</t>
        </is>
      </c>
      <c r="H459" t="inlineStr">
        <is>
          <t>2026-05-06</t>
        </is>
      </c>
      <c r="I459" t="n">
        <v>-75</v>
      </c>
      <c r="J459" t="inlineStr">
        <is>
          <t>EUR</t>
        </is>
      </c>
      <c r="L459" t="inlineStr">
        <is>
          <t>*ZE 110049-100-1 GewSt 2021 - nicht erfasst</t>
        </is>
      </c>
      <c r="N459" t="inlineStr">
        <is>
          <t>2026-08-20</t>
        </is>
      </c>
    </row>
    <row r="460">
      <c r="A460" t="n">
        <v>1559</v>
      </c>
      <c r="B460" t="inlineStr">
        <is>
          <t>VERBINDLICHKEIT</t>
        </is>
      </c>
      <c r="C460" t="inlineStr">
        <is>
          <t>4102.0</t>
        </is>
      </c>
      <c r="E460" t="inlineStr">
        <is>
          <t>KG</t>
        </is>
      </c>
      <c r="F460" t="inlineStr">
        <is>
          <t>2067</t>
        </is>
      </c>
      <c r="H460" t="inlineStr">
        <is>
          <t>2026-05-04</t>
        </is>
      </c>
      <c r="I460" t="n">
        <v>39</v>
      </c>
      <c r="J460" t="inlineStr">
        <is>
          <t>EUR</t>
        </is>
      </c>
      <c r="L460" t="inlineStr">
        <is>
          <t>GewSt 2020-23 Rheinsberg</t>
        </is>
      </c>
      <c r="N460" t="inlineStr">
        <is>
          <t>2026-08-20</t>
        </is>
      </c>
    </row>
    <row r="461">
      <c r="A461" t="n">
        <v>1560</v>
      </c>
      <c r="B461" t="inlineStr">
        <is>
          <t>VERBINDLICHKEIT</t>
        </is>
      </c>
      <c r="C461" t="inlineStr">
        <is>
          <t>4102.0</t>
        </is>
      </c>
      <c r="E461" t="inlineStr">
        <is>
          <t>KG</t>
        </is>
      </c>
      <c r="F461" t="inlineStr">
        <is>
          <t>2083</t>
        </is>
      </c>
      <c r="H461" t="inlineStr">
        <is>
          <t>2026-06-22</t>
        </is>
      </c>
      <c r="I461" t="n">
        <v>45.1</v>
      </c>
      <c r="J461" t="inlineStr">
        <is>
          <t>EUR</t>
        </is>
      </c>
      <c r="L461" t="inlineStr">
        <is>
          <t>GewSt Dortmund 2020, 2021</t>
        </is>
      </c>
      <c r="N461" t="inlineStr">
        <is>
          <t>2026-08-20</t>
        </is>
      </c>
    </row>
    <row r="462">
      <c r="A462" t="n">
        <v>1561</v>
      </c>
      <c r="B462" t="inlineStr">
        <is>
          <t>VERBINDLICHKEIT</t>
        </is>
      </c>
      <c r="C462" t="inlineStr">
        <is>
          <t>4102.0</t>
        </is>
      </c>
      <c r="E462" t="inlineStr">
        <is>
          <t>KR</t>
        </is>
      </c>
      <c r="F462" t="inlineStr">
        <is>
          <t>7938</t>
        </is>
      </c>
      <c r="H462" t="inlineStr">
        <is>
          <t>2026-08-30</t>
        </is>
      </c>
      <c r="I462" t="n">
        <v>-471.24</v>
      </c>
      <c r="J462" t="inlineStr">
        <is>
          <t>EUR</t>
        </is>
      </c>
      <c r="L462" t="inlineStr">
        <is>
          <t>07/26 Miete Stahlplatten</t>
        </is>
      </c>
      <c r="N462" t="inlineStr">
        <is>
          <t>2026-08-20</t>
        </is>
      </c>
    </row>
    <row r="463">
      <c r="A463" t="n">
        <v>1562</v>
      </c>
      <c r="B463" t="inlineStr">
        <is>
          <t>VERBINDLICHKEIT</t>
        </is>
      </c>
      <c r="C463" t="inlineStr">
        <is>
          <t>4102.0</t>
        </is>
      </c>
      <c r="E463" t="inlineStr">
        <is>
          <t>KR</t>
        </is>
      </c>
      <c r="F463" t="inlineStr">
        <is>
          <t>7939</t>
        </is>
      </c>
      <c r="H463" t="inlineStr">
        <is>
          <t>2026-08-30</t>
        </is>
      </c>
      <c r="I463" t="n">
        <v>-2816.73</v>
      </c>
      <c r="J463" t="inlineStr">
        <is>
          <t>EUR</t>
        </is>
      </c>
      <c r="L463" t="inlineStr">
        <is>
          <t>07/26 Miete Stahlplatten</t>
        </is>
      </c>
      <c r="N463" t="inlineStr">
        <is>
          <t>2026-08-20</t>
        </is>
      </c>
    </row>
    <row r="464">
      <c r="A464" t="n">
        <v>1563</v>
      </c>
      <c r="B464" t="inlineStr">
        <is>
          <t>VERBINDLICHKEIT</t>
        </is>
      </c>
      <c r="C464" t="inlineStr">
        <is>
          <t>4102.0</t>
        </is>
      </c>
      <c r="E464" t="inlineStr">
        <is>
          <t>KR</t>
        </is>
      </c>
      <c r="F464" t="inlineStr">
        <is>
          <t>7722</t>
        </is>
      </c>
      <c r="H464" t="inlineStr">
        <is>
          <t>2026-08-08</t>
        </is>
      </c>
      <c r="I464" t="n">
        <v>-3913.43</v>
      </c>
      <c r="J464" t="inlineStr">
        <is>
          <t>EUR</t>
        </is>
      </c>
      <c r="L464" t="inlineStr">
        <is>
          <t>07-08/26 Miete Stahlplatten</t>
        </is>
      </c>
      <c r="N464" t="inlineStr">
        <is>
          <t>2026-08-20</t>
        </is>
      </c>
    </row>
    <row r="465">
      <c r="A465" t="n">
        <v>1564</v>
      </c>
      <c r="B465" t="inlineStr">
        <is>
          <t>VERBINDLICHKEIT</t>
        </is>
      </c>
      <c r="C465" t="inlineStr">
        <is>
          <t>4102.0</t>
        </is>
      </c>
      <c r="E465" t="inlineStr">
        <is>
          <t>KR</t>
        </is>
      </c>
      <c r="F465" t="inlineStr">
        <is>
          <t>7804</t>
        </is>
      </c>
      <c r="H465" t="inlineStr">
        <is>
          <t>2026-08-09</t>
        </is>
      </c>
      <c r="I465" t="n">
        <v>-16.99</v>
      </c>
      <c r="J465" t="inlineStr">
        <is>
          <t>EUR</t>
        </is>
      </c>
      <c r="L465" t="inlineStr">
        <is>
          <t>07/26 iPhone-Hülle</t>
        </is>
      </c>
      <c r="N465" t="inlineStr">
        <is>
          <t>2026-08-20</t>
        </is>
      </c>
    </row>
    <row r="466">
      <c r="A466" t="n">
        <v>1565</v>
      </c>
      <c r="B466" t="inlineStr">
        <is>
          <t>VERBINDLICHKEIT</t>
        </is>
      </c>
      <c r="C466" t="inlineStr">
        <is>
          <t>4102.0</t>
        </is>
      </c>
      <c r="E466" t="inlineStr">
        <is>
          <t>KR</t>
        </is>
      </c>
      <c r="F466" t="inlineStr">
        <is>
          <t>7803</t>
        </is>
      </c>
      <c r="H466" t="inlineStr">
        <is>
          <t>2026-08-14</t>
        </is>
      </c>
      <c r="I466" t="n">
        <v>-14.3</v>
      </c>
      <c r="J466" t="inlineStr">
        <is>
          <t>EUR</t>
        </is>
      </c>
      <c r="L466" t="inlineStr">
        <is>
          <t>07/26 Laminiertaschen</t>
        </is>
      </c>
      <c r="N466" t="inlineStr">
        <is>
          <t>2026-08-20</t>
        </is>
      </c>
    </row>
    <row r="467">
      <c r="A467" t="n">
        <v>1566</v>
      </c>
      <c r="B467" t="inlineStr">
        <is>
          <t>VERBINDLICHKEIT</t>
        </is>
      </c>
      <c r="C467" t="inlineStr">
        <is>
          <t>4102.0</t>
        </is>
      </c>
      <c r="E467" t="inlineStr">
        <is>
          <t>KR</t>
        </is>
      </c>
      <c r="F467" t="inlineStr">
        <is>
          <t>7751</t>
        </is>
      </c>
      <c r="H467" t="inlineStr">
        <is>
          <t>2026-08-11</t>
        </is>
      </c>
      <c r="I467" t="n">
        <v>-63.47</v>
      </c>
      <c r="J467" t="inlineStr">
        <is>
          <t>EUR</t>
        </is>
      </c>
      <c r="L467" t="inlineStr">
        <is>
          <t>07/26 Logitech kabellose Maus, Gelstifte</t>
        </is>
      </c>
      <c r="N467" t="inlineStr">
        <is>
          <t>2026-08-20</t>
        </is>
      </c>
    </row>
    <row r="468">
      <c r="A468" t="n">
        <v>1567</v>
      </c>
      <c r="B468" t="inlineStr">
        <is>
          <t>VERBINDLICHKEIT</t>
        </is>
      </c>
      <c r="C468" t="inlineStr">
        <is>
          <t>4102.0</t>
        </is>
      </c>
      <c r="E468" t="inlineStr">
        <is>
          <t>KR</t>
        </is>
      </c>
      <c r="F468" t="inlineStr">
        <is>
          <t>7750</t>
        </is>
      </c>
      <c r="H468" t="inlineStr">
        <is>
          <t>2026-08-09</t>
        </is>
      </c>
      <c r="I468" t="n">
        <v>-43.9</v>
      </c>
      <c r="J468" t="inlineStr">
        <is>
          <t>EUR</t>
        </is>
      </c>
      <c r="L468" t="inlineStr">
        <is>
          <t>07/26 Kopierpapier</t>
        </is>
      </c>
      <c r="N468" t="inlineStr">
        <is>
          <t>2026-08-20</t>
        </is>
      </c>
    </row>
    <row r="469">
      <c r="A469" t="n">
        <v>1568</v>
      </c>
      <c r="B469" t="inlineStr">
        <is>
          <t>VERBINDLICHKEIT</t>
        </is>
      </c>
      <c r="C469" t="inlineStr">
        <is>
          <t>4102.0</t>
        </is>
      </c>
      <c r="E469" t="inlineStr">
        <is>
          <t>KR</t>
        </is>
      </c>
      <c r="F469" t="inlineStr">
        <is>
          <t>7843</t>
        </is>
      </c>
      <c r="H469" t="inlineStr">
        <is>
          <t>2026-08-09</t>
        </is>
      </c>
      <c r="I469" t="n">
        <v>-94.48999999999999</v>
      </c>
      <c r="J469" t="inlineStr">
        <is>
          <t>EUR</t>
        </is>
      </c>
      <c r="L469" t="inlineStr">
        <is>
          <t>07/26 Endlospapier</t>
        </is>
      </c>
      <c r="N469" t="inlineStr">
        <is>
          <t>2026-08-20</t>
        </is>
      </c>
    </row>
    <row r="470">
      <c r="A470" t="n">
        <v>1569</v>
      </c>
      <c r="B470" t="inlineStr">
        <is>
          <t>VERBINDLICHKEIT</t>
        </is>
      </c>
      <c r="C470" t="inlineStr">
        <is>
          <t>4102.0</t>
        </is>
      </c>
      <c r="E470" t="inlineStr">
        <is>
          <t>KR</t>
        </is>
      </c>
      <c r="F470" t="inlineStr">
        <is>
          <t>7744</t>
        </is>
      </c>
      <c r="H470" t="inlineStr">
        <is>
          <t>2026-08-12</t>
        </is>
      </c>
      <c r="I470" t="n">
        <v>-730</v>
      </c>
      <c r="J470" t="inlineStr">
        <is>
          <t>EUR</t>
        </is>
      </c>
      <c r="L470" t="inlineStr">
        <is>
          <t>06-07/26 DFA Höhenarbeiten</t>
        </is>
      </c>
      <c r="N470" t="inlineStr">
        <is>
          <t>2026-08-20</t>
        </is>
      </c>
    </row>
    <row r="471">
      <c r="A471" t="n">
        <v>1570</v>
      </c>
      <c r="B471" t="inlineStr">
        <is>
          <t>VERBINDLICHKEIT</t>
        </is>
      </c>
      <c r="C471" t="inlineStr">
        <is>
          <t>4102.0</t>
        </is>
      </c>
      <c r="E471" t="inlineStr">
        <is>
          <t>KR</t>
        </is>
      </c>
      <c r="F471" t="inlineStr">
        <is>
          <t>7885</t>
        </is>
      </c>
      <c r="H471" t="inlineStr">
        <is>
          <t>2026-08-22</t>
        </is>
      </c>
      <c r="I471" t="n">
        <v>-840</v>
      </c>
      <c r="J471" t="inlineStr">
        <is>
          <t>EUR</t>
        </is>
      </c>
      <c r="L471" t="inlineStr">
        <is>
          <t>07/26 DFA Höhenarbeiten</t>
        </is>
      </c>
      <c r="N471" t="inlineStr">
        <is>
          <t>2026-08-20</t>
        </is>
      </c>
    </row>
    <row r="472">
      <c r="A472" t="n">
        <v>1571</v>
      </c>
      <c r="B472" t="inlineStr">
        <is>
          <t>VERBINDLICHKEIT</t>
        </is>
      </c>
      <c r="C472" t="inlineStr">
        <is>
          <t>4102.0</t>
        </is>
      </c>
      <c r="E472" t="inlineStr">
        <is>
          <t>KR</t>
        </is>
      </c>
      <c r="F472" t="inlineStr">
        <is>
          <t>7909</t>
        </is>
      </c>
      <c r="H472" t="inlineStr">
        <is>
          <t>2026-08-27</t>
        </is>
      </c>
      <c r="I472" t="n">
        <v>-14350</v>
      </c>
      <c r="J472" t="inlineStr">
        <is>
          <t>EUR</t>
        </is>
      </c>
      <c r="L472" t="inlineStr">
        <is>
          <t>07/26 Demontagearbeiten G22 Leverkusen</t>
        </is>
      </c>
      <c r="N472" t="inlineStr">
        <is>
          <t>2026-08-20</t>
        </is>
      </c>
    </row>
    <row r="473">
      <c r="A473" t="n">
        <v>1572</v>
      </c>
      <c r="B473" t="inlineStr">
        <is>
          <t>VERBINDLICHKEIT</t>
        </is>
      </c>
      <c r="C473" t="inlineStr">
        <is>
          <t>4102.0</t>
        </is>
      </c>
      <c r="E473" t="inlineStr">
        <is>
          <t>KR</t>
        </is>
      </c>
      <c r="F473" t="inlineStr">
        <is>
          <t>8015</t>
        </is>
      </c>
      <c r="H473" t="inlineStr">
        <is>
          <t>2026-09-03</t>
        </is>
      </c>
      <c r="I473" t="n">
        <v>-1850</v>
      </c>
      <c r="J473" t="inlineStr">
        <is>
          <t>EUR</t>
        </is>
      </c>
      <c r="L473" t="inlineStr">
        <is>
          <t>07-08/26 DFA Höhenarbeiten</t>
        </is>
      </c>
      <c r="N473" t="inlineStr">
        <is>
          <t>2026-08-20</t>
        </is>
      </c>
    </row>
    <row r="474">
      <c r="A474" t="n">
        <v>1573</v>
      </c>
      <c r="B474" t="inlineStr">
        <is>
          <t>VERBINDLICHKEIT</t>
        </is>
      </c>
      <c r="C474" t="inlineStr">
        <is>
          <t>4102.0</t>
        </is>
      </c>
      <c r="E474" t="inlineStr">
        <is>
          <t>KR</t>
        </is>
      </c>
      <c r="F474" t="inlineStr">
        <is>
          <t>7963</t>
        </is>
      </c>
      <c r="H474" t="inlineStr">
        <is>
          <t>2026-08-01</t>
        </is>
      </c>
      <c r="I474" t="n">
        <v>-3495.43</v>
      </c>
      <c r="J474" t="inlineStr">
        <is>
          <t>EUR</t>
        </is>
      </c>
      <c r="L474" t="inlineStr">
        <is>
          <t>07/26 Vergütung Factoringleistung</t>
        </is>
      </c>
      <c r="N474" t="inlineStr">
        <is>
          <t>2026-08-20</t>
        </is>
      </c>
    </row>
    <row r="475">
      <c r="A475" t="n">
        <v>1574</v>
      </c>
      <c r="B475" t="inlineStr">
        <is>
          <t>VERBINDLICHKEIT</t>
        </is>
      </c>
      <c r="C475" t="inlineStr">
        <is>
          <t>4102.0</t>
        </is>
      </c>
      <c r="E475" t="inlineStr">
        <is>
          <t>KR</t>
        </is>
      </c>
      <c r="F475" t="inlineStr">
        <is>
          <t>7969</t>
        </is>
      </c>
      <c r="H475" t="inlineStr">
        <is>
          <t>2026-08-02</t>
        </is>
      </c>
      <c r="I475" t="n">
        <v>-1806.47</v>
      </c>
      <c r="J475" t="inlineStr">
        <is>
          <t>EUR</t>
        </is>
      </c>
      <c r="L475" t="inlineStr">
        <is>
          <t>08/26 Service &amp; Finanzrate div. Fahrzeuge</t>
        </is>
      </c>
      <c r="N475" t="inlineStr">
        <is>
          <t>2026-08-20</t>
        </is>
      </c>
    </row>
    <row r="476">
      <c r="A476" t="n">
        <v>1575</v>
      </c>
      <c r="B476" t="inlineStr">
        <is>
          <t>VERBINDLICHKEIT</t>
        </is>
      </c>
      <c r="C476" t="inlineStr">
        <is>
          <t>4102.0</t>
        </is>
      </c>
      <c r="E476" t="inlineStr">
        <is>
          <t>KR</t>
        </is>
      </c>
      <c r="F476" t="inlineStr">
        <is>
          <t>7966</t>
        </is>
      </c>
      <c r="H476" t="inlineStr">
        <is>
          <t>2026-08-21</t>
        </is>
      </c>
      <c r="I476" t="n">
        <v>-1237.6</v>
      </c>
      <c r="J476" t="inlineStr">
        <is>
          <t>EUR</t>
        </is>
      </c>
      <c r="L476" t="inlineStr">
        <is>
          <t>07/26 Miete Fahrbahnbleche</t>
        </is>
      </c>
      <c r="N476" t="inlineStr">
        <is>
          <t>2026-08-20</t>
        </is>
      </c>
    </row>
    <row r="477">
      <c r="A477" t="n">
        <v>1576</v>
      </c>
      <c r="B477" t="inlineStr">
        <is>
          <t>VERBINDLICHKEIT</t>
        </is>
      </c>
      <c r="C477" t="inlineStr">
        <is>
          <t>4102.0</t>
        </is>
      </c>
      <c r="E477" t="inlineStr">
        <is>
          <t>KR</t>
        </is>
      </c>
      <c r="F477" t="inlineStr">
        <is>
          <t>7912</t>
        </is>
      </c>
      <c r="H477" t="inlineStr">
        <is>
          <t>2026-08-19</t>
        </is>
      </c>
      <c r="I477" t="n">
        <v>-2618</v>
      </c>
      <c r="J477" t="inlineStr">
        <is>
          <t>EUR</t>
        </is>
      </c>
      <c r="L477" t="inlineStr">
        <is>
          <t>06-07/26 Miete Fahrbahnbleche</t>
        </is>
      </c>
      <c r="N477" t="inlineStr">
        <is>
          <t>2026-08-20</t>
        </is>
      </c>
    </row>
    <row r="478">
      <c r="A478" t="n">
        <v>1577</v>
      </c>
      <c r="B478" t="inlineStr">
        <is>
          <t>VERBINDLICHKEIT</t>
        </is>
      </c>
      <c r="C478" t="inlineStr">
        <is>
          <t>4102.0</t>
        </is>
      </c>
      <c r="E478" t="inlineStr">
        <is>
          <t>KR</t>
        </is>
      </c>
      <c r="F478" t="inlineStr">
        <is>
          <t>7874</t>
        </is>
      </c>
      <c r="H478" t="inlineStr">
        <is>
          <t>2026-08-06</t>
        </is>
      </c>
      <c r="I478" t="n">
        <v>-95.13</v>
      </c>
      <c r="J478" t="inlineStr">
        <is>
          <t>EUR</t>
        </is>
      </c>
      <c r="L478" t="inlineStr">
        <is>
          <t>07/26 Miete Systemcontainer plus Zubehör</t>
        </is>
      </c>
      <c r="N478" t="inlineStr">
        <is>
          <t>2026-08-20</t>
        </is>
      </c>
    </row>
    <row r="479">
      <c r="A479" t="n">
        <v>1578</v>
      </c>
      <c r="B479" t="inlineStr">
        <is>
          <t>VERBINDLICHKEIT</t>
        </is>
      </c>
      <c r="C479" t="inlineStr">
        <is>
          <t>4102.0</t>
        </is>
      </c>
      <c r="E479" t="inlineStr">
        <is>
          <t>KR</t>
        </is>
      </c>
      <c r="F479" t="inlineStr">
        <is>
          <t>7868</t>
        </is>
      </c>
      <c r="H479" t="inlineStr">
        <is>
          <t>2026-08-05</t>
        </is>
      </c>
      <c r="I479" t="n">
        <v>-727.71</v>
      </c>
      <c r="J479" t="inlineStr">
        <is>
          <t>EUR</t>
        </is>
      </c>
      <c r="L479" t="inlineStr">
        <is>
          <t>07/26 Miete Teleskopstapler</t>
        </is>
      </c>
      <c r="N479" t="inlineStr">
        <is>
          <t>2026-08-20</t>
        </is>
      </c>
    </row>
    <row r="480">
      <c r="A480" t="n">
        <v>1579</v>
      </c>
      <c r="B480" t="inlineStr">
        <is>
          <t>VERBINDLICHKEIT</t>
        </is>
      </c>
      <c r="C480" t="inlineStr">
        <is>
          <t>4102.0</t>
        </is>
      </c>
      <c r="E480" t="inlineStr">
        <is>
          <t>KR</t>
        </is>
      </c>
      <c r="F480" t="inlineStr">
        <is>
          <t>8009</t>
        </is>
      </c>
      <c r="H480" t="inlineStr">
        <is>
          <t>2026-08-17</t>
        </is>
      </c>
      <c r="I480" t="n">
        <v>-342.24</v>
      </c>
      <c r="J480" t="inlineStr">
        <is>
          <t>EUR</t>
        </is>
      </c>
      <c r="L480" t="inlineStr">
        <is>
          <t>07-08/26 Miete Systemcontainer plus Zubehör</t>
        </is>
      </c>
      <c r="N480" t="inlineStr">
        <is>
          <t>2026-08-20</t>
        </is>
      </c>
    </row>
    <row r="481">
      <c r="A481" t="n">
        <v>1580</v>
      </c>
      <c r="B481" t="inlineStr">
        <is>
          <t>VERBINDLICHKEIT</t>
        </is>
      </c>
      <c r="C481" t="inlineStr">
        <is>
          <t>4102.0</t>
        </is>
      </c>
      <c r="E481" t="inlineStr">
        <is>
          <t>KR</t>
        </is>
      </c>
      <c r="F481" t="inlineStr">
        <is>
          <t>7907</t>
        </is>
      </c>
      <c r="H481" t="inlineStr">
        <is>
          <t>2026-08-11</t>
        </is>
      </c>
      <c r="I481" t="n">
        <v>-753.51</v>
      </c>
      <c r="J481" t="inlineStr">
        <is>
          <t>EUR</t>
        </is>
      </c>
      <c r="L481" t="inlineStr">
        <is>
          <t>02-03/26 Kraftstoff Service Diesel+Reinig.+Maut+TP</t>
        </is>
      </c>
      <c r="N481" t="inlineStr">
        <is>
          <t>2026-08-20</t>
        </is>
      </c>
    </row>
    <row r="482">
      <c r="A482" t="n">
        <v>1581</v>
      </c>
      <c r="B482" t="inlineStr">
        <is>
          <t>VERBINDLICHKEIT</t>
        </is>
      </c>
      <c r="C482" t="inlineStr">
        <is>
          <t>4102.0</t>
        </is>
      </c>
      <c r="E482" t="inlineStr">
        <is>
          <t>KR</t>
        </is>
      </c>
      <c r="F482" t="inlineStr">
        <is>
          <t>8048</t>
        </is>
      </c>
      <c r="H482" t="inlineStr">
        <is>
          <t>2026-08-19</t>
        </is>
      </c>
      <c r="I482" t="n">
        <v>-762.88</v>
      </c>
      <c r="J482" t="inlineStr">
        <is>
          <t>EUR</t>
        </is>
      </c>
      <c r="L482" t="inlineStr">
        <is>
          <t>07/26 Schaden an Teleskopstapler</t>
        </is>
      </c>
      <c r="N482" t="inlineStr">
        <is>
          <t>2026-08-20</t>
        </is>
      </c>
    </row>
    <row r="483">
      <c r="A483" t="n">
        <v>1582</v>
      </c>
      <c r="B483" t="inlineStr">
        <is>
          <t>VERBINDLICHKEIT</t>
        </is>
      </c>
      <c r="C483" t="inlineStr">
        <is>
          <t>4102.0</t>
        </is>
      </c>
      <c r="E483" t="inlineStr">
        <is>
          <t>KR</t>
        </is>
      </c>
      <c r="F483" t="inlineStr">
        <is>
          <t>8065</t>
        </is>
      </c>
      <c r="H483" t="inlineStr">
        <is>
          <t>2026-08-20</t>
        </is>
      </c>
      <c r="I483" t="n">
        <v>-95.13</v>
      </c>
      <c r="J483" t="inlineStr">
        <is>
          <t>EUR</t>
        </is>
      </c>
      <c r="L483" t="inlineStr">
        <is>
          <t>07-08/26 Miete Systemcontainer plus Zubehör</t>
        </is>
      </c>
      <c r="N483" t="inlineStr">
        <is>
          <t>2026-08-20</t>
        </is>
      </c>
    </row>
    <row r="484">
      <c r="A484" t="n">
        <v>1583</v>
      </c>
      <c r="B484" t="inlineStr">
        <is>
          <t>VERBINDLICHKEIT</t>
        </is>
      </c>
      <c r="C484" t="inlineStr">
        <is>
          <t>4102.0</t>
        </is>
      </c>
      <c r="E484" t="inlineStr">
        <is>
          <t>KR</t>
        </is>
      </c>
      <c r="F484" t="inlineStr">
        <is>
          <t>8066</t>
        </is>
      </c>
      <c r="H484" t="inlineStr">
        <is>
          <t>2026-08-21</t>
        </is>
      </c>
      <c r="I484" t="n">
        <v>-1317.4</v>
      </c>
      <c r="J484" t="inlineStr">
        <is>
          <t>EUR</t>
        </is>
      </c>
      <c r="L484" t="inlineStr">
        <is>
          <t>07/26 Miete Teleskopstapler</t>
        </is>
      </c>
      <c r="N484" t="inlineStr">
        <is>
          <t>2026-08-20</t>
        </is>
      </c>
    </row>
    <row r="485">
      <c r="A485" t="n">
        <v>1584</v>
      </c>
      <c r="B485" t="inlineStr">
        <is>
          <t>VERBINDLICHKEIT</t>
        </is>
      </c>
      <c r="C485" t="inlineStr">
        <is>
          <t>4102.0</t>
        </is>
      </c>
      <c r="E485" t="inlineStr">
        <is>
          <t>KG</t>
        </is>
      </c>
      <c r="F485" t="inlineStr">
        <is>
          <t>2087</t>
        </is>
      </c>
      <c r="H485" t="inlineStr">
        <is>
          <t>2026-06-01</t>
        </is>
      </c>
      <c r="I485" t="n">
        <v>201</v>
      </c>
      <c r="J485" t="inlineStr">
        <is>
          <t>EUR</t>
        </is>
      </c>
      <c r="L485" t="inlineStr">
        <is>
          <t>GewSt Ludwigshafen 2020 + 2021 + 2022</t>
        </is>
      </c>
      <c r="N485" t="inlineStr">
        <is>
          <t>2026-08-20</t>
        </is>
      </c>
    </row>
    <row r="486">
      <c r="A486" t="n">
        <v>1585</v>
      </c>
      <c r="B486" t="inlineStr">
        <is>
          <t>VERBINDLICHKEIT</t>
        </is>
      </c>
      <c r="C486" t="inlineStr">
        <is>
          <t>4102.0</t>
        </is>
      </c>
      <c r="E486" t="inlineStr">
        <is>
          <t>ZS</t>
        </is>
      </c>
      <c r="F486" t="inlineStr">
        <is>
          <t>1200413</t>
        </is>
      </c>
      <c r="H486" t="inlineStr">
        <is>
          <t>2026-06-01</t>
        </is>
      </c>
      <c r="I486" t="n">
        <v>-345</v>
      </c>
      <c r="J486" t="inlineStr">
        <is>
          <t>EUR</t>
        </is>
      </c>
      <c r="L486" t="inlineStr">
        <is>
          <t>*ZE GewSt 2021_5-0101-347182-1_STADTKASSE LUDWIGS.</t>
        </is>
      </c>
      <c r="N486" t="inlineStr">
        <is>
          <t>2026-08-20</t>
        </is>
      </c>
    </row>
    <row r="487">
      <c r="A487" t="n">
        <v>1586</v>
      </c>
      <c r="B487" t="inlineStr">
        <is>
          <t>VERBINDLICHKEIT</t>
        </is>
      </c>
      <c r="C487" t="inlineStr">
        <is>
          <t>4102.0</t>
        </is>
      </c>
      <c r="E487" t="inlineStr">
        <is>
          <t>ZS</t>
        </is>
      </c>
      <c r="F487" t="inlineStr">
        <is>
          <t>1200416</t>
        </is>
      </c>
      <c r="H487" t="inlineStr">
        <is>
          <t>2026-06-01</t>
        </is>
      </c>
      <c r="I487" t="n">
        <v>-57</v>
      </c>
      <c r="J487" t="inlineStr">
        <is>
          <t>EUR</t>
        </is>
      </c>
      <c r="L487" t="inlineStr">
        <is>
          <t>*ZE GewSt 2022_5-0101-347182-1_STADTKASSE LUDWIGS.</t>
        </is>
      </c>
      <c r="N487" t="inlineStr">
        <is>
          <t>2026-08-20</t>
        </is>
      </c>
    </row>
    <row r="488">
      <c r="A488" t="n">
        <v>1587</v>
      </c>
      <c r="B488" t="inlineStr">
        <is>
          <t>VERBINDLICHKEIT</t>
        </is>
      </c>
      <c r="C488" t="inlineStr">
        <is>
          <t>4102.0</t>
        </is>
      </c>
      <c r="E488" t="inlineStr">
        <is>
          <t>KG</t>
        </is>
      </c>
      <c r="F488" t="inlineStr">
        <is>
          <t>2090</t>
        </is>
      </c>
      <c r="H488" t="inlineStr">
        <is>
          <t>2026-06-04</t>
        </is>
      </c>
      <c r="I488" t="n">
        <v>2</v>
      </c>
      <c r="J488" t="inlineStr">
        <is>
          <t>EUR</t>
        </is>
      </c>
      <c r="L488" t="inlineStr">
        <is>
          <t>Zinsen GewSt Ludwigshafen 2020+2021</t>
        </is>
      </c>
      <c r="N488" t="inlineStr">
        <is>
          <t>2026-08-20</t>
        </is>
      </c>
    </row>
    <row r="489">
      <c r="A489" t="n">
        <v>1588</v>
      </c>
      <c r="B489" t="inlineStr">
        <is>
          <t>VERBINDLICHKEIT</t>
        </is>
      </c>
      <c r="C489" t="inlineStr">
        <is>
          <t>4102.0</t>
        </is>
      </c>
      <c r="E489" t="inlineStr">
        <is>
          <t>ZS</t>
        </is>
      </c>
      <c r="F489" t="inlineStr">
        <is>
          <t>1200445</t>
        </is>
      </c>
      <c r="H489" t="inlineStr">
        <is>
          <t>2026-06-08</t>
        </is>
      </c>
      <c r="I489" t="n">
        <v>-15</v>
      </c>
      <c r="J489" t="inlineStr">
        <is>
          <t>EUR</t>
        </is>
      </c>
      <c r="L489" t="inlineStr">
        <is>
          <t>*ZE Erstattungszins 2021_5-0101-347182-1</t>
        </is>
      </c>
      <c r="N489" t="inlineStr">
        <is>
          <t>2026-08-20</t>
        </is>
      </c>
    </row>
    <row r="490">
      <c r="A490" t="n">
        <v>1589</v>
      </c>
      <c r="B490" t="inlineStr">
        <is>
          <t>VERBINDLICHKEIT</t>
        </is>
      </c>
      <c r="C490" t="inlineStr">
        <is>
          <t>4102.0</t>
        </is>
      </c>
      <c r="E490" t="inlineStr">
        <is>
          <t>KR</t>
        </is>
      </c>
      <c r="F490" t="inlineStr">
        <is>
          <t>7940</t>
        </is>
      </c>
      <c r="H490" t="inlineStr">
        <is>
          <t>2026-08-07</t>
        </is>
      </c>
      <c r="I490" t="n">
        <v>-570.38</v>
      </c>
      <c r="J490" t="inlineStr">
        <is>
          <t>EUR</t>
        </is>
      </c>
      <c r="L490" t="inlineStr">
        <is>
          <t>07/26 UHR Dissencher Str. 50, Cottbus - Büro</t>
        </is>
      </c>
      <c r="N490" t="inlineStr">
        <is>
          <t>2026-08-20</t>
        </is>
      </c>
    </row>
    <row r="491">
      <c r="A491" t="n">
        <v>1590</v>
      </c>
      <c r="B491" t="inlineStr">
        <is>
          <t>VERBINDLICHKEIT</t>
        </is>
      </c>
      <c r="C491" t="inlineStr">
        <is>
          <t>4102.0</t>
        </is>
      </c>
      <c r="E491" t="inlineStr">
        <is>
          <t>KR</t>
        </is>
      </c>
      <c r="F491" t="inlineStr">
        <is>
          <t>7931</t>
        </is>
      </c>
      <c r="H491" t="inlineStr">
        <is>
          <t>2026-08-05</t>
        </is>
      </c>
      <c r="I491" t="n">
        <v>-1246.17</v>
      </c>
      <c r="J491" t="inlineStr">
        <is>
          <t>EUR</t>
        </is>
      </c>
      <c r="L491" t="inlineStr">
        <is>
          <t>06-07/26 Mietwagen Hr. de Bruyn</t>
        </is>
      </c>
      <c r="N491" t="inlineStr">
        <is>
          <t>2026-08-20</t>
        </is>
      </c>
    </row>
    <row r="492">
      <c r="A492" t="n">
        <v>1591</v>
      </c>
      <c r="B492" t="inlineStr">
        <is>
          <t>VERBINDLICHKEIT</t>
        </is>
      </c>
      <c r="C492" t="inlineStr">
        <is>
          <t>4102.0</t>
        </is>
      </c>
      <c r="E492" t="inlineStr">
        <is>
          <t>KU</t>
        </is>
      </c>
      <c r="F492" t="inlineStr">
        <is>
          <t>4716000028</t>
        </is>
      </c>
      <c r="H492" t="inlineStr">
        <is>
          <t>2025-08-21</t>
        </is>
      </c>
      <c r="I492" t="n">
        <v>300</v>
      </c>
      <c r="J492" t="inlineStr">
        <is>
          <t>EUR</t>
        </is>
      </c>
      <c r="L492" t="inlineStr">
        <is>
          <t>Vorschuss BST Kasse BV 608263 – F 60 Jänschwalde</t>
        </is>
      </c>
      <c r="N492" t="inlineStr">
        <is>
          <t>2026-08-20</t>
        </is>
      </c>
    </row>
    <row r="493">
      <c r="A493" t="n">
        <v>1592</v>
      </c>
      <c r="B493" t="inlineStr">
        <is>
          <t>VERBINDLICHKEIT</t>
        </is>
      </c>
      <c r="C493" t="inlineStr">
        <is>
          <t>4102.0</t>
        </is>
      </c>
      <c r="E493" t="inlineStr">
        <is>
          <t>ZS</t>
        </is>
      </c>
      <c r="F493" t="inlineStr">
        <is>
          <t>1200585</t>
        </is>
      </c>
      <c r="H493" t="inlineStr">
        <is>
          <t>2026-07-16</t>
        </is>
      </c>
      <c r="I493" t="n">
        <v>-37256</v>
      </c>
      <c r="J493" t="inlineStr">
        <is>
          <t>EUR</t>
        </is>
      </c>
      <c r="L493" t="inlineStr">
        <is>
          <t>*ZE TVF/SWM Erstattung GK 2171/2024roni</t>
        </is>
      </c>
      <c r="N493" t="inlineStr">
        <is>
          <t>2026-08-20</t>
        </is>
      </c>
    </row>
    <row r="494">
      <c r="A494" t="n">
        <v>1593</v>
      </c>
      <c r="B494" t="inlineStr">
        <is>
          <t>VERBINDLICHKEIT</t>
        </is>
      </c>
      <c r="C494" t="inlineStr">
        <is>
          <t>4102.0</t>
        </is>
      </c>
      <c r="E494" t="inlineStr">
        <is>
          <t>KG</t>
        </is>
      </c>
      <c r="F494" t="inlineStr">
        <is>
          <t>2116</t>
        </is>
      </c>
      <c r="H494" t="inlineStr">
        <is>
          <t>2026-06-25</t>
        </is>
      </c>
      <c r="I494" t="n">
        <v>37256</v>
      </c>
      <c r="J494" t="inlineStr">
        <is>
          <t>EUR</t>
        </is>
      </c>
      <c r="L494" t="inlineStr">
        <is>
          <t>07/26 Erstattung TVF ./. SWM GK 2171/2024roni</t>
        </is>
      </c>
      <c r="N494" t="inlineStr">
        <is>
          <t>2026-08-20</t>
        </is>
      </c>
    </row>
    <row r="495">
      <c r="A495" t="n">
        <v>1594</v>
      </c>
      <c r="B495" t="inlineStr">
        <is>
          <t>VERBINDLICHKEIT</t>
        </is>
      </c>
      <c r="C495" t="inlineStr">
        <is>
          <t>4102.0</t>
        </is>
      </c>
      <c r="E495" t="inlineStr">
        <is>
          <t>KR</t>
        </is>
      </c>
      <c r="F495" t="inlineStr">
        <is>
          <t>8023</t>
        </is>
      </c>
      <c r="H495" t="inlineStr">
        <is>
          <t>2026-09-03</t>
        </is>
      </c>
      <c r="I495" t="n">
        <v>-13250</v>
      </c>
      <c r="J495" t="inlineStr">
        <is>
          <t>EUR</t>
        </is>
      </c>
      <c r="L495" t="inlineStr">
        <is>
          <t>07/26 Verschrottung Koksgasleitung</t>
        </is>
      </c>
      <c r="N495" t="inlineStr">
        <is>
          <t>2026-08-20</t>
        </is>
      </c>
    </row>
    <row r="496">
      <c r="A496" t="n">
        <v>1595</v>
      </c>
      <c r="B496" t="inlineStr">
        <is>
          <t>VERBINDLICHKEIT</t>
        </is>
      </c>
      <c r="C496" t="inlineStr">
        <is>
          <t>4102.0</t>
        </is>
      </c>
      <c r="E496" t="inlineStr">
        <is>
          <t>KR</t>
        </is>
      </c>
      <c r="F496" t="inlineStr">
        <is>
          <t>7834</t>
        </is>
      </c>
      <c r="H496" t="inlineStr">
        <is>
          <t>2026-08-19</t>
        </is>
      </c>
      <c r="I496" t="n">
        <v>-6750</v>
      </c>
      <c r="J496" t="inlineStr">
        <is>
          <t>EUR</t>
        </is>
      </c>
      <c r="L496" t="inlineStr">
        <is>
          <t>06/26 Wbw 4 Hallenrückbau nach Brandschaden</t>
        </is>
      </c>
      <c r="N496" t="inlineStr">
        <is>
          <t>2026-08-20</t>
        </is>
      </c>
    </row>
    <row r="497">
      <c r="A497" t="n">
        <v>1596</v>
      </c>
      <c r="B497" t="inlineStr">
        <is>
          <t>VERBINDLICHKEIT</t>
        </is>
      </c>
      <c r="C497" t="inlineStr">
        <is>
          <t>4102.0</t>
        </is>
      </c>
      <c r="E497" t="inlineStr">
        <is>
          <t>KR</t>
        </is>
      </c>
      <c r="F497" t="inlineStr">
        <is>
          <t>7910</t>
        </is>
      </c>
      <c r="H497" t="inlineStr">
        <is>
          <t>2026-08-22</t>
        </is>
      </c>
      <c r="I497" t="n">
        <v>-890.08</v>
      </c>
      <c r="J497" t="inlineStr">
        <is>
          <t>EUR</t>
        </is>
      </c>
      <c r="L497" t="inlineStr">
        <is>
          <t>07/26 div. Transportleistungen</t>
        </is>
      </c>
      <c r="N497" t="inlineStr">
        <is>
          <t>2026-08-20</t>
        </is>
      </c>
    </row>
    <row r="498">
      <c r="A498" t="n">
        <v>1597</v>
      </c>
      <c r="B498" t="inlineStr">
        <is>
          <t>VERBINDLICHKEIT</t>
        </is>
      </c>
      <c r="C498" t="inlineStr">
        <is>
          <t>4102.0</t>
        </is>
      </c>
      <c r="E498" t="inlineStr">
        <is>
          <t>KR</t>
        </is>
      </c>
      <c r="F498" t="inlineStr">
        <is>
          <t>7826</t>
        </is>
      </c>
      <c r="H498" t="inlineStr">
        <is>
          <t>2026-08-10</t>
        </is>
      </c>
      <c r="I498" t="n">
        <v>-83.3</v>
      </c>
      <c r="J498" t="inlineStr">
        <is>
          <t>EUR</t>
        </is>
      </c>
      <c r="L498" t="inlineStr">
        <is>
          <t>07/26 Verpflegungskostenmehraufwand</t>
        </is>
      </c>
      <c r="N498" t="inlineStr">
        <is>
          <t>2026-08-20</t>
        </is>
      </c>
    </row>
    <row r="499">
      <c r="A499" t="n">
        <v>1598</v>
      </c>
      <c r="B499" t="inlineStr">
        <is>
          <t>VERBINDLICHKEIT</t>
        </is>
      </c>
      <c r="C499" t="inlineStr">
        <is>
          <t>4102.0</t>
        </is>
      </c>
      <c r="E499" t="inlineStr">
        <is>
          <t>KR</t>
        </is>
      </c>
      <c r="F499" t="inlineStr">
        <is>
          <t>7825</t>
        </is>
      </c>
      <c r="H499" t="inlineStr">
        <is>
          <t>2026-08-17</t>
        </is>
      </c>
      <c r="I499" t="n">
        <v>-1475.6</v>
      </c>
      <c r="J499" t="inlineStr">
        <is>
          <t>EUR</t>
        </is>
      </c>
      <c r="L499" t="inlineStr">
        <is>
          <t>07/26 div. Transportleistungen</t>
        </is>
      </c>
      <c r="N499" t="inlineStr">
        <is>
          <t>2026-08-20</t>
        </is>
      </c>
    </row>
    <row r="500">
      <c r="A500" t="n">
        <v>1599</v>
      </c>
      <c r="B500" t="inlineStr">
        <is>
          <t>VERBINDLICHKEIT</t>
        </is>
      </c>
      <c r="C500" t="inlineStr">
        <is>
          <t>4102.0</t>
        </is>
      </c>
      <c r="E500" t="inlineStr">
        <is>
          <t>DI</t>
        </is>
      </c>
      <c r="F500" t="inlineStr">
        <is>
          <t>3000082</t>
        </is>
      </c>
      <c r="H500" t="inlineStr">
        <is>
          <t>2026-08-04</t>
        </is>
      </c>
      <c r="I500" t="n">
        <v>-65.04000000000001</v>
      </c>
      <c r="J500" t="inlineStr">
        <is>
          <t>EUR</t>
        </is>
      </c>
      <c r="L500" t="inlineStr">
        <is>
          <t>07/26 Baustellenbetreuung</t>
        </is>
      </c>
      <c r="N500" t="inlineStr">
        <is>
          <t>2026-08-20</t>
        </is>
      </c>
    </row>
    <row r="501">
      <c r="A501" t="n">
        <v>1600</v>
      </c>
      <c r="B501" t="inlineStr">
        <is>
          <t>VERBINDLICHKEIT</t>
        </is>
      </c>
      <c r="C501" t="inlineStr">
        <is>
          <t>4102.0</t>
        </is>
      </c>
      <c r="E501" t="inlineStr">
        <is>
          <t>KR</t>
        </is>
      </c>
      <c r="F501" t="inlineStr">
        <is>
          <t>8072</t>
        </is>
      </c>
      <c r="H501" t="inlineStr">
        <is>
          <t>2026-08-27</t>
        </is>
      </c>
      <c r="I501" t="n">
        <v>-3461.74</v>
      </c>
      <c r="J501" t="inlineStr">
        <is>
          <t>EUR</t>
        </is>
      </c>
      <c r="L501" t="inlineStr">
        <is>
          <t>07-08/26 Asbestsanierung Berlin - WE 154</t>
        </is>
      </c>
      <c r="N501" t="inlineStr">
        <is>
          <t>2026-08-20</t>
        </is>
      </c>
    </row>
    <row r="502">
      <c r="A502" t="n">
        <v>1601</v>
      </c>
      <c r="B502" t="inlineStr">
        <is>
          <t>VERBINDLICHKEIT</t>
        </is>
      </c>
      <c r="C502" t="inlineStr">
        <is>
          <t>4102.0</t>
        </is>
      </c>
      <c r="E502" t="inlineStr">
        <is>
          <t>KR</t>
        </is>
      </c>
      <c r="F502" t="inlineStr">
        <is>
          <t>8073</t>
        </is>
      </c>
      <c r="H502" t="inlineStr">
        <is>
          <t>2026-08-27</t>
        </is>
      </c>
      <c r="I502" t="n">
        <v>-2448.09</v>
      </c>
      <c r="J502" t="inlineStr">
        <is>
          <t>EUR</t>
        </is>
      </c>
      <c r="L502" t="inlineStr">
        <is>
          <t>07-08/26 Asbestsanierung Berlin - WE 113</t>
        </is>
      </c>
      <c r="N502" t="inlineStr">
        <is>
          <t>2026-08-20</t>
        </is>
      </c>
    </row>
    <row r="503">
      <c r="A503" t="n">
        <v>1602</v>
      </c>
      <c r="B503" t="inlineStr">
        <is>
          <t>VERBINDLICHKEIT</t>
        </is>
      </c>
      <c r="C503" t="inlineStr">
        <is>
          <t>4102.0</t>
        </is>
      </c>
      <c r="E503" t="inlineStr">
        <is>
          <t>KR</t>
        </is>
      </c>
      <c r="F503" t="inlineStr">
        <is>
          <t>8074</t>
        </is>
      </c>
      <c r="H503" t="inlineStr">
        <is>
          <t>2026-08-27</t>
        </is>
      </c>
      <c r="I503" t="n">
        <v>-2881.95</v>
      </c>
      <c r="J503" t="inlineStr">
        <is>
          <t>EUR</t>
        </is>
      </c>
      <c r="L503" t="inlineStr">
        <is>
          <t>07-08/26 Asbestsanierung Berlin - WE 72</t>
        </is>
      </c>
      <c r="N503" t="inlineStr">
        <is>
          <t>2026-08-20</t>
        </is>
      </c>
    </row>
    <row r="504">
      <c r="A504" t="n">
        <v>1603</v>
      </c>
      <c r="B504" t="inlineStr">
        <is>
          <t>VERBINDLICHKEIT</t>
        </is>
      </c>
      <c r="C504" t="inlineStr">
        <is>
          <t>4102.0</t>
        </is>
      </c>
      <c r="E504" t="inlineStr">
        <is>
          <t>KR</t>
        </is>
      </c>
      <c r="F504" t="inlineStr">
        <is>
          <t>8071</t>
        </is>
      </c>
      <c r="H504" t="inlineStr">
        <is>
          <t>2026-08-27</t>
        </is>
      </c>
      <c r="I504" t="n">
        <v>-4696.72</v>
      </c>
      <c r="J504" t="inlineStr">
        <is>
          <t>EUR</t>
        </is>
      </c>
      <c r="L504" t="inlineStr">
        <is>
          <t>07-08/26 Asbestsanierung Berlin - WE 266</t>
        </is>
      </c>
      <c r="N504" t="inlineStr">
        <is>
          <t>2026-08-20</t>
        </is>
      </c>
    </row>
    <row r="505">
      <c r="A505" t="n">
        <v>1604</v>
      </c>
      <c r="B505" t="inlineStr">
        <is>
          <t>VERBINDLICHKEIT</t>
        </is>
      </c>
      <c r="C505" t="inlineStr">
        <is>
          <t>4102.0</t>
        </is>
      </c>
      <c r="E505" t="inlineStr">
        <is>
          <t>KR</t>
        </is>
      </c>
      <c r="F505" t="inlineStr">
        <is>
          <t>7953</t>
        </is>
      </c>
      <c r="H505" t="inlineStr">
        <is>
          <t>2026-08-07</t>
        </is>
      </c>
      <c r="I505" t="n">
        <v>-1642.2</v>
      </c>
      <c r="J505" t="inlineStr">
        <is>
          <t>EUR</t>
        </is>
      </c>
      <c r="L505" t="inlineStr">
        <is>
          <t>07/26 Miete Elektro-Gelenkteleskopbühne</t>
        </is>
      </c>
      <c r="N505" t="inlineStr">
        <is>
          <t>2026-08-20</t>
        </is>
      </c>
    </row>
    <row r="506">
      <c r="A506" t="n">
        <v>1605</v>
      </c>
      <c r="B506" t="inlineStr">
        <is>
          <t>VERBINDLICHKEIT</t>
        </is>
      </c>
      <c r="C506" t="inlineStr">
        <is>
          <t>4102.0</t>
        </is>
      </c>
      <c r="E506" t="inlineStr">
        <is>
          <t>KR</t>
        </is>
      </c>
      <c r="F506" t="inlineStr">
        <is>
          <t>8043</t>
        </is>
      </c>
      <c r="H506" t="inlineStr">
        <is>
          <t>2026-08-01</t>
        </is>
      </c>
      <c r="I506" t="n">
        <v>-226.93</v>
      </c>
      <c r="J506" t="inlineStr">
        <is>
          <t>EUR</t>
        </is>
      </c>
      <c r="L506" t="inlineStr">
        <is>
          <t>07/26 TP + Container-, Muldenmiete</t>
        </is>
      </c>
      <c r="N506" t="inlineStr">
        <is>
          <t>2026-08-20</t>
        </is>
      </c>
    </row>
    <row r="507">
      <c r="A507" t="n">
        <v>1606</v>
      </c>
      <c r="B507" t="inlineStr">
        <is>
          <t>VERBINDLICHKEIT</t>
        </is>
      </c>
      <c r="C507" t="inlineStr">
        <is>
          <t>4102.0</t>
        </is>
      </c>
      <c r="E507" t="inlineStr">
        <is>
          <t>KR</t>
        </is>
      </c>
      <c r="F507" t="inlineStr">
        <is>
          <t>8044</t>
        </is>
      </c>
      <c r="H507" t="inlineStr">
        <is>
          <t>2026-08-01</t>
        </is>
      </c>
      <c r="I507" t="n">
        <v>-541.27</v>
      </c>
      <c r="J507" t="inlineStr">
        <is>
          <t>EUR</t>
        </is>
      </c>
      <c r="L507" t="inlineStr">
        <is>
          <t>07/26 TP + Container-, Muldenmiete</t>
        </is>
      </c>
      <c r="N507" t="inlineStr">
        <is>
          <t>2026-08-20</t>
        </is>
      </c>
    </row>
    <row r="508">
      <c r="A508" t="n">
        <v>1607</v>
      </c>
      <c r="B508" t="inlineStr">
        <is>
          <t>VERBINDLICHKEIT</t>
        </is>
      </c>
      <c r="C508" t="inlineStr">
        <is>
          <t>4102.0</t>
        </is>
      </c>
      <c r="E508" t="inlineStr">
        <is>
          <t>KR</t>
        </is>
      </c>
      <c r="F508" t="inlineStr">
        <is>
          <t>8045</t>
        </is>
      </c>
      <c r="H508" t="inlineStr">
        <is>
          <t>2026-08-01</t>
        </is>
      </c>
      <c r="I508" t="n">
        <v>-185.74</v>
      </c>
      <c r="J508" t="inlineStr">
        <is>
          <t>EUR</t>
        </is>
      </c>
      <c r="L508" t="inlineStr">
        <is>
          <t>07/26 TP + Containermiete</t>
        </is>
      </c>
      <c r="N508" t="inlineStr">
        <is>
          <t>2026-08-20</t>
        </is>
      </c>
    </row>
    <row r="509">
      <c r="A509" t="n">
        <v>1608</v>
      </c>
      <c r="B509" t="inlineStr">
        <is>
          <t>VERBINDLICHKEIT</t>
        </is>
      </c>
      <c r="C509" t="inlineStr">
        <is>
          <t>4102.0</t>
        </is>
      </c>
      <c r="E509" t="inlineStr">
        <is>
          <t>KR</t>
        </is>
      </c>
      <c r="F509" t="inlineStr">
        <is>
          <t>8046</t>
        </is>
      </c>
      <c r="H509" t="inlineStr">
        <is>
          <t>2026-08-01</t>
        </is>
      </c>
      <c r="I509" t="n">
        <v>-840.14</v>
      </c>
      <c r="J509" t="inlineStr">
        <is>
          <t>EUR</t>
        </is>
      </c>
      <c r="L509" t="inlineStr">
        <is>
          <t>07/26 TP + Container-, Muldenmiete</t>
        </is>
      </c>
      <c r="N509" t="inlineStr">
        <is>
          <t>2026-08-20</t>
        </is>
      </c>
    </row>
    <row r="510">
      <c r="A510" t="n">
        <v>1609</v>
      </c>
      <c r="B510" t="inlineStr">
        <is>
          <t>VERBINDLICHKEIT</t>
        </is>
      </c>
      <c r="C510" t="inlineStr">
        <is>
          <t>4102.0</t>
        </is>
      </c>
      <c r="E510" t="inlineStr">
        <is>
          <t>KR</t>
        </is>
      </c>
      <c r="F510" t="inlineStr">
        <is>
          <t>8047</t>
        </is>
      </c>
      <c r="H510" t="inlineStr">
        <is>
          <t>2026-08-01</t>
        </is>
      </c>
      <c r="I510" t="n">
        <v>-1234.33</v>
      </c>
      <c r="J510" t="inlineStr">
        <is>
          <t>EUR</t>
        </is>
      </c>
      <c r="L510" t="inlineStr">
        <is>
          <t>07/26 TP + Containermiete</t>
        </is>
      </c>
      <c r="N510" t="inlineStr">
        <is>
          <t>2026-08-20</t>
        </is>
      </c>
    </row>
    <row r="511">
      <c r="A511" t="n">
        <v>1610</v>
      </c>
      <c r="B511" t="inlineStr">
        <is>
          <t>VERBINDLICHKEIT</t>
        </is>
      </c>
      <c r="C511" t="inlineStr">
        <is>
          <t>4102.0</t>
        </is>
      </c>
      <c r="E511" t="inlineStr">
        <is>
          <t>KR</t>
        </is>
      </c>
      <c r="F511" t="inlineStr">
        <is>
          <t>8063</t>
        </is>
      </c>
      <c r="H511" t="inlineStr">
        <is>
          <t>2026-08-13</t>
        </is>
      </c>
      <c r="I511" t="n">
        <v>-74.91</v>
      </c>
      <c r="J511" t="inlineStr">
        <is>
          <t>EUR</t>
        </is>
      </c>
      <c r="L511" t="inlineStr">
        <is>
          <t>08/26 KN 2740445008 BK 5622295951</t>
        </is>
      </c>
      <c r="N511" t="inlineStr">
        <is>
          <t>2026-08-20</t>
        </is>
      </c>
    </row>
    <row r="512">
      <c r="A512" t="n">
        <v>1611</v>
      </c>
      <c r="B512" t="inlineStr">
        <is>
          <t>VERBINDLICHKEIT</t>
        </is>
      </c>
      <c r="C512" t="inlineStr">
        <is>
          <t>4102.0</t>
        </is>
      </c>
      <c r="E512" t="inlineStr">
        <is>
          <t>DI</t>
        </is>
      </c>
      <c r="F512" t="inlineStr">
        <is>
          <t>3000083</t>
        </is>
      </c>
      <c r="H512" t="inlineStr">
        <is>
          <t>2026-07-28</t>
        </is>
      </c>
      <c r="I512" t="n">
        <v>-3</v>
      </c>
      <c r="J512" t="inlineStr">
        <is>
          <t>EUR</t>
        </is>
      </c>
      <c r="L512" t="inlineStr">
        <is>
          <t>07/26 Parken Notartermin</t>
        </is>
      </c>
      <c r="N512" t="inlineStr">
        <is>
          <t>2026-08-20</t>
        </is>
      </c>
    </row>
    <row r="513">
      <c r="A513" t="n">
        <v>1612</v>
      </c>
      <c r="B513" t="inlineStr">
        <is>
          <t>VERBINDLICHKEIT</t>
        </is>
      </c>
      <c r="C513" t="inlineStr">
        <is>
          <t>4102.0</t>
        </is>
      </c>
      <c r="E513" t="inlineStr">
        <is>
          <t>KR</t>
        </is>
      </c>
      <c r="F513" t="inlineStr">
        <is>
          <t>7858</t>
        </is>
      </c>
      <c r="H513" t="inlineStr">
        <is>
          <t>2026-08-21</t>
        </is>
      </c>
      <c r="I513" t="n">
        <v>-285.6</v>
      </c>
      <c r="J513" t="inlineStr">
        <is>
          <t>EUR</t>
        </is>
      </c>
      <c r="L513" t="inlineStr">
        <is>
          <t>07/26 Filterauswertung BASF C 317</t>
        </is>
      </c>
      <c r="N513" t="inlineStr">
        <is>
          <t>2026-08-20</t>
        </is>
      </c>
    </row>
    <row r="514">
      <c r="A514" t="n">
        <v>1613</v>
      </c>
      <c r="B514" t="inlineStr">
        <is>
          <t>VERBINDLICHKEIT</t>
        </is>
      </c>
      <c r="C514" t="inlineStr">
        <is>
          <t>4102.0</t>
        </is>
      </c>
      <c r="E514" t="inlineStr">
        <is>
          <t>KR</t>
        </is>
      </c>
      <c r="F514" t="inlineStr">
        <is>
          <t>7977</t>
        </is>
      </c>
      <c r="H514" t="inlineStr">
        <is>
          <t>2026-08-30</t>
        </is>
      </c>
      <c r="I514" t="n">
        <v>-71.40000000000001</v>
      </c>
      <c r="J514" t="inlineStr">
        <is>
          <t>EUR</t>
        </is>
      </c>
      <c r="L514" t="inlineStr">
        <is>
          <t>07/26 Posttransfer</t>
        </is>
      </c>
      <c r="N514" t="inlineStr">
        <is>
          <t>2026-08-20</t>
        </is>
      </c>
    </row>
    <row r="515">
      <c r="A515" t="n">
        <v>1614</v>
      </c>
      <c r="B515" t="inlineStr">
        <is>
          <t>VERBINDLICHKEIT</t>
        </is>
      </c>
      <c r="C515" t="inlineStr">
        <is>
          <t>4102.0</t>
        </is>
      </c>
      <c r="E515" t="inlineStr">
        <is>
          <t>KR</t>
        </is>
      </c>
      <c r="F515" t="inlineStr">
        <is>
          <t>7917</t>
        </is>
      </c>
      <c r="H515" t="inlineStr">
        <is>
          <t>2026-07-29</t>
        </is>
      </c>
      <c r="I515" t="n">
        <v>-23866.88</v>
      </c>
      <c r="J515" t="inlineStr">
        <is>
          <t>EUR</t>
        </is>
      </c>
      <c r="L515" t="inlineStr">
        <is>
          <t>07/26 Ents. Transport versch. Stoffe</t>
        </is>
      </c>
      <c r="N515" t="inlineStr">
        <is>
          <t>2026-08-20</t>
        </is>
      </c>
    </row>
    <row r="516">
      <c r="A516" t="n">
        <v>1615</v>
      </c>
      <c r="B516" t="inlineStr">
        <is>
          <t>VERBINDLICHKEIT</t>
        </is>
      </c>
      <c r="C516" t="inlineStr">
        <is>
          <t>4102.0</t>
        </is>
      </c>
      <c r="E516" t="inlineStr">
        <is>
          <t>KR</t>
        </is>
      </c>
      <c r="F516" t="inlineStr">
        <is>
          <t>7918</t>
        </is>
      </c>
      <c r="H516" t="inlineStr">
        <is>
          <t>2026-07-28</t>
        </is>
      </c>
      <c r="I516" t="n">
        <v>-6247.5</v>
      </c>
      <c r="J516" t="inlineStr">
        <is>
          <t>EUR</t>
        </is>
      </c>
      <c r="L516" t="inlineStr">
        <is>
          <t>07/26 Tagespauschale LKW inkl. Fahrpersonal</t>
        </is>
      </c>
      <c r="N516" t="inlineStr">
        <is>
          <t>2026-08-20</t>
        </is>
      </c>
    </row>
    <row r="517">
      <c r="A517" t="n">
        <v>1616</v>
      </c>
      <c r="B517" t="inlineStr">
        <is>
          <t>VERBINDLICHKEIT</t>
        </is>
      </c>
      <c r="C517" t="inlineStr">
        <is>
          <t>4102.0</t>
        </is>
      </c>
      <c r="E517" t="inlineStr">
        <is>
          <t>KR</t>
        </is>
      </c>
      <c r="F517" t="inlineStr">
        <is>
          <t>8041</t>
        </is>
      </c>
      <c r="H517" t="inlineStr">
        <is>
          <t>2026-08-06</t>
        </is>
      </c>
      <c r="I517" t="n">
        <v>-23009.27</v>
      </c>
      <c r="J517" t="inlineStr">
        <is>
          <t>EUR</t>
        </is>
      </c>
      <c r="L517" t="inlineStr">
        <is>
          <t>07/26 Transport versch. Stoffe</t>
        </is>
      </c>
      <c r="N517" t="inlineStr">
        <is>
          <t>2026-08-20</t>
        </is>
      </c>
    </row>
    <row r="518">
      <c r="A518" t="n">
        <v>1617</v>
      </c>
      <c r="B518" t="inlineStr">
        <is>
          <t>VERBINDLICHKEIT</t>
        </is>
      </c>
      <c r="C518" t="inlineStr">
        <is>
          <t>4102.0</t>
        </is>
      </c>
      <c r="E518" t="inlineStr">
        <is>
          <t>KR</t>
        </is>
      </c>
      <c r="F518" t="inlineStr">
        <is>
          <t>8077</t>
        </is>
      </c>
      <c r="H518" t="inlineStr">
        <is>
          <t>2026-08-18</t>
        </is>
      </c>
      <c r="I518" t="n">
        <v>-103.53</v>
      </c>
      <c r="J518" t="inlineStr">
        <is>
          <t>EUR</t>
        </is>
      </c>
      <c r="L518" t="inlineStr">
        <is>
          <t>08/26 Fahne</t>
        </is>
      </c>
      <c r="N518" t="inlineStr">
        <is>
          <t>2026-08-20</t>
        </is>
      </c>
    </row>
    <row r="519">
      <c r="A519" t="n">
        <v>1618</v>
      </c>
      <c r="B519" t="inlineStr">
        <is>
          <t>VERBINDLICHKEIT</t>
        </is>
      </c>
      <c r="C519" t="inlineStr">
        <is>
          <t>4102.0</t>
        </is>
      </c>
      <c r="E519" t="inlineStr">
        <is>
          <t>KR</t>
        </is>
      </c>
      <c r="F519" t="inlineStr">
        <is>
          <t>7936</t>
        </is>
      </c>
      <c r="H519" t="inlineStr">
        <is>
          <t>2026-07-31</t>
        </is>
      </c>
      <c r="I519" t="n">
        <v>-551.51</v>
      </c>
      <c r="J519" t="inlineStr">
        <is>
          <t>EUR</t>
        </is>
      </c>
      <c r="L519" t="inlineStr">
        <is>
          <t>07/26 CB-TV 108 Überführ.,Zulassung,KVA</t>
        </is>
      </c>
      <c r="N519" t="inlineStr">
        <is>
          <t>2026-08-20</t>
        </is>
      </c>
    </row>
    <row r="520">
      <c r="A520" t="n">
        <v>1619</v>
      </c>
      <c r="B520" t="inlineStr">
        <is>
          <t>VERBINDLICHKEIT</t>
        </is>
      </c>
      <c r="C520" t="inlineStr">
        <is>
          <t>4102.0</t>
        </is>
      </c>
      <c r="E520" t="inlineStr">
        <is>
          <t>KR</t>
        </is>
      </c>
      <c r="F520" t="inlineStr">
        <is>
          <t>8053</t>
        </is>
      </c>
      <c r="H520" t="inlineStr">
        <is>
          <t>2026-08-05</t>
        </is>
      </c>
      <c r="I520" t="n">
        <v>-21.54</v>
      </c>
      <c r="J520" t="inlineStr">
        <is>
          <t>EUR</t>
        </is>
      </c>
      <c r="L520" t="inlineStr">
        <is>
          <t>08/26 Radwechsel CB-HI 162</t>
        </is>
      </c>
      <c r="N520" t="inlineStr">
        <is>
          <t>2026-08-20</t>
        </is>
      </c>
    </row>
    <row r="521">
      <c r="A521" t="n">
        <v>1620</v>
      </c>
      <c r="B521" t="inlineStr">
        <is>
          <t>VERBINDLICHKEIT</t>
        </is>
      </c>
      <c r="C521" t="inlineStr">
        <is>
          <t>4102.0</t>
        </is>
      </c>
      <c r="E521" t="inlineStr">
        <is>
          <t>KR</t>
        </is>
      </c>
      <c r="F521" t="inlineStr">
        <is>
          <t>7860</t>
        </is>
      </c>
      <c r="H521" t="inlineStr">
        <is>
          <t>2026-08-05</t>
        </is>
      </c>
      <c r="I521" t="n">
        <v>-414.12</v>
      </c>
      <c r="J521" t="inlineStr">
        <is>
          <t>EUR</t>
        </is>
      </c>
      <c r="L521" t="inlineStr">
        <is>
          <t>07/26 Direktinstickung</t>
        </is>
      </c>
      <c r="N521" t="inlineStr">
        <is>
          <t>2026-08-20</t>
        </is>
      </c>
    </row>
    <row r="522">
      <c r="A522" t="n">
        <v>1621</v>
      </c>
      <c r="B522" t="inlineStr">
        <is>
          <t>VERBINDLICHKEIT</t>
        </is>
      </c>
      <c r="C522" t="inlineStr">
        <is>
          <t>4102.0</t>
        </is>
      </c>
      <c r="E522" t="inlineStr">
        <is>
          <t>KR</t>
        </is>
      </c>
      <c r="F522" t="inlineStr">
        <is>
          <t>7719</t>
        </is>
      </c>
      <c r="H522" t="inlineStr">
        <is>
          <t>2026-08-08</t>
        </is>
      </c>
      <c r="I522" t="n">
        <v>-109.24</v>
      </c>
      <c r="J522" t="inlineStr">
        <is>
          <t>EUR</t>
        </is>
      </c>
      <c r="L522" t="inlineStr">
        <is>
          <t>07/26 div. Bürobedarf</t>
        </is>
      </c>
      <c r="N522" t="inlineStr">
        <is>
          <t>2026-08-20</t>
        </is>
      </c>
    </row>
    <row r="523">
      <c r="A523" t="n">
        <v>1622</v>
      </c>
      <c r="B523" t="inlineStr">
        <is>
          <t>VERBINDLICHKEIT</t>
        </is>
      </c>
      <c r="C523" t="inlineStr">
        <is>
          <t>4102.0</t>
        </is>
      </c>
      <c r="E523" t="inlineStr">
        <is>
          <t>KR</t>
        </is>
      </c>
      <c r="F523" t="inlineStr">
        <is>
          <t>7881</t>
        </is>
      </c>
      <c r="H523" t="inlineStr">
        <is>
          <t>2026-08-06</t>
        </is>
      </c>
      <c r="I523" t="n">
        <v>-51.55</v>
      </c>
      <c r="J523" t="inlineStr">
        <is>
          <t>EUR</t>
        </is>
      </c>
      <c r="L523" t="inlineStr">
        <is>
          <t>07/26 Mineralwasser, Quellwasser</t>
        </is>
      </c>
      <c r="N523" t="inlineStr">
        <is>
          <t>2026-08-20</t>
        </is>
      </c>
    </row>
    <row r="524">
      <c r="A524" t="n">
        <v>1623</v>
      </c>
      <c r="B524" t="inlineStr">
        <is>
          <t>VERBINDLICHKEIT</t>
        </is>
      </c>
      <c r="C524" t="inlineStr">
        <is>
          <t>4102.0</t>
        </is>
      </c>
      <c r="E524" t="inlineStr">
        <is>
          <t>KR</t>
        </is>
      </c>
      <c r="F524" t="inlineStr">
        <is>
          <t>7755</t>
        </is>
      </c>
      <c r="H524" t="inlineStr">
        <is>
          <t>2026-08-12</t>
        </is>
      </c>
      <c r="I524" t="n">
        <v>-223.27</v>
      </c>
      <c r="J524" t="inlineStr">
        <is>
          <t>EUR</t>
        </is>
      </c>
      <c r="L524" t="inlineStr">
        <is>
          <t>07/26 Wasser,Energy,Desinfek.,Papiertü.,Wischtuch</t>
        </is>
      </c>
      <c r="N524" t="inlineStr">
        <is>
          <t>2026-08-20</t>
        </is>
      </c>
    </row>
    <row r="525">
      <c r="A525" t="n">
        <v>1624</v>
      </c>
      <c r="B525" t="inlineStr">
        <is>
          <t>VERBINDLICHKEIT</t>
        </is>
      </c>
      <c r="C525" t="inlineStr">
        <is>
          <t>4102.0</t>
        </is>
      </c>
      <c r="E525" t="inlineStr">
        <is>
          <t>KR</t>
        </is>
      </c>
      <c r="F525" t="inlineStr">
        <is>
          <t>7743</t>
        </is>
      </c>
      <c r="H525" t="inlineStr">
        <is>
          <t>2026-08-08</t>
        </is>
      </c>
      <c r="I525" t="n">
        <v>-304.36</v>
      </c>
      <c r="J525" t="inlineStr">
        <is>
          <t>EUR</t>
        </is>
      </c>
      <c r="L525" t="inlineStr">
        <is>
          <t>07/26 Filtertüten,Zucker,Kaffee,Mezzo Mix,Seife</t>
        </is>
      </c>
      <c r="N525" t="inlineStr">
        <is>
          <t>2026-08-20</t>
        </is>
      </c>
    </row>
    <row r="526">
      <c r="A526" t="n">
        <v>1625</v>
      </c>
      <c r="B526" t="inlineStr">
        <is>
          <t>VERBINDLICHKEIT</t>
        </is>
      </c>
      <c r="C526" t="inlineStr">
        <is>
          <t>4102.0</t>
        </is>
      </c>
      <c r="E526" t="inlineStr">
        <is>
          <t>KR</t>
        </is>
      </c>
      <c r="F526" t="inlineStr">
        <is>
          <t>7999</t>
        </is>
      </c>
      <c r="H526" t="inlineStr">
        <is>
          <t>2026-08-17</t>
        </is>
      </c>
      <c r="I526" t="n">
        <v>-48.4</v>
      </c>
      <c r="J526" t="inlineStr">
        <is>
          <t>EUR</t>
        </is>
      </c>
      <c r="L526" t="inlineStr">
        <is>
          <t>08/26 Knoppers, Wasser</t>
        </is>
      </c>
      <c r="N526" t="inlineStr">
        <is>
          <t>2026-08-20</t>
        </is>
      </c>
    </row>
    <row r="527">
      <c r="A527" t="n">
        <v>1626</v>
      </c>
      <c r="B527" t="inlineStr">
        <is>
          <t>VERBINDLICHKEIT</t>
        </is>
      </c>
      <c r="C527" t="inlineStr">
        <is>
          <t>4102.0</t>
        </is>
      </c>
      <c r="E527" t="inlineStr">
        <is>
          <t>KR</t>
        </is>
      </c>
      <c r="F527" t="inlineStr">
        <is>
          <t>8010</t>
        </is>
      </c>
      <c r="H527" t="inlineStr">
        <is>
          <t>2026-08-15</t>
        </is>
      </c>
      <c r="I527" t="n">
        <v>-594.99</v>
      </c>
      <c r="J527" t="inlineStr">
        <is>
          <t>EUR</t>
        </is>
      </c>
      <c r="L527" t="inlineStr">
        <is>
          <t>07/26 ÜN Hr. Ziebura</t>
        </is>
      </c>
      <c r="N527" t="inlineStr">
        <is>
          <t>2026-08-20</t>
        </is>
      </c>
    </row>
    <row r="528">
      <c r="A528" t="n">
        <v>1627</v>
      </c>
      <c r="B528" t="inlineStr">
        <is>
          <t>VERBINDLICHKEIT</t>
        </is>
      </c>
      <c r="C528" t="inlineStr">
        <is>
          <t>4102.0</t>
        </is>
      </c>
      <c r="E528" t="inlineStr">
        <is>
          <t>KR</t>
        </is>
      </c>
      <c r="F528" t="inlineStr">
        <is>
          <t>8068</t>
        </is>
      </c>
      <c r="H528" t="inlineStr">
        <is>
          <t>2026-08-15</t>
        </is>
      </c>
      <c r="I528" t="n">
        <v>-629.99</v>
      </c>
      <c r="J528" t="inlineStr">
        <is>
          <t>EUR</t>
        </is>
      </c>
      <c r="L528" t="inlineStr">
        <is>
          <t>07/26 Stellplatz Wohnwagen Hr. Marks</t>
        </is>
      </c>
      <c r="N528" t="inlineStr">
        <is>
          <t>2026-08-20</t>
        </is>
      </c>
    </row>
    <row r="529">
      <c r="A529" t="n">
        <v>1628</v>
      </c>
      <c r="B529" t="inlineStr">
        <is>
          <t>VERBINDLICHKEIT</t>
        </is>
      </c>
      <c r="C529" t="inlineStr">
        <is>
          <t>4102.0</t>
        </is>
      </c>
      <c r="E529" t="inlineStr">
        <is>
          <t>KR</t>
        </is>
      </c>
      <c r="F529" t="inlineStr">
        <is>
          <t>7800</t>
        </is>
      </c>
      <c r="H529" t="inlineStr">
        <is>
          <t>2026-09-14</t>
        </is>
      </c>
      <c r="I529" t="n">
        <v>-206.47</v>
      </c>
      <c r="J529" t="inlineStr">
        <is>
          <t>EUR</t>
        </is>
      </c>
      <c r="L529" t="inlineStr">
        <is>
          <t>07/26 Überprüfung Baustromverteiler / Containeranl</t>
        </is>
      </c>
      <c r="N529" t="inlineStr">
        <is>
          <t>2026-08-20</t>
        </is>
      </c>
    </row>
    <row r="530">
      <c r="A530" t="n">
        <v>1629</v>
      </c>
      <c r="B530" t="inlineStr">
        <is>
          <t>VERBINDLICHKEIT</t>
        </is>
      </c>
      <c r="C530" t="inlineStr">
        <is>
          <t>4102.0</t>
        </is>
      </c>
      <c r="E530" t="inlineStr">
        <is>
          <t>KR</t>
        </is>
      </c>
      <c r="F530" t="inlineStr">
        <is>
          <t>7805</t>
        </is>
      </c>
      <c r="H530" t="inlineStr">
        <is>
          <t>2026-09-14</t>
        </is>
      </c>
      <c r="I530" t="n">
        <v>-31.89</v>
      </c>
      <c r="J530" t="inlineStr">
        <is>
          <t>EUR</t>
        </is>
      </c>
      <c r="L530" t="inlineStr">
        <is>
          <t>07/26 Putzpapierrollen</t>
        </is>
      </c>
      <c r="N530" t="inlineStr">
        <is>
          <t>2026-08-20</t>
        </is>
      </c>
    </row>
    <row r="531">
      <c r="A531" t="n">
        <v>1630</v>
      </c>
      <c r="B531" t="inlineStr">
        <is>
          <t>VERBINDLICHKEIT</t>
        </is>
      </c>
      <c r="C531" t="inlineStr">
        <is>
          <t>4102.0</t>
        </is>
      </c>
      <c r="E531" t="inlineStr">
        <is>
          <t>KR</t>
        </is>
      </c>
      <c r="F531" t="inlineStr">
        <is>
          <t>7806</t>
        </is>
      </c>
      <c r="H531" t="inlineStr">
        <is>
          <t>2026-09-14</t>
        </is>
      </c>
      <c r="I531" t="n">
        <v>-107.81</v>
      </c>
      <c r="J531" t="inlineStr">
        <is>
          <t>EUR</t>
        </is>
      </c>
      <c r="L531" t="inlineStr">
        <is>
          <t>07/26 Westen Flex Gr. L</t>
        </is>
      </c>
      <c r="N531" t="inlineStr">
        <is>
          <t>2026-08-20</t>
        </is>
      </c>
    </row>
    <row r="532">
      <c r="A532" t="n">
        <v>1631</v>
      </c>
      <c r="B532" t="inlineStr">
        <is>
          <t>VERBINDLICHKEIT</t>
        </is>
      </c>
      <c r="C532" t="inlineStr">
        <is>
          <t>4102.0</t>
        </is>
      </c>
      <c r="E532" t="inlineStr">
        <is>
          <t>KR</t>
        </is>
      </c>
      <c r="F532" t="inlineStr">
        <is>
          <t>7807</t>
        </is>
      </c>
      <c r="H532" t="inlineStr">
        <is>
          <t>2026-09-14</t>
        </is>
      </c>
      <c r="I532" t="n">
        <v>-497.57</v>
      </c>
      <c r="J532" t="inlineStr">
        <is>
          <t>EUR</t>
        </is>
      </c>
      <c r="L532" t="inlineStr">
        <is>
          <t>07/26 CEE-Verlängerung,Standstromverteiler,Prüf.</t>
        </is>
      </c>
      <c r="N532" t="inlineStr">
        <is>
          <t>2026-08-20</t>
        </is>
      </c>
    </row>
    <row r="533">
      <c r="A533" t="n">
        <v>1632</v>
      </c>
      <c r="B533" t="inlineStr">
        <is>
          <t>VERBINDLICHKEIT</t>
        </is>
      </c>
      <c r="C533" t="inlineStr">
        <is>
          <t>4102.0</t>
        </is>
      </c>
      <c r="E533" t="inlineStr">
        <is>
          <t>KR</t>
        </is>
      </c>
      <c r="F533" t="inlineStr">
        <is>
          <t>7808</t>
        </is>
      </c>
      <c r="H533" t="inlineStr">
        <is>
          <t>2026-09-14</t>
        </is>
      </c>
      <c r="I533" t="n">
        <v>-109.78</v>
      </c>
      <c r="J533" t="inlineStr">
        <is>
          <t>EUR</t>
        </is>
      </c>
      <c r="L533" t="inlineStr">
        <is>
          <t>07/26 Hemd Grau Gr. XL m. Emblem 3 Stk.</t>
        </is>
      </c>
      <c r="N533" t="inlineStr">
        <is>
          <t>2026-08-20</t>
        </is>
      </c>
    </row>
    <row r="534">
      <c r="A534" t="n">
        <v>1633</v>
      </c>
      <c r="B534" t="inlineStr">
        <is>
          <t>VERBINDLICHKEIT</t>
        </is>
      </c>
      <c r="C534" t="inlineStr">
        <is>
          <t>4102.0</t>
        </is>
      </c>
      <c r="E534" t="inlineStr">
        <is>
          <t>KR</t>
        </is>
      </c>
      <c r="F534" t="inlineStr">
        <is>
          <t>7809</t>
        </is>
      </c>
      <c r="H534" t="inlineStr">
        <is>
          <t>2026-09-14</t>
        </is>
      </c>
      <c r="I534" t="n">
        <v>-177.91</v>
      </c>
      <c r="J534" t="inlineStr">
        <is>
          <t>EUR</t>
        </is>
      </c>
      <c r="L534" t="inlineStr">
        <is>
          <t>07/26 Softshelljacke Gr. XL m. Emblem 1 Stk.</t>
        </is>
      </c>
      <c r="N534" t="inlineStr">
        <is>
          <t>2026-08-20</t>
        </is>
      </c>
    </row>
    <row r="535">
      <c r="A535" t="n">
        <v>1634</v>
      </c>
      <c r="B535" t="inlineStr">
        <is>
          <t>VERBINDLICHKEIT</t>
        </is>
      </c>
      <c r="C535" t="inlineStr">
        <is>
          <t>4102.0</t>
        </is>
      </c>
      <c r="E535" t="inlineStr">
        <is>
          <t>KR</t>
        </is>
      </c>
      <c r="F535" t="inlineStr">
        <is>
          <t>7810</t>
        </is>
      </c>
      <c r="H535" t="inlineStr">
        <is>
          <t>2026-09-14</t>
        </is>
      </c>
      <c r="I535" t="n">
        <v>-370.09</v>
      </c>
      <c r="J535" t="inlineStr">
        <is>
          <t>EUR</t>
        </is>
      </c>
      <c r="L535" t="inlineStr">
        <is>
          <t>07/26 Überprüf.Baustromverteiler/Containeranlagen</t>
        </is>
      </c>
      <c r="N535" t="inlineStr">
        <is>
          <t>2026-08-20</t>
        </is>
      </c>
    </row>
    <row r="536">
      <c r="A536" t="n">
        <v>1635</v>
      </c>
      <c r="B536" t="inlineStr">
        <is>
          <t>VERBINDLICHKEIT</t>
        </is>
      </c>
      <c r="C536" t="inlineStr">
        <is>
          <t>4102.0</t>
        </is>
      </c>
      <c r="E536" t="inlineStr">
        <is>
          <t>KR</t>
        </is>
      </c>
      <c r="F536" t="inlineStr">
        <is>
          <t>7811</t>
        </is>
      </c>
      <c r="H536" t="inlineStr">
        <is>
          <t>2026-09-14</t>
        </is>
      </c>
      <c r="I536" t="n">
        <v>-173.74</v>
      </c>
      <c r="J536" t="inlineStr">
        <is>
          <t>EUR</t>
        </is>
      </c>
      <c r="L536" t="inlineStr">
        <is>
          <t>07/26 Softshelljacke Gr. XL 1 Stk.</t>
        </is>
      </c>
      <c r="N536" t="inlineStr">
        <is>
          <t>2026-08-20</t>
        </is>
      </c>
    </row>
    <row r="537">
      <c r="A537" t="n">
        <v>1636</v>
      </c>
      <c r="B537" t="inlineStr">
        <is>
          <t>VERBINDLICHKEIT</t>
        </is>
      </c>
      <c r="C537" t="inlineStr">
        <is>
          <t>4102.0</t>
        </is>
      </c>
      <c r="E537" t="inlineStr">
        <is>
          <t>KR</t>
        </is>
      </c>
      <c r="F537" t="inlineStr">
        <is>
          <t>7813</t>
        </is>
      </c>
      <c r="H537" t="inlineStr">
        <is>
          <t>2026-09-14</t>
        </is>
      </c>
      <c r="I537" t="n">
        <v>-119</v>
      </c>
      <c r="J537" t="inlineStr">
        <is>
          <t>EUR</t>
        </is>
      </c>
      <c r="L537" t="inlineStr">
        <is>
          <t>07/26 Führungsschuh Makita 3070</t>
        </is>
      </c>
      <c r="N537" t="inlineStr">
        <is>
          <t>2026-08-20</t>
        </is>
      </c>
    </row>
    <row r="538">
      <c r="A538" t="n">
        <v>1637</v>
      </c>
      <c r="B538" t="inlineStr">
        <is>
          <t>VERBINDLICHKEIT</t>
        </is>
      </c>
      <c r="C538" t="inlineStr">
        <is>
          <t>4102.0</t>
        </is>
      </c>
      <c r="E538" t="inlineStr">
        <is>
          <t>KR</t>
        </is>
      </c>
      <c r="F538" t="inlineStr">
        <is>
          <t>7812</t>
        </is>
      </c>
      <c r="H538" t="inlineStr">
        <is>
          <t>2026-09-14</t>
        </is>
      </c>
      <c r="I538" t="n">
        <v>-107.16</v>
      </c>
      <c r="J538" t="inlineStr">
        <is>
          <t>EUR</t>
        </is>
      </c>
      <c r="L538" t="inlineStr">
        <is>
          <t>07/26 Rep. Schrottschneidbrenner inkl. Prüfplak.</t>
        </is>
      </c>
      <c r="N538" t="inlineStr">
        <is>
          <t>2026-08-20</t>
        </is>
      </c>
    </row>
    <row r="539">
      <c r="A539" t="n">
        <v>1638</v>
      </c>
      <c r="B539" t="inlineStr">
        <is>
          <t>VERBINDLICHKEIT</t>
        </is>
      </c>
      <c r="C539" t="inlineStr">
        <is>
          <t>4102.0</t>
        </is>
      </c>
      <c r="E539" t="inlineStr">
        <is>
          <t>KR</t>
        </is>
      </c>
      <c r="F539" t="inlineStr">
        <is>
          <t>7774</t>
        </is>
      </c>
      <c r="H539" t="inlineStr">
        <is>
          <t>2026-09-12</t>
        </is>
      </c>
      <c r="I539" t="n">
        <v>-10.28</v>
      </c>
      <c r="J539" t="inlineStr">
        <is>
          <t>EUR</t>
        </is>
      </c>
      <c r="L539" t="inlineStr">
        <is>
          <t>07/26 Stecktülle, Schnellver.Kup.</t>
        </is>
      </c>
      <c r="N539" t="inlineStr">
        <is>
          <t>2026-08-20</t>
        </is>
      </c>
    </row>
    <row r="540">
      <c r="A540" t="n">
        <v>1639</v>
      </c>
      <c r="B540" t="inlineStr">
        <is>
          <t>VERBINDLICHKEIT</t>
        </is>
      </c>
      <c r="C540" t="inlineStr">
        <is>
          <t>4102.0</t>
        </is>
      </c>
      <c r="E540" t="inlineStr">
        <is>
          <t>KR</t>
        </is>
      </c>
      <c r="F540" t="inlineStr">
        <is>
          <t>7819</t>
        </is>
      </c>
      <c r="H540" t="inlineStr">
        <is>
          <t>2026-09-15</t>
        </is>
      </c>
      <c r="I540" t="n">
        <v>-2926.45</v>
      </c>
      <c r="J540" t="inlineStr">
        <is>
          <t>EUR</t>
        </is>
      </c>
      <c r="L540" t="inlineStr">
        <is>
          <t>07/26 Sauerstoff</t>
        </is>
      </c>
      <c r="N540" t="inlineStr">
        <is>
          <t>2026-08-20</t>
        </is>
      </c>
    </row>
    <row r="541">
      <c r="A541" t="n">
        <v>1640</v>
      </c>
      <c r="B541" t="inlineStr">
        <is>
          <t>VERBINDLICHKEIT</t>
        </is>
      </c>
      <c r="C541" t="inlineStr">
        <is>
          <t>4102.0</t>
        </is>
      </c>
      <c r="E541" t="inlineStr">
        <is>
          <t>KR</t>
        </is>
      </c>
      <c r="F541" t="inlineStr">
        <is>
          <t>7820</t>
        </is>
      </c>
      <c r="H541" t="inlineStr">
        <is>
          <t>2026-09-15</t>
        </is>
      </c>
      <c r="I541" t="n">
        <v>-471.24</v>
      </c>
      <c r="J541" t="inlineStr">
        <is>
          <t>EUR</t>
        </is>
      </c>
      <c r="L541" t="inlineStr">
        <is>
          <t>07/26 Werkzeugkoffer 134-tlg</t>
        </is>
      </c>
      <c r="N541" t="inlineStr">
        <is>
          <t>2026-08-20</t>
        </is>
      </c>
    </row>
    <row r="542">
      <c r="A542" t="n">
        <v>1641</v>
      </c>
      <c r="B542" t="inlineStr">
        <is>
          <t>VERBINDLICHKEIT</t>
        </is>
      </c>
      <c r="C542" t="inlineStr">
        <is>
          <t>4102.0</t>
        </is>
      </c>
      <c r="E542" t="inlineStr">
        <is>
          <t>KR</t>
        </is>
      </c>
      <c r="F542" t="inlineStr">
        <is>
          <t>7773</t>
        </is>
      </c>
      <c r="H542" t="inlineStr">
        <is>
          <t>2026-09-12</t>
        </is>
      </c>
      <c r="I542" t="n">
        <v>-1084.9</v>
      </c>
      <c r="J542" t="inlineStr">
        <is>
          <t>EUR</t>
        </is>
      </c>
      <c r="L542" t="inlineStr">
        <is>
          <t>07/26 Höhensicher.gerät,Karabiner,Winkelschl.</t>
        </is>
      </c>
      <c r="N542" t="inlineStr">
        <is>
          <t>2026-08-20</t>
        </is>
      </c>
    </row>
    <row r="543">
      <c r="A543" t="n">
        <v>1642</v>
      </c>
      <c r="B543" t="inlineStr">
        <is>
          <t>VERBINDLICHKEIT</t>
        </is>
      </c>
      <c r="C543" t="inlineStr">
        <is>
          <t>4102.0</t>
        </is>
      </c>
      <c r="E543" t="inlineStr">
        <is>
          <t>KR</t>
        </is>
      </c>
      <c r="F543" t="inlineStr">
        <is>
          <t>7772</t>
        </is>
      </c>
      <c r="H543" t="inlineStr">
        <is>
          <t>2026-09-12</t>
        </is>
      </c>
      <c r="I543" t="n">
        <v>-242.76</v>
      </c>
      <c r="J543" t="inlineStr">
        <is>
          <t>EUR</t>
        </is>
      </c>
      <c r="L543" t="inlineStr">
        <is>
          <t>07/26 Gewebeband</t>
        </is>
      </c>
      <c r="N543" t="inlineStr">
        <is>
          <t>2026-08-20</t>
        </is>
      </c>
    </row>
    <row r="544">
      <c r="A544" t="n">
        <v>1643</v>
      </c>
      <c r="B544" t="inlineStr">
        <is>
          <t>VERBINDLICHKEIT</t>
        </is>
      </c>
      <c r="C544" t="inlineStr">
        <is>
          <t>4102.0</t>
        </is>
      </c>
      <c r="E544" t="inlineStr">
        <is>
          <t>KR</t>
        </is>
      </c>
      <c r="F544" t="inlineStr">
        <is>
          <t>7906</t>
        </is>
      </c>
      <c r="H544" t="inlineStr">
        <is>
          <t>2026-09-26</t>
        </is>
      </c>
      <c r="I544" t="n">
        <v>-877.63</v>
      </c>
      <c r="J544" t="inlineStr">
        <is>
          <t>EUR</t>
        </is>
      </c>
      <c r="L544" t="inlineStr">
        <is>
          <t>07/26 Weithalsfass 60L blau</t>
        </is>
      </c>
      <c r="N544" t="inlineStr">
        <is>
          <t>2026-08-20</t>
        </is>
      </c>
    </row>
    <row r="545">
      <c r="A545" t="n">
        <v>1644</v>
      </c>
      <c r="B545" t="inlineStr">
        <is>
          <t>VERBINDLICHKEIT</t>
        </is>
      </c>
      <c r="C545" t="inlineStr">
        <is>
          <t>4102.0</t>
        </is>
      </c>
      <c r="E545" t="inlineStr">
        <is>
          <t>KR</t>
        </is>
      </c>
      <c r="F545" t="inlineStr">
        <is>
          <t>7875</t>
        </is>
      </c>
      <c r="H545" t="inlineStr">
        <is>
          <t>2026-09-21</t>
        </is>
      </c>
      <c r="I545" t="n">
        <v>-235.62</v>
      </c>
      <c r="J545" t="inlineStr">
        <is>
          <t>EUR</t>
        </is>
      </c>
      <c r="L545" t="inlineStr">
        <is>
          <t>07/26 Werkzeugkoffer</t>
        </is>
      </c>
      <c r="N545" t="inlineStr">
        <is>
          <t>2026-08-20</t>
        </is>
      </c>
    </row>
    <row r="546">
      <c r="A546" t="n">
        <v>1645</v>
      </c>
      <c r="B546" t="inlineStr">
        <is>
          <t>VERBINDLICHKEIT</t>
        </is>
      </c>
      <c r="C546" t="inlineStr">
        <is>
          <t>4102.0</t>
        </is>
      </c>
      <c r="E546" t="inlineStr">
        <is>
          <t>KR</t>
        </is>
      </c>
      <c r="F546" t="inlineStr">
        <is>
          <t>7877</t>
        </is>
      </c>
      <c r="H546" t="inlineStr">
        <is>
          <t>2026-09-21</t>
        </is>
      </c>
      <c r="I546" t="n">
        <v>-128.88</v>
      </c>
      <c r="J546" t="inlineStr">
        <is>
          <t>EUR</t>
        </is>
      </c>
      <c r="L546" t="inlineStr">
        <is>
          <t>07/26 Schrumpfhaube</t>
        </is>
      </c>
      <c r="N546" t="inlineStr">
        <is>
          <t>2026-08-20</t>
        </is>
      </c>
    </row>
    <row r="547">
      <c r="A547" t="n">
        <v>1646</v>
      </c>
      <c r="B547" t="inlineStr">
        <is>
          <t>VERBINDLICHKEIT</t>
        </is>
      </c>
      <c r="C547" t="inlineStr">
        <is>
          <t>4102.0</t>
        </is>
      </c>
      <c r="E547" t="inlineStr">
        <is>
          <t>KR</t>
        </is>
      </c>
      <c r="F547" t="inlineStr">
        <is>
          <t>7878</t>
        </is>
      </c>
      <c r="H547" t="inlineStr">
        <is>
          <t>2026-09-21</t>
        </is>
      </c>
      <c r="I547" t="n">
        <v>-10.38</v>
      </c>
      <c r="J547" t="inlineStr">
        <is>
          <t>EUR</t>
        </is>
      </c>
      <c r="L547" t="inlineStr">
        <is>
          <t>07/26 Kabelbinder</t>
        </is>
      </c>
      <c r="N547" t="inlineStr">
        <is>
          <t>2026-08-20</t>
        </is>
      </c>
    </row>
    <row r="548">
      <c r="A548" t="n">
        <v>1647</v>
      </c>
      <c r="B548" t="inlineStr">
        <is>
          <t>VERBINDLICHKEIT</t>
        </is>
      </c>
      <c r="C548" t="inlineStr">
        <is>
          <t>4102.0</t>
        </is>
      </c>
      <c r="E548" t="inlineStr">
        <is>
          <t>KR</t>
        </is>
      </c>
      <c r="F548" t="inlineStr">
        <is>
          <t>7876</t>
        </is>
      </c>
      <c r="H548" t="inlineStr">
        <is>
          <t>2026-09-21</t>
        </is>
      </c>
      <c r="I548" t="n">
        <v>-113.8</v>
      </c>
      <c r="J548" t="inlineStr">
        <is>
          <t>EUR</t>
        </is>
      </c>
      <c r="L548" t="inlineStr">
        <is>
          <t>07/26 Halbmaske,Filterdeckel,Gase-/Dämpfefilter</t>
        </is>
      </c>
      <c r="N548" t="inlineStr">
        <is>
          <t>2026-08-20</t>
        </is>
      </c>
    </row>
    <row r="549">
      <c r="A549" t="n">
        <v>1648</v>
      </c>
      <c r="B549" t="inlineStr">
        <is>
          <t>VERBINDLICHKEIT</t>
        </is>
      </c>
      <c r="C549" t="inlineStr">
        <is>
          <t>4102.0</t>
        </is>
      </c>
      <c r="E549" t="inlineStr">
        <is>
          <t>KR</t>
        </is>
      </c>
      <c r="F549" t="inlineStr">
        <is>
          <t>7949</t>
        </is>
      </c>
      <c r="H549" t="inlineStr">
        <is>
          <t>2026-09-29</t>
        </is>
      </c>
      <c r="I549" t="n">
        <v>-274.78</v>
      </c>
      <c r="J549" t="inlineStr">
        <is>
          <t>EUR</t>
        </is>
      </c>
      <c r="L549" t="inlineStr">
        <is>
          <t>07/26 Säbelsäge</t>
        </is>
      </c>
      <c r="N549" t="inlineStr">
        <is>
          <t>2026-08-20</t>
        </is>
      </c>
    </row>
    <row r="550">
      <c r="A550" t="n">
        <v>1649</v>
      </c>
      <c r="B550" t="inlineStr">
        <is>
          <t>VERBINDLICHKEIT</t>
        </is>
      </c>
      <c r="C550" t="inlineStr">
        <is>
          <t>4102.0</t>
        </is>
      </c>
      <c r="E550" t="inlineStr">
        <is>
          <t>KR</t>
        </is>
      </c>
      <c r="F550" t="inlineStr">
        <is>
          <t>7948</t>
        </is>
      </c>
      <c r="H550" t="inlineStr">
        <is>
          <t>2026-09-29</t>
        </is>
      </c>
      <c r="I550" t="n">
        <v>-1591.57</v>
      </c>
      <c r="J550" t="inlineStr">
        <is>
          <t>EUR</t>
        </is>
      </c>
      <c r="L550" t="inlineStr">
        <is>
          <t>07/26 div. Artikel</t>
        </is>
      </c>
      <c r="N550" t="inlineStr">
        <is>
          <t>2026-08-20</t>
        </is>
      </c>
    </row>
    <row r="551">
      <c r="A551" t="n">
        <v>1650</v>
      </c>
      <c r="B551" t="inlineStr">
        <is>
          <t>VERBINDLICHKEIT</t>
        </is>
      </c>
      <c r="C551" t="inlineStr">
        <is>
          <t>4102.0</t>
        </is>
      </c>
      <c r="E551" t="inlineStr">
        <is>
          <t>KR</t>
        </is>
      </c>
      <c r="F551" t="inlineStr">
        <is>
          <t>7942</t>
        </is>
      </c>
      <c r="H551" t="inlineStr">
        <is>
          <t>2026-09-29</t>
        </is>
      </c>
      <c r="I551" t="n">
        <v>-955.39</v>
      </c>
      <c r="J551" t="inlineStr">
        <is>
          <t>EUR</t>
        </is>
      </c>
      <c r="L551" t="inlineStr">
        <is>
          <t>07/26 Miete Flaschenbündel-Füllung</t>
        </is>
      </c>
      <c r="N551" t="inlineStr">
        <is>
          <t>2026-08-20</t>
        </is>
      </c>
    </row>
    <row r="552">
      <c r="A552" t="n">
        <v>1651</v>
      </c>
      <c r="B552" t="inlineStr">
        <is>
          <t>VERBINDLICHKEIT</t>
        </is>
      </c>
      <c r="C552" t="inlineStr">
        <is>
          <t>4102.0</t>
        </is>
      </c>
      <c r="E552" t="inlineStr">
        <is>
          <t>KR</t>
        </is>
      </c>
      <c r="F552" t="inlineStr">
        <is>
          <t>8021</t>
        </is>
      </c>
      <c r="H552" t="inlineStr">
        <is>
          <t>2026-10-03</t>
        </is>
      </c>
      <c r="I552" t="n">
        <v>-33.88</v>
      </c>
      <c r="J552" t="inlineStr">
        <is>
          <t>EUR</t>
        </is>
      </c>
      <c r="L552" t="inlineStr">
        <is>
          <t>08/26 Markierungsspray</t>
        </is>
      </c>
      <c r="N552" t="inlineStr">
        <is>
          <t>2026-08-20</t>
        </is>
      </c>
    </row>
    <row r="553">
      <c r="A553" t="n">
        <v>1652</v>
      </c>
      <c r="B553" t="inlineStr">
        <is>
          <t>VERBINDLICHKEIT</t>
        </is>
      </c>
      <c r="C553" t="inlineStr">
        <is>
          <t>4102.0</t>
        </is>
      </c>
      <c r="E553" t="inlineStr">
        <is>
          <t>KR</t>
        </is>
      </c>
      <c r="F553" t="inlineStr">
        <is>
          <t>8020</t>
        </is>
      </c>
      <c r="H553" t="inlineStr">
        <is>
          <t>2026-10-03</t>
        </is>
      </c>
      <c r="I553" t="n">
        <v>-274.78</v>
      </c>
      <c r="J553" t="inlineStr">
        <is>
          <t>EUR</t>
        </is>
      </c>
      <c r="L553" t="inlineStr">
        <is>
          <t>08/26 Säbelsäge</t>
        </is>
      </c>
      <c r="N553" t="inlineStr">
        <is>
          <t>2026-08-20</t>
        </is>
      </c>
    </row>
    <row r="554">
      <c r="A554" t="n">
        <v>1653</v>
      </c>
      <c r="B554" t="inlineStr">
        <is>
          <t>VERBINDLICHKEIT</t>
        </is>
      </c>
      <c r="C554" t="inlineStr">
        <is>
          <t>4102.0</t>
        </is>
      </c>
      <c r="E554" t="inlineStr">
        <is>
          <t>KR</t>
        </is>
      </c>
      <c r="F554" t="inlineStr">
        <is>
          <t>7944</t>
        </is>
      </c>
      <c r="H554" t="inlineStr">
        <is>
          <t>2026-09-29</t>
        </is>
      </c>
      <c r="I554" t="n">
        <v>-272.51</v>
      </c>
      <c r="J554" t="inlineStr">
        <is>
          <t>EUR</t>
        </is>
      </c>
      <c r="L554" t="inlineStr">
        <is>
          <t>07/26 Schutzanzug CoverStar®Eco</t>
        </is>
      </c>
      <c r="N554" t="inlineStr">
        <is>
          <t>2026-08-20</t>
        </is>
      </c>
    </row>
    <row r="555">
      <c r="A555" t="n">
        <v>1654</v>
      </c>
      <c r="B555" t="inlineStr">
        <is>
          <t>VERBINDLICHKEIT</t>
        </is>
      </c>
      <c r="C555" t="inlineStr">
        <is>
          <t>4102.0</t>
        </is>
      </c>
      <c r="E555" t="inlineStr">
        <is>
          <t>KR</t>
        </is>
      </c>
      <c r="F555" t="inlineStr">
        <is>
          <t>7947</t>
        </is>
      </c>
      <c r="H555" t="inlineStr">
        <is>
          <t>2026-09-29</t>
        </is>
      </c>
      <c r="I555" t="n">
        <v>-248.71</v>
      </c>
      <c r="J555" t="inlineStr">
        <is>
          <t>EUR</t>
        </is>
      </c>
      <c r="L555" t="inlineStr">
        <is>
          <t>07/26 LED Lichtbandtrommel</t>
        </is>
      </c>
      <c r="N555" t="inlineStr">
        <is>
          <t>2026-08-20</t>
        </is>
      </c>
    </row>
    <row r="556">
      <c r="A556" t="n">
        <v>1655</v>
      </c>
      <c r="B556" t="inlineStr">
        <is>
          <t>VERBINDLICHKEIT</t>
        </is>
      </c>
      <c r="C556" t="inlineStr">
        <is>
          <t>4102.0</t>
        </is>
      </c>
      <c r="E556" t="inlineStr">
        <is>
          <t>KR</t>
        </is>
      </c>
      <c r="F556" t="inlineStr">
        <is>
          <t>7945</t>
        </is>
      </c>
      <c r="H556" t="inlineStr">
        <is>
          <t>2026-09-29</t>
        </is>
      </c>
      <c r="I556" t="n">
        <v>-2675.72</v>
      </c>
      <c r="J556" t="inlineStr">
        <is>
          <t>EUR</t>
        </is>
      </c>
      <c r="L556" t="inlineStr">
        <is>
          <t>07/26 LED Lichtbandtrommel</t>
        </is>
      </c>
      <c r="N556" t="inlineStr">
        <is>
          <t>2026-08-20</t>
        </is>
      </c>
    </row>
    <row r="557">
      <c r="A557" t="n">
        <v>1656</v>
      </c>
      <c r="B557" t="inlineStr">
        <is>
          <t>VERBINDLICHKEIT</t>
        </is>
      </c>
      <c r="C557" t="inlineStr">
        <is>
          <t>4102.0</t>
        </is>
      </c>
      <c r="E557" t="inlineStr">
        <is>
          <t>KR</t>
        </is>
      </c>
      <c r="F557" t="inlineStr">
        <is>
          <t>7943</t>
        </is>
      </c>
      <c r="H557" t="inlineStr">
        <is>
          <t>2026-09-29</t>
        </is>
      </c>
      <c r="I557" t="n">
        <v>-339.15</v>
      </c>
      <c r="J557" t="inlineStr">
        <is>
          <t>EUR</t>
        </is>
      </c>
      <c r="L557" t="inlineStr">
        <is>
          <t>07/26 Sauerstoffschlauch</t>
        </is>
      </c>
      <c r="N557" t="inlineStr">
        <is>
          <t>2026-08-20</t>
        </is>
      </c>
    </row>
    <row r="558">
      <c r="A558" t="n">
        <v>1657</v>
      </c>
      <c r="B558" t="inlineStr">
        <is>
          <t>VERBINDLICHKEIT</t>
        </is>
      </c>
      <c r="C558" t="inlineStr">
        <is>
          <t>4102.0</t>
        </is>
      </c>
      <c r="E558" t="inlineStr">
        <is>
          <t>KR</t>
        </is>
      </c>
      <c r="F558" t="inlineStr">
        <is>
          <t>7946</t>
        </is>
      </c>
      <c r="H558" t="inlineStr">
        <is>
          <t>2026-09-29</t>
        </is>
      </c>
      <c r="I558" t="n">
        <v>-71.88</v>
      </c>
      <c r="J558" t="inlineStr">
        <is>
          <t>EUR</t>
        </is>
      </c>
      <c r="L558" t="inlineStr">
        <is>
          <t>07/26 Ölkehrspäne</t>
        </is>
      </c>
      <c r="N558" t="inlineStr">
        <is>
          <t>2026-08-20</t>
        </is>
      </c>
    </row>
    <row r="559">
      <c r="A559" t="n">
        <v>1658</v>
      </c>
      <c r="B559" t="inlineStr">
        <is>
          <t>VERBINDLICHKEIT</t>
        </is>
      </c>
      <c r="C559" t="inlineStr">
        <is>
          <t>4102.0</t>
        </is>
      </c>
      <c r="E559" t="inlineStr">
        <is>
          <t>KR</t>
        </is>
      </c>
      <c r="F559" t="inlineStr">
        <is>
          <t>8080</t>
        </is>
      </c>
      <c r="H559" t="inlineStr">
        <is>
          <t>2026-10-05</t>
        </is>
      </c>
      <c r="I559" t="n">
        <v>-351.05</v>
      </c>
      <c r="J559" t="inlineStr">
        <is>
          <t>EUR</t>
        </is>
      </c>
      <c r="L559" t="inlineStr">
        <is>
          <t>08/26 Weithalsfass</t>
        </is>
      </c>
      <c r="N559" t="inlineStr">
        <is>
          <t>2026-08-20</t>
        </is>
      </c>
    </row>
    <row r="560">
      <c r="A560" t="n">
        <v>1659</v>
      </c>
      <c r="B560" t="inlineStr">
        <is>
          <t>VERBINDLICHKEIT</t>
        </is>
      </c>
      <c r="C560" t="inlineStr">
        <is>
          <t>4102.0</t>
        </is>
      </c>
      <c r="E560" t="inlineStr">
        <is>
          <t>KR</t>
        </is>
      </c>
      <c r="F560" t="inlineStr">
        <is>
          <t>8081</t>
        </is>
      </c>
      <c r="H560" t="inlineStr">
        <is>
          <t>2026-10-05</t>
        </is>
      </c>
      <c r="I560" t="n">
        <v>-721.88</v>
      </c>
      <c r="J560" t="inlineStr">
        <is>
          <t>EUR</t>
        </is>
      </c>
      <c r="L560" t="inlineStr">
        <is>
          <t>08/26 div. Artikel</t>
        </is>
      </c>
      <c r="N560" t="inlineStr">
        <is>
          <t>2026-08-20</t>
        </is>
      </c>
    </row>
    <row r="561">
      <c r="A561" t="n">
        <v>1660</v>
      </c>
      <c r="B561" t="inlineStr">
        <is>
          <t>VERBINDLICHKEIT</t>
        </is>
      </c>
      <c r="C561" t="inlineStr">
        <is>
          <t>4102.0</t>
        </is>
      </c>
      <c r="E561" t="inlineStr">
        <is>
          <t>KR</t>
        </is>
      </c>
      <c r="F561" t="inlineStr">
        <is>
          <t>8082</t>
        </is>
      </c>
      <c r="H561" t="inlineStr">
        <is>
          <t>2026-10-05</t>
        </is>
      </c>
      <c r="I561" t="n">
        <v>-66.31</v>
      </c>
      <c r="J561" t="inlineStr">
        <is>
          <t>EUR</t>
        </is>
      </c>
      <c r="L561" t="inlineStr">
        <is>
          <t>08/26 Handhebelfasspumpe</t>
        </is>
      </c>
      <c r="N561" t="inlineStr">
        <is>
          <t>2026-08-20</t>
        </is>
      </c>
    </row>
    <row r="562">
      <c r="A562" t="n">
        <v>1661</v>
      </c>
      <c r="B562" t="inlineStr">
        <is>
          <t>VERBINDLICHKEIT</t>
        </is>
      </c>
      <c r="C562" t="inlineStr">
        <is>
          <t>4102.0</t>
        </is>
      </c>
      <c r="E562" t="inlineStr">
        <is>
          <t>KR</t>
        </is>
      </c>
      <c r="F562" t="inlineStr">
        <is>
          <t>7980</t>
        </is>
      </c>
      <c r="H562" t="inlineStr">
        <is>
          <t>2026-08-07</t>
        </is>
      </c>
      <c r="I562" t="n">
        <v>-4165</v>
      </c>
      <c r="J562" t="inlineStr">
        <is>
          <t>EUR</t>
        </is>
      </c>
      <c r="L562" t="inlineStr">
        <is>
          <t>07/26 Miete Raupenbagger, Tieflöffel</t>
        </is>
      </c>
      <c r="N562" t="inlineStr">
        <is>
          <t>2026-08-20</t>
        </is>
      </c>
    </row>
    <row r="563">
      <c r="A563" t="n">
        <v>1662</v>
      </c>
      <c r="B563" t="inlineStr">
        <is>
          <t>VERBINDLICHKEIT</t>
        </is>
      </c>
      <c r="C563" t="inlineStr">
        <is>
          <t>4102.0</t>
        </is>
      </c>
      <c r="E563" t="inlineStr">
        <is>
          <t>KR</t>
        </is>
      </c>
      <c r="F563" t="inlineStr">
        <is>
          <t>7779</t>
        </is>
      </c>
      <c r="H563" t="inlineStr">
        <is>
          <t>2026-08-13</t>
        </is>
      </c>
      <c r="I563" t="n">
        <v>-5562.83</v>
      </c>
      <c r="J563" t="inlineStr">
        <is>
          <t>EUR</t>
        </is>
      </c>
      <c r="L563" t="inlineStr">
        <is>
          <t>07/26 Rep. Liebherr Seilbagger HS872</t>
        </is>
      </c>
      <c r="N563" t="inlineStr">
        <is>
          <t>2026-08-20</t>
        </is>
      </c>
    </row>
    <row r="564">
      <c r="A564" t="n">
        <v>1663</v>
      </c>
      <c r="B564" t="inlineStr">
        <is>
          <t>VERBINDLICHKEIT</t>
        </is>
      </c>
      <c r="C564" t="inlineStr">
        <is>
          <t>4102.0</t>
        </is>
      </c>
      <c r="E564" t="inlineStr">
        <is>
          <t>KR</t>
        </is>
      </c>
      <c r="F564" t="inlineStr">
        <is>
          <t>7919</t>
        </is>
      </c>
      <c r="H564" t="inlineStr">
        <is>
          <t>2026-08-11</t>
        </is>
      </c>
      <c r="I564" t="n">
        <v>-1670.76</v>
      </c>
      <c r="J564" t="inlineStr">
        <is>
          <t>EUR</t>
        </is>
      </c>
      <c r="L564" t="inlineStr">
        <is>
          <t>04-06/26 Miete mobile Gasmesstechntik</t>
        </is>
      </c>
      <c r="N564" t="inlineStr">
        <is>
          <t>2026-08-20</t>
        </is>
      </c>
    </row>
    <row r="565">
      <c r="A565" t="n">
        <v>1664</v>
      </c>
      <c r="B565" t="inlineStr">
        <is>
          <t>VERBINDLICHKEIT</t>
        </is>
      </c>
      <c r="C565" t="inlineStr">
        <is>
          <t>4102.0</t>
        </is>
      </c>
      <c r="E565" t="inlineStr">
        <is>
          <t>KR</t>
        </is>
      </c>
      <c r="F565" t="inlineStr">
        <is>
          <t>8058</t>
        </is>
      </c>
      <c r="H565" t="inlineStr">
        <is>
          <t>2026-08-05</t>
        </is>
      </c>
      <c r="I565" t="n">
        <v>-9363.34</v>
      </c>
      <c r="J565" t="inlineStr">
        <is>
          <t>EUR</t>
        </is>
      </c>
      <c r="L565" t="inlineStr">
        <is>
          <t>08/26 div. Mieten</t>
        </is>
      </c>
      <c r="N565" t="inlineStr">
        <is>
          <t>2026-08-20</t>
        </is>
      </c>
    </row>
    <row r="566">
      <c r="A566" t="n">
        <v>1665</v>
      </c>
      <c r="B566" t="inlineStr">
        <is>
          <t>VERBINDLICHKEIT</t>
        </is>
      </c>
      <c r="C566" t="inlineStr">
        <is>
          <t>4102.0</t>
        </is>
      </c>
      <c r="E566" t="inlineStr">
        <is>
          <t>KR</t>
        </is>
      </c>
      <c r="F566" t="inlineStr">
        <is>
          <t>8059</t>
        </is>
      </c>
      <c r="H566" t="inlineStr">
        <is>
          <t>2026-08-05</t>
        </is>
      </c>
      <c r="I566" t="n">
        <v>-2767.94</v>
      </c>
      <c r="J566" t="inlineStr">
        <is>
          <t>EUR</t>
        </is>
      </c>
      <c r="L566" t="inlineStr">
        <is>
          <t>08/26 Miete ENVIRO Handfräsmaschine</t>
        </is>
      </c>
      <c r="N566" t="inlineStr">
        <is>
          <t>2026-08-20</t>
        </is>
      </c>
    </row>
    <row r="567">
      <c r="A567" t="n">
        <v>1666</v>
      </c>
      <c r="B567" t="inlineStr">
        <is>
          <t>VERBINDLICHKEIT</t>
        </is>
      </c>
      <c r="C567" t="inlineStr">
        <is>
          <t>4102.0</t>
        </is>
      </c>
      <c r="E567" t="inlineStr">
        <is>
          <t>KR</t>
        </is>
      </c>
      <c r="F567" t="inlineStr">
        <is>
          <t>7935</t>
        </is>
      </c>
      <c r="H567" t="inlineStr">
        <is>
          <t>2026-08-21</t>
        </is>
      </c>
      <c r="I567" t="n">
        <v>-107.96</v>
      </c>
      <c r="J567" t="inlineStr">
        <is>
          <t>EUR</t>
        </is>
      </c>
      <c r="L567" t="inlineStr">
        <is>
          <t>07/26 Sprühlack RAL 1040 / 4020</t>
        </is>
      </c>
      <c r="N567" t="inlineStr">
        <is>
          <t>2026-08-20</t>
        </is>
      </c>
    </row>
    <row r="568">
      <c r="A568" t="n">
        <v>1667</v>
      </c>
      <c r="B568" t="inlineStr">
        <is>
          <t>VERBINDLICHKEIT</t>
        </is>
      </c>
      <c r="C568" t="inlineStr">
        <is>
          <t>4102.0</t>
        </is>
      </c>
      <c r="E568" t="inlineStr">
        <is>
          <t>KR</t>
        </is>
      </c>
      <c r="F568" t="inlineStr">
        <is>
          <t>7965</t>
        </is>
      </c>
      <c r="H568" t="inlineStr">
        <is>
          <t>2026-08-21</t>
        </is>
      </c>
      <c r="I568" t="n">
        <v>-1982.12</v>
      </c>
      <c r="J568" t="inlineStr">
        <is>
          <t>EUR</t>
        </is>
      </c>
      <c r="L568" t="inlineStr">
        <is>
          <t>06/26 Diele</t>
        </is>
      </c>
      <c r="N568" t="inlineStr">
        <is>
          <t>2026-08-20</t>
        </is>
      </c>
    </row>
    <row r="569">
      <c r="A569" t="n">
        <v>1668</v>
      </c>
      <c r="B569" t="inlineStr">
        <is>
          <t>VERBINDLICHKEIT</t>
        </is>
      </c>
      <c r="C569" t="inlineStr">
        <is>
          <t>4102.0</t>
        </is>
      </c>
      <c r="E569" t="inlineStr">
        <is>
          <t>KR</t>
        </is>
      </c>
      <c r="F569" t="inlineStr">
        <is>
          <t>8018</t>
        </is>
      </c>
      <c r="H569" t="inlineStr">
        <is>
          <t>2026-08-07</t>
        </is>
      </c>
      <c r="I569" t="n">
        <v>-2618</v>
      </c>
      <c r="J569" t="inlineStr">
        <is>
          <t>EUR</t>
        </is>
      </c>
      <c r="L569" t="inlineStr">
        <is>
          <t>07/26 Transport Kettenbagger CAT 336</t>
        </is>
      </c>
      <c r="N569" t="inlineStr">
        <is>
          <t>2026-08-20</t>
        </is>
      </c>
    </row>
    <row r="570">
      <c r="A570" t="n">
        <v>1669</v>
      </c>
      <c r="B570" t="inlineStr">
        <is>
          <t>VERBINDLICHKEIT</t>
        </is>
      </c>
      <c r="C570" t="inlineStr">
        <is>
          <t>4102.0</t>
        </is>
      </c>
      <c r="E570" t="inlineStr">
        <is>
          <t>KR</t>
        </is>
      </c>
      <c r="F570" t="inlineStr">
        <is>
          <t>7789</t>
        </is>
      </c>
      <c r="H570" t="inlineStr">
        <is>
          <t>2026-08-14</t>
        </is>
      </c>
      <c r="I570" t="n">
        <v>-1124.55</v>
      </c>
      <c r="J570" t="inlineStr">
        <is>
          <t>EUR</t>
        </is>
      </c>
      <c r="L570" t="inlineStr">
        <is>
          <t>07/26 Einweganzug</t>
        </is>
      </c>
      <c r="N570" t="inlineStr">
        <is>
          <t>2026-08-20</t>
        </is>
      </c>
    </row>
    <row r="571">
      <c r="A571" t="n">
        <v>1670</v>
      </c>
      <c r="B571" t="inlineStr">
        <is>
          <t>VERBINDLICHKEIT</t>
        </is>
      </c>
      <c r="C571" t="inlineStr">
        <is>
          <t>4102.0</t>
        </is>
      </c>
      <c r="E571" t="inlineStr">
        <is>
          <t>KR</t>
        </is>
      </c>
      <c r="F571" t="inlineStr">
        <is>
          <t>7894</t>
        </is>
      </c>
      <c r="H571" t="inlineStr">
        <is>
          <t>2026-08-26</t>
        </is>
      </c>
      <c r="I571" t="n">
        <v>-7021</v>
      </c>
      <c r="J571" t="inlineStr">
        <is>
          <t>EUR</t>
        </is>
      </c>
      <c r="L571" t="inlineStr">
        <is>
          <t>07/26 PP-Bändchengewebesack,Big Bag</t>
        </is>
      </c>
      <c r="N571" t="inlineStr">
        <is>
          <t>2026-08-20</t>
        </is>
      </c>
    </row>
    <row r="572">
      <c r="A572" t="n">
        <v>1671</v>
      </c>
      <c r="B572" t="inlineStr">
        <is>
          <t>VERBINDLICHKEIT</t>
        </is>
      </c>
      <c r="C572" t="inlineStr">
        <is>
          <t>4102.0</t>
        </is>
      </c>
      <c r="E572" t="inlineStr">
        <is>
          <t>KR</t>
        </is>
      </c>
      <c r="F572" t="inlineStr">
        <is>
          <t>7853</t>
        </is>
      </c>
      <c r="H572" t="inlineStr">
        <is>
          <t>2026-08-21</t>
        </is>
      </c>
      <c r="I572" t="n">
        <v>-5919.06</v>
      </c>
      <c r="J572" t="inlineStr">
        <is>
          <t>EUR</t>
        </is>
      </c>
      <c r="L572" t="inlineStr">
        <is>
          <t>07/26 Miete Proflow SC Asbestos inkl. Zubehör</t>
        </is>
      </c>
      <c r="N572" t="inlineStr">
        <is>
          <t>2026-08-20</t>
        </is>
      </c>
    </row>
    <row r="573">
      <c r="A573" t="n">
        <v>1672</v>
      </c>
      <c r="B573" t="inlineStr">
        <is>
          <t>VERBINDLICHKEIT</t>
        </is>
      </c>
      <c r="C573" t="inlineStr">
        <is>
          <t>4102.0</t>
        </is>
      </c>
      <c r="E573" t="inlineStr">
        <is>
          <t>KR</t>
        </is>
      </c>
      <c r="F573" t="inlineStr">
        <is>
          <t>7697</t>
        </is>
      </c>
      <c r="H573" t="inlineStr">
        <is>
          <t>2026-08-07</t>
        </is>
      </c>
      <c r="I573" t="n">
        <v>-552.76</v>
      </c>
      <c r="J573" t="inlineStr">
        <is>
          <t>EUR</t>
        </is>
      </c>
      <c r="L573" t="inlineStr">
        <is>
          <t>06/26 Filterkerzen</t>
        </is>
      </c>
      <c r="N573" t="inlineStr">
        <is>
          <t>2026-08-20</t>
        </is>
      </c>
    </row>
    <row r="574">
      <c r="A574" t="n">
        <v>1673</v>
      </c>
      <c r="B574" t="inlineStr">
        <is>
          <t>VERBINDLICHKEIT</t>
        </is>
      </c>
      <c r="C574" t="inlineStr">
        <is>
          <t>4102.0</t>
        </is>
      </c>
      <c r="E574" t="inlineStr">
        <is>
          <t>KN</t>
        </is>
      </c>
      <c r="F574" t="inlineStr">
        <is>
          <t>7718</t>
        </is>
      </c>
      <c r="H574" t="inlineStr">
        <is>
          <t>2026-08-08</t>
        </is>
      </c>
      <c r="I574" t="n">
        <v>-4923.03</v>
      </c>
      <c r="J574" t="inlineStr">
        <is>
          <t>EUR</t>
        </is>
      </c>
      <c r="L574" t="inlineStr">
        <is>
          <t>07/26 Proflow SC Asbestos plus Zubehör</t>
        </is>
      </c>
      <c r="N574" t="inlineStr">
        <is>
          <t>2026-08-20</t>
        </is>
      </c>
    </row>
    <row r="575">
      <c r="A575" t="n">
        <v>1674</v>
      </c>
      <c r="B575" t="inlineStr">
        <is>
          <t>VERBINDLICHKEIT</t>
        </is>
      </c>
      <c r="C575" t="inlineStr">
        <is>
          <t>4102.0</t>
        </is>
      </c>
      <c r="E575" t="inlineStr">
        <is>
          <t>KR</t>
        </is>
      </c>
      <c r="F575" t="inlineStr">
        <is>
          <t>8051</t>
        </is>
      </c>
      <c r="H575" t="inlineStr">
        <is>
          <t>2026-09-04</t>
        </is>
      </c>
      <c r="I575" t="n">
        <v>-803.25</v>
      </c>
      <c r="J575" t="inlineStr">
        <is>
          <t>EUR</t>
        </is>
      </c>
      <c r="L575" t="inlineStr">
        <is>
          <t>08/26 Einweganzug</t>
        </is>
      </c>
      <c r="N575" t="inlineStr">
        <is>
          <t>2026-08-20</t>
        </is>
      </c>
    </row>
    <row r="576">
      <c r="A576" t="n">
        <v>1675</v>
      </c>
      <c r="B576" t="inlineStr">
        <is>
          <t>VERBINDLICHKEIT</t>
        </is>
      </c>
      <c r="C576" t="inlineStr">
        <is>
          <t>4102.0</t>
        </is>
      </c>
      <c r="E576" t="inlineStr">
        <is>
          <t>KI</t>
        </is>
      </c>
      <c r="F576" t="inlineStr">
        <is>
          <t>4714000038</t>
        </is>
      </c>
      <c r="H576" t="inlineStr">
        <is>
          <t>2026-06-11</t>
        </is>
      </c>
      <c r="I576" t="n">
        <v>-17.74</v>
      </c>
      <c r="J576" t="inlineStr">
        <is>
          <t>EUR</t>
        </is>
      </c>
      <c r="L576" t="inlineStr">
        <is>
          <t>*Skontorückzahlung zu 0421443</t>
        </is>
      </c>
      <c r="N576" t="inlineStr">
        <is>
          <t>2026-08-20</t>
        </is>
      </c>
    </row>
    <row r="577">
      <c r="A577" t="n">
        <v>1676</v>
      </c>
      <c r="B577" t="inlineStr">
        <is>
          <t>VERBINDLICHKEIT</t>
        </is>
      </c>
      <c r="C577" t="inlineStr">
        <is>
          <t>4102.0</t>
        </is>
      </c>
      <c r="E577" t="inlineStr">
        <is>
          <t>KR</t>
        </is>
      </c>
      <c r="F577" t="inlineStr">
        <is>
          <t>8054</t>
        </is>
      </c>
      <c r="H577" t="inlineStr">
        <is>
          <t>2026-08-19</t>
        </is>
      </c>
      <c r="I577" t="n">
        <v>-335.72</v>
      </c>
      <c r="J577" t="inlineStr">
        <is>
          <t>EUR</t>
        </is>
      </c>
      <c r="L577" t="inlineStr">
        <is>
          <t>1.10.3084420; 2026 Straf-Rechtsschutz</t>
        </is>
      </c>
      <c r="N577" t="inlineStr">
        <is>
          <t>2026-08-20</t>
        </is>
      </c>
    </row>
    <row r="578">
      <c r="A578" t="n">
        <v>1677</v>
      </c>
      <c r="B578" t="inlineStr">
        <is>
          <t>VERBINDLICHKEIT</t>
        </is>
      </c>
      <c r="C578" t="inlineStr">
        <is>
          <t>4102.0</t>
        </is>
      </c>
      <c r="E578" t="inlineStr">
        <is>
          <t>KR</t>
        </is>
      </c>
      <c r="F578" t="inlineStr">
        <is>
          <t>7901</t>
        </is>
      </c>
      <c r="H578" t="inlineStr">
        <is>
          <t>2026-08-04</t>
        </is>
      </c>
      <c r="I578" t="n">
        <v>-3361.74</v>
      </c>
      <c r="J578" t="inlineStr">
        <is>
          <t>EUR</t>
        </is>
      </c>
      <c r="L578" t="inlineStr">
        <is>
          <t>07/26 Transport versch. Stoffe</t>
        </is>
      </c>
      <c r="N578" t="inlineStr">
        <is>
          <t>2026-08-20</t>
        </is>
      </c>
    </row>
    <row r="579">
      <c r="A579" t="n">
        <v>1678</v>
      </c>
      <c r="B579" t="inlineStr">
        <is>
          <t>VERBINDLICHKEIT</t>
        </is>
      </c>
      <c r="C579" t="inlineStr">
        <is>
          <t>4102.0</t>
        </is>
      </c>
      <c r="E579" t="inlineStr">
        <is>
          <t>XK</t>
        </is>
      </c>
      <c r="F579" t="inlineStr">
        <is>
          <t>6000000391</t>
        </is>
      </c>
      <c r="H579" t="inlineStr">
        <is>
          <t>2026-08-01</t>
        </is>
      </c>
      <c r="I579" t="n">
        <v>-4390.71</v>
      </c>
      <c r="J579" t="inlineStr">
        <is>
          <t>EUR</t>
        </is>
      </c>
      <c r="L579" t="inlineStr">
        <is>
          <t>V-077-517-934-6 Maschinenversicherung</t>
        </is>
      </c>
      <c r="N579" t="inlineStr">
        <is>
          <t>2026-08-20</t>
        </is>
      </c>
    </row>
    <row r="580">
      <c r="A580" t="n">
        <v>1679</v>
      </c>
      <c r="B580" t="inlineStr">
        <is>
          <t>VERBINDLICHKEIT</t>
        </is>
      </c>
      <c r="C580" t="inlineStr">
        <is>
          <t>4102.0</t>
        </is>
      </c>
      <c r="E580" t="inlineStr">
        <is>
          <t>KR</t>
        </is>
      </c>
      <c r="F580" t="inlineStr">
        <is>
          <t>7904</t>
        </is>
      </c>
      <c r="H580" t="inlineStr">
        <is>
          <t>2026-08-26</t>
        </is>
      </c>
      <c r="I580" t="n">
        <v>-4500.17</v>
      </c>
      <c r="J580" t="inlineStr">
        <is>
          <t>EUR</t>
        </is>
      </c>
      <c r="L580" t="inlineStr">
        <is>
          <t>05/26 OSL-AW 5 HU+Rep.</t>
        </is>
      </c>
      <c r="N580" t="inlineStr">
        <is>
          <t>2026-08-20</t>
        </is>
      </c>
    </row>
    <row r="581">
      <c r="A581" t="n">
        <v>1680</v>
      </c>
      <c r="B581" t="inlineStr">
        <is>
          <t>VERBINDLICHKEIT</t>
        </is>
      </c>
      <c r="C581" t="inlineStr">
        <is>
          <t>4102.0</t>
        </is>
      </c>
      <c r="E581" t="inlineStr">
        <is>
          <t>KR</t>
        </is>
      </c>
      <c r="F581" t="inlineStr">
        <is>
          <t>7491</t>
        </is>
      </c>
      <c r="H581" t="inlineStr">
        <is>
          <t>2026-07-29</t>
        </is>
      </c>
      <c r="I581" t="n">
        <v>-25500</v>
      </c>
      <c r="J581" t="inlineStr">
        <is>
          <t>EUR</t>
        </is>
      </c>
      <c r="L581" t="inlineStr">
        <is>
          <t>04-05/26 Abbruch "Blauer Bock" BASF U505</t>
        </is>
      </c>
      <c r="N581" t="inlineStr">
        <is>
          <t>2026-08-20</t>
        </is>
      </c>
    </row>
    <row r="582">
      <c r="A582" t="n">
        <v>1681</v>
      </c>
      <c r="B582" t="inlineStr">
        <is>
          <t>VERBINDLICHKEIT</t>
        </is>
      </c>
      <c r="C582" t="inlineStr">
        <is>
          <t>4102.0</t>
        </is>
      </c>
      <c r="E582" t="inlineStr">
        <is>
          <t>KR</t>
        </is>
      </c>
      <c r="F582" t="inlineStr">
        <is>
          <t>7962</t>
        </is>
      </c>
      <c r="H582" t="inlineStr">
        <is>
          <t>2026-08-30</t>
        </is>
      </c>
      <c r="I582" t="n">
        <v>-20733.55</v>
      </c>
      <c r="J582" t="inlineStr">
        <is>
          <t>EUR</t>
        </is>
      </c>
      <c r="L582" t="inlineStr">
        <is>
          <t>07/26 Entsorgung versch. Stoffe</t>
        </is>
      </c>
      <c r="N582" t="inlineStr">
        <is>
          <t>2026-08-20</t>
        </is>
      </c>
    </row>
    <row r="583">
      <c r="A583" t="n">
        <v>1682</v>
      </c>
      <c r="B583" t="inlineStr">
        <is>
          <t>VERBINDLICHKEIT</t>
        </is>
      </c>
      <c r="C583" t="inlineStr">
        <is>
          <t>4102.0</t>
        </is>
      </c>
      <c r="E583" t="inlineStr">
        <is>
          <t>KR</t>
        </is>
      </c>
      <c r="F583" t="inlineStr">
        <is>
          <t>7815</t>
        </is>
      </c>
      <c r="H583" t="inlineStr">
        <is>
          <t>2026-07-20</t>
        </is>
      </c>
      <c r="I583" t="n">
        <v>-75000</v>
      </c>
      <c r="J583" t="inlineStr">
        <is>
          <t>EUR</t>
        </is>
      </c>
      <c r="L583" t="inlineStr">
        <is>
          <t>04-06/26 4. Abschlag Abbruch "Blauer Bock"</t>
        </is>
      </c>
      <c r="N583" t="inlineStr">
        <is>
          <t>2026-08-20</t>
        </is>
      </c>
    </row>
    <row r="584">
      <c r="A584" t="n">
        <v>1683</v>
      </c>
      <c r="B584" t="inlineStr">
        <is>
          <t>VERBINDLICHKEIT</t>
        </is>
      </c>
      <c r="C584" t="inlineStr">
        <is>
          <t>4102.0</t>
        </is>
      </c>
      <c r="E584" t="inlineStr">
        <is>
          <t>KR</t>
        </is>
      </c>
      <c r="F584" t="inlineStr">
        <is>
          <t>7816</t>
        </is>
      </c>
      <c r="H584" t="inlineStr">
        <is>
          <t>2026-07-20</t>
        </is>
      </c>
      <c r="I584" t="n">
        <v>-112012.19</v>
      </c>
      <c r="J584" t="inlineStr">
        <is>
          <t>EUR</t>
        </is>
      </c>
      <c r="L584" t="inlineStr">
        <is>
          <t>04-06/26 5. Abschlag Abbruch "Blauer Bock"</t>
        </is>
      </c>
      <c r="N584" t="inlineStr">
        <is>
          <t>2026-08-20</t>
        </is>
      </c>
    </row>
    <row r="585">
      <c r="A585" t="n">
        <v>1684</v>
      </c>
      <c r="B585" t="inlineStr">
        <is>
          <t>VERBINDLICHKEIT</t>
        </is>
      </c>
      <c r="C585" t="inlineStr">
        <is>
          <t>4102.0</t>
        </is>
      </c>
      <c r="E585" t="inlineStr">
        <is>
          <t>KR</t>
        </is>
      </c>
      <c r="F585" t="inlineStr">
        <is>
          <t>7960</t>
        </is>
      </c>
      <c r="H585" t="inlineStr">
        <is>
          <t>2026-08-30</t>
        </is>
      </c>
      <c r="I585" t="n">
        <v>-51885.8</v>
      </c>
      <c r="J585" t="inlineStr">
        <is>
          <t>EUR</t>
        </is>
      </c>
      <c r="L585" t="inlineStr">
        <is>
          <t>04-06/26 Abbruch "Blauer Bock" BASF U505</t>
        </is>
      </c>
      <c r="N585" t="inlineStr">
        <is>
          <t>2026-08-20</t>
        </is>
      </c>
    </row>
    <row r="586">
      <c r="A586" t="n">
        <v>1685</v>
      </c>
      <c r="B586" t="inlineStr">
        <is>
          <t>VERBINDLICHKEIT</t>
        </is>
      </c>
      <c r="C586" t="inlineStr">
        <is>
          <t>4102.0</t>
        </is>
      </c>
      <c r="E586" t="inlineStr">
        <is>
          <t>KR</t>
        </is>
      </c>
      <c r="F586" t="inlineStr">
        <is>
          <t>7961</t>
        </is>
      </c>
      <c r="H586" t="inlineStr">
        <is>
          <t>2026-08-30</t>
        </is>
      </c>
      <c r="I586" t="n">
        <v>-75000</v>
      </c>
      <c r="J586" t="inlineStr">
        <is>
          <t>EUR</t>
        </is>
      </c>
      <c r="L586" t="inlineStr">
        <is>
          <t>04-06/26 Abbruch "Blauer Bock" BASF U505</t>
        </is>
      </c>
      <c r="N586" t="inlineStr">
        <is>
          <t>2026-08-20</t>
        </is>
      </c>
    </row>
    <row r="587">
      <c r="A587" t="n">
        <v>1686</v>
      </c>
      <c r="B587" t="inlineStr">
        <is>
          <t>VERBINDLICHKEIT</t>
        </is>
      </c>
      <c r="C587" t="inlineStr">
        <is>
          <t>4102.0</t>
        </is>
      </c>
      <c r="E587" t="inlineStr">
        <is>
          <t>KR</t>
        </is>
      </c>
      <c r="F587" t="inlineStr">
        <is>
          <t>7978</t>
        </is>
      </c>
      <c r="H587" t="inlineStr">
        <is>
          <t>2026-08-04</t>
        </is>
      </c>
      <c r="I587" t="n">
        <v>-535.5</v>
      </c>
      <c r="J587" t="inlineStr">
        <is>
          <t>EUR</t>
        </is>
      </c>
      <c r="L587" t="inlineStr">
        <is>
          <t>08/26 UHR Schießgartenweg 8a Frankenthal Gebäude D</t>
        </is>
      </c>
      <c r="N587" t="inlineStr">
        <is>
          <t>2026-08-20</t>
        </is>
      </c>
    </row>
    <row r="588">
      <c r="A588" t="n">
        <v>1687</v>
      </c>
      <c r="B588" t="inlineStr">
        <is>
          <t>VERBINDLICHKEIT</t>
        </is>
      </c>
      <c r="C588" t="inlineStr">
        <is>
          <t>4102.0</t>
        </is>
      </c>
      <c r="E588" t="inlineStr">
        <is>
          <t>KR</t>
        </is>
      </c>
      <c r="F588" t="inlineStr">
        <is>
          <t>8040</t>
        </is>
      </c>
      <c r="H588" t="inlineStr">
        <is>
          <t>2026-08-10</t>
        </is>
      </c>
      <c r="I588" t="n">
        <v>-133.56</v>
      </c>
      <c r="J588" t="inlineStr">
        <is>
          <t>EUR</t>
        </is>
      </c>
      <c r="L588" t="inlineStr">
        <is>
          <t>07/26 Kostenberechnung Abberufung Hr. Kay</t>
        </is>
      </c>
      <c r="N588" t="inlineStr">
        <is>
          <t>2026-08-20</t>
        </is>
      </c>
    </row>
    <row r="589">
      <c r="A589" t="n">
        <v>1688</v>
      </c>
      <c r="B589" t="inlineStr">
        <is>
          <t>VERBINDLICHKEIT</t>
        </is>
      </c>
      <c r="C589" t="inlineStr">
        <is>
          <t>4102.0</t>
        </is>
      </c>
      <c r="E589" t="inlineStr">
        <is>
          <t>KR</t>
        </is>
      </c>
      <c r="F589" t="inlineStr">
        <is>
          <t>8060</t>
        </is>
      </c>
      <c r="H589" t="inlineStr">
        <is>
          <t>2026-08-19</t>
        </is>
      </c>
      <c r="I589" t="n">
        <v>-2427.6</v>
      </c>
      <c r="J589" t="inlineStr">
        <is>
          <t>EUR</t>
        </is>
      </c>
      <c r="L589" t="inlineStr">
        <is>
          <t>08/26 Dielen</t>
        </is>
      </c>
      <c r="N589" t="inlineStr">
        <is>
          <t>2026-08-20</t>
        </is>
      </c>
    </row>
    <row r="590">
      <c r="A590" t="n">
        <v>1689</v>
      </c>
      <c r="B590" t="inlineStr">
        <is>
          <t>VERBINDLICHKEIT</t>
        </is>
      </c>
      <c r="C590" t="inlineStr">
        <is>
          <t>4102.0</t>
        </is>
      </c>
      <c r="E590" t="inlineStr">
        <is>
          <t>KR</t>
        </is>
      </c>
      <c r="F590" t="inlineStr">
        <is>
          <t>7954</t>
        </is>
      </c>
      <c r="H590" t="inlineStr">
        <is>
          <t>2026-08-07</t>
        </is>
      </c>
      <c r="I590" t="n">
        <v>-249.9</v>
      </c>
      <c r="J590" t="inlineStr">
        <is>
          <t>EUR</t>
        </is>
      </c>
      <c r="L590" t="inlineStr">
        <is>
          <t>07/26 IT-Dienstleistungen</t>
        </is>
      </c>
      <c r="N590" t="inlineStr">
        <is>
          <t>2026-08-20</t>
        </is>
      </c>
    </row>
    <row r="591">
      <c r="A591" t="n">
        <v>1690</v>
      </c>
      <c r="B591" t="inlineStr">
        <is>
          <t>VERBINDLICHKEIT</t>
        </is>
      </c>
      <c r="C591" t="inlineStr">
        <is>
          <t>4102.0</t>
        </is>
      </c>
      <c r="E591" t="inlineStr">
        <is>
          <t>KR</t>
        </is>
      </c>
      <c r="F591" t="inlineStr">
        <is>
          <t>7941</t>
        </is>
      </c>
      <c r="H591" t="inlineStr">
        <is>
          <t>2026-08-14</t>
        </is>
      </c>
      <c r="I591" t="n">
        <v>-110.55</v>
      </c>
      <c r="J591" t="inlineStr">
        <is>
          <t>EUR</t>
        </is>
      </c>
      <c r="L591" t="inlineStr">
        <is>
          <t>08/26 Festnetz KN2748192212 BK5631079067</t>
        </is>
      </c>
      <c r="N591" t="inlineStr">
        <is>
          <t>2026-08-20</t>
        </is>
      </c>
    </row>
    <row r="592">
      <c r="A592" t="n">
        <v>1691</v>
      </c>
      <c r="B592" t="inlineStr">
        <is>
          <t>VERBINDLICHKEIT</t>
        </is>
      </c>
      <c r="C592" t="inlineStr">
        <is>
          <t>4102.0</t>
        </is>
      </c>
      <c r="E592" t="inlineStr">
        <is>
          <t>KR</t>
        </is>
      </c>
      <c r="F592" t="inlineStr">
        <is>
          <t>7760</t>
        </is>
      </c>
      <c r="H592" t="inlineStr">
        <is>
          <t>2026-08-12</t>
        </is>
      </c>
      <c r="I592" t="n">
        <v>-1099.02</v>
      </c>
      <c r="J592" t="inlineStr">
        <is>
          <t>EUR</t>
        </is>
      </c>
      <c r="L592" t="inlineStr">
        <is>
          <t>06/26 KN 40611100 RV 80002917_1</t>
        </is>
      </c>
      <c r="N592" t="inlineStr">
        <is>
          <t>2026-08-20</t>
        </is>
      </c>
    </row>
    <row r="593">
      <c r="A593" t="n">
        <v>1692</v>
      </c>
      <c r="B593" t="inlineStr">
        <is>
          <t>VERBINDLICHKEIT</t>
        </is>
      </c>
      <c r="C593" t="inlineStr">
        <is>
          <t>4102.0</t>
        </is>
      </c>
      <c r="E593" t="inlineStr">
        <is>
          <t>XK</t>
        </is>
      </c>
      <c r="F593" t="inlineStr">
        <is>
          <t>6000000383</t>
        </is>
      </c>
      <c r="H593" t="inlineStr">
        <is>
          <t>2026-08-01</t>
        </is>
      </c>
      <c r="I593" t="n">
        <v>-353.64</v>
      </c>
      <c r="J593" t="inlineStr">
        <is>
          <t>EUR</t>
        </is>
      </c>
      <c r="L593" t="inlineStr">
        <is>
          <t>Leasing CB-TV 15</t>
        </is>
      </c>
      <c r="N593" t="inlineStr">
        <is>
          <t>2026-08-20</t>
        </is>
      </c>
    </row>
    <row r="594">
      <c r="A594" t="n">
        <v>1693</v>
      </c>
      <c r="B594" t="inlineStr">
        <is>
          <t>VERBINDLICHKEIT</t>
        </is>
      </c>
      <c r="C594" t="inlineStr">
        <is>
          <t>4102.0</t>
        </is>
      </c>
      <c r="E594" t="inlineStr">
        <is>
          <t>KR</t>
        </is>
      </c>
      <c r="F594" t="inlineStr">
        <is>
          <t>8025</t>
        </is>
      </c>
      <c r="H594" t="inlineStr">
        <is>
          <t>2026-09-03</t>
        </is>
      </c>
      <c r="I594" t="n">
        <v>-4696.75</v>
      </c>
      <c r="J594" t="inlineStr">
        <is>
          <t>EUR</t>
        </is>
      </c>
      <c r="L594" t="inlineStr">
        <is>
          <t>08/26 Flachsäcke PE-LD</t>
        </is>
      </c>
      <c r="N594" t="inlineStr">
        <is>
          <t>2026-08-20</t>
        </is>
      </c>
    </row>
    <row r="595">
      <c r="A595" t="n">
        <v>1694</v>
      </c>
      <c r="B595" t="inlineStr">
        <is>
          <t>VERBINDLICHKEIT</t>
        </is>
      </c>
      <c r="C595" t="inlineStr">
        <is>
          <t>4102.0</t>
        </is>
      </c>
      <c r="E595" t="inlineStr">
        <is>
          <t>KR</t>
        </is>
      </c>
      <c r="F595" t="inlineStr">
        <is>
          <t>7994</t>
        </is>
      </c>
      <c r="H595" t="inlineStr">
        <is>
          <t>2026-08-04</t>
        </is>
      </c>
      <c r="I595" t="n">
        <v>-26000</v>
      </c>
      <c r="J595" t="inlineStr">
        <is>
          <t>EUR</t>
        </is>
      </c>
      <c r="L595" t="inlineStr">
        <is>
          <t>06-07/26 Demontage- &amp; Brennschneidearbeiten</t>
        </is>
      </c>
      <c r="N595" t="inlineStr">
        <is>
          <t>2026-08-20</t>
        </is>
      </c>
    </row>
    <row r="596">
      <c r="A596" t="n">
        <v>1695</v>
      </c>
      <c r="B596" t="inlineStr">
        <is>
          <t>VERBINDLICHKEIT</t>
        </is>
      </c>
      <c r="C596" t="inlineStr">
        <is>
          <t>4102.0</t>
        </is>
      </c>
      <c r="E596" t="inlineStr">
        <is>
          <t>KR</t>
        </is>
      </c>
      <c r="F596" t="inlineStr">
        <is>
          <t>7771</t>
        </is>
      </c>
      <c r="H596" t="inlineStr">
        <is>
          <t>2026-09-12</t>
        </is>
      </c>
      <c r="I596" t="n">
        <v>-549.47</v>
      </c>
      <c r="J596" t="inlineStr">
        <is>
          <t>EUR</t>
        </is>
      </c>
      <c r="L596" t="inlineStr">
        <is>
          <t>07/26 CB-NA 431 Radwechsel</t>
        </is>
      </c>
      <c r="N596" t="inlineStr">
        <is>
          <t>2026-08-20</t>
        </is>
      </c>
    </row>
    <row r="597">
      <c r="A597" t="n">
        <v>1696</v>
      </c>
      <c r="B597" t="inlineStr">
        <is>
          <t>VERBINDLICHKEIT</t>
        </is>
      </c>
      <c r="C597" t="inlineStr">
        <is>
          <t>4102.0</t>
        </is>
      </c>
      <c r="E597" t="inlineStr">
        <is>
          <t>KR</t>
        </is>
      </c>
      <c r="F597" t="inlineStr">
        <is>
          <t>8050</t>
        </is>
      </c>
      <c r="H597" t="inlineStr">
        <is>
          <t>2026-08-20</t>
        </is>
      </c>
      <c r="I597" t="n">
        <v>-113.05</v>
      </c>
      <c r="J597" t="inlineStr">
        <is>
          <t>EUR</t>
        </is>
      </c>
      <c r="L597" t="inlineStr">
        <is>
          <t>07/26 Transport Bauzäune</t>
        </is>
      </c>
      <c r="N597" t="inlineStr">
        <is>
          <t>2026-08-20</t>
        </is>
      </c>
    </row>
    <row r="598">
      <c r="A598" t="n">
        <v>1697</v>
      </c>
      <c r="B598" t="inlineStr">
        <is>
          <t>VERBINDLICHKEIT</t>
        </is>
      </c>
      <c r="C598" t="inlineStr">
        <is>
          <t>4102.0</t>
        </is>
      </c>
      <c r="E598" t="inlineStr">
        <is>
          <t>DI</t>
        </is>
      </c>
      <c r="F598" t="inlineStr">
        <is>
          <t>3000081</t>
        </is>
      </c>
      <c r="H598" t="inlineStr">
        <is>
          <t>2026-07-30</t>
        </is>
      </c>
      <c r="I598" t="n">
        <v>-434</v>
      </c>
      <c r="J598" t="inlineStr">
        <is>
          <t>EUR</t>
        </is>
      </c>
      <c r="L598" t="inlineStr">
        <is>
          <t>06-07/26 Ausbildungsdurchlauf Büro Frankenthal</t>
        </is>
      </c>
      <c r="N598" t="inlineStr">
        <is>
          <t>2026-08-20</t>
        </is>
      </c>
    </row>
    <row r="599">
      <c r="A599" t="n">
        <v>1698</v>
      </c>
      <c r="B599" t="inlineStr">
        <is>
          <t>VERBINDLICHKEIT</t>
        </is>
      </c>
      <c r="C599" t="inlineStr">
        <is>
          <t>4102.0</t>
        </is>
      </c>
      <c r="E599" t="inlineStr">
        <is>
          <t>KR</t>
        </is>
      </c>
      <c r="F599" t="inlineStr">
        <is>
          <t>8057</t>
        </is>
      </c>
      <c r="H599" t="inlineStr">
        <is>
          <t>2026-08-18</t>
        </is>
      </c>
      <c r="I599" t="n">
        <v>-658.61</v>
      </c>
      <c r="J599" t="inlineStr">
        <is>
          <t>EUR</t>
        </is>
      </c>
      <c r="L599" t="inlineStr">
        <is>
          <t>08/26 Service-/Wartungsgebühr bau-mobil Lizenzen</t>
        </is>
      </c>
      <c r="N599" t="inlineStr">
        <is>
          <t>2026-08-20</t>
        </is>
      </c>
    </row>
    <row r="600">
      <c r="A600" t="n">
        <v>1699</v>
      </c>
      <c r="B600" t="inlineStr">
        <is>
          <t>VERBINDLICHKEIT</t>
        </is>
      </c>
      <c r="C600" t="inlineStr">
        <is>
          <t>4102.0</t>
        </is>
      </c>
      <c r="E600" t="inlineStr">
        <is>
          <t>DI</t>
        </is>
      </c>
      <c r="F600" t="inlineStr">
        <is>
          <t>3000080</t>
        </is>
      </c>
      <c r="H600" t="inlineStr">
        <is>
          <t>2026-08-01</t>
        </is>
      </c>
      <c r="I600" t="n">
        <v>-704.5700000000001</v>
      </c>
      <c r="J600" t="inlineStr">
        <is>
          <t>EUR</t>
        </is>
      </c>
      <c r="L600" t="inlineStr">
        <is>
          <t>06-07/26 Baustellenbetreuung</t>
        </is>
      </c>
      <c r="N600" t="inlineStr">
        <is>
          <t>2026-08-20</t>
        </is>
      </c>
    </row>
    <row r="601">
      <c r="A601" t="n">
        <v>1700</v>
      </c>
      <c r="B601" t="inlineStr">
        <is>
          <t>VERBINDLICHKEIT</t>
        </is>
      </c>
      <c r="C601" t="inlineStr">
        <is>
          <t>4102.0</t>
        </is>
      </c>
      <c r="E601" t="inlineStr">
        <is>
          <t>KR</t>
        </is>
      </c>
      <c r="F601" t="inlineStr">
        <is>
          <t>8005</t>
        </is>
      </c>
      <c r="H601" t="inlineStr">
        <is>
          <t>2026-08-11</t>
        </is>
      </c>
      <c r="I601" t="n">
        <v>-130</v>
      </c>
      <c r="J601" t="inlineStr">
        <is>
          <t>EUR</t>
        </is>
      </c>
      <c r="L601" t="inlineStr">
        <is>
          <t>08/26 ÜN + Parken Hr. Kemper</t>
        </is>
      </c>
      <c r="N601" t="inlineStr">
        <is>
          <t>2026-08-20</t>
        </is>
      </c>
    </row>
    <row r="602">
      <c r="A602" t="n">
        <v>1701</v>
      </c>
      <c r="B602" t="inlineStr">
        <is>
          <t>VERBINDLICHKEIT</t>
        </is>
      </c>
      <c r="C602" t="inlineStr">
        <is>
          <t>4102.0</t>
        </is>
      </c>
      <c r="E602" t="inlineStr">
        <is>
          <t>KR</t>
        </is>
      </c>
      <c r="F602" t="inlineStr">
        <is>
          <t>8006</t>
        </is>
      </c>
      <c r="H602" t="inlineStr">
        <is>
          <t>2026-08-11</t>
        </is>
      </c>
      <c r="I602" t="n">
        <v>-130</v>
      </c>
      <c r="J602" t="inlineStr">
        <is>
          <t>EUR</t>
        </is>
      </c>
      <c r="L602" t="inlineStr">
        <is>
          <t>08/26 ÜN + Parken Hr. Kenski</t>
        </is>
      </c>
      <c r="N602" t="inlineStr">
        <is>
          <t>2026-08-20</t>
        </is>
      </c>
    </row>
    <row r="603">
      <c r="A603" t="n">
        <v>1702</v>
      </c>
      <c r="B603" t="inlineStr">
        <is>
          <t>VERBINDLICHKEIT</t>
        </is>
      </c>
      <c r="C603" t="inlineStr">
        <is>
          <t>4102.0</t>
        </is>
      </c>
      <c r="E603" t="inlineStr">
        <is>
          <t>KR</t>
        </is>
      </c>
      <c r="F603" t="inlineStr">
        <is>
          <t>7893</t>
        </is>
      </c>
      <c r="H603" t="inlineStr">
        <is>
          <t>2026-08-09</t>
        </is>
      </c>
      <c r="I603" t="n">
        <v>-773.5</v>
      </c>
      <c r="J603" t="inlineStr">
        <is>
          <t>EUR</t>
        </is>
      </c>
      <c r="L603" t="inlineStr">
        <is>
          <t>07/26 Aufbau mobile Absturzsicherung</t>
        </is>
      </c>
      <c r="N603" t="inlineStr">
        <is>
          <t>2026-08-20</t>
        </is>
      </c>
    </row>
    <row r="604">
      <c r="A604" t="n">
        <v>1703</v>
      </c>
      <c r="B604" t="inlineStr">
        <is>
          <t>VERBINDLICHKEIT</t>
        </is>
      </c>
      <c r="C604" t="inlineStr">
        <is>
          <t>4102.0</t>
        </is>
      </c>
      <c r="E604" t="inlineStr">
        <is>
          <t>KR</t>
        </is>
      </c>
      <c r="F604" t="inlineStr">
        <is>
          <t>8022</t>
        </is>
      </c>
      <c r="H604" t="inlineStr">
        <is>
          <t>2026-08-07</t>
        </is>
      </c>
      <c r="I604" t="n">
        <v>-397.53</v>
      </c>
      <c r="J604" t="inlineStr">
        <is>
          <t>EUR</t>
        </is>
      </c>
      <c r="L604" t="inlineStr">
        <is>
          <t>05/26 Instandsetzung Feuerlöscher</t>
        </is>
      </c>
      <c r="N604" t="inlineStr">
        <is>
          <t>2026-08-20</t>
        </is>
      </c>
    </row>
    <row r="605">
      <c r="A605" t="n">
        <v>1704</v>
      </c>
      <c r="B605" t="inlineStr">
        <is>
          <t>VERBINDLICHKEIT</t>
        </is>
      </c>
      <c r="C605" t="inlineStr">
        <is>
          <t>4102.0</t>
        </is>
      </c>
      <c r="E605" t="inlineStr">
        <is>
          <t>KR</t>
        </is>
      </c>
      <c r="F605" t="inlineStr">
        <is>
          <t>8056</t>
        </is>
      </c>
      <c r="H605" t="inlineStr">
        <is>
          <t>2026-08-17</t>
        </is>
      </c>
      <c r="I605" t="n">
        <v>-970.11</v>
      </c>
      <c r="J605" t="inlineStr">
        <is>
          <t>EUR</t>
        </is>
      </c>
      <c r="L605" t="inlineStr">
        <is>
          <t>08/26 Softwarepflege/Softwaremiete</t>
        </is>
      </c>
      <c r="N605" t="inlineStr">
        <is>
          <t>2026-08-20</t>
        </is>
      </c>
    </row>
    <row r="606">
      <c r="A606" t="n">
        <v>1705</v>
      </c>
      <c r="B606" t="inlineStr">
        <is>
          <t>VERBINDLICHKEIT</t>
        </is>
      </c>
      <c r="C606" t="inlineStr">
        <is>
          <t>4102.0</t>
        </is>
      </c>
      <c r="E606" t="inlineStr">
        <is>
          <t>KR</t>
        </is>
      </c>
      <c r="F606" t="inlineStr">
        <is>
          <t>8019</t>
        </is>
      </c>
      <c r="H606" t="inlineStr">
        <is>
          <t>2026-08-10</t>
        </is>
      </c>
      <c r="I606" t="n">
        <v>-158.29</v>
      </c>
      <c r="J606" t="inlineStr">
        <is>
          <t>EUR</t>
        </is>
      </c>
      <c r="L606" t="inlineStr">
        <is>
          <t>08/26 Festnetz KN 1763143</t>
        </is>
      </c>
      <c r="N606" t="inlineStr">
        <is>
          <t>2026-08-20</t>
        </is>
      </c>
    </row>
    <row r="607">
      <c r="A607" t="n">
        <v>1706</v>
      </c>
      <c r="B607" t="inlineStr">
        <is>
          <t>VERBINDLICHKEIT</t>
        </is>
      </c>
      <c r="C607" t="inlineStr">
        <is>
          <t>4102.0</t>
        </is>
      </c>
      <c r="E607" t="inlineStr">
        <is>
          <t>KR</t>
        </is>
      </c>
      <c r="F607" t="inlineStr">
        <is>
          <t>7952</t>
        </is>
      </c>
      <c r="H607" t="inlineStr">
        <is>
          <t>2026-08-08</t>
        </is>
      </c>
      <c r="I607" t="n">
        <v>-5488.39</v>
      </c>
      <c r="J607" t="inlineStr">
        <is>
          <t>EUR</t>
        </is>
      </c>
      <c r="L607" t="inlineStr">
        <is>
          <t>07/26 div. Artikel</t>
        </is>
      </c>
      <c r="N607" t="inlineStr">
        <is>
          <t>2026-08-20</t>
        </is>
      </c>
    </row>
    <row r="608">
      <c r="A608" t="n">
        <v>1707</v>
      </c>
      <c r="B608" t="inlineStr">
        <is>
          <t>VERBINDLICHKEIT</t>
        </is>
      </c>
      <c r="C608" t="inlineStr">
        <is>
          <t>4102.0</t>
        </is>
      </c>
      <c r="E608" t="inlineStr">
        <is>
          <t>KR</t>
        </is>
      </c>
      <c r="F608" t="inlineStr">
        <is>
          <t>7951</t>
        </is>
      </c>
      <c r="H608" t="inlineStr">
        <is>
          <t>2026-08-08</t>
        </is>
      </c>
      <c r="I608" t="n">
        <v>-1419.67</v>
      </c>
      <c r="J608" t="inlineStr">
        <is>
          <t>EUR</t>
        </is>
      </c>
      <c r="L608" t="inlineStr">
        <is>
          <t>07/26 Kippmulde</t>
        </is>
      </c>
      <c r="N608" t="inlineStr">
        <is>
          <t>2026-08-20</t>
        </is>
      </c>
    </row>
    <row r="609">
      <c r="A609" t="n">
        <v>1708</v>
      </c>
      <c r="B609" t="inlineStr">
        <is>
          <t>VERBINDLICHKEIT</t>
        </is>
      </c>
      <c r="C609" t="inlineStr">
        <is>
          <t>4102.0</t>
        </is>
      </c>
      <c r="E609" t="inlineStr">
        <is>
          <t>KR</t>
        </is>
      </c>
      <c r="F609" t="inlineStr">
        <is>
          <t>8839</t>
        </is>
      </c>
      <c r="H609" t="inlineStr">
        <is>
          <t>2025-12-31</t>
        </is>
      </c>
      <c r="I609" t="n">
        <v>200</v>
      </c>
      <c r="J609" t="inlineStr">
        <is>
          <t>EUR</t>
        </is>
      </c>
      <c r="L609" t="inlineStr">
        <is>
          <t>Kaution</t>
        </is>
      </c>
      <c r="N609" t="inlineStr">
        <is>
          <t>2026-08-20</t>
        </is>
      </c>
    </row>
    <row r="610">
      <c r="A610" t="n">
        <v>1709</v>
      </c>
      <c r="B610" t="inlineStr">
        <is>
          <t>VERBINDLICHKEIT</t>
        </is>
      </c>
      <c r="C610" t="inlineStr">
        <is>
          <t>4102.0</t>
        </is>
      </c>
      <c r="E610" t="inlineStr">
        <is>
          <t>KR</t>
        </is>
      </c>
      <c r="F610" t="inlineStr">
        <is>
          <t>8895</t>
        </is>
      </c>
      <c r="H610" t="inlineStr">
        <is>
          <t>2025-12-31</t>
        </is>
      </c>
      <c r="I610" t="n">
        <v>100</v>
      </c>
      <c r="J610" t="inlineStr">
        <is>
          <t>EUR</t>
        </is>
      </c>
      <c r="L610" t="inlineStr">
        <is>
          <t>Kaution</t>
        </is>
      </c>
      <c r="N610" t="inlineStr">
        <is>
          <t>2026-08-20</t>
        </is>
      </c>
    </row>
    <row r="611">
      <c r="A611" t="n">
        <v>1710</v>
      </c>
      <c r="B611" t="inlineStr">
        <is>
          <t>VERBINDLICHKEIT</t>
        </is>
      </c>
      <c r="C611" t="inlineStr">
        <is>
          <t>4102.0</t>
        </is>
      </c>
      <c r="E611" t="inlineStr">
        <is>
          <t>KR</t>
        </is>
      </c>
      <c r="F611" t="inlineStr">
        <is>
          <t>7902</t>
        </is>
      </c>
      <c r="H611" t="inlineStr">
        <is>
          <t>2026-07-28</t>
        </is>
      </c>
      <c r="I611" t="n">
        <v>-8400</v>
      </c>
      <c r="J611" t="inlineStr">
        <is>
          <t>EUR</t>
        </is>
      </c>
      <c r="L611" t="inlineStr">
        <is>
          <t>07/26 Rückbau Rollbahnträger</t>
        </is>
      </c>
      <c r="N611" t="inlineStr">
        <is>
          <t>2026-08-20</t>
        </is>
      </c>
    </row>
    <row r="612">
      <c r="A612" t="n">
        <v>1711</v>
      </c>
      <c r="B612" t="inlineStr">
        <is>
          <t>VERBINDLICHKEIT</t>
        </is>
      </c>
      <c r="C612" t="inlineStr">
        <is>
          <t>4102.0</t>
        </is>
      </c>
      <c r="E612" t="inlineStr">
        <is>
          <t>KR</t>
        </is>
      </c>
      <c r="F612" t="inlineStr">
        <is>
          <t>8016</t>
        </is>
      </c>
      <c r="H612" t="inlineStr">
        <is>
          <t>2026-08-04</t>
        </is>
      </c>
      <c r="I612" t="n">
        <v>-6550</v>
      </c>
      <c r="J612" t="inlineStr">
        <is>
          <t>EUR</t>
        </is>
      </c>
      <c r="L612" t="inlineStr">
        <is>
          <t>07-08/26 Rückbau Rollbahnträger</t>
        </is>
      </c>
      <c r="N612" t="inlineStr">
        <is>
          <t>2026-08-20</t>
        </is>
      </c>
    </row>
    <row r="613">
      <c r="A613" t="n">
        <v>1712</v>
      </c>
      <c r="B613" t="inlineStr">
        <is>
          <t>VERBINDLICHKEIT</t>
        </is>
      </c>
      <c r="C613" t="inlineStr">
        <is>
          <t>4102.0</t>
        </is>
      </c>
      <c r="E613" t="inlineStr">
        <is>
          <t>KR</t>
        </is>
      </c>
      <c r="F613" t="inlineStr">
        <is>
          <t>7955</t>
        </is>
      </c>
      <c r="H613" t="inlineStr">
        <is>
          <t>2026-08-01</t>
        </is>
      </c>
      <c r="I613" t="n">
        <v>-6842.5</v>
      </c>
      <c r="J613" t="inlineStr">
        <is>
          <t>EUR</t>
        </is>
      </c>
      <c r="L613" t="inlineStr">
        <is>
          <t>07/26 Miete Brokk 110</t>
        </is>
      </c>
      <c r="N613" t="inlineStr">
        <is>
          <t>2026-08-20</t>
        </is>
      </c>
    </row>
    <row r="614">
      <c r="A614" t="n">
        <v>1713</v>
      </c>
      <c r="B614" t="inlineStr">
        <is>
          <t>VERBINDLICHKEIT</t>
        </is>
      </c>
      <c r="C614" t="inlineStr">
        <is>
          <t>4102.0</t>
        </is>
      </c>
      <c r="E614" t="inlineStr">
        <is>
          <t>KR</t>
        </is>
      </c>
      <c r="F614" t="inlineStr">
        <is>
          <t>8003</t>
        </is>
      </c>
      <c r="H614" t="inlineStr">
        <is>
          <t>2026-08-18</t>
        </is>
      </c>
      <c r="I614" t="n">
        <v>-1387.92</v>
      </c>
      <c r="J614" t="inlineStr">
        <is>
          <t>EUR</t>
        </is>
      </c>
      <c r="L614" t="inlineStr">
        <is>
          <t>07/26 Taschenfilter, Vlies</t>
        </is>
      </c>
      <c r="N614" t="inlineStr">
        <is>
          <t>2026-08-20</t>
        </is>
      </c>
    </row>
    <row r="615">
      <c r="A615" t="n">
        <v>1714</v>
      </c>
      <c r="B615" t="inlineStr">
        <is>
          <t>VERBINDLICHKEIT</t>
        </is>
      </c>
      <c r="C615" t="inlineStr">
        <is>
          <t>4102.0</t>
        </is>
      </c>
      <c r="E615" t="inlineStr">
        <is>
          <t>KR</t>
        </is>
      </c>
      <c r="F615" t="inlineStr">
        <is>
          <t>7932</t>
        </is>
      </c>
      <c r="H615" t="inlineStr">
        <is>
          <t>2026-08-06</t>
        </is>
      </c>
      <c r="I615" t="n">
        <v>-25200</v>
      </c>
      <c r="J615" t="inlineStr">
        <is>
          <t>EUR</t>
        </is>
      </c>
      <c r="L615" t="inlineStr">
        <is>
          <t>06-07/26 Abbrucharb. Schwimmhalle I  Leingarten</t>
        </is>
      </c>
      <c r="N615" t="inlineStr">
        <is>
          <t>2026-08-20</t>
        </is>
      </c>
    </row>
    <row r="616">
      <c r="A616" t="n">
        <v>1715</v>
      </c>
      <c r="B616" t="inlineStr">
        <is>
          <t>VERBINDLICHKEIT</t>
        </is>
      </c>
      <c r="C616" t="inlineStr">
        <is>
          <t>4102.0</t>
        </is>
      </c>
      <c r="E616" t="inlineStr">
        <is>
          <t>KR</t>
        </is>
      </c>
      <c r="F616" t="inlineStr">
        <is>
          <t>7933</t>
        </is>
      </c>
      <c r="H616" t="inlineStr">
        <is>
          <t>2026-08-06</t>
        </is>
      </c>
      <c r="I616" t="n">
        <v>-12000</v>
      </c>
      <c r="J616" t="inlineStr">
        <is>
          <t>EUR</t>
        </is>
      </c>
      <c r="L616" t="inlineStr">
        <is>
          <t>07/26 Abbrucharb. Schwimmhalle I  Leingarten</t>
        </is>
      </c>
      <c r="N616" t="inlineStr">
        <is>
          <t>2026-08-20</t>
        </is>
      </c>
    </row>
    <row r="617">
      <c r="A617" t="n">
        <v>1716</v>
      </c>
      <c r="B617" t="inlineStr">
        <is>
          <t>VERBINDLICHKEIT</t>
        </is>
      </c>
      <c r="C617" t="inlineStr">
        <is>
          <t>4102.0</t>
        </is>
      </c>
      <c r="E617" t="inlineStr">
        <is>
          <t>KR</t>
        </is>
      </c>
      <c r="F617" t="inlineStr">
        <is>
          <t>7934</t>
        </is>
      </c>
      <c r="H617" t="inlineStr">
        <is>
          <t>2026-08-06</t>
        </is>
      </c>
      <c r="I617" t="n">
        <v>-14400</v>
      </c>
      <c r="J617" t="inlineStr">
        <is>
          <t>EUR</t>
        </is>
      </c>
      <c r="L617" t="inlineStr">
        <is>
          <t>07/26 Abbrucharb. USW Bruchsal</t>
        </is>
      </c>
      <c r="N617" t="inlineStr">
        <is>
          <t>2026-08-20</t>
        </is>
      </c>
    </row>
    <row r="618">
      <c r="A618" t="n">
        <v>1717</v>
      </c>
      <c r="B618" t="inlineStr">
        <is>
          <t>VERBINDLICHKEIT</t>
        </is>
      </c>
      <c r="C618" t="inlineStr">
        <is>
          <t>4102.0</t>
        </is>
      </c>
      <c r="E618" t="inlineStr">
        <is>
          <t>KG</t>
        </is>
      </c>
      <c r="F618" t="inlineStr">
        <is>
          <t>2119</t>
        </is>
      </c>
      <c r="H618" t="inlineStr">
        <is>
          <t>2026-07-30</t>
        </is>
      </c>
      <c r="I618" t="n">
        <v>12000</v>
      </c>
      <c r="J618" t="inlineStr">
        <is>
          <t>EUR</t>
        </is>
      </c>
      <c r="L618" t="inlineStr">
        <is>
          <t>GS zu RE0015 07/26 Abbrucharb. Schwimmhalle I</t>
        </is>
      </c>
      <c r="N618" t="inlineStr">
        <is>
          <t>2026-08-20</t>
        </is>
      </c>
    </row>
    <row r="619">
      <c r="A619" t="n">
        <v>1718</v>
      </c>
      <c r="B619" t="inlineStr">
        <is>
          <t>VERBINDLICHKEIT</t>
        </is>
      </c>
      <c r="C619" t="inlineStr">
        <is>
          <t>4102.0</t>
        </is>
      </c>
      <c r="E619" t="inlineStr">
        <is>
          <t>KG</t>
        </is>
      </c>
      <c r="F619" t="inlineStr">
        <is>
          <t>2120</t>
        </is>
      </c>
      <c r="H619" t="inlineStr">
        <is>
          <t>2026-07-30</t>
        </is>
      </c>
      <c r="I619" t="n">
        <v>14400</v>
      </c>
      <c r="J619" t="inlineStr">
        <is>
          <t>EUR</t>
        </is>
      </c>
      <c r="L619" t="inlineStr">
        <is>
          <t>GS zu RE0016 07/26 Abbrucharb. USW Bruchsal</t>
        </is>
      </c>
      <c r="N619" t="inlineStr">
        <is>
          <t>2026-08-20</t>
        </is>
      </c>
    </row>
    <row r="620">
      <c r="A620" t="n">
        <v>1719</v>
      </c>
      <c r="B620" t="inlineStr">
        <is>
          <t>VERBINDLICHKEIT</t>
        </is>
      </c>
      <c r="C620" t="inlineStr">
        <is>
          <t>4102.0</t>
        </is>
      </c>
      <c r="E620" t="inlineStr">
        <is>
          <t>KG</t>
        </is>
      </c>
      <c r="F620" t="inlineStr">
        <is>
          <t>2121</t>
        </is>
      </c>
      <c r="H620" t="inlineStr">
        <is>
          <t>2026-07-30</t>
        </is>
      </c>
      <c r="I620" t="n">
        <v>25200</v>
      </c>
      <c r="J620" t="inlineStr">
        <is>
          <t>EUR</t>
        </is>
      </c>
      <c r="L620" t="inlineStr">
        <is>
          <t>GS zu RE0017 06-07/26 Abbrucharb. Schwimmhalle I</t>
        </is>
      </c>
      <c r="N620" t="inlineStr">
        <is>
          <t>2026-08-20</t>
        </is>
      </c>
    </row>
    <row r="621">
      <c r="A621" t="n">
        <v>1720</v>
      </c>
      <c r="B621" t="inlineStr">
        <is>
          <t>VERBINDLICHKEIT</t>
        </is>
      </c>
      <c r="C621" t="inlineStr">
        <is>
          <t>4102.0</t>
        </is>
      </c>
      <c r="E621" t="inlineStr">
        <is>
          <t>KR</t>
        </is>
      </c>
      <c r="F621" t="inlineStr">
        <is>
          <t>7996</t>
        </is>
      </c>
      <c r="H621" t="inlineStr">
        <is>
          <t>2026-08-18</t>
        </is>
      </c>
      <c r="I621" t="n">
        <v>-6730.64</v>
      </c>
      <c r="J621" t="inlineStr">
        <is>
          <t>EUR</t>
        </is>
      </c>
      <c r="L621" t="inlineStr">
        <is>
          <t>06/26 Rep. Schrottschere</t>
        </is>
      </c>
      <c r="N621" t="inlineStr">
        <is>
          <t>2026-08-20</t>
        </is>
      </c>
    </row>
    <row r="622">
      <c r="A622" t="n">
        <v>1721</v>
      </c>
      <c r="B622" t="inlineStr">
        <is>
          <t>VERBINDLICHKEIT</t>
        </is>
      </c>
      <c r="C622" t="inlineStr">
        <is>
          <t>4102.0</t>
        </is>
      </c>
      <c r="E622" t="inlineStr">
        <is>
          <t>KR</t>
        </is>
      </c>
      <c r="F622" t="inlineStr">
        <is>
          <t>7997</t>
        </is>
      </c>
      <c r="H622" t="inlineStr">
        <is>
          <t>2026-08-17</t>
        </is>
      </c>
      <c r="I622" t="n">
        <v>-1398.74</v>
      </c>
      <c r="J622" t="inlineStr">
        <is>
          <t>EUR</t>
        </is>
      </c>
      <c r="L622" t="inlineStr">
        <is>
          <t>06/26 Rep. OQ Schnellwechsler</t>
        </is>
      </c>
      <c r="N622" t="inlineStr">
        <is>
          <t>2026-08-20</t>
        </is>
      </c>
    </row>
    <row r="623">
      <c r="A623" t="n">
        <v>1722</v>
      </c>
      <c r="B623" t="inlineStr">
        <is>
          <t>VERBINDLICHKEIT</t>
        </is>
      </c>
      <c r="C623" t="inlineStr">
        <is>
          <t>4102.0</t>
        </is>
      </c>
      <c r="E623" t="inlineStr">
        <is>
          <t>KU</t>
        </is>
      </c>
      <c r="F623" t="inlineStr">
        <is>
          <t>4716000025</t>
        </is>
      </c>
      <c r="H623" t="inlineStr">
        <is>
          <t>2026-06-01</t>
        </is>
      </c>
      <c r="I623" t="n">
        <v>1150</v>
      </c>
      <c r="J623" t="inlineStr">
        <is>
          <t>EUR</t>
        </is>
      </c>
      <c r="L623" t="inlineStr">
        <is>
          <t>* Miete Apartment Nr. 10</t>
        </is>
      </c>
      <c r="N623" t="inlineStr">
        <is>
          <t>2026-08-20</t>
        </is>
      </c>
    </row>
    <row r="624">
      <c r="A624" t="n">
        <v>1723</v>
      </c>
      <c r="B624" t="inlineStr">
        <is>
          <t>VERBINDLICHKEIT</t>
        </is>
      </c>
      <c r="C624" t="inlineStr">
        <is>
          <t>4102.0</t>
        </is>
      </c>
      <c r="E624" t="inlineStr">
        <is>
          <t>KI</t>
        </is>
      </c>
      <c r="F624" t="inlineStr">
        <is>
          <t>4714000031</t>
        </is>
      </c>
      <c r="H624" t="inlineStr">
        <is>
          <t>2026-06-30</t>
        </is>
      </c>
      <c r="I624" t="n">
        <v>1500</v>
      </c>
      <c r="J624" t="inlineStr">
        <is>
          <t>EUR</t>
        </is>
      </c>
      <c r="L624" t="inlineStr">
        <is>
          <t>* Kaution Miete Apartment Nr. 10</t>
        </is>
      </c>
      <c r="N624" t="inlineStr">
        <is>
          <t>2026-08-20</t>
        </is>
      </c>
    </row>
    <row r="625">
      <c r="A625" t="n">
        <v>1724</v>
      </c>
      <c r="B625" t="inlineStr">
        <is>
          <t>VERBINDLICHKEIT</t>
        </is>
      </c>
      <c r="C625" t="inlineStr">
        <is>
          <t>4102.0</t>
        </is>
      </c>
      <c r="E625" t="inlineStr">
        <is>
          <t>KR</t>
        </is>
      </c>
      <c r="F625" t="inlineStr">
        <is>
          <t>8007</t>
        </is>
      </c>
      <c r="H625" t="inlineStr">
        <is>
          <t>2026-08-05</t>
        </is>
      </c>
      <c r="I625" t="n">
        <v>-65.45</v>
      </c>
      <c r="J625" t="inlineStr">
        <is>
          <t>EUR</t>
        </is>
      </c>
      <c r="L625" t="inlineStr">
        <is>
          <t>07/26 Miete Absetzcontainer</t>
        </is>
      </c>
      <c r="N625" t="inlineStr">
        <is>
          <t>2026-08-20</t>
        </is>
      </c>
    </row>
    <row r="626">
      <c r="A626" t="n">
        <v>1725</v>
      </c>
      <c r="B626" t="inlineStr">
        <is>
          <t>VERBINDLICHKEIT</t>
        </is>
      </c>
      <c r="C626" t="inlineStr">
        <is>
          <t>4102.0</t>
        </is>
      </c>
      <c r="E626" t="inlineStr">
        <is>
          <t>KR</t>
        </is>
      </c>
      <c r="F626" t="inlineStr">
        <is>
          <t>7783</t>
        </is>
      </c>
      <c r="H626" t="inlineStr">
        <is>
          <t>2026-08-05</t>
        </is>
      </c>
      <c r="I626" t="n">
        <v>-2336.57</v>
      </c>
      <c r="J626" t="inlineStr">
        <is>
          <t>EUR</t>
        </is>
      </c>
      <c r="L626" t="inlineStr">
        <is>
          <t>05-06/26  Faserkonzentr.mess.Chempark Dormagen</t>
        </is>
      </c>
      <c r="N626" t="inlineStr">
        <is>
          <t>2026-08-20</t>
        </is>
      </c>
    </row>
    <row r="630">
      <c r="A630" t="inlineStr">
        <is>
          <t>liq_monat</t>
        </is>
      </c>
    </row>
    <row r="631">
      <c r="A631" t="inlineStr">
        <is>
          <t>jahr</t>
        </is>
      </c>
      <c r="B631" t="inlineStr">
        <is>
          <t>monat</t>
        </is>
      </c>
      <c r="C631" t="inlineStr">
        <is>
          <t>umsatz</t>
        </is>
      </c>
      <c r="D631" t="inlineStr">
        <is>
          <t>bestandsaenderung</t>
        </is>
      </c>
      <c r="E631" t="inlineStr">
        <is>
          <t>ebitda</t>
        </is>
      </c>
      <c r="F631" t="inlineStr">
        <is>
          <t>netto_vorraete</t>
        </is>
      </c>
      <c r="G631" t="inlineStr">
        <is>
          <t>bestand_erhaltene_az</t>
        </is>
      </c>
      <c r="H631" t="inlineStr">
        <is>
          <t>bestand_angeforderte_az</t>
        </is>
      </c>
      <c r="I631" t="inlineStr">
        <is>
          <t>ist</t>
        </is>
      </c>
    </row>
    <row r="632">
      <c r="A632" t="n">
        <v>2027</v>
      </c>
      <c r="B632" t="n">
        <v>1</v>
      </c>
      <c r="C632" t="n">
        <v>1566666.67</v>
      </c>
      <c r="D632" t="n">
        <v>0</v>
      </c>
      <c r="E632" t="n">
        <v>84756.67</v>
      </c>
      <c r="I632" t="b">
        <v>0</v>
      </c>
    </row>
    <row r="633">
      <c r="A633" t="n">
        <v>2027</v>
      </c>
      <c r="B633" t="n">
        <v>4</v>
      </c>
      <c r="C633" t="n">
        <v>1500000</v>
      </c>
      <c r="D633" t="n">
        <v>0</v>
      </c>
      <c r="E633" t="n">
        <v>81150</v>
      </c>
      <c r="I633" t="b">
        <v>0</v>
      </c>
    </row>
    <row r="634">
      <c r="A634" t="n">
        <v>2027</v>
      </c>
      <c r="B634" t="n">
        <v>7</v>
      </c>
      <c r="C634" t="n">
        <v>233333.33</v>
      </c>
      <c r="D634" t="n">
        <v>0</v>
      </c>
      <c r="E634" t="n">
        <v>12623.33</v>
      </c>
      <c r="I634" t="b">
        <v>0</v>
      </c>
    </row>
    <row r="635">
      <c r="A635" t="n">
        <v>2027</v>
      </c>
      <c r="B635" t="n">
        <v>10</v>
      </c>
      <c r="C635" t="n">
        <v>0</v>
      </c>
      <c r="D635" t="n">
        <v>0</v>
      </c>
      <c r="E635" t="n">
        <v>0</v>
      </c>
      <c r="I635" t="b">
        <v>0</v>
      </c>
    </row>
    <row r="636">
      <c r="A636" t="n">
        <v>2027</v>
      </c>
      <c r="B636" t="n">
        <v>2</v>
      </c>
      <c r="C636" t="n">
        <v>1566666.67</v>
      </c>
      <c r="D636" t="n">
        <v>0</v>
      </c>
      <c r="E636" t="n">
        <v>84756.67</v>
      </c>
      <c r="I636" t="b">
        <v>0</v>
      </c>
    </row>
    <row r="637">
      <c r="A637" t="n">
        <v>2027</v>
      </c>
      <c r="B637" t="n">
        <v>5</v>
      </c>
      <c r="C637" t="n">
        <v>1500000</v>
      </c>
      <c r="D637" t="n">
        <v>0</v>
      </c>
      <c r="E637" t="n">
        <v>81150</v>
      </c>
      <c r="I637" t="b">
        <v>0</v>
      </c>
    </row>
    <row r="638">
      <c r="A638" t="n">
        <v>2027</v>
      </c>
      <c r="B638" t="n">
        <v>8</v>
      </c>
      <c r="C638" t="n">
        <v>233333.33</v>
      </c>
      <c r="D638" t="n">
        <v>0</v>
      </c>
      <c r="E638" t="n">
        <v>12623.33</v>
      </c>
      <c r="I638" t="b">
        <v>0</v>
      </c>
    </row>
    <row r="639">
      <c r="A639" t="n">
        <v>2027</v>
      </c>
      <c r="B639" t="n">
        <v>11</v>
      </c>
      <c r="C639" t="n">
        <v>0</v>
      </c>
      <c r="D639" t="n">
        <v>0</v>
      </c>
      <c r="E639" t="n">
        <v>0</v>
      </c>
      <c r="I639" t="b">
        <v>0</v>
      </c>
    </row>
    <row r="640">
      <c r="A640" t="n">
        <v>2027</v>
      </c>
      <c r="B640" t="n">
        <v>3</v>
      </c>
      <c r="C640" t="n">
        <v>1566666.67</v>
      </c>
      <c r="D640" t="n">
        <v>0</v>
      </c>
      <c r="E640" t="n">
        <v>84756.67</v>
      </c>
      <c r="I640" t="b">
        <v>0</v>
      </c>
    </row>
    <row r="641">
      <c r="A641" t="n">
        <v>2027</v>
      </c>
      <c r="B641" t="n">
        <v>6</v>
      </c>
      <c r="C641" t="n">
        <v>1500000</v>
      </c>
      <c r="D641" t="n">
        <v>0</v>
      </c>
      <c r="E641" t="n">
        <v>81150</v>
      </c>
      <c r="I641" t="b">
        <v>0</v>
      </c>
    </row>
    <row r="642">
      <c r="A642" t="n">
        <v>2027</v>
      </c>
      <c r="B642" t="n">
        <v>9</v>
      </c>
      <c r="C642" t="n">
        <v>233333.33</v>
      </c>
      <c r="D642" t="n">
        <v>0</v>
      </c>
      <c r="E642" t="n">
        <v>12623.33</v>
      </c>
      <c r="I642" t="b">
        <v>0</v>
      </c>
    </row>
    <row r="643">
      <c r="A643" t="n">
        <v>2027</v>
      </c>
      <c r="B643" t="n">
        <v>12</v>
      </c>
      <c r="C643" t="n">
        <v>0</v>
      </c>
      <c r="D643" t="n">
        <v>0</v>
      </c>
      <c r="E643" t="n">
        <v>0</v>
      </c>
      <c r="I643" t="b">
        <v>0</v>
      </c>
    </row>
    <row r="644">
      <c r="A644" t="n">
        <v>2026</v>
      </c>
      <c r="B644" t="n">
        <v>1</v>
      </c>
      <c r="C644" t="n">
        <v>639565.45</v>
      </c>
      <c r="D644" t="n">
        <v>1280847.26</v>
      </c>
      <c r="E644" t="n">
        <v>294942.37</v>
      </c>
      <c r="F644" t="n">
        <v>-958894.15</v>
      </c>
      <c r="G644" t="n">
        <v>6526193.63</v>
      </c>
      <c r="H644" t="n">
        <v>3106123.5</v>
      </c>
      <c r="I644" t="b">
        <v>1</v>
      </c>
    </row>
    <row r="645">
      <c r="A645" t="n">
        <v>2026</v>
      </c>
      <c r="B645" t="n">
        <v>2</v>
      </c>
      <c r="C645" t="n">
        <v>2777244.65</v>
      </c>
      <c r="D645" t="n">
        <v>-200176.92</v>
      </c>
      <c r="E645" t="n">
        <v>318570.76</v>
      </c>
      <c r="F645" t="n">
        <v>-922181.59</v>
      </c>
      <c r="G645" t="n">
        <v>5926998.66</v>
      </c>
      <c r="H645" t="n">
        <v>3468428.99</v>
      </c>
      <c r="I645" t="b">
        <v>1</v>
      </c>
    </row>
    <row r="646">
      <c r="A646" t="n">
        <v>2026</v>
      </c>
      <c r="B646" t="n">
        <v>3</v>
      </c>
      <c r="C646" t="n">
        <v>1213541.38</v>
      </c>
      <c r="D646" t="n">
        <v>1198671.49</v>
      </c>
      <c r="E646" t="n">
        <v>23595.18</v>
      </c>
      <c r="F646" t="n">
        <v>-931915.22</v>
      </c>
      <c r="G646" t="n">
        <v>6136257.91</v>
      </c>
      <c r="H646" t="n">
        <v>4467574.86</v>
      </c>
      <c r="I646" t="b">
        <v>1</v>
      </c>
    </row>
    <row r="647">
      <c r="A647" t="n">
        <v>2026</v>
      </c>
      <c r="B647" t="n">
        <v>4</v>
      </c>
      <c r="C647" t="n">
        <v>678343.59</v>
      </c>
      <c r="D647" t="n">
        <v>1261219.89</v>
      </c>
      <c r="E647" t="n">
        <v>-179274.07</v>
      </c>
      <c r="F647" t="n">
        <v>-645799.88</v>
      </c>
      <c r="G647" t="n">
        <v>7457313.36</v>
      </c>
      <c r="H647" t="n">
        <v>4121623.96</v>
      </c>
      <c r="I647" t="b">
        <v>1</v>
      </c>
    </row>
    <row r="648">
      <c r="A648" t="n">
        <v>2026</v>
      </c>
      <c r="B648" t="n">
        <v>5</v>
      </c>
      <c r="C648" t="n">
        <v>1347585.48</v>
      </c>
      <c r="D648" t="n">
        <v>-263604.09</v>
      </c>
      <c r="E648" t="n">
        <v>-141241.9</v>
      </c>
      <c r="F648" t="n">
        <v>-1430447.99</v>
      </c>
      <c r="G648" t="n">
        <v>8107758.48</v>
      </c>
      <c r="H648" t="n">
        <v>3992222.86</v>
      </c>
      <c r="I648" t="b">
        <v>1</v>
      </c>
    </row>
    <row r="649">
      <c r="A649" t="n">
        <v>2026</v>
      </c>
      <c r="B649" t="n">
        <v>6</v>
      </c>
      <c r="C649" t="n">
        <v>2470042.1</v>
      </c>
      <c r="D649" t="n">
        <v>314645.23</v>
      </c>
      <c r="E649" t="n">
        <v>58553.86</v>
      </c>
      <c r="F649" t="n">
        <v>1246468.86</v>
      </c>
      <c r="G649" t="n">
        <v>7521893.97</v>
      </c>
      <c r="H649" t="n">
        <v>2215815.75</v>
      </c>
      <c r="I649" t="b">
        <v>1</v>
      </c>
    </row>
    <row r="650">
      <c r="A650" t="n">
        <v>2026</v>
      </c>
      <c r="B650" t="n">
        <v>7</v>
      </c>
      <c r="C650" t="n">
        <v>1323928.2</v>
      </c>
      <c r="D650" t="n">
        <v>294716.46</v>
      </c>
      <c r="E650" t="n">
        <v>-495291.54</v>
      </c>
      <c r="F650" t="n">
        <v>-756895.99</v>
      </c>
      <c r="G650" t="n">
        <v>8995448.880000001</v>
      </c>
      <c r="H650" t="n">
        <v>1476386.65</v>
      </c>
      <c r="I650" t="b">
        <v>1</v>
      </c>
    </row>
    <row r="651">
      <c r="A651" t="n">
        <v>2026</v>
      </c>
      <c r="B651" t="n">
        <v>8</v>
      </c>
      <c r="C651" t="n">
        <v>854339.84</v>
      </c>
      <c r="D651" t="n">
        <v>1022525.14</v>
      </c>
      <c r="E651" t="n">
        <v>-138242.37</v>
      </c>
      <c r="F651" t="n">
        <v>-1165833.71</v>
      </c>
      <c r="I651" t="b">
        <v>1</v>
      </c>
    </row>
    <row r="652">
      <c r="A652" t="n">
        <v>2026</v>
      </c>
      <c r="B652" t="n">
        <v>9</v>
      </c>
      <c r="C652" t="n">
        <v>2604944</v>
      </c>
      <c r="D652" t="n">
        <v>0</v>
      </c>
      <c r="E652" t="n">
        <v>468444</v>
      </c>
      <c r="F652" t="n">
        <v>-1404058.17</v>
      </c>
      <c r="I652" t="b">
        <v>0</v>
      </c>
    </row>
    <row r="653">
      <c r="A653" t="n">
        <v>2026</v>
      </c>
      <c r="B653" t="n">
        <v>10</v>
      </c>
      <c r="C653" t="n">
        <v>1333000</v>
      </c>
      <c r="D653" t="n">
        <v>0</v>
      </c>
      <c r="E653" t="n">
        <v>261250</v>
      </c>
      <c r="F653" t="n">
        <v>-2115934.84</v>
      </c>
      <c r="I653" t="b">
        <v>0</v>
      </c>
    </row>
    <row r="654">
      <c r="A654" t="n">
        <v>2026</v>
      </c>
      <c r="B654" t="n">
        <v>11</v>
      </c>
      <c r="C654" t="n">
        <v>1775000</v>
      </c>
      <c r="D654" t="n">
        <v>0</v>
      </c>
      <c r="E654" t="n">
        <v>516650</v>
      </c>
      <c r="F654" t="n">
        <v>-2156907.05</v>
      </c>
      <c r="I654" t="b">
        <v>0</v>
      </c>
    </row>
    <row r="655">
      <c r="A655" t="n">
        <v>2026</v>
      </c>
      <c r="B655" t="n">
        <v>12</v>
      </c>
      <c r="C655" t="n">
        <v>1073000</v>
      </c>
      <c r="D655" t="n">
        <v>0</v>
      </c>
      <c r="E655" t="n">
        <v>26153</v>
      </c>
      <c r="F655" t="n">
        <v>-1793638.45</v>
      </c>
      <c r="I655" t="b">
        <v>0</v>
      </c>
    </row>
    <row r="659">
      <c r="A659" t="inlineStr">
        <is>
          <t>liq_bestand</t>
        </is>
      </c>
    </row>
    <row r="660">
      <c r="A660" t="inlineStr">
        <is>
          <t>jahr</t>
        </is>
      </c>
      <c r="B660" t="inlineStr">
        <is>
          <t>monat</t>
        </is>
      </c>
      <c r="C660" t="inlineStr">
        <is>
          <t>saldo</t>
        </is>
      </c>
      <c r="D660" t="inlineStr">
        <is>
          <t>quelle</t>
        </is>
      </c>
    </row>
    <row r="661">
      <c r="A661" t="n">
        <v>2026</v>
      </c>
      <c r="B661" t="n">
        <v>1</v>
      </c>
      <c r="C661" t="n">
        <v>-967394.51</v>
      </c>
      <c r="D661" t="inlineStr">
        <is>
          <t>Rolling Forecast, Zeile Cash Pool</t>
        </is>
      </c>
    </row>
    <row r="662">
      <c r="A662" t="n">
        <v>2026</v>
      </c>
      <c r="B662" t="n">
        <v>2</v>
      </c>
      <c r="C662" t="n">
        <v>-1687613.22</v>
      </c>
      <c r="D662" t="inlineStr">
        <is>
          <t>Rolling Forecast, Zeile Cash Pool</t>
        </is>
      </c>
    </row>
    <row r="663">
      <c r="A663" t="n">
        <v>2026</v>
      </c>
      <c r="B663" t="n">
        <v>3</v>
      </c>
      <c r="C663" t="n">
        <v>-1081708.41</v>
      </c>
      <c r="D663" t="inlineStr">
        <is>
          <t>Rolling Forecast, Zeile Cash Pool</t>
        </is>
      </c>
    </row>
    <row r="664">
      <c r="A664" t="n">
        <v>2026</v>
      </c>
      <c r="B664" t="n">
        <v>4</v>
      </c>
      <c r="C664" t="n">
        <v>-1858253.62</v>
      </c>
      <c r="D664" t="inlineStr">
        <is>
          <t>Rolling Forecast, Zeile Cash Pool</t>
        </is>
      </c>
    </row>
    <row r="665">
      <c r="A665" t="n">
        <v>2026</v>
      </c>
      <c r="B665" t="n">
        <v>5</v>
      </c>
      <c r="C665" t="n">
        <v>-2445311.2</v>
      </c>
      <c r="D665" t="inlineStr">
        <is>
          <t>Rolling Forecast, Zeile Cash Pool</t>
        </is>
      </c>
    </row>
    <row r="666">
      <c r="A666" t="n">
        <v>2026</v>
      </c>
      <c r="B666" t="n">
        <v>6</v>
      </c>
      <c r="C666" t="n">
        <v>-1778289.46</v>
      </c>
      <c r="D666" t="inlineStr">
        <is>
          <t>Rolling Forecast, Zeile Cash Pool</t>
        </is>
      </c>
    </row>
    <row r="667">
      <c r="A667" t="n">
        <v>2026</v>
      </c>
      <c r="B667" t="n">
        <v>7</v>
      </c>
      <c r="C667" t="n">
        <v>-919229.04</v>
      </c>
      <c r="D667" t="inlineStr">
        <is>
          <t>Rolling Forecast, Zeile Cash Pool</t>
        </is>
      </c>
    </row>
    <row r="668">
      <c r="A668" t="n">
        <v>2026</v>
      </c>
      <c r="B668" t="n">
        <v>8</v>
      </c>
      <c r="C668" t="n">
        <v>1944327.5</v>
      </c>
      <c r="D668" t="inlineStr">
        <is>
          <t>Cash-Pool Gesamtsaldo 04.09.2026 (Stichtag)</t>
        </is>
      </c>
    </row>
    <row r="672">
      <c r="A672" t="inlineStr">
        <is>
          <t>liq_finanzierung</t>
        </is>
      </c>
    </row>
    <row r="673">
      <c r="A673" t="inlineStr">
        <is>
          <t>jahr</t>
        </is>
      </c>
      <c r="B673" t="inlineStr">
        <is>
          <t>monat</t>
        </is>
      </c>
      <c r="C673" t="inlineStr">
        <is>
          <t>schluessel</t>
        </is>
      </c>
      <c r="D673" t="inlineStr">
        <is>
          <t>betrag</t>
        </is>
      </c>
      <c r="E673" t="inlineStr">
        <is>
          <t>beschreibung</t>
        </is>
      </c>
    </row>
    <row r="674">
      <c r="A674" t="n">
        <v>2026</v>
      </c>
      <c r="B674" t="n">
        <v>8</v>
      </c>
      <c r="C674" t="inlineStr">
        <is>
          <t>wandlung_cash_pool</t>
        </is>
      </c>
      <c r="D674" t="n">
        <v>800000</v>
      </c>
      <c r="E674" t="inlineStr">
        <is>
          <t>Wandlung Cash Pool in Darlehen</t>
        </is>
      </c>
    </row>
    <row r="675">
      <c r="A675" t="n">
        <v>2026</v>
      </c>
      <c r="B675" t="n">
        <v>8</v>
      </c>
      <c r="C675" t="inlineStr">
        <is>
          <t>darlehen</t>
        </is>
      </c>
      <c r="D675" t="n">
        <v>1500000</v>
      </c>
      <c r="E675" t="inlineStr">
        <is>
          <t>Auszahlung Liquiditaetsdarlehen</t>
        </is>
      </c>
    </row>
    <row r="676">
      <c r="A676" t="n">
        <v>2026</v>
      </c>
      <c r="B676" t="n">
        <v>8</v>
      </c>
      <c r="C676" t="inlineStr">
        <is>
          <t>sonstige_zahlungen</t>
        </is>
      </c>
      <c r="D676" t="n">
        <v>-100000</v>
      </c>
      <c r="E676" t="inlineStr">
        <is>
          <t>Sonstige Zahlungen, Verwendungszweck im Ursprungsmodell nicht dokumentiert</t>
        </is>
      </c>
    </row>
    <row r="680">
      <c r="A680" t="inlineStr">
        <is>
          <t>v_liq_tag_monat</t>
        </is>
      </c>
    </row>
    <row r="681">
      <c r="A681" t="inlineStr">
        <is>
          <t>jahr</t>
        </is>
      </c>
      <c r="B681" t="inlineStr">
        <is>
          <t>monat</t>
        </is>
      </c>
      <c r="C681" t="inlineStr">
        <is>
          <t>von</t>
        </is>
      </c>
      <c r="D681" t="inlineStr">
        <is>
          <t>bis</t>
        </is>
      </c>
      <c r="E681" t="inlineStr">
        <is>
          <t>tage</t>
        </is>
      </c>
      <c r="F681" t="inlineStr">
        <is>
          <t>eingang</t>
        </is>
      </c>
      <c r="G681" t="inlineStr">
        <is>
          <t>ausgang</t>
        </is>
      </c>
      <c r="H681" t="inlineStr">
        <is>
          <t>veraenderung</t>
        </is>
      </c>
      <c r="I681" t="inlineStr">
        <is>
          <t>saldo_tiefpunkt</t>
        </is>
      </c>
      <c r="J681" t="inlineStr">
        <is>
          <t>saldo_ende</t>
        </is>
      </c>
      <c r="K681" t="inlineStr">
        <is>
          <t>tiefpunkt_am</t>
        </is>
      </c>
    </row>
    <row r="682">
      <c r="A682" t="n">
        <v>2026</v>
      </c>
      <c r="B682" t="n">
        <v>8</v>
      </c>
      <c r="C682" t="inlineStr">
        <is>
          <t>2026-08-11</t>
        </is>
      </c>
      <c r="D682" t="inlineStr">
        <is>
          <t>2026-08-31</t>
        </is>
      </c>
      <c r="E682" t="n">
        <v>15</v>
      </c>
      <c r="F682" t="n">
        <v>1197550.13</v>
      </c>
      <c r="G682" t="n">
        <v>-1179791.03</v>
      </c>
      <c r="H682" t="n">
        <v>17759.1</v>
      </c>
      <c r="I682" t="n">
        <v>-1273561.11</v>
      </c>
      <c r="J682" t="n">
        <v>-830751.2</v>
      </c>
      <c r="K682" t="inlineStr">
        <is>
          <t>2026-08-14</t>
        </is>
      </c>
    </row>
    <row r="683">
      <c r="A683" t="n">
        <v>2026</v>
      </c>
      <c r="B683" t="n">
        <v>9</v>
      </c>
      <c r="C683" t="inlineStr">
        <is>
          <t>2026-09-01</t>
        </is>
      </c>
      <c r="D683" t="inlineStr">
        <is>
          <t>2026-09-30</t>
        </is>
      </c>
      <c r="E683" t="n">
        <v>19</v>
      </c>
      <c r="F683" t="n">
        <v>1710197.15</v>
      </c>
      <c r="G683" t="n">
        <v>-1919976.28</v>
      </c>
      <c r="H683" t="n">
        <v>-209779.13</v>
      </c>
      <c r="I683" t="n">
        <v>-1052972.85</v>
      </c>
      <c r="J683" t="n">
        <v>-1040530.33</v>
      </c>
      <c r="K683" t="inlineStr">
        <is>
          <t>2026-09-01</t>
        </is>
      </c>
    </row>
    <row r="684">
      <c r="A684" t="n">
        <v>2026</v>
      </c>
      <c r="B684" t="n">
        <v>10</v>
      </c>
      <c r="C684" t="inlineStr">
        <is>
          <t>2026-10-01</t>
        </is>
      </c>
      <c r="D684" t="inlineStr">
        <is>
          <t>2026-10-29</t>
        </is>
      </c>
      <c r="E684" t="n">
        <v>20</v>
      </c>
      <c r="F684" t="n">
        <v>1649133.86</v>
      </c>
      <c r="G684" t="n">
        <v>-1493658.54</v>
      </c>
      <c r="H684" t="n">
        <v>155475.32</v>
      </c>
      <c r="I684" t="n">
        <v>-970666.74</v>
      </c>
      <c r="J684" t="n">
        <v>-885055.01</v>
      </c>
      <c r="K684" t="inlineStr">
        <is>
          <t>2026-10-27</t>
        </is>
      </c>
    </row>
    <row r="685">
      <c r="A685" t="n">
        <v>2026</v>
      </c>
      <c r="B685" t="n">
        <v>11</v>
      </c>
      <c r="C685" t="inlineStr">
        <is>
          <t>2026-11-02</t>
        </is>
      </c>
      <c r="D685" t="inlineStr">
        <is>
          <t>2026-11-06</t>
        </is>
      </c>
      <c r="E685" t="n">
        <v>5</v>
      </c>
      <c r="F685" t="n">
        <v>261595.23</v>
      </c>
      <c r="G685" t="n">
        <v>-250423.43</v>
      </c>
      <c r="H685" t="n">
        <v>11171.8</v>
      </c>
      <c r="I685" t="n">
        <v>-910149.59</v>
      </c>
      <c r="J685" t="n">
        <v>-873883.21</v>
      </c>
      <c r="K685" t="inlineStr">
        <is>
          <t>2026-11-03</t>
        </is>
      </c>
    </row>
    <row r="688">
      <c r="C688" t="inlineStr">
        <is>
          <t>SharePoint-Verknüpfungen (Dateien im selben Ordner)</t>
        </is>
      </c>
    </row>
    <row r="689">
      <c r="C689" t="inlineStr">
        <is>
          <t>Diese Datei</t>
        </is>
      </c>
      <c r="D689" t="inlineStr">
        <is>
          <t>D Liquidität.xlsx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2026-10-12T07:24:09Z</dcterms:created>
  <dcterms:modified xsi:type="dcterms:W3CDTF">2026-10-12T15:04:04Z</dcterms:modified>
  <cp:lastModifiedBy>F S</cp:lastModifiedBy>
</cp:coreProperties>
</file>