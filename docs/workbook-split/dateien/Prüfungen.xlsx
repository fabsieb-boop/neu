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üfunge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\(#,##0.00\);0.00"/>
    <numFmt numFmtId="165" formatCode="#,##0.00;[Red]\(#,##0.00\);&quot;–&quot;"/>
  </numFmts>
  <fonts count="8">
    <font>
      <name val="Calibri"/>
      <family val="2"/>
      <color theme="1"/>
      <sz val="11"/>
      <scheme val="minor"/>
    </font>
    <font>
      <name val="Arial"/>
      <family val="2"/>
      <color rgb="FF1E293B"/>
      <sz val="10"/>
    </font>
    <font>
      <name val="Arial"/>
      <family val="2"/>
      <b val="1"/>
      <color rgb="FF1E293B"/>
      <sz val="16"/>
    </font>
    <font>
      <name val="Carlito"/>
      <sz val="11"/>
    </font>
    <font>
      <name val="Arial"/>
      <family val="2"/>
      <color rgb="FF64748B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1E293B"/>
      <sz val="10"/>
    </font>
    <font>
      <name val="Carlito"/>
      <b val="1"/>
      <color rgb="FF1E293B"/>
      <sz val="11"/>
    </font>
  </fonts>
  <fills count="4">
    <fill>
      <patternFill/>
    </fill>
    <fill>
      <patternFill patternType="gray125"/>
    </fill>
    <fill>
      <patternFill patternType="solid">
        <fgColor rgb="FF1E293B"/>
      </patternFill>
    </fill>
    <fill>
      <patternFill patternType="solid">
        <fgColor rgb="FFF0F4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2563EB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1" pivotButton="0" quotePrefix="0" xfId="0"/>
    <xf numFmtId="0" fontId="4" fillId="0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horizontal="right" vertical="center"/>
    </xf>
    <xf numFmtId="0" fontId="6" fillId="3" borderId="0" applyAlignment="1" pivotButton="0" quotePrefix="0" xfId="0">
      <alignment vertical="center"/>
    </xf>
    <xf numFmtId="165" fontId="1" fillId="0" borderId="0" applyAlignment="1" pivotButton="0" quotePrefix="0" xfId="0">
      <alignment horizontal="right" vertical="center"/>
    </xf>
    <xf numFmtId="0" fontId="1" fillId="0" borderId="0" pivotButton="0" quotePrefix="0" xfId="0"/>
    <xf numFmtId="165" fontId="1" fillId="0" borderId="0" applyAlignment="1" pivotButton="0" quotePrefix="0" xfId="0">
      <alignment horizontal="right"/>
    </xf>
    <xf numFmtId="0" fontId="7" fillId="3" borderId="0" pivotButton="0" quotePrefix="0" xfId="0"/>
    <xf numFmtId="0" fontId="1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VF_114" displayName="TVF_114" ref="C25:J89" headerRowCount="1">
  <tableColumns count="8">
    <tableColumn id="1" name="Jahr"/>
    <tableColumn id="2" name="Periode"/>
    <tableColumn id="3" name="GuV-Gruppe"/>
    <tableColumn id="4" name="SAP Monat"/>
    <tableColumn id="5" name="Staffel Monat"/>
    <tableColumn id="6" name="Differenz"/>
    <tableColumn id="7" name="SAP YTD"/>
    <tableColumn id="8" name="Staffel YT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VF_115" displayName="TVF_115" ref="C96:H106" headerRowCount="1">
  <tableColumns count="6">
    <tableColumn id="1" name="id"/>
    <tableColumn id="2" name="kennzahl"/>
    <tableColumn id="3" name="soll"/>
    <tableColumn id="4" name="einheit"/>
    <tableColumn id="5" name="quelle"/>
    <tableColumn id="6" name="rege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VF_116" displayName="TVF_116" ref="C112:G119" headerRowCount="1">
  <tableColumns count="5">
    <tableColumn id="1" name="nr"/>
    <tableColumn id="2" name="thema"/>
    <tableColumn id="3" name="begruendung"/>
    <tableColumn id="4" name="status"/>
    <tableColumn id="5" name="schrit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5" customWidth="1" min="1" max="1"/>
    <col width="38" customWidth="1" min="3" max="3"/>
    <col width="45" customWidth="1" min="4" max="4"/>
    <col width="80" customWidth="1" min="8" max="8"/>
    <col width="15" customWidth="1" min="9" max="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30" customHeight="1">
      <c r="A2" s="1" t="n"/>
      <c r="B2" s="1" t="n"/>
      <c r="C2" s="2" t="inlineStr">
        <is>
          <t>Abstimmung und Prüfungen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</row>
    <row r="3" ht="32" customHeight="1">
      <c r="A3" s="1" t="n"/>
      <c r="B3" s="1" t="n"/>
      <c r="C3" s="4" t="inlineStr">
        <is>
          <t>Rechenkontrollen der Excel-Umsetzung und dokumentierte Abweichungen der Originalquellen. Prüfungen ändern keine Fachberechnung.</t>
        </is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 ht="34" customHeight="1">
      <c r="A6" s="1" t="n"/>
      <c r="B6" s="1" t="n"/>
      <c r="C6" s="5" t="inlineStr">
        <is>
          <t>Prüfung</t>
        </is>
      </c>
      <c r="D6" s="5" t="inlineStr">
        <is>
          <t>Excel / aktuell</t>
        </is>
      </c>
      <c r="E6" s="5" t="inlineStr">
        <is>
          <t>Referenz</t>
        </is>
      </c>
      <c r="F6" s="5" t="inlineStr">
        <is>
          <t>Differenz</t>
        </is>
      </c>
      <c r="G6" s="5" t="inlineStr">
        <is>
          <t>Status</t>
        </is>
      </c>
      <c r="H6" s="5" t="inlineStr">
        <is>
          <t>Hinweis</t>
        </is>
      </c>
      <c r="I6" s="1" t="n"/>
      <c r="J6" s="1" t="n"/>
      <c r="K6" s="1" t="n"/>
      <c r="L6" s="1" t="n"/>
      <c r="M6" s="1" t="n"/>
      <c r="N6" s="1" t="n"/>
      <c r="O6" s="1" t="n"/>
    </row>
    <row r="7">
      <c r="A7" s="1" t="n"/>
      <c r="B7" s="1" t="n"/>
      <c r="C7" s="1" t="inlineStr">
        <is>
          <t>Forecast EBITDA Basis</t>
        </is>
      </c>
      <c r="D7" s="6">
        <f>SUM('[Forecast.xlsx]Forecast'!J7:J18)</f>
        <v/>
      </c>
      <c r="E7" s="6">
        <f>'[D Finanzen.xlsx]D Finanzen'!E39</f>
        <v/>
      </c>
      <c r="F7" s="6">
        <f>ROUND(D7-E7,2)</f>
        <v/>
      </c>
      <c r="G7" s="1">
        <f>IF(ABS(F7)&lt;=0.02,"OK","Abweichung")</f>
        <v/>
      </c>
      <c r="H7" s="1" t="inlineStr">
        <is>
          <t>Vergleich zum Originalexport. Neue Monatsdaten können eine Abweichung auslösen.</t>
        </is>
      </c>
      <c r="I7" s="1" t="n"/>
      <c r="J7" s="1" t="n"/>
      <c r="K7" s="1" t="n"/>
      <c r="L7" s="1" t="n"/>
      <c r="M7" s="1" t="n"/>
      <c r="N7" s="1" t="n"/>
      <c r="O7" s="1" t="n"/>
    </row>
    <row r="8">
      <c r="A8" s="1" t="n"/>
      <c r="B8" s="1" t="n"/>
      <c r="C8" s="1" t="inlineStr">
        <is>
          <t>Gesamtleistung YTD</t>
        </is>
      </c>
      <c r="D8" s="6">
        <f>'[GuV.xlsx]GuV'!D9</f>
        <v/>
      </c>
      <c r="E8" s="6">
        <f>SUMIFS('[D Finanzen.xlsx]D Finanzen'!$E$8:$E$16,'[D Finanzen.xlsx]D Finanzen'!$A$8:$A$16,'[Steuerung.xlsx]Steuerung'!$F$6,'[D Finanzen.xlsx]D Finanzen'!$B$8:$B$16,"&lt;="&amp;'[Steuerung.xlsx]Steuerung'!$F$7)</f>
        <v/>
      </c>
      <c r="F8" s="6">
        <f>ROUND(D8-E8,2)</f>
        <v/>
      </c>
      <c r="G8" s="1">
        <f>IF(ABS(F8)&lt;=0.02,"OK","Abweichung")</f>
        <v/>
      </c>
      <c r="H8" s="1" t="inlineStr">
        <is>
          <t>Vergleich zum Originalexport. Importierte Gesellschaftswerte enthalten keine regionale Aufteilung.</t>
        </is>
      </c>
      <c r="I8" s="1" t="n"/>
      <c r="J8" s="1" t="n"/>
      <c r="K8" s="1" t="n"/>
      <c r="L8" s="1" t="n"/>
      <c r="M8" s="1" t="n"/>
      <c r="N8" s="1" t="n"/>
      <c r="O8" s="1" t="n"/>
    </row>
    <row r="9">
      <c r="A9" s="1" t="n"/>
      <c r="B9" s="1" t="n"/>
      <c r="C9" s="1" t="inlineStr">
        <is>
          <t>KLR DB4 YTD</t>
        </is>
      </c>
      <c r="D9" s="6">
        <f>'[KLR.xlsx]KLR'!M20</f>
        <v/>
      </c>
      <c r="E9" s="6">
        <f>SUMIFS('[D KLR.xlsx]D KLR'!$Q$8:$Q$16,'[D KLR.xlsx]D KLR'!$A$8:$A$16,'[Steuerung.xlsx]Steuerung'!$F$6,'[D KLR.xlsx]D KLR'!$B$8:$B$16,"&lt;="&amp;'[Steuerung.xlsx]Steuerung'!$F$7)</f>
        <v/>
      </c>
      <c r="F9" s="6">
        <f>ROUND(D9-E9,2)</f>
        <v/>
      </c>
      <c r="G9" s="1">
        <f>IF(ABS(F9)&lt;=0.02,"OK","Abweichung")</f>
        <v/>
      </c>
      <c r="H9" s="1" t="inlineStr">
        <is>
          <t>Deckungsdifferenzen werden abgezogen.</t>
        </is>
      </c>
      <c r="I9" s="1" t="n"/>
      <c r="J9" s="1" t="n"/>
      <c r="K9" s="1" t="n"/>
      <c r="L9" s="1" t="n"/>
      <c r="M9" s="1" t="n"/>
      <c r="N9" s="1" t="n"/>
      <c r="O9" s="1" t="n"/>
    </row>
    <row r="10">
      <c r="A10" s="1" t="n"/>
      <c r="B10" s="1" t="n"/>
      <c r="C10" s="1" t="inlineStr">
        <is>
          <t>Bilanz Aktiva / Passiva</t>
        </is>
      </c>
      <c r="D10" s="6">
        <f>'[Bilanz.xlsx]Bilanz'!K8</f>
        <v/>
      </c>
      <c r="E10" s="6">
        <f>'[Bilanz.xlsx]Bilanz'!K10</f>
        <v/>
      </c>
      <c r="F10" s="6">
        <f>ROUND(D10-E10,2)</f>
        <v/>
      </c>
      <c r="G10" s="1">
        <f>IF(ABS(F10)&lt;=0.02,"OK","Abweichung")</f>
        <v/>
      </c>
      <c r="H10" s="1" t="inlineStr">
        <is>
          <t>SAP-HGB-Stichtag 31.07.2026.</t>
        </is>
      </c>
      <c r="I10" s="1" t="n"/>
      <c r="J10" s="1" t="n"/>
      <c r="K10" s="1" t="n"/>
      <c r="L10" s="1" t="n"/>
      <c r="M10" s="1" t="n"/>
      <c r="N10" s="1" t="n"/>
      <c r="O10" s="1" t="n"/>
    </row>
    <row r="11">
      <c r="A11" s="1" t="n"/>
      <c r="B11" s="1" t="n"/>
      <c r="C11" s="1" t="inlineStr">
        <is>
          <t>Stunden Monatsdetails</t>
        </is>
      </c>
      <c r="D11" s="6">
        <f>'[Stunden.xlsx]Stunden'!I20</f>
        <v/>
      </c>
      <c r="E11" s="6">
        <f>SUM('[D KLR.xlsx]D KLR'!$G$1142:$G$1146)</f>
        <v/>
      </c>
      <c r="F11" s="6">
        <f>ROUND(D11-E11,2)</f>
        <v/>
      </c>
      <c r="G11" s="1">
        <f>IF(ABS(F11)&lt;=0.02,"OK","Abweichung")</f>
        <v/>
      </c>
      <c r="H11" s="1" t="inlineStr">
        <is>
          <t>Monatssumme gegen Original. Nach Stundenimport sind Abweichungen möglich.</t>
        </is>
      </c>
      <c r="I11" s="1" t="n"/>
      <c r="J11" s="1" t="n"/>
      <c r="K11" s="1" t="n"/>
      <c r="L11" s="1" t="n"/>
      <c r="M11" s="1" t="n"/>
      <c r="N11" s="1" t="n"/>
      <c r="O11" s="1" t="n"/>
    </row>
    <row r="12">
      <c r="A12" s="1" t="n"/>
      <c r="B12" s="1" t="n"/>
      <c r="C12" s="1" t="inlineStr">
        <is>
          <t>Risiko-Brutto</t>
        </is>
      </c>
      <c r="D12" s="6">
        <f>SUM('[Risiken.xlsx]Risiken'!K7:K2271)</f>
        <v/>
      </c>
      <c r="E12" s="6">
        <f>SUM('[D Risiken.xlsx]D Risiken'!$I$8:$I$2272)</f>
        <v/>
      </c>
      <c r="F12" s="6">
        <f>ROUND(D12-E12,2)</f>
        <v/>
      </c>
      <c r="G12" s="1">
        <f>IF(ABS(F12)&lt;=0.02,"OK","Abweichung")</f>
        <v/>
      </c>
      <c r="H12" s="1" t="inlineStr">
        <is>
          <t>Original-Eingaben; Änderungen führen zu Abweichungen.</t>
        </is>
      </c>
      <c r="I12" s="1" t="n"/>
      <c r="J12" s="1" t="n"/>
      <c r="K12" s="1" t="n"/>
      <c r="L12" s="1" t="n"/>
      <c r="M12" s="1" t="n"/>
      <c r="N12" s="1" t="n"/>
      <c r="O12" s="1" t="n"/>
    </row>
    <row r="13">
      <c r="A13" s="1" t="n"/>
      <c r="B13" s="1" t="n"/>
      <c r="C13" s="1" t="inlineStr">
        <is>
          <t>KV-Ergebnis gesamt</t>
        </is>
      </c>
      <c r="D13" s="6">
        <f>SUM('[Kostenverfolgung.xlsx]Kostenverfolgung'!N7:N294)</f>
        <v/>
      </c>
      <c r="E13" s="6">
        <f>SUM('[D Projekte.xlsx]D Projekte'!$Q$1127:$Q$1414)</f>
        <v/>
      </c>
      <c r="F13" s="6">
        <f>ROUND(D13-E13,2)</f>
        <v/>
      </c>
      <c r="G13" s="1">
        <f>IF(ABS(F13)&lt;=0.02,"OK","Abweichung")</f>
        <v/>
      </c>
      <c r="H13" s="1" t="inlineStr">
        <is>
          <t>Alle Kostenverfolgungsstände, keine Jahreskennzahl.</t>
        </is>
      </c>
      <c r="I13" s="1" t="n"/>
      <c r="J13" s="1" t="n"/>
      <c r="K13" s="1" t="n"/>
      <c r="L13" s="1" t="n"/>
      <c r="M13" s="1" t="n"/>
      <c r="N13" s="1" t="n"/>
      <c r="O13" s="1" t="n"/>
    </row>
    <row r="14">
      <c r="A14" s="1" t="n"/>
      <c r="B14" s="1" t="n"/>
      <c r="C14" s="1" t="inlineStr">
        <is>
          <t>Bestandslücke</t>
        </is>
      </c>
      <c r="D14" s="6">
        <f>SUM(Bestände!I7:I106)</f>
        <v/>
      </c>
      <c r="E14" s="6">
        <f>SUM('[D Projekte.xlsx]D Projekte'!$I$400:$I$499)</f>
        <v/>
      </c>
      <c r="F14" s="6">
        <f>ROUND(D14-E14,2)</f>
        <v/>
      </c>
      <c r="G14" s="1">
        <f>IF(ABS(F14)&lt;=0.02,"OK","Abweichung")</f>
        <v/>
      </c>
      <c r="H14" s="1" t="inlineStr">
        <is>
          <t>Kosten minus Erlöse minus aktivierter Bestandsveränderung.</t>
        </is>
      </c>
      <c r="I14" s="1" t="n"/>
      <c r="J14" s="1" t="n"/>
      <c r="K14" s="1" t="n"/>
      <c r="L14" s="1" t="n"/>
      <c r="M14" s="1" t="n"/>
      <c r="N14" s="1" t="n"/>
      <c r="O14" s="1" t="n"/>
    </row>
    <row r="15">
      <c r="A15" s="1" t="n"/>
      <c r="B15" s="1" t="n"/>
      <c r="C15" s="1" t="inlineStr">
        <is>
          <t>Kalkulation Limitpreis</t>
        </is>
      </c>
      <c r="D15" s="6">
        <f>'[Kalkulation.xlsx]Kalkulation'!H16</f>
        <v/>
      </c>
      <c r="E15" s="6">
        <f>163.7974</f>
        <v/>
      </c>
      <c r="F15" s="6">
        <f>ROUND(D15-E15,2)</f>
        <v/>
      </c>
      <c r="G15" s="1">
        <f>IF(ABS(F15)&lt;=0.02,"OK","Abweichung")</f>
        <v/>
      </c>
      <c r="H15" s="1" t="inlineStr">
        <is>
          <t>Vergleich gilt nur für unveränderte Standardwerte.</t>
        </is>
      </c>
      <c r="I15" s="1" t="n"/>
      <c r="J15" s="1" t="n"/>
      <c r="K15" s="1" t="n"/>
      <c r="L15" s="1" t="n"/>
      <c r="M15" s="1" t="n"/>
      <c r="N15" s="1" t="n"/>
      <c r="O15" s="1" t="n"/>
    </row>
    <row r="16">
      <c r="A16" s="1" t="n"/>
      <c r="B16" s="1" t="n"/>
      <c r="C16" s="1" t="inlineStr">
        <is>
          <t>Kalkulation Zielpreis</t>
        </is>
      </c>
      <c r="D16" s="6">
        <f>'[Kalkulation.xlsx]Kalkulation'!H19</f>
        <v/>
      </c>
      <c r="E16" s="6">
        <f>178.014</f>
        <v/>
      </c>
      <c r="F16" s="6">
        <f>ROUND(D16-E16,2)</f>
        <v/>
      </c>
      <c r="G16" s="1">
        <f>IF(ABS(F16)&lt;=0.02,"OK","Abweichung")</f>
        <v/>
      </c>
      <c r="H16" s="1" t="inlineStr">
        <is>
          <t>Vergleich gilt nur für unveränderte Standardwerte.</t>
        </is>
      </c>
      <c r="I16" s="1" t="n"/>
      <c r="J16" s="1" t="n"/>
      <c r="K16" s="1" t="n"/>
      <c r="L16" s="1" t="n"/>
      <c r="M16" s="1" t="n"/>
      <c r="N16" s="1" t="n"/>
      <c r="O16" s="1" t="n"/>
    </row>
    <row r="17">
      <c r="A17" s="1" t="n"/>
      <c r="B17" s="1" t="n"/>
      <c r="C17" s="1" t="inlineStr">
        <is>
          <t>Stundensatz ohne VGK</t>
        </is>
      </c>
      <c r="D17" s="6">
        <f>Stundensätze!H42</f>
        <v/>
      </c>
      <c r="E17" s="6">
        <f>34.4781690140845</f>
        <v/>
      </c>
      <c r="F17" s="6">
        <f>ROUND(D17-E17,2)</f>
        <v/>
      </c>
      <c r="G17" s="1">
        <f>IF(ABS(F17)&lt;=0.02,"OK","Abweichung")</f>
        <v/>
      </c>
      <c r="H17" s="1" t="inlineStr">
        <is>
          <t>Nach Rechenlogik und Standardparametern des Quellcodes.</t>
        </is>
      </c>
      <c r="I17" s="1" t="n"/>
      <c r="J17" s="1" t="n"/>
      <c r="K17" s="1" t="n"/>
      <c r="L17" s="1" t="n"/>
      <c r="M17" s="1" t="n"/>
      <c r="N17" s="1" t="n"/>
      <c r="O17" s="1" t="n"/>
    </row>
    <row r="18">
      <c r="A18" s="1" t="n"/>
      <c r="B18" s="1" t="n"/>
      <c r="C18" s="1" t="inlineStr">
        <is>
          <t>Stundensatz mit VGK</t>
        </is>
      </c>
      <c r="D18" s="6">
        <f>Stundensätze!H43</f>
        <v/>
      </c>
      <c r="E18" s="6">
        <f>48.959</f>
        <v/>
      </c>
      <c r="F18" s="6">
        <f>ROUND(D18-E18,2)</f>
        <v/>
      </c>
      <c r="G18" s="1">
        <f>IF(ABS(F18)&lt;=0.02,"OK","Abweichung")</f>
        <v/>
      </c>
      <c r="H18" s="1" t="inlineStr">
        <is>
          <t>Nach Rechenlogik und Standardparametern des Quellcodes.</t>
        </is>
      </c>
      <c r="I18" s="1" t="n"/>
      <c r="J18" s="1" t="n"/>
      <c r="K18" s="1" t="n"/>
      <c r="L18" s="1" t="n"/>
      <c r="M18" s="1" t="n"/>
      <c r="N18" s="1" t="n"/>
      <c r="O18" s="1" t="n"/>
    </row>
    <row r="19">
      <c r="A19" s="1" t="n"/>
      <c r="B19" s="1" t="n"/>
      <c r="C19" s="1" t="inlineStr">
        <is>
          <t>Umlagen Gesamt</t>
        </is>
      </c>
      <c r="D19" s="6">
        <f>SUM('[Umlagen.xlsx]Umlagen'!G7:G25)</f>
        <v/>
      </c>
      <c r="E19" s="6">
        <f>SUM('[D KLR.xlsx]D KLR'!$E$763:$E$781)</f>
        <v/>
      </c>
      <c r="F19" s="6">
        <f>ROUND(D19-E19,2)</f>
        <v/>
      </c>
      <c r="G19" s="1">
        <f>IF(ABS(F19)&lt;=0.02,"OK","Abweichung")</f>
        <v/>
      </c>
      <c r="H19" s="1" t="inlineStr">
        <is>
          <t>Primärkosten plus Umlage.</t>
        </is>
      </c>
      <c r="I19" s="1" t="n"/>
      <c r="J19" s="1" t="n"/>
      <c r="K19" s="1" t="n"/>
      <c r="L19" s="1" t="n"/>
      <c r="M19" s="1" t="n"/>
      <c r="N19" s="1" t="n"/>
      <c r="O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  <row r="23" ht="26" customHeight="1">
      <c r="A23" s="1" t="n"/>
      <c r="B23" s="1" t="n"/>
      <c r="C23" s="7" t="inlineStr">
        <is>
          <t>GuV-Abgleich mit SAP laut Original</t>
        </is>
      </c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</row>
    <row r="25" ht="36" customHeight="1">
      <c r="A25" s="1" t="n"/>
      <c r="B25" s="1" t="n"/>
      <c r="C25" s="5" t="inlineStr">
        <is>
          <t>Jahr</t>
        </is>
      </c>
      <c r="D25" s="5" t="inlineStr">
        <is>
          <t>Periode</t>
        </is>
      </c>
      <c r="E25" s="5" t="inlineStr">
        <is>
          <t>GuV-Gruppe</t>
        </is>
      </c>
      <c r="F25" s="5" t="inlineStr">
        <is>
          <t>SAP Monat</t>
        </is>
      </c>
      <c r="G25" s="5" t="inlineStr">
        <is>
          <t>Staffel Monat</t>
        </is>
      </c>
      <c r="H25" s="5" t="inlineStr">
        <is>
          <t>Differenz</t>
        </is>
      </c>
      <c r="I25" s="5" t="inlineStr">
        <is>
          <t>SAP YTD</t>
        </is>
      </c>
      <c r="J25" s="5" t="inlineStr">
        <is>
          <t>Staffel YTD</t>
        </is>
      </c>
      <c r="K25" s="1" t="n"/>
      <c r="L25" s="1" t="n"/>
      <c r="M25" s="1" t="n"/>
      <c r="N25" s="1" t="n"/>
      <c r="O25" s="1" t="n"/>
    </row>
    <row r="26" ht="21" customHeight="1">
      <c r="A26" s="1" t="n"/>
      <c r="B26" s="1" t="n"/>
      <c r="C26" s="1" t="n">
        <v>2026</v>
      </c>
      <c r="D26" s="1" t="n">
        <v>1</v>
      </c>
      <c r="E26" s="1" t="inlineStr">
        <is>
          <t>1 Umsatzerlöse</t>
        </is>
      </c>
      <c r="F26" s="8" t="n"/>
      <c r="G26" s="8" t="n">
        <v>639565.45</v>
      </c>
      <c r="H26" s="8">
        <f>G26-F26</f>
        <v/>
      </c>
      <c r="I26" s="8" t="n">
        <v>639565.45</v>
      </c>
      <c r="J26" s="8" t="n">
        <v>639565.45</v>
      </c>
      <c r="K26" s="1" t="n"/>
      <c r="L26" s="1" t="n"/>
      <c r="M26" s="1" t="n"/>
      <c r="N26" s="1" t="n"/>
      <c r="O26" s="1" t="n"/>
    </row>
    <row r="27" ht="21" customHeight="1">
      <c r="A27" s="1" t="n"/>
      <c r="B27" s="1" t="n"/>
      <c r="C27" s="1" t="n">
        <v>2026</v>
      </c>
      <c r="D27" s="1" t="n">
        <v>1</v>
      </c>
      <c r="E27" s="1" t="inlineStr">
        <is>
          <t>2 Bestandsveränderungen</t>
        </is>
      </c>
      <c r="F27" s="8" t="n"/>
      <c r="G27" s="8" t="n">
        <v>1280847.26</v>
      </c>
      <c r="H27" s="8">
        <f>G27-F27</f>
        <v/>
      </c>
      <c r="I27" s="8" t="n">
        <v>1280847.26</v>
      </c>
      <c r="J27" s="8" t="n">
        <v>1280847.26</v>
      </c>
      <c r="K27" s="1" t="n"/>
      <c r="L27" s="1" t="n"/>
      <c r="M27" s="1" t="n"/>
      <c r="N27" s="1" t="n"/>
      <c r="O27" s="1" t="n"/>
    </row>
    <row r="28" ht="21" customHeight="1">
      <c r="A28" s="1" t="n"/>
      <c r="B28" s="1" t="n"/>
      <c r="C28" s="1" t="n">
        <v>2026</v>
      </c>
      <c r="D28" s="1" t="n">
        <v>1</v>
      </c>
      <c r="E28" s="1" t="inlineStr">
        <is>
          <t>3 Sonstige betriebliche Erträge</t>
        </is>
      </c>
      <c r="F28" s="8" t="n"/>
      <c r="G28" s="8" t="n">
        <v>12030.21</v>
      </c>
      <c r="H28" s="8">
        <f>G28-F28</f>
        <v/>
      </c>
      <c r="I28" s="8" t="n">
        <v>12030.21</v>
      </c>
      <c r="J28" s="8" t="n">
        <v>12030.21</v>
      </c>
      <c r="K28" s="1" t="n"/>
      <c r="L28" s="1" t="n"/>
      <c r="M28" s="1" t="n"/>
      <c r="N28" s="1" t="n"/>
      <c r="O28" s="1" t="n"/>
    </row>
    <row r="29" ht="21" customHeight="1">
      <c r="A29" s="1" t="n"/>
      <c r="B29" s="1" t="n"/>
      <c r="C29" s="1" t="n">
        <v>2026</v>
      </c>
      <c r="D29" s="1" t="n">
        <v>1</v>
      </c>
      <c r="E29" s="1" t="inlineStr">
        <is>
          <t>4 Materialaufwand</t>
        </is>
      </c>
      <c r="F29" s="8" t="n"/>
      <c r="G29" s="8" t="n">
        <v>-1080421</v>
      </c>
      <c r="H29" s="8">
        <f>G29-F29</f>
        <v/>
      </c>
      <c r="I29" s="8" t="n">
        <v>-1080421</v>
      </c>
      <c r="J29" s="8" t="n">
        <v>-1080421</v>
      </c>
      <c r="K29" s="1" t="n"/>
      <c r="L29" s="1" t="n"/>
      <c r="M29" s="1" t="n"/>
      <c r="N29" s="1" t="n"/>
      <c r="O29" s="1" t="n"/>
    </row>
    <row r="30" ht="21" customHeight="1">
      <c r="A30" s="1" t="n"/>
      <c r="B30" s="1" t="n"/>
      <c r="C30" s="1" t="n">
        <v>2026</v>
      </c>
      <c r="D30" s="1" t="n">
        <v>1</v>
      </c>
      <c r="E30" s="1" t="inlineStr">
        <is>
          <t>5 Personalaufwand</t>
        </is>
      </c>
      <c r="F30" s="8" t="n"/>
      <c r="G30" s="8" t="n">
        <v>-338608.8</v>
      </c>
      <c r="H30" s="8">
        <f>G30-F30</f>
        <v/>
      </c>
      <c r="I30" s="8" t="n">
        <v>-314657.29</v>
      </c>
      <c r="J30" s="8" t="n">
        <v>-338608.8</v>
      </c>
      <c r="K30" s="1" t="n"/>
      <c r="L30" s="1" t="n"/>
      <c r="M30" s="1" t="n"/>
      <c r="N30" s="1" t="n"/>
      <c r="O30" s="1" t="n"/>
    </row>
    <row r="31" ht="21" customHeight="1">
      <c r="A31" s="1" t="n"/>
      <c r="B31" s="1" t="n"/>
      <c r="C31" s="1" t="n">
        <v>2026</v>
      </c>
      <c r="D31" s="1" t="n">
        <v>1</v>
      </c>
      <c r="E31" s="1" t="inlineStr">
        <is>
          <t>6 Abschreibungen</t>
        </is>
      </c>
      <c r="F31" s="8" t="n"/>
      <c r="G31" s="8" t="n">
        <v>-9645.450000000001</v>
      </c>
      <c r="H31" s="8">
        <f>G31-F31</f>
        <v/>
      </c>
      <c r="I31" s="8" t="n">
        <v>-9645.450000000001</v>
      </c>
      <c r="J31" s="8" t="n">
        <v>-9645.450000000001</v>
      </c>
      <c r="K31" s="1" t="n"/>
      <c r="L31" s="1" t="n"/>
      <c r="M31" s="1" t="n"/>
      <c r="N31" s="1" t="n"/>
      <c r="O31" s="1" t="n"/>
    </row>
    <row r="32" ht="21" customHeight="1">
      <c r="A32" s="1" t="n"/>
      <c r="B32" s="1" t="n"/>
      <c r="C32" s="1" t="n">
        <v>2026</v>
      </c>
      <c r="D32" s="1" t="n">
        <v>1</v>
      </c>
      <c r="E32" s="1" t="inlineStr">
        <is>
          <t>7 Sonstige betriebliche Aufwendungen</t>
        </is>
      </c>
      <c r="F32" s="8" t="n"/>
      <c r="G32" s="8" t="n">
        <v>-223180.95</v>
      </c>
      <c r="H32" s="8">
        <f>G32-F32</f>
        <v/>
      </c>
      <c r="I32" s="8" t="n">
        <v>-220820.47</v>
      </c>
      <c r="J32" s="8" t="n">
        <v>-223180.95</v>
      </c>
      <c r="K32" s="1" t="n"/>
      <c r="L32" s="1" t="n"/>
      <c r="M32" s="1" t="n"/>
      <c r="N32" s="1" t="n"/>
      <c r="O32" s="1" t="n"/>
    </row>
    <row r="33" ht="21" customHeight="1">
      <c r="A33" s="1" t="n"/>
      <c r="B33" s="1" t="n"/>
      <c r="C33" s="1" t="n">
        <v>2026</v>
      </c>
      <c r="D33" s="1" t="n">
        <v>1</v>
      </c>
      <c r="E33" s="1" t="inlineStr">
        <is>
          <t>8 Finanzergebnis</t>
        </is>
      </c>
      <c r="F33" s="8" t="n"/>
      <c r="G33" s="8" t="n">
        <v>-5854.47</v>
      </c>
      <c r="H33" s="8">
        <f>G33-F33</f>
        <v/>
      </c>
      <c r="I33" s="8" t="n">
        <v>-5854.47</v>
      </c>
      <c r="J33" s="8" t="n">
        <v>-5854.47</v>
      </c>
      <c r="K33" s="1" t="n"/>
      <c r="L33" s="1" t="n"/>
      <c r="M33" s="1" t="n"/>
      <c r="N33" s="1" t="n"/>
      <c r="O33" s="1" t="n"/>
    </row>
    <row r="34" ht="21" customHeight="1">
      <c r="A34" s="1" t="n"/>
      <c r="B34" s="1" t="n"/>
      <c r="C34" s="1" t="n">
        <v>2026</v>
      </c>
      <c r="D34" s="1" t="n">
        <v>2</v>
      </c>
      <c r="E34" s="1" t="inlineStr">
        <is>
          <t>1 Umsatzerlöse</t>
        </is>
      </c>
      <c r="F34" s="8" t="n">
        <v>2777244.65</v>
      </c>
      <c r="G34" s="8" t="n">
        <v>2777244.65</v>
      </c>
      <c r="H34" s="8">
        <f>G34-F34</f>
        <v/>
      </c>
      <c r="I34" s="8" t="n">
        <v>3416810.1</v>
      </c>
      <c r="J34" s="8" t="n">
        <v>3416810.1</v>
      </c>
      <c r="K34" s="1" t="n"/>
      <c r="L34" s="1" t="n"/>
      <c r="M34" s="1" t="n"/>
      <c r="N34" s="1" t="n"/>
      <c r="O34" s="1" t="n"/>
    </row>
    <row r="35" ht="21" customHeight="1">
      <c r="A35" s="1" t="n"/>
      <c r="B35" s="1" t="n"/>
      <c r="C35" s="1" t="n">
        <v>2026</v>
      </c>
      <c r="D35" s="1" t="n">
        <v>2</v>
      </c>
      <c r="E35" s="1" t="inlineStr">
        <is>
          <t>2 Bestandsveränderungen</t>
        </is>
      </c>
      <c r="F35" s="8" t="n">
        <v>-200176.92</v>
      </c>
      <c r="G35" s="8" t="n">
        <v>-200176.92</v>
      </c>
      <c r="H35" s="8">
        <f>G35-F35</f>
        <v/>
      </c>
      <c r="I35" s="8" t="n">
        <v>1080670.34</v>
      </c>
      <c r="J35" s="8" t="n">
        <v>1080670.34</v>
      </c>
      <c r="K35" s="1" t="n"/>
      <c r="L35" s="1" t="n"/>
      <c r="M35" s="1" t="n"/>
      <c r="N35" s="1" t="n"/>
      <c r="O35" s="1" t="n"/>
    </row>
    <row r="36" ht="21" customHeight="1">
      <c r="A36" s="1" t="n"/>
      <c r="B36" s="1" t="n"/>
      <c r="C36" s="1" t="n">
        <v>2026</v>
      </c>
      <c r="D36" s="1" t="n">
        <v>2</v>
      </c>
      <c r="E36" s="1" t="inlineStr">
        <is>
          <t>3 Sonstige betriebliche Erträge</t>
        </is>
      </c>
      <c r="F36" s="8" t="n">
        <v>22190.76</v>
      </c>
      <c r="G36" s="8" t="n">
        <v>22190.76</v>
      </c>
      <c r="H36" s="8">
        <f>G36-F36</f>
        <v/>
      </c>
      <c r="I36" s="8" t="n">
        <v>34220.97</v>
      </c>
      <c r="J36" s="8" t="n">
        <v>34220.97</v>
      </c>
      <c r="K36" s="1" t="n"/>
      <c r="L36" s="1" t="n"/>
      <c r="M36" s="1" t="n"/>
      <c r="N36" s="1" t="n"/>
      <c r="O36" s="1" t="n"/>
    </row>
    <row r="37" ht="21" customHeight="1">
      <c r="A37" s="1" t="n"/>
      <c r="B37" s="1" t="n"/>
      <c r="C37" s="1" t="n">
        <v>2026</v>
      </c>
      <c r="D37" s="1" t="n">
        <v>2</v>
      </c>
      <c r="E37" s="1" t="inlineStr">
        <is>
          <t>4 Materialaufwand</t>
        </is>
      </c>
      <c r="F37" s="8" t="n">
        <v>-1706242.27</v>
      </c>
      <c r="G37" s="8" t="n">
        <v>-1706242.27</v>
      </c>
      <c r="H37" s="8">
        <f>G37-F37</f>
        <v/>
      </c>
      <c r="I37" s="8" t="n">
        <v>-2786663.27</v>
      </c>
      <c r="J37" s="8" t="n">
        <v>-2786663.27</v>
      </c>
      <c r="K37" s="1" t="n"/>
      <c r="L37" s="1" t="n"/>
      <c r="M37" s="1" t="n"/>
      <c r="N37" s="1" t="n"/>
      <c r="O37" s="1" t="n"/>
    </row>
    <row r="38" ht="21" customHeight="1">
      <c r="A38" s="1" t="n"/>
      <c r="B38" s="1" t="n"/>
      <c r="C38" s="1" t="n">
        <v>2026</v>
      </c>
      <c r="D38" s="1" t="n">
        <v>2</v>
      </c>
      <c r="E38" s="1" t="inlineStr">
        <is>
          <t>5 Personalaufwand</t>
        </is>
      </c>
      <c r="F38" s="8" t="n">
        <v>-338492.88</v>
      </c>
      <c r="G38" s="8" t="n">
        <v>-363244</v>
      </c>
      <c r="H38" s="8">
        <f>G38-F38</f>
        <v/>
      </c>
      <c r="I38" s="8" t="n">
        <v>-653150.17</v>
      </c>
      <c r="J38" s="8" t="n">
        <v>-701852.8</v>
      </c>
      <c r="K38" s="1" t="n"/>
      <c r="L38" s="1" t="n"/>
      <c r="M38" s="1" t="n"/>
      <c r="N38" s="1" t="n"/>
      <c r="O38" s="1" t="n"/>
    </row>
    <row r="39" ht="21" customHeight="1">
      <c r="A39" s="1" t="n"/>
      <c r="B39" s="1" t="n"/>
      <c r="C39" s="1" t="n">
        <v>2026</v>
      </c>
      <c r="D39" s="1" t="n">
        <v>2</v>
      </c>
      <c r="E39" s="1" t="inlineStr">
        <is>
          <t>6 Abschreibungen</t>
        </is>
      </c>
      <c r="F39" s="8" t="n">
        <v>-9711.51</v>
      </c>
      <c r="G39" s="8" t="n">
        <v>-9711.51</v>
      </c>
      <c r="H39" s="8">
        <f>G39-F39</f>
        <v/>
      </c>
      <c r="I39" s="8" t="n">
        <v>-19356.96</v>
      </c>
      <c r="J39" s="8" t="n">
        <v>-19356.96</v>
      </c>
      <c r="K39" s="1" t="n"/>
      <c r="L39" s="1" t="n"/>
      <c r="M39" s="1" t="n"/>
      <c r="N39" s="1" t="n"/>
      <c r="O39" s="1" t="n"/>
    </row>
    <row r="40" ht="21" customHeight="1">
      <c r="A40" s="1" t="n"/>
      <c r="B40" s="1" t="n"/>
      <c r="C40" s="1" t="n">
        <v>2026</v>
      </c>
      <c r="D40" s="1" t="n">
        <v>2</v>
      </c>
      <c r="E40" s="1" t="inlineStr">
        <is>
          <t>7 Sonstige betriebliche Aufwendungen</t>
        </is>
      </c>
      <c r="F40" s="8" t="n">
        <v>-212416.03</v>
      </c>
      <c r="G40" s="8" t="n">
        <v>-214918.93</v>
      </c>
      <c r="H40" s="8">
        <f>G40-F40</f>
        <v/>
      </c>
      <c r="I40" s="8" t="n">
        <v>-433236.5</v>
      </c>
      <c r="J40" s="8" t="n">
        <v>-438099.88</v>
      </c>
      <c r="K40" s="1" t="n"/>
      <c r="L40" s="1" t="n"/>
      <c r="M40" s="1" t="n"/>
      <c r="N40" s="1" t="n"/>
      <c r="O40" s="1" t="n"/>
    </row>
    <row r="41" ht="21" customHeight="1">
      <c r="A41" s="1" t="n"/>
      <c r="B41" s="1" t="n"/>
      <c r="C41" s="1" t="n">
        <v>2026</v>
      </c>
      <c r="D41" s="1" t="n">
        <v>2</v>
      </c>
      <c r="E41" s="1" t="inlineStr">
        <is>
          <t>8 Finanzergebnis</t>
        </is>
      </c>
      <c r="F41" s="8" t="n">
        <v>-6903.55</v>
      </c>
      <c r="G41" s="8" t="n">
        <v>-6903.55</v>
      </c>
      <c r="H41" s="8">
        <f>G41-F41</f>
        <v/>
      </c>
      <c r="I41" s="8" t="n">
        <v>-12758.02</v>
      </c>
      <c r="J41" s="8" t="n">
        <v>-12758.02</v>
      </c>
      <c r="K41" s="1" t="n"/>
      <c r="L41" s="1" t="n"/>
      <c r="M41" s="1" t="n"/>
      <c r="N41" s="1" t="n"/>
      <c r="O41" s="1" t="n"/>
    </row>
    <row r="42" ht="21" customHeight="1">
      <c r="A42" s="1" t="n"/>
      <c r="B42" s="1" t="n"/>
      <c r="C42" s="1" t="n">
        <v>2026</v>
      </c>
      <c r="D42" s="1" t="n">
        <v>3</v>
      </c>
      <c r="E42" s="1" t="inlineStr">
        <is>
          <t>1 Umsatzerlöse</t>
        </is>
      </c>
      <c r="F42" s="8" t="n">
        <v>1213541.38</v>
      </c>
      <c r="G42" s="8" t="n">
        <v>1213541.38</v>
      </c>
      <c r="H42" s="8">
        <f>G42-F42</f>
        <v/>
      </c>
      <c r="I42" s="8" t="n">
        <v>4630351.48</v>
      </c>
      <c r="J42" s="8" t="n">
        <v>4630351.48</v>
      </c>
      <c r="K42" s="1" t="n"/>
      <c r="L42" s="1" t="n"/>
      <c r="M42" s="1" t="n"/>
      <c r="N42" s="1" t="n"/>
      <c r="O42" s="1" t="n"/>
    </row>
    <row r="43" ht="21" customHeight="1">
      <c r="A43" s="1" t="n"/>
      <c r="B43" s="1" t="n"/>
      <c r="C43" s="1" t="n">
        <v>2026</v>
      </c>
      <c r="D43" s="1" t="n">
        <v>3</v>
      </c>
      <c r="E43" s="1" t="inlineStr">
        <is>
          <t>2 Bestandsveränderungen</t>
        </is>
      </c>
      <c r="F43" s="8" t="n">
        <v>1198671.49</v>
      </c>
      <c r="G43" s="8" t="n">
        <v>1198671.49</v>
      </c>
      <c r="H43" s="8">
        <f>G43-F43</f>
        <v/>
      </c>
      <c r="I43" s="8" t="n">
        <v>2279341.83</v>
      </c>
      <c r="J43" s="8" t="n">
        <v>2279341.83</v>
      </c>
      <c r="K43" s="1" t="n"/>
      <c r="L43" s="1" t="n"/>
      <c r="M43" s="1" t="n"/>
      <c r="N43" s="1" t="n"/>
      <c r="O43" s="1" t="n"/>
    </row>
    <row r="44" ht="21" customHeight="1">
      <c r="A44" s="1" t="n"/>
      <c r="B44" s="1" t="n"/>
      <c r="C44" s="1" t="n">
        <v>2026</v>
      </c>
      <c r="D44" s="1" t="n">
        <v>3</v>
      </c>
      <c r="E44" s="1" t="inlineStr">
        <is>
          <t>3 Sonstige betriebliche Erträge</t>
        </is>
      </c>
      <c r="F44" s="8" t="n">
        <v>15409.39</v>
      </c>
      <c r="G44" s="8" t="n">
        <v>15409.39</v>
      </c>
      <c r="H44" s="8">
        <f>G44-F44</f>
        <v/>
      </c>
      <c r="I44" s="8" t="n">
        <v>49630.36</v>
      </c>
      <c r="J44" s="8" t="n">
        <v>49630.36</v>
      </c>
      <c r="K44" s="1" t="n"/>
      <c r="L44" s="1" t="n"/>
      <c r="M44" s="1" t="n"/>
      <c r="N44" s="1" t="n"/>
      <c r="O44" s="1" t="n"/>
    </row>
    <row r="45" ht="21" customHeight="1">
      <c r="A45" s="1" t="n"/>
      <c r="B45" s="1" t="n"/>
      <c r="C45" s="1" t="n">
        <v>2026</v>
      </c>
      <c r="D45" s="1" t="n">
        <v>3</v>
      </c>
      <c r="E45" s="1" t="inlineStr">
        <is>
          <t>4 Materialaufwand</t>
        </is>
      </c>
      <c r="F45" s="8" t="n">
        <v>-1746548.03</v>
      </c>
      <c r="G45" s="8" t="n">
        <v>-1746548.03</v>
      </c>
      <c r="H45" s="8">
        <f>G45-F45</f>
        <v/>
      </c>
      <c r="I45" s="8" t="n">
        <v>-4533211.3</v>
      </c>
      <c r="J45" s="8" t="n">
        <v>-4533211.3</v>
      </c>
      <c r="K45" s="1" t="n"/>
      <c r="L45" s="1" t="n"/>
      <c r="M45" s="1" t="n"/>
      <c r="N45" s="1" t="n"/>
      <c r="O45" s="1" t="n"/>
    </row>
    <row r="46" ht="21" customHeight="1">
      <c r="A46" s="1" t="n"/>
      <c r="B46" s="1" t="n"/>
      <c r="C46" s="1" t="n">
        <v>2026</v>
      </c>
      <c r="D46" s="1" t="n">
        <v>3</v>
      </c>
      <c r="E46" s="1" t="inlineStr">
        <is>
          <t>5 Personalaufwand</t>
        </is>
      </c>
      <c r="F46" s="8" t="n">
        <v>-358303</v>
      </c>
      <c r="G46" s="8" t="n">
        <v>-383792.43</v>
      </c>
      <c r="H46" s="8">
        <f>G46-F46</f>
        <v/>
      </c>
      <c r="I46" s="8" t="n">
        <v>-1011453.17</v>
      </c>
      <c r="J46" s="8" t="n">
        <v>-1085645.23</v>
      </c>
      <c r="K46" s="1" t="n"/>
      <c r="L46" s="1" t="n"/>
      <c r="M46" s="1" t="n"/>
      <c r="N46" s="1" t="n"/>
      <c r="O46" s="1" t="n"/>
    </row>
    <row r="47" ht="21" customHeight="1">
      <c r="A47" s="1" t="n"/>
      <c r="B47" s="1" t="n"/>
      <c r="C47" s="1" t="n">
        <v>2026</v>
      </c>
      <c r="D47" s="1" t="n">
        <v>3</v>
      </c>
      <c r="E47" s="1" t="inlineStr">
        <is>
          <t>6 Abschreibungen</t>
        </is>
      </c>
      <c r="F47" s="8" t="n">
        <v>-9824.139999999999</v>
      </c>
      <c r="G47" s="8" t="n">
        <v>-9824.139999999999</v>
      </c>
      <c r="H47" s="8">
        <f>G47-F47</f>
        <v/>
      </c>
      <c r="I47" s="8" t="n">
        <v>-29181.1</v>
      </c>
      <c r="J47" s="8" t="n">
        <v>-29181.1</v>
      </c>
      <c r="K47" s="1" t="n"/>
      <c r="L47" s="1" t="n"/>
      <c r="M47" s="1" t="n"/>
      <c r="N47" s="1" t="n"/>
      <c r="O47" s="1" t="n"/>
    </row>
    <row r="48" ht="21" customHeight="1">
      <c r="A48" s="1" t="n"/>
      <c r="B48" s="1" t="n"/>
      <c r="C48" s="1" t="n">
        <v>2026</v>
      </c>
      <c r="D48" s="1" t="n">
        <v>3</v>
      </c>
      <c r="E48" s="1" t="inlineStr">
        <is>
          <t>7 Sonstige betriebliche Aufwendungen</t>
        </is>
      </c>
      <c r="F48" s="8" t="n">
        <v>-283572.46</v>
      </c>
      <c r="G48" s="8" t="n">
        <v>-286856.5</v>
      </c>
      <c r="H48" s="8">
        <f>G48-F48</f>
        <v/>
      </c>
      <c r="I48" s="8" t="n">
        <v>-716808.96</v>
      </c>
      <c r="J48" s="8" t="n">
        <v>-724956.38</v>
      </c>
      <c r="K48" s="1" t="n"/>
      <c r="L48" s="1" t="n"/>
      <c r="M48" s="1" t="n"/>
      <c r="N48" s="1" t="n"/>
      <c r="O48" s="1" t="n"/>
    </row>
    <row r="49" ht="21" customHeight="1">
      <c r="A49" s="1" t="n"/>
      <c r="B49" s="1" t="n"/>
      <c r="C49" s="1" t="n">
        <v>2026</v>
      </c>
      <c r="D49" s="1" t="n">
        <v>3</v>
      </c>
      <c r="E49" s="1" t="inlineStr">
        <is>
          <t>8 Finanzergebnis</t>
        </is>
      </c>
      <c r="F49" s="8" t="n">
        <v>-9432.18</v>
      </c>
      <c r="G49" s="8" t="n">
        <v>-9432.18</v>
      </c>
      <c r="H49" s="8">
        <f>G49-F49</f>
        <v/>
      </c>
      <c r="I49" s="8" t="n">
        <v>-22190.2</v>
      </c>
      <c r="J49" s="8" t="n">
        <v>-22190.2</v>
      </c>
      <c r="K49" s="1" t="n"/>
      <c r="L49" s="1" t="n"/>
      <c r="M49" s="1" t="n"/>
      <c r="N49" s="1" t="n"/>
      <c r="O49" s="1" t="n"/>
    </row>
    <row r="50" ht="21" customHeight="1">
      <c r="A50" s="1" t="n"/>
      <c r="B50" s="1" t="n"/>
      <c r="C50" s="1" t="n">
        <v>2026</v>
      </c>
      <c r="D50" s="1" t="n">
        <v>4</v>
      </c>
      <c r="E50" s="1" t="inlineStr">
        <is>
          <t>1 Umsatzerlöse</t>
        </is>
      </c>
      <c r="F50" s="8" t="n">
        <v>678343.59</v>
      </c>
      <c r="G50" s="8" t="n">
        <v>678343.59</v>
      </c>
      <c r="H50" s="8">
        <f>G50-F50</f>
        <v/>
      </c>
      <c r="I50" s="8" t="n">
        <v>5308695.07</v>
      </c>
      <c r="J50" s="8" t="n">
        <v>5308695.07</v>
      </c>
      <c r="K50" s="1" t="n"/>
      <c r="L50" s="1" t="n"/>
      <c r="M50" s="1" t="n"/>
      <c r="N50" s="1" t="n"/>
      <c r="O50" s="1" t="n"/>
    </row>
    <row r="51" ht="21" customHeight="1">
      <c r="A51" s="1" t="n"/>
      <c r="B51" s="1" t="n"/>
      <c r="C51" s="1" t="n">
        <v>2026</v>
      </c>
      <c r="D51" s="1" t="n">
        <v>4</v>
      </c>
      <c r="E51" s="1" t="inlineStr">
        <is>
          <t>2 Bestandsveränderungen</t>
        </is>
      </c>
      <c r="F51" s="8" t="n">
        <v>1261219.89</v>
      </c>
      <c r="G51" s="8" t="n">
        <v>1261219.89</v>
      </c>
      <c r="H51" s="8">
        <f>G51-F51</f>
        <v/>
      </c>
      <c r="I51" s="8" t="n">
        <v>3540561.72</v>
      </c>
      <c r="J51" s="8" t="n">
        <v>3540561.72</v>
      </c>
      <c r="K51" s="1" t="n"/>
      <c r="L51" s="1" t="n"/>
      <c r="M51" s="1" t="n"/>
      <c r="N51" s="1" t="n"/>
      <c r="O51" s="1" t="n"/>
    </row>
    <row r="52" ht="21" customHeight="1">
      <c r="A52" s="1" t="n"/>
      <c r="B52" s="1" t="n"/>
      <c r="C52" s="1" t="n">
        <v>2026</v>
      </c>
      <c r="D52" s="1" t="n">
        <v>4</v>
      </c>
      <c r="E52" s="1" t="inlineStr">
        <is>
          <t>3 Sonstige betriebliche Erträge</t>
        </is>
      </c>
      <c r="F52" s="8" t="n">
        <v>56063.55</v>
      </c>
      <c r="G52" s="8" t="n">
        <v>56063.55</v>
      </c>
      <c r="H52" s="8">
        <f>G52-F52</f>
        <v/>
      </c>
      <c r="I52" s="8" t="n">
        <v>105693.91</v>
      </c>
      <c r="J52" s="8" t="n">
        <v>105693.91</v>
      </c>
      <c r="K52" s="1" t="n"/>
      <c r="L52" s="1" t="n"/>
      <c r="M52" s="1" t="n"/>
      <c r="N52" s="1" t="n"/>
      <c r="O52" s="1" t="n"/>
    </row>
    <row r="53" ht="21" customHeight="1">
      <c r="A53" s="1" t="n"/>
      <c r="B53" s="1" t="n"/>
      <c r="C53" s="1" t="n">
        <v>2026</v>
      </c>
      <c r="D53" s="1" t="n">
        <v>4</v>
      </c>
      <c r="E53" s="1" t="inlineStr">
        <is>
          <t>4 Materialaufwand</t>
        </is>
      </c>
      <c r="F53" s="8" t="n">
        <v>-1520583.11</v>
      </c>
      <c r="G53" s="8" t="n">
        <v>-1520583.11</v>
      </c>
      <c r="H53" s="8">
        <f>G53-F53</f>
        <v/>
      </c>
      <c r="I53" s="8" t="n">
        <v>-6053794.41</v>
      </c>
      <c r="J53" s="8" t="n">
        <v>-6053794.41</v>
      </c>
      <c r="K53" s="1" t="n"/>
      <c r="L53" s="1" t="n"/>
      <c r="M53" s="1" t="n"/>
      <c r="N53" s="1" t="n"/>
      <c r="O53" s="1" t="n"/>
    </row>
    <row r="54" ht="21" customHeight="1">
      <c r="A54" s="1" t="n"/>
      <c r="B54" s="1" t="n"/>
      <c r="C54" s="1" t="n">
        <v>2026</v>
      </c>
      <c r="D54" s="1" t="n">
        <v>4</v>
      </c>
      <c r="E54" s="1" t="inlineStr">
        <is>
          <t>5 Personalaufwand</t>
        </is>
      </c>
      <c r="F54" s="8" t="n">
        <v>-357150.89</v>
      </c>
      <c r="G54" s="8" t="n">
        <v>-383705.5</v>
      </c>
      <c r="H54" s="8">
        <f>G54-F54</f>
        <v/>
      </c>
      <c r="I54" s="8" t="n">
        <v>-1368604.06</v>
      </c>
      <c r="J54" s="8" t="n">
        <v>-1469350.73</v>
      </c>
      <c r="K54" s="1" t="n"/>
      <c r="L54" s="1" t="n"/>
      <c r="M54" s="1" t="n"/>
      <c r="N54" s="1" t="n"/>
      <c r="O54" s="1" t="n"/>
    </row>
    <row r="55" ht="21" customHeight="1">
      <c r="A55" s="1" t="n"/>
      <c r="B55" s="1" t="n"/>
      <c r="C55" s="1" t="n">
        <v>2026</v>
      </c>
      <c r="D55" s="1" t="n">
        <v>4</v>
      </c>
      <c r="E55" s="1" t="inlineStr">
        <is>
          <t>6 Abschreibungen</t>
        </is>
      </c>
      <c r="F55" s="8" t="n">
        <v>-9599.860000000001</v>
      </c>
      <c r="G55" s="8" t="n">
        <v>-9599.860000000001</v>
      </c>
      <c r="H55" s="8">
        <f>G55-F55</f>
        <v/>
      </c>
      <c r="I55" s="8" t="n">
        <v>-38780.96</v>
      </c>
      <c r="J55" s="8" t="n">
        <v>-38780.96</v>
      </c>
      <c r="K55" s="1" t="n"/>
      <c r="L55" s="1" t="n"/>
      <c r="M55" s="1" t="n"/>
      <c r="N55" s="1" t="n"/>
      <c r="O55" s="1" t="n"/>
    </row>
    <row r="56" ht="21" customHeight="1">
      <c r="A56" s="1" t="n"/>
      <c r="B56" s="1" t="n"/>
      <c r="C56" s="1" t="n">
        <v>2026</v>
      </c>
      <c r="D56" s="1" t="n">
        <v>4</v>
      </c>
      <c r="E56" s="1" t="inlineStr">
        <is>
          <t>7 Sonstige betriebliche Aufwendungen</t>
        </is>
      </c>
      <c r="F56" s="8" t="n">
        <v>-264828.91</v>
      </c>
      <c r="G56" s="8" t="n">
        <v>-275785.95</v>
      </c>
      <c r="H56" s="8">
        <f>G56-F56</f>
        <v/>
      </c>
      <c r="I56" s="8" t="n">
        <v>-981637.87</v>
      </c>
      <c r="J56" s="8" t="n">
        <v>-1000742.33</v>
      </c>
      <c r="K56" s="1" t="n"/>
      <c r="L56" s="1" t="n"/>
      <c r="M56" s="1" t="n"/>
      <c r="N56" s="1" t="n"/>
      <c r="O56" s="1" t="n"/>
    </row>
    <row r="57" ht="21" customHeight="1">
      <c r="A57" s="1" t="n"/>
      <c r="B57" s="1" t="n"/>
      <c r="C57" s="1" t="n">
        <v>2026</v>
      </c>
      <c r="D57" s="1" t="n">
        <v>4</v>
      </c>
      <c r="E57" s="1" t="inlineStr">
        <is>
          <t>8 Finanzergebnis</t>
        </is>
      </c>
      <c r="F57" s="8" t="n">
        <v>-8779.92</v>
      </c>
      <c r="G57" s="8" t="n">
        <v>-8779.92</v>
      </c>
      <c r="H57" s="8">
        <f>G57-F57</f>
        <v/>
      </c>
      <c r="I57" s="8" t="n">
        <v>-30970.12</v>
      </c>
      <c r="J57" s="8" t="n">
        <v>-30970.12</v>
      </c>
      <c r="K57" s="1" t="n"/>
      <c r="L57" s="1" t="n"/>
      <c r="M57" s="1" t="n"/>
      <c r="N57" s="1" t="n"/>
      <c r="O57" s="1" t="n"/>
    </row>
    <row r="58" ht="21" customHeight="1">
      <c r="A58" s="1" t="n"/>
      <c r="B58" s="1" t="n"/>
      <c r="C58" s="1" t="n">
        <v>2026</v>
      </c>
      <c r="D58" s="1" t="n">
        <v>5</v>
      </c>
      <c r="E58" s="1" t="inlineStr">
        <is>
          <t>1 Umsatzerlöse</t>
        </is>
      </c>
      <c r="F58" s="8" t="n">
        <v>1347585.48</v>
      </c>
      <c r="G58" s="8" t="n">
        <v>1347585.48</v>
      </c>
      <c r="H58" s="8">
        <f>G58-F58</f>
        <v/>
      </c>
      <c r="I58" s="8" t="n">
        <v>6656280.55</v>
      </c>
      <c r="J58" s="8" t="n">
        <v>6656280.55</v>
      </c>
      <c r="K58" s="1" t="n"/>
      <c r="L58" s="1" t="n"/>
      <c r="M58" s="1" t="n"/>
      <c r="N58" s="1" t="n"/>
      <c r="O58" s="1" t="n"/>
    </row>
    <row r="59" ht="21" customHeight="1">
      <c r="A59" s="1" t="n"/>
      <c r="B59" s="1" t="n"/>
      <c r="C59" s="1" t="n">
        <v>2026</v>
      </c>
      <c r="D59" s="1" t="n">
        <v>5</v>
      </c>
      <c r="E59" s="1" t="inlineStr">
        <is>
          <t>2 Bestandsveränderungen</t>
        </is>
      </c>
      <c r="F59" s="8" t="n">
        <v>-263604.09</v>
      </c>
      <c r="G59" s="8" t="n">
        <v>-263604.09</v>
      </c>
      <c r="H59" s="8">
        <f>G59-F59</f>
        <v/>
      </c>
      <c r="I59" s="8" t="n">
        <v>3276957.63</v>
      </c>
      <c r="J59" s="8" t="n">
        <v>3276957.63</v>
      </c>
      <c r="K59" s="1" t="n"/>
      <c r="L59" s="1" t="n"/>
      <c r="M59" s="1" t="n"/>
      <c r="N59" s="1" t="n"/>
      <c r="O59" s="1" t="n"/>
    </row>
    <row r="60" ht="21" customHeight="1">
      <c r="A60" s="1" t="n"/>
      <c r="B60" s="1" t="n"/>
      <c r="C60" s="1" t="n">
        <v>2026</v>
      </c>
      <c r="D60" s="1" t="n">
        <v>5</v>
      </c>
      <c r="E60" s="1" t="inlineStr">
        <is>
          <t>3 Sonstige betriebliche Erträge</t>
        </is>
      </c>
      <c r="F60" s="8" t="n">
        <v>24678.87</v>
      </c>
      <c r="G60" s="8" t="n">
        <v>24678.87</v>
      </c>
      <c r="H60" s="8">
        <f>G60-F60</f>
        <v/>
      </c>
      <c r="I60" s="8" t="n">
        <v>130372.78</v>
      </c>
      <c r="J60" s="8" t="n">
        <v>130372.78</v>
      </c>
      <c r="K60" s="1" t="n"/>
      <c r="L60" s="1" t="n"/>
      <c r="M60" s="1" t="n"/>
      <c r="N60" s="1" t="n"/>
      <c r="O60" s="1" t="n"/>
    </row>
    <row r="61" ht="21" customHeight="1">
      <c r="C61" s="9" t="n">
        <v>2026</v>
      </c>
      <c r="D61" s="9" t="n">
        <v>5</v>
      </c>
      <c r="E61" s="9" t="inlineStr">
        <is>
          <t>4 Materialaufwand</t>
        </is>
      </c>
      <c r="F61" s="10" t="n">
        <v>-582901.1800000001</v>
      </c>
      <c r="G61" s="10" t="n">
        <v>-582901.1800000001</v>
      </c>
      <c r="H61" s="10">
        <f>G61-F61</f>
        <v/>
      </c>
      <c r="I61" s="10" t="n">
        <v>-6636695.59</v>
      </c>
      <c r="J61" s="10" t="n">
        <v>-6636695.59</v>
      </c>
    </row>
    <row r="62" ht="21" customHeight="1">
      <c r="C62" s="9" t="n">
        <v>2026</v>
      </c>
      <c r="D62" s="9" t="n">
        <v>5</v>
      </c>
      <c r="E62" s="9" t="inlineStr">
        <is>
          <t>5 Personalaufwand</t>
        </is>
      </c>
      <c r="F62" s="10" t="n">
        <v>-403048.35</v>
      </c>
      <c r="G62" s="10" t="n">
        <v>-432453.34</v>
      </c>
      <c r="H62" s="10">
        <f>G62-F62</f>
        <v/>
      </c>
      <c r="I62" s="10" t="n">
        <v>-1771652.41</v>
      </c>
      <c r="J62" s="10" t="n">
        <v>-1901804.07</v>
      </c>
    </row>
    <row r="63" ht="21" customHeight="1">
      <c r="C63" s="9" t="n">
        <v>2026</v>
      </c>
      <c r="D63" s="9" t="n">
        <v>5</v>
      </c>
      <c r="E63" s="9" t="inlineStr">
        <is>
          <t>6 Abschreibungen</t>
        </is>
      </c>
      <c r="F63" s="10" t="n">
        <v>-9655.030000000001</v>
      </c>
      <c r="G63" s="10" t="n">
        <v>-9655.030000000001</v>
      </c>
      <c r="H63" s="10">
        <f>G63-F63</f>
        <v/>
      </c>
      <c r="I63" s="10" t="n">
        <v>-48435.99</v>
      </c>
      <c r="J63" s="10" t="n">
        <v>-48435.99</v>
      </c>
    </row>
    <row r="64" ht="21" customHeight="1">
      <c r="C64" s="9" t="n">
        <v>2026</v>
      </c>
      <c r="D64" s="9" t="n">
        <v>5</v>
      </c>
      <c r="E64" s="9" t="inlineStr">
        <is>
          <t>7 Sonstige betriebliche Aufwendungen</t>
        </is>
      </c>
      <c r="F64" s="10" t="n">
        <v>-234086.27</v>
      </c>
      <c r="G64" s="10" t="n">
        <v>-237116.93</v>
      </c>
      <c r="H64" s="10">
        <f>G64-F64</f>
        <v/>
      </c>
      <c r="I64" s="10" t="n">
        <v>-1215724.14</v>
      </c>
      <c r="J64" s="10" t="n">
        <v>-1237859.26</v>
      </c>
    </row>
    <row r="65" ht="21" customHeight="1">
      <c r="C65" s="9" t="n">
        <v>2026</v>
      </c>
      <c r="D65" s="9" t="n">
        <v>5</v>
      </c>
      <c r="E65" s="9" t="inlineStr">
        <is>
          <t>8 Finanzergebnis</t>
        </is>
      </c>
      <c r="F65" s="10" t="n">
        <v>-15584.75</v>
      </c>
      <c r="G65" s="10" t="n">
        <v>-15584.75</v>
      </c>
      <c r="H65" s="10">
        <f>G65-F65</f>
        <v/>
      </c>
      <c r="I65" s="10" t="n">
        <v>-46554.87</v>
      </c>
      <c r="J65" s="10" t="n">
        <v>-46554.87</v>
      </c>
    </row>
    <row r="66" ht="21" customHeight="1">
      <c r="C66" s="9" t="n">
        <v>2026</v>
      </c>
      <c r="D66" s="9" t="n">
        <v>6</v>
      </c>
      <c r="E66" s="9" t="inlineStr">
        <is>
          <t>1 Umsatzerlöse</t>
        </is>
      </c>
      <c r="F66" s="10" t="n">
        <v>2470042.1</v>
      </c>
      <c r="G66" s="10" t="n">
        <v>2470042.1</v>
      </c>
      <c r="H66" s="10">
        <f>G66-F66</f>
        <v/>
      </c>
      <c r="I66" s="10" t="n">
        <v>9126322.65</v>
      </c>
      <c r="J66" s="10" t="n">
        <v>9126322.65</v>
      </c>
    </row>
    <row r="67" ht="21" customHeight="1">
      <c r="C67" s="9" t="n">
        <v>2026</v>
      </c>
      <c r="D67" s="9" t="n">
        <v>6</v>
      </c>
      <c r="E67" s="9" t="inlineStr">
        <is>
          <t>2 Bestandsveränderungen</t>
        </is>
      </c>
      <c r="F67" s="10" t="n">
        <v>314645.23</v>
      </c>
      <c r="G67" s="10" t="n">
        <v>314645.23</v>
      </c>
      <c r="H67" s="10">
        <f>G67-F67</f>
        <v/>
      </c>
      <c r="I67" s="10" t="n">
        <v>3591602.86</v>
      </c>
      <c r="J67" s="10" t="n">
        <v>3591602.86</v>
      </c>
    </row>
    <row r="68" ht="21" customHeight="1">
      <c r="C68" s="9" t="n">
        <v>2026</v>
      </c>
      <c r="D68" s="9" t="n">
        <v>6</v>
      </c>
      <c r="E68" s="9" t="inlineStr">
        <is>
          <t>3 Sonstige betriebliche Erträge</t>
        </is>
      </c>
      <c r="F68" s="10" t="n">
        <v>17068.34</v>
      </c>
      <c r="G68" s="10" t="n">
        <v>17068.34</v>
      </c>
      <c r="H68" s="10">
        <f>G68-F68</f>
        <v/>
      </c>
      <c r="I68" s="10" t="n">
        <v>147441.12</v>
      </c>
      <c r="J68" s="10" t="n">
        <v>147441.12</v>
      </c>
    </row>
    <row r="69" ht="21" customHeight="1">
      <c r="C69" s="9" t="n">
        <v>2026</v>
      </c>
      <c r="D69" s="9" t="n">
        <v>6</v>
      </c>
      <c r="E69" s="9" t="inlineStr">
        <is>
          <t>4 Materialaufwand</t>
        </is>
      </c>
      <c r="F69" s="10" t="n">
        <v>-2109049.83</v>
      </c>
      <c r="G69" s="10" t="n">
        <v>-2109049.83</v>
      </c>
      <c r="H69" s="10">
        <f>G69-F69</f>
        <v/>
      </c>
      <c r="I69" s="10" t="n">
        <v>-8745745.42</v>
      </c>
      <c r="J69" s="10" t="n">
        <v>-8745745.42</v>
      </c>
    </row>
    <row r="70" ht="21" customHeight="1">
      <c r="C70" s="9" t="n">
        <v>2026</v>
      </c>
      <c r="D70" s="9" t="n">
        <v>6</v>
      </c>
      <c r="E70" s="9" t="inlineStr">
        <is>
          <t>5 Personalaufwand</t>
        </is>
      </c>
      <c r="F70" s="10" t="n">
        <v>-353856.95</v>
      </c>
      <c r="G70" s="10" t="n">
        <v>-378900.06</v>
      </c>
      <c r="H70" s="10">
        <f>G70-F70</f>
        <v/>
      </c>
      <c r="I70" s="10" t="n">
        <v>-2125509.36</v>
      </c>
      <c r="J70" s="10" t="n">
        <v>-2280704.13</v>
      </c>
    </row>
    <row r="71" ht="21" customHeight="1">
      <c r="C71" s="9" t="n">
        <v>2026</v>
      </c>
      <c r="D71" s="9" t="n">
        <v>6</v>
      </c>
      <c r="E71" s="9" t="inlineStr">
        <is>
          <t>6 Abschreibungen</t>
        </is>
      </c>
      <c r="F71" s="10" t="n">
        <v>-9047.959999999999</v>
      </c>
      <c r="G71" s="10" t="n">
        <v>-9047.959999999999</v>
      </c>
      <c r="H71" s="10">
        <f>G71-F71</f>
        <v/>
      </c>
      <c r="I71" s="10" t="n">
        <v>-57483.95</v>
      </c>
      <c r="J71" s="10" t="n">
        <v>-57483.95</v>
      </c>
    </row>
    <row r="72" ht="21" customHeight="1">
      <c r="C72" s="9" t="n">
        <v>2026</v>
      </c>
      <c r="D72" s="9" t="n">
        <v>6</v>
      </c>
      <c r="E72" s="9" t="inlineStr">
        <is>
          <t>7 Sonstige betriebliche Aufwendungen</t>
        </is>
      </c>
      <c r="F72" s="10" t="n">
        <v>-250482.55</v>
      </c>
      <c r="G72" s="10" t="n">
        <v>-255251.92</v>
      </c>
      <c r="H72" s="10">
        <f>G72-F72</f>
        <v/>
      </c>
      <c r="I72" s="10" t="n">
        <v>-1466206.69</v>
      </c>
      <c r="J72" s="10" t="n">
        <v>-1493111.18</v>
      </c>
    </row>
    <row r="73" ht="21" customHeight="1">
      <c r="C73" s="9" t="n">
        <v>2026</v>
      </c>
      <c r="D73" s="9" t="n">
        <v>6</v>
      </c>
      <c r="E73" s="9" t="inlineStr">
        <is>
          <t>8 Finanzergebnis</t>
        </is>
      </c>
      <c r="F73" s="10" t="n">
        <v>-12828.32</v>
      </c>
      <c r="G73" s="10" t="n">
        <v>-12828.32</v>
      </c>
      <c r="H73" s="10">
        <f>G73-F73</f>
        <v/>
      </c>
      <c r="I73" s="10" t="n">
        <v>-59383.19</v>
      </c>
      <c r="J73" s="10" t="n">
        <v>-59383.19</v>
      </c>
    </row>
    <row r="74" ht="21" customHeight="1">
      <c r="C74" s="9" t="n">
        <v>2026</v>
      </c>
      <c r="D74" s="9" t="n">
        <v>7</v>
      </c>
      <c r="E74" s="9" t="inlineStr">
        <is>
          <t>1 Umsatzerlöse</t>
        </is>
      </c>
      <c r="F74" s="10" t="n">
        <v>1323928.2</v>
      </c>
      <c r="G74" s="10" t="n">
        <v>1323928.2</v>
      </c>
      <c r="H74" s="10">
        <f>G74-F74</f>
        <v/>
      </c>
      <c r="I74" s="10" t="n">
        <v>10450250.85</v>
      </c>
      <c r="J74" s="10" t="n">
        <v>10450250.85</v>
      </c>
    </row>
    <row r="75" ht="21" customHeight="1">
      <c r="C75" s="9" t="n">
        <v>2026</v>
      </c>
      <c r="D75" s="9" t="n">
        <v>7</v>
      </c>
      <c r="E75" s="9" t="inlineStr">
        <is>
          <t>2 Bestandsveränderungen</t>
        </is>
      </c>
      <c r="F75" s="10" t="n">
        <v>294716.46</v>
      </c>
      <c r="G75" s="10" t="n">
        <v>294716.46</v>
      </c>
      <c r="H75" s="10">
        <f>G75-F75</f>
        <v/>
      </c>
      <c r="I75" s="10" t="n">
        <v>3886319.32</v>
      </c>
      <c r="J75" s="10" t="n">
        <v>3886319.32</v>
      </c>
    </row>
    <row r="76" ht="21" customHeight="1">
      <c r="C76" s="9" t="n">
        <v>2026</v>
      </c>
      <c r="D76" s="9" t="n">
        <v>7</v>
      </c>
      <c r="E76" s="9" t="inlineStr">
        <is>
          <t>3 Sonstige betriebliche Erträge</t>
        </is>
      </c>
      <c r="F76" s="10" t="n">
        <v>15326.23</v>
      </c>
      <c r="G76" s="10" t="n">
        <v>15326.23</v>
      </c>
      <c r="H76" s="10">
        <f>G76-F76</f>
        <v/>
      </c>
      <c r="I76" s="10" t="n">
        <v>162767.35</v>
      </c>
      <c r="J76" s="10" t="n">
        <v>162767.35</v>
      </c>
    </row>
    <row r="77" ht="21" customHeight="1">
      <c r="C77" s="9" t="n">
        <v>2026</v>
      </c>
      <c r="D77" s="9" t="n">
        <v>7</v>
      </c>
      <c r="E77" s="9" t="inlineStr">
        <is>
          <t>4 Materialaufwand</t>
        </is>
      </c>
      <c r="F77" s="10" t="n">
        <v>-1512452.36</v>
      </c>
      <c r="G77" s="10" t="n">
        <v>-1512452.36</v>
      </c>
      <c r="H77" s="10">
        <f>G77-F77</f>
        <v/>
      </c>
      <c r="I77" s="10" t="n">
        <v>-10258197.78</v>
      </c>
      <c r="J77" s="10" t="n">
        <v>-10258197.78</v>
      </c>
    </row>
    <row r="78" ht="21" customHeight="1">
      <c r="C78" s="9" t="n">
        <v>2026</v>
      </c>
      <c r="D78" s="9" t="n">
        <v>7</v>
      </c>
      <c r="E78" s="9" t="inlineStr">
        <is>
          <t>5 Personalaufwand</t>
        </is>
      </c>
      <c r="F78" s="10" t="n">
        <v>-545589.77</v>
      </c>
      <c r="G78" s="10" t="n">
        <v>-390395</v>
      </c>
      <c r="H78" s="10">
        <f>G78-F78</f>
        <v/>
      </c>
      <c r="I78" s="10" t="n">
        <v>-2671099.13</v>
      </c>
      <c r="J78" s="10" t="n">
        <v>-2671099.13</v>
      </c>
    </row>
    <row r="79" ht="21" customHeight="1">
      <c r="C79" s="9" t="n">
        <v>2026</v>
      </c>
      <c r="D79" s="9" t="n">
        <v>7</v>
      </c>
      <c r="E79" s="9" t="inlineStr">
        <is>
          <t>6 Abschreibungen</t>
        </is>
      </c>
      <c r="F79" s="10" t="n">
        <v>-9082.969999999999</v>
      </c>
      <c r="G79" s="10" t="n">
        <v>-9082.969999999999</v>
      </c>
      <c r="H79" s="10">
        <f>G79-F79</f>
        <v/>
      </c>
      <c r="I79" s="10" t="n">
        <v>-66566.92</v>
      </c>
      <c r="J79" s="10" t="n">
        <v>-66566.92</v>
      </c>
    </row>
    <row r="80" ht="21" customHeight="1">
      <c r="C80" s="9" t="n">
        <v>2026</v>
      </c>
      <c r="D80" s="9" t="n">
        <v>7</v>
      </c>
      <c r="E80" s="9" t="inlineStr">
        <is>
          <t>7 Sonstige betriebliche Aufwendungen</t>
        </is>
      </c>
      <c r="F80" s="10" t="n">
        <v>-272150.56</v>
      </c>
      <c r="G80" s="10" t="n">
        <v>-245246.07</v>
      </c>
      <c r="H80" s="10">
        <f>G80-F80</f>
        <v/>
      </c>
      <c r="I80" s="10" t="n">
        <v>-1738357.25</v>
      </c>
      <c r="J80" s="10" t="n">
        <v>-1738357.25</v>
      </c>
    </row>
    <row r="81" ht="21" customHeight="1">
      <c r="C81" s="9" t="n">
        <v>2026</v>
      </c>
      <c r="D81" s="9" t="n">
        <v>7</v>
      </c>
      <c r="E81" s="9" t="inlineStr">
        <is>
          <t>8 Finanzergebnis</t>
        </is>
      </c>
      <c r="F81" s="10" t="n">
        <v>-8079.09</v>
      </c>
      <c r="G81" s="10" t="n">
        <v>-8079.09</v>
      </c>
      <c r="H81" s="10">
        <f>G81-F81</f>
        <v/>
      </c>
      <c r="I81" s="10" t="n">
        <v>-67462.28</v>
      </c>
      <c r="J81" s="10" t="n">
        <v>-67462.28</v>
      </c>
    </row>
    <row r="82" ht="21" customHeight="1">
      <c r="C82" s="9" t="n">
        <v>2026</v>
      </c>
      <c r="D82" s="9" t="n">
        <v>8</v>
      </c>
      <c r="E82" s="9" t="inlineStr">
        <is>
          <t>1 Umsatzerlöse</t>
        </is>
      </c>
      <c r="F82" s="10" t="n">
        <v>776739.84</v>
      </c>
      <c r="G82" s="10" t="n">
        <v>854339.84</v>
      </c>
      <c r="H82" s="10">
        <f>G82-F82</f>
        <v/>
      </c>
      <c r="I82" s="10" t="n">
        <v>11226990.69</v>
      </c>
      <c r="J82" s="10" t="n">
        <v>11304590.69</v>
      </c>
    </row>
    <row r="83" ht="21" customHeight="1">
      <c r="C83" s="9" t="n">
        <v>2026</v>
      </c>
      <c r="D83" s="9" t="n">
        <v>8</v>
      </c>
      <c r="E83" s="9" t="inlineStr">
        <is>
          <t>2 Bestandsveränderungen</t>
        </is>
      </c>
      <c r="F83" s="10" t="n">
        <v>980398.13</v>
      </c>
      <c r="G83" s="10" t="n">
        <v>1022525.14</v>
      </c>
      <c r="H83" s="10">
        <f>G83-F83</f>
        <v/>
      </c>
      <c r="I83" s="10" t="n">
        <v>4866717.45</v>
      </c>
      <c r="J83" s="10" t="n">
        <v>4908844.46</v>
      </c>
    </row>
    <row r="84" ht="21" customHeight="1">
      <c r="C84" s="9" t="n">
        <v>2026</v>
      </c>
      <c r="D84" s="9" t="n">
        <v>8</v>
      </c>
      <c r="E84" s="9" t="inlineStr">
        <is>
          <t>3 Sonstige betriebliche Erträge</t>
        </is>
      </c>
      <c r="F84" s="10" t="n">
        <v>13477.03</v>
      </c>
      <c r="G84" s="10" t="n">
        <v>14281.36</v>
      </c>
      <c r="H84" s="10">
        <f>G84-F84</f>
        <v/>
      </c>
      <c r="I84" s="10" t="n">
        <v>176244.38</v>
      </c>
      <c r="J84" s="10" t="n">
        <v>177048.71</v>
      </c>
    </row>
    <row r="85" ht="21" customHeight="1">
      <c r="C85" s="9" t="n">
        <v>2026</v>
      </c>
      <c r="D85" s="9" t="n">
        <v>8</v>
      </c>
      <c r="E85" s="9" t="inlineStr">
        <is>
          <t>4 Materialaufwand</t>
        </is>
      </c>
      <c r="F85" s="10" t="n">
        <v>-1564382.3</v>
      </c>
      <c r="G85" s="10" t="n">
        <v>-1436882.3</v>
      </c>
      <c r="H85" s="10">
        <f>G85-F85</f>
        <v/>
      </c>
      <c r="I85" s="10" t="n">
        <v>-11822580.08</v>
      </c>
      <c r="J85" s="10" t="n">
        <v>-11695080.08</v>
      </c>
    </row>
    <row r="86" ht="21" customHeight="1">
      <c r="C86" s="9" t="n">
        <v>2026</v>
      </c>
      <c r="D86" s="9" t="n">
        <v>8</v>
      </c>
      <c r="E86" s="9" t="inlineStr">
        <is>
          <t>5 Personalaufwand</t>
        </is>
      </c>
      <c r="F86" s="10" t="n">
        <v>-429864.59</v>
      </c>
      <c r="G86" s="10" t="n">
        <v>-399129.54</v>
      </c>
      <c r="H86" s="10">
        <f>G86-F86</f>
        <v/>
      </c>
      <c r="I86" s="10" t="n">
        <v>-3100963.72</v>
      </c>
      <c r="J86" s="10" t="n">
        <v>-3070228.67</v>
      </c>
    </row>
    <row r="87" ht="21" customHeight="1">
      <c r="C87" s="9" t="n">
        <v>2026</v>
      </c>
      <c r="D87" s="9" t="n">
        <v>8</v>
      </c>
      <c r="E87" s="9" t="inlineStr">
        <is>
          <t>6 Abschreibungen</t>
        </is>
      </c>
      <c r="F87" s="10" t="n">
        <v>-9109.85</v>
      </c>
      <c r="G87" s="10" t="n">
        <v>-9109.85</v>
      </c>
      <c r="H87" s="10">
        <f>G87-F87</f>
        <v/>
      </c>
      <c r="I87" s="10" t="n">
        <v>-75676.77</v>
      </c>
      <c r="J87" s="10" t="n">
        <v>-75676.77</v>
      </c>
    </row>
    <row r="88" ht="21" customHeight="1">
      <c r="C88" s="9" t="n">
        <v>2026</v>
      </c>
      <c r="D88" s="9" t="n">
        <v>8</v>
      </c>
      <c r="E88" s="9" t="inlineStr">
        <is>
          <t>7 Sonstige betriebliche Aufwendungen</t>
        </is>
      </c>
      <c r="F88" s="10" t="n">
        <v>-191884.67</v>
      </c>
      <c r="G88" s="10" t="n">
        <v>-191884.67</v>
      </c>
      <c r="H88" s="10">
        <f>G88-F88</f>
        <v/>
      </c>
      <c r="I88" s="10" t="n">
        <v>-1930241.92</v>
      </c>
      <c r="J88" s="10" t="n">
        <v>-1930241.92</v>
      </c>
    </row>
    <row r="89" ht="21" customHeight="1">
      <c r="C89" s="9" t="n">
        <v>2026</v>
      </c>
      <c r="D89" s="9" t="n">
        <v>8</v>
      </c>
      <c r="E89" s="9" t="inlineStr">
        <is>
          <t>8 Finanzergebnis</t>
        </is>
      </c>
      <c r="F89" s="10" t="n">
        <v>-12425.47</v>
      </c>
      <c r="G89" s="10" t="n">
        <v>-12425.47</v>
      </c>
      <c r="H89" s="10">
        <f>G89-F89</f>
        <v/>
      </c>
      <c r="I89" s="10" t="n">
        <v>-79887.75</v>
      </c>
      <c r="J89" s="10" t="n">
        <v>-79887.75</v>
      </c>
    </row>
    <row r="90"/>
    <row r="91"/>
    <row r="92"/>
    <row r="93"/>
    <row r="94" ht="26" customHeight="1">
      <c r="C94" s="11" t="inlineStr">
        <is>
          <t>Golden Tests und offene Punkte des Referenzstands</t>
        </is>
      </c>
    </row>
    <row r="95"/>
    <row r="96" ht="36" customHeight="1">
      <c r="C96" s="5" t="inlineStr">
        <is>
          <t>id</t>
        </is>
      </c>
      <c r="D96" s="5" t="inlineStr">
        <is>
          <t>kennzahl</t>
        </is>
      </c>
      <c r="E96" s="5" t="inlineStr">
        <is>
          <t>soll</t>
        </is>
      </c>
      <c r="F96" s="5" t="inlineStr">
        <is>
          <t>einheit</t>
        </is>
      </c>
      <c r="G96" s="5" t="inlineStr">
        <is>
          <t>quelle</t>
        </is>
      </c>
      <c r="H96" s="5" t="inlineStr">
        <is>
          <t>regel</t>
        </is>
      </c>
    </row>
    <row r="97" ht="21" customHeight="1">
      <c r="C97" s="9" t="inlineStr">
        <is>
          <t>GT-01</t>
        </is>
      </c>
      <c r="D97" s="9" t="inlineStr">
        <is>
          <t>Gesamtleistung YTD 07/2026</t>
        </is>
      </c>
      <c r="E97" s="9" t="n">
        <v>14337</v>
      </c>
      <c r="F97" s="9" t="inlineStr">
        <is>
          <t>T€</t>
        </is>
      </c>
      <c r="G97" s="9" t="inlineStr">
        <is>
          <t>Ergebnisbericht Juli 2026</t>
        </is>
      </c>
      <c r="H97" s="9" t="inlineStr">
        <is>
          <t>Neues Modell muss Wert reproduzieren</t>
        </is>
      </c>
    </row>
    <row r="98" ht="21" customHeight="1">
      <c r="C98" s="9" t="inlineStr">
        <is>
          <t>GT-02</t>
        </is>
      </c>
      <c r="D98" s="9" t="inlineStr">
        <is>
          <t>EBITDA YTD 07/2026</t>
        </is>
      </c>
      <c r="E98" s="9" t="n">
        <v>-123</v>
      </c>
      <c r="F98" s="9" t="inlineStr">
        <is>
          <t>T€</t>
        </is>
      </c>
      <c r="G98" s="9" t="inlineStr">
        <is>
          <t>Ergebnisbericht Juli 2026</t>
        </is>
      </c>
      <c r="H98" s="9" t="inlineStr">
        <is>
          <t>Neues Modell muss Wert reproduzieren</t>
        </is>
      </c>
    </row>
    <row r="99" ht="21" customHeight="1">
      <c r="C99" s="9" t="inlineStr">
        <is>
          <t>GT-03</t>
        </is>
      </c>
      <c r="D99" s="9" t="inlineStr">
        <is>
          <t>EBITDA YTD nach neutralen Kosten</t>
        </is>
      </c>
      <c r="E99" s="9" t="n">
        <v>-171</v>
      </c>
      <c r="F99" s="9" t="inlineStr">
        <is>
          <t>T€</t>
        </is>
      </c>
      <c r="G99" s="9" t="inlineStr">
        <is>
          <t>Ergebnisbericht Juli 2026</t>
        </is>
      </c>
      <c r="H99" s="9" t="inlineStr">
        <is>
          <t>Neues Modell muss Wert reproduzieren</t>
        </is>
      </c>
    </row>
    <row r="100" ht="21" customHeight="1">
      <c r="C100" s="9" t="inlineStr">
        <is>
          <t>GT-04</t>
        </is>
      </c>
      <c r="D100" s="9" t="inlineStr">
        <is>
          <t>EBITDA IST + Forecast 2026</t>
        </is>
      </c>
      <c r="E100" s="9" t="n">
        <v>210</v>
      </c>
      <c r="F100" s="9" t="inlineStr">
        <is>
          <t>T€</t>
        </is>
      </c>
      <c r="G100" s="9" t="inlineStr">
        <is>
          <t>Ergebnisbericht Juli 2026</t>
        </is>
      </c>
      <c r="H100" s="9" t="inlineStr">
        <is>
          <t>IST Jan-Jul + FC Aug-Dez</t>
        </is>
      </c>
    </row>
    <row r="101" ht="21" customHeight="1">
      <c r="C101" s="9" t="inlineStr">
        <is>
          <t>GT-05</t>
        </is>
      </c>
      <c r="D101" s="9" t="inlineStr">
        <is>
          <t>EBITDA vor verlustfreier Bewertung IST+FC</t>
        </is>
      </c>
      <c r="E101" s="9" t="n">
        <v>950</v>
      </c>
      <c r="F101" s="9" t="inlineStr">
        <is>
          <t>T€</t>
        </is>
      </c>
      <c r="G101" s="9" t="inlineStr">
        <is>
          <t>Ergebnisbericht Juli 2026</t>
        </is>
      </c>
      <c r="H101" s="9" t="inlineStr">
        <is>
          <t>Bewertung separat halten</t>
        </is>
      </c>
    </row>
    <row r="102" ht="21" customHeight="1">
      <c r="C102" s="9" t="inlineStr">
        <is>
          <t>GT-06</t>
        </is>
      </c>
      <c r="D102" s="9" t="inlineStr">
        <is>
          <t>Echte Werkvertragsleistung 2026</t>
        </is>
      </c>
      <c r="E102" s="9" t="n">
        <v>5487599</v>
      </c>
      <c r="F102" s="9" t="inlineStr">
        <is>
          <t>EUR</t>
        </is>
      </c>
      <c r="G102" s="9" t="inlineStr">
        <is>
          <t>Fremdleistungsanalyse</t>
        </is>
      </c>
      <c r="H102" s="9" t="inlineStr">
        <is>
          <t>62,6 % des Sammelkontos</t>
        </is>
      </c>
    </row>
    <row r="103" ht="21" customHeight="1">
      <c r="C103" s="9" t="inlineStr">
        <is>
          <t>GT-07</t>
        </is>
      </c>
      <c r="D103" s="9" t="inlineStr">
        <is>
          <t>Werkvertragsanteil bereinigt 2026</t>
        </is>
      </c>
      <c r="E103" s="9" t="n">
        <v>62.6</v>
      </c>
      <c r="F103" s="9" t="inlineStr">
        <is>
          <t>%</t>
        </is>
      </c>
      <c r="G103" s="9" t="inlineStr">
        <is>
          <t>Fremdleistungsanalyse</t>
        </is>
      </c>
      <c r="H103" s="9" t="inlineStr">
        <is>
          <t>Nicht mit 72 % aus Sammelkonto gleichsetzen</t>
        </is>
      </c>
    </row>
    <row r="104" ht="21" customHeight="1">
      <c r="C104" s="9" t="inlineStr">
        <is>
          <t>GT-08</t>
        </is>
      </c>
      <c r="D104" s="9" t="inlineStr">
        <is>
          <t>Ziel Werkvertragsleistung 2027</t>
        </is>
      </c>
      <c r="E104" s="9" t="n">
        <v>4938839</v>
      </c>
      <c r="F104" s="9" t="inlineStr">
        <is>
          <t>EUR</t>
        </is>
      </c>
      <c r="G104" s="9" t="inlineStr">
        <is>
          <t>Fremdleistungsanalyse</t>
        </is>
      </c>
      <c r="H104" s="9" t="inlineStr">
        <is>
          <t>2026 Basis minus 10 %</t>
        </is>
      </c>
    </row>
    <row r="105" ht="21" customHeight="1">
      <c r="C105" s="9" t="inlineStr">
        <is>
          <t>GT-09</t>
        </is>
      </c>
      <c r="D105" s="9" t="inlineStr">
        <is>
          <t>Ziel Werkvertragsanteil 2027</t>
        </is>
      </c>
      <c r="E105" s="9" t="n">
        <v>56.4</v>
      </c>
      <c r="F105" s="9" t="inlineStr">
        <is>
          <t>%</t>
        </is>
      </c>
      <c r="G105" s="9" t="inlineStr">
        <is>
          <t>Fremdleistungsanalyse</t>
        </is>
      </c>
      <c r="H105" s="9" t="inlineStr">
        <is>
          <t>Nach operativer Reduktion</t>
        </is>
      </c>
    </row>
    <row r="106" ht="21" customHeight="1">
      <c r="C106" s="9" t="inlineStr">
        <is>
          <t>GT-10</t>
        </is>
      </c>
      <c r="D106" s="9" t="inlineStr">
        <is>
          <t>Gesamtaufwand YTD 07/2026</t>
        </is>
      </c>
      <c r="E106" s="9" t="n">
        <v>14667968</v>
      </c>
      <c r="F106" s="9" t="inlineStr">
        <is>
          <t>EUR</t>
        </is>
      </c>
      <c r="G106" s="9" t="inlineStr">
        <is>
          <t>Kostenstruktur</t>
        </is>
      </c>
      <c r="H106" s="9" t="inlineStr">
        <is>
          <t>Bezogene Leistungen + Personal + sonst. betr. Aufwand</t>
        </is>
      </c>
    </row>
    <row r="107"/>
    <row r="108"/>
    <row r="109"/>
    <row r="110" ht="26" customHeight="1">
      <c r="C110" s="11" t="inlineStr">
        <is>
          <t>Offene Punkte laut Originalreferenz</t>
        </is>
      </c>
    </row>
    <row r="111"/>
    <row r="112" ht="36" customHeight="1">
      <c r="C112" s="5" t="inlineStr">
        <is>
          <t>nr</t>
        </is>
      </c>
      <c r="D112" s="5" t="inlineStr">
        <is>
          <t>thema</t>
        </is>
      </c>
      <c r="E112" s="5" t="inlineStr">
        <is>
          <t>begruendung</t>
        </is>
      </c>
      <c r="F112" s="5" t="inlineStr">
        <is>
          <t>status</t>
        </is>
      </c>
      <c r="G112" s="5" t="inlineStr">
        <is>
          <t>schritt</t>
        </is>
      </c>
    </row>
    <row r="113" ht="65" customHeight="1">
      <c r="C113" s="12" t="inlineStr">
        <is>
          <t>1</t>
        </is>
      </c>
      <c r="D113" s="12" t="inlineStr">
        <is>
          <t>Schichten</t>
        </is>
      </c>
      <c r="E113" s="12" t="inlineStr">
        <is>
          <t>Richtigkeit und Vollständigkeit der Schichten müssen fachlich geprüft werden.</t>
        </is>
      </c>
      <c r="F113" s="12" t="inlineStr">
        <is>
          <t>OFFEN</t>
        </is>
      </c>
      <c r="G113" s="12" t="inlineStr">
        <is>
          <t>Abnahme je Schicht</t>
        </is>
      </c>
    </row>
    <row r="114" ht="65" customHeight="1">
      <c r="C114" s="12" t="inlineStr">
        <is>
          <t>2</t>
        </is>
      </c>
      <c r="D114" s="12" t="inlineStr">
        <is>
          <t>Forecast-Rechte</t>
        </is>
      </c>
      <c r="E114" s="12" t="inlineStr">
        <is>
          <t>User-Liste bestimmt, wer Forecast sehen/eingeben darf.</t>
        </is>
      </c>
      <c r="F114" s="12" t="inlineStr">
        <is>
          <t>OFFEN</t>
        </is>
      </c>
      <c r="G114" s="12" t="inlineStr">
        <is>
          <t>Rollenmodell gegen User-Liste</t>
        </is>
      </c>
    </row>
    <row r="115" ht="65" customHeight="1">
      <c r="C115" s="12" t="inlineStr">
        <is>
          <t>3</t>
        </is>
      </c>
      <c r="D115" s="12" t="inlineStr">
        <is>
          <t>SAP-Bezeichnungen</t>
        </is>
      </c>
      <c r="E115" s="12" t="inlineStr">
        <is>
          <t>Einige Bezeichnungen unterscheiden sich zwischen SAP und Controlling.</t>
        </is>
      </c>
      <c r="F115" s="12" t="inlineStr">
        <is>
          <t>OFFEN</t>
        </is>
      </c>
      <c r="G115" s="12" t="inlineStr">
        <is>
          <t>Mapping fachlich bestätigen</t>
        </is>
      </c>
    </row>
    <row r="116" ht="65" customHeight="1">
      <c r="C116" s="12" t="inlineStr">
        <is>
          <t>4</t>
        </is>
      </c>
      <c r="D116" s="12" t="inlineStr">
        <is>
          <t>Fremdleistungen</t>
        </is>
      </c>
      <c r="E116" s="12" t="inlineStr">
        <is>
          <t>Bedienpersonal und Nicht-Kreditoren müssen vertraglich/gegenkontenseitig geklärt werden.</t>
        </is>
      </c>
      <c r="F116" s="12" t="inlineStr">
        <is>
          <t>OFFEN</t>
        </is>
      </c>
      <c r="G116" s="12" t="inlineStr">
        <is>
          <t>Verträge/Gegenkonten prüfen</t>
        </is>
      </c>
    </row>
    <row r="117" ht="65" customHeight="1">
      <c r="C117" s="12" t="inlineStr">
        <is>
          <t>5</t>
        </is>
      </c>
      <c r="D117" s="12" t="inlineStr">
        <is>
          <t>Bewertung</t>
        </is>
      </c>
      <c r="E117" s="12" t="inlineStr">
        <is>
          <t>Marggrafenbrücke und BASF O 405D sind als offene Bewertungsthemen dokumentiert.</t>
        </is>
      </c>
      <c r="F117" s="12" t="inlineStr">
        <is>
          <t>OFFEN</t>
        </is>
      </c>
      <c r="G117" s="12" t="inlineStr">
        <is>
          <t>Entscheidung/Ansatz dokumentieren</t>
        </is>
      </c>
    </row>
    <row r="118" ht="65" customHeight="1">
      <c r="C118" s="12" t="inlineStr">
        <is>
          <t>6</t>
        </is>
      </c>
      <c r="D118" s="12" t="inlineStr">
        <is>
          <t>PPTX-Abnahme</t>
        </is>
      </c>
      <c r="E118" s="12" t="inlineStr">
        <is>
          <t>PPTX ist Referenz, nicht Quelle.</t>
        </is>
      </c>
      <c r="F118" s="12" t="inlineStr">
        <is>
          <t>OFFEN</t>
        </is>
      </c>
      <c r="G118" s="12" t="inlineStr">
        <is>
          <t>Abnahmewerte je KPI separat führen</t>
        </is>
      </c>
    </row>
    <row r="119" ht="65" customHeight="1">
      <c r="C119" s="12" t="inlineStr">
        <is>
          <t>7</t>
        </is>
      </c>
      <c r="D119" s="12" t="inlineStr">
        <is>
          <t>Liquidität</t>
        </is>
      </c>
      <c r="E119" s="12" t="inlineStr">
        <is>
          <t>Zahlungslogik und GuV-Logik dürfen nicht vermischt werden.</t>
        </is>
      </c>
      <c r="F119" s="12" t="inlineStr">
        <is>
          <t>OFFEN</t>
        </is>
      </c>
      <c r="G119" s="12" t="inlineStr">
        <is>
          <t>Zahlungsannahmen dokumentieren</t>
        </is>
      </c>
    </row>
    <row r="122">
      <c r="C122" t="inlineStr">
        <is>
          <t>SharePoint-Verknüpfungen (Dateien im selben Ordner)</t>
        </is>
      </c>
    </row>
    <row r="123">
      <c r="C123" t="inlineStr">
        <is>
          <t>Diese Datei</t>
        </is>
      </c>
      <c r="D123" t="inlineStr">
        <is>
          <t>Prüfungen.xlsx</t>
        </is>
      </c>
    </row>
    <row r="124">
      <c r="C124" t="inlineStr">
        <is>
          <t>Liest aus</t>
        </is>
      </c>
      <c r="D124" t="inlineStr">
        <is>
          <t>Bilanz.xlsx</t>
        </is>
      </c>
      <c r="E124" t="inlineStr">
        <is>
          <t>Bilanz</t>
        </is>
      </c>
    </row>
    <row r="125">
      <c r="C125" t="inlineStr">
        <is>
          <t>Liest aus</t>
        </is>
      </c>
      <c r="D125" t="inlineStr">
        <is>
          <t>D Finanzen.xlsx</t>
        </is>
      </c>
      <c r="E125" t="inlineStr">
        <is>
          <t>D Finanzen</t>
        </is>
      </c>
    </row>
    <row r="126">
      <c r="C126" t="inlineStr">
        <is>
          <t>Liest aus</t>
        </is>
      </c>
      <c r="D126" t="inlineStr">
        <is>
          <t>D KLR.xlsx</t>
        </is>
      </c>
      <c r="E126" t="inlineStr">
        <is>
          <t>D KLR</t>
        </is>
      </c>
    </row>
    <row r="127">
      <c r="C127" t="inlineStr">
        <is>
          <t>Liest aus</t>
        </is>
      </c>
      <c r="D127" t="inlineStr">
        <is>
          <t>D Projekte.xlsx</t>
        </is>
      </c>
      <c r="E127" t="inlineStr">
        <is>
          <t>D Projekte</t>
        </is>
      </c>
    </row>
    <row r="128">
      <c r="C128" t="inlineStr">
        <is>
          <t>Liest aus</t>
        </is>
      </c>
      <c r="D128" t="inlineStr">
        <is>
          <t>D Risiken.xlsx</t>
        </is>
      </c>
      <c r="E128" t="inlineStr">
        <is>
          <t>D Risiken</t>
        </is>
      </c>
    </row>
    <row r="129">
      <c r="C129" t="inlineStr">
        <is>
          <t>Liest aus</t>
        </is>
      </c>
      <c r="D129" t="inlineStr">
        <is>
          <t>Forecast.xlsx</t>
        </is>
      </c>
      <c r="E129" t="inlineStr">
        <is>
          <t>Forecast</t>
        </is>
      </c>
    </row>
    <row r="130">
      <c r="C130" t="inlineStr">
        <is>
          <t>Liest aus</t>
        </is>
      </c>
      <c r="D130" t="inlineStr">
        <is>
          <t>GuV.xlsx</t>
        </is>
      </c>
      <c r="E130" t="inlineStr">
        <is>
          <t>GuV</t>
        </is>
      </c>
    </row>
    <row r="131">
      <c r="C131" t="inlineStr">
        <is>
          <t>Liest aus</t>
        </is>
      </c>
      <c r="D131" t="inlineStr">
        <is>
          <t>KLR.xlsx</t>
        </is>
      </c>
      <c r="E131" t="inlineStr">
        <is>
          <t>KLR</t>
        </is>
      </c>
    </row>
    <row r="132">
      <c r="C132" t="inlineStr">
        <is>
          <t>Liest aus</t>
        </is>
      </c>
      <c r="D132" t="inlineStr">
        <is>
          <t>Kalkulation.xlsx</t>
        </is>
      </c>
      <c r="E132" t="inlineStr">
        <is>
          <t>Kalkulation</t>
        </is>
      </c>
    </row>
    <row r="133">
      <c r="C133" t="inlineStr">
        <is>
          <t>Liest aus</t>
        </is>
      </c>
      <c r="D133" t="inlineStr">
        <is>
          <t>Kostenverfolgung.xlsx</t>
        </is>
      </c>
      <c r="E133" t="inlineStr">
        <is>
          <t>Kostenverfolgung</t>
        </is>
      </c>
    </row>
    <row r="134">
      <c r="C134" t="inlineStr">
        <is>
          <t>Liest aus</t>
        </is>
      </c>
      <c r="D134" t="inlineStr">
        <is>
          <t>Risiken.xlsx</t>
        </is>
      </c>
      <c r="E134" t="inlineStr">
        <is>
          <t>Risiken</t>
        </is>
      </c>
    </row>
    <row r="135">
      <c r="C135" t="inlineStr">
        <is>
          <t>Liest aus</t>
        </is>
      </c>
      <c r="D135" t="inlineStr">
        <is>
          <t>Steuerung.xlsx</t>
        </is>
      </c>
      <c r="E135" t="inlineStr">
        <is>
          <t>Steuerung</t>
        </is>
      </c>
    </row>
    <row r="136">
      <c r="C136" t="inlineStr">
        <is>
          <t>Liest aus</t>
        </is>
      </c>
      <c r="D136" t="inlineStr">
        <is>
          <t>Stunden.xlsx</t>
        </is>
      </c>
      <c r="E136" t="inlineStr">
        <is>
          <t>Stunden</t>
        </is>
      </c>
    </row>
    <row r="137">
      <c r="C137" t="inlineStr">
        <is>
          <t>Liest aus</t>
        </is>
      </c>
      <c r="D137" t="inlineStr">
        <is>
          <t>Umlagen.xlsx</t>
        </is>
      </c>
      <c r="E137" t="inlineStr">
        <is>
          <t>Umlagen</t>
        </is>
      </c>
    </row>
  </sheetData>
  <mergeCells count="5">
    <mergeCell ref="C110:O110"/>
    <mergeCell ref="C23:O23"/>
    <mergeCell ref="C3:O3"/>
    <mergeCell ref="C94:O94"/>
    <mergeCell ref="C2:O2"/>
  </mergeCells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2026-10-12T08:23:26Z</dcterms:created>
  <dcterms:modified xsi:type="dcterms:W3CDTF">2026-10-12T08:23:26Z</dcterms:modified>
</cp:coreProperties>
</file>