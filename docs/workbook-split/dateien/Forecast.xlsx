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\(#,##0\);&quot;–&quot;"/>
    <numFmt numFmtId="165" formatCode="0.0%;[Red]\(0.0%\);&quot;–&quot;"/>
  </numFmts>
  <fonts count="7">
    <font>
      <name val="Calibri"/>
      <family val="2"/>
      <color theme="1"/>
      <sz val="11"/>
      <scheme val="minor"/>
    </font>
    <font>
      <name val="Arial"/>
      <family val="2"/>
      <color rgb="FF1E293B"/>
      <sz val="10"/>
    </font>
    <font>
      <name val="Arial"/>
      <family val="2"/>
      <b val="1"/>
      <color rgb="FF1E293B"/>
      <sz val="16"/>
    </font>
    <font>
      <name val="Carlito"/>
      <sz val="11"/>
    </font>
    <font>
      <name val="Arial"/>
      <family val="2"/>
      <color rgb="FF64748B"/>
      <sz val="10"/>
    </font>
    <font>
      <name val="Arial"/>
      <family val="2"/>
      <b val="1"/>
      <color rgb="FFFFFFFF"/>
      <sz val="10"/>
    </font>
    <font>
      <name val="Arial"/>
      <family val="2"/>
      <b val="1"/>
      <color rgb="FF1E293B"/>
      <sz val="10"/>
    </font>
  </fonts>
  <fills count="5">
    <fill>
      <patternFill/>
    </fill>
    <fill>
      <patternFill patternType="gray125"/>
    </fill>
    <fill>
      <patternFill patternType="solid">
        <fgColor rgb="FF1E293B"/>
      </patternFill>
    </fill>
    <fill>
      <patternFill patternType="solid">
        <fgColor rgb="FFEFF6FF"/>
      </patternFill>
    </fill>
    <fill>
      <patternFill patternType="solid">
        <fgColor rgb="FFF0F4F8"/>
      </patternFill>
    </fill>
  </fills>
  <borders count="3">
    <border>
      <left/>
      <right/>
      <top/>
      <bottom/>
      <diagonal/>
    </border>
    <border>
      <left/>
      <right/>
      <top/>
      <bottom style="thin">
        <color rgb="FF2563EB"/>
      </bottom>
      <diagonal/>
    </border>
    <border>
      <left/>
      <right/>
      <top style="thin">
        <color rgb="FFCBD5E1"/>
      </top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right" vertical="center"/>
    </xf>
    <xf numFmtId="165" fontId="1" fillId="0" borderId="0" applyAlignment="1" pivotButton="0" quotePrefix="0" xfId="0">
      <alignment horizontal="right" vertical="center"/>
    </xf>
    <xf numFmtId="0" fontId="6" fillId="3" borderId="2" applyAlignment="1" pivotButton="0" quotePrefix="0" xfId="0">
      <alignment vertical="center"/>
    </xf>
    <xf numFmtId="164" fontId="6" fillId="3" borderId="2" applyAlignment="1" pivotButton="0" quotePrefix="0" xfId="0">
      <alignment horizontal="right" vertical="center"/>
    </xf>
    <xf numFmtId="165" fontId="6" fillId="3" borderId="2" applyAlignment="1" pivotButton="0" quotePrefix="0" xfId="0">
      <alignment horizontal="right" vertical="center"/>
    </xf>
    <xf numFmtId="0" fontId="6" fillId="4" borderId="0" applyAlignment="1" pivotButton="0" quotePrefix="0" xfId="0">
      <alignment vertical="center"/>
    </xf>
    <xf numFmtId="0" fontId="1" fillId="0" borderId="0" pivotButton="0" quotePrefix="0" xfId="0"/>
    <xf numFmtId="16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VF_104" displayName="TVF_104" ref="C48:O222" headerRowCount="1">
  <tableColumns count="13">
    <tableColumn id="1" name="Auftrag"/>
    <tableColumn id="2" name="Bezeichnung"/>
    <tableColumn id="3" name="Region"/>
    <tableColumn id="4" name="Umsatz Ist"/>
    <tableColumn id="5" name="Kosten Ist (neg.)"/>
    <tableColumn id="6" name="Bestand Ist"/>
    <tableColumn id="7" name="Umsatz Rest"/>
    <tableColumn id="8" name="Kosten Rest (neg.)"/>
    <tableColumn id="9" name="Bestand Rest"/>
    <tableColumn id="10" name="Umsatz erwartet"/>
    <tableColumn id="11" name="Kosten erwartet"/>
    <tableColumn id="12" name="Bestand erwartet"/>
    <tableColumn id="13" name="Ergebnis erwart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.5" customWidth="1" min="1" max="1"/>
    <col width="38" customWidth="1" min="3" max="3"/>
    <col width="43" customWidth="1" min="4" max="4"/>
    <col width="15" customWidth="1" min="5" max="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 ht="30" customHeight="1">
      <c r="A2" s="1" t="n"/>
      <c r="B2" s="1" t="n"/>
      <c r="C2" s="2" t="inlineStr">
        <is>
          <t>Forecast und Plan 2026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</row>
    <row r="3" ht="32" customHeight="1">
      <c r="A3" s="1" t="n"/>
      <c r="B3" s="1" t="n"/>
      <c r="C3" s="4" t="inlineStr">
        <is>
          <t>Januar–August Ist, September–Dezember Forecast. Monatsänderungen werden aus FC Eingabe übernommen.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</row>
    <row r="6" ht="34" customHeight="1">
      <c r="A6" s="1" t="n"/>
      <c r="B6" s="1" t="n"/>
      <c r="C6" s="5" t="inlineStr">
        <is>
          <t>Monat</t>
        </is>
      </c>
      <c r="D6" s="5" t="inlineStr">
        <is>
          <t>Art</t>
        </is>
      </c>
      <c r="E6" s="5" t="inlineStr">
        <is>
          <t>Umsatz Basis</t>
        </is>
      </c>
      <c r="F6" s="5" t="inlineStr">
        <is>
          <t>Bestand Basis</t>
        </is>
      </c>
      <c r="G6" s="5" t="inlineStr">
        <is>
          <t>Δ Umsatz</t>
        </is>
      </c>
      <c r="H6" s="5" t="inlineStr">
        <is>
          <t>Δ Bestand</t>
        </is>
      </c>
      <c r="I6" s="5" t="inlineStr">
        <is>
          <t>Gesamtleistung</t>
        </is>
      </c>
      <c r="J6" s="5" t="inlineStr">
        <is>
          <t>EBITDA Basis</t>
        </is>
      </c>
      <c r="K6" s="5" t="inlineStr">
        <is>
          <t>Δ Kosten</t>
        </is>
      </c>
      <c r="L6" s="5" t="inlineStr">
        <is>
          <t>EBITDA aktiv</t>
        </is>
      </c>
      <c r="M6" s="5" t="inlineStr">
        <is>
          <t>GL Plan</t>
        </is>
      </c>
      <c r="N6" s="5" t="inlineStr">
        <is>
          <t>EBITDA Plan</t>
        </is>
      </c>
      <c r="O6" s="5" t="inlineStr">
        <is>
          <t>Δ EBITDA Plan</t>
        </is>
      </c>
      <c r="P6" s="5" t="inlineStr">
        <is>
          <t>Marge</t>
        </is>
      </c>
      <c r="Q6" s="1" t="n"/>
    </row>
    <row r="7">
      <c r="A7" s="1" t="n"/>
      <c r="B7" s="1" t="n"/>
      <c r="C7" s="1" t="n">
        <v>1</v>
      </c>
      <c r="D7" s="1">
        <f>IF(C7&lt;='[Steuerung.xlsx]Steuerung'!$F$8,"IST","FC")</f>
        <v/>
      </c>
      <c r="E7" s="6">
        <f>IF(AND(C7&lt;='[Steuerung.xlsx]Steuerung'!$F$8,COUNTIFS('[Import Monatsdaten.xlsx]Import Monatsdaten'!$C$7:$C$8,'[Steuerung.xlsx]Steuerung'!$F$6,'[Import Monatsdaten.xlsx]Import Monatsdaten'!$D$7:$D$8,1)&gt;0),'[GuV.xlsx]GuV'!F7,SUMIFS('[D Finanzen.xlsx]D Finanzen'!$E$278:$E$301,'[D Finanzen.xlsx]D Finanzen'!$H$278:$H$301,'[Steuerung.xlsx]Steuerung'!$F$6,'[D Finanzen.xlsx]D Finanzen'!$A$278:$A$301,C7))</f>
        <v/>
      </c>
      <c r="F7" s="6">
        <f>IF(AND(C7&lt;='[Steuerung.xlsx]Steuerung'!$F$8,COUNTIFS('[Import Monatsdaten.xlsx]Import Monatsdaten'!$C$7:$C$8,'[Steuerung.xlsx]Steuerung'!$F$6,'[Import Monatsdaten.xlsx]Import Monatsdaten'!$D$7:$D$8,1)&gt;0),'[GuV.xlsx]GuV'!F8,SUMIFS('[D Finanzen.xlsx]D Finanzen'!$F$278:$F$301,'[D Finanzen.xlsx]D Finanzen'!$H$278:$H$301,'[Steuerung.xlsx]Steuerung'!$F$6,'[D Finanzen.xlsx]D Finanzen'!$A$278:$A$301,C7))</f>
        <v/>
      </c>
      <c r="G7" s="6">
        <f>SUMIFS('[FC Eingabe.xlsx]FC Eingabe'!$G$7:$G$506,'[FC Eingabe.xlsx]FC Eingabe'!$C$7:$C$506,'[Steuerung.xlsx]Steuerung'!$F$6,'[FC Eingabe.xlsx]FC Eingabe'!$D$7:$D$506,C7,'[FC Eingabe.xlsx]FC Eingabe'!$K$7:$K$506,"Wirksam")</f>
        <v/>
      </c>
      <c r="H7" s="6">
        <f>SUMIFS('[FC Eingabe.xlsx]FC Eingabe'!$H$7:$H$506,'[FC Eingabe.xlsx]FC Eingabe'!$C$7:$C$506,'[Steuerung.xlsx]Steuerung'!$F$6,'[FC Eingabe.xlsx]FC Eingabe'!$D$7:$D$506,C7,'[FC Eingabe.xlsx]FC Eingabe'!$K$7:$K$506,"Wirksam")</f>
        <v/>
      </c>
      <c r="I7" s="6">
        <f>SUM(E7:H7)</f>
        <v/>
      </c>
      <c r="J7" s="6">
        <f>IF(AND(C7&lt;='[Steuerung.xlsx]Steuerung'!$F$8,COUNTIFS('[Import Monatsdaten.xlsx]Import Monatsdaten'!$C$7:$C$8,'[Steuerung.xlsx]Steuerung'!$F$6,'[Import Monatsdaten.xlsx]Import Monatsdaten'!$D$7:$D$8,1)&gt;0),'[GuV.xlsx]GuV'!F20,SUMIFS('[D Finanzen.xlsx]D Finanzen'!$G$22:$G$33,'[D Finanzen.xlsx]D Finanzen'!$A$22:$A$33,'[Steuerung.xlsx]Steuerung'!$F$6,'[D Finanzen.xlsx]D Finanzen'!$B$22:$B$33,C7))</f>
        <v/>
      </c>
      <c r="K7" s="6">
        <f>SUMIFS('[FC Eingabe.xlsx]FC Eingabe'!$I$7:$I$506,'[FC Eingabe.xlsx]FC Eingabe'!$C$7:$C$506,'[Steuerung.xlsx]Steuerung'!$F$6,'[FC Eingabe.xlsx]FC Eingabe'!$D$7:$D$506,C7,'[FC Eingabe.xlsx]FC Eingabe'!$K$7:$K$506,"Wirksam")</f>
        <v/>
      </c>
      <c r="L7" s="6">
        <f>J7+G7+H7-K7</f>
        <v/>
      </c>
      <c r="M7" s="6">
        <f>SUMIFS('[D Finanzen.xlsx]D Finanzen'!$D$182:$D$193,'[D Finanzen.xlsx]D Finanzen'!$A$182:$A$193,'[Steuerung.xlsx]Steuerung'!$F$6,'[D Finanzen.xlsx]D Finanzen'!$B$182:$B$193,C7)</f>
        <v/>
      </c>
      <c r="N7" s="6">
        <f>SUMIFS('[D Finanzen.xlsx]D Finanzen'!$G$182:$G$193,'[D Finanzen.xlsx]D Finanzen'!$A$182:$A$193,'[Steuerung.xlsx]Steuerung'!$F$6,'[D Finanzen.xlsx]D Finanzen'!$B$182:$B$193,C7)</f>
        <v/>
      </c>
      <c r="O7" s="6">
        <f>L7-N7</f>
        <v/>
      </c>
      <c r="P7" s="7">
        <f>IF(I7=0,"n.a.",L7/I7)</f>
        <v/>
      </c>
      <c r="Q7" s="1" t="n"/>
    </row>
    <row r="8">
      <c r="A8" s="1" t="n"/>
      <c r="B8" s="1" t="n"/>
      <c r="C8" s="1" t="n">
        <v>2</v>
      </c>
      <c r="D8" s="1">
        <f>IF(C8&lt;='[Steuerung.xlsx]Steuerung'!$F$8,"IST","FC")</f>
        <v/>
      </c>
      <c r="E8" s="6">
        <f>IF(AND(C8&lt;='[Steuerung.xlsx]Steuerung'!$F$8,COUNTIFS('[Import Monatsdaten.xlsx]Import Monatsdaten'!$C$7:$C$8,'[Steuerung.xlsx]Steuerung'!$F$6,'[Import Monatsdaten.xlsx]Import Monatsdaten'!$D$7:$D$8,2)&gt;0),'[GuV.xlsx]GuV'!G7,SUMIFS('[D Finanzen.xlsx]D Finanzen'!$E$278:$E$301,'[D Finanzen.xlsx]D Finanzen'!$H$278:$H$301,'[Steuerung.xlsx]Steuerung'!$F$6,'[D Finanzen.xlsx]D Finanzen'!$A$278:$A$301,C8))</f>
        <v/>
      </c>
      <c r="F8" s="6">
        <f>IF(AND(C8&lt;='[Steuerung.xlsx]Steuerung'!$F$8,COUNTIFS('[Import Monatsdaten.xlsx]Import Monatsdaten'!$C$7:$C$8,'[Steuerung.xlsx]Steuerung'!$F$6,'[Import Monatsdaten.xlsx]Import Monatsdaten'!$D$7:$D$8,2)&gt;0),'[GuV.xlsx]GuV'!G8,SUMIFS('[D Finanzen.xlsx]D Finanzen'!$F$278:$F$301,'[D Finanzen.xlsx]D Finanzen'!$H$278:$H$301,'[Steuerung.xlsx]Steuerung'!$F$6,'[D Finanzen.xlsx]D Finanzen'!$A$278:$A$301,C8))</f>
        <v/>
      </c>
      <c r="G8" s="6">
        <f>SUMIFS('[FC Eingabe.xlsx]FC Eingabe'!$G$7:$G$506,'[FC Eingabe.xlsx]FC Eingabe'!$C$7:$C$506,'[Steuerung.xlsx]Steuerung'!$F$6,'[FC Eingabe.xlsx]FC Eingabe'!$D$7:$D$506,C8,'[FC Eingabe.xlsx]FC Eingabe'!$K$7:$K$506,"Wirksam")</f>
        <v/>
      </c>
      <c r="H8" s="6">
        <f>SUMIFS('[FC Eingabe.xlsx]FC Eingabe'!$H$7:$H$506,'[FC Eingabe.xlsx]FC Eingabe'!$C$7:$C$506,'[Steuerung.xlsx]Steuerung'!$F$6,'[FC Eingabe.xlsx]FC Eingabe'!$D$7:$D$506,C8,'[FC Eingabe.xlsx]FC Eingabe'!$K$7:$K$506,"Wirksam")</f>
        <v/>
      </c>
      <c r="I8" s="6">
        <f>SUM(E8:H8)</f>
        <v/>
      </c>
      <c r="J8" s="6">
        <f>IF(AND(C8&lt;='[Steuerung.xlsx]Steuerung'!$F$8,COUNTIFS('[Import Monatsdaten.xlsx]Import Monatsdaten'!$C$7:$C$8,'[Steuerung.xlsx]Steuerung'!$F$6,'[Import Monatsdaten.xlsx]Import Monatsdaten'!$D$7:$D$8,2)&gt;0),'[GuV.xlsx]GuV'!G20,SUMIFS('[D Finanzen.xlsx]D Finanzen'!$G$22:$G$33,'[D Finanzen.xlsx]D Finanzen'!$A$22:$A$33,'[Steuerung.xlsx]Steuerung'!$F$6,'[D Finanzen.xlsx]D Finanzen'!$B$22:$B$33,C8))</f>
        <v/>
      </c>
      <c r="K8" s="6">
        <f>SUMIFS('[FC Eingabe.xlsx]FC Eingabe'!$I$7:$I$506,'[FC Eingabe.xlsx]FC Eingabe'!$C$7:$C$506,'[Steuerung.xlsx]Steuerung'!$F$6,'[FC Eingabe.xlsx]FC Eingabe'!$D$7:$D$506,C8,'[FC Eingabe.xlsx]FC Eingabe'!$K$7:$K$506,"Wirksam")</f>
        <v/>
      </c>
      <c r="L8" s="6">
        <f>J8+G8+H8-K8</f>
        <v/>
      </c>
      <c r="M8" s="6">
        <f>SUMIFS('[D Finanzen.xlsx]D Finanzen'!$D$182:$D$193,'[D Finanzen.xlsx]D Finanzen'!$A$182:$A$193,'[Steuerung.xlsx]Steuerung'!$F$6,'[D Finanzen.xlsx]D Finanzen'!$B$182:$B$193,C8)</f>
        <v/>
      </c>
      <c r="N8" s="6">
        <f>SUMIFS('[D Finanzen.xlsx]D Finanzen'!$G$182:$G$193,'[D Finanzen.xlsx]D Finanzen'!$A$182:$A$193,'[Steuerung.xlsx]Steuerung'!$F$6,'[D Finanzen.xlsx]D Finanzen'!$B$182:$B$193,C8)</f>
        <v/>
      </c>
      <c r="O8" s="6">
        <f>L8-N8</f>
        <v/>
      </c>
      <c r="P8" s="7">
        <f>IF(I8=0,"n.a.",L8/I8)</f>
        <v/>
      </c>
      <c r="Q8" s="1" t="n"/>
    </row>
    <row r="9">
      <c r="A9" s="1" t="n"/>
      <c r="B9" s="1" t="n"/>
      <c r="C9" s="1" t="n">
        <v>3</v>
      </c>
      <c r="D9" s="1">
        <f>IF(C9&lt;='[Steuerung.xlsx]Steuerung'!$F$8,"IST","FC")</f>
        <v/>
      </c>
      <c r="E9" s="6">
        <f>IF(AND(C9&lt;='[Steuerung.xlsx]Steuerung'!$F$8,COUNTIFS('[Import Monatsdaten.xlsx]Import Monatsdaten'!$C$7:$C$8,'[Steuerung.xlsx]Steuerung'!$F$6,'[Import Monatsdaten.xlsx]Import Monatsdaten'!$D$7:$D$8,3)&gt;0),'[GuV.xlsx]GuV'!H7,SUMIFS('[D Finanzen.xlsx]D Finanzen'!$E$278:$E$301,'[D Finanzen.xlsx]D Finanzen'!$H$278:$H$301,'[Steuerung.xlsx]Steuerung'!$F$6,'[D Finanzen.xlsx]D Finanzen'!$A$278:$A$301,C9))</f>
        <v/>
      </c>
      <c r="F9" s="6">
        <f>IF(AND(C9&lt;='[Steuerung.xlsx]Steuerung'!$F$8,COUNTIFS('[Import Monatsdaten.xlsx]Import Monatsdaten'!$C$7:$C$8,'[Steuerung.xlsx]Steuerung'!$F$6,'[Import Monatsdaten.xlsx]Import Monatsdaten'!$D$7:$D$8,3)&gt;0),'[GuV.xlsx]GuV'!H8,SUMIFS('[D Finanzen.xlsx]D Finanzen'!$F$278:$F$301,'[D Finanzen.xlsx]D Finanzen'!$H$278:$H$301,'[Steuerung.xlsx]Steuerung'!$F$6,'[D Finanzen.xlsx]D Finanzen'!$A$278:$A$301,C9))</f>
        <v/>
      </c>
      <c r="G9" s="6">
        <f>SUMIFS('[FC Eingabe.xlsx]FC Eingabe'!$G$7:$G$506,'[FC Eingabe.xlsx]FC Eingabe'!$C$7:$C$506,'[Steuerung.xlsx]Steuerung'!$F$6,'[FC Eingabe.xlsx]FC Eingabe'!$D$7:$D$506,C9,'[FC Eingabe.xlsx]FC Eingabe'!$K$7:$K$506,"Wirksam")</f>
        <v/>
      </c>
      <c r="H9" s="6">
        <f>SUMIFS('[FC Eingabe.xlsx]FC Eingabe'!$H$7:$H$506,'[FC Eingabe.xlsx]FC Eingabe'!$C$7:$C$506,'[Steuerung.xlsx]Steuerung'!$F$6,'[FC Eingabe.xlsx]FC Eingabe'!$D$7:$D$506,C9,'[FC Eingabe.xlsx]FC Eingabe'!$K$7:$K$506,"Wirksam")</f>
        <v/>
      </c>
      <c r="I9" s="6">
        <f>SUM(E9:H9)</f>
        <v/>
      </c>
      <c r="J9" s="6">
        <f>IF(AND(C9&lt;='[Steuerung.xlsx]Steuerung'!$F$8,COUNTIFS('[Import Monatsdaten.xlsx]Import Monatsdaten'!$C$7:$C$8,'[Steuerung.xlsx]Steuerung'!$F$6,'[Import Monatsdaten.xlsx]Import Monatsdaten'!$D$7:$D$8,3)&gt;0),'[GuV.xlsx]GuV'!H20,SUMIFS('[D Finanzen.xlsx]D Finanzen'!$G$22:$G$33,'[D Finanzen.xlsx]D Finanzen'!$A$22:$A$33,'[Steuerung.xlsx]Steuerung'!$F$6,'[D Finanzen.xlsx]D Finanzen'!$B$22:$B$33,C9))</f>
        <v/>
      </c>
      <c r="K9" s="6">
        <f>SUMIFS('[FC Eingabe.xlsx]FC Eingabe'!$I$7:$I$506,'[FC Eingabe.xlsx]FC Eingabe'!$C$7:$C$506,'[Steuerung.xlsx]Steuerung'!$F$6,'[FC Eingabe.xlsx]FC Eingabe'!$D$7:$D$506,C9,'[FC Eingabe.xlsx]FC Eingabe'!$K$7:$K$506,"Wirksam")</f>
        <v/>
      </c>
      <c r="L9" s="6">
        <f>J9+G9+H9-K9</f>
        <v/>
      </c>
      <c r="M9" s="6">
        <f>SUMIFS('[D Finanzen.xlsx]D Finanzen'!$D$182:$D$193,'[D Finanzen.xlsx]D Finanzen'!$A$182:$A$193,'[Steuerung.xlsx]Steuerung'!$F$6,'[D Finanzen.xlsx]D Finanzen'!$B$182:$B$193,C9)</f>
        <v/>
      </c>
      <c r="N9" s="6">
        <f>SUMIFS('[D Finanzen.xlsx]D Finanzen'!$G$182:$G$193,'[D Finanzen.xlsx]D Finanzen'!$A$182:$A$193,'[Steuerung.xlsx]Steuerung'!$F$6,'[D Finanzen.xlsx]D Finanzen'!$B$182:$B$193,C9)</f>
        <v/>
      </c>
      <c r="O9" s="6">
        <f>L9-N9</f>
        <v/>
      </c>
      <c r="P9" s="7">
        <f>IF(I9=0,"n.a.",L9/I9)</f>
        <v/>
      </c>
      <c r="Q9" s="1" t="n"/>
    </row>
    <row r="10">
      <c r="A10" s="1" t="n"/>
      <c r="B10" s="1" t="n"/>
      <c r="C10" s="1" t="n">
        <v>4</v>
      </c>
      <c r="D10" s="1">
        <f>IF(C10&lt;='[Steuerung.xlsx]Steuerung'!$F$8,"IST","FC")</f>
        <v/>
      </c>
      <c r="E10" s="6">
        <f>IF(AND(C10&lt;='[Steuerung.xlsx]Steuerung'!$F$8,COUNTIFS('[Import Monatsdaten.xlsx]Import Monatsdaten'!$C$7:$C$8,'[Steuerung.xlsx]Steuerung'!$F$6,'[Import Monatsdaten.xlsx]Import Monatsdaten'!$D$7:$D$8,4)&gt;0),'[GuV.xlsx]GuV'!I7,SUMIFS('[D Finanzen.xlsx]D Finanzen'!$E$278:$E$301,'[D Finanzen.xlsx]D Finanzen'!$H$278:$H$301,'[Steuerung.xlsx]Steuerung'!$F$6,'[D Finanzen.xlsx]D Finanzen'!$A$278:$A$301,C10))</f>
        <v/>
      </c>
      <c r="F10" s="6">
        <f>IF(AND(C10&lt;='[Steuerung.xlsx]Steuerung'!$F$8,COUNTIFS('[Import Monatsdaten.xlsx]Import Monatsdaten'!$C$7:$C$8,'[Steuerung.xlsx]Steuerung'!$F$6,'[Import Monatsdaten.xlsx]Import Monatsdaten'!$D$7:$D$8,4)&gt;0),'[GuV.xlsx]GuV'!I8,SUMIFS('[D Finanzen.xlsx]D Finanzen'!$F$278:$F$301,'[D Finanzen.xlsx]D Finanzen'!$H$278:$H$301,'[Steuerung.xlsx]Steuerung'!$F$6,'[D Finanzen.xlsx]D Finanzen'!$A$278:$A$301,C10))</f>
        <v/>
      </c>
      <c r="G10" s="6">
        <f>SUMIFS('[FC Eingabe.xlsx]FC Eingabe'!$G$7:$G$506,'[FC Eingabe.xlsx]FC Eingabe'!$C$7:$C$506,'[Steuerung.xlsx]Steuerung'!$F$6,'[FC Eingabe.xlsx]FC Eingabe'!$D$7:$D$506,C10,'[FC Eingabe.xlsx]FC Eingabe'!$K$7:$K$506,"Wirksam")</f>
        <v/>
      </c>
      <c r="H10" s="6">
        <f>SUMIFS('[FC Eingabe.xlsx]FC Eingabe'!$H$7:$H$506,'[FC Eingabe.xlsx]FC Eingabe'!$C$7:$C$506,'[Steuerung.xlsx]Steuerung'!$F$6,'[FC Eingabe.xlsx]FC Eingabe'!$D$7:$D$506,C10,'[FC Eingabe.xlsx]FC Eingabe'!$K$7:$K$506,"Wirksam")</f>
        <v/>
      </c>
      <c r="I10" s="6">
        <f>SUM(E10:H10)</f>
        <v/>
      </c>
      <c r="J10" s="6">
        <f>IF(AND(C10&lt;='[Steuerung.xlsx]Steuerung'!$F$8,COUNTIFS('[Import Monatsdaten.xlsx]Import Monatsdaten'!$C$7:$C$8,'[Steuerung.xlsx]Steuerung'!$F$6,'[Import Monatsdaten.xlsx]Import Monatsdaten'!$D$7:$D$8,4)&gt;0),'[GuV.xlsx]GuV'!I20,SUMIFS('[D Finanzen.xlsx]D Finanzen'!$G$22:$G$33,'[D Finanzen.xlsx]D Finanzen'!$A$22:$A$33,'[Steuerung.xlsx]Steuerung'!$F$6,'[D Finanzen.xlsx]D Finanzen'!$B$22:$B$33,C10))</f>
        <v/>
      </c>
      <c r="K10" s="6">
        <f>SUMIFS('[FC Eingabe.xlsx]FC Eingabe'!$I$7:$I$506,'[FC Eingabe.xlsx]FC Eingabe'!$C$7:$C$506,'[Steuerung.xlsx]Steuerung'!$F$6,'[FC Eingabe.xlsx]FC Eingabe'!$D$7:$D$506,C10,'[FC Eingabe.xlsx]FC Eingabe'!$K$7:$K$506,"Wirksam")</f>
        <v/>
      </c>
      <c r="L10" s="6">
        <f>J10+G10+H10-K10</f>
        <v/>
      </c>
      <c r="M10" s="6">
        <f>SUMIFS('[D Finanzen.xlsx]D Finanzen'!$D$182:$D$193,'[D Finanzen.xlsx]D Finanzen'!$A$182:$A$193,'[Steuerung.xlsx]Steuerung'!$F$6,'[D Finanzen.xlsx]D Finanzen'!$B$182:$B$193,C10)</f>
        <v/>
      </c>
      <c r="N10" s="6">
        <f>SUMIFS('[D Finanzen.xlsx]D Finanzen'!$G$182:$G$193,'[D Finanzen.xlsx]D Finanzen'!$A$182:$A$193,'[Steuerung.xlsx]Steuerung'!$F$6,'[D Finanzen.xlsx]D Finanzen'!$B$182:$B$193,C10)</f>
        <v/>
      </c>
      <c r="O10" s="6">
        <f>L10-N10</f>
        <v/>
      </c>
      <c r="P10" s="7">
        <f>IF(I10=0,"n.a.",L10/I10)</f>
        <v/>
      </c>
      <c r="Q10" s="1" t="n"/>
    </row>
    <row r="11">
      <c r="A11" s="1" t="n"/>
      <c r="B11" s="1" t="n"/>
      <c r="C11" s="1" t="n">
        <v>5</v>
      </c>
      <c r="D11" s="1">
        <f>IF(C11&lt;='[Steuerung.xlsx]Steuerung'!$F$8,"IST","FC")</f>
        <v/>
      </c>
      <c r="E11" s="6">
        <f>IF(AND(C11&lt;='[Steuerung.xlsx]Steuerung'!$F$8,COUNTIFS('[Import Monatsdaten.xlsx]Import Monatsdaten'!$C$7:$C$8,'[Steuerung.xlsx]Steuerung'!$F$6,'[Import Monatsdaten.xlsx]Import Monatsdaten'!$D$7:$D$8,5)&gt;0),'[GuV.xlsx]GuV'!J7,SUMIFS('[D Finanzen.xlsx]D Finanzen'!$E$278:$E$301,'[D Finanzen.xlsx]D Finanzen'!$H$278:$H$301,'[Steuerung.xlsx]Steuerung'!$F$6,'[D Finanzen.xlsx]D Finanzen'!$A$278:$A$301,C11))</f>
        <v/>
      </c>
      <c r="F11" s="6">
        <f>IF(AND(C11&lt;='[Steuerung.xlsx]Steuerung'!$F$8,COUNTIFS('[Import Monatsdaten.xlsx]Import Monatsdaten'!$C$7:$C$8,'[Steuerung.xlsx]Steuerung'!$F$6,'[Import Monatsdaten.xlsx]Import Monatsdaten'!$D$7:$D$8,5)&gt;0),'[GuV.xlsx]GuV'!J8,SUMIFS('[D Finanzen.xlsx]D Finanzen'!$F$278:$F$301,'[D Finanzen.xlsx]D Finanzen'!$H$278:$H$301,'[Steuerung.xlsx]Steuerung'!$F$6,'[D Finanzen.xlsx]D Finanzen'!$A$278:$A$301,C11))</f>
        <v/>
      </c>
      <c r="G11" s="6">
        <f>SUMIFS('[FC Eingabe.xlsx]FC Eingabe'!$G$7:$G$506,'[FC Eingabe.xlsx]FC Eingabe'!$C$7:$C$506,'[Steuerung.xlsx]Steuerung'!$F$6,'[FC Eingabe.xlsx]FC Eingabe'!$D$7:$D$506,C11,'[FC Eingabe.xlsx]FC Eingabe'!$K$7:$K$506,"Wirksam")</f>
        <v/>
      </c>
      <c r="H11" s="6">
        <f>SUMIFS('[FC Eingabe.xlsx]FC Eingabe'!$H$7:$H$506,'[FC Eingabe.xlsx]FC Eingabe'!$C$7:$C$506,'[Steuerung.xlsx]Steuerung'!$F$6,'[FC Eingabe.xlsx]FC Eingabe'!$D$7:$D$506,C11,'[FC Eingabe.xlsx]FC Eingabe'!$K$7:$K$506,"Wirksam")</f>
        <v/>
      </c>
      <c r="I11" s="6">
        <f>SUM(E11:H11)</f>
        <v/>
      </c>
      <c r="J11" s="6">
        <f>IF(AND(C11&lt;='[Steuerung.xlsx]Steuerung'!$F$8,COUNTIFS('[Import Monatsdaten.xlsx]Import Monatsdaten'!$C$7:$C$8,'[Steuerung.xlsx]Steuerung'!$F$6,'[Import Monatsdaten.xlsx]Import Monatsdaten'!$D$7:$D$8,5)&gt;0),'[GuV.xlsx]GuV'!J20,SUMIFS('[D Finanzen.xlsx]D Finanzen'!$G$22:$G$33,'[D Finanzen.xlsx]D Finanzen'!$A$22:$A$33,'[Steuerung.xlsx]Steuerung'!$F$6,'[D Finanzen.xlsx]D Finanzen'!$B$22:$B$33,C11))</f>
        <v/>
      </c>
      <c r="K11" s="6">
        <f>SUMIFS('[FC Eingabe.xlsx]FC Eingabe'!$I$7:$I$506,'[FC Eingabe.xlsx]FC Eingabe'!$C$7:$C$506,'[Steuerung.xlsx]Steuerung'!$F$6,'[FC Eingabe.xlsx]FC Eingabe'!$D$7:$D$506,C11,'[FC Eingabe.xlsx]FC Eingabe'!$K$7:$K$506,"Wirksam")</f>
        <v/>
      </c>
      <c r="L11" s="6">
        <f>J11+G11+H11-K11</f>
        <v/>
      </c>
      <c r="M11" s="6">
        <f>SUMIFS('[D Finanzen.xlsx]D Finanzen'!$D$182:$D$193,'[D Finanzen.xlsx]D Finanzen'!$A$182:$A$193,'[Steuerung.xlsx]Steuerung'!$F$6,'[D Finanzen.xlsx]D Finanzen'!$B$182:$B$193,C11)</f>
        <v/>
      </c>
      <c r="N11" s="6">
        <f>SUMIFS('[D Finanzen.xlsx]D Finanzen'!$G$182:$G$193,'[D Finanzen.xlsx]D Finanzen'!$A$182:$A$193,'[Steuerung.xlsx]Steuerung'!$F$6,'[D Finanzen.xlsx]D Finanzen'!$B$182:$B$193,C11)</f>
        <v/>
      </c>
      <c r="O11" s="6">
        <f>L11-N11</f>
        <v/>
      </c>
      <c r="P11" s="7">
        <f>IF(I11=0,"n.a.",L11/I11)</f>
        <v/>
      </c>
      <c r="Q11" s="1" t="n"/>
    </row>
    <row r="12">
      <c r="A12" s="1" t="n"/>
      <c r="B12" s="1" t="n"/>
      <c r="C12" s="1" t="n">
        <v>6</v>
      </c>
      <c r="D12" s="1">
        <f>IF(C12&lt;='[Steuerung.xlsx]Steuerung'!$F$8,"IST","FC")</f>
        <v/>
      </c>
      <c r="E12" s="6">
        <f>IF(AND(C12&lt;='[Steuerung.xlsx]Steuerung'!$F$8,COUNTIFS('[Import Monatsdaten.xlsx]Import Monatsdaten'!$C$7:$C$8,'[Steuerung.xlsx]Steuerung'!$F$6,'[Import Monatsdaten.xlsx]Import Monatsdaten'!$D$7:$D$8,6)&gt;0),'[GuV.xlsx]GuV'!K7,SUMIFS('[D Finanzen.xlsx]D Finanzen'!$E$278:$E$301,'[D Finanzen.xlsx]D Finanzen'!$H$278:$H$301,'[Steuerung.xlsx]Steuerung'!$F$6,'[D Finanzen.xlsx]D Finanzen'!$A$278:$A$301,C12))</f>
        <v/>
      </c>
      <c r="F12" s="6">
        <f>IF(AND(C12&lt;='[Steuerung.xlsx]Steuerung'!$F$8,COUNTIFS('[Import Monatsdaten.xlsx]Import Monatsdaten'!$C$7:$C$8,'[Steuerung.xlsx]Steuerung'!$F$6,'[Import Monatsdaten.xlsx]Import Monatsdaten'!$D$7:$D$8,6)&gt;0),'[GuV.xlsx]GuV'!K8,SUMIFS('[D Finanzen.xlsx]D Finanzen'!$F$278:$F$301,'[D Finanzen.xlsx]D Finanzen'!$H$278:$H$301,'[Steuerung.xlsx]Steuerung'!$F$6,'[D Finanzen.xlsx]D Finanzen'!$A$278:$A$301,C12))</f>
        <v/>
      </c>
      <c r="G12" s="6">
        <f>SUMIFS('[FC Eingabe.xlsx]FC Eingabe'!$G$7:$G$506,'[FC Eingabe.xlsx]FC Eingabe'!$C$7:$C$506,'[Steuerung.xlsx]Steuerung'!$F$6,'[FC Eingabe.xlsx]FC Eingabe'!$D$7:$D$506,C12,'[FC Eingabe.xlsx]FC Eingabe'!$K$7:$K$506,"Wirksam")</f>
        <v/>
      </c>
      <c r="H12" s="6">
        <f>SUMIFS('[FC Eingabe.xlsx]FC Eingabe'!$H$7:$H$506,'[FC Eingabe.xlsx]FC Eingabe'!$C$7:$C$506,'[Steuerung.xlsx]Steuerung'!$F$6,'[FC Eingabe.xlsx]FC Eingabe'!$D$7:$D$506,C12,'[FC Eingabe.xlsx]FC Eingabe'!$K$7:$K$506,"Wirksam")</f>
        <v/>
      </c>
      <c r="I12" s="6">
        <f>SUM(E12:H12)</f>
        <v/>
      </c>
      <c r="J12" s="6">
        <f>IF(AND(C12&lt;='[Steuerung.xlsx]Steuerung'!$F$8,COUNTIFS('[Import Monatsdaten.xlsx]Import Monatsdaten'!$C$7:$C$8,'[Steuerung.xlsx]Steuerung'!$F$6,'[Import Monatsdaten.xlsx]Import Monatsdaten'!$D$7:$D$8,6)&gt;0),'[GuV.xlsx]GuV'!K20,SUMIFS('[D Finanzen.xlsx]D Finanzen'!$G$22:$G$33,'[D Finanzen.xlsx]D Finanzen'!$A$22:$A$33,'[Steuerung.xlsx]Steuerung'!$F$6,'[D Finanzen.xlsx]D Finanzen'!$B$22:$B$33,C12))</f>
        <v/>
      </c>
      <c r="K12" s="6">
        <f>SUMIFS('[FC Eingabe.xlsx]FC Eingabe'!$I$7:$I$506,'[FC Eingabe.xlsx]FC Eingabe'!$C$7:$C$506,'[Steuerung.xlsx]Steuerung'!$F$6,'[FC Eingabe.xlsx]FC Eingabe'!$D$7:$D$506,C12,'[FC Eingabe.xlsx]FC Eingabe'!$K$7:$K$506,"Wirksam")</f>
        <v/>
      </c>
      <c r="L12" s="6">
        <f>J12+G12+H12-K12</f>
        <v/>
      </c>
      <c r="M12" s="6">
        <f>SUMIFS('[D Finanzen.xlsx]D Finanzen'!$D$182:$D$193,'[D Finanzen.xlsx]D Finanzen'!$A$182:$A$193,'[Steuerung.xlsx]Steuerung'!$F$6,'[D Finanzen.xlsx]D Finanzen'!$B$182:$B$193,C12)</f>
        <v/>
      </c>
      <c r="N12" s="6">
        <f>SUMIFS('[D Finanzen.xlsx]D Finanzen'!$G$182:$G$193,'[D Finanzen.xlsx]D Finanzen'!$A$182:$A$193,'[Steuerung.xlsx]Steuerung'!$F$6,'[D Finanzen.xlsx]D Finanzen'!$B$182:$B$193,C12)</f>
        <v/>
      </c>
      <c r="O12" s="6">
        <f>L12-N12</f>
        <v/>
      </c>
      <c r="P12" s="7">
        <f>IF(I12=0,"n.a.",L12/I12)</f>
        <v/>
      </c>
      <c r="Q12" s="1" t="n"/>
    </row>
    <row r="13">
      <c r="A13" s="1" t="n"/>
      <c r="B13" s="1" t="n"/>
      <c r="C13" s="1" t="n">
        <v>7</v>
      </c>
      <c r="D13" s="1">
        <f>IF(C13&lt;='[Steuerung.xlsx]Steuerung'!$F$8,"IST","FC")</f>
        <v/>
      </c>
      <c r="E13" s="6">
        <f>IF(AND(C13&lt;='[Steuerung.xlsx]Steuerung'!$F$8,COUNTIFS('[Import Monatsdaten.xlsx]Import Monatsdaten'!$C$7:$C$8,'[Steuerung.xlsx]Steuerung'!$F$6,'[Import Monatsdaten.xlsx]Import Monatsdaten'!$D$7:$D$8,7)&gt;0),'[GuV.xlsx]GuV'!L7,SUMIFS('[D Finanzen.xlsx]D Finanzen'!$E$278:$E$301,'[D Finanzen.xlsx]D Finanzen'!$H$278:$H$301,'[Steuerung.xlsx]Steuerung'!$F$6,'[D Finanzen.xlsx]D Finanzen'!$A$278:$A$301,C13))</f>
        <v/>
      </c>
      <c r="F13" s="6">
        <f>IF(AND(C13&lt;='[Steuerung.xlsx]Steuerung'!$F$8,COUNTIFS('[Import Monatsdaten.xlsx]Import Monatsdaten'!$C$7:$C$8,'[Steuerung.xlsx]Steuerung'!$F$6,'[Import Monatsdaten.xlsx]Import Monatsdaten'!$D$7:$D$8,7)&gt;0),'[GuV.xlsx]GuV'!L8,SUMIFS('[D Finanzen.xlsx]D Finanzen'!$F$278:$F$301,'[D Finanzen.xlsx]D Finanzen'!$H$278:$H$301,'[Steuerung.xlsx]Steuerung'!$F$6,'[D Finanzen.xlsx]D Finanzen'!$A$278:$A$301,C13))</f>
        <v/>
      </c>
      <c r="G13" s="6">
        <f>SUMIFS('[FC Eingabe.xlsx]FC Eingabe'!$G$7:$G$506,'[FC Eingabe.xlsx]FC Eingabe'!$C$7:$C$506,'[Steuerung.xlsx]Steuerung'!$F$6,'[FC Eingabe.xlsx]FC Eingabe'!$D$7:$D$506,C13,'[FC Eingabe.xlsx]FC Eingabe'!$K$7:$K$506,"Wirksam")</f>
        <v/>
      </c>
      <c r="H13" s="6">
        <f>SUMIFS('[FC Eingabe.xlsx]FC Eingabe'!$H$7:$H$506,'[FC Eingabe.xlsx]FC Eingabe'!$C$7:$C$506,'[Steuerung.xlsx]Steuerung'!$F$6,'[FC Eingabe.xlsx]FC Eingabe'!$D$7:$D$506,C13,'[FC Eingabe.xlsx]FC Eingabe'!$K$7:$K$506,"Wirksam")</f>
        <v/>
      </c>
      <c r="I13" s="6">
        <f>SUM(E13:H13)</f>
        <v/>
      </c>
      <c r="J13" s="6">
        <f>IF(AND(C13&lt;='[Steuerung.xlsx]Steuerung'!$F$8,COUNTIFS('[Import Monatsdaten.xlsx]Import Monatsdaten'!$C$7:$C$8,'[Steuerung.xlsx]Steuerung'!$F$6,'[Import Monatsdaten.xlsx]Import Monatsdaten'!$D$7:$D$8,7)&gt;0),'[GuV.xlsx]GuV'!L20,SUMIFS('[D Finanzen.xlsx]D Finanzen'!$G$22:$G$33,'[D Finanzen.xlsx]D Finanzen'!$A$22:$A$33,'[Steuerung.xlsx]Steuerung'!$F$6,'[D Finanzen.xlsx]D Finanzen'!$B$22:$B$33,C13))</f>
        <v/>
      </c>
      <c r="K13" s="6">
        <f>SUMIFS('[FC Eingabe.xlsx]FC Eingabe'!$I$7:$I$506,'[FC Eingabe.xlsx]FC Eingabe'!$C$7:$C$506,'[Steuerung.xlsx]Steuerung'!$F$6,'[FC Eingabe.xlsx]FC Eingabe'!$D$7:$D$506,C13,'[FC Eingabe.xlsx]FC Eingabe'!$K$7:$K$506,"Wirksam")</f>
        <v/>
      </c>
      <c r="L13" s="6">
        <f>J13+G13+H13-K13</f>
        <v/>
      </c>
      <c r="M13" s="6">
        <f>SUMIFS('[D Finanzen.xlsx]D Finanzen'!$D$182:$D$193,'[D Finanzen.xlsx]D Finanzen'!$A$182:$A$193,'[Steuerung.xlsx]Steuerung'!$F$6,'[D Finanzen.xlsx]D Finanzen'!$B$182:$B$193,C13)</f>
        <v/>
      </c>
      <c r="N13" s="6">
        <f>SUMIFS('[D Finanzen.xlsx]D Finanzen'!$G$182:$G$193,'[D Finanzen.xlsx]D Finanzen'!$A$182:$A$193,'[Steuerung.xlsx]Steuerung'!$F$6,'[D Finanzen.xlsx]D Finanzen'!$B$182:$B$193,C13)</f>
        <v/>
      </c>
      <c r="O13" s="6">
        <f>L13-N13</f>
        <v/>
      </c>
      <c r="P13" s="7">
        <f>IF(I13=0,"n.a.",L13/I13)</f>
        <v/>
      </c>
      <c r="Q13" s="1" t="n"/>
    </row>
    <row r="14">
      <c r="A14" s="1" t="n"/>
      <c r="B14" s="1" t="n"/>
      <c r="C14" s="1" t="n">
        <v>8</v>
      </c>
      <c r="D14" s="1">
        <f>IF(C14&lt;='[Steuerung.xlsx]Steuerung'!$F$8,"IST","FC")</f>
        <v/>
      </c>
      <c r="E14" s="6">
        <f>IF(AND(C14&lt;='[Steuerung.xlsx]Steuerung'!$F$8,COUNTIFS('[Import Monatsdaten.xlsx]Import Monatsdaten'!$C$7:$C$8,'[Steuerung.xlsx]Steuerung'!$F$6,'[Import Monatsdaten.xlsx]Import Monatsdaten'!$D$7:$D$8,8)&gt;0),'[GuV.xlsx]GuV'!M7,SUMIFS('[D Finanzen.xlsx]D Finanzen'!$E$278:$E$301,'[D Finanzen.xlsx]D Finanzen'!$H$278:$H$301,'[Steuerung.xlsx]Steuerung'!$F$6,'[D Finanzen.xlsx]D Finanzen'!$A$278:$A$301,C14))</f>
        <v/>
      </c>
      <c r="F14" s="6">
        <f>IF(AND(C14&lt;='[Steuerung.xlsx]Steuerung'!$F$8,COUNTIFS('[Import Monatsdaten.xlsx]Import Monatsdaten'!$C$7:$C$8,'[Steuerung.xlsx]Steuerung'!$F$6,'[Import Monatsdaten.xlsx]Import Monatsdaten'!$D$7:$D$8,8)&gt;0),'[GuV.xlsx]GuV'!M8,SUMIFS('[D Finanzen.xlsx]D Finanzen'!$F$278:$F$301,'[D Finanzen.xlsx]D Finanzen'!$H$278:$H$301,'[Steuerung.xlsx]Steuerung'!$F$6,'[D Finanzen.xlsx]D Finanzen'!$A$278:$A$301,C14))</f>
        <v/>
      </c>
      <c r="G14" s="6">
        <f>SUMIFS('[FC Eingabe.xlsx]FC Eingabe'!$G$7:$G$506,'[FC Eingabe.xlsx]FC Eingabe'!$C$7:$C$506,'[Steuerung.xlsx]Steuerung'!$F$6,'[FC Eingabe.xlsx]FC Eingabe'!$D$7:$D$506,C14,'[FC Eingabe.xlsx]FC Eingabe'!$K$7:$K$506,"Wirksam")</f>
        <v/>
      </c>
      <c r="H14" s="6">
        <f>SUMIFS('[FC Eingabe.xlsx]FC Eingabe'!$H$7:$H$506,'[FC Eingabe.xlsx]FC Eingabe'!$C$7:$C$506,'[Steuerung.xlsx]Steuerung'!$F$6,'[FC Eingabe.xlsx]FC Eingabe'!$D$7:$D$506,C14,'[FC Eingabe.xlsx]FC Eingabe'!$K$7:$K$506,"Wirksam")</f>
        <v/>
      </c>
      <c r="I14" s="6">
        <f>SUM(E14:H14)</f>
        <v/>
      </c>
      <c r="J14" s="6">
        <f>IF(AND(C14&lt;='[Steuerung.xlsx]Steuerung'!$F$8,COUNTIFS('[Import Monatsdaten.xlsx]Import Monatsdaten'!$C$7:$C$8,'[Steuerung.xlsx]Steuerung'!$F$6,'[Import Monatsdaten.xlsx]Import Monatsdaten'!$D$7:$D$8,8)&gt;0),'[GuV.xlsx]GuV'!M20,SUMIFS('[D Finanzen.xlsx]D Finanzen'!$G$22:$G$33,'[D Finanzen.xlsx]D Finanzen'!$A$22:$A$33,'[Steuerung.xlsx]Steuerung'!$F$6,'[D Finanzen.xlsx]D Finanzen'!$B$22:$B$33,C14))</f>
        <v/>
      </c>
      <c r="K14" s="6">
        <f>SUMIFS('[FC Eingabe.xlsx]FC Eingabe'!$I$7:$I$506,'[FC Eingabe.xlsx]FC Eingabe'!$C$7:$C$506,'[Steuerung.xlsx]Steuerung'!$F$6,'[FC Eingabe.xlsx]FC Eingabe'!$D$7:$D$506,C14,'[FC Eingabe.xlsx]FC Eingabe'!$K$7:$K$506,"Wirksam")</f>
        <v/>
      </c>
      <c r="L14" s="6">
        <f>J14+G14+H14-K14</f>
        <v/>
      </c>
      <c r="M14" s="6">
        <f>SUMIFS('[D Finanzen.xlsx]D Finanzen'!$D$182:$D$193,'[D Finanzen.xlsx]D Finanzen'!$A$182:$A$193,'[Steuerung.xlsx]Steuerung'!$F$6,'[D Finanzen.xlsx]D Finanzen'!$B$182:$B$193,C14)</f>
        <v/>
      </c>
      <c r="N14" s="6">
        <f>SUMIFS('[D Finanzen.xlsx]D Finanzen'!$G$182:$G$193,'[D Finanzen.xlsx]D Finanzen'!$A$182:$A$193,'[Steuerung.xlsx]Steuerung'!$F$6,'[D Finanzen.xlsx]D Finanzen'!$B$182:$B$193,C14)</f>
        <v/>
      </c>
      <c r="O14" s="6">
        <f>L14-N14</f>
        <v/>
      </c>
      <c r="P14" s="7">
        <f>IF(I14=0,"n.a.",L14/I14)</f>
        <v/>
      </c>
      <c r="Q14" s="1" t="n"/>
    </row>
    <row r="15">
      <c r="A15" s="1" t="n"/>
      <c r="B15" s="1" t="n"/>
      <c r="C15" s="1" t="n">
        <v>9</v>
      </c>
      <c r="D15" s="1">
        <f>IF(C15&lt;='[Steuerung.xlsx]Steuerung'!$F$8,"IST","FC")</f>
        <v/>
      </c>
      <c r="E15" s="6">
        <f>IF(AND(C15&lt;='[Steuerung.xlsx]Steuerung'!$F$8,COUNTIFS('[Import Monatsdaten.xlsx]Import Monatsdaten'!$C$7:$C$8,'[Steuerung.xlsx]Steuerung'!$F$6,'[Import Monatsdaten.xlsx]Import Monatsdaten'!$D$7:$D$8,9)&gt;0),'[GuV.xlsx]GuV'!N7,SUMIFS('[D Finanzen.xlsx]D Finanzen'!$E$278:$E$301,'[D Finanzen.xlsx]D Finanzen'!$H$278:$H$301,'[Steuerung.xlsx]Steuerung'!$F$6,'[D Finanzen.xlsx]D Finanzen'!$A$278:$A$301,C15))</f>
        <v/>
      </c>
      <c r="F15" s="6">
        <f>IF(AND(C15&lt;='[Steuerung.xlsx]Steuerung'!$F$8,COUNTIFS('[Import Monatsdaten.xlsx]Import Monatsdaten'!$C$7:$C$8,'[Steuerung.xlsx]Steuerung'!$F$6,'[Import Monatsdaten.xlsx]Import Monatsdaten'!$D$7:$D$8,9)&gt;0),'[GuV.xlsx]GuV'!N8,SUMIFS('[D Finanzen.xlsx]D Finanzen'!$F$278:$F$301,'[D Finanzen.xlsx]D Finanzen'!$H$278:$H$301,'[Steuerung.xlsx]Steuerung'!$F$6,'[D Finanzen.xlsx]D Finanzen'!$A$278:$A$301,C15))</f>
        <v/>
      </c>
      <c r="G15" s="6">
        <f>SUMIFS('[FC Eingabe.xlsx]FC Eingabe'!$G$7:$G$506,'[FC Eingabe.xlsx]FC Eingabe'!$C$7:$C$506,'[Steuerung.xlsx]Steuerung'!$F$6,'[FC Eingabe.xlsx]FC Eingabe'!$D$7:$D$506,C15,'[FC Eingabe.xlsx]FC Eingabe'!$K$7:$K$506,"Wirksam")</f>
        <v/>
      </c>
      <c r="H15" s="6">
        <f>SUMIFS('[FC Eingabe.xlsx]FC Eingabe'!$H$7:$H$506,'[FC Eingabe.xlsx]FC Eingabe'!$C$7:$C$506,'[Steuerung.xlsx]Steuerung'!$F$6,'[FC Eingabe.xlsx]FC Eingabe'!$D$7:$D$506,C15,'[FC Eingabe.xlsx]FC Eingabe'!$K$7:$K$506,"Wirksam")</f>
        <v/>
      </c>
      <c r="I15" s="6">
        <f>SUM(E15:H15)</f>
        <v/>
      </c>
      <c r="J15" s="6">
        <f>IF(AND(C15&lt;='[Steuerung.xlsx]Steuerung'!$F$8,COUNTIFS('[Import Monatsdaten.xlsx]Import Monatsdaten'!$C$7:$C$8,'[Steuerung.xlsx]Steuerung'!$F$6,'[Import Monatsdaten.xlsx]Import Monatsdaten'!$D$7:$D$8,9)&gt;0),'[GuV.xlsx]GuV'!N20,SUMIFS('[D Finanzen.xlsx]D Finanzen'!$G$22:$G$33,'[D Finanzen.xlsx]D Finanzen'!$A$22:$A$33,'[Steuerung.xlsx]Steuerung'!$F$6,'[D Finanzen.xlsx]D Finanzen'!$B$22:$B$33,C15))</f>
        <v/>
      </c>
      <c r="K15" s="6">
        <f>SUMIFS('[FC Eingabe.xlsx]FC Eingabe'!$I$7:$I$506,'[FC Eingabe.xlsx]FC Eingabe'!$C$7:$C$506,'[Steuerung.xlsx]Steuerung'!$F$6,'[FC Eingabe.xlsx]FC Eingabe'!$D$7:$D$506,C15,'[FC Eingabe.xlsx]FC Eingabe'!$K$7:$K$506,"Wirksam")</f>
        <v/>
      </c>
      <c r="L15" s="6">
        <f>J15+G15+H15-K15</f>
        <v/>
      </c>
      <c r="M15" s="6">
        <f>SUMIFS('[D Finanzen.xlsx]D Finanzen'!$D$182:$D$193,'[D Finanzen.xlsx]D Finanzen'!$A$182:$A$193,'[Steuerung.xlsx]Steuerung'!$F$6,'[D Finanzen.xlsx]D Finanzen'!$B$182:$B$193,C15)</f>
        <v/>
      </c>
      <c r="N15" s="6">
        <f>SUMIFS('[D Finanzen.xlsx]D Finanzen'!$G$182:$G$193,'[D Finanzen.xlsx]D Finanzen'!$A$182:$A$193,'[Steuerung.xlsx]Steuerung'!$F$6,'[D Finanzen.xlsx]D Finanzen'!$B$182:$B$193,C15)</f>
        <v/>
      </c>
      <c r="O15" s="6">
        <f>L15-N15</f>
        <v/>
      </c>
      <c r="P15" s="7">
        <f>IF(I15=0,"n.a.",L15/I15)</f>
        <v/>
      </c>
      <c r="Q15" s="1" t="n"/>
    </row>
    <row r="16">
      <c r="A16" s="1" t="n"/>
      <c r="B16" s="1" t="n"/>
      <c r="C16" s="1" t="n">
        <v>10</v>
      </c>
      <c r="D16" s="1">
        <f>IF(C16&lt;='[Steuerung.xlsx]Steuerung'!$F$8,"IST","FC")</f>
        <v/>
      </c>
      <c r="E16" s="6">
        <f>IF(AND(C16&lt;='[Steuerung.xlsx]Steuerung'!$F$8,COUNTIFS('[Import Monatsdaten.xlsx]Import Monatsdaten'!$C$7:$C$8,'[Steuerung.xlsx]Steuerung'!$F$6,'[Import Monatsdaten.xlsx]Import Monatsdaten'!$D$7:$D$8,10)&gt;0),'[GuV.xlsx]GuV'!O7,SUMIFS('[D Finanzen.xlsx]D Finanzen'!$E$278:$E$301,'[D Finanzen.xlsx]D Finanzen'!$H$278:$H$301,'[Steuerung.xlsx]Steuerung'!$F$6,'[D Finanzen.xlsx]D Finanzen'!$A$278:$A$301,C16))</f>
        <v/>
      </c>
      <c r="F16" s="6">
        <f>IF(AND(C16&lt;='[Steuerung.xlsx]Steuerung'!$F$8,COUNTIFS('[Import Monatsdaten.xlsx]Import Monatsdaten'!$C$7:$C$8,'[Steuerung.xlsx]Steuerung'!$F$6,'[Import Monatsdaten.xlsx]Import Monatsdaten'!$D$7:$D$8,10)&gt;0),'[GuV.xlsx]GuV'!O8,SUMIFS('[D Finanzen.xlsx]D Finanzen'!$F$278:$F$301,'[D Finanzen.xlsx]D Finanzen'!$H$278:$H$301,'[Steuerung.xlsx]Steuerung'!$F$6,'[D Finanzen.xlsx]D Finanzen'!$A$278:$A$301,C16))</f>
        <v/>
      </c>
      <c r="G16" s="6">
        <f>SUMIFS('[FC Eingabe.xlsx]FC Eingabe'!$G$7:$G$506,'[FC Eingabe.xlsx]FC Eingabe'!$C$7:$C$506,'[Steuerung.xlsx]Steuerung'!$F$6,'[FC Eingabe.xlsx]FC Eingabe'!$D$7:$D$506,C16,'[FC Eingabe.xlsx]FC Eingabe'!$K$7:$K$506,"Wirksam")</f>
        <v/>
      </c>
      <c r="H16" s="6">
        <f>SUMIFS('[FC Eingabe.xlsx]FC Eingabe'!$H$7:$H$506,'[FC Eingabe.xlsx]FC Eingabe'!$C$7:$C$506,'[Steuerung.xlsx]Steuerung'!$F$6,'[FC Eingabe.xlsx]FC Eingabe'!$D$7:$D$506,C16,'[FC Eingabe.xlsx]FC Eingabe'!$K$7:$K$506,"Wirksam")</f>
        <v/>
      </c>
      <c r="I16" s="6">
        <f>SUM(E16:H16)</f>
        <v/>
      </c>
      <c r="J16" s="6">
        <f>IF(AND(C16&lt;='[Steuerung.xlsx]Steuerung'!$F$8,COUNTIFS('[Import Monatsdaten.xlsx]Import Monatsdaten'!$C$7:$C$8,'[Steuerung.xlsx]Steuerung'!$F$6,'[Import Monatsdaten.xlsx]Import Monatsdaten'!$D$7:$D$8,10)&gt;0),'[GuV.xlsx]GuV'!O20,SUMIFS('[D Finanzen.xlsx]D Finanzen'!$G$22:$G$33,'[D Finanzen.xlsx]D Finanzen'!$A$22:$A$33,'[Steuerung.xlsx]Steuerung'!$F$6,'[D Finanzen.xlsx]D Finanzen'!$B$22:$B$33,C16))</f>
        <v/>
      </c>
      <c r="K16" s="6">
        <f>SUMIFS('[FC Eingabe.xlsx]FC Eingabe'!$I$7:$I$506,'[FC Eingabe.xlsx]FC Eingabe'!$C$7:$C$506,'[Steuerung.xlsx]Steuerung'!$F$6,'[FC Eingabe.xlsx]FC Eingabe'!$D$7:$D$506,C16,'[FC Eingabe.xlsx]FC Eingabe'!$K$7:$K$506,"Wirksam")</f>
        <v/>
      </c>
      <c r="L16" s="6">
        <f>J16+G16+H16-K16</f>
        <v/>
      </c>
      <c r="M16" s="6">
        <f>SUMIFS('[D Finanzen.xlsx]D Finanzen'!$D$182:$D$193,'[D Finanzen.xlsx]D Finanzen'!$A$182:$A$193,'[Steuerung.xlsx]Steuerung'!$F$6,'[D Finanzen.xlsx]D Finanzen'!$B$182:$B$193,C16)</f>
        <v/>
      </c>
      <c r="N16" s="6">
        <f>SUMIFS('[D Finanzen.xlsx]D Finanzen'!$G$182:$G$193,'[D Finanzen.xlsx]D Finanzen'!$A$182:$A$193,'[Steuerung.xlsx]Steuerung'!$F$6,'[D Finanzen.xlsx]D Finanzen'!$B$182:$B$193,C16)</f>
        <v/>
      </c>
      <c r="O16" s="6">
        <f>L16-N16</f>
        <v/>
      </c>
      <c r="P16" s="7">
        <f>IF(I16=0,"n.a.",L16/I16)</f>
        <v/>
      </c>
      <c r="Q16" s="1" t="n"/>
    </row>
    <row r="17">
      <c r="A17" s="1" t="n"/>
      <c r="B17" s="1" t="n"/>
      <c r="C17" s="1" t="n">
        <v>11</v>
      </c>
      <c r="D17" s="1">
        <f>IF(C17&lt;='[Steuerung.xlsx]Steuerung'!$F$8,"IST","FC")</f>
        <v/>
      </c>
      <c r="E17" s="6">
        <f>IF(AND(C17&lt;='[Steuerung.xlsx]Steuerung'!$F$8,COUNTIFS('[Import Monatsdaten.xlsx]Import Monatsdaten'!$C$7:$C$8,'[Steuerung.xlsx]Steuerung'!$F$6,'[Import Monatsdaten.xlsx]Import Monatsdaten'!$D$7:$D$8,11)&gt;0),'[GuV.xlsx]GuV'!P7,SUMIFS('[D Finanzen.xlsx]D Finanzen'!$E$278:$E$301,'[D Finanzen.xlsx]D Finanzen'!$H$278:$H$301,'[Steuerung.xlsx]Steuerung'!$F$6,'[D Finanzen.xlsx]D Finanzen'!$A$278:$A$301,C17))</f>
        <v/>
      </c>
      <c r="F17" s="6">
        <f>IF(AND(C17&lt;='[Steuerung.xlsx]Steuerung'!$F$8,COUNTIFS('[Import Monatsdaten.xlsx]Import Monatsdaten'!$C$7:$C$8,'[Steuerung.xlsx]Steuerung'!$F$6,'[Import Monatsdaten.xlsx]Import Monatsdaten'!$D$7:$D$8,11)&gt;0),'[GuV.xlsx]GuV'!P8,SUMIFS('[D Finanzen.xlsx]D Finanzen'!$F$278:$F$301,'[D Finanzen.xlsx]D Finanzen'!$H$278:$H$301,'[Steuerung.xlsx]Steuerung'!$F$6,'[D Finanzen.xlsx]D Finanzen'!$A$278:$A$301,C17))</f>
        <v/>
      </c>
      <c r="G17" s="6">
        <f>SUMIFS('[FC Eingabe.xlsx]FC Eingabe'!$G$7:$G$506,'[FC Eingabe.xlsx]FC Eingabe'!$C$7:$C$506,'[Steuerung.xlsx]Steuerung'!$F$6,'[FC Eingabe.xlsx]FC Eingabe'!$D$7:$D$506,C17,'[FC Eingabe.xlsx]FC Eingabe'!$K$7:$K$506,"Wirksam")</f>
        <v/>
      </c>
      <c r="H17" s="6">
        <f>SUMIFS('[FC Eingabe.xlsx]FC Eingabe'!$H$7:$H$506,'[FC Eingabe.xlsx]FC Eingabe'!$C$7:$C$506,'[Steuerung.xlsx]Steuerung'!$F$6,'[FC Eingabe.xlsx]FC Eingabe'!$D$7:$D$506,C17,'[FC Eingabe.xlsx]FC Eingabe'!$K$7:$K$506,"Wirksam")</f>
        <v/>
      </c>
      <c r="I17" s="6">
        <f>SUM(E17:H17)</f>
        <v/>
      </c>
      <c r="J17" s="6">
        <f>IF(AND(C17&lt;='[Steuerung.xlsx]Steuerung'!$F$8,COUNTIFS('[Import Monatsdaten.xlsx]Import Monatsdaten'!$C$7:$C$8,'[Steuerung.xlsx]Steuerung'!$F$6,'[Import Monatsdaten.xlsx]Import Monatsdaten'!$D$7:$D$8,11)&gt;0),'[GuV.xlsx]GuV'!P20,SUMIFS('[D Finanzen.xlsx]D Finanzen'!$G$22:$G$33,'[D Finanzen.xlsx]D Finanzen'!$A$22:$A$33,'[Steuerung.xlsx]Steuerung'!$F$6,'[D Finanzen.xlsx]D Finanzen'!$B$22:$B$33,C17))</f>
        <v/>
      </c>
      <c r="K17" s="6">
        <f>SUMIFS('[FC Eingabe.xlsx]FC Eingabe'!$I$7:$I$506,'[FC Eingabe.xlsx]FC Eingabe'!$C$7:$C$506,'[Steuerung.xlsx]Steuerung'!$F$6,'[FC Eingabe.xlsx]FC Eingabe'!$D$7:$D$506,C17,'[FC Eingabe.xlsx]FC Eingabe'!$K$7:$K$506,"Wirksam")</f>
        <v/>
      </c>
      <c r="L17" s="6">
        <f>J17+G17+H17-K17</f>
        <v/>
      </c>
      <c r="M17" s="6">
        <f>SUMIFS('[D Finanzen.xlsx]D Finanzen'!$D$182:$D$193,'[D Finanzen.xlsx]D Finanzen'!$A$182:$A$193,'[Steuerung.xlsx]Steuerung'!$F$6,'[D Finanzen.xlsx]D Finanzen'!$B$182:$B$193,C17)</f>
        <v/>
      </c>
      <c r="N17" s="6">
        <f>SUMIFS('[D Finanzen.xlsx]D Finanzen'!$G$182:$G$193,'[D Finanzen.xlsx]D Finanzen'!$A$182:$A$193,'[Steuerung.xlsx]Steuerung'!$F$6,'[D Finanzen.xlsx]D Finanzen'!$B$182:$B$193,C17)</f>
        <v/>
      </c>
      <c r="O17" s="6">
        <f>L17-N17</f>
        <v/>
      </c>
      <c r="P17" s="7">
        <f>IF(I17=0,"n.a.",L17/I17)</f>
        <v/>
      </c>
      <c r="Q17" s="1" t="n"/>
    </row>
    <row r="18">
      <c r="A18" s="1" t="n"/>
      <c r="B18" s="1" t="n"/>
      <c r="C18" s="1" t="n">
        <v>12</v>
      </c>
      <c r="D18" s="1">
        <f>IF(C18&lt;='[Steuerung.xlsx]Steuerung'!$F$8,"IST","FC")</f>
        <v/>
      </c>
      <c r="E18" s="6">
        <f>IF(AND(C18&lt;='[Steuerung.xlsx]Steuerung'!$F$8,COUNTIFS('[Import Monatsdaten.xlsx]Import Monatsdaten'!$C$7:$C$8,'[Steuerung.xlsx]Steuerung'!$F$6,'[Import Monatsdaten.xlsx]Import Monatsdaten'!$D$7:$D$8,12)&gt;0),'[GuV.xlsx]GuV'!Q7,SUMIFS('[D Finanzen.xlsx]D Finanzen'!$E$278:$E$301,'[D Finanzen.xlsx]D Finanzen'!$H$278:$H$301,'[Steuerung.xlsx]Steuerung'!$F$6,'[D Finanzen.xlsx]D Finanzen'!$A$278:$A$301,C18))</f>
        <v/>
      </c>
      <c r="F18" s="6">
        <f>IF(AND(C18&lt;='[Steuerung.xlsx]Steuerung'!$F$8,COUNTIFS('[Import Monatsdaten.xlsx]Import Monatsdaten'!$C$7:$C$8,'[Steuerung.xlsx]Steuerung'!$F$6,'[Import Monatsdaten.xlsx]Import Monatsdaten'!$D$7:$D$8,12)&gt;0),'[GuV.xlsx]GuV'!Q8,SUMIFS('[D Finanzen.xlsx]D Finanzen'!$F$278:$F$301,'[D Finanzen.xlsx]D Finanzen'!$H$278:$H$301,'[Steuerung.xlsx]Steuerung'!$F$6,'[D Finanzen.xlsx]D Finanzen'!$A$278:$A$301,C18))</f>
        <v/>
      </c>
      <c r="G18" s="6">
        <f>SUMIFS('[FC Eingabe.xlsx]FC Eingabe'!$G$7:$G$506,'[FC Eingabe.xlsx]FC Eingabe'!$C$7:$C$506,'[Steuerung.xlsx]Steuerung'!$F$6,'[FC Eingabe.xlsx]FC Eingabe'!$D$7:$D$506,C18,'[FC Eingabe.xlsx]FC Eingabe'!$K$7:$K$506,"Wirksam")</f>
        <v/>
      </c>
      <c r="H18" s="6">
        <f>SUMIFS('[FC Eingabe.xlsx]FC Eingabe'!$H$7:$H$506,'[FC Eingabe.xlsx]FC Eingabe'!$C$7:$C$506,'[Steuerung.xlsx]Steuerung'!$F$6,'[FC Eingabe.xlsx]FC Eingabe'!$D$7:$D$506,C18,'[FC Eingabe.xlsx]FC Eingabe'!$K$7:$K$506,"Wirksam")</f>
        <v/>
      </c>
      <c r="I18" s="6">
        <f>SUM(E18:H18)</f>
        <v/>
      </c>
      <c r="J18" s="6">
        <f>IF(AND(C18&lt;='[Steuerung.xlsx]Steuerung'!$F$8,COUNTIFS('[Import Monatsdaten.xlsx]Import Monatsdaten'!$C$7:$C$8,'[Steuerung.xlsx]Steuerung'!$F$6,'[Import Monatsdaten.xlsx]Import Monatsdaten'!$D$7:$D$8,12)&gt;0),'[GuV.xlsx]GuV'!Q20,SUMIFS('[D Finanzen.xlsx]D Finanzen'!$G$22:$G$33,'[D Finanzen.xlsx]D Finanzen'!$A$22:$A$33,'[Steuerung.xlsx]Steuerung'!$F$6,'[D Finanzen.xlsx]D Finanzen'!$B$22:$B$33,C18))</f>
        <v/>
      </c>
      <c r="K18" s="6">
        <f>SUMIFS('[FC Eingabe.xlsx]FC Eingabe'!$I$7:$I$506,'[FC Eingabe.xlsx]FC Eingabe'!$C$7:$C$506,'[Steuerung.xlsx]Steuerung'!$F$6,'[FC Eingabe.xlsx]FC Eingabe'!$D$7:$D$506,C18,'[FC Eingabe.xlsx]FC Eingabe'!$K$7:$K$506,"Wirksam")</f>
        <v/>
      </c>
      <c r="L18" s="6">
        <f>J18+G18+H18-K18</f>
        <v/>
      </c>
      <c r="M18" s="6">
        <f>SUMIFS('[D Finanzen.xlsx]D Finanzen'!$D$182:$D$193,'[D Finanzen.xlsx]D Finanzen'!$A$182:$A$193,'[Steuerung.xlsx]Steuerung'!$F$6,'[D Finanzen.xlsx]D Finanzen'!$B$182:$B$193,C18)</f>
        <v/>
      </c>
      <c r="N18" s="6">
        <f>SUMIFS('[D Finanzen.xlsx]D Finanzen'!$G$182:$G$193,'[D Finanzen.xlsx]D Finanzen'!$A$182:$A$193,'[Steuerung.xlsx]Steuerung'!$F$6,'[D Finanzen.xlsx]D Finanzen'!$B$182:$B$193,C18)</f>
        <v/>
      </c>
      <c r="O18" s="6">
        <f>L18-N18</f>
        <v/>
      </c>
      <c r="P18" s="7">
        <f>IF(I18=0,"n.a.",L18/I18)</f>
        <v/>
      </c>
      <c r="Q18" s="1" t="n"/>
    </row>
    <row r="19">
      <c r="A19" s="1" t="n"/>
      <c r="B19" s="1" t="n"/>
      <c r="C19" s="1" t="n"/>
      <c r="D19" s="1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7" t="n"/>
      <c r="Q19" s="1" t="n"/>
    </row>
    <row r="20" ht="25" customHeight="1">
      <c r="A20" s="1" t="n"/>
      <c r="B20" s="1" t="n"/>
      <c r="C20" s="8" t="inlineStr">
        <is>
          <t>Gesamtjahr</t>
        </is>
      </c>
      <c r="D20" s="8" t="n"/>
      <c r="E20" s="9">
        <f>SUM(E7:E18)</f>
        <v/>
      </c>
      <c r="F20" s="9">
        <f>SUM(F7:F18)</f>
        <v/>
      </c>
      <c r="G20" s="9">
        <f>SUM(G7:G18)</f>
        <v/>
      </c>
      <c r="H20" s="9">
        <f>SUM(H7:H18)</f>
        <v/>
      </c>
      <c r="I20" s="9">
        <f>SUM(I7:I18)</f>
        <v/>
      </c>
      <c r="J20" s="9">
        <f>SUM(J7:J18)</f>
        <v/>
      </c>
      <c r="K20" s="9">
        <f>SUM(K7:K18)</f>
        <v/>
      </c>
      <c r="L20" s="9">
        <f>SUM(L7:L18)</f>
        <v/>
      </c>
      <c r="M20" s="9">
        <f>SUM(M7:M18)</f>
        <v/>
      </c>
      <c r="N20" s="9">
        <f>SUM(N7:N18)</f>
        <v/>
      </c>
      <c r="O20" s="9">
        <f>SUM(O7:O18)</f>
        <v/>
      </c>
      <c r="P20" s="10">
        <f>IF(I20=0,"n.a.",L20/I20)</f>
        <v/>
      </c>
      <c r="Q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</row>
    <row r="22">
      <c r="A22" s="1" t="n"/>
      <c r="B22" s="1" t="n"/>
      <c r="C22" s="1" t="inlineStr">
        <is>
          <t>Offene Bewertung</t>
        </is>
      </c>
      <c r="D22" s="1" t="n"/>
      <c r="E22" s="1" t="n"/>
      <c r="F22" s="1" t="n"/>
      <c r="G22" s="1" t="n"/>
      <c r="H22" s="1" t="n"/>
      <c r="I22" s="1" t="n"/>
      <c r="J22" s="1" t="n"/>
      <c r="K22" s="1" t="n"/>
      <c r="L22" s="1">
        <f>'[D Finanzen.xlsx]D Finanzen'!F39</f>
        <v/>
      </c>
      <c r="M22" s="1" t="n"/>
      <c r="N22" s="1" t="n"/>
      <c r="O22" s="1" t="n"/>
      <c r="P22" s="1" t="n"/>
      <c r="Q22" s="1" t="n"/>
    </row>
    <row r="23" ht="25" customHeight="1">
      <c r="A23" s="1" t="n"/>
      <c r="B23" s="1" t="n"/>
      <c r="C23" s="8" t="inlineStr">
        <is>
          <t>EBITDA nach offener Bewertung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>
        <f>L20+L22</f>
        <v/>
      </c>
      <c r="M23" s="8" t="n"/>
      <c r="N23" s="8" t="n"/>
      <c r="O23" s="8" t="n"/>
      <c r="P23" s="8" t="n"/>
      <c r="Q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</row>
    <row r="46" ht="26" customHeight="1">
      <c r="A46" s="1" t="n"/>
      <c r="B46" s="1" t="n"/>
      <c r="C46" s="11" t="inlineStr">
        <is>
          <t>Forecast je Auftrag / Projekt</t>
        </is>
      </c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</row>
    <row r="48" ht="36" customHeight="1">
      <c r="A48" s="1" t="n"/>
      <c r="B48" s="1" t="n"/>
      <c r="C48" s="5" t="inlineStr">
        <is>
          <t>Auftrag</t>
        </is>
      </c>
      <c r="D48" s="5" t="inlineStr">
        <is>
          <t>Bezeichnung</t>
        </is>
      </c>
      <c r="E48" s="5" t="inlineStr">
        <is>
          <t>Region</t>
        </is>
      </c>
      <c r="F48" s="5" t="inlineStr">
        <is>
          <t>Umsatz Ist</t>
        </is>
      </c>
      <c r="G48" s="5" t="inlineStr">
        <is>
          <t>Kosten Ist (neg.)</t>
        </is>
      </c>
      <c r="H48" s="5" t="inlineStr">
        <is>
          <t>Bestand Ist</t>
        </is>
      </c>
      <c r="I48" s="5" t="inlineStr">
        <is>
          <t>Umsatz Rest</t>
        </is>
      </c>
      <c r="J48" s="5" t="inlineStr">
        <is>
          <t>Kosten Rest (neg.)</t>
        </is>
      </c>
      <c r="K48" s="5" t="inlineStr">
        <is>
          <t>Bestand Rest</t>
        </is>
      </c>
      <c r="L48" s="5" t="inlineStr">
        <is>
          <t>Umsatz erwartet</t>
        </is>
      </c>
      <c r="M48" s="5" t="inlineStr">
        <is>
          <t>Kosten erwartet</t>
        </is>
      </c>
      <c r="N48" s="5" t="inlineStr">
        <is>
          <t>Bestand erwartet</t>
        </is>
      </c>
      <c r="O48" s="5" t="inlineStr">
        <is>
          <t>Ergebnis erwartet</t>
        </is>
      </c>
      <c r="P48" s="1" t="n"/>
      <c r="Q48" s="1" t="n"/>
    </row>
    <row r="49" ht="21" customHeight="1">
      <c r="A49" s="1" t="n"/>
      <c r="B49" s="1" t="n"/>
      <c r="C49" s="1" t="inlineStr">
        <is>
          <t>P4102157208</t>
        </is>
      </c>
      <c r="D49" s="1" t="inlineStr">
        <is>
          <t>Waggonverschrottung</t>
        </is>
      </c>
      <c r="E49" s="1" t="inlineStr">
        <is>
          <t>West</t>
        </is>
      </c>
      <c r="F49" s="6" t="n">
        <v>24855.15</v>
      </c>
      <c r="G49" s="6" t="n">
        <v>-13515.52</v>
      </c>
      <c r="H49" s="6" t="n">
        <v>-10000</v>
      </c>
      <c r="I49" s="6" t="n">
        <v>0</v>
      </c>
      <c r="J49" s="6" t="n">
        <v>0</v>
      </c>
      <c r="K49" s="6" t="n">
        <v>0</v>
      </c>
      <c r="L49" s="6">
        <f>F49+I49+SUMIFS('[FC Eingabe.xlsx]FC Eingabe'!$G$7:$G$126,'[FC Eingabe.xlsx]FC Eingabe'!$F$7:$F$126,C49,'[FC Eingabe.xlsx]FC Eingabe'!$K$7:$K$126,"Wirksam")</f>
        <v/>
      </c>
      <c r="M49" s="6">
        <f>G49+J49-SUMIFS('[FC Eingabe.xlsx]FC Eingabe'!$I$7:$I$126,'[FC Eingabe.xlsx]FC Eingabe'!$F$7:$F$126,C49,'[FC Eingabe.xlsx]FC Eingabe'!$K$7:$K$126,"Wirksam")</f>
        <v/>
      </c>
      <c r="N49" s="6">
        <f>H49+K49+SUMIFS('[FC Eingabe.xlsx]FC Eingabe'!$H$7:$H$126,'[FC Eingabe.xlsx]FC Eingabe'!$F$7:$F$126,C49,'[FC Eingabe.xlsx]FC Eingabe'!$K$7:$K$126,"Wirksam")</f>
        <v/>
      </c>
      <c r="O49" s="6">
        <f>SUM(L49:N49)</f>
        <v/>
      </c>
      <c r="P49" s="1" t="n"/>
      <c r="Q49" s="1" t="n"/>
    </row>
    <row r="50" ht="21" customHeight="1">
      <c r="A50" s="1" t="n"/>
      <c r="B50" s="1" t="n"/>
      <c r="C50" s="1" t="inlineStr">
        <is>
          <t>P4102157411</t>
        </is>
      </c>
      <c r="D50" s="1" t="inlineStr">
        <is>
          <t>ARGE RB Chemiepark Krefeld</t>
        </is>
      </c>
      <c r="E50" s="1" t="inlineStr">
        <is>
          <t>West</t>
        </is>
      </c>
      <c r="F50" s="6" t="n">
        <v>45582.42</v>
      </c>
      <c r="G50" s="6" t="n">
        <v>0</v>
      </c>
      <c r="H50" s="6" t="n">
        <v>0</v>
      </c>
      <c r="I50" s="6" t="n">
        <v>0</v>
      </c>
      <c r="J50" s="6" t="n">
        <v>0</v>
      </c>
      <c r="K50" s="6" t="n">
        <v>0</v>
      </c>
      <c r="L50" s="6">
        <f>F50+I50+SUMIFS('[FC Eingabe.xlsx]FC Eingabe'!$G$7:$G$126,'[FC Eingabe.xlsx]FC Eingabe'!$F$7:$F$126,C50,'[FC Eingabe.xlsx]FC Eingabe'!$K$7:$K$126,"Wirksam")</f>
        <v/>
      </c>
      <c r="M50" s="6">
        <f>G50+J50-SUMIFS('[FC Eingabe.xlsx]FC Eingabe'!$I$7:$I$126,'[FC Eingabe.xlsx]FC Eingabe'!$F$7:$F$126,C50,'[FC Eingabe.xlsx]FC Eingabe'!$K$7:$K$126,"Wirksam")</f>
        <v/>
      </c>
      <c r="N50" s="6">
        <f>H50+K50+SUMIFS('[FC Eingabe.xlsx]FC Eingabe'!$H$7:$H$126,'[FC Eingabe.xlsx]FC Eingabe'!$F$7:$F$126,C50,'[FC Eingabe.xlsx]FC Eingabe'!$K$7:$K$126,"Wirksam")</f>
        <v/>
      </c>
      <c r="O50" s="6">
        <f>SUM(L50:N50)</f>
        <v/>
      </c>
      <c r="P50" s="1" t="n"/>
      <c r="Q50" s="1" t="n"/>
    </row>
    <row r="51" ht="21" customHeight="1">
      <c r="A51" s="1" t="n"/>
      <c r="B51" s="1" t="n"/>
      <c r="C51" s="1" t="inlineStr">
        <is>
          <t>P4102157414</t>
        </is>
      </c>
      <c r="D51" s="1" t="inlineStr">
        <is>
          <t>Krandemontage</t>
        </is>
      </c>
      <c r="E51" s="1" t="inlineStr">
        <is>
          <t>West</t>
        </is>
      </c>
      <c r="F51" s="6" t="n">
        <v>414976.03</v>
      </c>
      <c r="G51" s="6" t="n">
        <v>-100883.26</v>
      </c>
      <c r="H51" s="6" t="n">
        <v>-279004.22</v>
      </c>
      <c r="I51" s="6" t="n">
        <v>0</v>
      </c>
      <c r="J51" s="6" t="n">
        <v>0</v>
      </c>
      <c r="K51" s="6" t="n">
        <v>0</v>
      </c>
      <c r="L51" s="6">
        <f>F51+I51+SUMIFS('[FC Eingabe.xlsx]FC Eingabe'!$G$7:$G$126,'[FC Eingabe.xlsx]FC Eingabe'!$F$7:$F$126,C51,'[FC Eingabe.xlsx]FC Eingabe'!$K$7:$K$126,"Wirksam")</f>
        <v/>
      </c>
      <c r="M51" s="6">
        <f>G51+J51-SUMIFS('[FC Eingabe.xlsx]FC Eingabe'!$I$7:$I$126,'[FC Eingabe.xlsx]FC Eingabe'!$F$7:$F$126,C51,'[FC Eingabe.xlsx]FC Eingabe'!$K$7:$K$126,"Wirksam")</f>
        <v/>
      </c>
      <c r="N51" s="6">
        <f>H51+K51+SUMIFS('[FC Eingabe.xlsx]FC Eingabe'!$H$7:$H$126,'[FC Eingabe.xlsx]FC Eingabe'!$F$7:$F$126,C51,'[FC Eingabe.xlsx]FC Eingabe'!$K$7:$K$126,"Wirksam")</f>
        <v/>
      </c>
      <c r="O51" s="6">
        <f>SUM(L51:N51)</f>
        <v/>
      </c>
      <c r="P51" s="1" t="n"/>
      <c r="Q51" s="1" t="n"/>
    </row>
    <row r="52" ht="21" customHeight="1">
      <c r="A52" s="1" t="n"/>
      <c r="B52" s="1" t="n"/>
      <c r="C52" s="1" t="inlineStr">
        <is>
          <t>P4102157420</t>
        </is>
      </c>
      <c r="D52" s="1" t="inlineStr">
        <is>
          <t>ARGE RB GWA+SGA 4</t>
        </is>
      </c>
      <c r="E52" s="1" t="inlineStr">
        <is>
          <t>West</t>
        </is>
      </c>
      <c r="F52" s="6" t="n">
        <v>0</v>
      </c>
      <c r="G52" s="6" t="n">
        <v>-1084.64</v>
      </c>
      <c r="H52" s="6" t="n">
        <v>0</v>
      </c>
      <c r="I52" s="6" t="n">
        <v>0</v>
      </c>
      <c r="J52" s="6" t="n">
        <v>0</v>
      </c>
      <c r="K52" s="6" t="n">
        <v>0</v>
      </c>
      <c r="L52" s="6">
        <f>F52+I52+SUMIFS('[FC Eingabe.xlsx]FC Eingabe'!$G$7:$G$126,'[FC Eingabe.xlsx]FC Eingabe'!$F$7:$F$126,C52,'[FC Eingabe.xlsx]FC Eingabe'!$K$7:$K$126,"Wirksam")</f>
        <v/>
      </c>
      <c r="M52" s="6">
        <f>G52+J52-SUMIFS('[FC Eingabe.xlsx]FC Eingabe'!$I$7:$I$126,'[FC Eingabe.xlsx]FC Eingabe'!$F$7:$F$126,C52,'[FC Eingabe.xlsx]FC Eingabe'!$K$7:$K$126,"Wirksam")</f>
        <v/>
      </c>
      <c r="N52" s="6">
        <f>H52+K52+SUMIFS('[FC Eingabe.xlsx]FC Eingabe'!$H$7:$H$126,'[FC Eingabe.xlsx]FC Eingabe'!$F$7:$F$126,C52,'[FC Eingabe.xlsx]FC Eingabe'!$K$7:$K$126,"Wirksam")</f>
        <v/>
      </c>
      <c r="O52" s="6">
        <f>SUM(L52:N52)</f>
        <v/>
      </c>
      <c r="P52" s="1" t="n"/>
      <c r="Q52" s="1" t="n"/>
    </row>
    <row r="53" ht="21" customHeight="1">
      <c r="A53" s="1" t="n"/>
      <c r="B53" s="1" t="n"/>
      <c r="C53" s="1" t="inlineStr">
        <is>
          <t>P4102157429</t>
        </is>
      </c>
      <c r="D53" s="1" t="inlineStr">
        <is>
          <t>Covestro - Rückbau LEV O13</t>
        </is>
      </c>
      <c r="E53" s="1" t="inlineStr">
        <is>
          <t>West</t>
        </is>
      </c>
      <c r="F53" s="6" t="n">
        <v>0</v>
      </c>
      <c r="G53" s="6" t="n">
        <v>24.2</v>
      </c>
      <c r="H53" s="6" t="n">
        <v>59.31</v>
      </c>
      <c r="I53" s="6" t="n">
        <v>442000</v>
      </c>
      <c r="J53" s="6" t="n">
        <v>-350000</v>
      </c>
      <c r="K53" s="6" t="n">
        <v>0</v>
      </c>
      <c r="L53" s="6">
        <f>F53+I53+SUMIFS('[FC Eingabe.xlsx]FC Eingabe'!$G$7:$G$126,'[FC Eingabe.xlsx]FC Eingabe'!$F$7:$F$126,C53,'[FC Eingabe.xlsx]FC Eingabe'!$K$7:$K$126,"Wirksam")</f>
        <v/>
      </c>
      <c r="M53" s="6">
        <f>G53+J53-SUMIFS('[FC Eingabe.xlsx]FC Eingabe'!$I$7:$I$126,'[FC Eingabe.xlsx]FC Eingabe'!$F$7:$F$126,C53,'[FC Eingabe.xlsx]FC Eingabe'!$K$7:$K$126,"Wirksam")</f>
        <v/>
      </c>
      <c r="N53" s="6">
        <f>H53+K53+SUMIFS('[FC Eingabe.xlsx]FC Eingabe'!$H$7:$H$126,'[FC Eingabe.xlsx]FC Eingabe'!$F$7:$F$126,C53,'[FC Eingabe.xlsx]FC Eingabe'!$K$7:$K$126,"Wirksam")</f>
        <v/>
      </c>
      <c r="O53" s="6">
        <f>SUM(L53:N53)</f>
        <v/>
      </c>
      <c r="P53" s="1" t="n"/>
      <c r="Q53" s="1" t="n"/>
    </row>
    <row r="54" ht="21" customHeight="1">
      <c r="A54" s="1" t="n"/>
      <c r="B54" s="1" t="n"/>
      <c r="C54" s="1" t="inlineStr">
        <is>
          <t>P4102157431</t>
        </is>
      </c>
      <c r="D54" s="1" t="inlineStr">
        <is>
          <t>RB drei Sandfilter</t>
        </is>
      </c>
      <c r="E54" s="1" t="inlineStr">
        <is>
          <t>West</t>
        </is>
      </c>
      <c r="F54" s="6" t="n">
        <v>19000</v>
      </c>
      <c r="G54" s="6" t="n">
        <v>0</v>
      </c>
      <c r="H54" s="6" t="n">
        <v>-24683.12</v>
      </c>
      <c r="I54" s="6" t="n">
        <v>0</v>
      </c>
      <c r="J54" s="6" t="n">
        <v>0</v>
      </c>
      <c r="K54" s="6" t="n">
        <v>0</v>
      </c>
      <c r="L54" s="6">
        <f>F54+I54+SUMIFS('[FC Eingabe.xlsx]FC Eingabe'!$G$7:$G$126,'[FC Eingabe.xlsx]FC Eingabe'!$F$7:$F$126,C54,'[FC Eingabe.xlsx]FC Eingabe'!$K$7:$K$126,"Wirksam")</f>
        <v/>
      </c>
      <c r="M54" s="6">
        <f>G54+J54-SUMIFS('[FC Eingabe.xlsx]FC Eingabe'!$I$7:$I$126,'[FC Eingabe.xlsx]FC Eingabe'!$F$7:$F$126,C54,'[FC Eingabe.xlsx]FC Eingabe'!$K$7:$K$126,"Wirksam")</f>
        <v/>
      </c>
      <c r="N54" s="6">
        <f>H54+K54+SUMIFS('[FC Eingabe.xlsx]FC Eingabe'!$H$7:$H$126,'[FC Eingabe.xlsx]FC Eingabe'!$F$7:$F$126,C54,'[FC Eingabe.xlsx]FC Eingabe'!$K$7:$K$126,"Wirksam")</f>
        <v/>
      </c>
      <c r="O54" s="6">
        <f>SUM(L54:N54)</f>
        <v/>
      </c>
      <c r="P54" s="1" t="n"/>
      <c r="Q54" s="1" t="n"/>
    </row>
    <row r="55" ht="21" customHeight="1">
      <c r="A55" s="1" t="n"/>
      <c r="B55" s="1" t="n"/>
      <c r="C55" s="1" t="inlineStr">
        <is>
          <t>P4102157436</t>
        </is>
      </c>
      <c r="D55" s="1" t="inlineStr">
        <is>
          <t>Sanierung Kompensatoren</t>
        </is>
      </c>
      <c r="E55" s="1" t="inlineStr">
        <is>
          <t>West</t>
        </is>
      </c>
      <c r="F55" s="6" t="n">
        <v>49999</v>
      </c>
      <c r="G55" s="6" t="n">
        <v>0</v>
      </c>
      <c r="H55" s="6" t="n">
        <v>-44762.43</v>
      </c>
      <c r="I55" s="6" t="n">
        <v>0</v>
      </c>
      <c r="J55" s="6" t="n">
        <v>0</v>
      </c>
      <c r="K55" s="6" t="n">
        <v>0</v>
      </c>
      <c r="L55" s="6">
        <f>F55+I55+SUMIFS('[FC Eingabe.xlsx]FC Eingabe'!$G$7:$G$126,'[FC Eingabe.xlsx]FC Eingabe'!$F$7:$F$126,C55,'[FC Eingabe.xlsx]FC Eingabe'!$K$7:$K$126,"Wirksam")</f>
        <v/>
      </c>
      <c r="M55" s="6">
        <f>G55+J55-SUMIFS('[FC Eingabe.xlsx]FC Eingabe'!$I$7:$I$126,'[FC Eingabe.xlsx]FC Eingabe'!$F$7:$F$126,C55,'[FC Eingabe.xlsx]FC Eingabe'!$K$7:$K$126,"Wirksam")</f>
        <v/>
      </c>
      <c r="N55" s="6">
        <f>H55+K55+SUMIFS('[FC Eingabe.xlsx]FC Eingabe'!$H$7:$H$126,'[FC Eingabe.xlsx]FC Eingabe'!$F$7:$F$126,C55,'[FC Eingabe.xlsx]FC Eingabe'!$K$7:$K$126,"Wirksam")</f>
        <v/>
      </c>
      <c r="O55" s="6">
        <f>SUM(L55:N55)</f>
        <v/>
      </c>
      <c r="P55" s="1" t="n"/>
      <c r="Q55" s="1" t="n"/>
    </row>
    <row r="56" ht="21" customHeight="1">
      <c r="A56" s="1" t="n"/>
      <c r="B56" s="1" t="n"/>
      <c r="C56" s="1" t="inlineStr">
        <is>
          <t>P4102157439</t>
        </is>
      </c>
      <c r="D56" s="1" t="inlineStr">
        <is>
          <t>RB Sperrmüllschereefeld</t>
        </is>
      </c>
      <c r="E56" s="1" t="inlineStr">
        <is>
          <t>West</t>
        </is>
      </c>
      <c r="F56" s="6" t="n">
        <v>37284</v>
      </c>
      <c r="G56" s="6" t="n">
        <v>0</v>
      </c>
      <c r="H56" s="6" t="n">
        <v>0</v>
      </c>
      <c r="I56" s="6" t="n">
        <v>0</v>
      </c>
      <c r="J56" s="6" t="n">
        <v>0</v>
      </c>
      <c r="K56" s="6" t="n">
        <v>0</v>
      </c>
      <c r="L56" s="6">
        <f>F56+I56+SUMIFS('[FC Eingabe.xlsx]FC Eingabe'!$G$7:$G$126,'[FC Eingabe.xlsx]FC Eingabe'!$F$7:$F$126,C56,'[FC Eingabe.xlsx]FC Eingabe'!$K$7:$K$126,"Wirksam")</f>
        <v/>
      </c>
      <c r="M56" s="6">
        <f>G56+J56-SUMIFS('[FC Eingabe.xlsx]FC Eingabe'!$I$7:$I$126,'[FC Eingabe.xlsx]FC Eingabe'!$F$7:$F$126,C56,'[FC Eingabe.xlsx]FC Eingabe'!$K$7:$K$126,"Wirksam")</f>
        <v/>
      </c>
      <c r="N56" s="6">
        <f>H56+K56+SUMIFS('[FC Eingabe.xlsx]FC Eingabe'!$H$7:$H$126,'[FC Eingabe.xlsx]FC Eingabe'!$F$7:$F$126,C56,'[FC Eingabe.xlsx]FC Eingabe'!$K$7:$K$126,"Wirksam")</f>
        <v/>
      </c>
      <c r="O56" s="6">
        <f>SUM(L56:N56)</f>
        <v/>
      </c>
      <c r="P56" s="1" t="n"/>
      <c r="Q56" s="1" t="n"/>
    </row>
    <row r="57" ht="21" customHeight="1">
      <c r="A57" s="1" t="n"/>
      <c r="B57" s="1" t="n"/>
      <c r="C57" s="1" t="inlineStr">
        <is>
          <t>P4102157440</t>
        </is>
      </c>
      <c r="D57" s="1" t="inlineStr">
        <is>
          <t>tkse RB 2025</t>
        </is>
      </c>
      <c r="E57" s="1" t="inlineStr">
        <is>
          <t>West</t>
        </is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6" t="n">
        <v>0</v>
      </c>
      <c r="L57" s="6">
        <f>F57+I57+SUMIFS('[FC Eingabe.xlsx]FC Eingabe'!$G$7:$G$126,'[FC Eingabe.xlsx]FC Eingabe'!$F$7:$F$126,C57,'[FC Eingabe.xlsx]FC Eingabe'!$K$7:$K$126,"Wirksam")</f>
        <v/>
      </c>
      <c r="M57" s="6">
        <f>G57+J57-SUMIFS('[FC Eingabe.xlsx]FC Eingabe'!$I$7:$I$126,'[FC Eingabe.xlsx]FC Eingabe'!$F$7:$F$126,C57,'[FC Eingabe.xlsx]FC Eingabe'!$K$7:$K$126,"Wirksam")</f>
        <v/>
      </c>
      <c r="N57" s="6">
        <f>H57+K57+SUMIFS('[FC Eingabe.xlsx]FC Eingabe'!$H$7:$H$126,'[FC Eingabe.xlsx]FC Eingabe'!$F$7:$F$126,C57,'[FC Eingabe.xlsx]FC Eingabe'!$K$7:$K$126,"Wirksam")</f>
        <v/>
      </c>
      <c r="O57" s="6">
        <f>SUM(L57:N57)</f>
        <v/>
      </c>
      <c r="P57" s="1" t="n"/>
      <c r="Q57" s="1" t="n"/>
    </row>
    <row r="58" ht="21" customHeight="1">
      <c r="A58" s="1" t="n"/>
      <c r="B58" s="1" t="n"/>
      <c r="C58" s="1" t="inlineStr">
        <is>
          <t>P4102157442</t>
        </is>
      </c>
      <c r="D58" s="1" t="inlineStr">
        <is>
          <t>RB Leitstand Flämmaschine</t>
        </is>
      </c>
      <c r="E58" s="1" t="inlineStr">
        <is>
          <t>West</t>
        </is>
      </c>
      <c r="F58" s="6" t="n">
        <v>48086.9</v>
      </c>
      <c r="G58" s="6" t="n">
        <v>-31274.13</v>
      </c>
      <c r="H58" s="6" t="n">
        <v>0</v>
      </c>
      <c r="I58" s="6" t="n">
        <v>0</v>
      </c>
      <c r="J58" s="6" t="n">
        <v>0</v>
      </c>
      <c r="K58" s="6" t="n">
        <v>0</v>
      </c>
      <c r="L58" s="6">
        <f>F58+I58+SUMIFS('[FC Eingabe.xlsx]FC Eingabe'!$G$7:$G$126,'[FC Eingabe.xlsx]FC Eingabe'!$F$7:$F$126,C58,'[FC Eingabe.xlsx]FC Eingabe'!$K$7:$K$126,"Wirksam")</f>
        <v/>
      </c>
      <c r="M58" s="6">
        <f>G58+J58-SUMIFS('[FC Eingabe.xlsx]FC Eingabe'!$I$7:$I$126,'[FC Eingabe.xlsx]FC Eingabe'!$F$7:$F$126,C58,'[FC Eingabe.xlsx]FC Eingabe'!$K$7:$K$126,"Wirksam")</f>
        <v/>
      </c>
      <c r="N58" s="6">
        <f>H58+K58+SUMIFS('[FC Eingabe.xlsx]FC Eingabe'!$H$7:$H$126,'[FC Eingabe.xlsx]FC Eingabe'!$F$7:$F$126,C58,'[FC Eingabe.xlsx]FC Eingabe'!$K$7:$K$126,"Wirksam")</f>
        <v/>
      </c>
      <c r="O58" s="6">
        <f>SUM(L58:N58)</f>
        <v/>
      </c>
      <c r="P58" s="1" t="n"/>
      <c r="Q58" s="1" t="n"/>
    </row>
    <row r="59" ht="21" customHeight="1">
      <c r="A59" s="1" t="n"/>
      <c r="B59" s="1" t="n"/>
      <c r="C59" s="1" t="inlineStr">
        <is>
          <t>P4102157443</t>
        </is>
      </c>
      <c r="D59" s="1" t="inlineStr">
        <is>
          <t>Medice Arzneim. RB 2 Tanks</t>
        </is>
      </c>
      <c r="E59" s="1" t="inlineStr">
        <is>
          <t>West</t>
        </is>
      </c>
      <c r="F59" s="6" t="n">
        <v>21000</v>
      </c>
      <c r="G59" s="6" t="n">
        <v>0</v>
      </c>
      <c r="H59" s="6" t="n">
        <v>-13730.16</v>
      </c>
      <c r="I59" s="6" t="n">
        <v>0</v>
      </c>
      <c r="J59" s="6" t="n">
        <v>0</v>
      </c>
      <c r="K59" s="6" t="n">
        <v>0</v>
      </c>
      <c r="L59" s="6">
        <f>F59+I59+SUMIFS('[FC Eingabe.xlsx]FC Eingabe'!$G$7:$G$126,'[FC Eingabe.xlsx]FC Eingabe'!$F$7:$F$126,C59,'[FC Eingabe.xlsx]FC Eingabe'!$K$7:$K$126,"Wirksam")</f>
        <v/>
      </c>
      <c r="M59" s="6">
        <f>G59+J59-SUMIFS('[FC Eingabe.xlsx]FC Eingabe'!$I$7:$I$126,'[FC Eingabe.xlsx]FC Eingabe'!$F$7:$F$126,C59,'[FC Eingabe.xlsx]FC Eingabe'!$K$7:$K$126,"Wirksam")</f>
        <v/>
      </c>
      <c r="N59" s="6">
        <f>H59+K59+SUMIFS('[FC Eingabe.xlsx]FC Eingabe'!$H$7:$H$126,'[FC Eingabe.xlsx]FC Eingabe'!$F$7:$F$126,C59,'[FC Eingabe.xlsx]FC Eingabe'!$K$7:$K$126,"Wirksam")</f>
        <v/>
      </c>
      <c r="O59" s="6">
        <f>SUM(L59:N59)</f>
        <v/>
      </c>
      <c r="P59" s="1" t="n"/>
      <c r="Q59" s="1" t="n"/>
    </row>
    <row r="60" ht="21" customHeight="1">
      <c r="A60" s="1" t="n"/>
      <c r="B60" s="1" t="n"/>
      <c r="C60" s="1" t="inlineStr">
        <is>
          <t>P4102157445</t>
        </is>
      </c>
      <c r="D60" s="1" t="inlineStr">
        <is>
          <t>RB 2 Stahlwände Lüra Halle</t>
        </is>
      </c>
      <c r="E60" s="1" t="inlineStr">
        <is>
          <t>West</t>
        </is>
      </c>
      <c r="F60" s="6" t="n">
        <v>0</v>
      </c>
      <c r="G60" s="6" t="n">
        <v>-189.05</v>
      </c>
      <c r="H60" s="6" t="n">
        <v>0</v>
      </c>
      <c r="I60" s="6" t="n">
        <v>0</v>
      </c>
      <c r="J60" s="6" t="n">
        <v>0</v>
      </c>
      <c r="K60" s="6" t="n">
        <v>0</v>
      </c>
      <c r="L60" s="6">
        <f>F60+I60+SUMIFS('[FC Eingabe.xlsx]FC Eingabe'!$G$7:$G$126,'[FC Eingabe.xlsx]FC Eingabe'!$F$7:$F$126,C60,'[FC Eingabe.xlsx]FC Eingabe'!$K$7:$K$126,"Wirksam")</f>
        <v/>
      </c>
      <c r="M60" s="6">
        <f>G60+J60-SUMIFS('[FC Eingabe.xlsx]FC Eingabe'!$I$7:$I$126,'[FC Eingabe.xlsx]FC Eingabe'!$F$7:$F$126,C60,'[FC Eingabe.xlsx]FC Eingabe'!$K$7:$K$126,"Wirksam")</f>
        <v/>
      </c>
      <c r="N60" s="6">
        <f>H60+K60+SUMIFS('[FC Eingabe.xlsx]FC Eingabe'!$H$7:$H$126,'[FC Eingabe.xlsx]FC Eingabe'!$F$7:$F$126,C60,'[FC Eingabe.xlsx]FC Eingabe'!$K$7:$K$126,"Wirksam")</f>
        <v/>
      </c>
      <c r="O60" s="6">
        <f>SUM(L60:N60)</f>
        <v/>
      </c>
      <c r="P60" s="1" t="n"/>
      <c r="Q60" s="1" t="n"/>
    </row>
    <row r="61" ht="21" customHeight="1">
      <c r="C61" s="12" t="inlineStr">
        <is>
          <t>P4102157447</t>
        </is>
      </c>
      <c r="D61" s="12" t="inlineStr">
        <is>
          <t>Hkm Demontage DN 500</t>
        </is>
      </c>
      <c r="E61" s="12" t="inlineStr">
        <is>
          <t>West</t>
        </is>
      </c>
      <c r="F61" s="13" t="n">
        <v>0</v>
      </c>
      <c r="G61" s="13" t="n">
        <v>0</v>
      </c>
      <c r="H61" s="13" t="n">
        <v>0</v>
      </c>
      <c r="I61" s="13" t="n">
        <v>0</v>
      </c>
      <c r="J61" s="13" t="n">
        <v>0</v>
      </c>
      <c r="K61" s="13" t="n">
        <v>0</v>
      </c>
      <c r="L61" s="13">
        <f>F61+I61+SUMIFS('[FC Eingabe.xlsx]FC Eingabe'!$G$7:$G$126,'[FC Eingabe.xlsx]FC Eingabe'!$F$7:$F$126,C61,'[FC Eingabe.xlsx]FC Eingabe'!$K$7:$K$126,"Wirksam")</f>
        <v/>
      </c>
      <c r="M61" s="13">
        <f>G61+J61-SUMIFS('[FC Eingabe.xlsx]FC Eingabe'!$I$7:$I$126,'[FC Eingabe.xlsx]FC Eingabe'!$F$7:$F$126,C61,'[FC Eingabe.xlsx]FC Eingabe'!$K$7:$K$126,"Wirksam")</f>
        <v/>
      </c>
      <c r="N61" s="13">
        <f>H61+K61+SUMIFS('[FC Eingabe.xlsx]FC Eingabe'!$H$7:$H$126,'[FC Eingabe.xlsx]FC Eingabe'!$F$7:$F$126,C61,'[FC Eingabe.xlsx]FC Eingabe'!$K$7:$K$126,"Wirksam")</f>
        <v/>
      </c>
      <c r="O61" s="13">
        <f>SUM(L61:N61)</f>
        <v/>
      </c>
    </row>
    <row r="62" ht="21" customHeight="1">
      <c r="C62" s="12" t="inlineStr">
        <is>
          <t>P4102157449</t>
        </is>
      </c>
      <c r="D62" s="12" t="inlineStr">
        <is>
          <t>RB Kessel KW Lausward</t>
        </is>
      </c>
      <c r="E62" s="12" t="inlineStr">
        <is>
          <t>West</t>
        </is>
      </c>
      <c r="F62" s="13" t="n">
        <v>827176.51</v>
      </c>
      <c r="G62" s="13" t="n">
        <v>-137348.38</v>
      </c>
      <c r="H62" s="13" t="n">
        <v>-578657.23</v>
      </c>
      <c r="I62" s="13" t="n">
        <v>0</v>
      </c>
      <c r="J62" s="13" t="n">
        <v>0</v>
      </c>
      <c r="K62" s="13" t="n">
        <v>0</v>
      </c>
      <c r="L62" s="13">
        <f>F62+I62+SUMIFS('[FC Eingabe.xlsx]FC Eingabe'!$G$7:$G$126,'[FC Eingabe.xlsx]FC Eingabe'!$F$7:$F$126,C62,'[FC Eingabe.xlsx]FC Eingabe'!$K$7:$K$126,"Wirksam")</f>
        <v/>
      </c>
      <c r="M62" s="13">
        <f>G62+J62-SUMIFS('[FC Eingabe.xlsx]FC Eingabe'!$I$7:$I$126,'[FC Eingabe.xlsx]FC Eingabe'!$F$7:$F$126,C62,'[FC Eingabe.xlsx]FC Eingabe'!$K$7:$K$126,"Wirksam")</f>
        <v/>
      </c>
      <c r="N62" s="13">
        <f>H62+K62+SUMIFS('[FC Eingabe.xlsx]FC Eingabe'!$H$7:$H$126,'[FC Eingabe.xlsx]FC Eingabe'!$F$7:$F$126,C62,'[FC Eingabe.xlsx]FC Eingabe'!$K$7:$K$126,"Wirksam")</f>
        <v/>
      </c>
      <c r="O62" s="13">
        <f>SUM(L62:N62)</f>
        <v/>
      </c>
    </row>
    <row r="63" ht="21" customHeight="1">
      <c r="C63" s="12" t="inlineStr">
        <is>
          <t>P4102157450</t>
        </is>
      </c>
      <c r="D63" s="12" t="inlineStr">
        <is>
          <t>Verschr. Brennkammer BA-301 Oxygen</t>
        </is>
      </c>
      <c r="E63" s="12" t="inlineStr">
        <is>
          <t>West</t>
        </is>
      </c>
      <c r="F63" s="13" t="n">
        <v>0</v>
      </c>
      <c r="G63" s="13" t="n">
        <v>-6.1</v>
      </c>
      <c r="H63" s="13" t="n">
        <v>0</v>
      </c>
      <c r="I63" s="13" t="n">
        <v>0</v>
      </c>
      <c r="J63" s="13" t="n">
        <v>0</v>
      </c>
      <c r="K63" s="13" t="n">
        <v>0</v>
      </c>
      <c r="L63" s="13">
        <f>F63+I63+SUMIFS('[FC Eingabe.xlsx]FC Eingabe'!$G$7:$G$126,'[FC Eingabe.xlsx]FC Eingabe'!$F$7:$F$126,C63,'[FC Eingabe.xlsx]FC Eingabe'!$K$7:$K$126,"Wirksam")</f>
        <v/>
      </c>
      <c r="M63" s="13">
        <f>G63+J63-SUMIFS('[FC Eingabe.xlsx]FC Eingabe'!$I$7:$I$126,'[FC Eingabe.xlsx]FC Eingabe'!$F$7:$F$126,C63,'[FC Eingabe.xlsx]FC Eingabe'!$K$7:$K$126,"Wirksam")</f>
        <v/>
      </c>
      <c r="N63" s="13">
        <f>H63+K63+SUMIFS('[FC Eingabe.xlsx]FC Eingabe'!$H$7:$H$126,'[FC Eingabe.xlsx]FC Eingabe'!$F$7:$F$126,C63,'[FC Eingabe.xlsx]FC Eingabe'!$K$7:$K$126,"Wirksam")</f>
        <v/>
      </c>
      <c r="O63" s="13">
        <f>SUM(L63:N63)</f>
        <v/>
      </c>
    </row>
    <row r="64" ht="21" customHeight="1">
      <c r="C64" s="12" t="inlineStr">
        <is>
          <t>P4102157451</t>
        </is>
      </c>
      <c r="D64" s="12" t="inlineStr">
        <is>
          <t>Sanierung Campus Golzheim</t>
        </is>
      </c>
      <c r="E64" s="12" t="inlineStr">
        <is>
          <t>West</t>
        </is>
      </c>
      <c r="F64" s="13" t="n">
        <v>40150.9</v>
      </c>
      <c r="G64" s="13" t="n">
        <v>-1893113.68</v>
      </c>
      <c r="H64" s="13" t="n">
        <v>2134210.44</v>
      </c>
      <c r="I64" s="13" t="n">
        <v>0</v>
      </c>
      <c r="J64" s="13" t="n">
        <v>0</v>
      </c>
      <c r="K64" s="13" t="n">
        <v>0</v>
      </c>
      <c r="L64" s="13">
        <f>F64+I64+SUMIFS('[FC Eingabe.xlsx]FC Eingabe'!$G$7:$G$126,'[FC Eingabe.xlsx]FC Eingabe'!$F$7:$F$126,C64,'[FC Eingabe.xlsx]FC Eingabe'!$K$7:$K$126,"Wirksam")</f>
        <v/>
      </c>
      <c r="M64" s="13">
        <f>G64+J64-SUMIFS('[FC Eingabe.xlsx]FC Eingabe'!$I$7:$I$126,'[FC Eingabe.xlsx]FC Eingabe'!$F$7:$F$126,C64,'[FC Eingabe.xlsx]FC Eingabe'!$K$7:$K$126,"Wirksam")</f>
        <v/>
      </c>
      <c r="N64" s="13">
        <f>H64+K64+SUMIFS('[FC Eingabe.xlsx]FC Eingabe'!$H$7:$H$126,'[FC Eingabe.xlsx]FC Eingabe'!$F$7:$F$126,C64,'[FC Eingabe.xlsx]FC Eingabe'!$K$7:$K$126,"Wirksam")</f>
        <v/>
      </c>
      <c r="O64" s="13">
        <f>SUM(L64:N64)</f>
        <v/>
      </c>
    </row>
    <row r="65" ht="21" customHeight="1">
      <c r="C65" s="12" t="inlineStr">
        <is>
          <t>P4102157452</t>
        </is>
      </c>
      <c r="D65" s="12" t="inlineStr">
        <is>
          <t>RB Cont.anlage TKSE Gelände</t>
        </is>
      </c>
      <c r="E65" s="12" t="inlineStr">
        <is>
          <t>West</t>
        </is>
      </c>
      <c r="F65" s="13" t="n">
        <v>0</v>
      </c>
      <c r="G65" s="13" t="n">
        <v>0</v>
      </c>
      <c r="H65" s="13" t="n">
        <v>-2847.73</v>
      </c>
      <c r="I65" s="13" t="n">
        <v>0</v>
      </c>
      <c r="J65" s="13" t="n">
        <v>0</v>
      </c>
      <c r="K65" s="13" t="n">
        <v>0</v>
      </c>
      <c r="L65" s="13">
        <f>F65+I65+SUMIFS('[FC Eingabe.xlsx]FC Eingabe'!$G$7:$G$126,'[FC Eingabe.xlsx]FC Eingabe'!$F$7:$F$126,C65,'[FC Eingabe.xlsx]FC Eingabe'!$K$7:$K$126,"Wirksam")</f>
        <v/>
      </c>
      <c r="M65" s="13">
        <f>G65+J65-SUMIFS('[FC Eingabe.xlsx]FC Eingabe'!$I$7:$I$126,'[FC Eingabe.xlsx]FC Eingabe'!$F$7:$F$126,C65,'[FC Eingabe.xlsx]FC Eingabe'!$K$7:$K$126,"Wirksam")</f>
        <v/>
      </c>
      <c r="N65" s="13">
        <f>H65+K65+SUMIFS('[FC Eingabe.xlsx]FC Eingabe'!$H$7:$H$126,'[FC Eingabe.xlsx]FC Eingabe'!$F$7:$F$126,C65,'[FC Eingabe.xlsx]FC Eingabe'!$K$7:$K$126,"Wirksam")</f>
        <v/>
      </c>
      <c r="O65" s="13">
        <f>SUM(L65:N65)</f>
        <v/>
      </c>
    </row>
    <row r="66" ht="21" customHeight="1">
      <c r="C66" s="12" t="inlineStr">
        <is>
          <t>P4102157453</t>
        </is>
      </c>
      <c r="D66" s="12" t="inlineStr">
        <is>
          <t>Wbw 4 Hallenrückbau</t>
        </is>
      </c>
      <c r="E66" s="12" t="inlineStr">
        <is>
          <t>West</t>
        </is>
      </c>
      <c r="F66" s="13" t="n">
        <v>1176663.57</v>
      </c>
      <c r="G66" s="13" t="n">
        <v>-699485.9</v>
      </c>
      <c r="H66" s="13" t="n">
        <v>-0.01</v>
      </c>
      <c r="I66" s="13" t="n">
        <v>0</v>
      </c>
      <c r="J66" s="13" t="n">
        <v>0</v>
      </c>
      <c r="K66" s="13" t="n">
        <v>0</v>
      </c>
      <c r="L66" s="13">
        <f>F66+I66+SUMIFS('[FC Eingabe.xlsx]FC Eingabe'!$G$7:$G$126,'[FC Eingabe.xlsx]FC Eingabe'!$F$7:$F$126,C66,'[FC Eingabe.xlsx]FC Eingabe'!$K$7:$K$126,"Wirksam")</f>
        <v/>
      </c>
      <c r="M66" s="13">
        <f>G66+J66-SUMIFS('[FC Eingabe.xlsx]FC Eingabe'!$I$7:$I$126,'[FC Eingabe.xlsx]FC Eingabe'!$F$7:$F$126,C66,'[FC Eingabe.xlsx]FC Eingabe'!$K$7:$K$126,"Wirksam")</f>
        <v/>
      </c>
      <c r="N66" s="13">
        <f>H66+K66+SUMIFS('[FC Eingabe.xlsx]FC Eingabe'!$H$7:$H$126,'[FC Eingabe.xlsx]FC Eingabe'!$F$7:$F$126,C66,'[FC Eingabe.xlsx]FC Eingabe'!$K$7:$K$126,"Wirksam")</f>
        <v/>
      </c>
      <c r="O66" s="13">
        <f>SUM(L66:N66)</f>
        <v/>
      </c>
    </row>
    <row r="67" ht="21" customHeight="1">
      <c r="C67" s="12" t="inlineStr">
        <is>
          <t>P4102157455</t>
        </is>
      </c>
      <c r="D67" s="12" t="inlineStr">
        <is>
          <t>Currenta San.+RB G22 Los 1+2 Anm.fehlt</t>
        </is>
      </c>
      <c r="E67" s="12" t="inlineStr">
        <is>
          <t>West</t>
        </is>
      </c>
      <c r="F67" s="13" t="n">
        <v>0</v>
      </c>
      <c r="G67" s="13" t="n">
        <v>-3255042.73</v>
      </c>
      <c r="H67" s="13" t="n">
        <v>3166169.81</v>
      </c>
      <c r="I67" s="13" t="n">
        <v>2223000</v>
      </c>
      <c r="J67" s="13" t="n">
        <v>-2114000</v>
      </c>
      <c r="K67" s="13" t="n">
        <v>0</v>
      </c>
      <c r="L67" s="13">
        <f>F67+I67+SUMIFS('[FC Eingabe.xlsx]FC Eingabe'!$G$7:$G$126,'[FC Eingabe.xlsx]FC Eingabe'!$F$7:$F$126,C67,'[FC Eingabe.xlsx]FC Eingabe'!$K$7:$K$126,"Wirksam")</f>
        <v/>
      </c>
      <c r="M67" s="13">
        <f>G67+J67-SUMIFS('[FC Eingabe.xlsx]FC Eingabe'!$I$7:$I$126,'[FC Eingabe.xlsx]FC Eingabe'!$F$7:$F$126,C67,'[FC Eingabe.xlsx]FC Eingabe'!$K$7:$K$126,"Wirksam")</f>
        <v/>
      </c>
      <c r="N67" s="13">
        <f>H67+K67+SUMIFS('[FC Eingabe.xlsx]FC Eingabe'!$H$7:$H$126,'[FC Eingabe.xlsx]FC Eingabe'!$F$7:$F$126,C67,'[FC Eingabe.xlsx]FC Eingabe'!$K$7:$K$126,"Wirksam")</f>
        <v/>
      </c>
      <c r="O67" s="13">
        <f>SUM(L67:N67)</f>
        <v/>
      </c>
    </row>
    <row r="68" ht="21" customHeight="1">
      <c r="C68" s="12" t="inlineStr">
        <is>
          <t>P4102157456</t>
        </is>
      </c>
      <c r="D68" s="12" t="inlineStr">
        <is>
          <t>RB und Entsorgung Fundament Schleifbank</t>
        </is>
      </c>
      <c r="E68" s="12" t="inlineStr">
        <is>
          <t>West</t>
        </is>
      </c>
      <c r="F68" s="13" t="n">
        <v>103280</v>
      </c>
      <c r="G68" s="13" t="n">
        <v>-69993.84</v>
      </c>
      <c r="H68" s="13" t="n">
        <v>0</v>
      </c>
      <c r="I68" s="13" t="n">
        <v>0</v>
      </c>
      <c r="J68" s="13" t="n">
        <v>0</v>
      </c>
      <c r="K68" s="13" t="n">
        <v>0</v>
      </c>
      <c r="L68" s="13">
        <f>F68+I68+SUMIFS('[FC Eingabe.xlsx]FC Eingabe'!$G$7:$G$126,'[FC Eingabe.xlsx]FC Eingabe'!$F$7:$F$126,C68,'[FC Eingabe.xlsx]FC Eingabe'!$K$7:$K$126,"Wirksam")</f>
        <v/>
      </c>
      <c r="M68" s="13">
        <f>G68+J68-SUMIFS('[FC Eingabe.xlsx]FC Eingabe'!$I$7:$I$126,'[FC Eingabe.xlsx]FC Eingabe'!$F$7:$F$126,C68,'[FC Eingabe.xlsx]FC Eingabe'!$K$7:$K$126,"Wirksam")</f>
        <v/>
      </c>
      <c r="N68" s="13">
        <f>H68+K68+SUMIFS('[FC Eingabe.xlsx]FC Eingabe'!$H$7:$H$126,'[FC Eingabe.xlsx]FC Eingabe'!$F$7:$F$126,C68,'[FC Eingabe.xlsx]FC Eingabe'!$K$7:$K$126,"Wirksam")</f>
        <v/>
      </c>
      <c r="O68" s="13">
        <f>SUM(L68:N68)</f>
        <v/>
      </c>
    </row>
    <row r="69" ht="21" customHeight="1">
      <c r="C69" s="12" t="inlineStr">
        <is>
          <t>P4102157457</t>
        </is>
      </c>
      <c r="D69" s="12" t="inlineStr">
        <is>
          <t>tkse RB 2026</t>
        </is>
      </c>
      <c r="E69" s="12" t="inlineStr">
        <is>
          <t>West</t>
        </is>
      </c>
      <c r="F69" s="13" t="n">
        <v>322730.1</v>
      </c>
      <c r="G69" s="13" t="n">
        <v>-146134.19</v>
      </c>
      <c r="H69" s="13" t="n">
        <v>0</v>
      </c>
      <c r="I69" s="13" t="n">
        <v>85000</v>
      </c>
      <c r="J69" s="13" t="n">
        <v>-80000</v>
      </c>
      <c r="K69" s="13" t="n">
        <v>0</v>
      </c>
      <c r="L69" s="13">
        <f>F69+I69+SUMIFS('[FC Eingabe.xlsx]FC Eingabe'!$G$7:$G$126,'[FC Eingabe.xlsx]FC Eingabe'!$F$7:$F$126,C69,'[FC Eingabe.xlsx]FC Eingabe'!$K$7:$K$126,"Wirksam")</f>
        <v/>
      </c>
      <c r="M69" s="13">
        <f>G69+J69-SUMIFS('[FC Eingabe.xlsx]FC Eingabe'!$I$7:$I$126,'[FC Eingabe.xlsx]FC Eingabe'!$F$7:$F$126,C69,'[FC Eingabe.xlsx]FC Eingabe'!$K$7:$K$126,"Wirksam")</f>
        <v/>
      </c>
      <c r="N69" s="13">
        <f>H69+K69+SUMIFS('[FC Eingabe.xlsx]FC Eingabe'!$H$7:$H$126,'[FC Eingabe.xlsx]FC Eingabe'!$F$7:$F$126,C69,'[FC Eingabe.xlsx]FC Eingabe'!$K$7:$K$126,"Wirksam")</f>
        <v/>
      </c>
      <c r="O69" s="13">
        <f>SUM(L69:N69)</f>
        <v/>
      </c>
    </row>
    <row r="70" ht="21" customHeight="1">
      <c r="C70" s="12" t="inlineStr">
        <is>
          <t>P4102157458</t>
        </is>
      </c>
      <c r="D70" s="12" t="inlineStr">
        <is>
          <t>Kleinaufträge Region West 2026</t>
        </is>
      </c>
      <c r="E70" s="12" t="inlineStr">
        <is>
          <t>West</t>
        </is>
      </c>
      <c r="F70" s="13" t="n">
        <v>27473.13</v>
      </c>
      <c r="G70" s="13" t="n">
        <v>-4953.57</v>
      </c>
      <c r="H70" s="13" t="n">
        <v>0</v>
      </c>
      <c r="I70" s="13" t="n">
        <v>0</v>
      </c>
      <c r="J70" s="13" t="n">
        <v>0</v>
      </c>
      <c r="K70" s="13" t="n">
        <v>0</v>
      </c>
      <c r="L70" s="13">
        <f>F70+I70+SUMIFS('[FC Eingabe.xlsx]FC Eingabe'!$G$7:$G$126,'[FC Eingabe.xlsx]FC Eingabe'!$F$7:$F$126,C70,'[FC Eingabe.xlsx]FC Eingabe'!$K$7:$K$126,"Wirksam")</f>
        <v/>
      </c>
      <c r="M70" s="13">
        <f>G70+J70-SUMIFS('[FC Eingabe.xlsx]FC Eingabe'!$I$7:$I$126,'[FC Eingabe.xlsx]FC Eingabe'!$F$7:$F$126,C70,'[FC Eingabe.xlsx]FC Eingabe'!$K$7:$K$126,"Wirksam")</f>
        <v/>
      </c>
      <c r="N70" s="13">
        <f>H70+K70+SUMIFS('[FC Eingabe.xlsx]FC Eingabe'!$H$7:$H$126,'[FC Eingabe.xlsx]FC Eingabe'!$F$7:$F$126,C70,'[FC Eingabe.xlsx]FC Eingabe'!$K$7:$K$126,"Wirksam")</f>
        <v/>
      </c>
      <c r="O70" s="13">
        <f>SUM(L70:N70)</f>
        <v/>
      </c>
    </row>
    <row r="71" ht="21" customHeight="1">
      <c r="C71" s="12" t="inlineStr">
        <is>
          <t>P4102157459</t>
        </is>
      </c>
      <c r="D71" s="12" t="inlineStr">
        <is>
          <t>RB alte Beizanlage</t>
        </is>
      </c>
      <c r="E71" s="12" t="inlineStr">
        <is>
          <t>West</t>
        </is>
      </c>
      <c r="F71" s="13" t="n">
        <v>32538</v>
      </c>
      <c r="G71" s="13" t="n">
        <v>-15918.45</v>
      </c>
      <c r="H71" s="13" t="n">
        <v>0</v>
      </c>
      <c r="I71" s="13" t="n">
        <v>0</v>
      </c>
      <c r="J71" s="13" t="n">
        <v>0</v>
      </c>
      <c r="K71" s="13" t="n">
        <v>0</v>
      </c>
      <c r="L71" s="13">
        <f>F71+I71+SUMIFS('[FC Eingabe.xlsx]FC Eingabe'!$G$7:$G$126,'[FC Eingabe.xlsx]FC Eingabe'!$F$7:$F$126,C71,'[FC Eingabe.xlsx]FC Eingabe'!$K$7:$K$126,"Wirksam")</f>
        <v/>
      </c>
      <c r="M71" s="13">
        <f>G71+J71-SUMIFS('[FC Eingabe.xlsx]FC Eingabe'!$I$7:$I$126,'[FC Eingabe.xlsx]FC Eingabe'!$F$7:$F$126,C71,'[FC Eingabe.xlsx]FC Eingabe'!$K$7:$K$126,"Wirksam")</f>
        <v/>
      </c>
      <c r="N71" s="13">
        <f>H71+K71+SUMIFS('[FC Eingabe.xlsx]FC Eingabe'!$H$7:$H$126,'[FC Eingabe.xlsx]FC Eingabe'!$F$7:$F$126,C71,'[FC Eingabe.xlsx]FC Eingabe'!$K$7:$K$126,"Wirksam")</f>
        <v/>
      </c>
      <c r="O71" s="13">
        <f>SUM(L71:N71)</f>
        <v/>
      </c>
    </row>
    <row r="72" ht="21" customHeight="1">
      <c r="C72" s="12" t="inlineStr">
        <is>
          <t>P4102157461</t>
        </is>
      </c>
      <c r="D72" s="12" t="inlineStr">
        <is>
          <t>Brücke D 1 Seitenteile</t>
        </is>
      </c>
      <c r="E72" s="12" t="inlineStr">
        <is>
          <t>West</t>
        </is>
      </c>
      <c r="F72" s="13" t="n">
        <v>37000</v>
      </c>
      <c r="G72" s="13" t="n">
        <v>-22614.95</v>
      </c>
      <c r="H72" s="13" t="n">
        <v>0</v>
      </c>
      <c r="I72" s="13" t="n">
        <v>0</v>
      </c>
      <c r="J72" s="13" t="n">
        <v>0</v>
      </c>
      <c r="K72" s="13" t="n">
        <v>0</v>
      </c>
      <c r="L72" s="13">
        <f>F72+I72+SUMIFS('[FC Eingabe.xlsx]FC Eingabe'!$G$7:$G$126,'[FC Eingabe.xlsx]FC Eingabe'!$F$7:$F$126,C72,'[FC Eingabe.xlsx]FC Eingabe'!$K$7:$K$126,"Wirksam")</f>
        <v/>
      </c>
      <c r="M72" s="13">
        <f>G72+J72-SUMIFS('[FC Eingabe.xlsx]FC Eingabe'!$I$7:$I$126,'[FC Eingabe.xlsx]FC Eingabe'!$F$7:$F$126,C72,'[FC Eingabe.xlsx]FC Eingabe'!$K$7:$K$126,"Wirksam")</f>
        <v/>
      </c>
      <c r="N72" s="13">
        <f>H72+K72+SUMIFS('[FC Eingabe.xlsx]FC Eingabe'!$H$7:$H$126,'[FC Eingabe.xlsx]FC Eingabe'!$F$7:$F$126,C72,'[FC Eingabe.xlsx]FC Eingabe'!$K$7:$K$126,"Wirksam")</f>
        <v/>
      </c>
      <c r="O72" s="13">
        <f>SUM(L72:N72)</f>
        <v/>
      </c>
    </row>
    <row r="73" ht="21" customHeight="1">
      <c r="C73" s="12" t="inlineStr">
        <is>
          <t>P4102157462</t>
        </is>
      </c>
      <c r="D73" s="12" t="inlineStr">
        <is>
          <t>Waggonverschrottung 2026</t>
        </is>
      </c>
      <c r="E73" s="12" t="inlineStr">
        <is>
          <t>West</t>
        </is>
      </c>
      <c r="F73" s="13" t="n">
        <v>27918.14</v>
      </c>
      <c r="G73" s="13" t="n">
        <v>-30897.53</v>
      </c>
      <c r="H73" s="13" t="n">
        <v>0</v>
      </c>
      <c r="I73" s="13" t="n">
        <v>0</v>
      </c>
      <c r="J73" s="13" t="n">
        <v>0</v>
      </c>
      <c r="K73" s="13" t="n">
        <v>0</v>
      </c>
      <c r="L73" s="13">
        <f>F73+I73+SUMIFS('[FC Eingabe.xlsx]FC Eingabe'!$G$7:$G$126,'[FC Eingabe.xlsx]FC Eingabe'!$F$7:$F$126,C73,'[FC Eingabe.xlsx]FC Eingabe'!$K$7:$K$126,"Wirksam")</f>
        <v/>
      </c>
      <c r="M73" s="13">
        <f>G73+J73-SUMIFS('[FC Eingabe.xlsx]FC Eingabe'!$I$7:$I$126,'[FC Eingabe.xlsx]FC Eingabe'!$F$7:$F$126,C73,'[FC Eingabe.xlsx]FC Eingabe'!$K$7:$K$126,"Wirksam")</f>
        <v/>
      </c>
      <c r="N73" s="13">
        <f>H73+K73+SUMIFS('[FC Eingabe.xlsx]FC Eingabe'!$H$7:$H$126,'[FC Eingabe.xlsx]FC Eingabe'!$F$7:$F$126,C73,'[FC Eingabe.xlsx]FC Eingabe'!$K$7:$K$126,"Wirksam")</f>
        <v/>
      </c>
      <c r="O73" s="13">
        <f>SUM(L73:N73)</f>
        <v/>
      </c>
    </row>
    <row r="74" ht="21" customHeight="1">
      <c r="C74" s="12" t="inlineStr">
        <is>
          <t>P4102157463</t>
        </is>
      </c>
      <c r="D74" s="12" t="inlineStr">
        <is>
          <t>RB Maschinenhaus Bl. B+C</t>
        </is>
      </c>
      <c r="E74" s="12" t="inlineStr">
        <is>
          <t>West</t>
        </is>
      </c>
      <c r="F74" s="13" t="n">
        <v>546993.5699999999</v>
      </c>
      <c r="G74" s="13" t="n">
        <v>-876166.21</v>
      </c>
      <c r="H74" s="13" t="n">
        <v>327267.27</v>
      </c>
      <c r="I74" s="13" t="n">
        <v>546994</v>
      </c>
      <c r="J74" s="13" t="n">
        <v>-350000</v>
      </c>
      <c r="K74" s="13" t="n">
        <v>0</v>
      </c>
      <c r="L74" s="13">
        <f>F74+I74+SUMIFS('[FC Eingabe.xlsx]FC Eingabe'!$G$7:$G$126,'[FC Eingabe.xlsx]FC Eingabe'!$F$7:$F$126,C74,'[FC Eingabe.xlsx]FC Eingabe'!$K$7:$K$126,"Wirksam")</f>
        <v/>
      </c>
      <c r="M74" s="13">
        <f>G74+J74-SUMIFS('[FC Eingabe.xlsx]FC Eingabe'!$I$7:$I$126,'[FC Eingabe.xlsx]FC Eingabe'!$F$7:$F$126,C74,'[FC Eingabe.xlsx]FC Eingabe'!$K$7:$K$126,"Wirksam")</f>
        <v/>
      </c>
      <c r="N74" s="13">
        <f>H74+K74+SUMIFS('[FC Eingabe.xlsx]FC Eingabe'!$H$7:$H$126,'[FC Eingabe.xlsx]FC Eingabe'!$F$7:$F$126,C74,'[FC Eingabe.xlsx]FC Eingabe'!$K$7:$K$126,"Wirksam")</f>
        <v/>
      </c>
      <c r="O74" s="13">
        <f>SUM(L74:N74)</f>
        <v/>
      </c>
    </row>
    <row r="75" ht="21" customHeight="1">
      <c r="C75" s="12" t="inlineStr">
        <is>
          <t>P4102157464</t>
        </is>
      </c>
      <c r="D75" s="12" t="inlineStr">
        <is>
          <t>Asbest Schadstoffsanierung C 601</t>
        </is>
      </c>
      <c r="E75" s="12" t="inlineStr">
        <is>
          <t>West</t>
        </is>
      </c>
      <c r="F75" s="13" t="n">
        <v>23745</v>
      </c>
      <c r="G75" s="13" t="n">
        <v>-15967</v>
      </c>
      <c r="H75" s="13" t="n">
        <v>0</v>
      </c>
      <c r="I75" s="13" t="n">
        <v>0</v>
      </c>
      <c r="J75" s="13" t="n">
        <v>0</v>
      </c>
      <c r="K75" s="13" t="n">
        <v>0</v>
      </c>
      <c r="L75" s="13">
        <f>F75+I75+SUMIFS('[FC Eingabe.xlsx]FC Eingabe'!$G$7:$G$126,'[FC Eingabe.xlsx]FC Eingabe'!$F$7:$F$126,C75,'[FC Eingabe.xlsx]FC Eingabe'!$K$7:$K$126,"Wirksam")</f>
        <v/>
      </c>
      <c r="M75" s="13">
        <f>G75+J75-SUMIFS('[FC Eingabe.xlsx]FC Eingabe'!$I$7:$I$126,'[FC Eingabe.xlsx]FC Eingabe'!$F$7:$F$126,C75,'[FC Eingabe.xlsx]FC Eingabe'!$K$7:$K$126,"Wirksam")</f>
        <v/>
      </c>
      <c r="N75" s="13">
        <f>H75+K75+SUMIFS('[FC Eingabe.xlsx]FC Eingabe'!$H$7:$H$126,'[FC Eingabe.xlsx]FC Eingabe'!$F$7:$F$126,C75,'[FC Eingabe.xlsx]FC Eingabe'!$K$7:$K$126,"Wirksam")</f>
        <v/>
      </c>
      <c r="O75" s="13">
        <f>SUM(L75:N75)</f>
        <v/>
      </c>
    </row>
    <row r="76" ht="21" customHeight="1">
      <c r="C76" s="12" t="inlineStr">
        <is>
          <t>P4102157465</t>
        </is>
      </c>
      <c r="D76" s="12" t="inlineStr">
        <is>
          <t>Reinigungsarbeiten Block B</t>
        </is>
      </c>
      <c r="E76" s="12" t="inlineStr">
        <is>
          <t>West</t>
        </is>
      </c>
      <c r="F76" s="13" t="n">
        <v>16000</v>
      </c>
      <c r="G76" s="13" t="n">
        <v>-8117.03</v>
      </c>
      <c r="H76" s="13" t="n">
        <v>0</v>
      </c>
      <c r="I76" s="13" t="n">
        <v>0</v>
      </c>
      <c r="J76" s="13" t="n">
        <v>0</v>
      </c>
      <c r="K76" s="13" t="n">
        <v>0</v>
      </c>
      <c r="L76" s="13">
        <f>F76+I76+SUMIFS('[FC Eingabe.xlsx]FC Eingabe'!$G$7:$G$126,'[FC Eingabe.xlsx]FC Eingabe'!$F$7:$F$126,C76,'[FC Eingabe.xlsx]FC Eingabe'!$K$7:$K$126,"Wirksam")</f>
        <v/>
      </c>
      <c r="M76" s="13">
        <f>G76+J76-SUMIFS('[FC Eingabe.xlsx]FC Eingabe'!$I$7:$I$126,'[FC Eingabe.xlsx]FC Eingabe'!$F$7:$F$126,C76,'[FC Eingabe.xlsx]FC Eingabe'!$K$7:$K$126,"Wirksam")</f>
        <v/>
      </c>
      <c r="N76" s="13">
        <f>H76+K76+SUMIFS('[FC Eingabe.xlsx]FC Eingabe'!$H$7:$H$126,'[FC Eingabe.xlsx]FC Eingabe'!$F$7:$F$126,C76,'[FC Eingabe.xlsx]FC Eingabe'!$K$7:$K$126,"Wirksam")</f>
        <v/>
      </c>
      <c r="O76" s="13">
        <f>SUM(L76:N76)</f>
        <v/>
      </c>
    </row>
    <row r="77" ht="21" customHeight="1">
      <c r="C77" s="12" t="inlineStr">
        <is>
          <t>P4102157466</t>
        </is>
      </c>
      <c r="D77" s="12" t="inlineStr">
        <is>
          <t>Verschrottung Anlagenteile</t>
        </is>
      </c>
      <c r="E77" s="12" t="inlineStr">
        <is>
          <t>West</t>
        </is>
      </c>
      <c r="F77" s="13" t="n">
        <v>15250</v>
      </c>
      <c r="G77" s="13" t="n">
        <v>-8192.09</v>
      </c>
      <c r="H77" s="13" t="n">
        <v>0</v>
      </c>
      <c r="I77" s="13" t="n">
        <v>0</v>
      </c>
      <c r="J77" s="13" t="n">
        <v>0</v>
      </c>
      <c r="K77" s="13" t="n">
        <v>0</v>
      </c>
      <c r="L77" s="13">
        <f>F77+I77+SUMIFS('[FC Eingabe.xlsx]FC Eingabe'!$G$7:$G$126,'[FC Eingabe.xlsx]FC Eingabe'!$F$7:$F$126,C77,'[FC Eingabe.xlsx]FC Eingabe'!$K$7:$K$126,"Wirksam")</f>
        <v/>
      </c>
      <c r="M77" s="13">
        <f>G77+J77-SUMIFS('[FC Eingabe.xlsx]FC Eingabe'!$I$7:$I$126,'[FC Eingabe.xlsx]FC Eingabe'!$F$7:$F$126,C77,'[FC Eingabe.xlsx]FC Eingabe'!$K$7:$K$126,"Wirksam")</f>
        <v/>
      </c>
      <c r="N77" s="13">
        <f>H77+K77+SUMIFS('[FC Eingabe.xlsx]FC Eingabe'!$H$7:$H$126,'[FC Eingabe.xlsx]FC Eingabe'!$F$7:$F$126,C77,'[FC Eingabe.xlsx]FC Eingabe'!$K$7:$K$126,"Wirksam")</f>
        <v/>
      </c>
      <c r="O77" s="13">
        <f>SUM(L77:N77)</f>
        <v/>
      </c>
    </row>
    <row r="78" ht="21" customHeight="1">
      <c r="C78" s="12" t="inlineStr">
        <is>
          <t>P4102157467</t>
        </is>
      </c>
      <c r="D78" s="12" t="inlineStr">
        <is>
          <t>Plakoma - Dem. Roheisenfähren</t>
        </is>
      </c>
      <c r="E78" s="12" t="inlineStr">
        <is>
          <t>West</t>
        </is>
      </c>
      <c r="F78" s="13" t="n">
        <v>220000</v>
      </c>
      <c r="G78" s="13" t="n">
        <v>-40000</v>
      </c>
      <c r="H78" s="13" t="n">
        <v>0</v>
      </c>
      <c r="I78" s="13" t="n">
        <v>230000</v>
      </c>
      <c r="J78" s="13" t="n">
        <v>-184000</v>
      </c>
      <c r="K78" s="13" t="n">
        <v>0</v>
      </c>
      <c r="L78" s="13">
        <f>F78+I78+SUMIFS('[FC Eingabe.xlsx]FC Eingabe'!$G$7:$G$126,'[FC Eingabe.xlsx]FC Eingabe'!$F$7:$F$126,C78,'[FC Eingabe.xlsx]FC Eingabe'!$K$7:$K$126,"Wirksam")</f>
        <v/>
      </c>
      <c r="M78" s="13">
        <f>G78+J78-SUMIFS('[FC Eingabe.xlsx]FC Eingabe'!$I$7:$I$126,'[FC Eingabe.xlsx]FC Eingabe'!$F$7:$F$126,C78,'[FC Eingabe.xlsx]FC Eingabe'!$K$7:$K$126,"Wirksam")</f>
        <v/>
      </c>
      <c r="N78" s="13">
        <f>H78+K78+SUMIFS('[FC Eingabe.xlsx]FC Eingabe'!$H$7:$H$126,'[FC Eingabe.xlsx]FC Eingabe'!$F$7:$F$126,C78,'[FC Eingabe.xlsx]FC Eingabe'!$K$7:$K$126,"Wirksam")</f>
        <v/>
      </c>
      <c r="O78" s="13">
        <f>SUM(L78:N78)</f>
        <v/>
      </c>
    </row>
    <row r="79" ht="21" customHeight="1">
      <c r="C79" s="12" t="inlineStr">
        <is>
          <t>P4102157468</t>
        </is>
      </c>
      <c r="D79" s="12" t="inlineStr">
        <is>
          <t>Verschr. Kondensattank Kokerei Schwelger</t>
        </is>
      </c>
      <c r="E79" s="12" t="inlineStr">
        <is>
          <t>West</t>
        </is>
      </c>
      <c r="F79" s="13" t="n">
        <v>0</v>
      </c>
      <c r="G79" s="13" t="n">
        <v>-31262.12</v>
      </c>
      <c r="H79" s="13" t="n">
        <v>0</v>
      </c>
      <c r="I79" s="13" t="n">
        <v>0</v>
      </c>
      <c r="J79" s="13" t="n">
        <v>0</v>
      </c>
      <c r="K79" s="13" t="n">
        <v>0</v>
      </c>
      <c r="L79" s="13">
        <f>F79+I79+SUMIFS('[FC Eingabe.xlsx]FC Eingabe'!$G$7:$G$126,'[FC Eingabe.xlsx]FC Eingabe'!$F$7:$F$126,C79,'[FC Eingabe.xlsx]FC Eingabe'!$K$7:$K$126,"Wirksam")</f>
        <v/>
      </c>
      <c r="M79" s="13">
        <f>G79+J79-SUMIFS('[FC Eingabe.xlsx]FC Eingabe'!$I$7:$I$126,'[FC Eingabe.xlsx]FC Eingabe'!$F$7:$F$126,C79,'[FC Eingabe.xlsx]FC Eingabe'!$K$7:$K$126,"Wirksam")</f>
        <v/>
      </c>
      <c r="N79" s="13">
        <f>H79+K79+SUMIFS('[FC Eingabe.xlsx]FC Eingabe'!$H$7:$H$126,'[FC Eingabe.xlsx]FC Eingabe'!$F$7:$F$126,C79,'[FC Eingabe.xlsx]FC Eingabe'!$K$7:$K$126,"Wirksam")</f>
        <v/>
      </c>
      <c r="O79" s="13">
        <f>SUM(L79:N79)</f>
        <v/>
      </c>
    </row>
    <row r="80" ht="21" customHeight="1">
      <c r="C80" s="12" t="inlineStr">
        <is>
          <t>P4102157469</t>
        </is>
      </c>
      <c r="D80" s="12" t="inlineStr">
        <is>
          <t>Anmeldung fehlt</t>
        </is>
      </c>
      <c r="E80" s="12" t="inlineStr">
        <is>
          <t>West</t>
        </is>
      </c>
      <c r="F80" s="13" t="n">
        <v>0</v>
      </c>
      <c r="G80" s="13" t="n">
        <v>-3228.29</v>
      </c>
      <c r="H80" s="13" t="n">
        <v>0</v>
      </c>
      <c r="I80" s="13" t="n">
        <v>0</v>
      </c>
      <c r="J80" s="13" t="n">
        <v>0</v>
      </c>
      <c r="K80" s="13" t="n">
        <v>0</v>
      </c>
      <c r="L80" s="13">
        <f>F80+I80+SUMIFS('[FC Eingabe.xlsx]FC Eingabe'!$G$7:$G$126,'[FC Eingabe.xlsx]FC Eingabe'!$F$7:$F$126,C80,'[FC Eingabe.xlsx]FC Eingabe'!$K$7:$K$126,"Wirksam")</f>
        <v/>
      </c>
      <c r="M80" s="13">
        <f>G80+J80-SUMIFS('[FC Eingabe.xlsx]FC Eingabe'!$I$7:$I$126,'[FC Eingabe.xlsx]FC Eingabe'!$F$7:$F$126,C80,'[FC Eingabe.xlsx]FC Eingabe'!$K$7:$K$126,"Wirksam")</f>
        <v/>
      </c>
      <c r="N80" s="13">
        <f>H80+K80+SUMIFS('[FC Eingabe.xlsx]FC Eingabe'!$H$7:$H$126,'[FC Eingabe.xlsx]FC Eingabe'!$F$7:$F$126,C80,'[FC Eingabe.xlsx]FC Eingabe'!$K$7:$K$126,"Wirksam")</f>
        <v/>
      </c>
      <c r="O80" s="13">
        <f>SUM(L80:N80)</f>
        <v/>
      </c>
    </row>
    <row r="81" ht="21" customHeight="1">
      <c r="C81" s="12" t="inlineStr">
        <is>
          <t>P4102307304</t>
        </is>
      </c>
      <c r="D81" s="12" t="inlineStr">
        <is>
          <t>HKW Süd</t>
        </is>
      </c>
      <c r="E81" s="12" t="inlineStr">
        <is>
          <t>Süd-West</t>
        </is>
      </c>
      <c r="F81" s="13" t="n">
        <v>0</v>
      </c>
      <c r="G81" s="13" t="n">
        <v>-1337.87</v>
      </c>
      <c r="H81" s="13" t="n">
        <v>124.87</v>
      </c>
      <c r="I81" s="13" t="n">
        <v>0</v>
      </c>
      <c r="J81" s="13" t="n">
        <v>0</v>
      </c>
      <c r="K81" s="13" t="n">
        <v>0</v>
      </c>
      <c r="L81" s="13">
        <f>F81+I81+SUMIFS('[FC Eingabe.xlsx]FC Eingabe'!$G$7:$G$126,'[FC Eingabe.xlsx]FC Eingabe'!$F$7:$F$126,C81,'[FC Eingabe.xlsx]FC Eingabe'!$K$7:$K$126,"Wirksam")</f>
        <v/>
      </c>
      <c r="M81" s="13">
        <f>G81+J81-SUMIFS('[FC Eingabe.xlsx]FC Eingabe'!$I$7:$I$126,'[FC Eingabe.xlsx]FC Eingabe'!$F$7:$F$126,C81,'[FC Eingabe.xlsx]FC Eingabe'!$K$7:$K$126,"Wirksam")</f>
        <v/>
      </c>
      <c r="N81" s="13">
        <f>H81+K81+SUMIFS('[FC Eingabe.xlsx]FC Eingabe'!$H$7:$H$126,'[FC Eingabe.xlsx]FC Eingabe'!$F$7:$F$126,C81,'[FC Eingabe.xlsx]FC Eingabe'!$K$7:$K$126,"Wirksam")</f>
        <v/>
      </c>
      <c r="O81" s="13">
        <f>SUM(L81:N81)</f>
        <v/>
      </c>
    </row>
    <row r="82" ht="21" customHeight="1">
      <c r="C82" s="12" t="inlineStr">
        <is>
          <t>P4102307306</t>
        </is>
      </c>
      <c r="D82" s="12" t="inlineStr">
        <is>
          <t>RB Halle Karlsruhe</t>
        </is>
      </c>
      <c r="E82" s="12" t="inlineStr">
        <is>
          <t>Süd-West</t>
        </is>
      </c>
      <c r="F82" s="13" t="n">
        <v>0</v>
      </c>
      <c r="G82" s="13" t="n">
        <v>0</v>
      </c>
      <c r="H82" s="13" t="n">
        <v>-7000</v>
      </c>
      <c r="I82" s="13" t="n">
        <v>0</v>
      </c>
      <c r="J82" s="13" t="n">
        <v>0</v>
      </c>
      <c r="K82" s="13" t="n">
        <v>0</v>
      </c>
      <c r="L82" s="13">
        <f>F82+I82+SUMIFS('[FC Eingabe.xlsx]FC Eingabe'!$G$7:$G$126,'[FC Eingabe.xlsx]FC Eingabe'!$F$7:$F$126,C82,'[FC Eingabe.xlsx]FC Eingabe'!$K$7:$K$126,"Wirksam")</f>
        <v/>
      </c>
      <c r="M82" s="13">
        <f>G82+J82-SUMIFS('[FC Eingabe.xlsx]FC Eingabe'!$I$7:$I$126,'[FC Eingabe.xlsx]FC Eingabe'!$F$7:$F$126,C82,'[FC Eingabe.xlsx]FC Eingabe'!$K$7:$K$126,"Wirksam")</f>
        <v/>
      </c>
      <c r="N82" s="13">
        <f>H82+K82+SUMIFS('[FC Eingabe.xlsx]FC Eingabe'!$H$7:$H$126,'[FC Eingabe.xlsx]FC Eingabe'!$F$7:$F$126,C82,'[FC Eingabe.xlsx]FC Eingabe'!$K$7:$K$126,"Wirksam")</f>
        <v/>
      </c>
      <c r="O82" s="13">
        <f>SUM(L82:N82)</f>
        <v/>
      </c>
    </row>
    <row r="83" ht="21" customHeight="1">
      <c r="C83" s="12" t="inlineStr">
        <is>
          <t>P4102307366</t>
        </is>
      </c>
      <c r="D83" s="12" t="inlineStr">
        <is>
          <t>EnBW UW Niederbühl</t>
        </is>
      </c>
      <c r="E83" s="12" t="inlineStr">
        <is>
          <t>Süd-West</t>
        </is>
      </c>
      <c r="F83" s="13" t="n">
        <v>0</v>
      </c>
      <c r="G83" s="13" t="n">
        <v>0</v>
      </c>
      <c r="H83" s="13" t="n">
        <v>0</v>
      </c>
      <c r="I83" s="13" t="n">
        <v>66000</v>
      </c>
      <c r="J83" s="13" t="n">
        <v>0</v>
      </c>
      <c r="K83" s="13" t="n">
        <v>0</v>
      </c>
      <c r="L83" s="13">
        <f>F83+I83+SUMIFS('[FC Eingabe.xlsx]FC Eingabe'!$G$7:$G$126,'[FC Eingabe.xlsx]FC Eingabe'!$F$7:$F$126,C83,'[FC Eingabe.xlsx]FC Eingabe'!$K$7:$K$126,"Wirksam")</f>
        <v/>
      </c>
      <c r="M83" s="13">
        <f>G83+J83-SUMIFS('[FC Eingabe.xlsx]FC Eingabe'!$I$7:$I$126,'[FC Eingabe.xlsx]FC Eingabe'!$F$7:$F$126,C83,'[FC Eingabe.xlsx]FC Eingabe'!$K$7:$K$126,"Wirksam")</f>
        <v/>
      </c>
      <c r="N83" s="13">
        <f>H83+K83+SUMIFS('[FC Eingabe.xlsx]FC Eingabe'!$H$7:$H$126,'[FC Eingabe.xlsx]FC Eingabe'!$F$7:$F$126,C83,'[FC Eingabe.xlsx]FC Eingabe'!$K$7:$K$126,"Wirksam")</f>
        <v/>
      </c>
      <c r="O83" s="13">
        <f>SUM(L83:N83)</f>
        <v/>
      </c>
    </row>
    <row r="84" ht="21" customHeight="1">
      <c r="C84" s="12" t="inlineStr">
        <is>
          <t>P4102307411</t>
        </is>
      </c>
      <c r="D84" s="12" t="inlineStr">
        <is>
          <t>BASF G 521</t>
        </is>
      </c>
      <c r="E84" s="12" t="inlineStr">
        <is>
          <t>Süd-West</t>
        </is>
      </c>
      <c r="F84" s="13" t="n">
        <v>0</v>
      </c>
      <c r="G84" s="13" t="n">
        <v>0</v>
      </c>
      <c r="H84" s="13" t="n">
        <v>0</v>
      </c>
      <c r="I84" s="13" t="n">
        <v>0</v>
      </c>
      <c r="J84" s="13" t="n">
        <v>0</v>
      </c>
      <c r="K84" s="13" t="n">
        <v>0</v>
      </c>
      <c r="L84" s="13">
        <f>F84+I84+SUMIFS('[FC Eingabe.xlsx]FC Eingabe'!$G$7:$G$126,'[FC Eingabe.xlsx]FC Eingabe'!$F$7:$F$126,C84,'[FC Eingabe.xlsx]FC Eingabe'!$K$7:$K$126,"Wirksam")</f>
        <v/>
      </c>
      <c r="M84" s="13">
        <f>G84+J84-SUMIFS('[FC Eingabe.xlsx]FC Eingabe'!$I$7:$I$126,'[FC Eingabe.xlsx]FC Eingabe'!$F$7:$F$126,C84,'[FC Eingabe.xlsx]FC Eingabe'!$K$7:$K$126,"Wirksam")</f>
        <v/>
      </c>
      <c r="N84" s="13">
        <f>H84+K84+SUMIFS('[FC Eingabe.xlsx]FC Eingabe'!$H$7:$H$126,'[FC Eingabe.xlsx]FC Eingabe'!$F$7:$F$126,C84,'[FC Eingabe.xlsx]FC Eingabe'!$K$7:$K$126,"Wirksam")</f>
        <v/>
      </c>
      <c r="O84" s="13">
        <f>SUM(L84:N84)</f>
        <v/>
      </c>
    </row>
    <row r="85" ht="21" customHeight="1">
      <c r="C85" s="12" t="inlineStr">
        <is>
          <t>P4102307416</t>
        </is>
      </c>
      <c r="D85" s="12" t="inlineStr">
        <is>
          <t>BASF O 405 Ammoniak</t>
        </is>
      </c>
      <c r="E85" s="12" t="inlineStr">
        <is>
          <t>Süd-West</t>
        </is>
      </c>
      <c r="F85" s="13" t="n">
        <v>0</v>
      </c>
      <c r="G85" s="13" t="n">
        <v>0</v>
      </c>
      <c r="H85" s="13" t="n">
        <v>-25780.46</v>
      </c>
      <c r="I85" s="13" t="n">
        <v>0</v>
      </c>
      <c r="J85" s="13" t="n">
        <v>0</v>
      </c>
      <c r="K85" s="13" t="n">
        <v>0</v>
      </c>
      <c r="L85" s="13">
        <f>F85+I85+SUMIFS('[FC Eingabe.xlsx]FC Eingabe'!$G$7:$G$126,'[FC Eingabe.xlsx]FC Eingabe'!$F$7:$F$126,C85,'[FC Eingabe.xlsx]FC Eingabe'!$K$7:$K$126,"Wirksam")</f>
        <v/>
      </c>
      <c r="M85" s="13">
        <f>G85+J85-SUMIFS('[FC Eingabe.xlsx]FC Eingabe'!$I$7:$I$126,'[FC Eingabe.xlsx]FC Eingabe'!$F$7:$F$126,C85,'[FC Eingabe.xlsx]FC Eingabe'!$K$7:$K$126,"Wirksam")</f>
        <v/>
      </c>
      <c r="N85" s="13">
        <f>H85+K85+SUMIFS('[FC Eingabe.xlsx]FC Eingabe'!$H$7:$H$126,'[FC Eingabe.xlsx]FC Eingabe'!$F$7:$F$126,C85,'[FC Eingabe.xlsx]FC Eingabe'!$K$7:$K$126,"Wirksam")</f>
        <v/>
      </c>
      <c r="O85" s="13">
        <f>SUM(L85:N85)</f>
        <v/>
      </c>
    </row>
    <row r="86" ht="21" customHeight="1">
      <c r="C86" s="12" t="inlineStr">
        <is>
          <t>P4102307422</t>
        </is>
      </c>
      <c r="D86" s="12" t="inlineStr">
        <is>
          <t>BASF M 950</t>
        </is>
      </c>
      <c r="E86" s="12" t="inlineStr">
        <is>
          <t>Süd-West</t>
        </is>
      </c>
      <c r="F86" s="13" t="n">
        <v>1613.33</v>
      </c>
      <c r="G86" s="13" t="n">
        <v>-17995.46</v>
      </c>
      <c r="H86" s="13" t="n">
        <v>-10353.48</v>
      </c>
      <c r="I86" s="13" t="n">
        <v>0</v>
      </c>
      <c r="J86" s="13" t="n">
        <v>0</v>
      </c>
      <c r="K86" s="13" t="n">
        <v>0</v>
      </c>
      <c r="L86" s="13">
        <f>F86+I86+SUMIFS('[FC Eingabe.xlsx]FC Eingabe'!$G$7:$G$126,'[FC Eingabe.xlsx]FC Eingabe'!$F$7:$F$126,C86,'[FC Eingabe.xlsx]FC Eingabe'!$K$7:$K$126,"Wirksam")</f>
        <v/>
      </c>
      <c r="M86" s="13">
        <f>G86+J86-SUMIFS('[FC Eingabe.xlsx]FC Eingabe'!$I$7:$I$126,'[FC Eingabe.xlsx]FC Eingabe'!$F$7:$F$126,C86,'[FC Eingabe.xlsx]FC Eingabe'!$K$7:$K$126,"Wirksam")</f>
        <v/>
      </c>
      <c r="N86" s="13">
        <f>H86+K86+SUMIFS('[FC Eingabe.xlsx]FC Eingabe'!$H$7:$H$126,'[FC Eingabe.xlsx]FC Eingabe'!$F$7:$F$126,C86,'[FC Eingabe.xlsx]FC Eingabe'!$K$7:$K$126,"Wirksam")</f>
        <v/>
      </c>
      <c r="O86" s="13">
        <f>SUM(L86:N86)</f>
        <v/>
      </c>
    </row>
    <row r="87" ht="21" customHeight="1">
      <c r="C87" s="12" t="inlineStr">
        <is>
          <t>P4102307423</t>
        </is>
      </c>
      <c r="D87" s="12" t="inlineStr">
        <is>
          <t>BASF F 712</t>
        </is>
      </c>
      <c r="E87" s="12" t="inlineStr">
        <is>
          <t>Süd-West</t>
        </is>
      </c>
      <c r="F87" s="13" t="n">
        <v>29755.02</v>
      </c>
      <c r="G87" s="13" t="n">
        <v>-31000</v>
      </c>
      <c r="H87" s="13" t="n">
        <v>0</v>
      </c>
      <c r="I87" s="13" t="n">
        <v>0</v>
      </c>
      <c r="J87" s="13" t="n">
        <v>0</v>
      </c>
      <c r="K87" s="13" t="n">
        <v>0</v>
      </c>
      <c r="L87" s="13">
        <f>F87+I87+SUMIFS('[FC Eingabe.xlsx]FC Eingabe'!$G$7:$G$126,'[FC Eingabe.xlsx]FC Eingabe'!$F$7:$F$126,C87,'[FC Eingabe.xlsx]FC Eingabe'!$K$7:$K$126,"Wirksam")</f>
        <v/>
      </c>
      <c r="M87" s="13">
        <f>G87+J87-SUMIFS('[FC Eingabe.xlsx]FC Eingabe'!$I$7:$I$126,'[FC Eingabe.xlsx]FC Eingabe'!$F$7:$F$126,C87,'[FC Eingabe.xlsx]FC Eingabe'!$K$7:$K$126,"Wirksam")</f>
        <v/>
      </c>
      <c r="N87" s="13">
        <f>H87+K87+SUMIFS('[FC Eingabe.xlsx]FC Eingabe'!$H$7:$H$126,'[FC Eingabe.xlsx]FC Eingabe'!$F$7:$F$126,C87,'[FC Eingabe.xlsx]FC Eingabe'!$K$7:$K$126,"Wirksam")</f>
        <v/>
      </c>
      <c r="O87" s="13">
        <f>SUM(L87:N87)</f>
        <v/>
      </c>
    </row>
    <row r="88" ht="21" customHeight="1">
      <c r="C88" s="12" t="inlineStr">
        <is>
          <t>P4102307424</t>
        </is>
      </c>
      <c r="D88" s="12" t="inlineStr">
        <is>
          <t>BASF P 703</t>
        </is>
      </c>
      <c r="E88" s="12" t="inlineStr">
        <is>
          <t>Süd-West</t>
        </is>
      </c>
      <c r="F88" s="13" t="n">
        <v>0</v>
      </c>
      <c r="G88" s="13" t="n">
        <v>-166.84</v>
      </c>
      <c r="H88" s="13" t="n">
        <v>0</v>
      </c>
      <c r="I88" s="13" t="n">
        <v>0</v>
      </c>
      <c r="J88" s="13" t="n">
        <v>0</v>
      </c>
      <c r="K88" s="13" t="n">
        <v>0</v>
      </c>
      <c r="L88" s="13">
        <f>F88+I88+SUMIFS('[FC Eingabe.xlsx]FC Eingabe'!$G$7:$G$126,'[FC Eingabe.xlsx]FC Eingabe'!$F$7:$F$126,C88,'[FC Eingabe.xlsx]FC Eingabe'!$K$7:$K$126,"Wirksam")</f>
        <v/>
      </c>
      <c r="M88" s="13">
        <f>G88+J88-SUMIFS('[FC Eingabe.xlsx]FC Eingabe'!$I$7:$I$126,'[FC Eingabe.xlsx]FC Eingabe'!$F$7:$F$126,C88,'[FC Eingabe.xlsx]FC Eingabe'!$K$7:$K$126,"Wirksam")</f>
        <v/>
      </c>
      <c r="N88" s="13">
        <f>H88+K88+SUMIFS('[FC Eingabe.xlsx]FC Eingabe'!$H$7:$H$126,'[FC Eingabe.xlsx]FC Eingabe'!$F$7:$F$126,C88,'[FC Eingabe.xlsx]FC Eingabe'!$K$7:$K$126,"Wirksam")</f>
        <v/>
      </c>
      <c r="O88" s="13">
        <f>SUM(L88:N88)</f>
        <v/>
      </c>
    </row>
    <row r="89" ht="21" customHeight="1">
      <c r="C89" s="12" t="inlineStr">
        <is>
          <t>P4102307426</t>
        </is>
      </c>
      <c r="D89" s="12" t="inlineStr">
        <is>
          <t>BASF Z 300</t>
        </is>
      </c>
      <c r="E89" s="12" t="inlineStr">
        <is>
          <t>Süd-West</t>
        </is>
      </c>
      <c r="F89" s="13" t="n">
        <v>40236.26</v>
      </c>
      <c r="G89" s="13" t="n">
        <v>-31447.44</v>
      </c>
      <c r="H89" s="13" t="n">
        <v>0</v>
      </c>
      <c r="I89" s="13" t="n">
        <v>10000</v>
      </c>
      <c r="J89" s="13" t="n">
        <v>0</v>
      </c>
      <c r="K89" s="13" t="n">
        <v>0</v>
      </c>
      <c r="L89" s="13">
        <f>F89+I89+SUMIFS('[FC Eingabe.xlsx]FC Eingabe'!$G$7:$G$126,'[FC Eingabe.xlsx]FC Eingabe'!$F$7:$F$126,C89,'[FC Eingabe.xlsx]FC Eingabe'!$K$7:$K$126,"Wirksam")</f>
        <v/>
      </c>
      <c r="M89" s="13">
        <f>G89+J89-SUMIFS('[FC Eingabe.xlsx]FC Eingabe'!$I$7:$I$126,'[FC Eingabe.xlsx]FC Eingabe'!$F$7:$F$126,C89,'[FC Eingabe.xlsx]FC Eingabe'!$K$7:$K$126,"Wirksam")</f>
        <v/>
      </c>
      <c r="N89" s="13">
        <f>H89+K89+SUMIFS('[FC Eingabe.xlsx]FC Eingabe'!$H$7:$H$126,'[FC Eingabe.xlsx]FC Eingabe'!$F$7:$F$126,C89,'[FC Eingabe.xlsx]FC Eingabe'!$K$7:$K$126,"Wirksam")</f>
        <v/>
      </c>
      <c r="O89" s="13">
        <f>SUM(L89:N89)</f>
        <v/>
      </c>
    </row>
    <row r="90" ht="21" customHeight="1">
      <c r="C90" s="12" t="inlineStr">
        <is>
          <t>P4102307427</t>
        </is>
      </c>
      <c r="D90" s="12" t="inlineStr">
        <is>
          <t>BASF N 720</t>
        </is>
      </c>
      <c r="E90" s="12" t="inlineStr">
        <is>
          <t>Süd-West</t>
        </is>
      </c>
      <c r="F90" s="13" t="n">
        <v>40570.44</v>
      </c>
      <c r="G90" s="13" t="n">
        <v>-63381.2</v>
      </c>
      <c r="H90" s="13" t="n">
        <v>0</v>
      </c>
      <c r="I90" s="13" t="n">
        <v>100000</v>
      </c>
      <c r="J90" s="13" t="n">
        <v>-95000</v>
      </c>
      <c r="K90" s="13" t="n">
        <v>0</v>
      </c>
      <c r="L90" s="13">
        <f>F90+I90+SUMIFS('[FC Eingabe.xlsx]FC Eingabe'!$G$7:$G$126,'[FC Eingabe.xlsx]FC Eingabe'!$F$7:$F$126,C90,'[FC Eingabe.xlsx]FC Eingabe'!$K$7:$K$126,"Wirksam")</f>
        <v/>
      </c>
      <c r="M90" s="13">
        <f>G90+J90-SUMIFS('[FC Eingabe.xlsx]FC Eingabe'!$I$7:$I$126,'[FC Eingabe.xlsx]FC Eingabe'!$F$7:$F$126,C90,'[FC Eingabe.xlsx]FC Eingabe'!$K$7:$K$126,"Wirksam")</f>
        <v/>
      </c>
      <c r="N90" s="13">
        <f>H90+K90+SUMIFS('[FC Eingabe.xlsx]FC Eingabe'!$H$7:$H$126,'[FC Eingabe.xlsx]FC Eingabe'!$F$7:$F$126,C90,'[FC Eingabe.xlsx]FC Eingabe'!$K$7:$K$126,"Wirksam")</f>
        <v/>
      </c>
      <c r="O90" s="13">
        <f>SUM(L90:N90)</f>
        <v/>
      </c>
    </row>
    <row r="91" ht="21" customHeight="1">
      <c r="C91" s="12" t="inlineStr">
        <is>
          <t>P4102307428</t>
        </is>
      </c>
      <c r="D91" s="12" t="inlineStr">
        <is>
          <t>BASF O 405</t>
        </is>
      </c>
      <c r="E91" s="12" t="inlineStr">
        <is>
          <t>Süd-West</t>
        </is>
      </c>
      <c r="F91" s="13" t="n">
        <v>149536.25</v>
      </c>
      <c r="G91" s="13" t="n">
        <v>-7367.86</v>
      </c>
      <c r="H91" s="13" t="n">
        <v>0</v>
      </c>
      <c r="I91" s="13" t="n">
        <v>49000</v>
      </c>
      <c r="J91" s="13" t="n">
        <v>-29400</v>
      </c>
      <c r="K91" s="13" t="n">
        <v>0</v>
      </c>
      <c r="L91" s="13">
        <f>F91+I91+SUMIFS('[FC Eingabe.xlsx]FC Eingabe'!$G$7:$G$126,'[FC Eingabe.xlsx]FC Eingabe'!$F$7:$F$126,C91,'[FC Eingabe.xlsx]FC Eingabe'!$K$7:$K$126,"Wirksam")</f>
        <v/>
      </c>
      <c r="M91" s="13">
        <f>G91+J91-SUMIFS('[FC Eingabe.xlsx]FC Eingabe'!$I$7:$I$126,'[FC Eingabe.xlsx]FC Eingabe'!$F$7:$F$126,C91,'[FC Eingabe.xlsx]FC Eingabe'!$K$7:$K$126,"Wirksam")</f>
        <v/>
      </c>
      <c r="N91" s="13">
        <f>H91+K91+SUMIFS('[FC Eingabe.xlsx]FC Eingabe'!$H$7:$H$126,'[FC Eingabe.xlsx]FC Eingabe'!$F$7:$F$126,C91,'[FC Eingabe.xlsx]FC Eingabe'!$K$7:$K$126,"Wirksam")</f>
        <v/>
      </c>
      <c r="O91" s="13">
        <f>SUM(L91:N91)</f>
        <v/>
      </c>
    </row>
    <row r="92" ht="21" customHeight="1">
      <c r="C92" s="12" t="inlineStr">
        <is>
          <t>P4102307429</t>
        </is>
      </c>
      <c r="D92" s="12" t="inlineStr">
        <is>
          <t>BASF C 509</t>
        </is>
      </c>
      <c r="E92" s="12" t="inlineStr">
        <is>
          <t>Süd-West</t>
        </is>
      </c>
      <c r="F92" s="13" t="n">
        <v>47313.87</v>
      </c>
      <c r="G92" s="13" t="n">
        <v>-11295.81</v>
      </c>
      <c r="H92" s="13" t="n">
        <v>0</v>
      </c>
      <c r="I92" s="13" t="n">
        <v>0</v>
      </c>
      <c r="J92" s="13" t="n">
        <v>0</v>
      </c>
      <c r="K92" s="13" t="n">
        <v>0</v>
      </c>
      <c r="L92" s="13">
        <f>F92+I92+SUMIFS('[FC Eingabe.xlsx]FC Eingabe'!$G$7:$G$126,'[FC Eingabe.xlsx]FC Eingabe'!$F$7:$F$126,C92,'[FC Eingabe.xlsx]FC Eingabe'!$K$7:$K$126,"Wirksam")</f>
        <v/>
      </c>
      <c r="M92" s="13">
        <f>G92+J92-SUMIFS('[FC Eingabe.xlsx]FC Eingabe'!$I$7:$I$126,'[FC Eingabe.xlsx]FC Eingabe'!$F$7:$F$126,C92,'[FC Eingabe.xlsx]FC Eingabe'!$K$7:$K$126,"Wirksam")</f>
        <v/>
      </c>
      <c r="N92" s="13">
        <f>H92+K92+SUMIFS('[FC Eingabe.xlsx]FC Eingabe'!$H$7:$H$126,'[FC Eingabe.xlsx]FC Eingabe'!$F$7:$F$126,C92,'[FC Eingabe.xlsx]FC Eingabe'!$K$7:$K$126,"Wirksam")</f>
        <v/>
      </c>
      <c r="O92" s="13">
        <f>SUM(L92:N92)</f>
        <v/>
      </c>
    </row>
    <row r="93" ht="21" customHeight="1">
      <c r="C93" s="12" t="inlineStr">
        <is>
          <t>P4102307430</t>
        </is>
      </c>
      <c r="D93" s="12" t="inlineStr">
        <is>
          <t>BASF E 701</t>
        </is>
      </c>
      <c r="E93" s="12" t="inlineStr">
        <is>
          <t>Süd-West</t>
        </is>
      </c>
      <c r="F93" s="13" t="n">
        <v>42425.11</v>
      </c>
      <c r="G93" s="13" t="n">
        <v>-19891.85</v>
      </c>
      <c r="H93" s="13" t="n">
        <v>0</v>
      </c>
      <c r="I93" s="13" t="n">
        <v>0</v>
      </c>
      <c r="J93" s="13" t="n">
        <v>0</v>
      </c>
      <c r="K93" s="13" t="n">
        <v>0</v>
      </c>
      <c r="L93" s="13">
        <f>F93+I93+SUMIFS('[FC Eingabe.xlsx]FC Eingabe'!$G$7:$G$126,'[FC Eingabe.xlsx]FC Eingabe'!$F$7:$F$126,C93,'[FC Eingabe.xlsx]FC Eingabe'!$K$7:$K$126,"Wirksam")</f>
        <v/>
      </c>
      <c r="M93" s="13">
        <f>G93+J93-SUMIFS('[FC Eingabe.xlsx]FC Eingabe'!$I$7:$I$126,'[FC Eingabe.xlsx]FC Eingabe'!$F$7:$F$126,C93,'[FC Eingabe.xlsx]FC Eingabe'!$K$7:$K$126,"Wirksam")</f>
        <v/>
      </c>
      <c r="N93" s="13">
        <f>H93+K93+SUMIFS('[FC Eingabe.xlsx]FC Eingabe'!$H$7:$H$126,'[FC Eingabe.xlsx]FC Eingabe'!$F$7:$F$126,C93,'[FC Eingabe.xlsx]FC Eingabe'!$K$7:$K$126,"Wirksam")</f>
        <v/>
      </c>
      <c r="O93" s="13">
        <f>SUM(L93:N93)</f>
        <v/>
      </c>
    </row>
    <row r="94" ht="21" customHeight="1">
      <c r="C94" s="12" t="inlineStr">
        <is>
          <t>P4102307431</t>
        </is>
      </c>
      <c r="D94" s="12" t="inlineStr">
        <is>
          <t>HNVG Bauph. II Gaswerk</t>
        </is>
      </c>
      <c r="E94" s="12" t="inlineStr">
        <is>
          <t>Süd-West</t>
        </is>
      </c>
      <c r="F94" s="13" t="n">
        <v>97490.11</v>
      </c>
      <c r="G94" s="13" t="n">
        <v>0</v>
      </c>
      <c r="H94" s="13" t="n">
        <v>-83199.77</v>
      </c>
      <c r="I94" s="13" t="n">
        <v>0</v>
      </c>
      <c r="J94" s="13" t="n">
        <v>0</v>
      </c>
      <c r="K94" s="13" t="n">
        <v>0</v>
      </c>
      <c r="L94" s="13">
        <f>F94+I94+SUMIFS('[FC Eingabe.xlsx]FC Eingabe'!$G$7:$G$126,'[FC Eingabe.xlsx]FC Eingabe'!$F$7:$F$126,C94,'[FC Eingabe.xlsx]FC Eingabe'!$K$7:$K$126,"Wirksam")</f>
        <v/>
      </c>
      <c r="M94" s="13">
        <f>G94+J94-SUMIFS('[FC Eingabe.xlsx]FC Eingabe'!$I$7:$I$126,'[FC Eingabe.xlsx]FC Eingabe'!$F$7:$F$126,C94,'[FC Eingabe.xlsx]FC Eingabe'!$K$7:$K$126,"Wirksam")</f>
        <v/>
      </c>
      <c r="N94" s="13">
        <f>H94+K94+SUMIFS('[FC Eingabe.xlsx]FC Eingabe'!$H$7:$H$126,'[FC Eingabe.xlsx]FC Eingabe'!$F$7:$F$126,C94,'[FC Eingabe.xlsx]FC Eingabe'!$K$7:$K$126,"Wirksam")</f>
        <v/>
      </c>
      <c r="O94" s="13">
        <f>SUM(L94:N94)</f>
        <v/>
      </c>
    </row>
    <row r="95" ht="21" customHeight="1">
      <c r="C95" s="12" t="inlineStr">
        <is>
          <t>P4102307432</t>
        </is>
      </c>
      <c r="D95" s="12" t="inlineStr">
        <is>
          <t>HNVG - Bauph. III Gaswerk</t>
        </is>
      </c>
      <c r="E95" s="12" t="inlineStr">
        <is>
          <t>Süd-West</t>
        </is>
      </c>
      <c r="F95" s="13" t="n">
        <v>85258.00999999999</v>
      </c>
      <c r="G95" s="13" t="n">
        <v>-30600</v>
      </c>
      <c r="H95" s="13" t="n">
        <v>-39732.85</v>
      </c>
      <c r="I95" s="13" t="n">
        <v>0</v>
      </c>
      <c r="J95" s="13" t="n">
        <v>0</v>
      </c>
      <c r="K95" s="13" t="n">
        <v>0</v>
      </c>
      <c r="L95" s="13">
        <f>F95+I95+SUMIFS('[FC Eingabe.xlsx]FC Eingabe'!$G$7:$G$126,'[FC Eingabe.xlsx]FC Eingabe'!$F$7:$F$126,C95,'[FC Eingabe.xlsx]FC Eingabe'!$K$7:$K$126,"Wirksam")</f>
        <v/>
      </c>
      <c r="M95" s="13">
        <f>G95+J95-SUMIFS('[FC Eingabe.xlsx]FC Eingabe'!$I$7:$I$126,'[FC Eingabe.xlsx]FC Eingabe'!$F$7:$F$126,C95,'[FC Eingabe.xlsx]FC Eingabe'!$K$7:$K$126,"Wirksam")</f>
        <v/>
      </c>
      <c r="N95" s="13">
        <f>H95+K95+SUMIFS('[FC Eingabe.xlsx]FC Eingabe'!$H$7:$H$126,'[FC Eingabe.xlsx]FC Eingabe'!$F$7:$F$126,C95,'[FC Eingabe.xlsx]FC Eingabe'!$K$7:$K$126,"Wirksam")</f>
        <v/>
      </c>
      <c r="O95" s="13">
        <f>SUM(L95:N95)</f>
        <v/>
      </c>
    </row>
    <row r="96" ht="21" customHeight="1">
      <c r="C96" s="12" t="inlineStr">
        <is>
          <t>P4102307433</t>
        </is>
      </c>
      <c r="D96" s="12" t="inlineStr">
        <is>
          <t>BASF U 505 Blauer Block</t>
        </is>
      </c>
      <c r="E96" s="12" t="inlineStr">
        <is>
          <t>Süd-West</t>
        </is>
      </c>
      <c r="F96" s="13" t="n">
        <v>845320.52</v>
      </c>
      <c r="G96" s="13" t="n">
        <v>-825817.55</v>
      </c>
      <c r="H96" s="13" t="n">
        <v>0</v>
      </c>
      <c r="I96" s="13" t="n">
        <v>200000</v>
      </c>
      <c r="J96" s="13" t="n">
        <v>-120000</v>
      </c>
      <c r="K96" s="13" t="n">
        <v>0</v>
      </c>
      <c r="L96" s="13">
        <f>F96+I96+SUMIFS('[FC Eingabe.xlsx]FC Eingabe'!$G$7:$G$126,'[FC Eingabe.xlsx]FC Eingabe'!$F$7:$F$126,C96,'[FC Eingabe.xlsx]FC Eingabe'!$K$7:$K$126,"Wirksam")</f>
        <v/>
      </c>
      <c r="M96" s="13">
        <f>G96+J96-SUMIFS('[FC Eingabe.xlsx]FC Eingabe'!$I$7:$I$126,'[FC Eingabe.xlsx]FC Eingabe'!$F$7:$F$126,C96,'[FC Eingabe.xlsx]FC Eingabe'!$K$7:$K$126,"Wirksam")</f>
        <v/>
      </c>
      <c r="N96" s="13">
        <f>H96+K96+SUMIFS('[FC Eingabe.xlsx]FC Eingabe'!$H$7:$H$126,'[FC Eingabe.xlsx]FC Eingabe'!$F$7:$F$126,C96,'[FC Eingabe.xlsx]FC Eingabe'!$K$7:$K$126,"Wirksam")</f>
        <v/>
      </c>
      <c r="O96" s="13">
        <f>SUM(L96:N96)</f>
        <v/>
      </c>
    </row>
    <row r="97" ht="21" customHeight="1">
      <c r="C97" s="12" t="inlineStr">
        <is>
          <t>P4102307434</t>
        </is>
      </c>
      <c r="D97" s="12" t="inlineStr">
        <is>
          <t>BASF S 304</t>
        </is>
      </c>
      <c r="E97" s="12" t="inlineStr">
        <is>
          <t>Süd-West</t>
        </is>
      </c>
      <c r="F97" s="13" t="n">
        <v>60554.04</v>
      </c>
      <c r="G97" s="13" t="n">
        <v>-22058.42</v>
      </c>
      <c r="H97" s="13" t="n">
        <v>-46621</v>
      </c>
      <c r="I97" s="13" t="n">
        <v>0</v>
      </c>
      <c r="J97" s="13" t="n">
        <v>0</v>
      </c>
      <c r="K97" s="13" t="n">
        <v>0</v>
      </c>
      <c r="L97" s="13">
        <f>F97+I97+SUMIFS('[FC Eingabe.xlsx]FC Eingabe'!$G$7:$G$126,'[FC Eingabe.xlsx]FC Eingabe'!$F$7:$F$126,C97,'[FC Eingabe.xlsx]FC Eingabe'!$K$7:$K$126,"Wirksam")</f>
        <v/>
      </c>
      <c r="M97" s="13">
        <f>G97+J97-SUMIFS('[FC Eingabe.xlsx]FC Eingabe'!$I$7:$I$126,'[FC Eingabe.xlsx]FC Eingabe'!$F$7:$F$126,C97,'[FC Eingabe.xlsx]FC Eingabe'!$K$7:$K$126,"Wirksam")</f>
        <v/>
      </c>
      <c r="N97" s="13">
        <f>H97+K97+SUMIFS('[FC Eingabe.xlsx]FC Eingabe'!$H$7:$H$126,'[FC Eingabe.xlsx]FC Eingabe'!$F$7:$F$126,C97,'[FC Eingabe.xlsx]FC Eingabe'!$K$7:$K$126,"Wirksam")</f>
        <v/>
      </c>
      <c r="O97" s="13">
        <f>SUM(L97:N97)</f>
        <v/>
      </c>
    </row>
    <row r="98" ht="21" customHeight="1">
      <c r="C98" s="12" t="inlineStr">
        <is>
          <t>P4102307435</t>
        </is>
      </c>
      <c r="D98" s="12" t="inlineStr">
        <is>
          <t>ENBW - KW Walheim</t>
        </is>
      </c>
      <c r="E98" s="12" t="inlineStr">
        <is>
          <t>Süd-West</t>
        </is>
      </c>
      <c r="F98" s="13" t="n">
        <v>240770.35</v>
      </c>
      <c r="G98" s="13" t="n">
        <v>-142710.2</v>
      </c>
      <c r="H98" s="13" t="n">
        <v>-168400.34</v>
      </c>
      <c r="I98" s="13" t="n">
        <v>0</v>
      </c>
      <c r="J98" s="13" t="n">
        <v>0</v>
      </c>
      <c r="K98" s="13" t="n">
        <v>0</v>
      </c>
      <c r="L98" s="13">
        <f>F98+I98+SUMIFS('[FC Eingabe.xlsx]FC Eingabe'!$G$7:$G$126,'[FC Eingabe.xlsx]FC Eingabe'!$F$7:$F$126,C98,'[FC Eingabe.xlsx]FC Eingabe'!$K$7:$K$126,"Wirksam")</f>
        <v/>
      </c>
      <c r="M98" s="13">
        <f>G98+J98-SUMIFS('[FC Eingabe.xlsx]FC Eingabe'!$I$7:$I$126,'[FC Eingabe.xlsx]FC Eingabe'!$F$7:$F$126,C98,'[FC Eingabe.xlsx]FC Eingabe'!$K$7:$K$126,"Wirksam")</f>
        <v/>
      </c>
      <c r="N98" s="13">
        <f>H98+K98+SUMIFS('[FC Eingabe.xlsx]FC Eingabe'!$H$7:$H$126,'[FC Eingabe.xlsx]FC Eingabe'!$F$7:$F$126,C98,'[FC Eingabe.xlsx]FC Eingabe'!$K$7:$K$126,"Wirksam")</f>
        <v/>
      </c>
      <c r="O98" s="13">
        <f>SUM(L98:N98)</f>
        <v/>
      </c>
    </row>
    <row r="99" ht="21" customHeight="1">
      <c r="C99" s="12" t="inlineStr">
        <is>
          <t>P4102307436</t>
        </is>
      </c>
      <c r="D99" s="12" t="inlineStr">
        <is>
          <t>BASF O 914 - O 915</t>
        </is>
      </c>
      <c r="E99" s="12" t="inlineStr">
        <is>
          <t>Süd-West</t>
        </is>
      </c>
      <c r="F99" s="13" t="n">
        <v>51822.08</v>
      </c>
      <c r="G99" s="13" t="n">
        <v>-56256.37</v>
      </c>
      <c r="H99" s="13" t="n">
        <v>5723.3</v>
      </c>
      <c r="I99" s="13" t="n">
        <v>0</v>
      </c>
      <c r="J99" s="13" t="n">
        <v>0</v>
      </c>
      <c r="K99" s="13" t="n">
        <v>0</v>
      </c>
      <c r="L99" s="13">
        <f>F99+I99+SUMIFS('[FC Eingabe.xlsx]FC Eingabe'!$G$7:$G$126,'[FC Eingabe.xlsx]FC Eingabe'!$F$7:$F$126,C99,'[FC Eingabe.xlsx]FC Eingabe'!$K$7:$K$126,"Wirksam")</f>
        <v/>
      </c>
      <c r="M99" s="13">
        <f>G99+J99-SUMIFS('[FC Eingabe.xlsx]FC Eingabe'!$I$7:$I$126,'[FC Eingabe.xlsx]FC Eingabe'!$F$7:$F$126,C99,'[FC Eingabe.xlsx]FC Eingabe'!$K$7:$K$126,"Wirksam")</f>
        <v/>
      </c>
      <c r="N99" s="13">
        <f>H99+K99+SUMIFS('[FC Eingabe.xlsx]FC Eingabe'!$H$7:$H$126,'[FC Eingabe.xlsx]FC Eingabe'!$F$7:$F$126,C99,'[FC Eingabe.xlsx]FC Eingabe'!$K$7:$K$126,"Wirksam")</f>
        <v/>
      </c>
      <c r="O99" s="13">
        <f>SUM(L99:N99)</f>
        <v/>
      </c>
    </row>
    <row r="100" ht="21" customHeight="1">
      <c r="C100" s="12" t="inlineStr">
        <is>
          <t>P4102307437</t>
        </is>
      </c>
      <c r="D100" s="12" t="inlineStr">
        <is>
          <t>ENBW - KW Walheim, Permutit-Anlage</t>
        </is>
      </c>
      <c r="E100" s="12" t="inlineStr">
        <is>
          <t>Süd-West</t>
        </is>
      </c>
      <c r="F100" s="13" t="n">
        <v>66801.86</v>
      </c>
      <c r="G100" s="13" t="n">
        <v>-188.19</v>
      </c>
      <c r="H100" s="13" t="n">
        <v>-66752</v>
      </c>
      <c r="I100" s="13" t="n">
        <v>0</v>
      </c>
      <c r="J100" s="13" t="n">
        <v>0</v>
      </c>
      <c r="K100" s="13" t="n">
        <v>0</v>
      </c>
      <c r="L100" s="13">
        <f>F100+I100+SUMIFS('[FC Eingabe.xlsx]FC Eingabe'!$G$7:$G$126,'[FC Eingabe.xlsx]FC Eingabe'!$F$7:$F$126,C100,'[FC Eingabe.xlsx]FC Eingabe'!$K$7:$K$126,"Wirksam")</f>
        <v/>
      </c>
      <c r="M100" s="13">
        <f>G100+J100-SUMIFS('[FC Eingabe.xlsx]FC Eingabe'!$I$7:$I$126,'[FC Eingabe.xlsx]FC Eingabe'!$F$7:$F$126,C100,'[FC Eingabe.xlsx]FC Eingabe'!$K$7:$K$126,"Wirksam")</f>
        <v/>
      </c>
      <c r="N100" s="13">
        <f>H100+K100+SUMIFS('[FC Eingabe.xlsx]FC Eingabe'!$H$7:$H$126,'[FC Eingabe.xlsx]FC Eingabe'!$F$7:$F$126,C100,'[FC Eingabe.xlsx]FC Eingabe'!$K$7:$K$126,"Wirksam")</f>
        <v/>
      </c>
      <c r="O100" s="13">
        <f>SUM(L100:N100)</f>
        <v/>
      </c>
    </row>
    <row r="101" ht="21" customHeight="1">
      <c r="C101" s="12" t="inlineStr">
        <is>
          <t>P4102307438</t>
        </is>
      </c>
      <c r="D101" s="12" t="inlineStr">
        <is>
          <t>Netze BW- UW Bruchsal</t>
        </is>
      </c>
      <c r="E101" s="12" t="inlineStr">
        <is>
          <t>Süd-West</t>
        </is>
      </c>
      <c r="F101" s="13" t="n">
        <v>20108.3</v>
      </c>
      <c r="G101" s="13" t="n">
        <v>-65980.50999999999</v>
      </c>
      <c r="H101" s="13" t="n">
        <v>66878.32000000001</v>
      </c>
      <c r="I101" s="13" t="n">
        <v>81000</v>
      </c>
      <c r="J101" s="13" t="n">
        <v>-70227</v>
      </c>
      <c r="K101" s="13" t="n">
        <v>0</v>
      </c>
      <c r="L101" s="13">
        <f>F101+I101+SUMIFS('[FC Eingabe.xlsx]FC Eingabe'!$G$7:$G$126,'[FC Eingabe.xlsx]FC Eingabe'!$F$7:$F$126,C101,'[FC Eingabe.xlsx]FC Eingabe'!$K$7:$K$126,"Wirksam")</f>
        <v/>
      </c>
      <c r="M101" s="13">
        <f>G101+J101-SUMIFS('[FC Eingabe.xlsx]FC Eingabe'!$I$7:$I$126,'[FC Eingabe.xlsx]FC Eingabe'!$F$7:$F$126,C101,'[FC Eingabe.xlsx]FC Eingabe'!$K$7:$K$126,"Wirksam")</f>
        <v/>
      </c>
      <c r="N101" s="13">
        <f>H101+K101+SUMIFS('[FC Eingabe.xlsx]FC Eingabe'!$H$7:$H$126,'[FC Eingabe.xlsx]FC Eingabe'!$F$7:$F$126,C101,'[FC Eingabe.xlsx]FC Eingabe'!$K$7:$K$126,"Wirksam")</f>
        <v/>
      </c>
      <c r="O101" s="13">
        <f>SUM(L101:N101)</f>
        <v/>
      </c>
    </row>
    <row r="102" ht="21" customHeight="1">
      <c r="C102" s="12" t="inlineStr">
        <is>
          <t>P4102307439</t>
        </is>
      </c>
      <c r="D102" s="12" t="inlineStr">
        <is>
          <t>BASF U 405 Teil 1</t>
        </is>
      </c>
      <c r="E102" s="12" t="inlineStr">
        <is>
          <t>Süd-West</t>
        </is>
      </c>
      <c r="F102" s="13" t="n">
        <v>73270.25</v>
      </c>
      <c r="G102" s="13" t="n">
        <v>-104560.54</v>
      </c>
      <c r="H102" s="13" t="n">
        <v>0</v>
      </c>
      <c r="I102" s="13" t="n">
        <v>94000</v>
      </c>
      <c r="J102" s="13" t="n">
        <v>-50000</v>
      </c>
      <c r="K102" s="13" t="n">
        <v>0</v>
      </c>
      <c r="L102" s="13">
        <f>F102+I102+SUMIFS('[FC Eingabe.xlsx]FC Eingabe'!$G$7:$G$126,'[FC Eingabe.xlsx]FC Eingabe'!$F$7:$F$126,C102,'[FC Eingabe.xlsx]FC Eingabe'!$K$7:$K$126,"Wirksam")</f>
        <v/>
      </c>
      <c r="M102" s="13">
        <f>G102+J102-SUMIFS('[FC Eingabe.xlsx]FC Eingabe'!$I$7:$I$126,'[FC Eingabe.xlsx]FC Eingabe'!$F$7:$F$126,C102,'[FC Eingabe.xlsx]FC Eingabe'!$K$7:$K$126,"Wirksam")</f>
        <v/>
      </c>
      <c r="N102" s="13">
        <f>H102+K102+SUMIFS('[FC Eingabe.xlsx]FC Eingabe'!$H$7:$H$126,'[FC Eingabe.xlsx]FC Eingabe'!$F$7:$F$126,C102,'[FC Eingabe.xlsx]FC Eingabe'!$K$7:$K$126,"Wirksam")</f>
        <v/>
      </c>
      <c r="O102" s="13">
        <f>SUM(L102:N102)</f>
        <v/>
      </c>
    </row>
    <row r="103" ht="21" customHeight="1">
      <c r="C103" s="12" t="inlineStr">
        <is>
          <t>P4102307440</t>
        </is>
      </c>
      <c r="D103" s="12" t="inlineStr">
        <is>
          <t>BASF  L 605</t>
        </is>
      </c>
      <c r="E103" s="12" t="inlineStr">
        <is>
          <t>Süd-West</t>
        </is>
      </c>
      <c r="F103" s="13" t="n">
        <v>249898.21</v>
      </c>
      <c r="G103" s="13" t="n">
        <v>-161600.06</v>
      </c>
      <c r="H103" s="13" t="n">
        <v>0</v>
      </c>
      <c r="I103" s="13" t="n">
        <v>0</v>
      </c>
      <c r="J103" s="13" t="n">
        <v>0</v>
      </c>
      <c r="K103" s="13" t="n">
        <v>0</v>
      </c>
      <c r="L103" s="13">
        <f>F103+I103+SUMIFS('[FC Eingabe.xlsx]FC Eingabe'!$G$7:$G$126,'[FC Eingabe.xlsx]FC Eingabe'!$F$7:$F$126,C103,'[FC Eingabe.xlsx]FC Eingabe'!$K$7:$K$126,"Wirksam")</f>
        <v/>
      </c>
      <c r="M103" s="13">
        <f>G103+J103-SUMIFS('[FC Eingabe.xlsx]FC Eingabe'!$I$7:$I$126,'[FC Eingabe.xlsx]FC Eingabe'!$F$7:$F$126,C103,'[FC Eingabe.xlsx]FC Eingabe'!$K$7:$K$126,"Wirksam")</f>
        <v/>
      </c>
      <c r="N103" s="13">
        <f>H103+K103+SUMIFS('[FC Eingabe.xlsx]FC Eingabe'!$H$7:$H$126,'[FC Eingabe.xlsx]FC Eingabe'!$F$7:$F$126,C103,'[FC Eingabe.xlsx]FC Eingabe'!$K$7:$K$126,"Wirksam")</f>
        <v/>
      </c>
      <c r="O103" s="13">
        <f>SUM(L103:N103)</f>
        <v/>
      </c>
    </row>
    <row r="104" ht="21" customHeight="1">
      <c r="C104" s="12" t="inlineStr">
        <is>
          <t>P4102307441</t>
        </is>
      </c>
      <c r="D104" s="12" t="inlineStr">
        <is>
          <t>BASF  E 301</t>
        </is>
      </c>
      <c r="E104" s="12" t="inlineStr">
        <is>
          <t>Süd-West</t>
        </is>
      </c>
      <c r="F104" s="13" t="n">
        <v>50827.6</v>
      </c>
      <c r="G104" s="13" t="n">
        <v>-16165.48</v>
      </c>
      <c r="H104" s="13" t="n">
        <v>0</v>
      </c>
      <c r="I104" s="13" t="n">
        <v>0</v>
      </c>
      <c r="J104" s="13" t="n">
        <v>0</v>
      </c>
      <c r="K104" s="13" t="n">
        <v>0</v>
      </c>
      <c r="L104" s="13">
        <f>F104+I104+SUMIFS('[FC Eingabe.xlsx]FC Eingabe'!$G$7:$G$126,'[FC Eingabe.xlsx]FC Eingabe'!$F$7:$F$126,C104,'[FC Eingabe.xlsx]FC Eingabe'!$K$7:$K$126,"Wirksam")</f>
        <v/>
      </c>
      <c r="M104" s="13">
        <f>G104+J104-SUMIFS('[FC Eingabe.xlsx]FC Eingabe'!$I$7:$I$126,'[FC Eingabe.xlsx]FC Eingabe'!$F$7:$F$126,C104,'[FC Eingabe.xlsx]FC Eingabe'!$K$7:$K$126,"Wirksam")</f>
        <v/>
      </c>
      <c r="N104" s="13">
        <f>H104+K104+SUMIFS('[FC Eingabe.xlsx]FC Eingabe'!$H$7:$H$126,'[FC Eingabe.xlsx]FC Eingabe'!$F$7:$F$126,C104,'[FC Eingabe.xlsx]FC Eingabe'!$K$7:$K$126,"Wirksam")</f>
        <v/>
      </c>
      <c r="O104" s="13">
        <f>SUM(L104:N104)</f>
        <v/>
      </c>
    </row>
    <row r="105" ht="21" customHeight="1">
      <c r="C105" s="12" t="inlineStr">
        <is>
          <t>P4102307442</t>
        </is>
      </c>
      <c r="D105" s="12" t="inlineStr">
        <is>
          <t>Leingarten Schwimmhalle 1</t>
        </is>
      </c>
      <c r="E105" s="12" t="inlineStr">
        <is>
          <t>Süd-West</t>
        </is>
      </c>
      <c r="F105" s="13" t="n">
        <v>9232.4</v>
      </c>
      <c r="G105" s="13" t="n">
        <v>-68659.09</v>
      </c>
      <c r="H105" s="13" t="n">
        <v>77704.58</v>
      </c>
      <c r="I105" s="13" t="n">
        <v>0</v>
      </c>
      <c r="J105" s="13" t="n">
        <v>0</v>
      </c>
      <c r="K105" s="13" t="n">
        <v>0</v>
      </c>
      <c r="L105" s="13">
        <f>F105+I105+SUMIFS('[FC Eingabe.xlsx]FC Eingabe'!$G$7:$G$126,'[FC Eingabe.xlsx]FC Eingabe'!$F$7:$F$126,C105,'[FC Eingabe.xlsx]FC Eingabe'!$K$7:$K$126,"Wirksam")</f>
        <v/>
      </c>
      <c r="M105" s="13">
        <f>G105+J105-SUMIFS('[FC Eingabe.xlsx]FC Eingabe'!$I$7:$I$126,'[FC Eingabe.xlsx]FC Eingabe'!$F$7:$F$126,C105,'[FC Eingabe.xlsx]FC Eingabe'!$K$7:$K$126,"Wirksam")</f>
        <v/>
      </c>
      <c r="N105" s="13">
        <f>H105+K105+SUMIFS('[FC Eingabe.xlsx]FC Eingabe'!$H$7:$H$126,'[FC Eingabe.xlsx]FC Eingabe'!$F$7:$F$126,C105,'[FC Eingabe.xlsx]FC Eingabe'!$K$7:$K$126,"Wirksam")</f>
        <v/>
      </c>
      <c r="O105" s="13">
        <f>SUM(L105:N105)</f>
        <v/>
      </c>
    </row>
    <row r="106" ht="21" customHeight="1">
      <c r="C106" s="12" t="inlineStr">
        <is>
          <t>P4102307443</t>
        </is>
      </c>
      <c r="D106" s="12" t="inlineStr">
        <is>
          <t>Leingarten Schwimmhalle 2</t>
        </is>
      </c>
      <c r="E106" s="12" t="inlineStr">
        <is>
          <t>Süd-West</t>
        </is>
      </c>
      <c r="F106" s="13" t="n">
        <v>121773.65</v>
      </c>
      <c r="G106" s="13" t="n">
        <v>-144088.97</v>
      </c>
      <c r="H106" s="13" t="n">
        <v>59730.99</v>
      </c>
      <c r="I106" s="13" t="n">
        <v>193000</v>
      </c>
      <c r="J106" s="13" t="n">
        <v>-182000</v>
      </c>
      <c r="K106" s="13" t="n">
        <v>0</v>
      </c>
      <c r="L106" s="13">
        <f>F106+I106+SUMIFS('[FC Eingabe.xlsx]FC Eingabe'!$G$7:$G$126,'[FC Eingabe.xlsx]FC Eingabe'!$F$7:$F$126,C106,'[FC Eingabe.xlsx]FC Eingabe'!$K$7:$K$126,"Wirksam")</f>
        <v/>
      </c>
      <c r="M106" s="13">
        <f>G106+J106-SUMIFS('[FC Eingabe.xlsx]FC Eingabe'!$I$7:$I$126,'[FC Eingabe.xlsx]FC Eingabe'!$F$7:$F$126,C106,'[FC Eingabe.xlsx]FC Eingabe'!$K$7:$K$126,"Wirksam")</f>
        <v/>
      </c>
      <c r="N106" s="13">
        <f>H106+K106+SUMIFS('[FC Eingabe.xlsx]FC Eingabe'!$H$7:$H$126,'[FC Eingabe.xlsx]FC Eingabe'!$F$7:$F$126,C106,'[FC Eingabe.xlsx]FC Eingabe'!$K$7:$K$126,"Wirksam")</f>
        <v/>
      </c>
      <c r="O106" s="13">
        <f>SUM(L106:N106)</f>
        <v/>
      </c>
    </row>
    <row r="107" ht="21" customHeight="1">
      <c r="C107" s="12" t="inlineStr">
        <is>
          <t>P4102307444</t>
        </is>
      </c>
      <c r="D107" s="12" t="inlineStr">
        <is>
          <t>BASF  N 416-O 405</t>
        </is>
      </c>
      <c r="E107" s="12" t="inlineStr">
        <is>
          <t>Süd-West</t>
        </is>
      </c>
      <c r="F107" s="13" t="n">
        <v>119850.06</v>
      </c>
      <c r="G107" s="13" t="n">
        <v>-228386.29</v>
      </c>
      <c r="H107" s="13" t="n">
        <v>0</v>
      </c>
      <c r="I107" s="13" t="n">
        <v>566000</v>
      </c>
      <c r="J107" s="13" t="n">
        <v>-549020</v>
      </c>
      <c r="K107" s="13" t="n">
        <v>0</v>
      </c>
      <c r="L107" s="13">
        <f>F107+I107+SUMIFS('[FC Eingabe.xlsx]FC Eingabe'!$G$7:$G$126,'[FC Eingabe.xlsx]FC Eingabe'!$F$7:$F$126,C107,'[FC Eingabe.xlsx]FC Eingabe'!$K$7:$K$126,"Wirksam")</f>
        <v/>
      </c>
      <c r="M107" s="13">
        <f>G107+J107-SUMIFS('[FC Eingabe.xlsx]FC Eingabe'!$I$7:$I$126,'[FC Eingabe.xlsx]FC Eingabe'!$F$7:$F$126,C107,'[FC Eingabe.xlsx]FC Eingabe'!$K$7:$K$126,"Wirksam")</f>
        <v/>
      </c>
      <c r="N107" s="13">
        <f>H107+K107+SUMIFS('[FC Eingabe.xlsx]FC Eingabe'!$H$7:$H$126,'[FC Eingabe.xlsx]FC Eingabe'!$F$7:$F$126,C107,'[FC Eingabe.xlsx]FC Eingabe'!$K$7:$K$126,"Wirksam")</f>
        <v/>
      </c>
      <c r="O107" s="13">
        <f>SUM(L107:N107)</f>
        <v/>
      </c>
    </row>
    <row r="108" ht="21" customHeight="1">
      <c r="C108" s="12" t="inlineStr">
        <is>
          <t>P4102307445</t>
        </is>
      </c>
      <c r="D108" s="12" t="inlineStr">
        <is>
          <t>BASF A 030</t>
        </is>
      </c>
      <c r="E108" s="12" t="inlineStr">
        <is>
          <t>Süd-West</t>
        </is>
      </c>
      <c r="F108" s="13" t="n">
        <v>0</v>
      </c>
      <c r="G108" s="13" t="n">
        <v>0</v>
      </c>
      <c r="H108" s="13" t="n">
        <v>0</v>
      </c>
      <c r="I108" s="13" t="n">
        <v>68000</v>
      </c>
      <c r="J108" s="13" t="n">
        <v>-41600</v>
      </c>
      <c r="K108" s="13" t="n">
        <v>0</v>
      </c>
      <c r="L108" s="13">
        <f>F108+I108+SUMIFS('[FC Eingabe.xlsx]FC Eingabe'!$G$7:$G$126,'[FC Eingabe.xlsx]FC Eingabe'!$F$7:$F$126,C108,'[FC Eingabe.xlsx]FC Eingabe'!$K$7:$K$126,"Wirksam")</f>
        <v/>
      </c>
      <c r="M108" s="13">
        <f>G108+J108-SUMIFS('[FC Eingabe.xlsx]FC Eingabe'!$I$7:$I$126,'[FC Eingabe.xlsx]FC Eingabe'!$F$7:$F$126,C108,'[FC Eingabe.xlsx]FC Eingabe'!$K$7:$K$126,"Wirksam")</f>
        <v/>
      </c>
      <c r="N108" s="13">
        <f>H108+K108+SUMIFS('[FC Eingabe.xlsx]FC Eingabe'!$H$7:$H$126,'[FC Eingabe.xlsx]FC Eingabe'!$F$7:$F$126,C108,'[FC Eingabe.xlsx]FC Eingabe'!$K$7:$K$126,"Wirksam")</f>
        <v/>
      </c>
      <c r="O108" s="13">
        <f>SUM(L108:N108)</f>
        <v/>
      </c>
    </row>
    <row r="109" ht="21" customHeight="1">
      <c r="C109" s="12" t="inlineStr">
        <is>
          <t>P4102307446</t>
        </is>
      </c>
      <c r="D109" s="12" t="inlineStr">
        <is>
          <t>Schwimmhalle Leingarten</t>
        </is>
      </c>
      <c r="E109" s="12" t="inlineStr">
        <is>
          <t>Süd-West</t>
        </is>
      </c>
      <c r="F109" s="13" t="n">
        <v>0</v>
      </c>
      <c r="G109" s="13" t="n">
        <v>0</v>
      </c>
      <c r="H109" s="13" t="n">
        <v>0</v>
      </c>
      <c r="I109" s="13" t="n">
        <v>45000</v>
      </c>
      <c r="J109" s="13" t="n">
        <v>-34000</v>
      </c>
      <c r="K109" s="13" t="n">
        <v>0</v>
      </c>
      <c r="L109" s="13">
        <f>F109+I109+SUMIFS('[FC Eingabe.xlsx]FC Eingabe'!$G$7:$G$126,'[FC Eingabe.xlsx]FC Eingabe'!$F$7:$F$126,C109,'[FC Eingabe.xlsx]FC Eingabe'!$K$7:$K$126,"Wirksam")</f>
        <v/>
      </c>
      <c r="M109" s="13">
        <f>G109+J109-SUMIFS('[FC Eingabe.xlsx]FC Eingabe'!$I$7:$I$126,'[FC Eingabe.xlsx]FC Eingabe'!$F$7:$F$126,C109,'[FC Eingabe.xlsx]FC Eingabe'!$K$7:$K$126,"Wirksam")</f>
        <v/>
      </c>
      <c r="N109" s="13">
        <f>H109+K109+SUMIFS('[FC Eingabe.xlsx]FC Eingabe'!$H$7:$H$126,'[FC Eingabe.xlsx]FC Eingabe'!$F$7:$F$126,C109,'[FC Eingabe.xlsx]FC Eingabe'!$K$7:$K$126,"Wirksam")</f>
        <v/>
      </c>
      <c r="O109" s="13">
        <f>SUM(L109:N109)</f>
        <v/>
      </c>
    </row>
    <row r="110" ht="21" customHeight="1">
      <c r="C110" s="12" t="inlineStr">
        <is>
          <t>P4102307447</t>
        </is>
      </c>
      <c r="D110" s="12" t="inlineStr">
        <is>
          <t>BASF C 317</t>
        </is>
      </c>
      <c r="E110" s="12" t="inlineStr">
        <is>
          <t>Süd-West</t>
        </is>
      </c>
      <c r="F110" s="13" t="n">
        <v>60444.44</v>
      </c>
      <c r="G110" s="13" t="n">
        <v>-46837.81</v>
      </c>
      <c r="H110" s="13" t="n">
        <v>0</v>
      </c>
      <c r="I110" s="13" t="n">
        <v>0</v>
      </c>
      <c r="J110" s="13" t="n">
        <v>0</v>
      </c>
      <c r="K110" s="13" t="n">
        <v>0</v>
      </c>
      <c r="L110" s="13">
        <f>F110+I110+SUMIFS('[FC Eingabe.xlsx]FC Eingabe'!$G$7:$G$126,'[FC Eingabe.xlsx]FC Eingabe'!$F$7:$F$126,C110,'[FC Eingabe.xlsx]FC Eingabe'!$K$7:$K$126,"Wirksam")</f>
        <v/>
      </c>
      <c r="M110" s="13">
        <f>G110+J110-SUMIFS('[FC Eingabe.xlsx]FC Eingabe'!$I$7:$I$126,'[FC Eingabe.xlsx]FC Eingabe'!$F$7:$F$126,C110,'[FC Eingabe.xlsx]FC Eingabe'!$K$7:$K$126,"Wirksam")</f>
        <v/>
      </c>
      <c r="N110" s="13">
        <f>H110+K110+SUMIFS('[FC Eingabe.xlsx]FC Eingabe'!$H$7:$H$126,'[FC Eingabe.xlsx]FC Eingabe'!$F$7:$F$126,C110,'[FC Eingabe.xlsx]FC Eingabe'!$K$7:$K$126,"Wirksam")</f>
        <v/>
      </c>
      <c r="O110" s="13">
        <f>SUM(L110:N110)</f>
        <v/>
      </c>
    </row>
    <row r="111" ht="21" customHeight="1">
      <c r="C111" s="12" t="inlineStr">
        <is>
          <t>P4102307448</t>
        </is>
      </c>
      <c r="D111" s="12" t="inlineStr">
        <is>
          <t>Kopf SynGas - Klärschlammvergasung</t>
        </is>
      </c>
      <c r="E111" s="12" t="inlineStr">
        <is>
          <t>Süd-West</t>
        </is>
      </c>
      <c r="F111" s="13" t="n">
        <v>9829.799999999999</v>
      </c>
      <c r="G111" s="13" t="n">
        <v>-9695.459999999999</v>
      </c>
      <c r="H111" s="13" t="n">
        <v>0</v>
      </c>
      <c r="I111" s="13" t="n">
        <v>90000</v>
      </c>
      <c r="J111" s="13" t="n">
        <v>-84000</v>
      </c>
      <c r="K111" s="13" t="n">
        <v>0</v>
      </c>
      <c r="L111" s="13">
        <f>F111+I111+SUMIFS('[FC Eingabe.xlsx]FC Eingabe'!$G$7:$G$126,'[FC Eingabe.xlsx]FC Eingabe'!$F$7:$F$126,C111,'[FC Eingabe.xlsx]FC Eingabe'!$K$7:$K$126,"Wirksam")</f>
        <v/>
      </c>
      <c r="M111" s="13">
        <f>G111+J111-SUMIFS('[FC Eingabe.xlsx]FC Eingabe'!$I$7:$I$126,'[FC Eingabe.xlsx]FC Eingabe'!$F$7:$F$126,C111,'[FC Eingabe.xlsx]FC Eingabe'!$K$7:$K$126,"Wirksam")</f>
        <v/>
      </c>
      <c r="N111" s="13">
        <f>H111+K111+SUMIFS('[FC Eingabe.xlsx]FC Eingabe'!$H$7:$H$126,'[FC Eingabe.xlsx]FC Eingabe'!$F$7:$F$126,C111,'[FC Eingabe.xlsx]FC Eingabe'!$K$7:$K$126,"Wirksam")</f>
        <v/>
      </c>
      <c r="O111" s="13">
        <f>SUM(L111:N111)</f>
        <v/>
      </c>
    </row>
    <row r="112" ht="21" customHeight="1">
      <c r="C112" s="12" t="inlineStr">
        <is>
          <t>P4102307449</t>
        </is>
      </c>
      <c r="D112" s="12" t="inlineStr">
        <is>
          <t>BASF S 607</t>
        </is>
      </c>
      <c r="E112" s="12" t="inlineStr">
        <is>
          <t>Süd-West</t>
        </is>
      </c>
      <c r="F112" s="13" t="n">
        <v>43996.66</v>
      </c>
      <c r="G112" s="13" t="n">
        <v>-38919.52</v>
      </c>
      <c r="H112" s="13" t="n">
        <v>0</v>
      </c>
      <c r="I112" s="13" t="n">
        <v>298000</v>
      </c>
      <c r="J112" s="13" t="n">
        <v>-240000</v>
      </c>
      <c r="K112" s="13" t="n">
        <v>0</v>
      </c>
      <c r="L112" s="13">
        <f>F112+I112+SUMIFS('[FC Eingabe.xlsx]FC Eingabe'!$G$7:$G$126,'[FC Eingabe.xlsx]FC Eingabe'!$F$7:$F$126,C112,'[FC Eingabe.xlsx]FC Eingabe'!$K$7:$K$126,"Wirksam")</f>
        <v/>
      </c>
      <c r="M112" s="13">
        <f>G112+J112-SUMIFS('[FC Eingabe.xlsx]FC Eingabe'!$I$7:$I$126,'[FC Eingabe.xlsx]FC Eingabe'!$F$7:$F$126,C112,'[FC Eingabe.xlsx]FC Eingabe'!$K$7:$K$126,"Wirksam")</f>
        <v/>
      </c>
      <c r="N112" s="13">
        <f>H112+K112+SUMIFS('[FC Eingabe.xlsx]FC Eingabe'!$H$7:$H$126,'[FC Eingabe.xlsx]FC Eingabe'!$F$7:$F$126,C112,'[FC Eingabe.xlsx]FC Eingabe'!$K$7:$K$126,"Wirksam")</f>
        <v/>
      </c>
      <c r="O112" s="13">
        <f>SUM(L112:N112)</f>
        <v/>
      </c>
    </row>
    <row r="113" ht="21" customHeight="1">
      <c r="C113" s="12" t="inlineStr">
        <is>
          <t>P4102307450</t>
        </is>
      </c>
      <c r="D113" s="12" t="inlineStr">
        <is>
          <t>Z500-4 Helion</t>
        </is>
      </c>
      <c r="E113" s="12" t="inlineStr">
        <is>
          <t>Süd-West</t>
        </is>
      </c>
      <c r="F113" s="13" t="n">
        <v>132500</v>
      </c>
      <c r="G113" s="13" t="n">
        <v>-116621.75</v>
      </c>
      <c r="H113" s="13" t="n">
        <v>0</v>
      </c>
      <c r="I113" s="13" t="n">
        <v>120000</v>
      </c>
      <c r="J113" s="13" t="n">
        <v>-120000</v>
      </c>
      <c r="K113" s="13" t="n">
        <v>0</v>
      </c>
      <c r="L113" s="13">
        <f>F113+I113+SUMIFS('[FC Eingabe.xlsx]FC Eingabe'!$G$7:$G$126,'[FC Eingabe.xlsx]FC Eingabe'!$F$7:$F$126,C113,'[FC Eingabe.xlsx]FC Eingabe'!$K$7:$K$126,"Wirksam")</f>
        <v/>
      </c>
      <c r="M113" s="13">
        <f>G113+J113-SUMIFS('[FC Eingabe.xlsx]FC Eingabe'!$I$7:$I$126,'[FC Eingabe.xlsx]FC Eingabe'!$F$7:$F$126,C113,'[FC Eingabe.xlsx]FC Eingabe'!$K$7:$K$126,"Wirksam")</f>
        <v/>
      </c>
      <c r="N113" s="13">
        <f>H113+K113+SUMIFS('[FC Eingabe.xlsx]FC Eingabe'!$H$7:$H$126,'[FC Eingabe.xlsx]FC Eingabe'!$F$7:$F$126,C113,'[FC Eingabe.xlsx]FC Eingabe'!$K$7:$K$126,"Wirksam")</f>
        <v/>
      </c>
      <c r="O113" s="13">
        <f>SUM(L113:N113)</f>
        <v/>
      </c>
    </row>
    <row r="114" ht="21" customHeight="1">
      <c r="C114" s="12" t="inlineStr">
        <is>
          <t>P4102309044</t>
        </is>
      </c>
      <c r="D114" s="12" t="inlineStr">
        <is>
          <t>RB BASF 2022</t>
        </is>
      </c>
      <c r="E114" s="12" t="inlineStr">
        <is>
          <t>Süd-West</t>
        </is>
      </c>
      <c r="F114" s="13" t="n">
        <v>0</v>
      </c>
      <c r="G114" s="13" t="n">
        <v>0</v>
      </c>
      <c r="H114" s="13" t="n">
        <v>-6447.83</v>
      </c>
      <c r="I114" s="13" t="n">
        <v>0</v>
      </c>
      <c r="J114" s="13" t="n">
        <v>0</v>
      </c>
      <c r="K114" s="13" t="n">
        <v>0</v>
      </c>
      <c r="L114" s="13">
        <f>F114+I114+SUMIFS('[FC Eingabe.xlsx]FC Eingabe'!$G$7:$G$126,'[FC Eingabe.xlsx]FC Eingabe'!$F$7:$F$126,C114,'[FC Eingabe.xlsx]FC Eingabe'!$K$7:$K$126,"Wirksam")</f>
        <v/>
      </c>
      <c r="M114" s="13">
        <f>G114+J114-SUMIFS('[FC Eingabe.xlsx]FC Eingabe'!$I$7:$I$126,'[FC Eingabe.xlsx]FC Eingabe'!$F$7:$F$126,C114,'[FC Eingabe.xlsx]FC Eingabe'!$K$7:$K$126,"Wirksam")</f>
        <v/>
      </c>
      <c r="N114" s="13">
        <f>H114+K114+SUMIFS('[FC Eingabe.xlsx]FC Eingabe'!$H$7:$H$126,'[FC Eingabe.xlsx]FC Eingabe'!$F$7:$F$126,C114,'[FC Eingabe.xlsx]FC Eingabe'!$K$7:$K$126,"Wirksam")</f>
        <v/>
      </c>
      <c r="O114" s="13">
        <f>SUM(L114:N114)</f>
        <v/>
      </c>
    </row>
    <row r="115" ht="21" customHeight="1">
      <c r="C115" s="12" t="inlineStr">
        <is>
          <t>P4102309045</t>
        </is>
      </c>
      <c r="D115" s="12" t="inlineStr">
        <is>
          <t>BASF Sonstige Kleinmaßnahmen</t>
        </is>
      </c>
      <c r="E115" s="12" t="inlineStr">
        <is>
          <t>Süd-West</t>
        </is>
      </c>
      <c r="F115" s="13" t="n">
        <v>133273.51</v>
      </c>
      <c r="G115" s="13" t="n">
        <v>-96408.7</v>
      </c>
      <c r="H115" s="13" t="n">
        <v>0</v>
      </c>
      <c r="I115" s="13" t="n">
        <v>0</v>
      </c>
      <c r="J115" s="13" t="n">
        <v>0</v>
      </c>
      <c r="K115" s="13" t="n">
        <v>0</v>
      </c>
      <c r="L115" s="13">
        <f>F115+I115+SUMIFS('[FC Eingabe.xlsx]FC Eingabe'!$G$7:$G$126,'[FC Eingabe.xlsx]FC Eingabe'!$F$7:$F$126,C115,'[FC Eingabe.xlsx]FC Eingabe'!$K$7:$K$126,"Wirksam")</f>
        <v/>
      </c>
      <c r="M115" s="13">
        <f>G115+J115-SUMIFS('[FC Eingabe.xlsx]FC Eingabe'!$I$7:$I$126,'[FC Eingabe.xlsx]FC Eingabe'!$F$7:$F$126,C115,'[FC Eingabe.xlsx]FC Eingabe'!$K$7:$K$126,"Wirksam")</f>
        <v/>
      </c>
      <c r="N115" s="13">
        <f>H115+K115+SUMIFS('[FC Eingabe.xlsx]FC Eingabe'!$H$7:$H$126,'[FC Eingabe.xlsx]FC Eingabe'!$F$7:$F$126,C115,'[FC Eingabe.xlsx]FC Eingabe'!$K$7:$K$126,"Wirksam")</f>
        <v/>
      </c>
      <c r="O115" s="13">
        <f>SUM(L115:N115)</f>
        <v/>
      </c>
    </row>
    <row r="116" ht="21" customHeight="1">
      <c r="C116" s="12" t="inlineStr">
        <is>
          <t>P4102309046</t>
        </is>
      </c>
      <c r="D116" s="12" t="inlineStr">
        <is>
          <t>Sonstige Kleinmaßnahmen</t>
        </is>
      </c>
      <c r="E116" s="12" t="inlineStr">
        <is>
          <t>Süd-West</t>
        </is>
      </c>
      <c r="F116" s="13" t="n">
        <v>24410.59</v>
      </c>
      <c r="G116" s="13" t="n">
        <v>-15778</v>
      </c>
      <c r="H116" s="13" t="n">
        <v>0</v>
      </c>
      <c r="I116" s="13" t="n">
        <v>0</v>
      </c>
      <c r="J116" s="13" t="n">
        <v>0</v>
      </c>
      <c r="K116" s="13" t="n">
        <v>0</v>
      </c>
      <c r="L116" s="13">
        <f>F116+I116+SUMIFS('[FC Eingabe.xlsx]FC Eingabe'!$G$7:$G$126,'[FC Eingabe.xlsx]FC Eingabe'!$F$7:$F$126,C116,'[FC Eingabe.xlsx]FC Eingabe'!$K$7:$K$126,"Wirksam")</f>
        <v/>
      </c>
      <c r="M116" s="13">
        <f>G116+J116-SUMIFS('[FC Eingabe.xlsx]FC Eingabe'!$I$7:$I$126,'[FC Eingabe.xlsx]FC Eingabe'!$F$7:$F$126,C116,'[FC Eingabe.xlsx]FC Eingabe'!$K$7:$K$126,"Wirksam")</f>
        <v/>
      </c>
      <c r="N116" s="13">
        <f>H116+K116+SUMIFS('[FC Eingabe.xlsx]FC Eingabe'!$H$7:$H$126,'[FC Eingabe.xlsx]FC Eingabe'!$F$7:$F$126,C116,'[FC Eingabe.xlsx]FC Eingabe'!$K$7:$K$126,"Wirksam")</f>
        <v/>
      </c>
      <c r="O116" s="13">
        <f>SUM(L116:N116)</f>
        <v/>
      </c>
    </row>
    <row r="117" ht="21" customHeight="1">
      <c r="C117" s="12" t="inlineStr">
        <is>
          <t>P4102602023</t>
        </is>
      </c>
      <c r="D117" s="12" t="inlineStr">
        <is>
          <t>nachlaufende Kosten</t>
        </is>
      </c>
      <c r="E117" s="12" t="inlineStr">
        <is>
          <t>Ost</t>
        </is>
      </c>
      <c r="F117" s="13" t="n">
        <v>0</v>
      </c>
      <c r="G117" s="13" t="n">
        <v>-5293.57</v>
      </c>
      <c r="H117" s="13" t="n">
        <v>0</v>
      </c>
      <c r="I117" s="13" t="n">
        <v>0</v>
      </c>
      <c r="J117" s="13" t="n">
        <v>0</v>
      </c>
      <c r="K117" s="13" t="n">
        <v>0</v>
      </c>
      <c r="L117" s="13">
        <f>F117+I117+SUMIFS('[FC Eingabe.xlsx]FC Eingabe'!$G$7:$G$126,'[FC Eingabe.xlsx]FC Eingabe'!$F$7:$F$126,C117,'[FC Eingabe.xlsx]FC Eingabe'!$K$7:$K$126,"Wirksam")</f>
        <v/>
      </c>
      <c r="M117" s="13">
        <f>G117+J117-SUMIFS('[FC Eingabe.xlsx]FC Eingabe'!$I$7:$I$126,'[FC Eingabe.xlsx]FC Eingabe'!$F$7:$F$126,C117,'[FC Eingabe.xlsx]FC Eingabe'!$K$7:$K$126,"Wirksam")</f>
        <v/>
      </c>
      <c r="N117" s="13">
        <f>H117+K117+SUMIFS('[FC Eingabe.xlsx]FC Eingabe'!$H$7:$H$126,'[FC Eingabe.xlsx]FC Eingabe'!$F$7:$F$126,C117,'[FC Eingabe.xlsx]FC Eingabe'!$K$7:$K$126,"Wirksam")</f>
        <v/>
      </c>
      <c r="O117" s="13">
        <f>SUM(L117:N117)</f>
        <v/>
      </c>
    </row>
    <row r="118" ht="21" customHeight="1">
      <c r="C118" s="12" t="inlineStr">
        <is>
          <t>P4102604612</t>
        </is>
      </c>
      <c r="D118" s="12" t="inlineStr">
        <is>
          <t>Recyclingplatz Boxberg</t>
        </is>
      </c>
      <c r="E118" s="12" t="inlineStr">
        <is>
          <t>Ost</t>
        </is>
      </c>
      <c r="F118" s="13" t="n">
        <v>1055.73</v>
      </c>
      <c r="G118" s="13" t="n">
        <v>-9771.620000000001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>
        <f>F118+I118+SUMIFS('[FC Eingabe.xlsx]FC Eingabe'!$G$7:$G$126,'[FC Eingabe.xlsx]FC Eingabe'!$F$7:$F$126,C118,'[FC Eingabe.xlsx]FC Eingabe'!$K$7:$K$126,"Wirksam")</f>
        <v/>
      </c>
      <c r="M118" s="13">
        <f>G118+J118-SUMIFS('[FC Eingabe.xlsx]FC Eingabe'!$I$7:$I$126,'[FC Eingabe.xlsx]FC Eingabe'!$F$7:$F$126,C118,'[FC Eingabe.xlsx]FC Eingabe'!$K$7:$K$126,"Wirksam")</f>
        <v/>
      </c>
      <c r="N118" s="13">
        <f>H118+K118+SUMIFS('[FC Eingabe.xlsx]FC Eingabe'!$H$7:$H$126,'[FC Eingabe.xlsx]FC Eingabe'!$F$7:$F$126,C118,'[FC Eingabe.xlsx]FC Eingabe'!$K$7:$K$126,"Wirksam")</f>
        <v/>
      </c>
      <c r="O118" s="13">
        <f>SUM(L118:N118)</f>
        <v/>
      </c>
    </row>
    <row r="119" ht="21" customHeight="1">
      <c r="C119" s="12" t="inlineStr">
        <is>
          <t>P4102607989</t>
        </is>
      </c>
      <c r="D119" s="12" t="inlineStr">
        <is>
          <t>Kleinaufträge</t>
        </is>
      </c>
      <c r="E119" s="12" t="inlineStr">
        <is>
          <t>Ost</t>
        </is>
      </c>
      <c r="F119" s="13" t="n">
        <v>113903.69</v>
      </c>
      <c r="G119" s="13" t="n">
        <v>-32842.94</v>
      </c>
      <c r="H119" s="13" t="n">
        <v>0</v>
      </c>
      <c r="I119" s="13" t="n">
        <v>0</v>
      </c>
      <c r="J119" s="13" t="n">
        <v>0</v>
      </c>
      <c r="K119" s="13" t="n">
        <v>0</v>
      </c>
      <c r="L119" s="13">
        <f>F119+I119+SUMIFS('[FC Eingabe.xlsx]FC Eingabe'!$G$7:$G$126,'[FC Eingabe.xlsx]FC Eingabe'!$F$7:$F$126,C119,'[FC Eingabe.xlsx]FC Eingabe'!$K$7:$K$126,"Wirksam")</f>
        <v/>
      </c>
      <c r="M119" s="13">
        <f>G119+J119-SUMIFS('[FC Eingabe.xlsx]FC Eingabe'!$I$7:$I$126,'[FC Eingabe.xlsx]FC Eingabe'!$F$7:$F$126,C119,'[FC Eingabe.xlsx]FC Eingabe'!$K$7:$K$126,"Wirksam")</f>
        <v/>
      </c>
      <c r="N119" s="13">
        <f>H119+K119+SUMIFS('[FC Eingabe.xlsx]FC Eingabe'!$H$7:$H$126,'[FC Eingabe.xlsx]FC Eingabe'!$F$7:$F$126,C119,'[FC Eingabe.xlsx]FC Eingabe'!$K$7:$K$126,"Wirksam")</f>
        <v/>
      </c>
      <c r="O119" s="13">
        <f>SUM(L119:N119)</f>
        <v/>
      </c>
    </row>
    <row r="120" ht="21" customHeight="1">
      <c r="C120" s="12" t="inlineStr">
        <is>
          <t>P4102608224</t>
        </is>
      </c>
      <c r="D120" s="12" t="inlineStr">
        <is>
          <t>RB Turbinen Hirschfelde</t>
        </is>
      </c>
      <c r="E120" s="12" t="inlineStr">
        <is>
          <t>Ost</t>
        </is>
      </c>
      <c r="F120" s="13" t="n">
        <v>0</v>
      </c>
      <c r="G120" s="13" t="n">
        <v>-1758.75</v>
      </c>
      <c r="H120" s="13" t="n">
        <v>1969.8</v>
      </c>
      <c r="I120" s="13" t="n">
        <v>0</v>
      </c>
      <c r="J120" s="13" t="n">
        <v>0</v>
      </c>
      <c r="K120" s="13" t="n">
        <v>0</v>
      </c>
      <c r="L120" s="13">
        <f>F120+I120+SUMIFS('[FC Eingabe.xlsx]FC Eingabe'!$G$7:$G$126,'[FC Eingabe.xlsx]FC Eingabe'!$F$7:$F$126,C120,'[FC Eingabe.xlsx]FC Eingabe'!$K$7:$K$126,"Wirksam")</f>
        <v/>
      </c>
      <c r="M120" s="13">
        <f>G120+J120-SUMIFS('[FC Eingabe.xlsx]FC Eingabe'!$I$7:$I$126,'[FC Eingabe.xlsx]FC Eingabe'!$F$7:$F$126,C120,'[FC Eingabe.xlsx]FC Eingabe'!$K$7:$K$126,"Wirksam")</f>
        <v/>
      </c>
      <c r="N120" s="13">
        <f>H120+K120+SUMIFS('[FC Eingabe.xlsx]FC Eingabe'!$H$7:$H$126,'[FC Eingabe.xlsx]FC Eingabe'!$F$7:$F$126,C120,'[FC Eingabe.xlsx]FC Eingabe'!$K$7:$K$126,"Wirksam")</f>
        <v/>
      </c>
      <c r="O120" s="13">
        <f>SUM(L120:N120)</f>
        <v/>
      </c>
    </row>
    <row r="121" ht="21" customHeight="1">
      <c r="C121" s="12" t="inlineStr">
        <is>
          <t>P4102608226</t>
        </is>
      </c>
      <c r="D121" s="12" t="inlineStr">
        <is>
          <t>RB Kohlebunker Lübbenau</t>
        </is>
      </c>
      <c r="E121" s="12" t="inlineStr">
        <is>
          <t>Ost</t>
        </is>
      </c>
      <c r="F121" s="13" t="n">
        <v>0</v>
      </c>
      <c r="G121" s="13" t="n">
        <v>-400.43</v>
      </c>
      <c r="H121" s="13" t="n">
        <v>0</v>
      </c>
      <c r="I121" s="13" t="n">
        <v>57000</v>
      </c>
      <c r="J121" s="13" t="n">
        <v>-45000</v>
      </c>
      <c r="K121" s="13" t="n">
        <v>0</v>
      </c>
      <c r="L121" s="13">
        <f>F121+I121+SUMIFS('[FC Eingabe.xlsx]FC Eingabe'!$G$7:$G$126,'[FC Eingabe.xlsx]FC Eingabe'!$F$7:$F$126,C121,'[FC Eingabe.xlsx]FC Eingabe'!$K$7:$K$126,"Wirksam")</f>
        <v/>
      </c>
      <c r="M121" s="13">
        <f>G121+J121-SUMIFS('[FC Eingabe.xlsx]FC Eingabe'!$I$7:$I$126,'[FC Eingabe.xlsx]FC Eingabe'!$F$7:$F$126,C121,'[FC Eingabe.xlsx]FC Eingabe'!$K$7:$K$126,"Wirksam")</f>
        <v/>
      </c>
      <c r="N121" s="13">
        <f>H121+K121+SUMIFS('[FC Eingabe.xlsx]FC Eingabe'!$H$7:$H$126,'[FC Eingabe.xlsx]FC Eingabe'!$F$7:$F$126,C121,'[FC Eingabe.xlsx]FC Eingabe'!$K$7:$K$126,"Wirksam")</f>
        <v/>
      </c>
      <c r="O121" s="13">
        <f>SUM(L121:N121)</f>
        <v/>
      </c>
    </row>
    <row r="122" ht="21" customHeight="1">
      <c r="C122" s="12" t="inlineStr">
        <is>
          <t>P4102608232</t>
        </is>
      </c>
      <c r="D122" s="12" t="inlineStr">
        <is>
          <t>Seilbaggerarbeiten Platz der Republik</t>
        </is>
      </c>
      <c r="E122" s="12" t="inlineStr">
        <is>
          <t>Ost</t>
        </is>
      </c>
      <c r="F122" s="13" t="n">
        <v>6059.53</v>
      </c>
      <c r="G122" s="13" t="n">
        <v>0</v>
      </c>
      <c r="H122" s="13" t="n">
        <v>0</v>
      </c>
      <c r="I122" s="13" t="n">
        <v>0</v>
      </c>
      <c r="J122" s="13" t="n">
        <v>0</v>
      </c>
      <c r="K122" s="13" t="n">
        <v>0</v>
      </c>
      <c r="L122" s="13">
        <f>F122+I122+SUMIFS('[FC Eingabe.xlsx]FC Eingabe'!$G$7:$G$126,'[FC Eingabe.xlsx]FC Eingabe'!$F$7:$F$126,C122,'[FC Eingabe.xlsx]FC Eingabe'!$K$7:$K$126,"Wirksam")</f>
        <v/>
      </c>
      <c r="M122" s="13">
        <f>G122+J122-SUMIFS('[FC Eingabe.xlsx]FC Eingabe'!$I$7:$I$126,'[FC Eingabe.xlsx]FC Eingabe'!$F$7:$F$126,C122,'[FC Eingabe.xlsx]FC Eingabe'!$K$7:$K$126,"Wirksam")</f>
        <v/>
      </c>
      <c r="N122" s="13">
        <f>H122+K122+SUMIFS('[FC Eingabe.xlsx]FC Eingabe'!$H$7:$H$126,'[FC Eingabe.xlsx]FC Eingabe'!$F$7:$F$126,C122,'[FC Eingabe.xlsx]FC Eingabe'!$K$7:$K$126,"Wirksam")</f>
        <v/>
      </c>
      <c r="O122" s="13">
        <f>SUM(L122:N122)</f>
        <v/>
      </c>
    </row>
    <row r="123" ht="21" customHeight="1">
      <c r="C123" s="12" t="inlineStr">
        <is>
          <t>P4102608246</t>
        </is>
      </c>
      <c r="D123" s="12" t="inlineStr">
        <is>
          <t>RB Kohlebunker/Brücke Lübbenau</t>
        </is>
      </c>
      <c r="E123" s="12" t="inlineStr">
        <is>
          <t>Ost</t>
        </is>
      </c>
      <c r="F123" s="13" t="n">
        <v>71914.57000000001</v>
      </c>
      <c r="G123" s="13" t="n">
        <v>-472333.29</v>
      </c>
      <c r="H123" s="13" t="n">
        <v>854549.58</v>
      </c>
      <c r="I123" s="13" t="n">
        <v>760000</v>
      </c>
      <c r="J123" s="13" t="n">
        <v>-195000</v>
      </c>
      <c r="K123" s="13" t="n">
        <v>0</v>
      </c>
      <c r="L123" s="13">
        <f>F123+I123+SUMIFS('[FC Eingabe.xlsx]FC Eingabe'!$G$7:$G$126,'[FC Eingabe.xlsx]FC Eingabe'!$F$7:$F$126,C123,'[FC Eingabe.xlsx]FC Eingabe'!$K$7:$K$126,"Wirksam")</f>
        <v/>
      </c>
      <c r="M123" s="13">
        <f>G123+J123-SUMIFS('[FC Eingabe.xlsx]FC Eingabe'!$I$7:$I$126,'[FC Eingabe.xlsx]FC Eingabe'!$F$7:$F$126,C123,'[FC Eingabe.xlsx]FC Eingabe'!$K$7:$K$126,"Wirksam")</f>
        <v/>
      </c>
      <c r="N123" s="13">
        <f>H123+K123+SUMIFS('[FC Eingabe.xlsx]FC Eingabe'!$H$7:$H$126,'[FC Eingabe.xlsx]FC Eingabe'!$F$7:$F$126,C123,'[FC Eingabe.xlsx]FC Eingabe'!$K$7:$K$126,"Wirksam")</f>
        <v/>
      </c>
      <c r="O123" s="13">
        <f>SUM(L123:N123)</f>
        <v/>
      </c>
    </row>
    <row r="124" ht="21" customHeight="1">
      <c r="C124" s="12" t="inlineStr">
        <is>
          <t>P4102608258</t>
        </is>
      </c>
      <c r="D124" s="12" t="inlineStr">
        <is>
          <t>BTU Dachsanierung Halle 3b</t>
        </is>
      </c>
      <c r="E124" s="12" t="inlineStr">
        <is>
          <t>Ost</t>
        </is>
      </c>
      <c r="F124" s="13" t="n">
        <v>125327.66</v>
      </c>
      <c r="G124" s="13" t="n">
        <v>0</v>
      </c>
      <c r="H124" s="13" t="n">
        <v>-44321.39</v>
      </c>
      <c r="I124" s="13" t="n">
        <v>0</v>
      </c>
      <c r="J124" s="13" t="n">
        <v>0</v>
      </c>
      <c r="K124" s="13" t="n">
        <v>0</v>
      </c>
      <c r="L124" s="13">
        <f>F124+I124+SUMIFS('[FC Eingabe.xlsx]FC Eingabe'!$G$7:$G$126,'[FC Eingabe.xlsx]FC Eingabe'!$F$7:$F$126,C124,'[FC Eingabe.xlsx]FC Eingabe'!$K$7:$K$126,"Wirksam")</f>
        <v/>
      </c>
      <c r="M124" s="13">
        <f>G124+J124-SUMIFS('[FC Eingabe.xlsx]FC Eingabe'!$I$7:$I$126,'[FC Eingabe.xlsx]FC Eingabe'!$F$7:$F$126,C124,'[FC Eingabe.xlsx]FC Eingabe'!$K$7:$K$126,"Wirksam")</f>
        <v/>
      </c>
      <c r="N124" s="13">
        <f>H124+K124+SUMIFS('[FC Eingabe.xlsx]FC Eingabe'!$H$7:$H$126,'[FC Eingabe.xlsx]FC Eingabe'!$F$7:$F$126,C124,'[FC Eingabe.xlsx]FC Eingabe'!$K$7:$K$126,"Wirksam")</f>
        <v/>
      </c>
      <c r="O124" s="13">
        <f>SUM(L124:N124)</f>
        <v/>
      </c>
    </row>
    <row r="125" ht="21" customHeight="1">
      <c r="C125" s="12" t="inlineStr">
        <is>
          <t>P4102608260</t>
        </is>
      </c>
      <c r="D125" s="12" t="inlineStr">
        <is>
          <t>RB Floorflexplatten Berlin</t>
        </is>
      </c>
      <c r="E125" s="12" t="inlineStr">
        <is>
          <t>Ost</t>
        </is>
      </c>
      <c r="F125" s="13" t="n">
        <v>36649.67</v>
      </c>
      <c r="G125" s="13" t="n">
        <v>-27469.51</v>
      </c>
      <c r="H125" s="13" t="n">
        <v>0</v>
      </c>
      <c r="I125" s="13" t="n">
        <v>0</v>
      </c>
      <c r="J125" s="13" t="n">
        <v>0</v>
      </c>
      <c r="K125" s="13" t="n">
        <v>0</v>
      </c>
      <c r="L125" s="13">
        <f>F125+I125+SUMIFS('[FC Eingabe.xlsx]FC Eingabe'!$G$7:$G$126,'[FC Eingabe.xlsx]FC Eingabe'!$F$7:$F$126,C125,'[FC Eingabe.xlsx]FC Eingabe'!$K$7:$K$126,"Wirksam")</f>
        <v/>
      </c>
      <c r="M125" s="13">
        <f>G125+J125-SUMIFS('[FC Eingabe.xlsx]FC Eingabe'!$I$7:$I$126,'[FC Eingabe.xlsx]FC Eingabe'!$F$7:$F$126,C125,'[FC Eingabe.xlsx]FC Eingabe'!$K$7:$K$126,"Wirksam")</f>
        <v/>
      </c>
      <c r="N125" s="13">
        <f>H125+K125+SUMIFS('[FC Eingabe.xlsx]FC Eingabe'!$H$7:$H$126,'[FC Eingabe.xlsx]FC Eingabe'!$F$7:$F$126,C125,'[FC Eingabe.xlsx]FC Eingabe'!$K$7:$K$126,"Wirksam")</f>
        <v/>
      </c>
      <c r="O125" s="13">
        <f>SUM(L125:N125)</f>
        <v/>
      </c>
    </row>
    <row r="126" ht="21" customHeight="1">
      <c r="C126" s="12" t="inlineStr">
        <is>
          <t>P4102608263</t>
        </is>
      </c>
      <c r="D126" s="12" t="inlineStr">
        <is>
          <t>RB Föderbrücke AFB 60</t>
        </is>
      </c>
      <c r="E126" s="12" t="inlineStr">
        <is>
          <t>Ost</t>
        </is>
      </c>
      <c r="F126" s="13" t="n">
        <v>4111658.58</v>
      </c>
      <c r="G126" s="13" t="n">
        <v>-2410704.88</v>
      </c>
      <c r="H126" s="13" t="n">
        <v>-870769.6</v>
      </c>
      <c r="I126" s="13" t="n">
        <v>390400</v>
      </c>
      <c r="J126" s="13" t="n">
        <v>-325000</v>
      </c>
      <c r="K126" s="13" t="n">
        <v>0</v>
      </c>
      <c r="L126" s="13">
        <f>F126+I126+SUMIFS('[FC Eingabe.xlsx]FC Eingabe'!$G$7:$G$126,'[FC Eingabe.xlsx]FC Eingabe'!$F$7:$F$126,C126,'[FC Eingabe.xlsx]FC Eingabe'!$K$7:$K$126,"Wirksam")</f>
        <v/>
      </c>
      <c r="M126" s="13">
        <f>G126+J126-SUMIFS('[FC Eingabe.xlsx]FC Eingabe'!$I$7:$I$126,'[FC Eingabe.xlsx]FC Eingabe'!$F$7:$F$126,C126,'[FC Eingabe.xlsx]FC Eingabe'!$K$7:$K$126,"Wirksam")</f>
        <v/>
      </c>
      <c r="N126" s="13">
        <f>H126+K126+SUMIFS('[FC Eingabe.xlsx]FC Eingabe'!$H$7:$H$126,'[FC Eingabe.xlsx]FC Eingabe'!$F$7:$F$126,C126,'[FC Eingabe.xlsx]FC Eingabe'!$K$7:$K$126,"Wirksam")</f>
        <v/>
      </c>
      <c r="O126" s="13">
        <f>SUM(L126:N126)</f>
        <v/>
      </c>
    </row>
    <row r="127" ht="21" customHeight="1">
      <c r="C127" s="12" t="inlineStr">
        <is>
          <t>P4102608264</t>
        </is>
      </c>
      <c r="D127" s="12" t="inlineStr">
        <is>
          <t>Mastrückbau Mainflingen</t>
        </is>
      </c>
      <c r="E127" s="12" t="inlineStr">
        <is>
          <t>Ost</t>
        </is>
      </c>
      <c r="F127" s="13" t="n">
        <v>0</v>
      </c>
      <c r="G127" s="13" t="n">
        <v>-583.34</v>
      </c>
      <c r="H127" s="13" t="n">
        <v>0</v>
      </c>
      <c r="I127" s="13" t="n">
        <v>0</v>
      </c>
      <c r="J127" s="13" t="n">
        <v>0</v>
      </c>
      <c r="K127" s="13" t="n">
        <v>0</v>
      </c>
      <c r="L127" s="13">
        <f>F127+I127+SUMIFS('[FC Eingabe.xlsx]FC Eingabe'!$G$7:$G$126,'[FC Eingabe.xlsx]FC Eingabe'!$F$7:$F$126,C127,'[FC Eingabe.xlsx]FC Eingabe'!$K$7:$K$126,"Wirksam")</f>
        <v/>
      </c>
      <c r="M127" s="13">
        <f>G127+J127-SUMIFS('[FC Eingabe.xlsx]FC Eingabe'!$I$7:$I$126,'[FC Eingabe.xlsx]FC Eingabe'!$F$7:$F$126,C127,'[FC Eingabe.xlsx]FC Eingabe'!$K$7:$K$126,"Wirksam")</f>
        <v/>
      </c>
      <c r="N127" s="13">
        <f>H127+K127+SUMIFS('[FC Eingabe.xlsx]FC Eingabe'!$H$7:$H$126,'[FC Eingabe.xlsx]FC Eingabe'!$F$7:$F$126,C127,'[FC Eingabe.xlsx]FC Eingabe'!$K$7:$K$126,"Wirksam")</f>
        <v/>
      </c>
      <c r="O127" s="13">
        <f>SUM(L127:N127)</f>
        <v/>
      </c>
    </row>
    <row r="128" ht="21" customHeight="1">
      <c r="C128" s="12" t="inlineStr">
        <is>
          <t>P4102608265</t>
        </is>
      </c>
      <c r="D128" s="12" t="inlineStr">
        <is>
          <t>RB Gebäude Grüneberg</t>
        </is>
      </c>
      <c r="E128" s="12" t="inlineStr">
        <is>
          <t>Ost</t>
        </is>
      </c>
      <c r="F128" s="13" t="n">
        <v>0</v>
      </c>
      <c r="G128" s="13" t="n">
        <v>-3096.72</v>
      </c>
      <c r="H128" s="13" t="n">
        <v>0</v>
      </c>
      <c r="I128" s="13" t="n">
        <v>0</v>
      </c>
      <c r="J128" s="13" t="n">
        <v>0</v>
      </c>
      <c r="K128" s="13" t="n">
        <v>0</v>
      </c>
      <c r="L128" s="13">
        <f>F128+I128+SUMIFS('[FC Eingabe.xlsx]FC Eingabe'!$G$7:$G$126,'[FC Eingabe.xlsx]FC Eingabe'!$F$7:$F$126,C128,'[FC Eingabe.xlsx]FC Eingabe'!$K$7:$K$126,"Wirksam")</f>
        <v/>
      </c>
      <c r="M128" s="13">
        <f>G128+J128-SUMIFS('[FC Eingabe.xlsx]FC Eingabe'!$I$7:$I$126,'[FC Eingabe.xlsx]FC Eingabe'!$F$7:$F$126,C128,'[FC Eingabe.xlsx]FC Eingabe'!$K$7:$K$126,"Wirksam")</f>
        <v/>
      </c>
      <c r="N128" s="13">
        <f>H128+K128+SUMIFS('[FC Eingabe.xlsx]FC Eingabe'!$H$7:$H$126,'[FC Eingabe.xlsx]FC Eingabe'!$F$7:$F$126,C128,'[FC Eingabe.xlsx]FC Eingabe'!$K$7:$K$126,"Wirksam")</f>
        <v/>
      </c>
      <c r="O128" s="13">
        <f>SUM(L128:N128)</f>
        <v/>
      </c>
    </row>
    <row r="129" ht="21" customHeight="1">
      <c r="C129" s="12" t="inlineStr">
        <is>
          <t>P4102608266</t>
        </is>
      </c>
      <c r="D129" s="12" t="inlineStr">
        <is>
          <t>RB Kurmark- Kaserne Storkow</t>
        </is>
      </c>
      <c r="E129" s="12" t="inlineStr">
        <is>
          <t>Ost</t>
        </is>
      </c>
      <c r="F129" s="13" t="n">
        <v>-591.8099999999999</v>
      </c>
      <c r="G129" s="13" t="n">
        <v>-279.03</v>
      </c>
      <c r="H129" s="13" t="n">
        <v>0</v>
      </c>
      <c r="I129" s="13" t="n">
        <v>0</v>
      </c>
      <c r="J129" s="13" t="n">
        <v>0</v>
      </c>
      <c r="K129" s="13" t="n">
        <v>0</v>
      </c>
      <c r="L129" s="13">
        <f>F129+I129+SUMIFS('[FC Eingabe.xlsx]FC Eingabe'!$G$7:$G$126,'[FC Eingabe.xlsx]FC Eingabe'!$F$7:$F$126,C129,'[FC Eingabe.xlsx]FC Eingabe'!$K$7:$K$126,"Wirksam")</f>
        <v/>
      </c>
      <c r="M129" s="13">
        <f>G129+J129-SUMIFS('[FC Eingabe.xlsx]FC Eingabe'!$I$7:$I$126,'[FC Eingabe.xlsx]FC Eingabe'!$F$7:$F$126,C129,'[FC Eingabe.xlsx]FC Eingabe'!$K$7:$K$126,"Wirksam")</f>
        <v/>
      </c>
      <c r="N129" s="13">
        <f>H129+K129+SUMIFS('[FC Eingabe.xlsx]FC Eingabe'!$H$7:$H$126,'[FC Eingabe.xlsx]FC Eingabe'!$F$7:$F$126,C129,'[FC Eingabe.xlsx]FC Eingabe'!$K$7:$K$126,"Wirksam")</f>
        <v/>
      </c>
      <c r="O129" s="13">
        <f>SUM(L129:N129)</f>
        <v/>
      </c>
    </row>
    <row r="130" ht="21" customHeight="1">
      <c r="C130" s="12" t="inlineStr">
        <is>
          <t>P4102608267</t>
        </is>
      </c>
      <c r="D130" s="12" t="inlineStr">
        <is>
          <t>Sprengarbeiten FLJS</t>
        </is>
      </c>
      <c r="E130" s="12" t="inlineStr">
        <is>
          <t>Ost</t>
        </is>
      </c>
      <c r="F130" s="13" t="n">
        <v>28224.24</v>
      </c>
      <c r="G130" s="13" t="n">
        <v>-20068.44</v>
      </c>
      <c r="H130" s="13" t="n">
        <v>0</v>
      </c>
      <c r="I130" s="13" t="n">
        <v>0</v>
      </c>
      <c r="J130" s="13" t="n">
        <v>0</v>
      </c>
      <c r="K130" s="13" t="n">
        <v>0</v>
      </c>
      <c r="L130" s="13">
        <f>F130+I130+SUMIFS('[FC Eingabe.xlsx]FC Eingabe'!$G$7:$G$126,'[FC Eingabe.xlsx]FC Eingabe'!$F$7:$F$126,C130,'[FC Eingabe.xlsx]FC Eingabe'!$K$7:$K$126,"Wirksam")</f>
        <v/>
      </c>
      <c r="M130" s="13">
        <f>G130+J130-SUMIFS('[FC Eingabe.xlsx]FC Eingabe'!$I$7:$I$126,'[FC Eingabe.xlsx]FC Eingabe'!$F$7:$F$126,C130,'[FC Eingabe.xlsx]FC Eingabe'!$K$7:$K$126,"Wirksam")</f>
        <v/>
      </c>
      <c r="N130" s="13">
        <f>H130+K130+SUMIFS('[FC Eingabe.xlsx]FC Eingabe'!$H$7:$H$126,'[FC Eingabe.xlsx]FC Eingabe'!$F$7:$F$126,C130,'[FC Eingabe.xlsx]FC Eingabe'!$K$7:$K$126,"Wirksam")</f>
        <v/>
      </c>
      <c r="O130" s="13">
        <f>SUM(L130:N130)</f>
        <v/>
      </c>
    </row>
    <row r="131" ht="21" customHeight="1">
      <c r="C131" s="12" t="inlineStr">
        <is>
          <t>P4102608268</t>
        </is>
      </c>
      <c r="D131" s="12" t="inlineStr">
        <is>
          <t>Gutenbergstrasse Potsdam</t>
        </is>
      </c>
      <c r="E131" s="12" t="inlineStr">
        <is>
          <t>Ost</t>
        </is>
      </c>
      <c r="F131" s="13" t="n">
        <v>5542.71</v>
      </c>
      <c r="G131" s="13" t="n">
        <v>-556.45</v>
      </c>
      <c r="H131" s="13" t="n">
        <v>0</v>
      </c>
      <c r="I131" s="13" t="n">
        <v>0</v>
      </c>
      <c r="J131" s="13" t="n">
        <v>0</v>
      </c>
      <c r="K131" s="13" t="n">
        <v>0</v>
      </c>
      <c r="L131" s="13">
        <f>F131+I131+SUMIFS('[FC Eingabe.xlsx]FC Eingabe'!$G$7:$G$126,'[FC Eingabe.xlsx]FC Eingabe'!$F$7:$F$126,C131,'[FC Eingabe.xlsx]FC Eingabe'!$K$7:$K$126,"Wirksam")</f>
        <v/>
      </c>
      <c r="M131" s="13">
        <f>G131+J131-SUMIFS('[FC Eingabe.xlsx]FC Eingabe'!$I$7:$I$126,'[FC Eingabe.xlsx]FC Eingabe'!$F$7:$F$126,C131,'[FC Eingabe.xlsx]FC Eingabe'!$K$7:$K$126,"Wirksam")</f>
        <v/>
      </c>
      <c r="N131" s="13">
        <f>H131+K131+SUMIFS('[FC Eingabe.xlsx]FC Eingabe'!$H$7:$H$126,'[FC Eingabe.xlsx]FC Eingabe'!$F$7:$F$126,C131,'[FC Eingabe.xlsx]FC Eingabe'!$K$7:$K$126,"Wirksam")</f>
        <v/>
      </c>
      <c r="O131" s="13">
        <f>SUM(L131:N131)</f>
        <v/>
      </c>
    </row>
    <row r="132" ht="21" customHeight="1">
      <c r="C132" s="12" t="inlineStr">
        <is>
          <t>P4102608270</t>
        </is>
      </c>
      <c r="D132" s="12" t="inlineStr">
        <is>
          <t>Baggergestellung LH 956 Jänschwalde</t>
        </is>
      </c>
      <c r="E132" s="12" t="inlineStr">
        <is>
          <t>Ost</t>
        </is>
      </c>
      <c r="F132" s="13" t="n">
        <v>120358.55</v>
      </c>
      <c r="G132" s="13" t="n">
        <v>-22672.84</v>
      </c>
      <c r="H132" s="13" t="n">
        <v>0</v>
      </c>
      <c r="I132" s="13" t="n">
        <v>10000</v>
      </c>
      <c r="J132" s="13" t="n">
        <v>-8000</v>
      </c>
      <c r="K132" s="13" t="n">
        <v>0</v>
      </c>
      <c r="L132" s="13">
        <f>F132+I132+SUMIFS('[FC Eingabe.xlsx]FC Eingabe'!$G$7:$G$126,'[FC Eingabe.xlsx]FC Eingabe'!$F$7:$F$126,C132,'[FC Eingabe.xlsx]FC Eingabe'!$K$7:$K$126,"Wirksam")</f>
        <v/>
      </c>
      <c r="M132" s="13">
        <f>G132+J132-SUMIFS('[FC Eingabe.xlsx]FC Eingabe'!$I$7:$I$126,'[FC Eingabe.xlsx]FC Eingabe'!$F$7:$F$126,C132,'[FC Eingabe.xlsx]FC Eingabe'!$K$7:$K$126,"Wirksam")</f>
        <v/>
      </c>
      <c r="N132" s="13">
        <f>H132+K132+SUMIFS('[FC Eingabe.xlsx]FC Eingabe'!$H$7:$H$126,'[FC Eingabe.xlsx]FC Eingabe'!$F$7:$F$126,C132,'[FC Eingabe.xlsx]FC Eingabe'!$K$7:$K$126,"Wirksam")</f>
        <v/>
      </c>
      <c r="O132" s="13">
        <f>SUM(L132:N132)</f>
        <v/>
      </c>
    </row>
    <row r="133" ht="21" customHeight="1">
      <c r="C133" s="12" t="inlineStr">
        <is>
          <t>P4102608271</t>
        </is>
      </c>
      <c r="D133" s="12" t="inlineStr">
        <is>
          <t>Seilbagger Tagebau Jänschwalde</t>
        </is>
      </c>
      <c r="E133" s="12" t="inlineStr">
        <is>
          <t>Ost</t>
        </is>
      </c>
      <c r="F133" s="13" t="n">
        <v>194470.4</v>
      </c>
      <c r="G133" s="13" t="n">
        <v>-17848.96</v>
      </c>
      <c r="H133" s="13" t="n">
        <v>0</v>
      </c>
      <c r="I133" s="13" t="n">
        <v>9000</v>
      </c>
      <c r="J133" s="13" t="n">
        <v>-6000</v>
      </c>
      <c r="K133" s="13" t="n">
        <v>0</v>
      </c>
      <c r="L133" s="13">
        <f>F133+I133+SUMIFS('[FC Eingabe.xlsx]FC Eingabe'!$G$7:$G$126,'[FC Eingabe.xlsx]FC Eingabe'!$F$7:$F$126,C133,'[FC Eingabe.xlsx]FC Eingabe'!$K$7:$K$126,"Wirksam")</f>
        <v/>
      </c>
      <c r="M133" s="13">
        <f>G133+J133-SUMIFS('[FC Eingabe.xlsx]FC Eingabe'!$I$7:$I$126,'[FC Eingabe.xlsx]FC Eingabe'!$F$7:$F$126,C133,'[FC Eingabe.xlsx]FC Eingabe'!$K$7:$K$126,"Wirksam")</f>
        <v/>
      </c>
      <c r="N133" s="13">
        <f>H133+K133+SUMIFS('[FC Eingabe.xlsx]FC Eingabe'!$H$7:$H$126,'[FC Eingabe.xlsx]FC Eingabe'!$F$7:$F$126,C133,'[FC Eingabe.xlsx]FC Eingabe'!$K$7:$K$126,"Wirksam")</f>
        <v/>
      </c>
      <c r="O133" s="13">
        <f>SUM(L133:N133)</f>
        <v/>
      </c>
    </row>
    <row r="134" ht="21" customHeight="1">
      <c r="C134" s="12" t="inlineStr">
        <is>
          <t>P4102608275</t>
        </is>
      </c>
      <c r="D134" s="12" t="inlineStr">
        <is>
          <t>An der Spreewaldbahn lübben</t>
        </is>
      </c>
      <c r="E134" s="12" t="inlineStr">
        <is>
          <t>Ost</t>
        </is>
      </c>
      <c r="F134" s="13" t="n">
        <v>25652.08</v>
      </c>
      <c r="G134" s="13" t="n">
        <v>-9699</v>
      </c>
      <c r="H134" s="13" t="n">
        <v>0</v>
      </c>
      <c r="I134" s="13" t="n">
        <v>0</v>
      </c>
      <c r="J134" s="13" t="n">
        <v>0</v>
      </c>
      <c r="K134" s="13" t="n">
        <v>0</v>
      </c>
      <c r="L134" s="13">
        <f>F134+I134+SUMIFS('[FC Eingabe.xlsx]FC Eingabe'!$G$7:$G$126,'[FC Eingabe.xlsx]FC Eingabe'!$F$7:$F$126,C134,'[FC Eingabe.xlsx]FC Eingabe'!$K$7:$K$126,"Wirksam")</f>
        <v/>
      </c>
      <c r="M134" s="13">
        <f>G134+J134-SUMIFS('[FC Eingabe.xlsx]FC Eingabe'!$I$7:$I$126,'[FC Eingabe.xlsx]FC Eingabe'!$F$7:$F$126,C134,'[FC Eingabe.xlsx]FC Eingabe'!$K$7:$K$126,"Wirksam")</f>
        <v/>
      </c>
      <c r="N134" s="13">
        <f>H134+K134+SUMIFS('[FC Eingabe.xlsx]FC Eingabe'!$H$7:$H$126,'[FC Eingabe.xlsx]FC Eingabe'!$F$7:$F$126,C134,'[FC Eingabe.xlsx]FC Eingabe'!$K$7:$K$126,"Wirksam")</f>
        <v/>
      </c>
      <c r="O134" s="13">
        <f>SUM(L134:N134)</f>
        <v/>
      </c>
    </row>
    <row r="135" ht="21" customHeight="1">
      <c r="C135" s="12" t="inlineStr">
        <is>
          <t>P4102652023</t>
        </is>
      </c>
      <c r="D135" s="12" t="inlineStr">
        <is>
          <t>Nachlaufende Kosten</t>
        </is>
      </c>
      <c r="E135" s="12" t="inlineStr">
        <is>
          <t>Berlin</t>
        </is>
      </c>
      <c r="F135" s="13" t="n">
        <v>0</v>
      </c>
      <c r="G135" s="13" t="n">
        <v>-100</v>
      </c>
      <c r="H135" s="13" t="n">
        <v>0</v>
      </c>
      <c r="I135" s="13" t="n">
        <v>0</v>
      </c>
      <c r="J135" s="13" t="n">
        <v>0</v>
      </c>
      <c r="K135" s="13" t="n">
        <v>0</v>
      </c>
      <c r="L135" s="13">
        <f>F135+I135+SUMIFS('[FC Eingabe.xlsx]FC Eingabe'!$G$7:$G$126,'[FC Eingabe.xlsx]FC Eingabe'!$F$7:$F$126,C135,'[FC Eingabe.xlsx]FC Eingabe'!$K$7:$K$126,"Wirksam")</f>
        <v/>
      </c>
      <c r="M135" s="13">
        <f>G135+J135-SUMIFS('[FC Eingabe.xlsx]FC Eingabe'!$I$7:$I$126,'[FC Eingabe.xlsx]FC Eingabe'!$F$7:$F$126,C135,'[FC Eingabe.xlsx]FC Eingabe'!$K$7:$K$126,"Wirksam")</f>
        <v/>
      </c>
      <c r="N135" s="13">
        <f>H135+K135+SUMIFS('[FC Eingabe.xlsx]FC Eingabe'!$H$7:$H$126,'[FC Eingabe.xlsx]FC Eingabe'!$F$7:$F$126,C135,'[FC Eingabe.xlsx]FC Eingabe'!$K$7:$K$126,"Wirksam")</f>
        <v/>
      </c>
      <c r="O135" s="13">
        <f>SUM(L135:N135)</f>
        <v/>
      </c>
    </row>
    <row r="136" ht="21" customHeight="1">
      <c r="C136" s="12" t="inlineStr">
        <is>
          <t>P4102657982</t>
        </is>
      </c>
      <c r="D136" s="12" t="inlineStr">
        <is>
          <t>Kleinaufträge</t>
        </is>
      </c>
      <c r="E136" s="12" t="inlineStr">
        <is>
          <t>Berlin</t>
        </is>
      </c>
      <c r="F136" s="13" t="n">
        <v>8250</v>
      </c>
      <c r="G136" s="13" t="n">
        <v>0</v>
      </c>
      <c r="H136" s="13" t="n">
        <v>0</v>
      </c>
      <c r="I136" s="13" t="n">
        <v>8250</v>
      </c>
      <c r="J136" s="13" t="n">
        <v>0</v>
      </c>
      <c r="K136" s="13" t="n">
        <v>0</v>
      </c>
      <c r="L136" s="13">
        <f>F136+I136+SUMIFS('[FC Eingabe.xlsx]FC Eingabe'!$G$7:$G$126,'[FC Eingabe.xlsx]FC Eingabe'!$F$7:$F$126,C136,'[FC Eingabe.xlsx]FC Eingabe'!$K$7:$K$126,"Wirksam")</f>
        <v/>
      </c>
      <c r="M136" s="13">
        <f>G136+J136-SUMIFS('[FC Eingabe.xlsx]FC Eingabe'!$I$7:$I$126,'[FC Eingabe.xlsx]FC Eingabe'!$F$7:$F$126,C136,'[FC Eingabe.xlsx]FC Eingabe'!$K$7:$K$126,"Wirksam")</f>
        <v/>
      </c>
      <c r="N136" s="13">
        <f>H136+K136+SUMIFS('[FC Eingabe.xlsx]FC Eingabe'!$H$7:$H$126,'[FC Eingabe.xlsx]FC Eingabe'!$F$7:$F$126,C136,'[FC Eingabe.xlsx]FC Eingabe'!$K$7:$K$126,"Wirksam")</f>
        <v/>
      </c>
      <c r="O136" s="13">
        <f>SUM(L136:N136)</f>
        <v/>
      </c>
    </row>
    <row r="137" ht="21" customHeight="1">
      <c r="C137" s="12" t="inlineStr">
        <is>
          <t>P4102658225</t>
        </is>
      </c>
      <c r="D137" s="12" t="inlineStr">
        <is>
          <t>B1 Brandenburg Potsdamer Straße</t>
        </is>
      </c>
      <c r="E137" s="12" t="inlineStr">
        <is>
          <t>Berlin</t>
        </is>
      </c>
      <c r="F137" s="13" t="n">
        <v>-59785.46</v>
      </c>
      <c r="G137" s="13" t="n">
        <v>-3.3</v>
      </c>
      <c r="H137" s="13" t="n">
        <v>0</v>
      </c>
      <c r="I137" s="13" t="n">
        <v>0</v>
      </c>
      <c r="J137" s="13" t="n">
        <v>0</v>
      </c>
      <c r="K137" s="13" t="n">
        <v>0</v>
      </c>
      <c r="L137" s="13">
        <f>F137+I137+SUMIFS('[FC Eingabe.xlsx]FC Eingabe'!$G$7:$G$126,'[FC Eingabe.xlsx]FC Eingabe'!$F$7:$F$126,C137,'[FC Eingabe.xlsx]FC Eingabe'!$K$7:$K$126,"Wirksam")</f>
        <v/>
      </c>
      <c r="M137" s="13">
        <f>G137+J137-SUMIFS('[FC Eingabe.xlsx]FC Eingabe'!$I$7:$I$126,'[FC Eingabe.xlsx]FC Eingabe'!$F$7:$F$126,C137,'[FC Eingabe.xlsx]FC Eingabe'!$K$7:$K$126,"Wirksam")</f>
        <v/>
      </c>
      <c r="N137" s="13">
        <f>H137+K137+SUMIFS('[FC Eingabe.xlsx]FC Eingabe'!$H$7:$H$126,'[FC Eingabe.xlsx]FC Eingabe'!$F$7:$F$126,C137,'[FC Eingabe.xlsx]FC Eingabe'!$K$7:$K$126,"Wirksam")</f>
        <v/>
      </c>
      <c r="O137" s="13">
        <f>SUM(L137:N137)</f>
        <v/>
      </c>
    </row>
    <row r="138" ht="21" customHeight="1">
      <c r="C138" s="12" t="inlineStr">
        <is>
          <t>P4102658228</t>
        </is>
      </c>
      <c r="D138" s="12" t="inlineStr">
        <is>
          <t>ENB EÜ Wollankstraße</t>
        </is>
      </c>
      <c r="E138" s="12" t="inlineStr">
        <is>
          <t>Berlin</t>
        </is>
      </c>
      <c r="F138" s="13" t="n">
        <v>0</v>
      </c>
      <c r="G138" s="13" t="n">
        <v>-424.37</v>
      </c>
      <c r="H138" s="13" t="n">
        <v>475.29</v>
      </c>
      <c r="I138" s="13" t="n">
        <v>0</v>
      </c>
      <c r="J138" s="13" t="n">
        <v>0</v>
      </c>
      <c r="K138" s="13" t="n">
        <v>0</v>
      </c>
      <c r="L138" s="13">
        <f>F138+I138+SUMIFS('[FC Eingabe.xlsx]FC Eingabe'!$G$7:$G$126,'[FC Eingabe.xlsx]FC Eingabe'!$F$7:$F$126,C138,'[FC Eingabe.xlsx]FC Eingabe'!$K$7:$K$126,"Wirksam")</f>
        <v/>
      </c>
      <c r="M138" s="13">
        <f>G138+J138-SUMIFS('[FC Eingabe.xlsx]FC Eingabe'!$I$7:$I$126,'[FC Eingabe.xlsx]FC Eingabe'!$F$7:$F$126,C138,'[FC Eingabe.xlsx]FC Eingabe'!$K$7:$K$126,"Wirksam")</f>
        <v/>
      </c>
      <c r="N138" s="13">
        <f>H138+K138+SUMIFS('[FC Eingabe.xlsx]FC Eingabe'!$H$7:$H$126,'[FC Eingabe.xlsx]FC Eingabe'!$F$7:$F$126,C138,'[FC Eingabe.xlsx]FC Eingabe'!$K$7:$K$126,"Wirksam")</f>
        <v/>
      </c>
      <c r="O138" s="13">
        <f>SUM(L138:N138)</f>
        <v/>
      </c>
    </row>
    <row r="139" ht="21" customHeight="1">
      <c r="C139" s="12" t="inlineStr">
        <is>
          <t>P4102658229</t>
        </is>
      </c>
      <c r="D139" s="12" t="inlineStr">
        <is>
          <t>Markgrafenbrücke Berlin</t>
        </is>
      </c>
      <c r="E139" s="12" t="inlineStr">
        <is>
          <t>Berlin</t>
        </is>
      </c>
      <c r="F139" s="13" t="n">
        <v>9697.700000000001</v>
      </c>
      <c r="G139" s="13" t="n">
        <v>-392074.26</v>
      </c>
      <c r="H139" s="13" t="n">
        <v>406981.1</v>
      </c>
      <c r="I139" s="13" t="n">
        <v>0</v>
      </c>
      <c r="J139" s="13" t="n">
        <v>0</v>
      </c>
      <c r="K139" s="13" t="n">
        <v>0</v>
      </c>
      <c r="L139" s="13">
        <f>F139+I139+SUMIFS('[FC Eingabe.xlsx]FC Eingabe'!$G$7:$G$126,'[FC Eingabe.xlsx]FC Eingabe'!$F$7:$F$126,C139,'[FC Eingabe.xlsx]FC Eingabe'!$K$7:$K$126,"Wirksam")</f>
        <v/>
      </c>
      <c r="M139" s="13">
        <f>G139+J139-SUMIFS('[FC Eingabe.xlsx]FC Eingabe'!$I$7:$I$126,'[FC Eingabe.xlsx]FC Eingabe'!$F$7:$F$126,C139,'[FC Eingabe.xlsx]FC Eingabe'!$K$7:$K$126,"Wirksam")</f>
        <v/>
      </c>
      <c r="N139" s="13">
        <f>H139+K139+SUMIFS('[FC Eingabe.xlsx]FC Eingabe'!$H$7:$H$126,'[FC Eingabe.xlsx]FC Eingabe'!$F$7:$F$126,C139,'[FC Eingabe.xlsx]FC Eingabe'!$K$7:$K$126,"Wirksam")</f>
        <v/>
      </c>
      <c r="O139" s="13">
        <f>SUM(L139:N139)</f>
        <v/>
      </c>
    </row>
    <row r="140" ht="21" customHeight="1">
      <c r="C140" s="12" t="inlineStr">
        <is>
          <t>P4102658235</t>
        </is>
      </c>
      <c r="D140" s="12" t="inlineStr">
        <is>
          <t>ENB Neue Fahlenbergbrücke</t>
        </is>
      </c>
      <c r="E140" s="12" t="inlineStr">
        <is>
          <t>Berlin</t>
        </is>
      </c>
      <c r="F140" s="13" t="n">
        <v>0</v>
      </c>
      <c r="G140" s="13" t="n">
        <v>0</v>
      </c>
      <c r="H140" s="13" t="n">
        <v>0</v>
      </c>
      <c r="I140" s="13" t="n">
        <v>0</v>
      </c>
      <c r="J140" s="13" t="n">
        <v>0</v>
      </c>
      <c r="K140" s="13" t="n">
        <v>0</v>
      </c>
      <c r="L140" s="13">
        <f>F140+I140+SUMIFS('[FC Eingabe.xlsx]FC Eingabe'!$G$7:$G$126,'[FC Eingabe.xlsx]FC Eingabe'!$F$7:$F$126,C140,'[FC Eingabe.xlsx]FC Eingabe'!$K$7:$K$126,"Wirksam")</f>
        <v/>
      </c>
      <c r="M140" s="13">
        <f>G140+J140-SUMIFS('[FC Eingabe.xlsx]FC Eingabe'!$I$7:$I$126,'[FC Eingabe.xlsx]FC Eingabe'!$F$7:$F$126,C140,'[FC Eingabe.xlsx]FC Eingabe'!$K$7:$K$126,"Wirksam")</f>
        <v/>
      </c>
      <c r="N140" s="13">
        <f>H140+K140+SUMIFS('[FC Eingabe.xlsx]FC Eingabe'!$H$7:$H$126,'[FC Eingabe.xlsx]FC Eingabe'!$F$7:$F$126,C140,'[FC Eingabe.xlsx]FC Eingabe'!$K$7:$K$126,"Wirksam")</f>
        <v/>
      </c>
      <c r="O140" s="13">
        <f>SUM(L140:N140)</f>
        <v/>
      </c>
    </row>
    <row r="141" ht="21" customHeight="1">
      <c r="C141" s="12" t="inlineStr">
        <is>
          <t>P4102658250</t>
        </is>
      </c>
      <c r="D141" s="12" t="inlineStr">
        <is>
          <t>Parkallee Velten, Brücke Stichkanal</t>
        </is>
      </c>
      <c r="E141" s="12" t="inlineStr">
        <is>
          <t>Berlin</t>
        </is>
      </c>
      <c r="F141" s="13" t="n">
        <v>-39809.7</v>
      </c>
      <c r="G141" s="13" t="n">
        <v>8.970000000000001</v>
      </c>
      <c r="H141" s="13" t="n">
        <v>0</v>
      </c>
      <c r="I141" s="13" t="n">
        <v>0</v>
      </c>
      <c r="J141" s="13" t="n">
        <v>0</v>
      </c>
      <c r="K141" s="13" t="n">
        <v>0</v>
      </c>
      <c r="L141" s="13">
        <f>F141+I141+SUMIFS('[FC Eingabe.xlsx]FC Eingabe'!$G$7:$G$126,'[FC Eingabe.xlsx]FC Eingabe'!$F$7:$F$126,C141,'[FC Eingabe.xlsx]FC Eingabe'!$K$7:$K$126,"Wirksam")</f>
        <v/>
      </c>
      <c r="M141" s="13">
        <f>G141+J141-SUMIFS('[FC Eingabe.xlsx]FC Eingabe'!$I$7:$I$126,'[FC Eingabe.xlsx]FC Eingabe'!$F$7:$F$126,C141,'[FC Eingabe.xlsx]FC Eingabe'!$K$7:$K$126,"Wirksam")</f>
        <v/>
      </c>
      <c r="N141" s="13">
        <f>H141+K141+SUMIFS('[FC Eingabe.xlsx]FC Eingabe'!$H$7:$H$126,'[FC Eingabe.xlsx]FC Eingabe'!$F$7:$F$126,C141,'[FC Eingabe.xlsx]FC Eingabe'!$K$7:$K$126,"Wirksam")</f>
        <v/>
      </c>
      <c r="O141" s="13">
        <f>SUM(L141:N141)</f>
        <v/>
      </c>
    </row>
    <row r="142" ht="21" customHeight="1">
      <c r="C142" s="12" t="inlineStr">
        <is>
          <t>P4102658254</t>
        </is>
      </c>
      <c r="D142" s="12" t="inlineStr">
        <is>
          <t>EÜ Langendreerstraße Bochum</t>
        </is>
      </c>
      <c r="E142" s="12" t="inlineStr">
        <is>
          <t>Berlin</t>
        </is>
      </c>
      <c r="F142" s="13" t="n">
        <v>0</v>
      </c>
      <c r="G142" s="13" t="n">
        <v>0.15</v>
      </c>
      <c r="H142" s="13" t="n">
        <v>0</v>
      </c>
      <c r="I142" s="13" t="n">
        <v>0</v>
      </c>
      <c r="J142" s="13" t="n">
        <v>0</v>
      </c>
      <c r="K142" s="13" t="n">
        <v>0</v>
      </c>
      <c r="L142" s="13">
        <f>F142+I142+SUMIFS('[FC Eingabe.xlsx]FC Eingabe'!$G$7:$G$126,'[FC Eingabe.xlsx]FC Eingabe'!$F$7:$F$126,C142,'[FC Eingabe.xlsx]FC Eingabe'!$K$7:$K$126,"Wirksam")</f>
        <v/>
      </c>
      <c r="M142" s="13">
        <f>G142+J142-SUMIFS('[FC Eingabe.xlsx]FC Eingabe'!$I$7:$I$126,'[FC Eingabe.xlsx]FC Eingabe'!$F$7:$F$126,C142,'[FC Eingabe.xlsx]FC Eingabe'!$K$7:$K$126,"Wirksam")</f>
        <v/>
      </c>
      <c r="N142" s="13">
        <f>H142+K142+SUMIFS('[FC Eingabe.xlsx]FC Eingabe'!$H$7:$H$126,'[FC Eingabe.xlsx]FC Eingabe'!$F$7:$F$126,C142,'[FC Eingabe.xlsx]FC Eingabe'!$K$7:$K$126,"Wirksam")</f>
        <v/>
      </c>
      <c r="O142" s="13">
        <f>SUM(L142:N142)</f>
        <v/>
      </c>
    </row>
    <row r="143" ht="21" customHeight="1">
      <c r="C143" s="12" t="inlineStr">
        <is>
          <t>P4102658256</t>
        </is>
      </c>
      <c r="D143" s="12" t="inlineStr">
        <is>
          <t>Schleuse Wolfswinkel</t>
        </is>
      </c>
      <c r="E143" s="12" t="inlineStr">
        <is>
          <t>Berlin</t>
        </is>
      </c>
      <c r="F143" s="13" t="n">
        <v>302672.02</v>
      </c>
      <c r="G143" s="13" t="n">
        <v>-59955.88</v>
      </c>
      <c r="H143" s="13" t="n">
        <v>-70767.05</v>
      </c>
      <c r="I143" s="13" t="n">
        <v>0</v>
      </c>
      <c r="J143" s="13" t="n">
        <v>0</v>
      </c>
      <c r="K143" s="13" t="n">
        <v>0</v>
      </c>
      <c r="L143" s="13">
        <f>F143+I143+SUMIFS('[FC Eingabe.xlsx]FC Eingabe'!$G$7:$G$126,'[FC Eingabe.xlsx]FC Eingabe'!$F$7:$F$126,C143,'[FC Eingabe.xlsx]FC Eingabe'!$K$7:$K$126,"Wirksam")</f>
        <v/>
      </c>
      <c r="M143" s="13">
        <f>G143+J143-SUMIFS('[FC Eingabe.xlsx]FC Eingabe'!$I$7:$I$126,'[FC Eingabe.xlsx]FC Eingabe'!$F$7:$F$126,C143,'[FC Eingabe.xlsx]FC Eingabe'!$K$7:$K$126,"Wirksam")</f>
        <v/>
      </c>
      <c r="N143" s="13">
        <f>H143+K143+SUMIFS('[FC Eingabe.xlsx]FC Eingabe'!$H$7:$H$126,'[FC Eingabe.xlsx]FC Eingabe'!$F$7:$F$126,C143,'[FC Eingabe.xlsx]FC Eingabe'!$K$7:$K$126,"Wirksam")</f>
        <v/>
      </c>
      <c r="O143" s="13">
        <f>SUM(L143:N143)</f>
        <v/>
      </c>
    </row>
    <row r="144" ht="21" customHeight="1">
      <c r="C144" s="12" t="inlineStr">
        <is>
          <t>P4102658257</t>
        </is>
      </c>
      <c r="D144" s="12" t="inlineStr">
        <is>
          <t>Brücke An der Wuhlheide - Notunterstützu</t>
        </is>
      </c>
      <c r="E144" s="12" t="inlineStr">
        <is>
          <t>Berlin</t>
        </is>
      </c>
      <c r="F144" s="13" t="n">
        <v>0</v>
      </c>
      <c r="G144" s="13" t="n">
        <v>0</v>
      </c>
      <c r="H144" s="13" t="n">
        <v>0</v>
      </c>
      <c r="I144" s="13" t="n">
        <v>0</v>
      </c>
      <c r="J144" s="13" t="n">
        <v>0</v>
      </c>
      <c r="K144" s="13" t="n">
        <v>0</v>
      </c>
      <c r="L144" s="13">
        <f>F144+I144+SUMIFS('[FC Eingabe.xlsx]FC Eingabe'!$G$7:$G$126,'[FC Eingabe.xlsx]FC Eingabe'!$F$7:$F$126,C144,'[FC Eingabe.xlsx]FC Eingabe'!$K$7:$K$126,"Wirksam")</f>
        <v/>
      </c>
      <c r="M144" s="13">
        <f>G144+J144-SUMIFS('[FC Eingabe.xlsx]FC Eingabe'!$I$7:$I$126,'[FC Eingabe.xlsx]FC Eingabe'!$F$7:$F$126,C144,'[FC Eingabe.xlsx]FC Eingabe'!$K$7:$K$126,"Wirksam")</f>
        <v/>
      </c>
      <c r="N144" s="13">
        <f>H144+K144+SUMIFS('[FC Eingabe.xlsx]FC Eingabe'!$H$7:$H$126,'[FC Eingabe.xlsx]FC Eingabe'!$F$7:$F$126,C144,'[FC Eingabe.xlsx]FC Eingabe'!$K$7:$K$126,"Wirksam")</f>
        <v/>
      </c>
      <c r="O144" s="13">
        <f>SUM(L144:N144)</f>
        <v/>
      </c>
    </row>
    <row r="145" ht="21" customHeight="1">
      <c r="C145" s="12" t="inlineStr">
        <is>
          <t>P4102658259</t>
        </is>
      </c>
      <c r="D145" s="12" t="inlineStr">
        <is>
          <t>ENB Eisenbahnbrücke Güsen</t>
        </is>
      </c>
      <c r="E145" s="12" t="inlineStr">
        <is>
          <t>Berlin</t>
        </is>
      </c>
      <c r="F145" s="13" t="n">
        <v>42491.68</v>
      </c>
      <c r="G145" s="13" t="n">
        <v>-67801.53999999999</v>
      </c>
      <c r="H145" s="13" t="n">
        <v>117116.98</v>
      </c>
      <c r="I145" s="13" t="n">
        <v>17000</v>
      </c>
      <c r="J145" s="13" t="n">
        <v>0</v>
      </c>
      <c r="K145" s="13" t="n">
        <v>0</v>
      </c>
      <c r="L145" s="13">
        <f>F145+I145+SUMIFS('[FC Eingabe.xlsx]FC Eingabe'!$G$7:$G$126,'[FC Eingabe.xlsx]FC Eingabe'!$F$7:$F$126,C145,'[FC Eingabe.xlsx]FC Eingabe'!$K$7:$K$126,"Wirksam")</f>
        <v/>
      </c>
      <c r="M145" s="13">
        <f>G145+J145-SUMIFS('[FC Eingabe.xlsx]FC Eingabe'!$I$7:$I$126,'[FC Eingabe.xlsx]FC Eingabe'!$F$7:$F$126,C145,'[FC Eingabe.xlsx]FC Eingabe'!$K$7:$K$126,"Wirksam")</f>
        <v/>
      </c>
      <c r="N145" s="13">
        <f>H145+K145+SUMIFS('[FC Eingabe.xlsx]FC Eingabe'!$H$7:$H$126,'[FC Eingabe.xlsx]FC Eingabe'!$F$7:$F$126,C145,'[FC Eingabe.xlsx]FC Eingabe'!$K$7:$K$126,"Wirksam")</f>
        <v/>
      </c>
      <c r="O145" s="13">
        <f>SUM(L145:N145)</f>
        <v/>
      </c>
    </row>
    <row r="146" ht="21" customHeight="1">
      <c r="C146" s="12" t="inlineStr">
        <is>
          <t>P4102658269</t>
        </is>
      </c>
      <c r="D146" s="12" t="inlineStr">
        <is>
          <t>B102 OD Jüterbog Alte Nuthe</t>
        </is>
      </c>
      <c r="E146" s="12" t="inlineStr">
        <is>
          <t>Berlin</t>
        </is>
      </c>
      <c r="F146" s="13" t="n">
        <v>16030.23</v>
      </c>
      <c r="G146" s="13" t="n">
        <v>-2708.05</v>
      </c>
      <c r="H146" s="13" t="n">
        <v>0</v>
      </c>
      <c r="I146" s="13" t="n">
        <v>0</v>
      </c>
      <c r="J146" s="13" t="n">
        <v>0</v>
      </c>
      <c r="K146" s="13" t="n">
        <v>0</v>
      </c>
      <c r="L146" s="13">
        <f>F146+I146+SUMIFS('[FC Eingabe.xlsx]FC Eingabe'!$G$7:$G$126,'[FC Eingabe.xlsx]FC Eingabe'!$F$7:$F$126,C146,'[FC Eingabe.xlsx]FC Eingabe'!$K$7:$K$126,"Wirksam")</f>
        <v/>
      </c>
      <c r="M146" s="13">
        <f>G146+J146-SUMIFS('[FC Eingabe.xlsx]FC Eingabe'!$I$7:$I$126,'[FC Eingabe.xlsx]FC Eingabe'!$F$7:$F$126,C146,'[FC Eingabe.xlsx]FC Eingabe'!$K$7:$K$126,"Wirksam")</f>
        <v/>
      </c>
      <c r="N146" s="13">
        <f>H146+K146+SUMIFS('[FC Eingabe.xlsx]FC Eingabe'!$H$7:$H$126,'[FC Eingabe.xlsx]FC Eingabe'!$F$7:$F$126,C146,'[FC Eingabe.xlsx]FC Eingabe'!$K$7:$K$126,"Wirksam")</f>
        <v/>
      </c>
      <c r="O146" s="13">
        <f>SUM(L146:N146)</f>
        <v/>
      </c>
    </row>
    <row r="147" ht="21" customHeight="1">
      <c r="C147" s="12" t="inlineStr">
        <is>
          <t>P4102658272</t>
        </is>
      </c>
      <c r="D147" s="12" t="inlineStr">
        <is>
          <t>Beräumung Herzberger Straße</t>
        </is>
      </c>
      <c r="E147" s="12" t="inlineStr">
        <is>
          <t>Berlin</t>
        </is>
      </c>
      <c r="F147" s="13" t="n">
        <v>36922.66</v>
      </c>
      <c r="G147" s="13" t="n">
        <v>-15708.54</v>
      </c>
      <c r="H147" s="13" t="n">
        <v>0</v>
      </c>
      <c r="I147" s="13" t="n">
        <v>0</v>
      </c>
      <c r="J147" s="13" t="n">
        <v>0</v>
      </c>
      <c r="K147" s="13" t="n">
        <v>0</v>
      </c>
      <c r="L147" s="13">
        <f>F147+I147+SUMIFS('[FC Eingabe.xlsx]FC Eingabe'!$G$7:$G$126,'[FC Eingabe.xlsx]FC Eingabe'!$F$7:$F$126,C147,'[FC Eingabe.xlsx]FC Eingabe'!$K$7:$K$126,"Wirksam")</f>
        <v/>
      </c>
      <c r="M147" s="13">
        <f>G147+J147-SUMIFS('[FC Eingabe.xlsx]FC Eingabe'!$I$7:$I$126,'[FC Eingabe.xlsx]FC Eingabe'!$F$7:$F$126,C147,'[FC Eingabe.xlsx]FC Eingabe'!$K$7:$K$126,"Wirksam")</f>
        <v/>
      </c>
      <c r="N147" s="13">
        <f>H147+K147+SUMIFS('[FC Eingabe.xlsx]FC Eingabe'!$H$7:$H$126,'[FC Eingabe.xlsx]FC Eingabe'!$F$7:$F$126,C147,'[FC Eingabe.xlsx]FC Eingabe'!$K$7:$K$126,"Wirksam")</f>
        <v/>
      </c>
      <c r="O147" s="13">
        <f>SUM(L147:N147)</f>
        <v/>
      </c>
    </row>
    <row r="148" ht="21" customHeight="1">
      <c r="C148" s="12" t="inlineStr">
        <is>
          <t>P4102658276</t>
        </is>
      </c>
      <c r="D148" s="12" t="inlineStr">
        <is>
          <t>EÜ Braunsbedra</t>
        </is>
      </c>
      <c r="E148" s="12" t="inlineStr">
        <is>
          <t>Berlin</t>
        </is>
      </c>
      <c r="F148" s="13" t="n">
        <v>27313.05</v>
      </c>
      <c r="G148" s="13" t="n">
        <v>-39057.45</v>
      </c>
      <c r="H148" s="13" t="n">
        <v>83713.49000000001</v>
      </c>
      <c r="I148" s="13" t="n">
        <v>27300</v>
      </c>
      <c r="J148" s="13" t="n">
        <v>-10000</v>
      </c>
      <c r="K148" s="13" t="n">
        <v>0</v>
      </c>
      <c r="L148" s="13">
        <f>F148+I148+SUMIFS('[FC Eingabe.xlsx]FC Eingabe'!$G$7:$G$126,'[FC Eingabe.xlsx]FC Eingabe'!$F$7:$F$126,C148,'[FC Eingabe.xlsx]FC Eingabe'!$K$7:$K$126,"Wirksam")</f>
        <v/>
      </c>
      <c r="M148" s="13">
        <f>G148+J148-SUMIFS('[FC Eingabe.xlsx]FC Eingabe'!$I$7:$I$126,'[FC Eingabe.xlsx]FC Eingabe'!$F$7:$F$126,C148,'[FC Eingabe.xlsx]FC Eingabe'!$K$7:$K$126,"Wirksam")</f>
        <v/>
      </c>
      <c r="N148" s="13">
        <f>H148+K148+SUMIFS('[FC Eingabe.xlsx]FC Eingabe'!$H$7:$H$126,'[FC Eingabe.xlsx]FC Eingabe'!$F$7:$F$126,C148,'[FC Eingabe.xlsx]FC Eingabe'!$K$7:$K$126,"Wirksam")</f>
        <v/>
      </c>
      <c r="O148" s="13">
        <f>SUM(L148:N148)</f>
        <v/>
      </c>
    </row>
    <row r="149" ht="21" customHeight="1">
      <c r="C149" s="12" t="inlineStr">
        <is>
          <t>W4102154411</t>
        </is>
      </c>
      <c r="D149" s="12" t="inlineStr">
        <is>
          <t>Vetrieb Region West</t>
        </is>
      </c>
      <c r="E149" s="12" t="inlineStr">
        <is>
          <t>West</t>
        </is>
      </c>
      <c r="F149" s="13" t="n">
        <v>0</v>
      </c>
      <c r="G149" s="13" t="n">
        <v>-101754.9</v>
      </c>
      <c r="H149" s="13" t="n">
        <v>0</v>
      </c>
      <c r="I149" s="13" t="n">
        <v>0</v>
      </c>
      <c r="J149" s="13" t="n">
        <v>0</v>
      </c>
      <c r="K149" s="13" t="n">
        <v>0</v>
      </c>
      <c r="L149" s="13">
        <f>F149+I149+SUMIFS('[FC Eingabe.xlsx]FC Eingabe'!$G$7:$G$126,'[FC Eingabe.xlsx]FC Eingabe'!$F$7:$F$126,C149,'[FC Eingabe.xlsx]FC Eingabe'!$K$7:$K$126,"Wirksam")</f>
        <v/>
      </c>
      <c r="M149" s="13">
        <f>G149+J149-SUMIFS('[FC Eingabe.xlsx]FC Eingabe'!$I$7:$I$126,'[FC Eingabe.xlsx]FC Eingabe'!$F$7:$F$126,C149,'[FC Eingabe.xlsx]FC Eingabe'!$K$7:$K$126,"Wirksam")</f>
        <v/>
      </c>
      <c r="N149" s="13">
        <f>H149+K149+SUMIFS('[FC Eingabe.xlsx]FC Eingabe'!$H$7:$H$126,'[FC Eingabe.xlsx]FC Eingabe'!$F$7:$F$126,C149,'[FC Eingabe.xlsx]FC Eingabe'!$K$7:$K$126,"Wirksam")</f>
        <v/>
      </c>
      <c r="O149" s="13">
        <f>SUM(L149:N149)</f>
        <v/>
      </c>
    </row>
    <row r="150" ht="21" customHeight="1">
      <c r="C150" s="12" t="inlineStr">
        <is>
          <t>W4102154501</t>
        </is>
      </c>
      <c r="D150" s="12" t="inlineStr">
        <is>
          <t>Gehalt BL Region West</t>
        </is>
      </c>
      <c r="E150" s="12" t="inlineStr">
        <is>
          <t>West</t>
        </is>
      </c>
      <c r="F150" s="13" t="n">
        <v>0</v>
      </c>
      <c r="G150" s="13" t="n">
        <v>-8664</v>
      </c>
      <c r="H150" s="13" t="n">
        <v>0</v>
      </c>
      <c r="I150" s="13" t="n">
        <v>0</v>
      </c>
      <c r="J150" s="13" t="n">
        <v>0</v>
      </c>
      <c r="K150" s="13" t="n">
        <v>0</v>
      </c>
      <c r="L150" s="13">
        <f>F150+I150+SUMIFS('[FC Eingabe.xlsx]FC Eingabe'!$G$7:$G$126,'[FC Eingabe.xlsx]FC Eingabe'!$F$7:$F$126,C150,'[FC Eingabe.xlsx]FC Eingabe'!$K$7:$K$126,"Wirksam")</f>
        <v/>
      </c>
      <c r="M150" s="13">
        <f>G150+J150-SUMIFS('[FC Eingabe.xlsx]FC Eingabe'!$I$7:$I$126,'[FC Eingabe.xlsx]FC Eingabe'!$F$7:$F$126,C150,'[FC Eingabe.xlsx]FC Eingabe'!$K$7:$K$126,"Wirksam")</f>
        <v/>
      </c>
      <c r="N150" s="13">
        <f>H150+K150+SUMIFS('[FC Eingabe.xlsx]FC Eingabe'!$H$7:$H$126,'[FC Eingabe.xlsx]FC Eingabe'!$F$7:$F$126,C150,'[FC Eingabe.xlsx]FC Eingabe'!$K$7:$K$126,"Wirksam")</f>
        <v/>
      </c>
      <c r="O150" s="13">
        <f>SUM(L150:N150)</f>
        <v/>
      </c>
    </row>
    <row r="151" ht="21" customHeight="1">
      <c r="C151" s="12" t="inlineStr">
        <is>
          <t>W4102154611</t>
        </is>
      </c>
      <c r="D151" s="12" t="inlineStr">
        <is>
          <t>Werkstatt Region West</t>
        </is>
      </c>
      <c r="E151" s="12" t="inlineStr">
        <is>
          <t>West</t>
        </is>
      </c>
      <c r="F151" s="13" t="n">
        <v>0</v>
      </c>
      <c r="G151" s="13" t="n">
        <v>-16506.24</v>
      </c>
      <c r="H151" s="13" t="n">
        <v>0</v>
      </c>
      <c r="I151" s="13" t="n">
        <v>0</v>
      </c>
      <c r="J151" s="13" t="n">
        <v>0</v>
      </c>
      <c r="K151" s="13" t="n">
        <v>0</v>
      </c>
      <c r="L151" s="13">
        <f>F151+I151+SUMIFS('[FC Eingabe.xlsx]FC Eingabe'!$G$7:$G$126,'[FC Eingabe.xlsx]FC Eingabe'!$F$7:$F$126,C151,'[FC Eingabe.xlsx]FC Eingabe'!$K$7:$K$126,"Wirksam")</f>
        <v/>
      </c>
      <c r="M151" s="13">
        <f>G151+J151-SUMIFS('[FC Eingabe.xlsx]FC Eingabe'!$I$7:$I$126,'[FC Eingabe.xlsx]FC Eingabe'!$F$7:$F$126,C151,'[FC Eingabe.xlsx]FC Eingabe'!$K$7:$K$126,"Wirksam")</f>
        <v/>
      </c>
      <c r="N151" s="13">
        <f>H151+K151+SUMIFS('[FC Eingabe.xlsx]FC Eingabe'!$H$7:$H$126,'[FC Eingabe.xlsx]FC Eingabe'!$F$7:$F$126,C151,'[FC Eingabe.xlsx]FC Eingabe'!$K$7:$K$126,"Wirksam")</f>
        <v/>
      </c>
      <c r="O151" s="13">
        <f>SUM(L151:N151)</f>
        <v/>
      </c>
    </row>
    <row r="152" ht="21" customHeight="1">
      <c r="C152" s="12" t="inlineStr">
        <is>
          <t>W4102154953</t>
        </is>
      </c>
      <c r="D152" s="12" t="inlineStr">
        <is>
          <t>CB-AA 140 Hr. Kraft</t>
        </is>
      </c>
      <c r="E152" s="12" t="inlineStr">
        <is>
          <t>West</t>
        </is>
      </c>
      <c r="F152" s="13" t="n">
        <v>0</v>
      </c>
      <c r="G152" s="13" t="n">
        <v>-1342.17</v>
      </c>
      <c r="H152" s="13" t="n">
        <v>0</v>
      </c>
      <c r="I152" s="13" t="n">
        <v>0</v>
      </c>
      <c r="J152" s="13" t="n">
        <v>0</v>
      </c>
      <c r="K152" s="13" t="n">
        <v>0</v>
      </c>
      <c r="L152" s="13">
        <f>F152+I152+SUMIFS('[FC Eingabe.xlsx]FC Eingabe'!$G$7:$G$126,'[FC Eingabe.xlsx]FC Eingabe'!$F$7:$F$126,C152,'[FC Eingabe.xlsx]FC Eingabe'!$K$7:$K$126,"Wirksam")</f>
        <v/>
      </c>
      <c r="M152" s="13">
        <f>G152+J152-SUMIFS('[FC Eingabe.xlsx]FC Eingabe'!$I$7:$I$126,'[FC Eingabe.xlsx]FC Eingabe'!$F$7:$F$126,C152,'[FC Eingabe.xlsx]FC Eingabe'!$K$7:$K$126,"Wirksam")</f>
        <v/>
      </c>
      <c r="N152" s="13">
        <f>H152+K152+SUMIFS('[FC Eingabe.xlsx]FC Eingabe'!$H$7:$H$126,'[FC Eingabe.xlsx]FC Eingabe'!$F$7:$F$126,C152,'[FC Eingabe.xlsx]FC Eingabe'!$K$7:$K$126,"Wirksam")</f>
        <v/>
      </c>
      <c r="O152" s="13">
        <f>SUM(L152:N152)</f>
        <v/>
      </c>
    </row>
    <row r="153" ht="21" customHeight="1">
      <c r="C153" s="12" t="inlineStr">
        <is>
          <t>W4102154961</t>
        </is>
      </c>
      <c r="D153" s="12" t="inlineStr">
        <is>
          <t>DO-AW 251 Ludwigs</t>
        </is>
      </c>
      <c r="E153" s="12" t="inlineStr">
        <is>
          <t>West</t>
        </is>
      </c>
      <c r="F153" s="13" t="n">
        <v>0</v>
      </c>
      <c r="G153" s="13" t="n">
        <v>-7075.24</v>
      </c>
      <c r="H153" s="13" t="n">
        <v>0</v>
      </c>
      <c r="I153" s="13" t="n">
        <v>0</v>
      </c>
      <c r="J153" s="13" t="n">
        <v>0</v>
      </c>
      <c r="K153" s="13" t="n">
        <v>0</v>
      </c>
      <c r="L153" s="13">
        <f>F153+I153+SUMIFS('[FC Eingabe.xlsx]FC Eingabe'!$G$7:$G$126,'[FC Eingabe.xlsx]FC Eingabe'!$F$7:$F$126,C153,'[FC Eingabe.xlsx]FC Eingabe'!$K$7:$K$126,"Wirksam")</f>
        <v/>
      </c>
      <c r="M153" s="13">
        <f>G153+J153-SUMIFS('[FC Eingabe.xlsx]FC Eingabe'!$I$7:$I$126,'[FC Eingabe.xlsx]FC Eingabe'!$F$7:$F$126,C153,'[FC Eingabe.xlsx]FC Eingabe'!$K$7:$K$126,"Wirksam")</f>
        <v/>
      </c>
      <c r="N153" s="13">
        <f>H153+K153+SUMIFS('[FC Eingabe.xlsx]FC Eingabe'!$H$7:$H$126,'[FC Eingabe.xlsx]FC Eingabe'!$F$7:$F$126,C153,'[FC Eingabe.xlsx]FC Eingabe'!$K$7:$K$126,"Wirksam")</f>
        <v/>
      </c>
      <c r="O153" s="13">
        <f>SUM(L153:N153)</f>
        <v/>
      </c>
    </row>
    <row r="154" ht="21" customHeight="1">
      <c r="C154" s="12" t="inlineStr">
        <is>
          <t>W4102154964</t>
        </is>
      </c>
      <c r="D154" s="12" t="inlineStr">
        <is>
          <t>PKW Schalk CB - TV 93</t>
        </is>
      </c>
      <c r="E154" s="12" t="inlineStr">
        <is>
          <t>West</t>
        </is>
      </c>
      <c r="F154" s="13" t="n">
        <v>0</v>
      </c>
      <c r="G154" s="13" t="n">
        <v>-10291.6</v>
      </c>
      <c r="H154" s="13" t="n">
        <v>0</v>
      </c>
      <c r="I154" s="13" t="n">
        <v>0</v>
      </c>
      <c r="J154" s="13" t="n">
        <v>0</v>
      </c>
      <c r="K154" s="13" t="n">
        <v>0</v>
      </c>
      <c r="L154" s="13">
        <f>F154+I154+SUMIFS('[FC Eingabe.xlsx]FC Eingabe'!$G$7:$G$126,'[FC Eingabe.xlsx]FC Eingabe'!$F$7:$F$126,C154,'[FC Eingabe.xlsx]FC Eingabe'!$K$7:$K$126,"Wirksam")</f>
        <v/>
      </c>
      <c r="M154" s="13">
        <f>G154+J154-SUMIFS('[FC Eingabe.xlsx]FC Eingabe'!$I$7:$I$126,'[FC Eingabe.xlsx]FC Eingabe'!$F$7:$F$126,C154,'[FC Eingabe.xlsx]FC Eingabe'!$K$7:$K$126,"Wirksam")</f>
        <v/>
      </c>
      <c r="N154" s="13">
        <f>H154+K154+SUMIFS('[FC Eingabe.xlsx]FC Eingabe'!$H$7:$H$126,'[FC Eingabe.xlsx]FC Eingabe'!$F$7:$F$126,C154,'[FC Eingabe.xlsx]FC Eingabe'!$K$7:$K$126,"Wirksam")</f>
        <v/>
      </c>
      <c r="O154" s="13">
        <f>SUM(L154:N154)</f>
        <v/>
      </c>
    </row>
    <row r="155" ht="21" customHeight="1">
      <c r="C155" s="12" t="inlineStr">
        <is>
          <t>W4102154966</t>
        </is>
      </c>
      <c r="D155" s="12" t="inlineStr">
        <is>
          <t>PKW Kilinc</t>
        </is>
      </c>
      <c r="E155" s="12" t="inlineStr">
        <is>
          <t>West</t>
        </is>
      </c>
      <c r="F155" s="13" t="n">
        <v>0</v>
      </c>
      <c r="G155" s="13" t="n">
        <v>-10045.97</v>
      </c>
      <c r="H155" s="13" t="n">
        <v>0</v>
      </c>
      <c r="I155" s="13" t="n">
        <v>0</v>
      </c>
      <c r="J155" s="13" t="n">
        <v>0</v>
      </c>
      <c r="K155" s="13" t="n">
        <v>0</v>
      </c>
      <c r="L155" s="13">
        <f>F155+I155+SUMIFS('[FC Eingabe.xlsx]FC Eingabe'!$G$7:$G$126,'[FC Eingabe.xlsx]FC Eingabe'!$F$7:$F$126,C155,'[FC Eingabe.xlsx]FC Eingabe'!$K$7:$K$126,"Wirksam")</f>
        <v/>
      </c>
      <c r="M155" s="13">
        <f>G155+J155-SUMIFS('[FC Eingabe.xlsx]FC Eingabe'!$I$7:$I$126,'[FC Eingabe.xlsx]FC Eingabe'!$F$7:$F$126,C155,'[FC Eingabe.xlsx]FC Eingabe'!$K$7:$K$126,"Wirksam")</f>
        <v/>
      </c>
      <c r="N155" s="13">
        <f>H155+K155+SUMIFS('[FC Eingabe.xlsx]FC Eingabe'!$H$7:$H$126,'[FC Eingabe.xlsx]FC Eingabe'!$F$7:$F$126,C155,'[FC Eingabe.xlsx]FC Eingabe'!$K$7:$K$126,"Wirksam")</f>
        <v/>
      </c>
      <c r="O155" s="13">
        <f>SUM(L155:N155)</f>
        <v/>
      </c>
    </row>
    <row r="156" ht="21" customHeight="1">
      <c r="C156" s="12" t="inlineStr">
        <is>
          <t>W4102154967</t>
        </is>
      </c>
      <c r="D156" s="12" t="inlineStr">
        <is>
          <t>CB - VT 585  Hr. Büskens</t>
        </is>
      </c>
      <c r="E156" s="12" t="inlineStr">
        <is>
          <t>West</t>
        </is>
      </c>
      <c r="F156" s="13" t="n">
        <v>0</v>
      </c>
      <c r="G156" s="13" t="n">
        <v>-13211</v>
      </c>
      <c r="H156" s="13" t="n">
        <v>0</v>
      </c>
      <c r="I156" s="13" t="n">
        <v>0</v>
      </c>
      <c r="J156" s="13" t="n">
        <v>0</v>
      </c>
      <c r="K156" s="13" t="n">
        <v>0</v>
      </c>
      <c r="L156" s="13">
        <f>F156+I156+SUMIFS('[FC Eingabe.xlsx]FC Eingabe'!$G$7:$G$126,'[FC Eingabe.xlsx]FC Eingabe'!$F$7:$F$126,C156,'[FC Eingabe.xlsx]FC Eingabe'!$K$7:$K$126,"Wirksam")</f>
        <v/>
      </c>
      <c r="M156" s="13">
        <f>G156+J156-SUMIFS('[FC Eingabe.xlsx]FC Eingabe'!$I$7:$I$126,'[FC Eingabe.xlsx]FC Eingabe'!$F$7:$F$126,C156,'[FC Eingabe.xlsx]FC Eingabe'!$K$7:$K$126,"Wirksam")</f>
        <v/>
      </c>
      <c r="N156" s="13">
        <f>H156+K156+SUMIFS('[FC Eingabe.xlsx]FC Eingabe'!$H$7:$H$126,'[FC Eingabe.xlsx]FC Eingabe'!$F$7:$F$126,C156,'[FC Eingabe.xlsx]FC Eingabe'!$K$7:$K$126,"Wirksam")</f>
        <v/>
      </c>
      <c r="O156" s="13">
        <f>SUM(L156:N156)</f>
        <v/>
      </c>
    </row>
    <row r="157" ht="21" customHeight="1">
      <c r="C157" s="12" t="inlineStr">
        <is>
          <t>W4102154968</t>
        </is>
      </c>
      <c r="D157" s="12" t="inlineStr">
        <is>
          <t>06-07/26 Mietwagen Hr. Lanzar</t>
        </is>
      </c>
      <c r="E157" s="12" t="inlineStr">
        <is>
          <t>West</t>
        </is>
      </c>
      <c r="F157" s="13" t="n">
        <v>0</v>
      </c>
      <c r="G157" s="13" t="n">
        <v>-1698.87</v>
      </c>
      <c r="H157" s="13" t="n">
        <v>0</v>
      </c>
      <c r="I157" s="13" t="n">
        <v>0</v>
      </c>
      <c r="J157" s="13" t="n">
        <v>0</v>
      </c>
      <c r="K157" s="13" t="n">
        <v>0</v>
      </c>
      <c r="L157" s="13">
        <f>F157+I157+SUMIFS('[FC Eingabe.xlsx]FC Eingabe'!$G$7:$G$126,'[FC Eingabe.xlsx]FC Eingabe'!$F$7:$F$126,C157,'[FC Eingabe.xlsx]FC Eingabe'!$K$7:$K$126,"Wirksam")</f>
        <v/>
      </c>
      <c r="M157" s="13">
        <f>G157+J157-SUMIFS('[FC Eingabe.xlsx]FC Eingabe'!$I$7:$I$126,'[FC Eingabe.xlsx]FC Eingabe'!$F$7:$F$126,C157,'[FC Eingabe.xlsx]FC Eingabe'!$K$7:$K$126,"Wirksam")</f>
        <v/>
      </c>
      <c r="N157" s="13">
        <f>H157+K157+SUMIFS('[FC Eingabe.xlsx]FC Eingabe'!$H$7:$H$126,'[FC Eingabe.xlsx]FC Eingabe'!$F$7:$F$126,C157,'[FC Eingabe.xlsx]FC Eingabe'!$K$7:$K$126,"Wirksam")</f>
        <v/>
      </c>
      <c r="O157" s="13">
        <f>SUM(L157:N157)</f>
        <v/>
      </c>
    </row>
    <row r="158" ht="21" customHeight="1">
      <c r="C158" s="12" t="inlineStr">
        <is>
          <t>W4102157414</t>
        </is>
      </c>
      <c r="D158" s="12" t="inlineStr">
        <is>
          <t>Krandemontage</t>
        </is>
      </c>
      <c r="E158" s="12" t="inlineStr">
        <is>
          <t>West</t>
        </is>
      </c>
      <c r="F158" s="13" t="n">
        <v>0</v>
      </c>
      <c r="G158" s="13" t="n">
        <v>0</v>
      </c>
      <c r="H158" s="13" t="n">
        <v>0</v>
      </c>
      <c r="I158" s="13" t="n">
        <v>0</v>
      </c>
      <c r="J158" s="13" t="n">
        <v>0</v>
      </c>
      <c r="K158" s="13" t="n">
        <v>0</v>
      </c>
      <c r="L158" s="13">
        <f>F158+I158+SUMIFS('[FC Eingabe.xlsx]FC Eingabe'!$G$7:$G$126,'[FC Eingabe.xlsx]FC Eingabe'!$F$7:$F$126,C158,'[FC Eingabe.xlsx]FC Eingabe'!$K$7:$K$126,"Wirksam")</f>
        <v/>
      </c>
      <c r="M158" s="13">
        <f>G158+J158-SUMIFS('[FC Eingabe.xlsx]FC Eingabe'!$I$7:$I$126,'[FC Eingabe.xlsx]FC Eingabe'!$F$7:$F$126,C158,'[FC Eingabe.xlsx]FC Eingabe'!$K$7:$K$126,"Wirksam")</f>
        <v/>
      </c>
      <c r="N158" s="13">
        <f>H158+K158+SUMIFS('[FC Eingabe.xlsx]FC Eingabe'!$H$7:$H$126,'[FC Eingabe.xlsx]FC Eingabe'!$F$7:$F$126,C158,'[FC Eingabe.xlsx]FC Eingabe'!$K$7:$K$126,"Wirksam")</f>
        <v/>
      </c>
      <c r="O158" s="13">
        <f>SUM(L158:N158)</f>
        <v/>
      </c>
    </row>
    <row r="159" ht="21" customHeight="1">
      <c r="C159" s="12" t="inlineStr">
        <is>
          <t>W4102304411</t>
        </is>
      </c>
      <c r="D159" s="12" t="inlineStr">
        <is>
          <t>Vetrieb Region Sued-West</t>
        </is>
      </c>
      <c r="E159" s="12" t="inlineStr">
        <is>
          <t>Süd-West</t>
        </is>
      </c>
      <c r="F159" s="13" t="n">
        <v>0</v>
      </c>
      <c r="G159" s="13" t="n">
        <v>-94648.47</v>
      </c>
      <c r="H159" s="13" t="n">
        <v>0</v>
      </c>
      <c r="I159" s="13" t="n">
        <v>0</v>
      </c>
      <c r="J159" s="13" t="n">
        <v>0</v>
      </c>
      <c r="K159" s="13" t="n">
        <v>0</v>
      </c>
      <c r="L159" s="13">
        <f>F159+I159+SUMIFS('[FC Eingabe.xlsx]FC Eingabe'!$G$7:$G$126,'[FC Eingabe.xlsx]FC Eingabe'!$F$7:$F$126,C159,'[FC Eingabe.xlsx]FC Eingabe'!$K$7:$K$126,"Wirksam")</f>
        <v/>
      </c>
      <c r="M159" s="13">
        <f>G159+J159-SUMIFS('[FC Eingabe.xlsx]FC Eingabe'!$I$7:$I$126,'[FC Eingabe.xlsx]FC Eingabe'!$F$7:$F$126,C159,'[FC Eingabe.xlsx]FC Eingabe'!$K$7:$K$126,"Wirksam")</f>
        <v/>
      </c>
      <c r="N159" s="13">
        <f>H159+K159+SUMIFS('[FC Eingabe.xlsx]FC Eingabe'!$H$7:$H$126,'[FC Eingabe.xlsx]FC Eingabe'!$F$7:$F$126,C159,'[FC Eingabe.xlsx]FC Eingabe'!$K$7:$K$126,"Wirksam")</f>
        <v/>
      </c>
      <c r="O159" s="13">
        <f>SUM(L159:N159)</f>
        <v/>
      </c>
    </row>
    <row r="160" ht="21" customHeight="1">
      <c r="C160" s="12" t="inlineStr">
        <is>
          <t>W4102304412</t>
        </is>
      </c>
      <c r="D160" s="12" t="inlineStr">
        <is>
          <t>Fremdfirmenstuetzupunkt</t>
        </is>
      </c>
      <c r="E160" s="12" t="inlineStr">
        <is>
          <t>Süd-West</t>
        </is>
      </c>
      <c r="F160" s="13" t="n">
        <v>0</v>
      </c>
      <c r="G160" s="13" t="n">
        <v>-2488</v>
      </c>
      <c r="H160" s="13" t="n">
        <v>0</v>
      </c>
      <c r="I160" s="13" t="n">
        <v>0</v>
      </c>
      <c r="J160" s="13" t="n">
        <v>0</v>
      </c>
      <c r="K160" s="13" t="n">
        <v>0</v>
      </c>
      <c r="L160" s="13">
        <f>F160+I160+SUMIFS('[FC Eingabe.xlsx]FC Eingabe'!$G$7:$G$126,'[FC Eingabe.xlsx]FC Eingabe'!$F$7:$F$126,C160,'[FC Eingabe.xlsx]FC Eingabe'!$K$7:$K$126,"Wirksam")</f>
        <v/>
      </c>
      <c r="M160" s="13">
        <f>G160+J160-SUMIFS('[FC Eingabe.xlsx]FC Eingabe'!$I$7:$I$126,'[FC Eingabe.xlsx]FC Eingabe'!$F$7:$F$126,C160,'[FC Eingabe.xlsx]FC Eingabe'!$K$7:$K$126,"Wirksam")</f>
        <v/>
      </c>
      <c r="N160" s="13">
        <f>H160+K160+SUMIFS('[FC Eingabe.xlsx]FC Eingabe'!$H$7:$H$126,'[FC Eingabe.xlsx]FC Eingabe'!$F$7:$F$126,C160,'[FC Eingabe.xlsx]FC Eingabe'!$K$7:$K$126,"Wirksam")</f>
        <v/>
      </c>
      <c r="O160" s="13">
        <f>SUM(L160:N160)</f>
        <v/>
      </c>
    </row>
    <row r="161" ht="21" customHeight="1">
      <c r="C161" s="12" t="inlineStr">
        <is>
          <t>W4102304611</t>
        </is>
      </c>
      <c r="D161" s="12" t="inlineStr">
        <is>
          <t>Lager Region Sued-West</t>
        </is>
      </c>
      <c r="E161" s="12" t="inlineStr">
        <is>
          <t>Süd-West</t>
        </is>
      </c>
      <c r="F161" s="13" t="n">
        <v>0</v>
      </c>
      <c r="G161" s="13" t="n">
        <v>-88828.60000000001</v>
      </c>
      <c r="H161" s="13" t="n">
        <v>0</v>
      </c>
      <c r="I161" s="13" t="n">
        <v>0</v>
      </c>
      <c r="J161" s="13" t="n">
        <v>0</v>
      </c>
      <c r="K161" s="13" t="n">
        <v>0</v>
      </c>
      <c r="L161" s="13">
        <f>F161+I161+SUMIFS('[FC Eingabe.xlsx]FC Eingabe'!$G$7:$G$126,'[FC Eingabe.xlsx]FC Eingabe'!$F$7:$F$126,C161,'[FC Eingabe.xlsx]FC Eingabe'!$K$7:$K$126,"Wirksam")</f>
        <v/>
      </c>
      <c r="M161" s="13">
        <f>G161+J161-SUMIFS('[FC Eingabe.xlsx]FC Eingabe'!$I$7:$I$126,'[FC Eingabe.xlsx]FC Eingabe'!$F$7:$F$126,C161,'[FC Eingabe.xlsx]FC Eingabe'!$K$7:$K$126,"Wirksam")</f>
        <v/>
      </c>
      <c r="N161" s="13">
        <f>H161+K161+SUMIFS('[FC Eingabe.xlsx]FC Eingabe'!$H$7:$H$126,'[FC Eingabe.xlsx]FC Eingabe'!$F$7:$F$126,C161,'[FC Eingabe.xlsx]FC Eingabe'!$K$7:$K$126,"Wirksam")</f>
        <v/>
      </c>
      <c r="O161" s="13">
        <f>SUM(L161:N161)</f>
        <v/>
      </c>
    </row>
    <row r="162" ht="21" customHeight="1">
      <c r="C162" s="12" t="inlineStr">
        <is>
          <t>W4102304943</t>
        </is>
      </c>
      <c r="D162" s="12" t="inlineStr">
        <is>
          <t>CB - TV 90 Hr. Flamme</t>
        </is>
      </c>
      <c r="E162" s="12" t="inlineStr">
        <is>
          <t>Süd-West</t>
        </is>
      </c>
      <c r="F162" s="13" t="n">
        <v>0</v>
      </c>
      <c r="G162" s="13" t="n">
        <v>-11735.18</v>
      </c>
      <c r="H162" s="13" t="n">
        <v>0</v>
      </c>
      <c r="I162" s="13" t="n">
        <v>0</v>
      </c>
      <c r="J162" s="13" t="n">
        <v>0</v>
      </c>
      <c r="K162" s="13" t="n">
        <v>0</v>
      </c>
      <c r="L162" s="13">
        <f>F162+I162+SUMIFS('[FC Eingabe.xlsx]FC Eingabe'!$G$7:$G$126,'[FC Eingabe.xlsx]FC Eingabe'!$F$7:$F$126,C162,'[FC Eingabe.xlsx]FC Eingabe'!$K$7:$K$126,"Wirksam")</f>
        <v/>
      </c>
      <c r="M162" s="13">
        <f>G162+J162-SUMIFS('[FC Eingabe.xlsx]FC Eingabe'!$I$7:$I$126,'[FC Eingabe.xlsx]FC Eingabe'!$F$7:$F$126,C162,'[FC Eingabe.xlsx]FC Eingabe'!$K$7:$K$126,"Wirksam")</f>
        <v/>
      </c>
      <c r="N162" s="13">
        <f>H162+K162+SUMIFS('[FC Eingabe.xlsx]FC Eingabe'!$H$7:$H$126,'[FC Eingabe.xlsx]FC Eingabe'!$F$7:$F$126,C162,'[FC Eingabe.xlsx]FC Eingabe'!$K$7:$K$126,"Wirksam")</f>
        <v/>
      </c>
      <c r="O162" s="13">
        <f>SUM(L162:N162)</f>
        <v/>
      </c>
    </row>
    <row r="163" ht="21" customHeight="1">
      <c r="C163" s="12" t="inlineStr">
        <is>
          <t>W4102304946</t>
        </is>
      </c>
      <c r="D163" s="12" t="inlineStr">
        <is>
          <t>CB-AA 552 Sesjunin</t>
        </is>
      </c>
      <c r="E163" s="12" t="inlineStr">
        <is>
          <t>Süd-West</t>
        </is>
      </c>
      <c r="F163" s="13" t="n">
        <v>0</v>
      </c>
      <c r="G163" s="13" t="n">
        <v>-5317.15</v>
      </c>
      <c r="H163" s="13" t="n">
        <v>0</v>
      </c>
      <c r="I163" s="13" t="n">
        <v>0</v>
      </c>
      <c r="J163" s="13" t="n">
        <v>0</v>
      </c>
      <c r="K163" s="13" t="n">
        <v>0</v>
      </c>
      <c r="L163" s="13">
        <f>F163+I163+SUMIFS('[FC Eingabe.xlsx]FC Eingabe'!$G$7:$G$126,'[FC Eingabe.xlsx]FC Eingabe'!$F$7:$F$126,C163,'[FC Eingabe.xlsx]FC Eingabe'!$K$7:$K$126,"Wirksam")</f>
        <v/>
      </c>
      <c r="M163" s="13">
        <f>G163+J163-SUMIFS('[FC Eingabe.xlsx]FC Eingabe'!$I$7:$I$126,'[FC Eingabe.xlsx]FC Eingabe'!$F$7:$F$126,C163,'[FC Eingabe.xlsx]FC Eingabe'!$K$7:$K$126,"Wirksam")</f>
        <v/>
      </c>
      <c r="N163" s="13">
        <f>H163+K163+SUMIFS('[FC Eingabe.xlsx]FC Eingabe'!$H$7:$H$126,'[FC Eingabe.xlsx]FC Eingabe'!$F$7:$F$126,C163,'[FC Eingabe.xlsx]FC Eingabe'!$K$7:$K$126,"Wirksam")</f>
        <v/>
      </c>
      <c r="O163" s="13">
        <f>SUM(L163:N163)</f>
        <v/>
      </c>
    </row>
    <row r="164" ht="21" customHeight="1">
      <c r="C164" s="12" t="inlineStr">
        <is>
          <t>W4102304947</t>
        </is>
      </c>
      <c r="D164" s="12" t="inlineStr">
        <is>
          <t>CB-AB 644 Passat Herr Yavuz</t>
        </is>
      </c>
      <c r="E164" s="12" t="inlineStr">
        <is>
          <t>Süd-West</t>
        </is>
      </c>
      <c r="F164" s="13" t="n">
        <v>0</v>
      </c>
      <c r="G164" s="13" t="n">
        <v>-30</v>
      </c>
      <c r="H164" s="13" t="n">
        <v>0</v>
      </c>
      <c r="I164" s="13" t="n">
        <v>0</v>
      </c>
      <c r="J164" s="13" t="n">
        <v>0</v>
      </c>
      <c r="K164" s="13" t="n">
        <v>0</v>
      </c>
      <c r="L164" s="13">
        <f>F164+I164+SUMIFS('[FC Eingabe.xlsx]FC Eingabe'!$G$7:$G$126,'[FC Eingabe.xlsx]FC Eingabe'!$F$7:$F$126,C164,'[FC Eingabe.xlsx]FC Eingabe'!$K$7:$K$126,"Wirksam")</f>
        <v/>
      </c>
      <c r="M164" s="13">
        <f>G164+J164-SUMIFS('[FC Eingabe.xlsx]FC Eingabe'!$I$7:$I$126,'[FC Eingabe.xlsx]FC Eingabe'!$F$7:$F$126,C164,'[FC Eingabe.xlsx]FC Eingabe'!$K$7:$K$126,"Wirksam")</f>
        <v/>
      </c>
      <c r="N164" s="13">
        <f>H164+K164+SUMIFS('[FC Eingabe.xlsx]FC Eingabe'!$H$7:$H$126,'[FC Eingabe.xlsx]FC Eingabe'!$F$7:$F$126,C164,'[FC Eingabe.xlsx]FC Eingabe'!$K$7:$K$126,"Wirksam")</f>
        <v/>
      </c>
      <c r="O164" s="13">
        <f>SUM(L164:N164)</f>
        <v/>
      </c>
    </row>
    <row r="165" ht="21" customHeight="1">
      <c r="C165" s="12" t="inlineStr">
        <is>
          <t>W4102307411</t>
        </is>
      </c>
      <c r="D165" s="12" t="inlineStr">
        <is>
          <t>BASF - G 521</t>
        </is>
      </c>
      <c r="E165" s="12" t="inlineStr">
        <is>
          <t>Süd-West</t>
        </is>
      </c>
      <c r="F165" s="13" t="n">
        <v>0</v>
      </c>
      <c r="G165" s="13" t="n">
        <v>-580</v>
      </c>
      <c r="H165" s="13" t="n">
        <v>0</v>
      </c>
      <c r="I165" s="13" t="n">
        <v>0</v>
      </c>
      <c r="J165" s="13" t="n">
        <v>0</v>
      </c>
      <c r="K165" s="13" t="n">
        <v>0</v>
      </c>
      <c r="L165" s="13">
        <f>F165+I165+SUMIFS('[FC Eingabe.xlsx]FC Eingabe'!$G$7:$G$126,'[FC Eingabe.xlsx]FC Eingabe'!$F$7:$F$126,C165,'[FC Eingabe.xlsx]FC Eingabe'!$K$7:$K$126,"Wirksam")</f>
        <v/>
      </c>
      <c r="M165" s="13">
        <f>G165+J165-SUMIFS('[FC Eingabe.xlsx]FC Eingabe'!$I$7:$I$126,'[FC Eingabe.xlsx]FC Eingabe'!$F$7:$F$126,C165,'[FC Eingabe.xlsx]FC Eingabe'!$K$7:$K$126,"Wirksam")</f>
        <v/>
      </c>
      <c r="N165" s="13">
        <f>H165+K165+SUMIFS('[FC Eingabe.xlsx]FC Eingabe'!$H$7:$H$126,'[FC Eingabe.xlsx]FC Eingabe'!$F$7:$F$126,C165,'[FC Eingabe.xlsx]FC Eingabe'!$K$7:$K$126,"Wirksam")</f>
        <v/>
      </c>
      <c r="O165" s="13">
        <f>SUM(L165:N165)</f>
        <v/>
      </c>
    </row>
    <row r="166" ht="21" customHeight="1">
      <c r="C166" s="12" t="inlineStr">
        <is>
          <t>W4102504101</t>
        </is>
      </c>
      <c r="D166" s="12" t="inlineStr">
        <is>
          <t>Kaufm. Geschäftsfüh.</t>
        </is>
      </c>
      <c r="E166" s="12" t="inlineStr">
        <is>
          <t>Verwaltung</t>
        </is>
      </c>
      <c r="F166" s="13" t="n">
        <v>0</v>
      </c>
      <c r="G166" s="13" t="n">
        <v>-7</v>
      </c>
      <c r="H166" s="13" t="n">
        <v>0</v>
      </c>
      <c r="I166" s="13" t="n">
        <v>0</v>
      </c>
      <c r="J166" s="13" t="n">
        <v>0</v>
      </c>
      <c r="K166" s="13" t="n">
        <v>0</v>
      </c>
      <c r="L166" s="13">
        <f>F166+I166+SUMIFS('[FC Eingabe.xlsx]FC Eingabe'!$G$7:$G$126,'[FC Eingabe.xlsx]FC Eingabe'!$F$7:$F$126,C166,'[FC Eingabe.xlsx]FC Eingabe'!$K$7:$K$126,"Wirksam")</f>
        <v/>
      </c>
      <c r="M166" s="13">
        <f>G166+J166-SUMIFS('[FC Eingabe.xlsx]FC Eingabe'!$I$7:$I$126,'[FC Eingabe.xlsx]FC Eingabe'!$F$7:$F$126,C166,'[FC Eingabe.xlsx]FC Eingabe'!$K$7:$K$126,"Wirksam")</f>
        <v/>
      </c>
      <c r="N166" s="13">
        <f>H166+K166+SUMIFS('[FC Eingabe.xlsx]FC Eingabe'!$H$7:$H$126,'[FC Eingabe.xlsx]FC Eingabe'!$F$7:$F$126,C166,'[FC Eingabe.xlsx]FC Eingabe'!$K$7:$K$126,"Wirksam")</f>
        <v/>
      </c>
      <c r="O166" s="13">
        <f>SUM(L166:N166)</f>
        <v/>
      </c>
    </row>
    <row r="167" ht="21" customHeight="1">
      <c r="C167" s="12" t="inlineStr">
        <is>
          <t>W4102504102</t>
        </is>
      </c>
      <c r="D167" s="12" t="inlineStr">
        <is>
          <t>Techn. Geschäftsfüh.</t>
        </is>
      </c>
      <c r="E167" s="12" t="inlineStr">
        <is>
          <t>Verwaltung</t>
        </is>
      </c>
      <c r="F167" s="13" t="n">
        <v>0</v>
      </c>
      <c r="G167" s="13" t="n">
        <v>0</v>
      </c>
      <c r="H167" s="13" t="n">
        <v>0</v>
      </c>
      <c r="I167" s="13" t="n">
        <v>0</v>
      </c>
      <c r="J167" s="13" t="n">
        <v>0</v>
      </c>
      <c r="K167" s="13" t="n">
        <v>0</v>
      </c>
      <c r="L167" s="13">
        <f>F167+I167+SUMIFS('[FC Eingabe.xlsx]FC Eingabe'!$G$7:$G$126,'[FC Eingabe.xlsx]FC Eingabe'!$F$7:$F$126,C167,'[FC Eingabe.xlsx]FC Eingabe'!$K$7:$K$126,"Wirksam")</f>
        <v/>
      </c>
      <c r="M167" s="13">
        <f>G167+J167-SUMIFS('[FC Eingabe.xlsx]FC Eingabe'!$I$7:$I$126,'[FC Eingabe.xlsx]FC Eingabe'!$F$7:$F$126,C167,'[FC Eingabe.xlsx]FC Eingabe'!$K$7:$K$126,"Wirksam")</f>
        <v/>
      </c>
      <c r="N167" s="13">
        <f>H167+K167+SUMIFS('[FC Eingabe.xlsx]FC Eingabe'!$H$7:$H$126,'[FC Eingabe.xlsx]FC Eingabe'!$F$7:$F$126,C167,'[FC Eingabe.xlsx]FC Eingabe'!$K$7:$K$126,"Wirksam")</f>
        <v/>
      </c>
      <c r="O167" s="13">
        <f>SUM(L167:N167)</f>
        <v/>
      </c>
    </row>
    <row r="168" ht="21" customHeight="1">
      <c r="C168" s="12" t="inlineStr">
        <is>
          <t>W4102504104</t>
        </is>
      </c>
      <c r="D168" s="12" t="inlineStr">
        <is>
          <t>Dienstleistungsverrechn.</t>
        </is>
      </c>
      <c r="E168" s="12" t="inlineStr">
        <is>
          <t>Verwaltung</t>
        </is>
      </c>
      <c r="F168" s="13" t="n">
        <v>0</v>
      </c>
      <c r="G168" s="13" t="n">
        <v>-48751</v>
      </c>
      <c r="H168" s="13" t="n">
        <v>0</v>
      </c>
      <c r="I168" s="13" t="n">
        <v>0</v>
      </c>
      <c r="J168" s="13" t="n">
        <v>-16100</v>
      </c>
      <c r="K168" s="13" t="n">
        <v>0</v>
      </c>
      <c r="L168" s="13">
        <f>F168+I168+SUMIFS('[FC Eingabe.xlsx]FC Eingabe'!$G$7:$G$126,'[FC Eingabe.xlsx]FC Eingabe'!$F$7:$F$126,C168,'[FC Eingabe.xlsx]FC Eingabe'!$K$7:$K$126,"Wirksam")</f>
        <v/>
      </c>
      <c r="M168" s="13">
        <f>G168+J168-SUMIFS('[FC Eingabe.xlsx]FC Eingabe'!$I$7:$I$126,'[FC Eingabe.xlsx]FC Eingabe'!$F$7:$F$126,C168,'[FC Eingabe.xlsx]FC Eingabe'!$K$7:$K$126,"Wirksam")</f>
        <v/>
      </c>
      <c r="N168" s="13">
        <f>H168+K168+SUMIFS('[FC Eingabe.xlsx]FC Eingabe'!$H$7:$H$126,'[FC Eingabe.xlsx]FC Eingabe'!$F$7:$F$126,C168,'[FC Eingabe.xlsx]FC Eingabe'!$K$7:$K$126,"Wirksam")</f>
        <v/>
      </c>
      <c r="O168" s="13">
        <f>SUM(L168:N168)</f>
        <v/>
      </c>
    </row>
    <row r="169" ht="21" customHeight="1">
      <c r="C169" s="12" t="inlineStr">
        <is>
          <t>W4102504106</t>
        </is>
      </c>
      <c r="D169" s="12" t="inlineStr">
        <is>
          <t>Geschäftsfüh.</t>
        </is>
      </c>
      <c r="E169" s="12" t="inlineStr">
        <is>
          <t>Verwaltung</t>
        </is>
      </c>
      <c r="F169" s="13" t="n">
        <v>0</v>
      </c>
      <c r="G169" s="13" t="n">
        <v>-6447.58</v>
      </c>
      <c r="H169" s="13" t="n">
        <v>0</v>
      </c>
      <c r="I169" s="13" t="n">
        <v>0</v>
      </c>
      <c r="J169" s="13" t="n">
        <v>-2000</v>
      </c>
      <c r="K169" s="13" t="n">
        <v>0</v>
      </c>
      <c r="L169" s="13">
        <f>F169+I169+SUMIFS('[FC Eingabe.xlsx]FC Eingabe'!$G$7:$G$126,'[FC Eingabe.xlsx]FC Eingabe'!$F$7:$F$126,C169,'[FC Eingabe.xlsx]FC Eingabe'!$K$7:$K$126,"Wirksam")</f>
        <v/>
      </c>
      <c r="M169" s="13">
        <f>G169+J169-SUMIFS('[FC Eingabe.xlsx]FC Eingabe'!$I$7:$I$126,'[FC Eingabe.xlsx]FC Eingabe'!$F$7:$F$126,C169,'[FC Eingabe.xlsx]FC Eingabe'!$K$7:$K$126,"Wirksam")</f>
        <v/>
      </c>
      <c r="N169" s="13">
        <f>H169+K169+SUMIFS('[FC Eingabe.xlsx]FC Eingabe'!$H$7:$H$126,'[FC Eingabe.xlsx]FC Eingabe'!$F$7:$F$126,C169,'[FC Eingabe.xlsx]FC Eingabe'!$K$7:$K$126,"Wirksam")</f>
        <v/>
      </c>
      <c r="O169" s="13">
        <f>SUM(L169:N169)</f>
        <v/>
      </c>
    </row>
    <row r="170" ht="21" customHeight="1">
      <c r="C170" s="12" t="inlineStr">
        <is>
          <t>W4102504107</t>
        </is>
      </c>
      <c r="D170" s="12" t="inlineStr">
        <is>
          <t>Geschäftsfüh. Hr Kay</t>
        </is>
      </c>
      <c r="E170" s="12" t="inlineStr">
        <is>
          <t>Verwaltung</t>
        </is>
      </c>
      <c r="F170" s="13" t="n">
        <v>0</v>
      </c>
      <c r="G170" s="13" t="n">
        <v>-685.6799999999999</v>
      </c>
      <c r="H170" s="13" t="n">
        <v>0</v>
      </c>
      <c r="I170" s="13" t="n">
        <v>0</v>
      </c>
      <c r="J170" s="13" t="n">
        <v>0</v>
      </c>
      <c r="K170" s="13" t="n">
        <v>0</v>
      </c>
      <c r="L170" s="13">
        <f>F170+I170+SUMIFS('[FC Eingabe.xlsx]FC Eingabe'!$G$7:$G$126,'[FC Eingabe.xlsx]FC Eingabe'!$F$7:$F$126,C170,'[FC Eingabe.xlsx]FC Eingabe'!$K$7:$K$126,"Wirksam")</f>
        <v/>
      </c>
      <c r="M170" s="13">
        <f>G170+J170-SUMIFS('[FC Eingabe.xlsx]FC Eingabe'!$I$7:$I$126,'[FC Eingabe.xlsx]FC Eingabe'!$F$7:$F$126,C170,'[FC Eingabe.xlsx]FC Eingabe'!$K$7:$K$126,"Wirksam")</f>
        <v/>
      </c>
      <c r="N170" s="13">
        <f>H170+K170+SUMIFS('[FC Eingabe.xlsx]FC Eingabe'!$H$7:$H$126,'[FC Eingabe.xlsx]FC Eingabe'!$F$7:$F$126,C170,'[FC Eingabe.xlsx]FC Eingabe'!$K$7:$K$126,"Wirksam")</f>
        <v/>
      </c>
      <c r="O170" s="13">
        <f>SUM(L170:N170)</f>
        <v/>
      </c>
    </row>
    <row r="171" ht="21" customHeight="1">
      <c r="C171" s="12" t="inlineStr">
        <is>
          <t>W4102504108</t>
        </is>
      </c>
      <c r="D171" s="12" t="inlineStr">
        <is>
          <t>Geschäftsführer Hr. Kenski</t>
        </is>
      </c>
      <c r="E171" s="12" t="inlineStr">
        <is>
          <t>Verwaltung</t>
        </is>
      </c>
      <c r="F171" s="13" t="n">
        <v>0</v>
      </c>
      <c r="G171" s="13" t="n">
        <v>-4155.7</v>
      </c>
      <c r="H171" s="13" t="n">
        <v>0</v>
      </c>
      <c r="I171" s="13" t="n">
        <v>0</v>
      </c>
      <c r="J171" s="13" t="n">
        <v>-2000</v>
      </c>
      <c r="K171" s="13" t="n">
        <v>0</v>
      </c>
      <c r="L171" s="13">
        <f>F171+I171+SUMIFS('[FC Eingabe.xlsx]FC Eingabe'!$G$7:$G$126,'[FC Eingabe.xlsx]FC Eingabe'!$F$7:$F$126,C171,'[FC Eingabe.xlsx]FC Eingabe'!$K$7:$K$126,"Wirksam")</f>
        <v/>
      </c>
      <c r="M171" s="13">
        <f>G171+J171-SUMIFS('[FC Eingabe.xlsx]FC Eingabe'!$I$7:$I$126,'[FC Eingabe.xlsx]FC Eingabe'!$F$7:$F$126,C171,'[FC Eingabe.xlsx]FC Eingabe'!$K$7:$K$126,"Wirksam")</f>
        <v/>
      </c>
      <c r="N171" s="13">
        <f>H171+K171+SUMIFS('[FC Eingabe.xlsx]FC Eingabe'!$H$7:$H$126,'[FC Eingabe.xlsx]FC Eingabe'!$F$7:$F$126,C171,'[FC Eingabe.xlsx]FC Eingabe'!$K$7:$K$126,"Wirksam")</f>
        <v/>
      </c>
      <c r="O171" s="13">
        <f>SUM(L171:N171)</f>
        <v/>
      </c>
    </row>
    <row r="172" ht="21" customHeight="1">
      <c r="C172" s="12" t="inlineStr">
        <is>
          <t>W4102504109</t>
        </is>
      </c>
      <c r="D172" s="12" t="inlineStr">
        <is>
          <t>Geschäftsführerin Frau Langosch</t>
        </is>
      </c>
      <c r="E172" s="12" t="inlineStr">
        <is>
          <t>Verwaltung</t>
        </is>
      </c>
      <c r="F172" s="13" t="n">
        <v>0</v>
      </c>
      <c r="G172" s="13" t="n">
        <v>-4555.48</v>
      </c>
      <c r="H172" s="13" t="n">
        <v>0</v>
      </c>
      <c r="I172" s="13" t="n">
        <v>0</v>
      </c>
      <c r="J172" s="13" t="n">
        <v>0</v>
      </c>
      <c r="K172" s="13" t="n">
        <v>0</v>
      </c>
      <c r="L172" s="13">
        <f>F172+I172+SUMIFS('[FC Eingabe.xlsx]FC Eingabe'!$G$7:$G$126,'[FC Eingabe.xlsx]FC Eingabe'!$F$7:$F$126,C172,'[FC Eingabe.xlsx]FC Eingabe'!$K$7:$K$126,"Wirksam")</f>
        <v/>
      </c>
      <c r="M172" s="13">
        <f>G172+J172-SUMIFS('[FC Eingabe.xlsx]FC Eingabe'!$I$7:$I$126,'[FC Eingabe.xlsx]FC Eingabe'!$F$7:$F$126,C172,'[FC Eingabe.xlsx]FC Eingabe'!$K$7:$K$126,"Wirksam")</f>
        <v/>
      </c>
      <c r="N172" s="13">
        <f>H172+K172+SUMIFS('[FC Eingabe.xlsx]FC Eingabe'!$H$7:$H$126,'[FC Eingabe.xlsx]FC Eingabe'!$F$7:$F$126,C172,'[FC Eingabe.xlsx]FC Eingabe'!$K$7:$K$126,"Wirksam")</f>
        <v/>
      </c>
      <c r="O172" s="13">
        <f>SUM(L172:N172)</f>
        <v/>
      </c>
    </row>
    <row r="173" ht="21" customHeight="1">
      <c r="C173" s="12" t="inlineStr">
        <is>
          <t>W4102504211</t>
        </is>
      </c>
      <c r="D173" s="12" t="inlineStr">
        <is>
          <t>Rechnungsw./Finanzen</t>
        </is>
      </c>
      <c r="E173" s="12" t="inlineStr">
        <is>
          <t>Verwaltung</t>
        </is>
      </c>
      <c r="F173" s="13" t="n">
        <v>0</v>
      </c>
      <c r="G173" s="13" t="n">
        <v>-252.87</v>
      </c>
      <c r="H173" s="13" t="n">
        <v>0</v>
      </c>
      <c r="I173" s="13" t="n">
        <v>0</v>
      </c>
      <c r="J173" s="13" t="n">
        <v>-400</v>
      </c>
      <c r="K173" s="13" t="n">
        <v>0</v>
      </c>
      <c r="L173" s="13">
        <f>F173+I173+SUMIFS('[FC Eingabe.xlsx]FC Eingabe'!$G$7:$G$126,'[FC Eingabe.xlsx]FC Eingabe'!$F$7:$F$126,C173,'[FC Eingabe.xlsx]FC Eingabe'!$K$7:$K$126,"Wirksam")</f>
        <v/>
      </c>
      <c r="M173" s="13">
        <f>G173+J173-SUMIFS('[FC Eingabe.xlsx]FC Eingabe'!$I$7:$I$126,'[FC Eingabe.xlsx]FC Eingabe'!$F$7:$F$126,C173,'[FC Eingabe.xlsx]FC Eingabe'!$K$7:$K$126,"Wirksam")</f>
        <v/>
      </c>
      <c r="N173" s="13">
        <f>H173+K173+SUMIFS('[FC Eingabe.xlsx]FC Eingabe'!$H$7:$H$126,'[FC Eingabe.xlsx]FC Eingabe'!$F$7:$F$126,C173,'[FC Eingabe.xlsx]FC Eingabe'!$K$7:$K$126,"Wirksam")</f>
        <v/>
      </c>
      <c r="O173" s="13">
        <f>SUM(L173:N173)</f>
        <v/>
      </c>
    </row>
    <row r="174" ht="21" customHeight="1">
      <c r="C174" s="12" t="inlineStr">
        <is>
          <t>W4102504221</t>
        </is>
      </c>
      <c r="D174" s="12" t="inlineStr">
        <is>
          <t>Übriges Personal</t>
        </is>
      </c>
      <c r="E174" s="12" t="inlineStr">
        <is>
          <t>Verwaltung</t>
        </is>
      </c>
      <c r="F174" s="13" t="n">
        <v>0</v>
      </c>
      <c r="G174" s="13" t="n">
        <v>-2695.76</v>
      </c>
      <c r="H174" s="13" t="n">
        <v>0</v>
      </c>
      <c r="I174" s="13" t="n">
        <v>0</v>
      </c>
      <c r="J174" s="13" t="n">
        <v>-500</v>
      </c>
      <c r="K174" s="13" t="n">
        <v>0</v>
      </c>
      <c r="L174" s="13">
        <f>F174+I174+SUMIFS('[FC Eingabe.xlsx]FC Eingabe'!$G$7:$G$126,'[FC Eingabe.xlsx]FC Eingabe'!$F$7:$F$126,C174,'[FC Eingabe.xlsx]FC Eingabe'!$K$7:$K$126,"Wirksam")</f>
        <v/>
      </c>
      <c r="M174" s="13">
        <f>G174+J174-SUMIFS('[FC Eingabe.xlsx]FC Eingabe'!$I$7:$I$126,'[FC Eingabe.xlsx]FC Eingabe'!$F$7:$F$126,C174,'[FC Eingabe.xlsx]FC Eingabe'!$K$7:$K$126,"Wirksam")</f>
        <v/>
      </c>
      <c r="N174" s="13">
        <f>H174+K174+SUMIFS('[FC Eingabe.xlsx]FC Eingabe'!$H$7:$H$126,'[FC Eingabe.xlsx]FC Eingabe'!$F$7:$F$126,C174,'[FC Eingabe.xlsx]FC Eingabe'!$K$7:$K$126,"Wirksam")</f>
        <v/>
      </c>
      <c r="O174" s="13">
        <f>SUM(L174:N174)</f>
        <v/>
      </c>
    </row>
    <row r="175" ht="21" customHeight="1">
      <c r="C175" s="12" t="inlineStr">
        <is>
          <t>W4102504222</t>
        </is>
      </c>
      <c r="D175" s="12" t="inlineStr">
        <is>
          <t>Sonstige Sachkosten</t>
        </is>
      </c>
      <c r="E175" s="12" t="inlineStr">
        <is>
          <t>Verwaltung</t>
        </is>
      </c>
      <c r="F175" s="13" t="n">
        <v>0</v>
      </c>
      <c r="G175" s="13" t="n">
        <v>-385636.12</v>
      </c>
      <c r="H175" s="13" t="n">
        <v>0</v>
      </c>
      <c r="I175" s="13" t="n">
        <v>0</v>
      </c>
      <c r="J175" s="13" t="n">
        <v>-170000</v>
      </c>
      <c r="K175" s="13" t="n">
        <v>0</v>
      </c>
      <c r="L175" s="13">
        <f>F175+I175+SUMIFS('[FC Eingabe.xlsx]FC Eingabe'!$G$7:$G$126,'[FC Eingabe.xlsx]FC Eingabe'!$F$7:$F$126,C175,'[FC Eingabe.xlsx]FC Eingabe'!$K$7:$K$126,"Wirksam")</f>
        <v/>
      </c>
      <c r="M175" s="13">
        <f>G175+J175-SUMIFS('[FC Eingabe.xlsx]FC Eingabe'!$I$7:$I$126,'[FC Eingabe.xlsx]FC Eingabe'!$F$7:$F$126,C175,'[FC Eingabe.xlsx]FC Eingabe'!$K$7:$K$126,"Wirksam")</f>
        <v/>
      </c>
      <c r="N175" s="13">
        <f>H175+K175+SUMIFS('[FC Eingabe.xlsx]FC Eingabe'!$H$7:$H$126,'[FC Eingabe.xlsx]FC Eingabe'!$F$7:$F$126,C175,'[FC Eingabe.xlsx]FC Eingabe'!$K$7:$K$126,"Wirksam")</f>
        <v/>
      </c>
      <c r="O175" s="13">
        <f>SUM(L175:N175)</f>
        <v/>
      </c>
    </row>
    <row r="176" ht="21" customHeight="1">
      <c r="C176" s="12" t="inlineStr">
        <is>
          <t>W4102504262</t>
        </is>
      </c>
      <c r="D176" s="12" t="inlineStr">
        <is>
          <t>Zentrale EDV</t>
        </is>
      </c>
      <c r="E176" s="12" t="inlineStr">
        <is>
          <t>Verwaltung</t>
        </is>
      </c>
      <c r="F176" s="13" t="n">
        <v>0</v>
      </c>
      <c r="G176" s="13" t="n">
        <v>-65966.71000000001</v>
      </c>
      <c r="H176" s="13" t="n">
        <v>0</v>
      </c>
      <c r="I176" s="13" t="n">
        <v>0</v>
      </c>
      <c r="J176" s="13" t="n">
        <v>-22000</v>
      </c>
      <c r="K176" s="13" t="n">
        <v>0</v>
      </c>
      <c r="L176" s="13">
        <f>F176+I176+SUMIFS('[FC Eingabe.xlsx]FC Eingabe'!$G$7:$G$126,'[FC Eingabe.xlsx]FC Eingabe'!$F$7:$F$126,C176,'[FC Eingabe.xlsx]FC Eingabe'!$K$7:$K$126,"Wirksam")</f>
        <v/>
      </c>
      <c r="M176" s="13">
        <f>G176+J176-SUMIFS('[FC Eingabe.xlsx]FC Eingabe'!$I$7:$I$126,'[FC Eingabe.xlsx]FC Eingabe'!$F$7:$F$126,C176,'[FC Eingabe.xlsx]FC Eingabe'!$K$7:$K$126,"Wirksam")</f>
        <v/>
      </c>
      <c r="N176" s="13">
        <f>H176+K176+SUMIFS('[FC Eingabe.xlsx]FC Eingabe'!$H$7:$H$126,'[FC Eingabe.xlsx]FC Eingabe'!$F$7:$F$126,C176,'[FC Eingabe.xlsx]FC Eingabe'!$K$7:$K$126,"Wirksam")</f>
        <v/>
      </c>
      <c r="O176" s="13">
        <f>SUM(L176:N176)</f>
        <v/>
      </c>
    </row>
    <row r="177" ht="21" customHeight="1">
      <c r="C177" s="12" t="inlineStr">
        <is>
          <t>W4102504941</t>
        </is>
      </c>
      <c r="D177" s="12" t="inlineStr">
        <is>
          <t>Betriebsrat</t>
        </is>
      </c>
      <c r="E177" s="12" t="inlineStr">
        <is>
          <t>Verwaltung</t>
        </is>
      </c>
      <c r="F177" s="13" t="n">
        <v>0</v>
      </c>
      <c r="G177" s="13" t="n">
        <v>-590.37</v>
      </c>
      <c r="H177" s="13" t="n">
        <v>0</v>
      </c>
      <c r="I177" s="13" t="n">
        <v>0</v>
      </c>
      <c r="J177" s="13" t="n">
        <v>-400</v>
      </c>
      <c r="K177" s="13" t="n">
        <v>0</v>
      </c>
      <c r="L177" s="13">
        <f>F177+I177+SUMIFS('[FC Eingabe.xlsx]FC Eingabe'!$G$7:$G$126,'[FC Eingabe.xlsx]FC Eingabe'!$F$7:$F$126,C177,'[FC Eingabe.xlsx]FC Eingabe'!$K$7:$K$126,"Wirksam")</f>
        <v/>
      </c>
      <c r="M177" s="13">
        <f>G177+J177-SUMIFS('[FC Eingabe.xlsx]FC Eingabe'!$I$7:$I$126,'[FC Eingabe.xlsx]FC Eingabe'!$F$7:$F$126,C177,'[FC Eingabe.xlsx]FC Eingabe'!$K$7:$K$126,"Wirksam")</f>
        <v/>
      </c>
      <c r="N177" s="13">
        <f>H177+K177+SUMIFS('[FC Eingabe.xlsx]FC Eingabe'!$H$7:$H$126,'[FC Eingabe.xlsx]FC Eingabe'!$F$7:$F$126,C177,'[FC Eingabe.xlsx]FC Eingabe'!$K$7:$K$126,"Wirksam")</f>
        <v/>
      </c>
      <c r="O177" s="13">
        <f>SUM(L177:N177)</f>
        <v/>
      </c>
    </row>
    <row r="178" ht="21" customHeight="1">
      <c r="C178" s="12" t="inlineStr">
        <is>
          <t>W4102504951</t>
        </is>
      </c>
      <c r="D178" s="12" t="inlineStr">
        <is>
          <t>Steuern</t>
        </is>
      </c>
      <c r="E178" s="12" t="inlineStr">
        <is>
          <t>Verwaltung</t>
        </is>
      </c>
      <c r="F178" s="13" t="n">
        <v>0</v>
      </c>
      <c r="G178" s="13" t="n">
        <v>-10.5</v>
      </c>
      <c r="H178" s="13" t="n">
        <v>0</v>
      </c>
      <c r="I178" s="13" t="n">
        <v>0</v>
      </c>
      <c r="J178" s="13" t="n">
        <v>0</v>
      </c>
      <c r="K178" s="13" t="n">
        <v>0</v>
      </c>
      <c r="L178" s="13">
        <f>F178+I178+SUMIFS('[FC Eingabe.xlsx]FC Eingabe'!$G$7:$G$126,'[FC Eingabe.xlsx]FC Eingabe'!$F$7:$F$126,C178,'[FC Eingabe.xlsx]FC Eingabe'!$K$7:$K$126,"Wirksam")</f>
        <v/>
      </c>
      <c r="M178" s="13">
        <f>G178+J178-SUMIFS('[FC Eingabe.xlsx]FC Eingabe'!$I$7:$I$126,'[FC Eingabe.xlsx]FC Eingabe'!$F$7:$F$126,C178,'[FC Eingabe.xlsx]FC Eingabe'!$K$7:$K$126,"Wirksam")</f>
        <v/>
      </c>
      <c r="N178" s="13">
        <f>H178+K178+SUMIFS('[FC Eingabe.xlsx]FC Eingabe'!$H$7:$H$126,'[FC Eingabe.xlsx]FC Eingabe'!$F$7:$F$126,C178,'[FC Eingabe.xlsx]FC Eingabe'!$K$7:$K$126,"Wirksam")</f>
        <v/>
      </c>
      <c r="O178" s="13">
        <f>SUM(L178:N178)</f>
        <v/>
      </c>
    </row>
    <row r="179" ht="21" customHeight="1">
      <c r="C179" s="12" t="inlineStr">
        <is>
          <t>W4102504967</t>
        </is>
      </c>
      <c r="D179" s="12" t="inlineStr">
        <is>
          <t>CB-VT 476 Krull</t>
        </is>
      </c>
      <c r="E179" s="12" t="inlineStr">
        <is>
          <t>Verwaltung</t>
        </is>
      </c>
      <c r="F179" s="13" t="n">
        <v>0</v>
      </c>
      <c r="G179" s="13" t="n">
        <v>112.3</v>
      </c>
      <c r="H179" s="13" t="n">
        <v>0</v>
      </c>
      <c r="I179" s="13" t="n">
        <v>0</v>
      </c>
      <c r="J179" s="13" t="n">
        <v>0</v>
      </c>
      <c r="K179" s="13" t="n">
        <v>0</v>
      </c>
      <c r="L179" s="13">
        <f>F179+I179+SUMIFS('[FC Eingabe.xlsx]FC Eingabe'!$G$7:$G$126,'[FC Eingabe.xlsx]FC Eingabe'!$F$7:$F$126,C179,'[FC Eingabe.xlsx]FC Eingabe'!$K$7:$K$126,"Wirksam")</f>
        <v/>
      </c>
      <c r="M179" s="13">
        <f>G179+J179-SUMIFS('[FC Eingabe.xlsx]FC Eingabe'!$I$7:$I$126,'[FC Eingabe.xlsx]FC Eingabe'!$F$7:$F$126,C179,'[FC Eingabe.xlsx]FC Eingabe'!$K$7:$K$126,"Wirksam")</f>
        <v/>
      </c>
      <c r="N179" s="13">
        <f>H179+K179+SUMIFS('[FC Eingabe.xlsx]FC Eingabe'!$H$7:$H$126,'[FC Eingabe.xlsx]FC Eingabe'!$F$7:$F$126,C179,'[FC Eingabe.xlsx]FC Eingabe'!$K$7:$K$126,"Wirksam")</f>
        <v/>
      </c>
      <c r="O179" s="13">
        <f>SUM(L179:N179)</f>
        <v/>
      </c>
    </row>
    <row r="180" ht="21" customHeight="1">
      <c r="C180" s="12" t="inlineStr">
        <is>
          <t>W4102504971</t>
        </is>
      </c>
      <c r="D180" s="12" t="inlineStr">
        <is>
          <t>CB-CR 107 Werban</t>
        </is>
      </c>
      <c r="E180" s="12" t="inlineStr">
        <is>
          <t>Verwaltung</t>
        </is>
      </c>
      <c r="F180" s="13" t="n">
        <v>0</v>
      </c>
      <c r="G180" s="13" t="n">
        <v>-3939.21</v>
      </c>
      <c r="H180" s="13" t="n">
        <v>0</v>
      </c>
      <c r="I180" s="13" t="n">
        <v>0</v>
      </c>
      <c r="J180" s="13" t="n">
        <v>-1600</v>
      </c>
      <c r="K180" s="13" t="n">
        <v>0</v>
      </c>
      <c r="L180" s="13">
        <f>F180+I180+SUMIFS('[FC Eingabe.xlsx]FC Eingabe'!$G$7:$G$126,'[FC Eingabe.xlsx]FC Eingabe'!$F$7:$F$126,C180,'[FC Eingabe.xlsx]FC Eingabe'!$K$7:$K$126,"Wirksam")</f>
        <v/>
      </c>
      <c r="M180" s="13">
        <f>G180+J180-SUMIFS('[FC Eingabe.xlsx]FC Eingabe'!$I$7:$I$126,'[FC Eingabe.xlsx]FC Eingabe'!$F$7:$F$126,C180,'[FC Eingabe.xlsx]FC Eingabe'!$K$7:$K$126,"Wirksam")</f>
        <v/>
      </c>
      <c r="N180" s="13">
        <f>H180+K180+SUMIFS('[FC Eingabe.xlsx]FC Eingabe'!$H$7:$H$126,'[FC Eingabe.xlsx]FC Eingabe'!$F$7:$F$126,C180,'[FC Eingabe.xlsx]FC Eingabe'!$K$7:$K$126,"Wirksam")</f>
        <v/>
      </c>
      <c r="O180" s="13">
        <f>SUM(L180:N180)</f>
        <v/>
      </c>
    </row>
    <row r="181" ht="21" customHeight="1">
      <c r="C181" s="12" t="inlineStr">
        <is>
          <t>W4102504973</t>
        </is>
      </c>
      <c r="D181" s="12" t="inlineStr">
        <is>
          <t>CB- TV 300E Hr. Kemper Mercedes</t>
        </is>
      </c>
      <c r="E181" s="12" t="inlineStr">
        <is>
          <t>Verwaltung</t>
        </is>
      </c>
      <c r="F181" s="13" t="n">
        <v>0</v>
      </c>
      <c r="G181" s="13" t="n">
        <v>-14513.68</v>
      </c>
      <c r="H181" s="13" t="n">
        <v>0</v>
      </c>
      <c r="I181" s="13" t="n">
        <v>0</v>
      </c>
      <c r="J181" s="13" t="n">
        <v>-5400</v>
      </c>
      <c r="K181" s="13" t="n">
        <v>0</v>
      </c>
      <c r="L181" s="13">
        <f>F181+I181+SUMIFS('[FC Eingabe.xlsx]FC Eingabe'!$G$7:$G$126,'[FC Eingabe.xlsx]FC Eingabe'!$F$7:$F$126,C181,'[FC Eingabe.xlsx]FC Eingabe'!$K$7:$K$126,"Wirksam")</f>
        <v/>
      </c>
      <c r="M181" s="13">
        <f>G181+J181-SUMIFS('[FC Eingabe.xlsx]FC Eingabe'!$I$7:$I$126,'[FC Eingabe.xlsx]FC Eingabe'!$F$7:$F$126,C181,'[FC Eingabe.xlsx]FC Eingabe'!$K$7:$K$126,"Wirksam")</f>
        <v/>
      </c>
      <c r="N181" s="13">
        <f>H181+K181+SUMIFS('[FC Eingabe.xlsx]FC Eingabe'!$H$7:$H$126,'[FC Eingabe.xlsx]FC Eingabe'!$F$7:$F$126,C181,'[FC Eingabe.xlsx]FC Eingabe'!$K$7:$K$126,"Wirksam")</f>
        <v/>
      </c>
      <c r="O181" s="13">
        <f>SUM(L181:N181)</f>
        <v/>
      </c>
    </row>
    <row r="182" ht="21" customHeight="1">
      <c r="C182" s="12" t="inlineStr">
        <is>
          <t>W4102504974</t>
        </is>
      </c>
      <c r="D182" s="12" t="inlineStr">
        <is>
          <t>CB-TV 55E Volvo Herr Kay</t>
        </is>
      </c>
      <c r="E182" s="12" t="inlineStr">
        <is>
          <t>Verwaltung</t>
        </is>
      </c>
      <c r="F182" s="13" t="n">
        <v>0</v>
      </c>
      <c r="G182" s="13" t="n">
        <v>-11348.78</v>
      </c>
      <c r="H182" s="13" t="n">
        <v>0</v>
      </c>
      <c r="I182" s="13" t="n">
        <v>0</v>
      </c>
      <c r="J182" s="13" t="n">
        <v>0</v>
      </c>
      <c r="K182" s="13" t="n">
        <v>0</v>
      </c>
      <c r="L182" s="13">
        <f>F182+I182+SUMIFS('[FC Eingabe.xlsx]FC Eingabe'!$G$7:$G$126,'[FC Eingabe.xlsx]FC Eingabe'!$F$7:$F$126,C182,'[FC Eingabe.xlsx]FC Eingabe'!$K$7:$K$126,"Wirksam")</f>
        <v/>
      </c>
      <c r="M182" s="13">
        <f>G182+J182-SUMIFS('[FC Eingabe.xlsx]FC Eingabe'!$I$7:$I$126,'[FC Eingabe.xlsx]FC Eingabe'!$F$7:$F$126,C182,'[FC Eingabe.xlsx]FC Eingabe'!$K$7:$K$126,"Wirksam")</f>
        <v/>
      </c>
      <c r="N182" s="13">
        <f>H182+K182+SUMIFS('[FC Eingabe.xlsx]FC Eingabe'!$H$7:$H$126,'[FC Eingabe.xlsx]FC Eingabe'!$F$7:$F$126,C182,'[FC Eingabe.xlsx]FC Eingabe'!$K$7:$K$126,"Wirksam")</f>
        <v/>
      </c>
      <c r="O182" s="13">
        <f>SUM(L182:N182)</f>
        <v/>
      </c>
    </row>
    <row r="183" ht="21" customHeight="1">
      <c r="C183" s="12" t="inlineStr">
        <is>
          <t>W4102504975</t>
        </is>
      </c>
      <c r="D183" s="12" t="inlineStr">
        <is>
          <t>PKW Frau Noack</t>
        </is>
      </c>
      <c r="E183" s="12" t="inlineStr">
        <is>
          <t>Verwaltung</t>
        </is>
      </c>
      <c r="F183" s="13" t="n">
        <v>0</v>
      </c>
      <c r="G183" s="13" t="n">
        <v>-7633.76</v>
      </c>
      <c r="H183" s="13" t="n">
        <v>0</v>
      </c>
      <c r="I183" s="13" t="n">
        <v>0</v>
      </c>
      <c r="J183" s="13" t="n">
        <v>-5400</v>
      </c>
      <c r="K183" s="13" t="n">
        <v>0</v>
      </c>
      <c r="L183" s="13">
        <f>F183+I183+SUMIFS('[FC Eingabe.xlsx]FC Eingabe'!$G$7:$G$126,'[FC Eingabe.xlsx]FC Eingabe'!$F$7:$F$126,C183,'[FC Eingabe.xlsx]FC Eingabe'!$K$7:$K$126,"Wirksam")</f>
        <v/>
      </c>
      <c r="M183" s="13">
        <f>G183+J183-SUMIFS('[FC Eingabe.xlsx]FC Eingabe'!$I$7:$I$126,'[FC Eingabe.xlsx]FC Eingabe'!$F$7:$F$126,C183,'[FC Eingabe.xlsx]FC Eingabe'!$K$7:$K$126,"Wirksam")</f>
        <v/>
      </c>
      <c r="N183" s="13">
        <f>H183+K183+SUMIFS('[FC Eingabe.xlsx]FC Eingabe'!$H$7:$H$126,'[FC Eingabe.xlsx]FC Eingabe'!$F$7:$F$126,C183,'[FC Eingabe.xlsx]FC Eingabe'!$K$7:$K$126,"Wirksam")</f>
        <v/>
      </c>
      <c r="O183" s="13">
        <f>SUM(L183:N183)</f>
        <v/>
      </c>
    </row>
    <row r="184" ht="21" customHeight="1">
      <c r="C184" s="12" t="inlineStr">
        <is>
          <t>W4102504976</t>
        </is>
      </c>
      <c r="D184" s="12" t="inlineStr">
        <is>
          <t>CB-TV 104 Skoda Superb - Herr Kenski</t>
        </is>
      </c>
      <c r="E184" s="12" t="inlineStr">
        <is>
          <t>Verwaltung</t>
        </is>
      </c>
      <c r="F184" s="13" t="n">
        <v>0</v>
      </c>
      <c r="G184" s="13" t="n">
        <v>-5379.28</v>
      </c>
      <c r="H184" s="13" t="n">
        <v>0</v>
      </c>
      <c r="I184" s="13" t="n">
        <v>0</v>
      </c>
      <c r="J184" s="13" t="n">
        <v>-5400</v>
      </c>
      <c r="K184" s="13" t="n">
        <v>0</v>
      </c>
      <c r="L184" s="13">
        <f>F184+I184+SUMIFS('[FC Eingabe.xlsx]FC Eingabe'!$G$7:$G$126,'[FC Eingabe.xlsx]FC Eingabe'!$F$7:$F$126,C184,'[FC Eingabe.xlsx]FC Eingabe'!$K$7:$K$126,"Wirksam")</f>
        <v/>
      </c>
      <c r="M184" s="13">
        <f>G184+J184-SUMIFS('[FC Eingabe.xlsx]FC Eingabe'!$I$7:$I$126,'[FC Eingabe.xlsx]FC Eingabe'!$F$7:$F$126,C184,'[FC Eingabe.xlsx]FC Eingabe'!$K$7:$K$126,"Wirksam")</f>
        <v/>
      </c>
      <c r="N184" s="13">
        <f>H184+K184+SUMIFS('[FC Eingabe.xlsx]FC Eingabe'!$H$7:$H$126,'[FC Eingabe.xlsx]FC Eingabe'!$F$7:$F$126,C184,'[FC Eingabe.xlsx]FC Eingabe'!$K$7:$K$126,"Wirksam")</f>
        <v/>
      </c>
      <c r="O184" s="13">
        <f>SUM(L184:N184)</f>
        <v/>
      </c>
    </row>
    <row r="185" ht="21" customHeight="1">
      <c r="C185" s="12" t="inlineStr">
        <is>
          <t>W4102602023</t>
        </is>
      </c>
      <c r="D185" s="12" t="inlineStr">
        <is>
          <t>nachlaufende Kosten</t>
        </is>
      </c>
      <c r="E185" s="12" t="inlineStr">
        <is>
          <t>Ost</t>
        </is>
      </c>
      <c r="F185" s="13" t="n">
        <v>0</v>
      </c>
      <c r="G185" s="13" t="n">
        <v>-761.1</v>
      </c>
      <c r="H185" s="13" t="n">
        <v>0</v>
      </c>
      <c r="I185" s="13" t="n">
        <v>0</v>
      </c>
      <c r="J185" s="13" t="n">
        <v>0</v>
      </c>
      <c r="K185" s="13" t="n">
        <v>0</v>
      </c>
      <c r="L185" s="13">
        <f>F185+I185+SUMIFS('[FC Eingabe.xlsx]FC Eingabe'!$G$7:$G$126,'[FC Eingabe.xlsx]FC Eingabe'!$F$7:$F$126,C185,'[FC Eingabe.xlsx]FC Eingabe'!$K$7:$K$126,"Wirksam")</f>
        <v/>
      </c>
      <c r="M185" s="13">
        <f>G185+J185-SUMIFS('[FC Eingabe.xlsx]FC Eingabe'!$I$7:$I$126,'[FC Eingabe.xlsx]FC Eingabe'!$F$7:$F$126,C185,'[FC Eingabe.xlsx]FC Eingabe'!$K$7:$K$126,"Wirksam")</f>
        <v/>
      </c>
      <c r="N185" s="13">
        <f>H185+K185+SUMIFS('[FC Eingabe.xlsx]FC Eingabe'!$H$7:$H$126,'[FC Eingabe.xlsx]FC Eingabe'!$F$7:$F$126,C185,'[FC Eingabe.xlsx]FC Eingabe'!$K$7:$K$126,"Wirksam")</f>
        <v/>
      </c>
      <c r="O185" s="13">
        <f>SUM(L185:N185)</f>
        <v/>
      </c>
    </row>
    <row r="186" ht="21" customHeight="1">
      <c r="C186" s="12" t="inlineStr">
        <is>
          <t>W4102604411</t>
        </is>
      </c>
      <c r="D186" s="12" t="inlineStr">
        <is>
          <t>Vertrieb Region Ost</t>
        </is>
      </c>
      <c r="E186" s="12" t="inlineStr">
        <is>
          <t>Ost</t>
        </is>
      </c>
      <c r="F186" s="13" t="n">
        <v>0</v>
      </c>
      <c r="G186" s="13" t="n">
        <v>-92999.39999999999</v>
      </c>
      <c r="H186" s="13" t="n">
        <v>0</v>
      </c>
      <c r="I186" s="13" t="n">
        <v>0</v>
      </c>
      <c r="J186" s="13" t="n">
        <v>0</v>
      </c>
      <c r="K186" s="13" t="n">
        <v>0</v>
      </c>
      <c r="L186" s="13">
        <f>F186+I186+SUMIFS('[FC Eingabe.xlsx]FC Eingabe'!$G$7:$G$126,'[FC Eingabe.xlsx]FC Eingabe'!$F$7:$F$126,C186,'[FC Eingabe.xlsx]FC Eingabe'!$K$7:$K$126,"Wirksam")</f>
        <v/>
      </c>
      <c r="M186" s="13">
        <f>G186+J186-SUMIFS('[FC Eingabe.xlsx]FC Eingabe'!$I$7:$I$126,'[FC Eingabe.xlsx]FC Eingabe'!$F$7:$F$126,C186,'[FC Eingabe.xlsx]FC Eingabe'!$K$7:$K$126,"Wirksam")</f>
        <v/>
      </c>
      <c r="N186" s="13">
        <f>H186+K186+SUMIFS('[FC Eingabe.xlsx]FC Eingabe'!$H$7:$H$126,'[FC Eingabe.xlsx]FC Eingabe'!$F$7:$F$126,C186,'[FC Eingabe.xlsx]FC Eingabe'!$K$7:$K$126,"Wirksam")</f>
        <v/>
      </c>
      <c r="O186" s="13">
        <f>SUM(L186:N186)</f>
        <v/>
      </c>
    </row>
    <row r="187" ht="21" customHeight="1">
      <c r="C187" s="12" t="inlineStr">
        <is>
          <t>W4102604414</t>
        </is>
      </c>
      <c r="D187" s="12" t="inlineStr">
        <is>
          <t>Halle Boxberg</t>
        </is>
      </c>
      <c r="E187" s="12" t="inlineStr">
        <is>
          <t>Ost</t>
        </is>
      </c>
      <c r="F187" s="13" t="n">
        <v>11272.5</v>
      </c>
      <c r="G187" s="13" t="n">
        <v>-9792.09</v>
      </c>
      <c r="H187" s="13" t="n">
        <v>0</v>
      </c>
      <c r="I187" s="13" t="n">
        <v>0</v>
      </c>
      <c r="J187" s="13" t="n">
        <v>0</v>
      </c>
      <c r="K187" s="13" t="n">
        <v>0</v>
      </c>
      <c r="L187" s="13">
        <f>F187+I187+SUMIFS('[FC Eingabe.xlsx]FC Eingabe'!$G$7:$G$126,'[FC Eingabe.xlsx]FC Eingabe'!$F$7:$F$126,C187,'[FC Eingabe.xlsx]FC Eingabe'!$K$7:$K$126,"Wirksam")</f>
        <v/>
      </c>
      <c r="M187" s="13">
        <f>G187+J187-SUMIFS('[FC Eingabe.xlsx]FC Eingabe'!$I$7:$I$126,'[FC Eingabe.xlsx]FC Eingabe'!$F$7:$F$126,C187,'[FC Eingabe.xlsx]FC Eingabe'!$K$7:$K$126,"Wirksam")</f>
        <v/>
      </c>
      <c r="N187" s="13">
        <f>H187+K187+SUMIFS('[FC Eingabe.xlsx]FC Eingabe'!$H$7:$H$126,'[FC Eingabe.xlsx]FC Eingabe'!$F$7:$F$126,C187,'[FC Eingabe.xlsx]FC Eingabe'!$K$7:$K$126,"Wirksam")</f>
        <v/>
      </c>
      <c r="O187" s="13">
        <f>SUM(L187:N187)</f>
        <v/>
      </c>
    </row>
    <row r="188" ht="21" customHeight="1">
      <c r="C188" s="12" t="inlineStr">
        <is>
          <t>W4102604611</t>
        </is>
      </c>
      <c r="D188" s="12" t="inlineStr">
        <is>
          <t>Lager Regon Sued</t>
        </is>
      </c>
      <c r="E188" s="12" t="inlineStr">
        <is>
          <t>Ost</t>
        </is>
      </c>
      <c r="F188" s="13" t="n">
        <v>0</v>
      </c>
      <c r="G188" s="13" t="n">
        <v>-15481.18</v>
      </c>
      <c r="H188" s="13" t="n">
        <v>0</v>
      </c>
      <c r="I188" s="13" t="n">
        <v>0</v>
      </c>
      <c r="J188" s="13" t="n">
        <v>0</v>
      </c>
      <c r="K188" s="13" t="n">
        <v>0</v>
      </c>
      <c r="L188" s="13">
        <f>F188+I188+SUMIFS('[FC Eingabe.xlsx]FC Eingabe'!$G$7:$G$126,'[FC Eingabe.xlsx]FC Eingabe'!$F$7:$F$126,C188,'[FC Eingabe.xlsx]FC Eingabe'!$K$7:$K$126,"Wirksam")</f>
        <v/>
      </c>
      <c r="M188" s="13">
        <f>G188+J188-SUMIFS('[FC Eingabe.xlsx]FC Eingabe'!$I$7:$I$126,'[FC Eingabe.xlsx]FC Eingabe'!$F$7:$F$126,C188,'[FC Eingabe.xlsx]FC Eingabe'!$K$7:$K$126,"Wirksam")</f>
        <v/>
      </c>
      <c r="N188" s="13">
        <f>H188+K188+SUMIFS('[FC Eingabe.xlsx]FC Eingabe'!$H$7:$H$126,'[FC Eingabe.xlsx]FC Eingabe'!$F$7:$F$126,C188,'[FC Eingabe.xlsx]FC Eingabe'!$K$7:$K$126,"Wirksam")</f>
        <v/>
      </c>
      <c r="O188" s="13">
        <f>SUM(L188:N188)</f>
        <v/>
      </c>
    </row>
    <row r="189" ht="21" customHeight="1">
      <c r="C189" s="12" t="inlineStr">
        <is>
          <t>W4102604612</t>
        </is>
      </c>
      <c r="D189" s="12" t="inlineStr">
        <is>
          <t>Recyclingplatz Boxberg</t>
        </is>
      </c>
      <c r="E189" s="12" t="inlineStr">
        <is>
          <t>Ost</t>
        </is>
      </c>
      <c r="F189" s="13" t="n">
        <v>11153.42</v>
      </c>
      <c r="G189" s="13" t="n">
        <v>-365.72</v>
      </c>
      <c r="H189" s="13" t="n">
        <v>0</v>
      </c>
      <c r="I189" s="13" t="n">
        <v>0</v>
      </c>
      <c r="J189" s="13" t="n">
        <v>0</v>
      </c>
      <c r="K189" s="13" t="n">
        <v>0</v>
      </c>
      <c r="L189" s="13">
        <f>F189+I189+SUMIFS('[FC Eingabe.xlsx]FC Eingabe'!$G$7:$G$126,'[FC Eingabe.xlsx]FC Eingabe'!$F$7:$F$126,C189,'[FC Eingabe.xlsx]FC Eingabe'!$K$7:$K$126,"Wirksam")</f>
        <v/>
      </c>
      <c r="M189" s="13">
        <f>G189+J189-SUMIFS('[FC Eingabe.xlsx]FC Eingabe'!$I$7:$I$126,'[FC Eingabe.xlsx]FC Eingabe'!$F$7:$F$126,C189,'[FC Eingabe.xlsx]FC Eingabe'!$K$7:$K$126,"Wirksam")</f>
        <v/>
      </c>
      <c r="N189" s="13">
        <f>H189+K189+SUMIFS('[FC Eingabe.xlsx]FC Eingabe'!$H$7:$H$126,'[FC Eingabe.xlsx]FC Eingabe'!$F$7:$F$126,C189,'[FC Eingabe.xlsx]FC Eingabe'!$K$7:$K$126,"Wirksam")</f>
        <v/>
      </c>
      <c r="O189" s="13">
        <f>SUM(L189:N189)</f>
        <v/>
      </c>
    </row>
    <row r="190" ht="21" customHeight="1">
      <c r="C190" s="12" t="inlineStr">
        <is>
          <t>W4102604938</t>
        </is>
      </c>
      <c r="D190" s="12" t="inlineStr">
        <is>
          <t>CB-AA 501 Spindler</t>
        </is>
      </c>
      <c r="E190" s="12" t="inlineStr">
        <is>
          <t>Ost</t>
        </is>
      </c>
      <c r="F190" s="13" t="n">
        <v>0</v>
      </c>
      <c r="G190" s="13" t="n">
        <v>-9673.93</v>
      </c>
      <c r="H190" s="13" t="n">
        <v>0</v>
      </c>
      <c r="I190" s="13" t="n">
        <v>0</v>
      </c>
      <c r="J190" s="13" t="n">
        <v>0</v>
      </c>
      <c r="K190" s="13" t="n">
        <v>0</v>
      </c>
      <c r="L190" s="13">
        <f>F190+I190+SUMIFS('[FC Eingabe.xlsx]FC Eingabe'!$G$7:$G$126,'[FC Eingabe.xlsx]FC Eingabe'!$F$7:$F$126,C190,'[FC Eingabe.xlsx]FC Eingabe'!$K$7:$K$126,"Wirksam")</f>
        <v/>
      </c>
      <c r="M190" s="13">
        <f>G190+J190-SUMIFS('[FC Eingabe.xlsx]FC Eingabe'!$I$7:$I$126,'[FC Eingabe.xlsx]FC Eingabe'!$F$7:$F$126,C190,'[FC Eingabe.xlsx]FC Eingabe'!$K$7:$K$126,"Wirksam")</f>
        <v/>
      </c>
      <c r="N190" s="13">
        <f>H190+K190+SUMIFS('[FC Eingabe.xlsx]FC Eingabe'!$H$7:$H$126,'[FC Eingabe.xlsx]FC Eingabe'!$F$7:$F$126,C190,'[FC Eingabe.xlsx]FC Eingabe'!$K$7:$K$126,"Wirksam")</f>
        <v/>
      </c>
      <c r="O190" s="13">
        <f>SUM(L190:N190)</f>
        <v/>
      </c>
    </row>
    <row r="191" ht="21" customHeight="1">
      <c r="C191" s="12" t="inlineStr">
        <is>
          <t>W4102604940</t>
        </is>
      </c>
      <c r="D191" s="12" t="inlineStr">
        <is>
          <t>CB-VT 475 Heilmann</t>
        </is>
      </c>
      <c r="E191" s="12" t="inlineStr">
        <is>
          <t>Ost</t>
        </is>
      </c>
      <c r="F191" s="13" t="n">
        <v>0</v>
      </c>
      <c r="G191" s="13" t="n">
        <v>-4628.19</v>
      </c>
      <c r="H191" s="13" t="n">
        <v>0</v>
      </c>
      <c r="I191" s="13" t="n">
        <v>0</v>
      </c>
      <c r="J191" s="13" t="n">
        <v>0</v>
      </c>
      <c r="K191" s="13" t="n">
        <v>0</v>
      </c>
      <c r="L191" s="13">
        <f>F191+I191+SUMIFS('[FC Eingabe.xlsx]FC Eingabe'!$G$7:$G$126,'[FC Eingabe.xlsx]FC Eingabe'!$F$7:$F$126,C191,'[FC Eingabe.xlsx]FC Eingabe'!$K$7:$K$126,"Wirksam")</f>
        <v/>
      </c>
      <c r="M191" s="13">
        <f>G191+J191-SUMIFS('[FC Eingabe.xlsx]FC Eingabe'!$I$7:$I$126,'[FC Eingabe.xlsx]FC Eingabe'!$F$7:$F$126,C191,'[FC Eingabe.xlsx]FC Eingabe'!$K$7:$K$126,"Wirksam")</f>
        <v/>
      </c>
      <c r="N191" s="13">
        <f>H191+K191+SUMIFS('[FC Eingabe.xlsx]FC Eingabe'!$H$7:$H$126,'[FC Eingabe.xlsx]FC Eingabe'!$F$7:$F$126,C191,'[FC Eingabe.xlsx]FC Eingabe'!$K$7:$K$126,"Wirksam")</f>
        <v/>
      </c>
      <c r="O191" s="13">
        <f>SUM(L191:N191)</f>
        <v/>
      </c>
    </row>
    <row r="192" ht="21" customHeight="1">
      <c r="C192" s="12" t="inlineStr">
        <is>
          <t>W4102604941</t>
        </is>
      </c>
      <c r="D192" s="12" t="inlineStr">
        <is>
          <t>CB-TV 22E Tayron Hr Lorenz</t>
        </is>
      </c>
      <c r="E192" s="12" t="inlineStr">
        <is>
          <t>Ost</t>
        </is>
      </c>
      <c r="F192" s="13" t="n">
        <v>0</v>
      </c>
      <c r="G192" s="13" t="n">
        <v>-15276.38</v>
      </c>
      <c r="H192" s="13" t="n">
        <v>0</v>
      </c>
      <c r="I192" s="13" t="n">
        <v>0</v>
      </c>
      <c r="J192" s="13" t="n">
        <v>0</v>
      </c>
      <c r="K192" s="13" t="n">
        <v>0</v>
      </c>
      <c r="L192" s="13">
        <f>F192+I192+SUMIFS('[FC Eingabe.xlsx]FC Eingabe'!$G$7:$G$126,'[FC Eingabe.xlsx]FC Eingabe'!$F$7:$F$126,C192,'[FC Eingabe.xlsx]FC Eingabe'!$K$7:$K$126,"Wirksam")</f>
        <v/>
      </c>
      <c r="M192" s="13">
        <f>G192+J192-SUMIFS('[FC Eingabe.xlsx]FC Eingabe'!$I$7:$I$126,'[FC Eingabe.xlsx]FC Eingabe'!$F$7:$F$126,C192,'[FC Eingabe.xlsx]FC Eingabe'!$K$7:$K$126,"Wirksam")</f>
        <v/>
      </c>
      <c r="N192" s="13">
        <f>H192+K192+SUMIFS('[FC Eingabe.xlsx]FC Eingabe'!$H$7:$H$126,'[FC Eingabe.xlsx]FC Eingabe'!$F$7:$F$126,C192,'[FC Eingabe.xlsx]FC Eingabe'!$K$7:$K$126,"Wirksam")</f>
        <v/>
      </c>
      <c r="O192" s="13">
        <f>SUM(L192:N192)</f>
        <v/>
      </c>
    </row>
    <row r="193" ht="21" customHeight="1">
      <c r="C193" s="12" t="inlineStr">
        <is>
          <t>W4102604949</t>
        </is>
      </c>
      <c r="D193" s="12" t="inlineStr">
        <is>
          <t>CB - VT 686 Passat Fr. Kolber</t>
        </is>
      </c>
      <c r="E193" s="12" t="inlineStr">
        <is>
          <t>Ost</t>
        </is>
      </c>
      <c r="F193" s="13" t="n">
        <v>0</v>
      </c>
      <c r="G193" s="13" t="n">
        <v>-6913.67</v>
      </c>
      <c r="H193" s="13" t="n">
        <v>0</v>
      </c>
      <c r="I193" s="13" t="n">
        <v>0</v>
      </c>
      <c r="J193" s="13" t="n">
        <v>0</v>
      </c>
      <c r="K193" s="13" t="n">
        <v>0</v>
      </c>
      <c r="L193" s="13">
        <f>F193+I193+SUMIFS('[FC Eingabe.xlsx]FC Eingabe'!$G$7:$G$126,'[FC Eingabe.xlsx]FC Eingabe'!$F$7:$F$126,C193,'[FC Eingabe.xlsx]FC Eingabe'!$K$7:$K$126,"Wirksam")</f>
        <v/>
      </c>
      <c r="M193" s="13">
        <f>G193+J193-SUMIFS('[FC Eingabe.xlsx]FC Eingabe'!$I$7:$I$126,'[FC Eingabe.xlsx]FC Eingabe'!$F$7:$F$126,C193,'[FC Eingabe.xlsx]FC Eingabe'!$K$7:$K$126,"Wirksam")</f>
        <v/>
      </c>
      <c r="N193" s="13">
        <f>H193+K193+SUMIFS('[FC Eingabe.xlsx]FC Eingabe'!$H$7:$H$126,'[FC Eingabe.xlsx]FC Eingabe'!$F$7:$F$126,C193,'[FC Eingabe.xlsx]FC Eingabe'!$K$7:$K$126,"Wirksam")</f>
        <v/>
      </c>
      <c r="O193" s="13">
        <f>SUM(L193:N193)</f>
        <v/>
      </c>
    </row>
    <row r="194" ht="21" customHeight="1">
      <c r="C194" s="12" t="inlineStr">
        <is>
          <t>W4102604950</t>
        </is>
      </c>
      <c r="D194" s="12" t="inlineStr">
        <is>
          <t>CB-TV 97 Hr. Mühlberg</t>
        </is>
      </c>
      <c r="E194" s="12" t="inlineStr">
        <is>
          <t>Ost</t>
        </is>
      </c>
      <c r="F194" s="13" t="n">
        <v>0</v>
      </c>
      <c r="G194" s="13" t="n">
        <v>-8323.5</v>
      </c>
      <c r="H194" s="13" t="n">
        <v>0</v>
      </c>
      <c r="I194" s="13" t="n">
        <v>0</v>
      </c>
      <c r="J194" s="13" t="n">
        <v>0</v>
      </c>
      <c r="K194" s="13" t="n">
        <v>0</v>
      </c>
      <c r="L194" s="13">
        <f>F194+I194+SUMIFS('[FC Eingabe.xlsx]FC Eingabe'!$G$7:$G$126,'[FC Eingabe.xlsx]FC Eingabe'!$F$7:$F$126,C194,'[FC Eingabe.xlsx]FC Eingabe'!$K$7:$K$126,"Wirksam")</f>
        <v/>
      </c>
      <c r="M194" s="13">
        <f>G194+J194-SUMIFS('[FC Eingabe.xlsx]FC Eingabe'!$I$7:$I$126,'[FC Eingabe.xlsx]FC Eingabe'!$F$7:$F$126,C194,'[FC Eingabe.xlsx]FC Eingabe'!$K$7:$K$126,"Wirksam")</f>
        <v/>
      </c>
      <c r="N194" s="13">
        <f>H194+K194+SUMIFS('[FC Eingabe.xlsx]FC Eingabe'!$H$7:$H$126,'[FC Eingabe.xlsx]FC Eingabe'!$F$7:$F$126,C194,'[FC Eingabe.xlsx]FC Eingabe'!$K$7:$K$126,"Wirksam")</f>
        <v/>
      </c>
      <c r="O194" s="13">
        <f>SUM(L194:N194)</f>
        <v/>
      </c>
    </row>
    <row r="195" ht="21" customHeight="1">
      <c r="C195" s="12" t="inlineStr">
        <is>
          <t>W4102604951</t>
        </is>
      </c>
      <c r="D195" s="12" t="inlineStr">
        <is>
          <t>PKW Herr Tymczy</t>
        </is>
      </c>
      <c r="E195" s="12" t="inlineStr">
        <is>
          <t>Ost</t>
        </is>
      </c>
      <c r="F195" s="13" t="n">
        <v>0</v>
      </c>
      <c r="G195" s="13" t="n">
        <v>-2396.61</v>
      </c>
      <c r="H195" s="13" t="n">
        <v>0</v>
      </c>
      <c r="I195" s="13" t="n">
        <v>0</v>
      </c>
      <c r="J195" s="13" t="n">
        <v>0</v>
      </c>
      <c r="K195" s="13" t="n">
        <v>0</v>
      </c>
      <c r="L195" s="13">
        <f>F195+I195+SUMIFS('[FC Eingabe.xlsx]FC Eingabe'!$G$7:$G$126,'[FC Eingabe.xlsx]FC Eingabe'!$F$7:$F$126,C195,'[FC Eingabe.xlsx]FC Eingabe'!$K$7:$K$126,"Wirksam")</f>
        <v/>
      </c>
      <c r="M195" s="13">
        <f>G195+J195-SUMIFS('[FC Eingabe.xlsx]FC Eingabe'!$I$7:$I$126,'[FC Eingabe.xlsx]FC Eingabe'!$F$7:$F$126,C195,'[FC Eingabe.xlsx]FC Eingabe'!$K$7:$K$126,"Wirksam")</f>
        <v/>
      </c>
      <c r="N195" s="13">
        <f>H195+K195+SUMIFS('[FC Eingabe.xlsx]FC Eingabe'!$H$7:$H$126,'[FC Eingabe.xlsx]FC Eingabe'!$F$7:$F$126,C195,'[FC Eingabe.xlsx]FC Eingabe'!$K$7:$K$126,"Wirksam")</f>
        <v/>
      </c>
      <c r="O195" s="13">
        <f>SUM(L195:N195)</f>
        <v/>
      </c>
    </row>
    <row r="196" ht="21" customHeight="1">
      <c r="C196" s="12" t="inlineStr">
        <is>
          <t>W4102608246</t>
        </is>
      </c>
      <c r="D196" s="12" t="inlineStr">
        <is>
          <t>RB Kohlebunker/Brücke Lübbenau</t>
        </is>
      </c>
      <c r="E196" s="12" t="inlineStr">
        <is>
          <t>Ost</t>
        </is>
      </c>
      <c r="F196" s="13" t="n">
        <v>0</v>
      </c>
      <c r="G196" s="13" t="n">
        <v>-7875</v>
      </c>
      <c r="H196" s="13" t="n">
        <v>0</v>
      </c>
      <c r="I196" s="13" t="n">
        <v>0</v>
      </c>
      <c r="J196" s="13" t="n">
        <v>0</v>
      </c>
      <c r="K196" s="13" t="n">
        <v>0</v>
      </c>
      <c r="L196" s="13">
        <f>F196+I196+SUMIFS('[FC Eingabe.xlsx]FC Eingabe'!$G$7:$G$126,'[FC Eingabe.xlsx]FC Eingabe'!$F$7:$F$126,C196,'[FC Eingabe.xlsx]FC Eingabe'!$K$7:$K$126,"Wirksam")</f>
        <v/>
      </c>
      <c r="M196" s="13">
        <f>G196+J196-SUMIFS('[FC Eingabe.xlsx]FC Eingabe'!$I$7:$I$126,'[FC Eingabe.xlsx]FC Eingabe'!$F$7:$F$126,C196,'[FC Eingabe.xlsx]FC Eingabe'!$K$7:$K$126,"Wirksam")</f>
        <v/>
      </c>
      <c r="N196" s="13">
        <f>H196+K196+SUMIFS('[FC Eingabe.xlsx]FC Eingabe'!$H$7:$H$126,'[FC Eingabe.xlsx]FC Eingabe'!$F$7:$F$126,C196,'[FC Eingabe.xlsx]FC Eingabe'!$K$7:$K$126,"Wirksam")</f>
        <v/>
      </c>
      <c r="O196" s="13">
        <f>SUM(L196:N196)</f>
        <v/>
      </c>
    </row>
    <row r="197" ht="21" customHeight="1">
      <c r="C197" s="12" t="inlineStr">
        <is>
          <t>W4102651216</t>
        </is>
      </c>
      <c r="D197" s="12" t="inlineStr">
        <is>
          <t>Bagger CAT 326 07 FLN</t>
        </is>
      </c>
      <c r="E197" s="12" t="inlineStr">
        <is>
          <t>Berlin</t>
        </is>
      </c>
      <c r="F197" s="13" t="n">
        <v>0</v>
      </c>
      <c r="G197" s="13" t="n">
        <v>-2570</v>
      </c>
      <c r="H197" s="13" t="n">
        <v>0</v>
      </c>
      <c r="I197" s="13" t="n">
        <v>0</v>
      </c>
      <c r="J197" s="13" t="n">
        <v>0</v>
      </c>
      <c r="K197" s="13" t="n">
        <v>0</v>
      </c>
      <c r="L197" s="13">
        <f>F197+I197+SUMIFS('[FC Eingabe.xlsx]FC Eingabe'!$G$7:$G$126,'[FC Eingabe.xlsx]FC Eingabe'!$F$7:$F$126,C197,'[FC Eingabe.xlsx]FC Eingabe'!$K$7:$K$126,"Wirksam")</f>
        <v/>
      </c>
      <c r="M197" s="13">
        <f>G197+J197-SUMIFS('[FC Eingabe.xlsx]FC Eingabe'!$I$7:$I$126,'[FC Eingabe.xlsx]FC Eingabe'!$F$7:$F$126,C197,'[FC Eingabe.xlsx]FC Eingabe'!$K$7:$K$126,"Wirksam")</f>
        <v/>
      </c>
      <c r="N197" s="13">
        <f>H197+K197+SUMIFS('[FC Eingabe.xlsx]FC Eingabe'!$H$7:$H$126,'[FC Eingabe.xlsx]FC Eingabe'!$F$7:$F$126,C197,'[FC Eingabe.xlsx]FC Eingabe'!$K$7:$K$126,"Wirksam")</f>
        <v/>
      </c>
      <c r="O197" s="13">
        <f>SUM(L197:N197)</f>
        <v/>
      </c>
    </row>
    <row r="198" ht="21" customHeight="1">
      <c r="C198" s="12" t="inlineStr">
        <is>
          <t>W4102652709</t>
        </is>
      </c>
      <c r="D198" s="12" t="inlineStr">
        <is>
          <t>CB-TV 96 Remault Kangoo</t>
        </is>
      </c>
      <c r="E198" s="12" t="inlineStr">
        <is>
          <t>Berlin</t>
        </is>
      </c>
      <c r="F198" s="13" t="n">
        <v>0</v>
      </c>
      <c r="G198" s="13" t="n">
        <v>-778.71</v>
      </c>
      <c r="H198" s="13" t="n">
        <v>0</v>
      </c>
      <c r="I198" s="13" t="n">
        <v>0</v>
      </c>
      <c r="J198" s="13" t="n">
        <v>0</v>
      </c>
      <c r="K198" s="13" t="n">
        <v>0</v>
      </c>
      <c r="L198" s="13">
        <f>F198+I198+SUMIFS('[FC Eingabe.xlsx]FC Eingabe'!$G$7:$G$126,'[FC Eingabe.xlsx]FC Eingabe'!$F$7:$F$126,C198,'[FC Eingabe.xlsx]FC Eingabe'!$K$7:$K$126,"Wirksam")</f>
        <v/>
      </c>
      <c r="M198" s="13">
        <f>G198+J198-SUMIFS('[FC Eingabe.xlsx]FC Eingabe'!$I$7:$I$126,'[FC Eingabe.xlsx]FC Eingabe'!$F$7:$F$126,C198,'[FC Eingabe.xlsx]FC Eingabe'!$K$7:$K$126,"Wirksam")</f>
        <v/>
      </c>
      <c r="N198" s="13">
        <f>H198+K198+SUMIFS('[FC Eingabe.xlsx]FC Eingabe'!$H$7:$H$126,'[FC Eingabe.xlsx]FC Eingabe'!$F$7:$F$126,C198,'[FC Eingabe.xlsx]FC Eingabe'!$K$7:$K$126,"Wirksam")</f>
        <v/>
      </c>
      <c r="O198" s="13">
        <f>SUM(L198:N198)</f>
        <v/>
      </c>
    </row>
    <row r="199" ht="21" customHeight="1">
      <c r="C199" s="12" t="inlineStr">
        <is>
          <t>W4102654411</t>
        </is>
      </c>
      <c r="D199" s="12" t="inlineStr">
        <is>
          <t>VVK Berlin</t>
        </is>
      </c>
      <c r="E199" s="12" t="inlineStr">
        <is>
          <t>Berlin</t>
        </is>
      </c>
      <c r="F199" s="13" t="n">
        <v>0</v>
      </c>
      <c r="G199" s="13" t="n">
        <v>-34906.06</v>
      </c>
      <c r="H199" s="13" t="n">
        <v>0</v>
      </c>
      <c r="I199" s="13" t="n">
        <v>0</v>
      </c>
      <c r="J199" s="13" t="n">
        <v>0</v>
      </c>
      <c r="K199" s="13" t="n">
        <v>0</v>
      </c>
      <c r="L199" s="13">
        <f>F199+I199+SUMIFS('[FC Eingabe.xlsx]FC Eingabe'!$G$7:$G$126,'[FC Eingabe.xlsx]FC Eingabe'!$F$7:$F$126,C199,'[FC Eingabe.xlsx]FC Eingabe'!$K$7:$K$126,"Wirksam")</f>
        <v/>
      </c>
      <c r="M199" s="13">
        <f>G199+J199-SUMIFS('[FC Eingabe.xlsx]FC Eingabe'!$I$7:$I$126,'[FC Eingabe.xlsx]FC Eingabe'!$F$7:$F$126,C199,'[FC Eingabe.xlsx]FC Eingabe'!$K$7:$K$126,"Wirksam")</f>
        <v/>
      </c>
      <c r="N199" s="13">
        <f>H199+K199+SUMIFS('[FC Eingabe.xlsx]FC Eingabe'!$H$7:$H$126,'[FC Eingabe.xlsx]FC Eingabe'!$F$7:$F$126,C199,'[FC Eingabe.xlsx]FC Eingabe'!$K$7:$K$126,"Wirksam")</f>
        <v/>
      </c>
      <c r="O199" s="13">
        <f>SUM(L199:N199)</f>
        <v/>
      </c>
    </row>
    <row r="200" ht="21" customHeight="1">
      <c r="C200" s="12" t="inlineStr">
        <is>
          <t>W4102654611</t>
        </is>
      </c>
      <c r="D200" s="12" t="inlineStr">
        <is>
          <t>Lager Region Berlin</t>
        </is>
      </c>
      <c r="E200" s="12" t="inlineStr">
        <is>
          <t>Berlin</t>
        </is>
      </c>
      <c r="F200" s="13" t="n">
        <v>0</v>
      </c>
      <c r="G200" s="13" t="n">
        <v>-54513.8</v>
      </c>
      <c r="H200" s="13" t="n">
        <v>0</v>
      </c>
      <c r="I200" s="13" t="n">
        <v>0</v>
      </c>
      <c r="J200" s="13" t="n">
        <v>0</v>
      </c>
      <c r="K200" s="13" t="n">
        <v>0</v>
      </c>
      <c r="L200" s="13">
        <f>F200+I200+SUMIFS('[FC Eingabe.xlsx]FC Eingabe'!$G$7:$G$126,'[FC Eingabe.xlsx]FC Eingabe'!$F$7:$F$126,C200,'[FC Eingabe.xlsx]FC Eingabe'!$K$7:$K$126,"Wirksam")</f>
        <v/>
      </c>
      <c r="M200" s="13">
        <f>G200+J200-SUMIFS('[FC Eingabe.xlsx]FC Eingabe'!$I$7:$I$126,'[FC Eingabe.xlsx]FC Eingabe'!$F$7:$F$126,C200,'[FC Eingabe.xlsx]FC Eingabe'!$K$7:$K$126,"Wirksam")</f>
        <v/>
      </c>
      <c r="N200" s="13">
        <f>H200+K200+SUMIFS('[FC Eingabe.xlsx]FC Eingabe'!$H$7:$H$126,'[FC Eingabe.xlsx]FC Eingabe'!$F$7:$F$126,C200,'[FC Eingabe.xlsx]FC Eingabe'!$K$7:$K$126,"Wirksam")</f>
        <v/>
      </c>
      <c r="O200" s="13">
        <f>SUM(L200:N200)</f>
        <v/>
      </c>
    </row>
    <row r="201" ht="21" customHeight="1">
      <c r="C201" s="12" t="inlineStr">
        <is>
          <t>W4102654945</t>
        </is>
      </c>
      <c r="D201" s="12" t="inlineStr">
        <is>
          <t>CB- TV 300E Hr. Kemper Mercedes</t>
        </is>
      </c>
      <c r="E201" s="12" t="inlineStr">
        <is>
          <t>Berlin</t>
        </is>
      </c>
      <c r="F201" s="13" t="n">
        <v>0</v>
      </c>
      <c r="G201" s="13" t="n">
        <v>-15640.24</v>
      </c>
      <c r="H201" s="13" t="n">
        <v>0</v>
      </c>
      <c r="I201" s="13" t="n">
        <v>0</v>
      </c>
      <c r="J201" s="13" t="n">
        <v>0</v>
      </c>
      <c r="K201" s="13" t="n">
        <v>0</v>
      </c>
      <c r="L201" s="13">
        <f>F201+I201+SUMIFS('[FC Eingabe.xlsx]FC Eingabe'!$G$7:$G$126,'[FC Eingabe.xlsx]FC Eingabe'!$F$7:$F$126,C201,'[FC Eingabe.xlsx]FC Eingabe'!$K$7:$K$126,"Wirksam")</f>
        <v/>
      </c>
      <c r="M201" s="13">
        <f>G201+J201-SUMIFS('[FC Eingabe.xlsx]FC Eingabe'!$I$7:$I$126,'[FC Eingabe.xlsx]FC Eingabe'!$F$7:$F$126,C201,'[FC Eingabe.xlsx]FC Eingabe'!$K$7:$K$126,"Wirksam")</f>
        <v/>
      </c>
      <c r="N201" s="13">
        <f>H201+K201+SUMIFS('[FC Eingabe.xlsx]FC Eingabe'!$H$7:$H$126,'[FC Eingabe.xlsx]FC Eingabe'!$F$7:$F$126,C201,'[FC Eingabe.xlsx]FC Eingabe'!$K$7:$K$126,"Wirksam")</f>
        <v/>
      </c>
      <c r="O201" s="13">
        <f>SUM(L201:N201)</f>
        <v/>
      </c>
    </row>
    <row r="202" ht="21" customHeight="1">
      <c r="C202" s="12" t="inlineStr">
        <is>
          <t>W4102654946</t>
        </is>
      </c>
      <c r="D202" s="12" t="inlineStr">
        <is>
          <t>CB-TV 65 Hr Braun</t>
        </is>
      </c>
      <c r="E202" s="12" t="inlineStr">
        <is>
          <t>Berlin</t>
        </is>
      </c>
      <c r="F202" s="13" t="n">
        <v>0</v>
      </c>
      <c r="G202" s="13" t="n">
        <v>-6616.91</v>
      </c>
      <c r="H202" s="13" t="n">
        <v>0</v>
      </c>
      <c r="I202" s="13" t="n">
        <v>0</v>
      </c>
      <c r="J202" s="13" t="n">
        <v>0</v>
      </c>
      <c r="K202" s="13" t="n">
        <v>0</v>
      </c>
      <c r="L202" s="13">
        <f>F202+I202+SUMIFS('[FC Eingabe.xlsx]FC Eingabe'!$G$7:$G$126,'[FC Eingabe.xlsx]FC Eingabe'!$F$7:$F$126,C202,'[FC Eingabe.xlsx]FC Eingabe'!$K$7:$K$126,"Wirksam")</f>
        <v/>
      </c>
      <c r="M202" s="13">
        <f>G202+J202-SUMIFS('[FC Eingabe.xlsx]FC Eingabe'!$I$7:$I$126,'[FC Eingabe.xlsx]FC Eingabe'!$F$7:$F$126,C202,'[FC Eingabe.xlsx]FC Eingabe'!$K$7:$K$126,"Wirksam")</f>
        <v/>
      </c>
      <c r="N202" s="13">
        <f>H202+K202+SUMIFS('[FC Eingabe.xlsx]FC Eingabe'!$H$7:$H$126,'[FC Eingabe.xlsx]FC Eingabe'!$F$7:$F$126,C202,'[FC Eingabe.xlsx]FC Eingabe'!$K$7:$K$126,"Wirksam")</f>
        <v/>
      </c>
      <c r="O202" s="13">
        <f>SUM(L202:N202)</f>
        <v/>
      </c>
    </row>
    <row r="203" ht="21" customHeight="1">
      <c r="C203" s="12" t="inlineStr">
        <is>
          <t>W4102654947</t>
        </is>
      </c>
      <c r="D203" s="12" t="inlineStr">
        <is>
          <t>CB-TV 200 Hr. Adil</t>
        </is>
      </c>
      <c r="E203" s="12" t="inlineStr">
        <is>
          <t>Berlin</t>
        </is>
      </c>
      <c r="F203" s="13" t="n">
        <v>0</v>
      </c>
      <c r="G203" s="13" t="n">
        <v>-3949</v>
      </c>
      <c r="H203" s="13" t="n">
        <v>0</v>
      </c>
      <c r="I203" s="13" t="n">
        <v>0</v>
      </c>
      <c r="J203" s="13" t="n">
        <v>0</v>
      </c>
      <c r="K203" s="13" t="n">
        <v>0</v>
      </c>
      <c r="L203" s="13">
        <f>F203+I203+SUMIFS('[FC Eingabe.xlsx]FC Eingabe'!$G$7:$G$126,'[FC Eingabe.xlsx]FC Eingabe'!$F$7:$F$126,C203,'[FC Eingabe.xlsx]FC Eingabe'!$K$7:$K$126,"Wirksam")</f>
        <v/>
      </c>
      <c r="M203" s="13">
        <f>G203+J203-SUMIFS('[FC Eingabe.xlsx]FC Eingabe'!$I$7:$I$126,'[FC Eingabe.xlsx]FC Eingabe'!$F$7:$F$126,C203,'[FC Eingabe.xlsx]FC Eingabe'!$K$7:$K$126,"Wirksam")</f>
        <v/>
      </c>
      <c r="N203" s="13">
        <f>H203+K203+SUMIFS('[FC Eingabe.xlsx]FC Eingabe'!$H$7:$H$126,'[FC Eingabe.xlsx]FC Eingabe'!$F$7:$F$126,C203,'[FC Eingabe.xlsx]FC Eingabe'!$K$7:$K$126,"Wirksam")</f>
        <v/>
      </c>
      <c r="O203" s="13">
        <f>SUM(L203:N203)</f>
        <v/>
      </c>
    </row>
    <row r="204" ht="21" customHeight="1">
      <c r="C204" s="12" t="n"/>
      <c r="D204" s="12" t="n"/>
      <c r="E204" s="12" t="n"/>
      <c r="F204" s="13" t="n">
        <v>-128.47</v>
      </c>
      <c r="G204" s="13" t="n">
        <v>-3256845.05</v>
      </c>
      <c r="H204" s="13" t="n">
        <v>0</v>
      </c>
      <c r="I204" s="13" t="n">
        <v>0</v>
      </c>
      <c r="J204" s="13" t="n">
        <v>0</v>
      </c>
      <c r="K204" s="13" t="n">
        <v>0</v>
      </c>
      <c r="L204" s="13">
        <f>F204+I204+SUMIFS('[FC Eingabe.xlsx]FC Eingabe'!$G$7:$G$126,'[FC Eingabe.xlsx]FC Eingabe'!$F$7:$F$126,C204,'[FC Eingabe.xlsx]FC Eingabe'!$K$7:$K$126,"Wirksam")</f>
        <v/>
      </c>
      <c r="M204" s="13">
        <f>G204+J204-SUMIFS('[FC Eingabe.xlsx]FC Eingabe'!$I$7:$I$126,'[FC Eingabe.xlsx]FC Eingabe'!$F$7:$F$126,C204,'[FC Eingabe.xlsx]FC Eingabe'!$K$7:$K$126,"Wirksam")</f>
        <v/>
      </c>
      <c r="N204" s="13">
        <f>H204+K204+SUMIFS('[FC Eingabe.xlsx]FC Eingabe'!$H$7:$H$126,'[FC Eingabe.xlsx]FC Eingabe'!$F$7:$F$126,C204,'[FC Eingabe.xlsx]FC Eingabe'!$K$7:$K$126,"Wirksam")</f>
        <v/>
      </c>
      <c r="O204" s="13">
        <f>SUM(L204:N204)</f>
        <v/>
      </c>
    </row>
    <row r="205" ht="21" customHeight="1">
      <c r="C205" s="12" t="inlineStr">
        <is>
          <t>W4102304949</t>
        </is>
      </c>
      <c r="D205" s="12" t="n"/>
      <c r="E205" s="12" t="n"/>
      <c r="F205" s="13" t="n">
        <v>0</v>
      </c>
      <c r="G205" s="13" t="n">
        <v>-1187.54</v>
      </c>
      <c r="H205" s="13" t="n">
        <v>0</v>
      </c>
      <c r="I205" s="13" t="n">
        <v>0</v>
      </c>
      <c r="J205" s="13" t="n">
        <v>0</v>
      </c>
      <c r="K205" s="13" t="n">
        <v>0</v>
      </c>
      <c r="L205" s="13">
        <f>F205+I205+SUMIFS('[FC Eingabe.xlsx]FC Eingabe'!$G$7:$G$126,'[FC Eingabe.xlsx]FC Eingabe'!$F$7:$F$126,C205,'[FC Eingabe.xlsx]FC Eingabe'!$K$7:$K$126,"Wirksam")</f>
        <v/>
      </c>
      <c r="M205" s="13">
        <f>G205+J205-SUMIFS('[FC Eingabe.xlsx]FC Eingabe'!$I$7:$I$126,'[FC Eingabe.xlsx]FC Eingabe'!$F$7:$F$126,C205,'[FC Eingabe.xlsx]FC Eingabe'!$K$7:$K$126,"Wirksam")</f>
        <v/>
      </c>
      <c r="N205" s="13">
        <f>H205+K205+SUMIFS('[FC Eingabe.xlsx]FC Eingabe'!$H$7:$H$126,'[FC Eingabe.xlsx]FC Eingabe'!$F$7:$F$126,C205,'[FC Eingabe.xlsx]FC Eingabe'!$K$7:$K$126,"Wirksam")</f>
        <v/>
      </c>
      <c r="O205" s="13">
        <f>SUM(L205:N205)</f>
        <v/>
      </c>
    </row>
    <row r="206" ht="21" customHeight="1">
      <c r="C206" s="12" t="inlineStr">
        <is>
          <t>W4102604613</t>
        </is>
      </c>
      <c r="D206" s="12" t="n"/>
      <c r="E206" s="12" t="n"/>
      <c r="F206" s="13" t="n">
        <v>0</v>
      </c>
      <c r="G206" s="13" t="n">
        <v>-2192.04</v>
      </c>
      <c r="H206" s="13" t="n">
        <v>0</v>
      </c>
      <c r="I206" s="13" t="n">
        <v>0</v>
      </c>
      <c r="J206" s="13" t="n">
        <v>0</v>
      </c>
      <c r="K206" s="13" t="n">
        <v>0</v>
      </c>
      <c r="L206" s="13">
        <f>F206+I206+SUMIFS('[FC Eingabe.xlsx]FC Eingabe'!$G$7:$G$126,'[FC Eingabe.xlsx]FC Eingabe'!$F$7:$F$126,C206,'[FC Eingabe.xlsx]FC Eingabe'!$K$7:$K$126,"Wirksam")</f>
        <v/>
      </c>
      <c r="M206" s="13">
        <f>G206+J206-SUMIFS('[FC Eingabe.xlsx]FC Eingabe'!$I$7:$I$126,'[FC Eingabe.xlsx]FC Eingabe'!$F$7:$F$126,C206,'[FC Eingabe.xlsx]FC Eingabe'!$K$7:$K$126,"Wirksam")</f>
        <v/>
      </c>
      <c r="N206" s="13">
        <f>H206+K206+SUMIFS('[FC Eingabe.xlsx]FC Eingabe'!$H$7:$H$126,'[FC Eingabe.xlsx]FC Eingabe'!$F$7:$F$126,C206,'[FC Eingabe.xlsx]FC Eingabe'!$K$7:$K$126,"Wirksam")</f>
        <v/>
      </c>
      <c r="O206" s="13">
        <f>SUM(L206:N206)</f>
        <v/>
      </c>
    </row>
    <row r="207" ht="21" customHeight="1">
      <c r="C207" s="12" t="inlineStr">
        <is>
          <t>W4102607081</t>
        </is>
      </c>
      <c r="D207" s="12" t="n"/>
      <c r="E207" s="12" t="n"/>
      <c r="F207" s="13" t="n">
        <v>0</v>
      </c>
      <c r="G207" s="13" t="n">
        <v>0</v>
      </c>
      <c r="H207" s="13" t="n">
        <v>0</v>
      </c>
      <c r="I207" s="13" t="n">
        <v>0</v>
      </c>
      <c r="J207" s="13" t="n">
        <v>0</v>
      </c>
      <c r="K207" s="13" t="n">
        <v>0</v>
      </c>
      <c r="L207" s="13">
        <f>F207+I207+SUMIFS('[FC Eingabe.xlsx]FC Eingabe'!$G$7:$G$126,'[FC Eingabe.xlsx]FC Eingabe'!$F$7:$F$126,C207,'[FC Eingabe.xlsx]FC Eingabe'!$K$7:$K$126,"Wirksam")</f>
        <v/>
      </c>
      <c r="M207" s="13">
        <f>G207+J207-SUMIFS('[FC Eingabe.xlsx]FC Eingabe'!$I$7:$I$126,'[FC Eingabe.xlsx]FC Eingabe'!$F$7:$F$126,C207,'[FC Eingabe.xlsx]FC Eingabe'!$K$7:$K$126,"Wirksam")</f>
        <v/>
      </c>
      <c r="N207" s="13">
        <f>H207+K207+SUMIFS('[FC Eingabe.xlsx]FC Eingabe'!$H$7:$H$126,'[FC Eingabe.xlsx]FC Eingabe'!$F$7:$F$126,C207,'[FC Eingabe.xlsx]FC Eingabe'!$K$7:$K$126,"Wirksam")</f>
        <v/>
      </c>
      <c r="O207" s="13">
        <f>SUM(L207:N207)</f>
        <v/>
      </c>
    </row>
    <row r="208" ht="21" customHeight="1">
      <c r="C208" s="12" t="inlineStr">
        <is>
          <t>W4102504978</t>
        </is>
      </c>
      <c r="D208" s="12" t="n"/>
      <c r="E208" s="12" t="n"/>
      <c r="F208" s="13" t="n">
        <v>0</v>
      </c>
      <c r="G208" s="13" t="n">
        <v>-1002.99</v>
      </c>
      <c r="H208" s="13" t="n">
        <v>0</v>
      </c>
      <c r="I208" s="13" t="n">
        <v>0</v>
      </c>
      <c r="J208" s="13" t="n">
        <v>0</v>
      </c>
      <c r="K208" s="13" t="n">
        <v>0</v>
      </c>
      <c r="L208" s="13">
        <f>F208+I208+SUMIFS('[FC Eingabe.xlsx]FC Eingabe'!$G$7:$G$126,'[FC Eingabe.xlsx]FC Eingabe'!$F$7:$F$126,C208,'[FC Eingabe.xlsx]FC Eingabe'!$K$7:$K$126,"Wirksam")</f>
        <v/>
      </c>
      <c r="M208" s="13">
        <f>G208+J208-SUMIFS('[FC Eingabe.xlsx]FC Eingabe'!$I$7:$I$126,'[FC Eingabe.xlsx]FC Eingabe'!$F$7:$F$126,C208,'[FC Eingabe.xlsx]FC Eingabe'!$K$7:$K$126,"Wirksam")</f>
        <v/>
      </c>
      <c r="N208" s="13">
        <f>H208+K208+SUMIFS('[FC Eingabe.xlsx]FC Eingabe'!$H$7:$H$126,'[FC Eingabe.xlsx]FC Eingabe'!$F$7:$F$126,C208,'[FC Eingabe.xlsx]FC Eingabe'!$K$7:$K$126,"Wirksam")</f>
        <v/>
      </c>
      <c r="O208" s="13">
        <f>SUM(L208:N208)</f>
        <v/>
      </c>
    </row>
    <row r="209" ht="21" customHeight="1">
      <c r="C209" s="12" t="inlineStr">
        <is>
          <t>P4102307452</t>
        </is>
      </c>
      <c r="D209" s="12" t="n"/>
      <c r="E209" s="12" t="n"/>
      <c r="F209" s="13" t="n">
        <v>0</v>
      </c>
      <c r="G209" s="13" t="n">
        <v>-349.4</v>
      </c>
      <c r="H209" s="13" t="n">
        <v>0</v>
      </c>
      <c r="I209" s="13" t="n">
        <v>0</v>
      </c>
      <c r="J209" s="13" t="n">
        <v>0</v>
      </c>
      <c r="K209" s="13" t="n">
        <v>0</v>
      </c>
      <c r="L209" s="13">
        <f>F209+I209+SUMIFS('[FC Eingabe.xlsx]FC Eingabe'!$G$7:$G$126,'[FC Eingabe.xlsx]FC Eingabe'!$F$7:$F$126,C209,'[FC Eingabe.xlsx]FC Eingabe'!$K$7:$K$126,"Wirksam")</f>
        <v/>
      </c>
      <c r="M209" s="13">
        <f>G209+J209-SUMIFS('[FC Eingabe.xlsx]FC Eingabe'!$I$7:$I$126,'[FC Eingabe.xlsx]FC Eingabe'!$F$7:$F$126,C209,'[FC Eingabe.xlsx]FC Eingabe'!$K$7:$K$126,"Wirksam")</f>
        <v/>
      </c>
      <c r="N209" s="13">
        <f>H209+K209+SUMIFS('[FC Eingabe.xlsx]FC Eingabe'!$H$7:$H$126,'[FC Eingabe.xlsx]FC Eingabe'!$F$7:$F$126,C209,'[FC Eingabe.xlsx]FC Eingabe'!$K$7:$K$126,"Wirksam")</f>
        <v/>
      </c>
      <c r="O209" s="13">
        <f>SUM(L209:N209)</f>
        <v/>
      </c>
    </row>
    <row r="210" ht="21" customHeight="1">
      <c r="C210" s="12" t="inlineStr">
        <is>
          <t>W4102309045</t>
        </is>
      </c>
      <c r="D210" s="12" t="n"/>
      <c r="E210" s="12" t="n"/>
      <c r="F210" s="13" t="n">
        <v>0</v>
      </c>
      <c r="G210" s="13" t="n">
        <v>-77.84999999999999</v>
      </c>
      <c r="H210" s="13" t="n">
        <v>0</v>
      </c>
      <c r="I210" s="13" t="n">
        <v>0</v>
      </c>
      <c r="J210" s="13" t="n">
        <v>0</v>
      </c>
      <c r="K210" s="13" t="n">
        <v>0</v>
      </c>
      <c r="L210" s="13">
        <f>F210+I210+SUMIFS('[FC Eingabe.xlsx]FC Eingabe'!$G$7:$G$126,'[FC Eingabe.xlsx]FC Eingabe'!$F$7:$F$126,C210,'[FC Eingabe.xlsx]FC Eingabe'!$K$7:$K$126,"Wirksam")</f>
        <v/>
      </c>
      <c r="M210" s="13">
        <f>G210+J210-SUMIFS('[FC Eingabe.xlsx]FC Eingabe'!$I$7:$I$126,'[FC Eingabe.xlsx]FC Eingabe'!$F$7:$F$126,C210,'[FC Eingabe.xlsx]FC Eingabe'!$K$7:$K$126,"Wirksam")</f>
        <v/>
      </c>
      <c r="N210" s="13">
        <f>H210+K210+SUMIFS('[FC Eingabe.xlsx]FC Eingabe'!$H$7:$H$126,'[FC Eingabe.xlsx]FC Eingabe'!$F$7:$F$126,C210,'[FC Eingabe.xlsx]FC Eingabe'!$K$7:$K$126,"Wirksam")</f>
        <v/>
      </c>
      <c r="O210" s="13">
        <f>SUM(L210:N210)</f>
        <v/>
      </c>
    </row>
    <row r="211" ht="21" customHeight="1">
      <c r="C211" s="12" t="inlineStr">
        <is>
          <t>W4102604501</t>
        </is>
      </c>
      <c r="D211" s="12" t="n"/>
      <c r="E211" s="12" t="n"/>
      <c r="F211" s="13" t="n">
        <v>0</v>
      </c>
      <c r="G211" s="13" t="n">
        <v>-33.46</v>
      </c>
      <c r="H211" s="13" t="n">
        <v>0</v>
      </c>
      <c r="I211" s="13" t="n">
        <v>0</v>
      </c>
      <c r="J211" s="13" t="n">
        <v>0</v>
      </c>
      <c r="K211" s="13" t="n">
        <v>0</v>
      </c>
      <c r="L211" s="13">
        <f>F211+I211+SUMIFS('[FC Eingabe.xlsx]FC Eingabe'!$G$7:$G$126,'[FC Eingabe.xlsx]FC Eingabe'!$F$7:$F$126,C211,'[FC Eingabe.xlsx]FC Eingabe'!$K$7:$K$126,"Wirksam")</f>
        <v/>
      </c>
      <c r="M211" s="13">
        <f>G211+J211-SUMIFS('[FC Eingabe.xlsx]FC Eingabe'!$I$7:$I$126,'[FC Eingabe.xlsx]FC Eingabe'!$F$7:$F$126,C211,'[FC Eingabe.xlsx]FC Eingabe'!$K$7:$K$126,"Wirksam")</f>
        <v/>
      </c>
      <c r="N211" s="13">
        <f>H211+K211+SUMIFS('[FC Eingabe.xlsx]FC Eingabe'!$H$7:$H$126,'[FC Eingabe.xlsx]FC Eingabe'!$F$7:$F$126,C211,'[FC Eingabe.xlsx]FC Eingabe'!$K$7:$K$126,"Wirksam")</f>
        <v/>
      </c>
      <c r="O211" s="13">
        <f>SUM(L211:N211)</f>
        <v/>
      </c>
    </row>
    <row r="212" ht="21" customHeight="1">
      <c r="C212" s="12" t="inlineStr">
        <is>
          <t>W4102304948</t>
        </is>
      </c>
      <c r="D212" s="12" t="n"/>
      <c r="E212" s="12" t="n"/>
      <c r="F212" s="13" t="n">
        <v>0</v>
      </c>
      <c r="G212" s="13" t="n">
        <v>-180.18</v>
      </c>
      <c r="H212" s="13" t="n">
        <v>0</v>
      </c>
      <c r="I212" s="13" t="n">
        <v>0</v>
      </c>
      <c r="J212" s="13" t="n">
        <v>0</v>
      </c>
      <c r="K212" s="13" t="n">
        <v>0</v>
      </c>
      <c r="L212" s="13">
        <f>F212+I212+SUMIFS('[FC Eingabe.xlsx]FC Eingabe'!$G$7:$G$126,'[FC Eingabe.xlsx]FC Eingabe'!$F$7:$F$126,C212,'[FC Eingabe.xlsx]FC Eingabe'!$K$7:$K$126,"Wirksam")</f>
        <v/>
      </c>
      <c r="M212" s="13">
        <f>G212+J212-SUMIFS('[FC Eingabe.xlsx]FC Eingabe'!$I$7:$I$126,'[FC Eingabe.xlsx]FC Eingabe'!$F$7:$F$126,C212,'[FC Eingabe.xlsx]FC Eingabe'!$K$7:$K$126,"Wirksam")</f>
        <v/>
      </c>
      <c r="N212" s="13">
        <f>H212+K212+SUMIFS('[FC Eingabe.xlsx]FC Eingabe'!$H$7:$H$126,'[FC Eingabe.xlsx]FC Eingabe'!$F$7:$F$126,C212,'[FC Eingabe.xlsx]FC Eingabe'!$K$7:$K$126,"Wirksam")</f>
        <v/>
      </c>
      <c r="O212" s="13">
        <f>SUM(L212:N212)</f>
        <v/>
      </c>
    </row>
    <row r="213" ht="21" customHeight="1">
      <c r="C213" s="12" t="inlineStr">
        <is>
          <t>P4102608277</t>
        </is>
      </c>
      <c r="D213" s="12" t="n"/>
      <c r="E213" s="12" t="n"/>
      <c r="F213" s="13" t="n">
        <v>9367.07</v>
      </c>
      <c r="G213" s="13" t="n">
        <v>-5289.44</v>
      </c>
      <c r="H213" s="13" t="n">
        <v>0</v>
      </c>
      <c r="I213" s="13" t="n">
        <v>0</v>
      </c>
      <c r="J213" s="13" t="n">
        <v>0</v>
      </c>
      <c r="K213" s="13" t="n">
        <v>0</v>
      </c>
      <c r="L213" s="13">
        <f>F213+I213+SUMIFS('[FC Eingabe.xlsx]FC Eingabe'!$G$7:$G$126,'[FC Eingabe.xlsx]FC Eingabe'!$F$7:$F$126,C213,'[FC Eingabe.xlsx]FC Eingabe'!$K$7:$K$126,"Wirksam")</f>
        <v/>
      </c>
      <c r="M213" s="13">
        <f>G213+J213-SUMIFS('[FC Eingabe.xlsx]FC Eingabe'!$I$7:$I$126,'[FC Eingabe.xlsx]FC Eingabe'!$F$7:$F$126,C213,'[FC Eingabe.xlsx]FC Eingabe'!$K$7:$K$126,"Wirksam")</f>
        <v/>
      </c>
      <c r="N213" s="13">
        <f>H213+K213+SUMIFS('[FC Eingabe.xlsx]FC Eingabe'!$H$7:$H$126,'[FC Eingabe.xlsx]FC Eingabe'!$F$7:$F$126,C213,'[FC Eingabe.xlsx]FC Eingabe'!$K$7:$K$126,"Wirksam")</f>
        <v/>
      </c>
      <c r="O213" s="13">
        <f>SUM(L213:N213)</f>
        <v/>
      </c>
    </row>
    <row r="214" ht="21" customHeight="1">
      <c r="C214" s="12" t="inlineStr">
        <is>
          <t>W4102307366</t>
        </is>
      </c>
      <c r="D214" s="12" t="n"/>
      <c r="E214" s="12" t="n"/>
      <c r="F214" s="13" t="n">
        <v>0</v>
      </c>
      <c r="G214" s="13" t="n">
        <v>0</v>
      </c>
      <c r="H214" s="13" t="n">
        <v>0</v>
      </c>
      <c r="I214" s="13" t="n">
        <v>0</v>
      </c>
      <c r="J214" s="13" t="n">
        <v>0</v>
      </c>
      <c r="K214" s="13" t="n">
        <v>0</v>
      </c>
      <c r="L214" s="13">
        <f>F214+I214+SUMIFS('[FC Eingabe.xlsx]FC Eingabe'!$G$7:$G$126,'[FC Eingabe.xlsx]FC Eingabe'!$F$7:$F$126,C214,'[FC Eingabe.xlsx]FC Eingabe'!$K$7:$K$126,"Wirksam")</f>
        <v/>
      </c>
      <c r="M214" s="13">
        <f>G214+J214-SUMIFS('[FC Eingabe.xlsx]FC Eingabe'!$I$7:$I$126,'[FC Eingabe.xlsx]FC Eingabe'!$F$7:$F$126,C214,'[FC Eingabe.xlsx]FC Eingabe'!$K$7:$K$126,"Wirksam")</f>
        <v/>
      </c>
      <c r="N214" s="13">
        <f>H214+K214+SUMIFS('[FC Eingabe.xlsx]FC Eingabe'!$H$7:$H$126,'[FC Eingabe.xlsx]FC Eingabe'!$F$7:$F$126,C214,'[FC Eingabe.xlsx]FC Eingabe'!$K$7:$K$126,"Wirksam")</f>
        <v/>
      </c>
      <c r="O214" s="13">
        <f>SUM(L214:N214)</f>
        <v/>
      </c>
    </row>
    <row r="215" ht="21" customHeight="1">
      <c r="C215" s="12" t="inlineStr">
        <is>
          <t>P4102607081</t>
        </is>
      </c>
      <c r="D215" s="12" t="n"/>
      <c r="E215" s="12" t="n"/>
      <c r="F215" s="13" t="n">
        <v>0</v>
      </c>
      <c r="G215" s="13" t="n">
        <v>-177.57</v>
      </c>
      <c r="H215" s="13" t="n">
        <v>0</v>
      </c>
      <c r="I215" s="13" t="n">
        <v>0</v>
      </c>
      <c r="J215" s="13" t="n">
        <v>0</v>
      </c>
      <c r="K215" s="13" t="n">
        <v>0</v>
      </c>
      <c r="L215" s="13">
        <f>F215+I215+SUMIFS('[FC Eingabe.xlsx]FC Eingabe'!$G$7:$G$126,'[FC Eingabe.xlsx]FC Eingabe'!$F$7:$F$126,C215,'[FC Eingabe.xlsx]FC Eingabe'!$K$7:$K$126,"Wirksam")</f>
        <v/>
      </c>
      <c r="M215" s="13">
        <f>G215+J215-SUMIFS('[FC Eingabe.xlsx]FC Eingabe'!$I$7:$I$126,'[FC Eingabe.xlsx]FC Eingabe'!$F$7:$F$126,C215,'[FC Eingabe.xlsx]FC Eingabe'!$K$7:$K$126,"Wirksam")</f>
        <v/>
      </c>
      <c r="N215" s="13">
        <f>H215+K215+SUMIFS('[FC Eingabe.xlsx]FC Eingabe'!$H$7:$H$126,'[FC Eingabe.xlsx]FC Eingabe'!$F$7:$F$126,C215,'[FC Eingabe.xlsx]FC Eingabe'!$K$7:$K$126,"Wirksam")</f>
        <v/>
      </c>
      <c r="O215" s="13">
        <f>SUM(L215:N215)</f>
        <v/>
      </c>
    </row>
    <row r="216" ht="21" customHeight="1">
      <c r="C216" s="12" t="inlineStr">
        <is>
          <t>P4102307451</t>
        </is>
      </c>
      <c r="D216" s="12" t="n"/>
      <c r="E216" s="12" t="n"/>
      <c r="F216" s="13" t="n">
        <v>0</v>
      </c>
      <c r="G216" s="13" t="n">
        <v>-2162</v>
      </c>
      <c r="H216" s="13" t="n">
        <v>0</v>
      </c>
      <c r="I216" s="13" t="n">
        <v>0</v>
      </c>
      <c r="J216" s="13" t="n">
        <v>0</v>
      </c>
      <c r="K216" s="13" t="n">
        <v>0</v>
      </c>
      <c r="L216" s="13">
        <f>F216+I216+SUMIFS('[FC Eingabe.xlsx]FC Eingabe'!$G$7:$G$126,'[FC Eingabe.xlsx]FC Eingabe'!$F$7:$F$126,C216,'[FC Eingabe.xlsx]FC Eingabe'!$K$7:$K$126,"Wirksam")</f>
        <v/>
      </c>
      <c r="M216" s="13">
        <f>G216+J216-SUMIFS('[FC Eingabe.xlsx]FC Eingabe'!$I$7:$I$126,'[FC Eingabe.xlsx]FC Eingabe'!$F$7:$F$126,C216,'[FC Eingabe.xlsx]FC Eingabe'!$K$7:$K$126,"Wirksam")</f>
        <v/>
      </c>
      <c r="N216" s="13">
        <f>H216+K216+SUMIFS('[FC Eingabe.xlsx]FC Eingabe'!$H$7:$H$126,'[FC Eingabe.xlsx]FC Eingabe'!$F$7:$F$126,C216,'[FC Eingabe.xlsx]FC Eingabe'!$K$7:$K$126,"Wirksam")</f>
        <v/>
      </c>
      <c r="O216" s="13">
        <f>SUM(L216:N216)</f>
        <v/>
      </c>
    </row>
    <row r="217" ht="21" customHeight="1">
      <c r="C217" s="12" t="inlineStr">
        <is>
          <t>P4102157472</t>
        </is>
      </c>
      <c r="D217" s="12" t="n"/>
      <c r="E217" s="12" t="n"/>
      <c r="F217" s="13" t="n">
        <v>13000</v>
      </c>
      <c r="G217" s="13" t="n">
        <v>-6383.76</v>
      </c>
      <c r="H217" s="13" t="n">
        <v>0</v>
      </c>
      <c r="I217" s="13" t="n">
        <v>0</v>
      </c>
      <c r="J217" s="13" t="n">
        <v>0</v>
      </c>
      <c r="K217" s="13" t="n">
        <v>0</v>
      </c>
      <c r="L217" s="13">
        <f>F217+I217+SUMIFS('[FC Eingabe.xlsx]FC Eingabe'!$G$7:$G$126,'[FC Eingabe.xlsx]FC Eingabe'!$F$7:$F$126,C217,'[FC Eingabe.xlsx]FC Eingabe'!$K$7:$K$126,"Wirksam")</f>
        <v/>
      </c>
      <c r="M217" s="13">
        <f>G217+J217-SUMIFS('[FC Eingabe.xlsx]FC Eingabe'!$I$7:$I$126,'[FC Eingabe.xlsx]FC Eingabe'!$F$7:$F$126,C217,'[FC Eingabe.xlsx]FC Eingabe'!$K$7:$K$126,"Wirksam")</f>
        <v/>
      </c>
      <c r="N217" s="13">
        <f>H217+K217+SUMIFS('[FC Eingabe.xlsx]FC Eingabe'!$H$7:$H$126,'[FC Eingabe.xlsx]FC Eingabe'!$F$7:$F$126,C217,'[FC Eingabe.xlsx]FC Eingabe'!$K$7:$K$126,"Wirksam")</f>
        <v/>
      </c>
      <c r="O217" s="13">
        <f>SUM(L217:N217)</f>
        <v/>
      </c>
    </row>
    <row r="218" ht="21" customHeight="1">
      <c r="C218" s="12" t="inlineStr">
        <is>
          <t>P4102608278</t>
        </is>
      </c>
      <c r="D218" s="12" t="n"/>
      <c r="E218" s="12" t="n"/>
      <c r="F218" s="13" t="n">
        <v>0</v>
      </c>
      <c r="G218" s="13" t="n">
        <v>-1010</v>
      </c>
      <c r="H218" s="13" t="n">
        <v>0</v>
      </c>
      <c r="I218" s="13" t="n">
        <v>0</v>
      </c>
      <c r="J218" s="13" t="n">
        <v>0</v>
      </c>
      <c r="K218" s="13" t="n">
        <v>0</v>
      </c>
      <c r="L218" s="13">
        <f>F218+I218+SUMIFS('[FC Eingabe.xlsx]FC Eingabe'!$G$7:$G$126,'[FC Eingabe.xlsx]FC Eingabe'!$F$7:$F$126,C218,'[FC Eingabe.xlsx]FC Eingabe'!$K$7:$K$126,"Wirksam")</f>
        <v/>
      </c>
      <c r="M218" s="13">
        <f>G218+J218-SUMIFS('[FC Eingabe.xlsx]FC Eingabe'!$I$7:$I$126,'[FC Eingabe.xlsx]FC Eingabe'!$F$7:$F$126,C218,'[FC Eingabe.xlsx]FC Eingabe'!$K$7:$K$126,"Wirksam")</f>
        <v/>
      </c>
      <c r="N218" s="13">
        <f>H218+K218+SUMIFS('[FC Eingabe.xlsx]FC Eingabe'!$H$7:$H$126,'[FC Eingabe.xlsx]FC Eingabe'!$F$7:$F$126,C218,'[FC Eingabe.xlsx]FC Eingabe'!$K$7:$K$126,"Wirksam")</f>
        <v/>
      </c>
      <c r="O218" s="13">
        <f>SUM(L218:N218)</f>
        <v/>
      </c>
    </row>
    <row r="219" ht="21" customHeight="1">
      <c r="C219" s="12" t="inlineStr">
        <is>
          <t>W4102307414</t>
        </is>
      </c>
      <c r="D219" s="12" t="n"/>
      <c r="E219" s="12" t="n"/>
      <c r="F219" s="13" t="n">
        <v>0</v>
      </c>
      <c r="G219" s="13" t="n">
        <v>-65.02</v>
      </c>
      <c r="H219" s="13" t="n">
        <v>0</v>
      </c>
      <c r="I219" s="13" t="n">
        <v>0</v>
      </c>
      <c r="J219" s="13" t="n">
        <v>0</v>
      </c>
      <c r="K219" s="13" t="n">
        <v>0</v>
      </c>
      <c r="L219" s="13">
        <f>F219+I219+SUMIFS('[FC Eingabe.xlsx]FC Eingabe'!$G$7:$G$126,'[FC Eingabe.xlsx]FC Eingabe'!$F$7:$F$126,C219,'[FC Eingabe.xlsx]FC Eingabe'!$K$7:$K$126,"Wirksam")</f>
        <v/>
      </c>
      <c r="M219" s="13">
        <f>G219+J219-SUMIFS('[FC Eingabe.xlsx]FC Eingabe'!$I$7:$I$126,'[FC Eingabe.xlsx]FC Eingabe'!$F$7:$F$126,C219,'[FC Eingabe.xlsx]FC Eingabe'!$K$7:$K$126,"Wirksam")</f>
        <v/>
      </c>
      <c r="N219" s="13">
        <f>H219+K219+SUMIFS('[FC Eingabe.xlsx]FC Eingabe'!$H$7:$H$126,'[FC Eingabe.xlsx]FC Eingabe'!$F$7:$F$126,C219,'[FC Eingabe.xlsx]FC Eingabe'!$K$7:$K$126,"Wirksam")</f>
        <v/>
      </c>
      <c r="O219" s="13">
        <f>SUM(L219:N219)</f>
        <v/>
      </c>
    </row>
    <row r="220" ht="21" customHeight="1">
      <c r="C220" s="12" t="inlineStr">
        <is>
          <t>P4102157470</t>
        </is>
      </c>
      <c r="D220" s="12" t="n"/>
      <c r="E220" s="12" t="n"/>
      <c r="F220" s="13" t="n">
        <v>40500</v>
      </c>
      <c r="G220" s="13" t="n">
        <v>-21238.51</v>
      </c>
      <c r="H220" s="13" t="n">
        <v>0</v>
      </c>
      <c r="I220" s="13" t="n">
        <v>0</v>
      </c>
      <c r="J220" s="13" t="n">
        <v>0</v>
      </c>
      <c r="K220" s="13" t="n">
        <v>0</v>
      </c>
      <c r="L220" s="13">
        <f>F220+I220+SUMIFS('[FC Eingabe.xlsx]FC Eingabe'!$G$7:$G$126,'[FC Eingabe.xlsx]FC Eingabe'!$F$7:$F$126,C220,'[FC Eingabe.xlsx]FC Eingabe'!$K$7:$K$126,"Wirksam")</f>
        <v/>
      </c>
      <c r="M220" s="13">
        <f>G220+J220-SUMIFS('[FC Eingabe.xlsx]FC Eingabe'!$I$7:$I$126,'[FC Eingabe.xlsx]FC Eingabe'!$F$7:$F$126,C220,'[FC Eingabe.xlsx]FC Eingabe'!$K$7:$K$126,"Wirksam")</f>
        <v/>
      </c>
      <c r="N220" s="13">
        <f>H220+K220+SUMIFS('[FC Eingabe.xlsx]FC Eingabe'!$H$7:$H$126,'[FC Eingabe.xlsx]FC Eingabe'!$F$7:$F$126,C220,'[FC Eingabe.xlsx]FC Eingabe'!$K$7:$K$126,"Wirksam")</f>
        <v/>
      </c>
      <c r="O220" s="13">
        <f>SUM(L220:N220)</f>
        <v/>
      </c>
    </row>
    <row r="221" ht="21" customHeight="1">
      <c r="C221" s="12" t="inlineStr">
        <is>
          <t>W4102504110</t>
        </is>
      </c>
      <c r="D221" s="12" t="n"/>
      <c r="E221" s="12" t="n"/>
      <c r="F221" s="13" t="n">
        <v>0</v>
      </c>
      <c r="G221" s="13" t="n">
        <v>-79.34</v>
      </c>
      <c r="H221" s="13" t="n">
        <v>0</v>
      </c>
      <c r="I221" s="13" t="n">
        <v>0</v>
      </c>
      <c r="J221" s="13" t="n">
        <v>0</v>
      </c>
      <c r="K221" s="13" t="n">
        <v>0</v>
      </c>
      <c r="L221" s="13">
        <f>F221+I221+SUMIFS('[FC Eingabe.xlsx]FC Eingabe'!$G$7:$G$126,'[FC Eingabe.xlsx]FC Eingabe'!$F$7:$F$126,C221,'[FC Eingabe.xlsx]FC Eingabe'!$K$7:$K$126,"Wirksam")</f>
        <v/>
      </c>
      <c r="M221" s="13">
        <f>G221+J221-SUMIFS('[FC Eingabe.xlsx]FC Eingabe'!$I$7:$I$126,'[FC Eingabe.xlsx]FC Eingabe'!$F$7:$F$126,C221,'[FC Eingabe.xlsx]FC Eingabe'!$K$7:$K$126,"Wirksam")</f>
        <v/>
      </c>
      <c r="N221" s="13">
        <f>H221+K221+SUMIFS('[FC Eingabe.xlsx]FC Eingabe'!$H$7:$H$126,'[FC Eingabe.xlsx]FC Eingabe'!$F$7:$F$126,C221,'[FC Eingabe.xlsx]FC Eingabe'!$K$7:$K$126,"Wirksam")</f>
        <v/>
      </c>
      <c r="O221" s="13">
        <f>SUM(L221:N221)</f>
        <v/>
      </c>
    </row>
    <row r="222" ht="21" customHeight="1">
      <c r="C222" s="12" t="inlineStr">
        <is>
          <t>W4102504977</t>
        </is>
      </c>
      <c r="D222" s="12" t="n"/>
      <c r="E222" s="12" t="n"/>
      <c r="F222" s="13" t="n">
        <v>0</v>
      </c>
      <c r="G222" s="13" t="n">
        <v>-3282.09</v>
      </c>
      <c r="H222" s="13" t="n">
        <v>0</v>
      </c>
      <c r="I222" s="13" t="n">
        <v>0</v>
      </c>
      <c r="J222" s="13" t="n">
        <v>0</v>
      </c>
      <c r="K222" s="13" t="n">
        <v>0</v>
      </c>
      <c r="L222" s="13">
        <f>F222+I222+SUMIFS('[FC Eingabe.xlsx]FC Eingabe'!$G$7:$G$126,'[FC Eingabe.xlsx]FC Eingabe'!$F$7:$F$126,C222,'[FC Eingabe.xlsx]FC Eingabe'!$K$7:$K$126,"Wirksam")</f>
        <v/>
      </c>
      <c r="M222" s="13">
        <f>G222+J222-SUMIFS('[FC Eingabe.xlsx]FC Eingabe'!$I$7:$I$126,'[FC Eingabe.xlsx]FC Eingabe'!$F$7:$F$126,C222,'[FC Eingabe.xlsx]FC Eingabe'!$K$7:$K$126,"Wirksam")</f>
        <v/>
      </c>
      <c r="N222" s="13">
        <f>H222+K222+SUMIFS('[FC Eingabe.xlsx]FC Eingabe'!$H$7:$H$126,'[FC Eingabe.xlsx]FC Eingabe'!$F$7:$F$126,C222,'[FC Eingabe.xlsx]FC Eingabe'!$K$7:$K$126,"Wirksam")</f>
        <v/>
      </c>
      <c r="O222" s="13">
        <f>SUM(L222:N222)</f>
        <v/>
      </c>
    </row>
    <row r="225">
      <c r="C225" t="inlineStr">
        <is>
          <t>SharePoint-Verknüpfungen (Dateien im selben Ordner)</t>
        </is>
      </c>
    </row>
    <row r="226">
      <c r="C226" t="inlineStr">
        <is>
          <t>Diese Datei</t>
        </is>
      </c>
      <c r="D226" t="inlineStr">
        <is>
          <t>Forecast.xlsx</t>
        </is>
      </c>
    </row>
    <row r="227">
      <c r="C227" t="inlineStr">
        <is>
          <t>Liest aus</t>
        </is>
      </c>
      <c r="D227" t="inlineStr">
        <is>
          <t>D Finanzen.xlsx</t>
        </is>
      </c>
      <c r="E227" t="inlineStr">
        <is>
          <t>D Finanzen</t>
        </is>
      </c>
    </row>
    <row r="228">
      <c r="C228" t="inlineStr">
        <is>
          <t>Liest aus</t>
        </is>
      </c>
      <c r="D228" t="inlineStr">
        <is>
          <t>FC Eingabe.xlsx</t>
        </is>
      </c>
      <c r="E228" t="inlineStr">
        <is>
          <t>FC Eingabe</t>
        </is>
      </c>
    </row>
    <row r="229">
      <c r="C229" t="inlineStr">
        <is>
          <t>Liest aus</t>
        </is>
      </c>
      <c r="D229" t="inlineStr">
        <is>
          <t>GuV.xlsx</t>
        </is>
      </c>
      <c r="E229" t="inlineStr">
        <is>
          <t>GuV</t>
        </is>
      </c>
    </row>
    <row r="230">
      <c r="C230" t="inlineStr">
        <is>
          <t>Liest aus</t>
        </is>
      </c>
      <c r="D230" t="inlineStr">
        <is>
          <t>Import Monatsdaten.xlsx</t>
        </is>
      </c>
      <c r="E230" t="inlineStr">
        <is>
          <t>Import Monatsdaten</t>
        </is>
      </c>
    </row>
    <row r="231">
      <c r="C231" t="inlineStr">
        <is>
          <t>Liest aus</t>
        </is>
      </c>
      <c r="D231" t="inlineStr">
        <is>
          <t>Steuerung.xlsx</t>
        </is>
      </c>
      <c r="E231" t="inlineStr">
        <is>
          <t>Steuerung</t>
        </is>
      </c>
    </row>
  </sheetData>
  <mergeCells count="3">
    <mergeCell ref="C2:Q2"/>
    <mergeCell ref="C3:Q3"/>
    <mergeCell ref="C46:Q46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2026-10-12T08:21:44Z</dcterms:created>
  <dcterms:modified xsi:type="dcterms:W3CDTF">2026-10-12T08:21:45Z</dcterms:modified>
</cp:coreProperties>
</file>