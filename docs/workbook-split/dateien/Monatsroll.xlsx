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ts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\(#,##0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00804A"/>
      <sz val="10"/>
    </font>
  </fonts>
  <fills count="3">
    <fill>
      <patternFill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A2" s="1" t="n"/>
      <c r="B2" s="1" t="n"/>
      <c r="C2" s="2" t="inlineStr">
        <is>
          <t>Monatsroll und Cash-Pool-Plan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32" customHeight="1">
      <c r="A3" s="1" t="n"/>
      <c r="B3" s="1" t="n"/>
      <c r="C3" s="4" t="inlineStr">
        <is>
          <t>Modell aus der Anwendung mit gerundeten DSO-/DPO-Monatsversätzen. Startbestand und Zahlungsparameter auf Steuerung.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34" customHeight="1">
      <c r="A6" s="1" t="n"/>
      <c r="B6" s="1" t="n"/>
      <c r="C6" s="5" t="inlineStr">
        <is>
          <t>Monat</t>
        </is>
      </c>
      <c r="D6" s="5" t="inlineStr">
        <is>
          <t>Art</t>
        </is>
      </c>
      <c r="E6" s="5" t="inlineStr">
        <is>
          <t>Umsatz</t>
        </is>
      </c>
      <c r="F6" s="5" t="inlineStr">
        <is>
          <t>Bestand Δ</t>
        </is>
      </c>
      <c r="G6" s="5" t="inlineStr">
        <is>
          <t>EBITDA</t>
        </is>
      </c>
      <c r="H6" s="5" t="inlineStr">
        <is>
          <t>Kosten</t>
        </is>
      </c>
      <c r="I6" s="5" t="inlineStr">
        <is>
          <t>Cash-Anfang</t>
        </is>
      </c>
      <c r="J6" s="5" t="inlineStr">
        <is>
          <t>Umsatz-Zufluss</t>
        </is>
      </c>
      <c r="K6" s="5" t="inlineStr">
        <is>
          <t>Regelzufluss</t>
        </is>
      </c>
      <c r="L6" s="5" t="inlineStr">
        <is>
          <t>Finanzierung</t>
        </is>
      </c>
      <c r="M6" s="5" t="inlineStr">
        <is>
          <t>Gepl. Eingang</t>
        </is>
      </c>
      <c r="N6" s="5" t="inlineStr">
        <is>
          <t>Sachkosten</t>
        </is>
      </c>
      <c r="O6" s="5" t="inlineStr">
        <is>
          <t>Personal/Zins/Invest</t>
        </is>
      </c>
      <c r="P6" s="5" t="inlineStr">
        <is>
          <t>Gepl. Ausgang</t>
        </is>
      </c>
      <c r="Q6" s="5" t="inlineStr">
        <is>
          <t>Cash-Ende</t>
        </is>
      </c>
      <c r="R6" s="5" t="inlineStr">
        <is>
          <t>Ist-Cash</t>
        </is>
      </c>
      <c r="S6" s="1" t="n"/>
      <c r="T6" s="1" t="n"/>
    </row>
    <row r="7">
      <c r="A7" s="1" t="n"/>
      <c r="B7" s="1" t="n"/>
      <c r="C7" s="1" t="n">
        <v>1</v>
      </c>
      <c r="D7" s="6">
        <f>IF(C7&lt;'[Steuerung.xlsx]Steuerung'!$F$50,"IST","PLAN")</f>
        <v/>
      </c>
      <c r="E7" s="7">
        <f>SUMIFS('[D Liquidität.xlsx]D Liquidität'!$C$632:$C$655,'[D Liquidität.xlsx]D Liquidität'!$A$632:$A$655,'[Steuerung.xlsx]Steuerung'!$F$6,'[D Liquidität.xlsx]D Liquidität'!$B$632:$B$655,C7)+SUMIFS('[FC Eingabe.xlsx]FC Eingabe'!$G$7:$G$506,'[FC Eingabe.xlsx]FC Eingabe'!$C$7:$C$506,'[Steuerung.xlsx]Steuerung'!$F$6,'[FC Eingabe.xlsx]FC Eingabe'!$D$7:$D$506,C7,'[FC Eingabe.xlsx]FC Eingabe'!$K$7:$K$506,"Wirksam")</f>
        <v/>
      </c>
      <c r="F7" s="7">
        <f>SUMIFS('[D Liquidität.xlsx]D Liquidität'!$D$632:$D$655,'[D Liquidität.xlsx]D Liquidität'!$A$632:$A$655,'[Steuerung.xlsx]Steuerung'!$F$6,'[D Liquidität.xlsx]D Liquidität'!$B$632:$B$655,C7)+SUMIFS('[FC Eingabe.xlsx]FC Eingabe'!$H$7:$H$506,'[FC Eingabe.xlsx]FC Eingabe'!$C$7:$C$506,'[Steuerung.xlsx]Steuerung'!$F$6,'[FC Eingabe.xlsx]FC Eingabe'!$D$7:$D$506,C7,'[FC Eingabe.xlsx]FC Eingabe'!$K$7:$K$506,"Wirksam")</f>
        <v/>
      </c>
      <c r="G7" s="7">
        <f>SUMIFS('[D Liquidität.xlsx]D Liquidität'!$E$632:$E$655,'[D Liquidität.xlsx]D Liquidität'!$A$632:$A$655,'[Steuerung.xlsx]Steuerung'!$F$6,'[D Liquidität.xlsx]D Liquidität'!$B$632:$B$655,C7)+SUMIFS('[FC Eingabe.xlsx]FC Eingabe'!$G$7:$G$506,'[FC Eingabe.xlsx]FC Eingabe'!$C$7:$C$506,'[Steuerung.xlsx]Steuerung'!$F$6,'[FC Eingabe.xlsx]FC Eingabe'!$D$7:$D$506,C7,'[FC Eingabe.xlsx]FC Eingabe'!$K$7:$K$506,"Wirksam")+SUMIFS('[FC Eingabe.xlsx]FC Eingabe'!$H$7:$H$506,'[FC Eingabe.xlsx]FC Eingabe'!$C$7:$C$506,'[Steuerung.xlsx]Steuerung'!$F$6,'[FC Eingabe.xlsx]FC Eingabe'!$D$7:$D$506,C7,'[FC Eingabe.xlsx]FC Eingabe'!$K$7:$K$506,"Wirksam")-SUMIFS('[FC Eingabe.xlsx]FC Eingabe'!$I$7:$I$506,'[FC Eingabe.xlsx]FC Eingabe'!$C$7:$C$506,'[Steuerung.xlsx]Steuerung'!$F$6,'[FC Eingabe.xlsx]FC Eingabe'!$D$7:$D$506,C7,'[FC Eingabe.xlsx]FC Eingabe'!$K$7:$K$506,"Wirksam")</f>
        <v/>
      </c>
      <c r="H7" s="8">
        <f>SUM(E7:F7)-G7</f>
        <v/>
      </c>
      <c r="I7" s="7">
        <f>IF(D7="IST","",IF(C7='[Steuerung.xlsx]Steuerung'!$F$50,'[Steuerung.xlsx]Steuerung'!$F$51,Q6))</f>
        <v/>
      </c>
      <c r="J7" s="7">
        <f>IF(D7="IST","",IF(C7-ROUND('[Steuerung.xlsx]Steuerung'!$F$36/'[Steuerung.xlsx]Steuerung'!$F$40,0)&lt;1,"n.a.",INDEX($E$7:$E$18,C7-ROUND('[Steuerung.xlsx]Steuerung'!$F$36/'[Steuerung.xlsx]Steuerung'!$F$40,0))))</f>
        <v/>
      </c>
      <c r="K7" s="7">
        <f>IF(D7="IST","",'[Steuerung.xlsx]Steuerung'!$F$38)</f>
        <v/>
      </c>
      <c r="L7" s="7">
        <f>IF(D7="IST","",SUMIFS('[D Liquidität.xlsx]D Liquidität'!$D$674:$D$676,'[D Liquidität.xlsx]D Liquidität'!$A$674:$A$676,'[Steuerung.xlsx]Steuerung'!$F$6,'[D Liquidität.xlsx]D Liquidität'!$B$674:$B$676,C7))</f>
        <v/>
      </c>
      <c r="M7" s="7">
        <f>IF(D7="IST","",SUMIFS('[D Liquidität.xlsx]D Liquidität'!$D$91:$D$191,'[D Liquidität.xlsx]D Liquidität'!$A$91:$A$191,'[Steuerung.xlsx]Steuerung'!$F$6,'[D Liquidität.xlsx]D Liquidität'!$B$91:$B$191,C7,'[D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Liquidität'!$D$91:$D$191,"&gt;0"))</f>
        <v/>
      </c>
      <c r="N7" s="7">
        <f>IF(D7="IST","",IF(C7-ROUND('[Steuerung.xlsx]Steuerung'!$F$37/'[Steuerung.xlsx]Steuerung'!$F$40,0)&lt;1,"n.a.",INDEX($H$7:$H$18,C7-ROUND('[Steuerung.xlsx]Steuerung'!$F$37/'[Steuerung.xlsx]Steuerung'!$F$40,0))-'[Steuerung.xlsx]Steuerung'!$F$41-'[Steuerung.xlsx]Steuerung'!$F$42))</f>
        <v/>
      </c>
      <c r="O7" s="7">
        <f>IF(D7="IST","",'[Steuerung.xlsx]Steuerung'!$F$41+'[Steuerung.xlsx]Steuerung'!$F$43+'[Steuerung.xlsx]Steuerung'!$F$45+'[Steuerung.xlsx]Steuerung'!$F$46)</f>
        <v/>
      </c>
      <c r="P7" s="7">
        <f>IF(D7="IST","",SUMIFS('[D Liquidität.xlsx]D Liquidität'!$D$91:$D$191,'[D Liquidität.xlsx]D Liquidität'!$A$91:$A$191,'[Steuerung.xlsx]Steuerung'!$F$6,'[D Liquidität.xlsx]D Liquidität'!$B$91:$B$191,C7,'[D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Liquidität'!$D$91:$D$191,"&lt;0"))</f>
        <v/>
      </c>
      <c r="Q7" s="8">
        <f>IF(D7="IST","",IF(OR(J7="n.a.",N7="n.a."),"n.a.",SUM(I7:M7)-SUM(N7:O7)+P7))</f>
        <v/>
      </c>
      <c r="R7" s="7">
        <f>IF(COUNTIFS('[D Liquidität.xlsx]D Liquidität'!$A$661:$A$668,'[Steuerung.xlsx]Steuerung'!$F$6,'[D Liquidität.xlsx]D Liquidität'!$B$661:$B$668,C7)=0,"",SUMIFS('[D Liquidität.xlsx]D Liquidität'!$C$661:$C$668,'[D Liquidität.xlsx]D Liquidität'!$A$661:$A$668,'[Steuerung.xlsx]Steuerung'!$F$6,'[D Liquidität.xlsx]D Liquidität'!$B$661:$B$668,C7))</f>
        <v/>
      </c>
      <c r="S7" s="1" t="n"/>
      <c r="T7" s="1" t="n"/>
    </row>
    <row r="8">
      <c r="A8" s="1" t="n"/>
      <c r="B8" s="1" t="n"/>
      <c r="C8" s="1" t="n">
        <v>2</v>
      </c>
      <c r="D8" s="6">
        <f>IF(C8&lt;'[Steuerung.xlsx]Steuerung'!$F$50,"IST","PLAN")</f>
        <v/>
      </c>
      <c r="E8" s="7">
        <f>SUMIFS('[D Liquidität.xlsx]D Liquidität'!$C$632:$C$655,'[D Liquidität.xlsx]D Liquidität'!$A$632:$A$655,'[Steuerung.xlsx]Steuerung'!$F$6,'[D Liquidität.xlsx]D Liquidität'!$B$632:$B$655,C8)+SUMIFS('[FC Eingabe.xlsx]FC Eingabe'!$G$7:$G$506,'[FC Eingabe.xlsx]FC Eingabe'!$C$7:$C$506,'[Steuerung.xlsx]Steuerung'!$F$6,'[FC Eingabe.xlsx]FC Eingabe'!$D$7:$D$506,C8,'[FC Eingabe.xlsx]FC Eingabe'!$K$7:$K$506,"Wirksam")</f>
        <v/>
      </c>
      <c r="F8" s="7">
        <f>SUMIFS('[D Liquidität.xlsx]D Liquidität'!$D$632:$D$655,'[D Liquidität.xlsx]D Liquidität'!$A$632:$A$655,'[Steuerung.xlsx]Steuerung'!$F$6,'[D Liquidität.xlsx]D Liquidität'!$B$632:$B$655,C8)+SUMIFS('[FC Eingabe.xlsx]FC Eingabe'!$H$7:$H$506,'[FC Eingabe.xlsx]FC Eingabe'!$C$7:$C$506,'[Steuerung.xlsx]Steuerung'!$F$6,'[FC Eingabe.xlsx]FC Eingabe'!$D$7:$D$506,C8,'[FC Eingabe.xlsx]FC Eingabe'!$K$7:$K$506,"Wirksam")</f>
        <v/>
      </c>
      <c r="G8" s="7">
        <f>SUMIFS('[D Liquidität.xlsx]D Liquidität'!$E$632:$E$655,'[D Liquidität.xlsx]D Liquidität'!$A$632:$A$655,'[Steuerung.xlsx]Steuerung'!$F$6,'[D Liquidität.xlsx]D Liquidität'!$B$632:$B$655,C8)+SUMIFS('[FC Eingabe.xlsx]FC Eingabe'!$G$7:$G$506,'[FC Eingabe.xlsx]FC Eingabe'!$C$7:$C$506,'[Steuerung.xlsx]Steuerung'!$F$6,'[FC Eingabe.xlsx]FC Eingabe'!$D$7:$D$506,C8,'[FC Eingabe.xlsx]FC Eingabe'!$K$7:$K$506,"Wirksam")+SUMIFS('[FC Eingabe.xlsx]FC Eingabe'!$H$7:$H$506,'[FC Eingabe.xlsx]FC Eingabe'!$C$7:$C$506,'[Steuerung.xlsx]Steuerung'!$F$6,'[FC Eingabe.xlsx]FC Eingabe'!$D$7:$D$506,C8,'[FC Eingabe.xlsx]FC Eingabe'!$K$7:$K$506,"Wirksam")-SUMIFS('[FC Eingabe.xlsx]FC Eingabe'!$I$7:$I$506,'[FC Eingabe.xlsx]FC Eingabe'!$C$7:$C$506,'[Steuerung.xlsx]Steuerung'!$F$6,'[FC Eingabe.xlsx]FC Eingabe'!$D$7:$D$506,C8,'[FC Eingabe.xlsx]FC Eingabe'!$K$7:$K$506,"Wirksam")</f>
        <v/>
      </c>
      <c r="H8" s="8">
        <f>SUM(E8:F8)-G8</f>
        <v/>
      </c>
      <c r="I8" s="7">
        <f>IF(D8="IST","",IF(C8='[Steuerung.xlsx]Steuerung'!$F$50,'[Steuerung.xlsx]Steuerung'!$F$51,Q7))</f>
        <v/>
      </c>
      <c r="J8" s="7">
        <f>IF(D8="IST","",IF(C8-ROUND('[Steuerung.xlsx]Steuerung'!$F$36/'[Steuerung.xlsx]Steuerung'!$F$40,0)&lt;1,"n.a.",INDEX($E$7:$E$18,C8-ROUND('[Steuerung.xlsx]Steuerung'!$F$36/'[Steuerung.xlsx]Steuerung'!$F$40,0))))</f>
        <v/>
      </c>
      <c r="K8" s="7">
        <f>IF(D8="IST","",'[Steuerung.xlsx]Steuerung'!$F$38)</f>
        <v/>
      </c>
      <c r="L8" s="7">
        <f>IF(D8="IST","",SUMIFS('[D Liquidität.xlsx]D Liquidität'!$D$674:$D$676,'[D Liquidität.xlsx]D Liquidität'!$A$674:$A$676,'[Steuerung.xlsx]Steuerung'!$F$6,'[D Liquidität.xlsx]D Liquidität'!$B$674:$B$676,C8))</f>
        <v/>
      </c>
      <c r="M8" s="7">
        <f>IF(D8="IST","",SUMIFS('[D Liquidität.xlsx]D Liquidität'!$D$91:$D$191,'[D Liquidität.xlsx]D Liquidität'!$A$91:$A$191,'[Steuerung.xlsx]Steuerung'!$F$6,'[D Liquidität.xlsx]D Liquidität'!$B$91:$B$191,C8,'[D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Liquidität'!$D$91:$D$191,"&gt;0"))</f>
        <v/>
      </c>
      <c r="N8" s="7">
        <f>IF(D8="IST","",IF(C8-ROUND('[Steuerung.xlsx]Steuerung'!$F$37/'[Steuerung.xlsx]Steuerung'!$F$40,0)&lt;1,"n.a.",INDEX($H$7:$H$18,C8-ROUND('[Steuerung.xlsx]Steuerung'!$F$37/'[Steuerung.xlsx]Steuerung'!$F$40,0))-'[Steuerung.xlsx]Steuerung'!$F$41-'[Steuerung.xlsx]Steuerung'!$F$42))</f>
        <v/>
      </c>
      <c r="O8" s="7">
        <f>IF(D8="IST","",'[Steuerung.xlsx]Steuerung'!$F$41+'[Steuerung.xlsx]Steuerung'!$F$43+'[Steuerung.xlsx]Steuerung'!$F$45+'[Steuerung.xlsx]Steuerung'!$F$46)</f>
        <v/>
      </c>
      <c r="P8" s="7">
        <f>IF(D8="IST","",SUMIFS('[D Liquidität.xlsx]D Liquidität'!$D$91:$D$191,'[D Liquidität.xlsx]D Liquidität'!$A$91:$A$191,'[Steuerung.xlsx]Steuerung'!$F$6,'[D Liquidität.xlsx]D Liquidität'!$B$91:$B$191,C8,'[D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Liquidität'!$D$91:$D$191,"&lt;0"))</f>
        <v/>
      </c>
      <c r="Q8" s="8">
        <f>IF(D8="IST","",IF(OR(J8="n.a.",N8="n.a."),"n.a.",SUM(I8:M8)-SUM(N8:O8)+P8))</f>
        <v/>
      </c>
      <c r="R8" s="7">
        <f>IF(COUNTIFS('[D Liquidität.xlsx]D Liquidität'!$A$661:$A$668,'[Steuerung.xlsx]Steuerung'!$F$6,'[D Liquidität.xlsx]D Liquidität'!$B$661:$B$668,C8)=0,"",SUMIFS('[D Liquidität.xlsx]D Liquidität'!$C$661:$C$668,'[D Liquidität.xlsx]D Liquidität'!$A$661:$A$668,'[Steuerung.xlsx]Steuerung'!$F$6,'[D Liquidität.xlsx]D Liquidität'!$B$661:$B$668,C8))</f>
        <v/>
      </c>
      <c r="S8" s="1" t="n"/>
      <c r="T8" s="1" t="n"/>
    </row>
    <row r="9">
      <c r="A9" s="1" t="n"/>
      <c r="B9" s="1" t="n"/>
      <c r="C9" s="1" t="n">
        <v>3</v>
      </c>
      <c r="D9" s="6">
        <f>IF(C9&lt;'[Steuerung.xlsx]Steuerung'!$F$50,"IST","PLAN")</f>
        <v/>
      </c>
      <c r="E9" s="7">
        <f>SUMIFS('[D Liquidität.xlsx]D Liquidität'!$C$632:$C$655,'[D Liquidität.xlsx]D Liquidität'!$A$632:$A$655,'[Steuerung.xlsx]Steuerung'!$F$6,'[D Liquidität.xlsx]D Liquidität'!$B$632:$B$655,C9)+SUMIFS('[FC Eingabe.xlsx]FC Eingabe'!$G$7:$G$506,'[FC Eingabe.xlsx]FC Eingabe'!$C$7:$C$506,'[Steuerung.xlsx]Steuerung'!$F$6,'[FC Eingabe.xlsx]FC Eingabe'!$D$7:$D$506,C9,'[FC Eingabe.xlsx]FC Eingabe'!$K$7:$K$506,"Wirksam")</f>
        <v/>
      </c>
      <c r="F9" s="7">
        <f>SUMIFS('[D Liquidität.xlsx]D Liquidität'!$D$632:$D$655,'[D Liquidität.xlsx]D Liquidität'!$A$632:$A$655,'[Steuerung.xlsx]Steuerung'!$F$6,'[D Liquidität.xlsx]D Liquidität'!$B$632:$B$655,C9)+SUMIFS('[FC Eingabe.xlsx]FC Eingabe'!$H$7:$H$506,'[FC Eingabe.xlsx]FC Eingabe'!$C$7:$C$506,'[Steuerung.xlsx]Steuerung'!$F$6,'[FC Eingabe.xlsx]FC Eingabe'!$D$7:$D$506,C9,'[FC Eingabe.xlsx]FC Eingabe'!$K$7:$K$506,"Wirksam")</f>
        <v/>
      </c>
      <c r="G9" s="7">
        <f>SUMIFS('[D Liquidität.xlsx]D Liquidität'!$E$632:$E$655,'[D Liquidität.xlsx]D Liquidität'!$A$632:$A$655,'[Steuerung.xlsx]Steuerung'!$F$6,'[D Liquidität.xlsx]D Liquidität'!$B$632:$B$655,C9)+SUMIFS('[FC Eingabe.xlsx]FC Eingabe'!$G$7:$G$506,'[FC Eingabe.xlsx]FC Eingabe'!$C$7:$C$506,'[Steuerung.xlsx]Steuerung'!$F$6,'[FC Eingabe.xlsx]FC Eingabe'!$D$7:$D$506,C9,'[FC Eingabe.xlsx]FC Eingabe'!$K$7:$K$506,"Wirksam")+SUMIFS('[FC Eingabe.xlsx]FC Eingabe'!$H$7:$H$506,'[FC Eingabe.xlsx]FC Eingabe'!$C$7:$C$506,'[Steuerung.xlsx]Steuerung'!$F$6,'[FC Eingabe.xlsx]FC Eingabe'!$D$7:$D$506,C9,'[FC Eingabe.xlsx]FC Eingabe'!$K$7:$K$506,"Wirksam")-SUMIFS('[FC Eingabe.xlsx]FC Eingabe'!$I$7:$I$506,'[FC Eingabe.xlsx]FC Eingabe'!$C$7:$C$506,'[Steuerung.xlsx]Steuerung'!$F$6,'[FC Eingabe.xlsx]FC Eingabe'!$D$7:$D$506,C9,'[FC Eingabe.xlsx]FC Eingabe'!$K$7:$K$506,"Wirksam")</f>
        <v/>
      </c>
      <c r="H9" s="8">
        <f>SUM(E9:F9)-G9</f>
        <v/>
      </c>
      <c r="I9" s="7">
        <f>IF(D9="IST","",IF(C9='[Steuerung.xlsx]Steuerung'!$F$50,'[Steuerung.xlsx]Steuerung'!$F$51,Q8))</f>
        <v/>
      </c>
      <c r="J9" s="7">
        <f>IF(D9="IST","",IF(C9-ROUND('[Steuerung.xlsx]Steuerung'!$F$36/'[Steuerung.xlsx]Steuerung'!$F$40,0)&lt;1,"n.a.",INDEX($E$7:$E$18,C9-ROUND('[Steuerung.xlsx]Steuerung'!$F$36/'[Steuerung.xlsx]Steuerung'!$F$40,0))))</f>
        <v/>
      </c>
      <c r="K9" s="7">
        <f>IF(D9="IST","",'[Steuerung.xlsx]Steuerung'!$F$38)</f>
        <v/>
      </c>
      <c r="L9" s="7">
        <f>IF(D9="IST","",SUMIFS('[D Liquidität.xlsx]D Liquidität'!$D$674:$D$676,'[D Liquidität.xlsx]D Liquidität'!$A$674:$A$676,'[Steuerung.xlsx]Steuerung'!$F$6,'[D Liquidität.xlsx]D Liquidität'!$B$674:$B$676,C9))</f>
        <v/>
      </c>
      <c r="M9" s="7">
        <f>IF(D9="IST","",SUMIFS('[D Liquidität.xlsx]D Liquidität'!$D$91:$D$191,'[D Liquidität.xlsx]D Liquidität'!$A$91:$A$191,'[Steuerung.xlsx]Steuerung'!$F$6,'[D Liquidität.xlsx]D Liquidität'!$B$91:$B$191,C9,'[D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Liquidität'!$D$91:$D$191,"&gt;0"))</f>
        <v/>
      </c>
      <c r="N9" s="7">
        <f>IF(D9="IST","",IF(C9-ROUND('[Steuerung.xlsx]Steuerung'!$F$37/'[Steuerung.xlsx]Steuerung'!$F$40,0)&lt;1,"n.a.",INDEX($H$7:$H$18,C9-ROUND('[Steuerung.xlsx]Steuerung'!$F$37/'[Steuerung.xlsx]Steuerung'!$F$40,0))-'[Steuerung.xlsx]Steuerung'!$F$41-'[Steuerung.xlsx]Steuerung'!$F$42))</f>
        <v/>
      </c>
      <c r="O9" s="7">
        <f>IF(D9="IST","",'[Steuerung.xlsx]Steuerung'!$F$41+'[Steuerung.xlsx]Steuerung'!$F$43+'[Steuerung.xlsx]Steuerung'!$F$45+'[Steuerung.xlsx]Steuerung'!$F$46)</f>
        <v/>
      </c>
      <c r="P9" s="7">
        <f>IF(D9="IST","",SUMIFS('[D Liquidität.xlsx]D Liquidität'!$D$91:$D$191,'[D Liquidität.xlsx]D Liquidität'!$A$91:$A$191,'[Steuerung.xlsx]Steuerung'!$F$6,'[D Liquidität.xlsx]D Liquidität'!$B$91:$B$191,C9,'[D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Liquidität'!$D$91:$D$191,"&lt;0"))</f>
        <v/>
      </c>
      <c r="Q9" s="8">
        <f>IF(D9="IST","",IF(OR(J9="n.a.",N9="n.a."),"n.a.",SUM(I9:M9)-SUM(N9:O9)+P9))</f>
        <v/>
      </c>
      <c r="R9" s="7">
        <f>IF(COUNTIFS('[D Liquidität.xlsx]D Liquidität'!$A$661:$A$668,'[Steuerung.xlsx]Steuerung'!$F$6,'[D Liquidität.xlsx]D Liquidität'!$B$661:$B$668,C9)=0,"",SUMIFS('[D Liquidität.xlsx]D Liquidität'!$C$661:$C$668,'[D Liquidität.xlsx]D Liquidität'!$A$661:$A$668,'[Steuerung.xlsx]Steuerung'!$F$6,'[D Liquidität.xlsx]D Liquidität'!$B$661:$B$668,C9))</f>
        <v/>
      </c>
      <c r="S9" s="1" t="n"/>
      <c r="T9" s="1" t="n"/>
    </row>
    <row r="10">
      <c r="A10" s="1" t="n"/>
      <c r="B10" s="1" t="n"/>
      <c r="C10" s="1" t="n">
        <v>4</v>
      </c>
      <c r="D10" s="6">
        <f>IF(C10&lt;'[Steuerung.xlsx]Steuerung'!$F$50,"IST","PLAN")</f>
        <v/>
      </c>
      <c r="E10" s="7">
        <f>SUMIFS('[D Liquidität.xlsx]D Liquidität'!$C$632:$C$655,'[D Liquidität.xlsx]D Liquidität'!$A$632:$A$655,'[Steuerung.xlsx]Steuerung'!$F$6,'[D Liquidität.xlsx]D Liquidität'!$B$632:$B$655,C10)+SUMIFS('[FC Eingabe.xlsx]FC Eingabe'!$G$7:$G$506,'[FC Eingabe.xlsx]FC Eingabe'!$C$7:$C$506,'[Steuerung.xlsx]Steuerung'!$F$6,'[FC Eingabe.xlsx]FC Eingabe'!$D$7:$D$506,C10,'[FC Eingabe.xlsx]FC Eingabe'!$K$7:$K$506,"Wirksam")</f>
        <v/>
      </c>
      <c r="F10" s="7">
        <f>SUMIFS('[D Liquidität.xlsx]D Liquidität'!$D$632:$D$655,'[D Liquidität.xlsx]D Liquidität'!$A$632:$A$655,'[Steuerung.xlsx]Steuerung'!$F$6,'[D Liquidität.xlsx]D Liquidität'!$B$632:$B$655,C10)+SUMIFS('[FC Eingabe.xlsx]FC Eingabe'!$H$7:$H$506,'[FC Eingabe.xlsx]FC Eingabe'!$C$7:$C$506,'[Steuerung.xlsx]Steuerung'!$F$6,'[FC Eingabe.xlsx]FC Eingabe'!$D$7:$D$506,C10,'[FC Eingabe.xlsx]FC Eingabe'!$K$7:$K$506,"Wirksam")</f>
        <v/>
      </c>
      <c r="G10" s="7">
        <f>SUMIFS('[D Liquidität.xlsx]D Liquidität'!$E$632:$E$655,'[D Liquidität.xlsx]D Liquidität'!$A$632:$A$655,'[Steuerung.xlsx]Steuerung'!$F$6,'[D Liquidität.xlsx]D Liquidität'!$B$632:$B$655,C10)+SUMIFS('[FC Eingabe.xlsx]FC Eingabe'!$G$7:$G$506,'[FC Eingabe.xlsx]FC Eingabe'!$C$7:$C$506,'[Steuerung.xlsx]Steuerung'!$F$6,'[FC Eingabe.xlsx]FC Eingabe'!$D$7:$D$506,C10,'[FC Eingabe.xlsx]FC Eingabe'!$K$7:$K$506,"Wirksam")+SUMIFS('[FC Eingabe.xlsx]FC Eingabe'!$H$7:$H$506,'[FC Eingabe.xlsx]FC Eingabe'!$C$7:$C$506,'[Steuerung.xlsx]Steuerung'!$F$6,'[FC Eingabe.xlsx]FC Eingabe'!$D$7:$D$506,C10,'[FC Eingabe.xlsx]FC Eingabe'!$K$7:$K$506,"Wirksam")-SUMIFS('[FC Eingabe.xlsx]FC Eingabe'!$I$7:$I$506,'[FC Eingabe.xlsx]FC Eingabe'!$C$7:$C$506,'[Steuerung.xlsx]Steuerung'!$F$6,'[FC Eingabe.xlsx]FC Eingabe'!$D$7:$D$506,C10,'[FC Eingabe.xlsx]FC Eingabe'!$K$7:$K$506,"Wirksam")</f>
        <v/>
      </c>
      <c r="H10" s="8">
        <f>SUM(E10:F10)-G10</f>
        <v/>
      </c>
      <c r="I10" s="7">
        <f>IF(D10="IST","",IF(C10='[Steuerung.xlsx]Steuerung'!$F$50,'[Steuerung.xlsx]Steuerung'!$F$51,Q9))</f>
        <v/>
      </c>
      <c r="J10" s="7">
        <f>IF(D10="IST","",IF(C10-ROUND('[Steuerung.xlsx]Steuerung'!$F$36/'[Steuerung.xlsx]Steuerung'!$F$40,0)&lt;1,"n.a.",INDEX($E$7:$E$18,C10-ROUND('[Steuerung.xlsx]Steuerung'!$F$36/'[Steuerung.xlsx]Steuerung'!$F$40,0))))</f>
        <v/>
      </c>
      <c r="K10" s="7">
        <f>IF(D10="IST","",'[Steuerung.xlsx]Steuerung'!$F$38)</f>
        <v/>
      </c>
      <c r="L10" s="7">
        <f>IF(D10="IST","",SUMIFS('[D Liquidität.xlsx]D Liquidität'!$D$674:$D$676,'[D Liquidität.xlsx]D Liquidität'!$A$674:$A$676,'[Steuerung.xlsx]Steuerung'!$F$6,'[D Liquidität.xlsx]D Liquidität'!$B$674:$B$676,C10))</f>
        <v/>
      </c>
      <c r="M10" s="7">
        <f>IF(D10="IST","",SUMIFS('[D Liquidität.xlsx]D Liquidität'!$D$91:$D$191,'[D Liquidität.xlsx]D Liquidität'!$A$91:$A$191,'[Steuerung.xlsx]Steuerung'!$F$6,'[D Liquidität.xlsx]D Liquidität'!$B$91:$B$191,C10,'[D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Liquidität'!$D$91:$D$191,"&gt;0"))</f>
        <v/>
      </c>
      <c r="N10" s="7">
        <f>IF(D10="IST","",IF(C10-ROUND('[Steuerung.xlsx]Steuerung'!$F$37/'[Steuerung.xlsx]Steuerung'!$F$40,0)&lt;1,"n.a.",INDEX($H$7:$H$18,C10-ROUND('[Steuerung.xlsx]Steuerung'!$F$37/'[Steuerung.xlsx]Steuerung'!$F$40,0))-'[Steuerung.xlsx]Steuerung'!$F$41-'[Steuerung.xlsx]Steuerung'!$F$42))</f>
        <v/>
      </c>
      <c r="O10" s="7">
        <f>IF(D10="IST","",'[Steuerung.xlsx]Steuerung'!$F$41+'[Steuerung.xlsx]Steuerung'!$F$43+'[Steuerung.xlsx]Steuerung'!$F$45+'[Steuerung.xlsx]Steuerung'!$F$46)</f>
        <v/>
      </c>
      <c r="P10" s="7">
        <f>IF(D10="IST","",SUMIFS('[D Liquidität.xlsx]D Liquidität'!$D$91:$D$191,'[D Liquidität.xlsx]D Liquidität'!$A$91:$A$191,'[Steuerung.xlsx]Steuerung'!$F$6,'[D Liquidität.xlsx]D Liquidität'!$B$91:$B$191,C10,'[D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Liquidität'!$D$91:$D$191,"&lt;0"))</f>
        <v/>
      </c>
      <c r="Q10" s="8">
        <f>IF(D10="IST","",IF(OR(J10="n.a.",N10="n.a."),"n.a.",SUM(I10:M10)-SUM(N10:O10)+P10))</f>
        <v/>
      </c>
      <c r="R10" s="7">
        <f>IF(COUNTIFS('[D Liquidität.xlsx]D Liquidität'!$A$661:$A$668,'[Steuerung.xlsx]Steuerung'!$F$6,'[D Liquidität.xlsx]D Liquidität'!$B$661:$B$668,C10)=0,"",SUMIFS('[D Liquidität.xlsx]D Liquidität'!$C$661:$C$668,'[D Liquidität.xlsx]D Liquidität'!$A$661:$A$668,'[Steuerung.xlsx]Steuerung'!$F$6,'[D Liquidität.xlsx]D Liquidität'!$B$661:$B$668,C10))</f>
        <v/>
      </c>
      <c r="S10" s="1" t="n"/>
      <c r="T10" s="1" t="n"/>
    </row>
    <row r="11">
      <c r="A11" s="1" t="n"/>
      <c r="B11" s="1" t="n"/>
      <c r="C11" s="1" t="n">
        <v>5</v>
      </c>
      <c r="D11" s="6">
        <f>IF(C11&lt;'[Steuerung.xlsx]Steuerung'!$F$50,"IST","PLAN")</f>
        <v/>
      </c>
      <c r="E11" s="7">
        <f>SUMIFS('[D Liquidität.xlsx]D Liquidität'!$C$632:$C$655,'[D Liquidität.xlsx]D Liquidität'!$A$632:$A$655,'[Steuerung.xlsx]Steuerung'!$F$6,'[D Liquidität.xlsx]D Liquidität'!$B$632:$B$655,C11)+SUMIFS('[FC Eingabe.xlsx]FC Eingabe'!$G$7:$G$506,'[FC Eingabe.xlsx]FC Eingabe'!$C$7:$C$506,'[Steuerung.xlsx]Steuerung'!$F$6,'[FC Eingabe.xlsx]FC Eingabe'!$D$7:$D$506,C11,'[FC Eingabe.xlsx]FC Eingabe'!$K$7:$K$506,"Wirksam")</f>
        <v/>
      </c>
      <c r="F11" s="7">
        <f>SUMIFS('[D Liquidität.xlsx]D Liquidität'!$D$632:$D$655,'[D Liquidität.xlsx]D Liquidität'!$A$632:$A$655,'[Steuerung.xlsx]Steuerung'!$F$6,'[D Liquidität.xlsx]D Liquidität'!$B$632:$B$655,C11)+SUMIFS('[FC Eingabe.xlsx]FC Eingabe'!$H$7:$H$506,'[FC Eingabe.xlsx]FC Eingabe'!$C$7:$C$506,'[Steuerung.xlsx]Steuerung'!$F$6,'[FC Eingabe.xlsx]FC Eingabe'!$D$7:$D$506,C11,'[FC Eingabe.xlsx]FC Eingabe'!$K$7:$K$506,"Wirksam")</f>
        <v/>
      </c>
      <c r="G11" s="7">
        <f>SUMIFS('[D Liquidität.xlsx]D Liquidität'!$E$632:$E$655,'[D Liquidität.xlsx]D Liquidität'!$A$632:$A$655,'[Steuerung.xlsx]Steuerung'!$F$6,'[D Liquidität.xlsx]D Liquidität'!$B$632:$B$655,C11)+SUMIFS('[FC Eingabe.xlsx]FC Eingabe'!$G$7:$G$506,'[FC Eingabe.xlsx]FC Eingabe'!$C$7:$C$506,'[Steuerung.xlsx]Steuerung'!$F$6,'[FC Eingabe.xlsx]FC Eingabe'!$D$7:$D$506,C11,'[FC Eingabe.xlsx]FC Eingabe'!$K$7:$K$506,"Wirksam")+SUMIFS('[FC Eingabe.xlsx]FC Eingabe'!$H$7:$H$506,'[FC Eingabe.xlsx]FC Eingabe'!$C$7:$C$506,'[Steuerung.xlsx]Steuerung'!$F$6,'[FC Eingabe.xlsx]FC Eingabe'!$D$7:$D$506,C11,'[FC Eingabe.xlsx]FC Eingabe'!$K$7:$K$506,"Wirksam")-SUMIFS('[FC Eingabe.xlsx]FC Eingabe'!$I$7:$I$506,'[FC Eingabe.xlsx]FC Eingabe'!$C$7:$C$506,'[Steuerung.xlsx]Steuerung'!$F$6,'[FC Eingabe.xlsx]FC Eingabe'!$D$7:$D$506,C11,'[FC Eingabe.xlsx]FC Eingabe'!$K$7:$K$506,"Wirksam")</f>
        <v/>
      </c>
      <c r="H11" s="8">
        <f>SUM(E11:F11)-G11</f>
        <v/>
      </c>
      <c r="I11" s="7">
        <f>IF(D11="IST","",IF(C11='[Steuerung.xlsx]Steuerung'!$F$50,'[Steuerung.xlsx]Steuerung'!$F$51,Q10))</f>
        <v/>
      </c>
      <c r="J11" s="7">
        <f>IF(D11="IST","",IF(C11-ROUND('[Steuerung.xlsx]Steuerung'!$F$36/'[Steuerung.xlsx]Steuerung'!$F$40,0)&lt;1,"n.a.",INDEX($E$7:$E$18,C11-ROUND('[Steuerung.xlsx]Steuerung'!$F$36/'[Steuerung.xlsx]Steuerung'!$F$40,0))))</f>
        <v/>
      </c>
      <c r="K11" s="7">
        <f>IF(D11="IST","",'[Steuerung.xlsx]Steuerung'!$F$38)</f>
        <v/>
      </c>
      <c r="L11" s="7">
        <f>IF(D11="IST","",SUMIFS('[D Liquidität.xlsx]D Liquidität'!$D$674:$D$676,'[D Liquidität.xlsx]D Liquidität'!$A$674:$A$676,'[Steuerung.xlsx]Steuerung'!$F$6,'[D Liquidität.xlsx]D Liquidität'!$B$674:$B$676,C11))</f>
        <v/>
      </c>
      <c r="M11" s="7">
        <f>IF(D11="IST","",SUMIFS('[D Liquidität.xlsx]D Liquidität'!$D$91:$D$191,'[D Liquidität.xlsx]D Liquidität'!$A$91:$A$191,'[Steuerung.xlsx]Steuerung'!$F$6,'[D Liquidität.xlsx]D Liquidität'!$B$91:$B$191,C11,'[D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Liquidität'!$D$91:$D$191,"&gt;0"))</f>
        <v/>
      </c>
      <c r="N11" s="7">
        <f>IF(D11="IST","",IF(C11-ROUND('[Steuerung.xlsx]Steuerung'!$F$37/'[Steuerung.xlsx]Steuerung'!$F$40,0)&lt;1,"n.a.",INDEX($H$7:$H$18,C11-ROUND('[Steuerung.xlsx]Steuerung'!$F$37/'[Steuerung.xlsx]Steuerung'!$F$40,0))-'[Steuerung.xlsx]Steuerung'!$F$41-'[Steuerung.xlsx]Steuerung'!$F$42))</f>
        <v/>
      </c>
      <c r="O11" s="7">
        <f>IF(D11="IST","",'[Steuerung.xlsx]Steuerung'!$F$41+'[Steuerung.xlsx]Steuerung'!$F$43+'[Steuerung.xlsx]Steuerung'!$F$45+'[Steuerung.xlsx]Steuerung'!$F$46)</f>
        <v/>
      </c>
      <c r="P11" s="7">
        <f>IF(D11="IST","",SUMIFS('[D Liquidität.xlsx]D Liquidität'!$D$91:$D$191,'[D Liquidität.xlsx]D Liquidität'!$A$91:$A$191,'[Steuerung.xlsx]Steuerung'!$F$6,'[D Liquidität.xlsx]D Liquidität'!$B$91:$B$191,C11,'[D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Liquidität'!$D$91:$D$191,"&lt;0"))</f>
        <v/>
      </c>
      <c r="Q11" s="8">
        <f>IF(D11="IST","",IF(OR(J11="n.a.",N11="n.a."),"n.a.",SUM(I11:M11)-SUM(N11:O11)+P11))</f>
        <v/>
      </c>
      <c r="R11" s="7">
        <f>IF(COUNTIFS('[D Liquidität.xlsx]D Liquidität'!$A$661:$A$668,'[Steuerung.xlsx]Steuerung'!$F$6,'[D Liquidität.xlsx]D Liquidität'!$B$661:$B$668,C11)=0,"",SUMIFS('[D Liquidität.xlsx]D Liquidität'!$C$661:$C$668,'[D Liquidität.xlsx]D Liquidität'!$A$661:$A$668,'[Steuerung.xlsx]Steuerung'!$F$6,'[D Liquidität.xlsx]D Liquidität'!$B$661:$B$668,C11))</f>
        <v/>
      </c>
      <c r="S11" s="1" t="n"/>
      <c r="T11" s="1" t="n"/>
    </row>
    <row r="12">
      <c r="A12" s="1" t="n"/>
      <c r="B12" s="1" t="n"/>
      <c r="C12" s="1" t="n">
        <v>6</v>
      </c>
      <c r="D12" s="6">
        <f>IF(C12&lt;'[Steuerung.xlsx]Steuerung'!$F$50,"IST","PLAN")</f>
        <v/>
      </c>
      <c r="E12" s="7">
        <f>SUMIFS('[D Liquidität.xlsx]D Liquidität'!$C$632:$C$655,'[D Liquidität.xlsx]D Liquidität'!$A$632:$A$655,'[Steuerung.xlsx]Steuerung'!$F$6,'[D Liquidität.xlsx]D Liquidität'!$B$632:$B$655,C12)+SUMIFS('[FC Eingabe.xlsx]FC Eingabe'!$G$7:$G$506,'[FC Eingabe.xlsx]FC Eingabe'!$C$7:$C$506,'[Steuerung.xlsx]Steuerung'!$F$6,'[FC Eingabe.xlsx]FC Eingabe'!$D$7:$D$506,C12,'[FC Eingabe.xlsx]FC Eingabe'!$K$7:$K$506,"Wirksam")</f>
        <v/>
      </c>
      <c r="F12" s="7">
        <f>SUMIFS('[D Liquidität.xlsx]D Liquidität'!$D$632:$D$655,'[D Liquidität.xlsx]D Liquidität'!$A$632:$A$655,'[Steuerung.xlsx]Steuerung'!$F$6,'[D Liquidität.xlsx]D Liquidität'!$B$632:$B$655,C12)+SUMIFS('[FC Eingabe.xlsx]FC Eingabe'!$H$7:$H$506,'[FC Eingabe.xlsx]FC Eingabe'!$C$7:$C$506,'[Steuerung.xlsx]Steuerung'!$F$6,'[FC Eingabe.xlsx]FC Eingabe'!$D$7:$D$506,C12,'[FC Eingabe.xlsx]FC Eingabe'!$K$7:$K$506,"Wirksam")</f>
        <v/>
      </c>
      <c r="G12" s="7">
        <f>SUMIFS('[D Liquidität.xlsx]D Liquidität'!$E$632:$E$655,'[D Liquidität.xlsx]D Liquidität'!$A$632:$A$655,'[Steuerung.xlsx]Steuerung'!$F$6,'[D Liquidität.xlsx]D Liquidität'!$B$632:$B$655,C12)+SUMIFS('[FC Eingabe.xlsx]FC Eingabe'!$G$7:$G$506,'[FC Eingabe.xlsx]FC Eingabe'!$C$7:$C$506,'[Steuerung.xlsx]Steuerung'!$F$6,'[FC Eingabe.xlsx]FC Eingabe'!$D$7:$D$506,C12,'[FC Eingabe.xlsx]FC Eingabe'!$K$7:$K$506,"Wirksam")+SUMIFS('[FC Eingabe.xlsx]FC Eingabe'!$H$7:$H$506,'[FC Eingabe.xlsx]FC Eingabe'!$C$7:$C$506,'[Steuerung.xlsx]Steuerung'!$F$6,'[FC Eingabe.xlsx]FC Eingabe'!$D$7:$D$506,C12,'[FC Eingabe.xlsx]FC Eingabe'!$K$7:$K$506,"Wirksam")-SUMIFS('[FC Eingabe.xlsx]FC Eingabe'!$I$7:$I$506,'[FC Eingabe.xlsx]FC Eingabe'!$C$7:$C$506,'[Steuerung.xlsx]Steuerung'!$F$6,'[FC Eingabe.xlsx]FC Eingabe'!$D$7:$D$506,C12,'[FC Eingabe.xlsx]FC Eingabe'!$K$7:$K$506,"Wirksam")</f>
        <v/>
      </c>
      <c r="H12" s="8">
        <f>SUM(E12:F12)-G12</f>
        <v/>
      </c>
      <c r="I12" s="7">
        <f>IF(D12="IST","",IF(C12='[Steuerung.xlsx]Steuerung'!$F$50,'[Steuerung.xlsx]Steuerung'!$F$51,Q11))</f>
        <v/>
      </c>
      <c r="J12" s="7">
        <f>IF(D12="IST","",IF(C12-ROUND('[Steuerung.xlsx]Steuerung'!$F$36/'[Steuerung.xlsx]Steuerung'!$F$40,0)&lt;1,"n.a.",INDEX($E$7:$E$18,C12-ROUND('[Steuerung.xlsx]Steuerung'!$F$36/'[Steuerung.xlsx]Steuerung'!$F$40,0))))</f>
        <v/>
      </c>
      <c r="K12" s="7">
        <f>IF(D12="IST","",'[Steuerung.xlsx]Steuerung'!$F$38)</f>
        <v/>
      </c>
      <c r="L12" s="7">
        <f>IF(D12="IST","",SUMIFS('[D Liquidität.xlsx]D Liquidität'!$D$674:$D$676,'[D Liquidität.xlsx]D Liquidität'!$A$674:$A$676,'[Steuerung.xlsx]Steuerung'!$F$6,'[D Liquidität.xlsx]D Liquidität'!$B$674:$B$676,C12))</f>
        <v/>
      </c>
      <c r="M12" s="7">
        <f>IF(D12="IST","",SUMIFS('[D Liquidität.xlsx]D Liquidität'!$D$91:$D$191,'[D Liquidität.xlsx]D Liquidität'!$A$91:$A$191,'[Steuerung.xlsx]Steuerung'!$F$6,'[D Liquidität.xlsx]D Liquidität'!$B$91:$B$191,C12,'[D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Liquidität'!$D$91:$D$191,"&gt;0"))</f>
        <v/>
      </c>
      <c r="N12" s="7">
        <f>IF(D12="IST","",IF(C12-ROUND('[Steuerung.xlsx]Steuerung'!$F$37/'[Steuerung.xlsx]Steuerung'!$F$40,0)&lt;1,"n.a.",INDEX($H$7:$H$18,C12-ROUND('[Steuerung.xlsx]Steuerung'!$F$37/'[Steuerung.xlsx]Steuerung'!$F$40,0))-'[Steuerung.xlsx]Steuerung'!$F$41-'[Steuerung.xlsx]Steuerung'!$F$42))</f>
        <v/>
      </c>
      <c r="O12" s="7">
        <f>IF(D12="IST","",'[Steuerung.xlsx]Steuerung'!$F$41+'[Steuerung.xlsx]Steuerung'!$F$43+'[Steuerung.xlsx]Steuerung'!$F$45+'[Steuerung.xlsx]Steuerung'!$F$46)</f>
        <v/>
      </c>
      <c r="P12" s="7">
        <f>IF(D12="IST","",SUMIFS('[D Liquidität.xlsx]D Liquidität'!$D$91:$D$191,'[D Liquidität.xlsx]D Liquidität'!$A$91:$A$191,'[Steuerung.xlsx]Steuerung'!$F$6,'[D Liquidität.xlsx]D Liquidität'!$B$91:$B$191,C12,'[D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Liquidität'!$D$91:$D$191,"&lt;0"))</f>
        <v/>
      </c>
      <c r="Q12" s="8">
        <f>IF(D12="IST","",IF(OR(J12="n.a.",N12="n.a."),"n.a.",SUM(I12:M12)-SUM(N12:O12)+P12))</f>
        <v/>
      </c>
      <c r="R12" s="7">
        <f>IF(COUNTIFS('[D Liquidität.xlsx]D Liquidität'!$A$661:$A$668,'[Steuerung.xlsx]Steuerung'!$F$6,'[D Liquidität.xlsx]D Liquidität'!$B$661:$B$668,C12)=0,"",SUMIFS('[D Liquidität.xlsx]D Liquidität'!$C$661:$C$668,'[D Liquidität.xlsx]D Liquidität'!$A$661:$A$668,'[Steuerung.xlsx]Steuerung'!$F$6,'[D Liquidität.xlsx]D Liquidität'!$B$661:$B$668,C12))</f>
        <v/>
      </c>
      <c r="S12" s="1" t="n"/>
      <c r="T12" s="1" t="n"/>
    </row>
    <row r="13">
      <c r="A13" s="1" t="n"/>
      <c r="B13" s="1" t="n"/>
      <c r="C13" s="1" t="n">
        <v>7</v>
      </c>
      <c r="D13" s="6">
        <f>IF(C13&lt;'[Steuerung.xlsx]Steuerung'!$F$50,"IST","PLAN")</f>
        <v/>
      </c>
      <c r="E13" s="7">
        <f>SUMIFS('[D Liquidität.xlsx]D Liquidität'!$C$632:$C$655,'[D Liquidität.xlsx]D Liquidität'!$A$632:$A$655,'[Steuerung.xlsx]Steuerung'!$F$6,'[D Liquidität.xlsx]D Liquidität'!$B$632:$B$655,C13)+SUMIFS('[FC Eingabe.xlsx]FC Eingabe'!$G$7:$G$506,'[FC Eingabe.xlsx]FC Eingabe'!$C$7:$C$506,'[Steuerung.xlsx]Steuerung'!$F$6,'[FC Eingabe.xlsx]FC Eingabe'!$D$7:$D$506,C13,'[FC Eingabe.xlsx]FC Eingabe'!$K$7:$K$506,"Wirksam")</f>
        <v/>
      </c>
      <c r="F13" s="7">
        <f>SUMIFS('[D Liquidität.xlsx]D Liquidität'!$D$632:$D$655,'[D Liquidität.xlsx]D Liquidität'!$A$632:$A$655,'[Steuerung.xlsx]Steuerung'!$F$6,'[D Liquidität.xlsx]D Liquidität'!$B$632:$B$655,C13)+SUMIFS('[FC Eingabe.xlsx]FC Eingabe'!$H$7:$H$506,'[FC Eingabe.xlsx]FC Eingabe'!$C$7:$C$506,'[Steuerung.xlsx]Steuerung'!$F$6,'[FC Eingabe.xlsx]FC Eingabe'!$D$7:$D$506,C13,'[FC Eingabe.xlsx]FC Eingabe'!$K$7:$K$506,"Wirksam")</f>
        <v/>
      </c>
      <c r="G13" s="7">
        <f>SUMIFS('[D Liquidität.xlsx]D Liquidität'!$E$632:$E$655,'[D Liquidität.xlsx]D Liquidität'!$A$632:$A$655,'[Steuerung.xlsx]Steuerung'!$F$6,'[D Liquidität.xlsx]D Liquidität'!$B$632:$B$655,C13)+SUMIFS('[FC Eingabe.xlsx]FC Eingabe'!$G$7:$G$506,'[FC Eingabe.xlsx]FC Eingabe'!$C$7:$C$506,'[Steuerung.xlsx]Steuerung'!$F$6,'[FC Eingabe.xlsx]FC Eingabe'!$D$7:$D$506,C13,'[FC Eingabe.xlsx]FC Eingabe'!$K$7:$K$506,"Wirksam")+SUMIFS('[FC Eingabe.xlsx]FC Eingabe'!$H$7:$H$506,'[FC Eingabe.xlsx]FC Eingabe'!$C$7:$C$506,'[Steuerung.xlsx]Steuerung'!$F$6,'[FC Eingabe.xlsx]FC Eingabe'!$D$7:$D$506,C13,'[FC Eingabe.xlsx]FC Eingabe'!$K$7:$K$506,"Wirksam")-SUMIFS('[FC Eingabe.xlsx]FC Eingabe'!$I$7:$I$506,'[FC Eingabe.xlsx]FC Eingabe'!$C$7:$C$506,'[Steuerung.xlsx]Steuerung'!$F$6,'[FC Eingabe.xlsx]FC Eingabe'!$D$7:$D$506,C13,'[FC Eingabe.xlsx]FC Eingabe'!$K$7:$K$506,"Wirksam")</f>
        <v/>
      </c>
      <c r="H13" s="8">
        <f>SUM(E13:F13)-G13</f>
        <v/>
      </c>
      <c r="I13" s="7">
        <f>IF(D13="IST","",IF(C13='[Steuerung.xlsx]Steuerung'!$F$50,'[Steuerung.xlsx]Steuerung'!$F$51,Q12))</f>
        <v/>
      </c>
      <c r="J13" s="7">
        <f>IF(D13="IST","",IF(C13-ROUND('[Steuerung.xlsx]Steuerung'!$F$36/'[Steuerung.xlsx]Steuerung'!$F$40,0)&lt;1,"n.a.",INDEX($E$7:$E$18,C13-ROUND('[Steuerung.xlsx]Steuerung'!$F$36/'[Steuerung.xlsx]Steuerung'!$F$40,0))))</f>
        <v/>
      </c>
      <c r="K13" s="7">
        <f>IF(D13="IST","",'[Steuerung.xlsx]Steuerung'!$F$38)</f>
        <v/>
      </c>
      <c r="L13" s="7">
        <f>IF(D13="IST","",SUMIFS('[D Liquidität.xlsx]D Liquidität'!$D$674:$D$676,'[D Liquidität.xlsx]D Liquidität'!$A$674:$A$676,'[Steuerung.xlsx]Steuerung'!$F$6,'[D Liquidität.xlsx]D Liquidität'!$B$674:$B$676,C13))</f>
        <v/>
      </c>
      <c r="M13" s="7">
        <f>IF(D13="IST","",SUMIFS('[D Liquidität.xlsx]D Liquidität'!$D$91:$D$191,'[D Liquidität.xlsx]D Liquidität'!$A$91:$A$191,'[Steuerung.xlsx]Steuerung'!$F$6,'[D Liquidität.xlsx]D Liquidität'!$B$91:$B$191,C13,'[D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Liquidität'!$D$91:$D$191,"&gt;0"))</f>
        <v/>
      </c>
      <c r="N13" s="7">
        <f>IF(D13="IST","",IF(C13-ROUND('[Steuerung.xlsx]Steuerung'!$F$37/'[Steuerung.xlsx]Steuerung'!$F$40,0)&lt;1,"n.a.",INDEX($H$7:$H$18,C13-ROUND('[Steuerung.xlsx]Steuerung'!$F$37/'[Steuerung.xlsx]Steuerung'!$F$40,0))-'[Steuerung.xlsx]Steuerung'!$F$41-'[Steuerung.xlsx]Steuerung'!$F$42))</f>
        <v/>
      </c>
      <c r="O13" s="7">
        <f>IF(D13="IST","",'[Steuerung.xlsx]Steuerung'!$F$41+'[Steuerung.xlsx]Steuerung'!$F$43+'[Steuerung.xlsx]Steuerung'!$F$45+'[Steuerung.xlsx]Steuerung'!$F$46)</f>
        <v/>
      </c>
      <c r="P13" s="7">
        <f>IF(D13="IST","",SUMIFS('[D Liquidität.xlsx]D Liquidität'!$D$91:$D$191,'[D Liquidität.xlsx]D Liquidität'!$A$91:$A$191,'[Steuerung.xlsx]Steuerung'!$F$6,'[D Liquidität.xlsx]D Liquidität'!$B$91:$B$191,C13,'[D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Liquidität'!$D$91:$D$191,"&lt;0"))</f>
        <v/>
      </c>
      <c r="Q13" s="8">
        <f>IF(D13="IST","",IF(OR(J13="n.a.",N13="n.a."),"n.a.",SUM(I13:M13)-SUM(N13:O13)+P13))</f>
        <v/>
      </c>
      <c r="R13" s="7">
        <f>IF(COUNTIFS('[D Liquidität.xlsx]D Liquidität'!$A$661:$A$668,'[Steuerung.xlsx]Steuerung'!$F$6,'[D Liquidität.xlsx]D Liquidität'!$B$661:$B$668,C13)=0,"",SUMIFS('[D Liquidität.xlsx]D Liquidität'!$C$661:$C$668,'[D Liquidität.xlsx]D Liquidität'!$A$661:$A$668,'[Steuerung.xlsx]Steuerung'!$F$6,'[D Liquidität.xlsx]D Liquidität'!$B$661:$B$668,C13))</f>
        <v/>
      </c>
      <c r="S13" s="1" t="n"/>
      <c r="T13" s="1" t="n"/>
    </row>
    <row r="14">
      <c r="A14" s="1" t="n"/>
      <c r="B14" s="1" t="n"/>
      <c r="C14" s="1" t="n">
        <v>8</v>
      </c>
      <c r="D14" s="6">
        <f>IF(C14&lt;'[Steuerung.xlsx]Steuerung'!$F$50,"IST","PLAN")</f>
        <v/>
      </c>
      <c r="E14" s="7">
        <f>SUMIFS('[D Liquidität.xlsx]D Liquidität'!$C$632:$C$655,'[D Liquidität.xlsx]D Liquidität'!$A$632:$A$655,'[Steuerung.xlsx]Steuerung'!$F$6,'[D Liquidität.xlsx]D Liquidität'!$B$632:$B$655,C14)+SUMIFS('[FC Eingabe.xlsx]FC Eingabe'!$G$7:$G$506,'[FC Eingabe.xlsx]FC Eingabe'!$C$7:$C$506,'[Steuerung.xlsx]Steuerung'!$F$6,'[FC Eingabe.xlsx]FC Eingabe'!$D$7:$D$506,C14,'[FC Eingabe.xlsx]FC Eingabe'!$K$7:$K$506,"Wirksam")</f>
        <v/>
      </c>
      <c r="F14" s="7">
        <f>SUMIFS('[D Liquidität.xlsx]D Liquidität'!$D$632:$D$655,'[D Liquidität.xlsx]D Liquidität'!$A$632:$A$655,'[Steuerung.xlsx]Steuerung'!$F$6,'[D Liquidität.xlsx]D Liquidität'!$B$632:$B$655,C14)+SUMIFS('[FC Eingabe.xlsx]FC Eingabe'!$H$7:$H$506,'[FC Eingabe.xlsx]FC Eingabe'!$C$7:$C$506,'[Steuerung.xlsx]Steuerung'!$F$6,'[FC Eingabe.xlsx]FC Eingabe'!$D$7:$D$506,C14,'[FC Eingabe.xlsx]FC Eingabe'!$K$7:$K$506,"Wirksam")</f>
        <v/>
      </c>
      <c r="G14" s="7">
        <f>SUMIFS('[D Liquidität.xlsx]D Liquidität'!$E$632:$E$655,'[D Liquidität.xlsx]D Liquidität'!$A$632:$A$655,'[Steuerung.xlsx]Steuerung'!$F$6,'[D Liquidität.xlsx]D Liquidität'!$B$632:$B$655,C14)+SUMIFS('[FC Eingabe.xlsx]FC Eingabe'!$G$7:$G$506,'[FC Eingabe.xlsx]FC Eingabe'!$C$7:$C$506,'[Steuerung.xlsx]Steuerung'!$F$6,'[FC Eingabe.xlsx]FC Eingabe'!$D$7:$D$506,C14,'[FC Eingabe.xlsx]FC Eingabe'!$K$7:$K$506,"Wirksam")+SUMIFS('[FC Eingabe.xlsx]FC Eingabe'!$H$7:$H$506,'[FC Eingabe.xlsx]FC Eingabe'!$C$7:$C$506,'[Steuerung.xlsx]Steuerung'!$F$6,'[FC Eingabe.xlsx]FC Eingabe'!$D$7:$D$506,C14,'[FC Eingabe.xlsx]FC Eingabe'!$K$7:$K$506,"Wirksam")-SUMIFS('[FC Eingabe.xlsx]FC Eingabe'!$I$7:$I$506,'[FC Eingabe.xlsx]FC Eingabe'!$C$7:$C$506,'[Steuerung.xlsx]Steuerung'!$F$6,'[FC Eingabe.xlsx]FC Eingabe'!$D$7:$D$506,C14,'[FC Eingabe.xlsx]FC Eingabe'!$K$7:$K$506,"Wirksam")</f>
        <v/>
      </c>
      <c r="H14" s="8">
        <f>SUM(E14:F14)-G14</f>
        <v/>
      </c>
      <c r="I14" s="7">
        <f>IF(D14="IST","",IF(C14='[Steuerung.xlsx]Steuerung'!$F$50,'[Steuerung.xlsx]Steuerung'!$F$51,Q13))</f>
        <v/>
      </c>
      <c r="J14" s="7">
        <f>IF(D14="IST","",IF(C14-ROUND('[Steuerung.xlsx]Steuerung'!$F$36/'[Steuerung.xlsx]Steuerung'!$F$40,0)&lt;1,"n.a.",INDEX($E$7:$E$18,C14-ROUND('[Steuerung.xlsx]Steuerung'!$F$36/'[Steuerung.xlsx]Steuerung'!$F$40,0))))</f>
        <v/>
      </c>
      <c r="K14" s="7">
        <f>IF(D14="IST","",'[Steuerung.xlsx]Steuerung'!$F$38)</f>
        <v/>
      </c>
      <c r="L14" s="7">
        <f>IF(D14="IST","",SUMIFS('[D Liquidität.xlsx]D Liquidität'!$D$674:$D$676,'[D Liquidität.xlsx]D Liquidität'!$A$674:$A$676,'[Steuerung.xlsx]Steuerung'!$F$6,'[D Liquidität.xlsx]D Liquidität'!$B$674:$B$676,C14))</f>
        <v/>
      </c>
      <c r="M14" s="7">
        <f>IF(D14="IST","",SUMIFS('[D Liquidität.xlsx]D Liquidität'!$D$91:$D$191,'[D Liquidität.xlsx]D Liquidität'!$A$91:$A$191,'[Steuerung.xlsx]Steuerung'!$F$6,'[D Liquidität.xlsx]D Liquidität'!$B$91:$B$191,C14,'[D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Liquidität'!$D$91:$D$191,"&gt;0"))</f>
        <v/>
      </c>
      <c r="N14" s="7">
        <f>IF(D14="IST","",IF(C14-ROUND('[Steuerung.xlsx]Steuerung'!$F$37/'[Steuerung.xlsx]Steuerung'!$F$40,0)&lt;1,"n.a.",INDEX($H$7:$H$18,C14-ROUND('[Steuerung.xlsx]Steuerung'!$F$37/'[Steuerung.xlsx]Steuerung'!$F$40,0))-'[Steuerung.xlsx]Steuerung'!$F$41-'[Steuerung.xlsx]Steuerung'!$F$42))</f>
        <v/>
      </c>
      <c r="O14" s="7">
        <f>IF(D14="IST","",'[Steuerung.xlsx]Steuerung'!$F$41+'[Steuerung.xlsx]Steuerung'!$F$43+'[Steuerung.xlsx]Steuerung'!$F$45+'[Steuerung.xlsx]Steuerung'!$F$46)</f>
        <v/>
      </c>
      <c r="P14" s="7">
        <f>IF(D14="IST","",SUMIFS('[D Liquidität.xlsx]D Liquidität'!$D$91:$D$191,'[D Liquidität.xlsx]D Liquidität'!$A$91:$A$191,'[Steuerung.xlsx]Steuerung'!$F$6,'[D Liquidität.xlsx]D Liquidität'!$B$91:$B$191,C14,'[D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Liquidität'!$D$91:$D$191,"&lt;0"))</f>
        <v/>
      </c>
      <c r="Q14" s="8">
        <f>IF(D14="IST","",IF(OR(J14="n.a.",N14="n.a."),"n.a.",SUM(I14:M14)-SUM(N14:O14)+P14))</f>
        <v/>
      </c>
      <c r="R14" s="7">
        <f>IF(COUNTIFS('[D Liquidität.xlsx]D Liquidität'!$A$661:$A$668,'[Steuerung.xlsx]Steuerung'!$F$6,'[D Liquidität.xlsx]D Liquidität'!$B$661:$B$668,C14)=0,"",SUMIFS('[D Liquidität.xlsx]D Liquidität'!$C$661:$C$668,'[D Liquidität.xlsx]D Liquidität'!$A$661:$A$668,'[Steuerung.xlsx]Steuerung'!$F$6,'[D Liquidität.xlsx]D Liquidität'!$B$661:$B$668,C14))</f>
        <v/>
      </c>
      <c r="S14" s="1" t="n"/>
      <c r="T14" s="1" t="n"/>
    </row>
    <row r="15">
      <c r="A15" s="1" t="n"/>
      <c r="B15" s="1" t="n"/>
      <c r="C15" s="1" t="n">
        <v>9</v>
      </c>
      <c r="D15" s="6">
        <f>IF(C15&lt;'[Steuerung.xlsx]Steuerung'!$F$50,"IST","PLAN")</f>
        <v/>
      </c>
      <c r="E15" s="7">
        <f>SUMIFS('[D Liquidität.xlsx]D Liquidität'!$C$632:$C$655,'[D Liquidität.xlsx]D Liquidität'!$A$632:$A$655,'[Steuerung.xlsx]Steuerung'!$F$6,'[D Liquidität.xlsx]D Liquidität'!$B$632:$B$655,C15)+SUMIFS('[FC Eingabe.xlsx]FC Eingabe'!$G$7:$G$506,'[FC Eingabe.xlsx]FC Eingabe'!$C$7:$C$506,'[Steuerung.xlsx]Steuerung'!$F$6,'[FC Eingabe.xlsx]FC Eingabe'!$D$7:$D$506,C15,'[FC Eingabe.xlsx]FC Eingabe'!$K$7:$K$506,"Wirksam")</f>
        <v/>
      </c>
      <c r="F15" s="7">
        <f>SUMIFS('[D Liquidität.xlsx]D Liquidität'!$D$632:$D$655,'[D Liquidität.xlsx]D Liquidität'!$A$632:$A$655,'[Steuerung.xlsx]Steuerung'!$F$6,'[D Liquidität.xlsx]D Liquidität'!$B$632:$B$655,C15)+SUMIFS('[FC Eingabe.xlsx]FC Eingabe'!$H$7:$H$506,'[FC Eingabe.xlsx]FC Eingabe'!$C$7:$C$506,'[Steuerung.xlsx]Steuerung'!$F$6,'[FC Eingabe.xlsx]FC Eingabe'!$D$7:$D$506,C15,'[FC Eingabe.xlsx]FC Eingabe'!$K$7:$K$506,"Wirksam")</f>
        <v/>
      </c>
      <c r="G15" s="7">
        <f>SUMIFS('[D Liquidität.xlsx]D Liquidität'!$E$632:$E$655,'[D Liquidität.xlsx]D Liquidität'!$A$632:$A$655,'[Steuerung.xlsx]Steuerung'!$F$6,'[D Liquidität.xlsx]D Liquidität'!$B$632:$B$655,C15)+SUMIFS('[FC Eingabe.xlsx]FC Eingabe'!$G$7:$G$506,'[FC Eingabe.xlsx]FC Eingabe'!$C$7:$C$506,'[Steuerung.xlsx]Steuerung'!$F$6,'[FC Eingabe.xlsx]FC Eingabe'!$D$7:$D$506,C15,'[FC Eingabe.xlsx]FC Eingabe'!$K$7:$K$506,"Wirksam")+SUMIFS('[FC Eingabe.xlsx]FC Eingabe'!$H$7:$H$506,'[FC Eingabe.xlsx]FC Eingabe'!$C$7:$C$506,'[Steuerung.xlsx]Steuerung'!$F$6,'[FC Eingabe.xlsx]FC Eingabe'!$D$7:$D$506,C15,'[FC Eingabe.xlsx]FC Eingabe'!$K$7:$K$506,"Wirksam")-SUMIFS('[FC Eingabe.xlsx]FC Eingabe'!$I$7:$I$506,'[FC Eingabe.xlsx]FC Eingabe'!$C$7:$C$506,'[Steuerung.xlsx]Steuerung'!$F$6,'[FC Eingabe.xlsx]FC Eingabe'!$D$7:$D$506,C15,'[FC Eingabe.xlsx]FC Eingabe'!$K$7:$K$506,"Wirksam")</f>
        <v/>
      </c>
      <c r="H15" s="8">
        <f>SUM(E15:F15)-G15</f>
        <v/>
      </c>
      <c r="I15" s="7">
        <f>IF(D15="IST","",IF(C15='[Steuerung.xlsx]Steuerung'!$F$50,'[Steuerung.xlsx]Steuerung'!$F$51,Q14))</f>
        <v/>
      </c>
      <c r="J15" s="7">
        <f>IF(D15="IST","",IF(C15-ROUND('[Steuerung.xlsx]Steuerung'!$F$36/'[Steuerung.xlsx]Steuerung'!$F$40,0)&lt;1,"n.a.",INDEX($E$7:$E$18,C15-ROUND('[Steuerung.xlsx]Steuerung'!$F$36/'[Steuerung.xlsx]Steuerung'!$F$40,0))))</f>
        <v/>
      </c>
      <c r="K15" s="7">
        <f>IF(D15="IST","",'[Steuerung.xlsx]Steuerung'!$F$38)</f>
        <v/>
      </c>
      <c r="L15" s="7">
        <f>IF(D15="IST","",SUMIFS('[D Liquidität.xlsx]D Liquidität'!$D$674:$D$676,'[D Liquidität.xlsx]D Liquidität'!$A$674:$A$676,'[Steuerung.xlsx]Steuerung'!$F$6,'[D Liquidität.xlsx]D Liquidität'!$B$674:$B$676,C15))</f>
        <v/>
      </c>
      <c r="M15" s="7">
        <f>IF(D15="IST","",SUMIFS('[D Liquidität.xlsx]D Liquidität'!$D$91:$D$191,'[D Liquidität.xlsx]D Liquidität'!$A$91:$A$191,'[Steuerung.xlsx]Steuerung'!$F$6,'[D Liquidität.xlsx]D Liquidität'!$B$91:$B$191,C15,'[D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Liquidität'!$D$91:$D$191,"&gt;0"))</f>
        <v/>
      </c>
      <c r="N15" s="7">
        <f>IF(D15="IST","",IF(C15-ROUND('[Steuerung.xlsx]Steuerung'!$F$37/'[Steuerung.xlsx]Steuerung'!$F$40,0)&lt;1,"n.a.",INDEX($H$7:$H$18,C15-ROUND('[Steuerung.xlsx]Steuerung'!$F$37/'[Steuerung.xlsx]Steuerung'!$F$40,0))-'[Steuerung.xlsx]Steuerung'!$F$41-'[Steuerung.xlsx]Steuerung'!$F$42))</f>
        <v/>
      </c>
      <c r="O15" s="7">
        <f>IF(D15="IST","",'[Steuerung.xlsx]Steuerung'!$F$41+'[Steuerung.xlsx]Steuerung'!$F$43+'[Steuerung.xlsx]Steuerung'!$F$45+'[Steuerung.xlsx]Steuerung'!$F$46)</f>
        <v/>
      </c>
      <c r="P15" s="7">
        <f>IF(D15="IST","",SUMIFS('[D Liquidität.xlsx]D Liquidität'!$D$91:$D$191,'[D Liquidität.xlsx]D Liquidität'!$A$91:$A$191,'[Steuerung.xlsx]Steuerung'!$F$6,'[D Liquidität.xlsx]D Liquidität'!$B$91:$B$191,C15,'[D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Liquidität'!$D$91:$D$191,"&lt;0"))</f>
        <v/>
      </c>
      <c r="Q15" s="8">
        <f>IF(D15="IST","",IF(OR(J15="n.a.",N15="n.a."),"n.a.",SUM(I15:M15)-SUM(N15:O15)+P15))</f>
        <v/>
      </c>
      <c r="R15" s="7">
        <f>IF(COUNTIFS('[D Liquidität.xlsx]D Liquidität'!$A$661:$A$668,'[Steuerung.xlsx]Steuerung'!$F$6,'[D Liquidität.xlsx]D Liquidität'!$B$661:$B$668,C15)=0,"",SUMIFS('[D Liquidität.xlsx]D Liquidität'!$C$661:$C$668,'[D Liquidität.xlsx]D Liquidität'!$A$661:$A$668,'[Steuerung.xlsx]Steuerung'!$F$6,'[D Liquidität.xlsx]D Liquidität'!$B$661:$B$668,C15))</f>
        <v/>
      </c>
      <c r="S15" s="1" t="n"/>
      <c r="T15" s="1" t="n"/>
    </row>
    <row r="16">
      <c r="A16" s="1" t="n"/>
      <c r="B16" s="1" t="n"/>
      <c r="C16" s="1" t="n">
        <v>10</v>
      </c>
      <c r="D16" s="6">
        <f>IF(C16&lt;'[Steuerung.xlsx]Steuerung'!$F$50,"IST","PLAN")</f>
        <v/>
      </c>
      <c r="E16" s="7">
        <f>SUMIFS('[D Liquidität.xlsx]D Liquidität'!$C$632:$C$655,'[D Liquidität.xlsx]D Liquidität'!$A$632:$A$655,'[Steuerung.xlsx]Steuerung'!$F$6,'[D Liquidität.xlsx]D Liquidität'!$B$632:$B$655,C16)+SUMIFS('[FC Eingabe.xlsx]FC Eingabe'!$G$7:$G$506,'[FC Eingabe.xlsx]FC Eingabe'!$C$7:$C$506,'[Steuerung.xlsx]Steuerung'!$F$6,'[FC Eingabe.xlsx]FC Eingabe'!$D$7:$D$506,C16,'[FC Eingabe.xlsx]FC Eingabe'!$K$7:$K$506,"Wirksam")</f>
        <v/>
      </c>
      <c r="F16" s="7">
        <f>SUMIFS('[D Liquidität.xlsx]D Liquidität'!$D$632:$D$655,'[D Liquidität.xlsx]D Liquidität'!$A$632:$A$655,'[Steuerung.xlsx]Steuerung'!$F$6,'[D Liquidität.xlsx]D Liquidität'!$B$632:$B$655,C16)+SUMIFS('[FC Eingabe.xlsx]FC Eingabe'!$H$7:$H$506,'[FC Eingabe.xlsx]FC Eingabe'!$C$7:$C$506,'[Steuerung.xlsx]Steuerung'!$F$6,'[FC Eingabe.xlsx]FC Eingabe'!$D$7:$D$506,C16,'[FC Eingabe.xlsx]FC Eingabe'!$K$7:$K$506,"Wirksam")</f>
        <v/>
      </c>
      <c r="G16" s="7">
        <f>SUMIFS('[D Liquidität.xlsx]D Liquidität'!$E$632:$E$655,'[D Liquidität.xlsx]D Liquidität'!$A$632:$A$655,'[Steuerung.xlsx]Steuerung'!$F$6,'[D Liquidität.xlsx]D Liquidität'!$B$632:$B$655,C16)+SUMIFS('[FC Eingabe.xlsx]FC Eingabe'!$G$7:$G$506,'[FC Eingabe.xlsx]FC Eingabe'!$C$7:$C$506,'[Steuerung.xlsx]Steuerung'!$F$6,'[FC Eingabe.xlsx]FC Eingabe'!$D$7:$D$506,C16,'[FC Eingabe.xlsx]FC Eingabe'!$K$7:$K$506,"Wirksam")+SUMIFS('[FC Eingabe.xlsx]FC Eingabe'!$H$7:$H$506,'[FC Eingabe.xlsx]FC Eingabe'!$C$7:$C$506,'[Steuerung.xlsx]Steuerung'!$F$6,'[FC Eingabe.xlsx]FC Eingabe'!$D$7:$D$506,C16,'[FC Eingabe.xlsx]FC Eingabe'!$K$7:$K$506,"Wirksam")-SUMIFS('[FC Eingabe.xlsx]FC Eingabe'!$I$7:$I$506,'[FC Eingabe.xlsx]FC Eingabe'!$C$7:$C$506,'[Steuerung.xlsx]Steuerung'!$F$6,'[FC Eingabe.xlsx]FC Eingabe'!$D$7:$D$506,C16,'[FC Eingabe.xlsx]FC Eingabe'!$K$7:$K$506,"Wirksam")</f>
        <v/>
      </c>
      <c r="H16" s="8">
        <f>SUM(E16:F16)-G16</f>
        <v/>
      </c>
      <c r="I16" s="7">
        <f>IF(D16="IST","",IF(C16='[Steuerung.xlsx]Steuerung'!$F$50,'[Steuerung.xlsx]Steuerung'!$F$51,Q15))</f>
        <v/>
      </c>
      <c r="J16" s="7">
        <f>IF(D16="IST","",IF(C16-ROUND('[Steuerung.xlsx]Steuerung'!$F$36/'[Steuerung.xlsx]Steuerung'!$F$40,0)&lt;1,"n.a.",INDEX($E$7:$E$18,C16-ROUND('[Steuerung.xlsx]Steuerung'!$F$36/'[Steuerung.xlsx]Steuerung'!$F$40,0))))</f>
        <v/>
      </c>
      <c r="K16" s="7">
        <f>IF(D16="IST","",'[Steuerung.xlsx]Steuerung'!$F$38)</f>
        <v/>
      </c>
      <c r="L16" s="7">
        <f>IF(D16="IST","",SUMIFS('[D Liquidität.xlsx]D Liquidität'!$D$674:$D$676,'[D Liquidität.xlsx]D Liquidität'!$A$674:$A$676,'[Steuerung.xlsx]Steuerung'!$F$6,'[D Liquidität.xlsx]D Liquidität'!$B$674:$B$676,C16))</f>
        <v/>
      </c>
      <c r="M16" s="7">
        <f>IF(D16="IST","",SUMIFS('[D Liquidität.xlsx]D Liquidität'!$D$91:$D$191,'[D Liquidität.xlsx]D Liquidität'!$A$91:$A$191,'[Steuerung.xlsx]Steuerung'!$F$6,'[D Liquidität.xlsx]D Liquidität'!$B$91:$B$191,C16,'[D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Liquidität'!$D$91:$D$191,"&gt;0"))</f>
        <v/>
      </c>
      <c r="N16" s="7">
        <f>IF(D16="IST","",IF(C16-ROUND('[Steuerung.xlsx]Steuerung'!$F$37/'[Steuerung.xlsx]Steuerung'!$F$40,0)&lt;1,"n.a.",INDEX($H$7:$H$18,C16-ROUND('[Steuerung.xlsx]Steuerung'!$F$37/'[Steuerung.xlsx]Steuerung'!$F$40,0))-'[Steuerung.xlsx]Steuerung'!$F$41-'[Steuerung.xlsx]Steuerung'!$F$42))</f>
        <v/>
      </c>
      <c r="O16" s="7">
        <f>IF(D16="IST","",'[Steuerung.xlsx]Steuerung'!$F$41+'[Steuerung.xlsx]Steuerung'!$F$43+'[Steuerung.xlsx]Steuerung'!$F$45+'[Steuerung.xlsx]Steuerung'!$F$46)</f>
        <v/>
      </c>
      <c r="P16" s="7">
        <f>IF(D16="IST","",SUMIFS('[D Liquidität.xlsx]D Liquidität'!$D$91:$D$191,'[D Liquidität.xlsx]D Liquidität'!$A$91:$A$191,'[Steuerung.xlsx]Steuerung'!$F$6,'[D Liquidität.xlsx]D Liquidität'!$B$91:$B$191,C16,'[D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Liquidität'!$D$91:$D$191,"&lt;0"))</f>
        <v/>
      </c>
      <c r="Q16" s="8">
        <f>IF(D16="IST","",IF(OR(J16="n.a.",N16="n.a."),"n.a.",SUM(I16:M16)-SUM(N16:O16)+P16))</f>
        <v/>
      </c>
      <c r="R16" s="7">
        <f>IF(COUNTIFS('[D Liquidität.xlsx]D Liquidität'!$A$661:$A$668,'[Steuerung.xlsx]Steuerung'!$F$6,'[D Liquidität.xlsx]D Liquidität'!$B$661:$B$668,C16)=0,"",SUMIFS('[D Liquidität.xlsx]D Liquidität'!$C$661:$C$668,'[D Liquidität.xlsx]D Liquidität'!$A$661:$A$668,'[Steuerung.xlsx]Steuerung'!$F$6,'[D Liquidität.xlsx]D Liquidität'!$B$661:$B$668,C16))</f>
        <v/>
      </c>
      <c r="S16" s="1" t="n"/>
      <c r="T16" s="1" t="n"/>
    </row>
    <row r="17">
      <c r="A17" s="1" t="n"/>
      <c r="B17" s="1" t="n"/>
      <c r="C17" s="1" t="n">
        <v>11</v>
      </c>
      <c r="D17" s="6">
        <f>IF(C17&lt;'[Steuerung.xlsx]Steuerung'!$F$50,"IST","PLAN")</f>
        <v/>
      </c>
      <c r="E17" s="7">
        <f>SUMIFS('[D Liquidität.xlsx]D Liquidität'!$C$632:$C$655,'[D Liquidität.xlsx]D Liquidität'!$A$632:$A$655,'[Steuerung.xlsx]Steuerung'!$F$6,'[D Liquidität.xlsx]D Liquidität'!$B$632:$B$655,C17)+SUMIFS('[FC Eingabe.xlsx]FC Eingabe'!$G$7:$G$506,'[FC Eingabe.xlsx]FC Eingabe'!$C$7:$C$506,'[Steuerung.xlsx]Steuerung'!$F$6,'[FC Eingabe.xlsx]FC Eingabe'!$D$7:$D$506,C17,'[FC Eingabe.xlsx]FC Eingabe'!$K$7:$K$506,"Wirksam")</f>
        <v/>
      </c>
      <c r="F17" s="7">
        <f>SUMIFS('[D Liquidität.xlsx]D Liquidität'!$D$632:$D$655,'[D Liquidität.xlsx]D Liquidität'!$A$632:$A$655,'[Steuerung.xlsx]Steuerung'!$F$6,'[D Liquidität.xlsx]D Liquidität'!$B$632:$B$655,C17)+SUMIFS('[FC Eingabe.xlsx]FC Eingabe'!$H$7:$H$506,'[FC Eingabe.xlsx]FC Eingabe'!$C$7:$C$506,'[Steuerung.xlsx]Steuerung'!$F$6,'[FC Eingabe.xlsx]FC Eingabe'!$D$7:$D$506,C17,'[FC Eingabe.xlsx]FC Eingabe'!$K$7:$K$506,"Wirksam")</f>
        <v/>
      </c>
      <c r="G17" s="7">
        <f>SUMIFS('[D Liquidität.xlsx]D Liquidität'!$E$632:$E$655,'[D Liquidität.xlsx]D Liquidität'!$A$632:$A$655,'[Steuerung.xlsx]Steuerung'!$F$6,'[D Liquidität.xlsx]D Liquidität'!$B$632:$B$655,C17)+SUMIFS('[FC Eingabe.xlsx]FC Eingabe'!$G$7:$G$506,'[FC Eingabe.xlsx]FC Eingabe'!$C$7:$C$506,'[Steuerung.xlsx]Steuerung'!$F$6,'[FC Eingabe.xlsx]FC Eingabe'!$D$7:$D$506,C17,'[FC Eingabe.xlsx]FC Eingabe'!$K$7:$K$506,"Wirksam")+SUMIFS('[FC Eingabe.xlsx]FC Eingabe'!$H$7:$H$506,'[FC Eingabe.xlsx]FC Eingabe'!$C$7:$C$506,'[Steuerung.xlsx]Steuerung'!$F$6,'[FC Eingabe.xlsx]FC Eingabe'!$D$7:$D$506,C17,'[FC Eingabe.xlsx]FC Eingabe'!$K$7:$K$506,"Wirksam")-SUMIFS('[FC Eingabe.xlsx]FC Eingabe'!$I$7:$I$506,'[FC Eingabe.xlsx]FC Eingabe'!$C$7:$C$506,'[Steuerung.xlsx]Steuerung'!$F$6,'[FC Eingabe.xlsx]FC Eingabe'!$D$7:$D$506,C17,'[FC Eingabe.xlsx]FC Eingabe'!$K$7:$K$506,"Wirksam")</f>
        <v/>
      </c>
      <c r="H17" s="8">
        <f>SUM(E17:F17)-G17</f>
        <v/>
      </c>
      <c r="I17" s="7">
        <f>IF(D17="IST","",IF(C17='[Steuerung.xlsx]Steuerung'!$F$50,'[Steuerung.xlsx]Steuerung'!$F$51,Q16))</f>
        <v/>
      </c>
      <c r="J17" s="7">
        <f>IF(D17="IST","",IF(C17-ROUND('[Steuerung.xlsx]Steuerung'!$F$36/'[Steuerung.xlsx]Steuerung'!$F$40,0)&lt;1,"n.a.",INDEX($E$7:$E$18,C17-ROUND('[Steuerung.xlsx]Steuerung'!$F$36/'[Steuerung.xlsx]Steuerung'!$F$40,0))))</f>
        <v/>
      </c>
      <c r="K17" s="7">
        <f>IF(D17="IST","",'[Steuerung.xlsx]Steuerung'!$F$38)</f>
        <v/>
      </c>
      <c r="L17" s="7">
        <f>IF(D17="IST","",SUMIFS('[D Liquidität.xlsx]D Liquidität'!$D$674:$D$676,'[D Liquidität.xlsx]D Liquidität'!$A$674:$A$676,'[Steuerung.xlsx]Steuerung'!$F$6,'[D Liquidität.xlsx]D Liquidität'!$B$674:$B$676,C17))</f>
        <v/>
      </c>
      <c r="M17" s="7">
        <f>IF(D17="IST","",SUMIFS('[D Liquidität.xlsx]D Liquidität'!$D$91:$D$191,'[D Liquidität.xlsx]D Liquidität'!$A$91:$A$191,'[Steuerung.xlsx]Steuerung'!$F$6,'[D Liquidität.xlsx]D Liquidität'!$B$91:$B$191,C17,'[D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Liquidität'!$D$91:$D$191,"&gt;0"))</f>
        <v/>
      </c>
      <c r="N17" s="7">
        <f>IF(D17="IST","",IF(C17-ROUND('[Steuerung.xlsx]Steuerung'!$F$37/'[Steuerung.xlsx]Steuerung'!$F$40,0)&lt;1,"n.a.",INDEX($H$7:$H$18,C17-ROUND('[Steuerung.xlsx]Steuerung'!$F$37/'[Steuerung.xlsx]Steuerung'!$F$40,0))-'[Steuerung.xlsx]Steuerung'!$F$41-'[Steuerung.xlsx]Steuerung'!$F$42))</f>
        <v/>
      </c>
      <c r="O17" s="7">
        <f>IF(D17="IST","",'[Steuerung.xlsx]Steuerung'!$F$41+'[Steuerung.xlsx]Steuerung'!$F$43+'[Steuerung.xlsx]Steuerung'!$F$45+'[Steuerung.xlsx]Steuerung'!$F$46)</f>
        <v/>
      </c>
      <c r="P17" s="7">
        <f>IF(D17="IST","",SUMIFS('[D Liquidität.xlsx]D Liquidität'!$D$91:$D$191,'[D Liquidität.xlsx]D Liquidität'!$A$91:$A$191,'[Steuerung.xlsx]Steuerung'!$F$6,'[D Liquidität.xlsx]D Liquidität'!$B$91:$B$191,C17,'[D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Liquidität'!$D$91:$D$191,"&lt;0"))</f>
        <v/>
      </c>
      <c r="Q17" s="8">
        <f>IF(D17="IST","",IF(OR(J17="n.a.",N17="n.a."),"n.a.",SUM(I17:M17)-SUM(N17:O17)+P17))</f>
        <v/>
      </c>
      <c r="R17" s="7">
        <f>IF(COUNTIFS('[D Liquidität.xlsx]D Liquidität'!$A$661:$A$668,'[Steuerung.xlsx]Steuerung'!$F$6,'[D Liquidität.xlsx]D Liquidität'!$B$661:$B$668,C17)=0,"",SUMIFS('[D Liquidität.xlsx]D Liquidität'!$C$661:$C$668,'[D Liquidität.xlsx]D Liquidität'!$A$661:$A$668,'[Steuerung.xlsx]Steuerung'!$F$6,'[D Liquidität.xlsx]D Liquidität'!$B$661:$B$668,C17))</f>
        <v/>
      </c>
      <c r="S17" s="1" t="n"/>
      <c r="T17" s="1" t="n"/>
    </row>
    <row r="18">
      <c r="A18" s="1" t="n"/>
      <c r="B18" s="1" t="n"/>
      <c r="C18" s="1" t="n">
        <v>12</v>
      </c>
      <c r="D18" s="6">
        <f>IF(C18&lt;'[Steuerung.xlsx]Steuerung'!$F$50,"IST","PLAN")</f>
        <v/>
      </c>
      <c r="E18" s="7">
        <f>SUMIFS('[D Liquidität.xlsx]D Liquidität'!$C$632:$C$655,'[D Liquidität.xlsx]D Liquidität'!$A$632:$A$655,'[Steuerung.xlsx]Steuerung'!$F$6,'[D Liquidität.xlsx]D Liquidität'!$B$632:$B$655,C18)+SUMIFS('[FC Eingabe.xlsx]FC Eingabe'!$G$7:$G$506,'[FC Eingabe.xlsx]FC Eingabe'!$C$7:$C$506,'[Steuerung.xlsx]Steuerung'!$F$6,'[FC Eingabe.xlsx]FC Eingabe'!$D$7:$D$506,C18,'[FC Eingabe.xlsx]FC Eingabe'!$K$7:$K$506,"Wirksam")</f>
        <v/>
      </c>
      <c r="F18" s="7">
        <f>SUMIFS('[D Liquidität.xlsx]D Liquidität'!$D$632:$D$655,'[D Liquidität.xlsx]D Liquidität'!$A$632:$A$655,'[Steuerung.xlsx]Steuerung'!$F$6,'[D Liquidität.xlsx]D Liquidität'!$B$632:$B$655,C18)+SUMIFS('[FC Eingabe.xlsx]FC Eingabe'!$H$7:$H$506,'[FC Eingabe.xlsx]FC Eingabe'!$C$7:$C$506,'[Steuerung.xlsx]Steuerung'!$F$6,'[FC Eingabe.xlsx]FC Eingabe'!$D$7:$D$506,C18,'[FC Eingabe.xlsx]FC Eingabe'!$K$7:$K$506,"Wirksam")</f>
        <v/>
      </c>
      <c r="G18" s="7">
        <f>SUMIFS('[D Liquidität.xlsx]D Liquidität'!$E$632:$E$655,'[D Liquidität.xlsx]D Liquidität'!$A$632:$A$655,'[Steuerung.xlsx]Steuerung'!$F$6,'[D Liquidität.xlsx]D Liquidität'!$B$632:$B$655,C18)+SUMIFS('[FC Eingabe.xlsx]FC Eingabe'!$G$7:$G$506,'[FC Eingabe.xlsx]FC Eingabe'!$C$7:$C$506,'[Steuerung.xlsx]Steuerung'!$F$6,'[FC Eingabe.xlsx]FC Eingabe'!$D$7:$D$506,C18,'[FC Eingabe.xlsx]FC Eingabe'!$K$7:$K$506,"Wirksam")+SUMIFS('[FC Eingabe.xlsx]FC Eingabe'!$H$7:$H$506,'[FC Eingabe.xlsx]FC Eingabe'!$C$7:$C$506,'[Steuerung.xlsx]Steuerung'!$F$6,'[FC Eingabe.xlsx]FC Eingabe'!$D$7:$D$506,C18,'[FC Eingabe.xlsx]FC Eingabe'!$K$7:$K$506,"Wirksam")-SUMIFS('[FC Eingabe.xlsx]FC Eingabe'!$I$7:$I$506,'[FC Eingabe.xlsx]FC Eingabe'!$C$7:$C$506,'[Steuerung.xlsx]Steuerung'!$F$6,'[FC Eingabe.xlsx]FC Eingabe'!$D$7:$D$506,C18,'[FC Eingabe.xlsx]FC Eingabe'!$K$7:$K$506,"Wirksam")</f>
        <v/>
      </c>
      <c r="H18" s="8">
        <f>SUM(E18:F18)-G18</f>
        <v/>
      </c>
      <c r="I18" s="7">
        <f>IF(D18="IST","",IF(C18='[Steuerung.xlsx]Steuerung'!$F$50,'[Steuerung.xlsx]Steuerung'!$F$51,Q17))</f>
        <v/>
      </c>
      <c r="J18" s="7">
        <f>IF(D18="IST","",IF(C18-ROUND('[Steuerung.xlsx]Steuerung'!$F$36/'[Steuerung.xlsx]Steuerung'!$F$40,0)&lt;1,"n.a.",INDEX($E$7:$E$18,C18-ROUND('[Steuerung.xlsx]Steuerung'!$F$36/'[Steuerung.xlsx]Steuerung'!$F$40,0))))</f>
        <v/>
      </c>
      <c r="K18" s="7">
        <f>IF(D18="IST","",'[Steuerung.xlsx]Steuerung'!$F$38)</f>
        <v/>
      </c>
      <c r="L18" s="7">
        <f>IF(D18="IST","",SUMIFS('[D Liquidität.xlsx]D Liquidität'!$D$674:$D$676,'[D Liquidität.xlsx]D Liquidität'!$A$674:$A$676,'[Steuerung.xlsx]Steuerung'!$F$6,'[D Liquidität.xlsx]D Liquidität'!$B$674:$B$676,C18))</f>
        <v/>
      </c>
      <c r="M18" s="7">
        <f>IF(D18="IST","",SUMIFS('[D Liquidität.xlsx]D Liquidität'!$D$91:$D$191,'[D Liquidität.xlsx]D Liquidität'!$A$91:$A$191,'[Steuerung.xlsx]Steuerung'!$F$6,'[D Liquidität.xlsx]D Liquidität'!$B$91:$B$191,C18,'[D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Liquidität'!$D$91:$D$191,"&gt;0"))</f>
        <v/>
      </c>
      <c r="N18" s="7">
        <f>IF(D18="IST","",IF(C18-ROUND('[Steuerung.xlsx]Steuerung'!$F$37/'[Steuerung.xlsx]Steuerung'!$F$40,0)&lt;1,"n.a.",INDEX($H$7:$H$18,C18-ROUND('[Steuerung.xlsx]Steuerung'!$F$37/'[Steuerung.xlsx]Steuerung'!$F$40,0))-'[Steuerung.xlsx]Steuerung'!$F$41-'[Steuerung.xlsx]Steuerung'!$F$42))</f>
        <v/>
      </c>
      <c r="O18" s="7">
        <f>IF(D18="IST","",'[Steuerung.xlsx]Steuerung'!$F$41+'[Steuerung.xlsx]Steuerung'!$F$43+'[Steuerung.xlsx]Steuerung'!$F$45+'[Steuerung.xlsx]Steuerung'!$F$46)</f>
        <v/>
      </c>
      <c r="P18" s="7">
        <f>IF(D18="IST","",SUMIFS('[D Liquidität.xlsx]D Liquidität'!$D$91:$D$191,'[D Liquidität.xlsx]D Liquidität'!$A$91:$A$191,'[Steuerung.xlsx]Steuerung'!$F$6,'[D Liquidität.xlsx]D Liquidität'!$B$91:$B$191,C18,'[D Liquidität.xlsx]D Liquidität'!$I$91:$I$191,"&lt;&gt;CHANCE",'[D Liquidität.xlsx]D Liquidität'!$H$91:$H$191,"&lt;&gt;ERLEDIGT",'[D Liquidität.xlsx]D Liquidität'!$H$91:$H$191,"&lt;&gt;GEZAHLT",'[D Liquidität.xlsx]D Liquidität'!$H$91:$H$191,"&lt;&gt;STORNIERT",'[D Liquidität.xlsx]D Liquidität'!$H$91:$H$191,"&lt;&gt;VERLOREN",'[D Liquidität.xlsx]D Liquidität'!$D$91:$D$191,"&lt;0"))</f>
        <v/>
      </c>
      <c r="Q18" s="8">
        <f>IF(D18="IST","",IF(OR(J18="n.a.",N18="n.a."),"n.a.",SUM(I18:M18)-SUM(N18:O18)+P18))</f>
        <v/>
      </c>
      <c r="R18" s="7">
        <f>IF(COUNTIFS('[D Liquidität.xlsx]D Liquidität'!$A$661:$A$668,'[Steuerung.xlsx]Steuerung'!$F$6,'[D Liquidität.xlsx]D Liquidität'!$B$661:$B$668,C18)=0,"",SUMIFS('[D Liquidität.xlsx]D Liquidität'!$C$661:$C$668,'[D Liquidität.xlsx]D Liquidität'!$A$661:$A$668,'[Steuerung.xlsx]Steuerung'!$F$6,'[D Liquidität.xlsx]D Liquidität'!$B$661:$B$668,C18))</f>
        <v/>
      </c>
      <c r="S18" s="1" t="n"/>
      <c r="T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1" t="n"/>
      <c r="C22" s="9" t="inlineStr">
        <is>
          <t>Der gespeicherte Startbestand 1.944.327,50 EUR entspricht dem Cash-Pool-Stichtag 04.09.2026 in liq_bestand. Die ältere Parameterbeschreibung nennt abweichend 31.07.2026. Beide Originalangaben sind in den Quellen erhalten.</t>
        </is>
      </c>
      <c r="S22" s="1" t="n"/>
      <c r="T22" s="1" t="n"/>
    </row>
    <row r="23">
      <c r="A23" s="1" t="n"/>
      <c r="B23" s="1" t="n"/>
      <c r="S23" s="1" t="n"/>
      <c r="T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Monatsroll.xlsx</t>
        </is>
      </c>
    </row>
    <row r="65">
      <c r="C65" t="inlineStr">
        <is>
          <t>Liest aus</t>
        </is>
      </c>
      <c r="D65" t="inlineStr">
        <is>
          <t>D Liquidität.xlsx</t>
        </is>
      </c>
      <c r="E65" t="inlineStr">
        <is>
          <t>D Liquidität</t>
        </is>
      </c>
    </row>
    <row r="66">
      <c r="C66" t="inlineStr">
        <is>
          <t>Liest aus</t>
        </is>
      </c>
      <c r="D66" t="inlineStr">
        <is>
          <t>FC Eingabe.xlsx</t>
        </is>
      </c>
      <c r="E66" t="inlineStr">
        <is>
          <t>FC Eingabe</t>
        </is>
      </c>
    </row>
    <row r="67">
      <c r="C67" t="inlineStr">
        <is>
          <t>Liest aus</t>
        </is>
      </c>
      <c r="D67" t="inlineStr">
        <is>
          <t>Steuerung.xlsx</t>
        </is>
      </c>
      <c r="E67" t="inlineStr">
        <is>
          <t>Steuerung</t>
        </is>
      </c>
    </row>
  </sheetData>
  <mergeCells count="3">
    <mergeCell ref="C3:T3"/>
    <mergeCell ref="C22:R23"/>
    <mergeCell ref="C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2026-10-12T08:21:55Z</dcterms:created>
  <dcterms:modified xsi:type="dcterms:W3CDTF">2026-10-12T08:21:55Z</dcterms:modified>
</cp:coreProperties>
</file>