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k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\(#,##0.00\);&quot;–&quot;"/>
    <numFmt numFmtId="165" formatCode="0.0%;[Red]\(0.0%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  <font>
      <name val="Arial"/>
      <family val="2"/>
      <b val="1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6" fillId="3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7" fillId="4" borderId="2" applyAlignment="1" pivotButton="0" quotePrefix="0" xfId="0">
      <alignment vertical="center"/>
    </xf>
    <xf numFmtId="164" fontId="7" fillId="4" borderId="2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  <col width="41" customWidth="1" min="7" max="7"/>
    <col width="22" customWidth="1" min="8" max="8"/>
    <col width="15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1" t="n"/>
      <c r="C2" s="2" t="inlineStr">
        <is>
          <t>Kalkulation HK / SK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32" customHeight="1">
      <c r="A3" s="1" t="n"/>
      <c r="B3" s="1" t="n"/>
      <c r="C3" s="4" t="inlineStr">
        <is>
          <t>Freie Kalkulation mit den Standardwerten der Vorlage. Eingaben und Konditionen können direkt geändert werden.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4" customHeight="1">
      <c r="A6" s="1" t="n"/>
      <c r="B6" s="1" t="n"/>
      <c r="C6" s="5" t="inlineStr">
        <is>
          <t>Eingabe</t>
        </is>
      </c>
      <c r="D6" s="5" t="inlineStr">
        <is>
          <t>Wert</t>
        </is>
      </c>
      <c r="E6" s="1" t="n"/>
      <c r="F6" s="1" t="n"/>
      <c r="G6" s="5" t="inlineStr">
        <is>
          <t>Rechenschritt</t>
        </is>
      </c>
      <c r="H6" s="5" t="inlineStr">
        <is>
          <t>EUR / Anteil</t>
        </is>
      </c>
      <c r="I6" s="1" t="n"/>
      <c r="J6" s="1" t="n"/>
      <c r="K6" s="1" t="n"/>
      <c r="L6" s="1" t="n"/>
      <c r="M6" s="1" t="n"/>
    </row>
    <row r="7">
      <c r="A7" s="1" t="n"/>
      <c r="B7" s="1" t="n"/>
      <c r="C7" s="1" t="inlineStr">
        <is>
          <t>Materialkosten</t>
        </is>
      </c>
      <c r="D7" s="6" t="n">
        <v>80.20999999999999</v>
      </c>
      <c r="E7" s="1" t="n"/>
      <c r="F7" s="1" t="n"/>
      <c r="G7" s="1" t="inlineStr">
        <is>
          <t>Material gesamt</t>
        </is>
      </c>
      <c r="H7" s="7">
        <f>SUM(D7:D8)</f>
        <v/>
      </c>
      <c r="I7" s="1" t="n"/>
      <c r="J7" s="1" t="n"/>
      <c r="K7" s="1" t="n"/>
      <c r="L7" s="1" t="n"/>
      <c r="M7" s="1" t="n"/>
    </row>
    <row r="8">
      <c r="A8" s="1" t="n"/>
      <c r="B8" s="1" t="n"/>
      <c r="C8" s="1" t="inlineStr">
        <is>
          <t>Materialänderung</t>
        </is>
      </c>
      <c r="D8" s="6" t="n">
        <v>0</v>
      </c>
      <c r="E8" s="1" t="n"/>
      <c r="F8" s="1" t="n"/>
      <c r="G8" s="1" t="inlineStr">
        <is>
          <t>Material-Gemeinkosten</t>
        </is>
      </c>
      <c r="H8" s="7">
        <f>H7*D9</f>
        <v/>
      </c>
      <c r="I8" s="1" t="n"/>
      <c r="J8" s="1" t="n"/>
      <c r="K8" s="1" t="n"/>
      <c r="L8" s="1" t="n"/>
      <c r="M8" s="1" t="n"/>
    </row>
    <row r="9">
      <c r="A9" s="1" t="n"/>
      <c r="B9" s="1" t="n"/>
      <c r="C9" s="1" t="inlineStr">
        <is>
          <t>GMKZ Material</t>
        </is>
      </c>
      <c r="D9" s="8" t="n">
        <v>0.06900000000000001</v>
      </c>
      <c r="E9" s="1" t="n"/>
      <c r="F9" s="1" t="n"/>
      <c r="G9" s="1" t="inlineStr">
        <is>
          <t>Fertigung gesamt</t>
        </is>
      </c>
      <c r="H9" s="7">
        <f>SUM(D11:D12)</f>
        <v/>
      </c>
      <c r="I9" s="1" t="n"/>
      <c r="J9" s="1" t="n"/>
      <c r="K9" s="1" t="n"/>
      <c r="L9" s="1" t="n"/>
      <c r="M9" s="1" t="n"/>
    </row>
    <row r="10" ht="25" customHeight="1">
      <c r="A10" s="1" t="n"/>
      <c r="B10" s="1" t="n"/>
      <c r="C10" s="1" t="inlineStr">
        <is>
          <t>Fremdleistung</t>
        </is>
      </c>
      <c r="D10" s="6" t="n">
        <v>1</v>
      </c>
      <c r="E10" s="1" t="n"/>
      <c r="F10" s="1" t="n"/>
      <c r="G10" s="9" t="inlineStr">
        <is>
          <t>Herstellkosten</t>
        </is>
      </c>
      <c r="H10" s="10">
        <f>SUM(H7:H9)+D10</f>
        <v/>
      </c>
      <c r="I10" s="1" t="n"/>
      <c r="J10" s="1" t="n"/>
      <c r="K10" s="1" t="n"/>
      <c r="L10" s="1" t="n"/>
      <c r="M10" s="1" t="n"/>
    </row>
    <row r="11">
      <c r="A11" s="1" t="n"/>
      <c r="B11" s="1" t="n"/>
      <c r="C11" s="1" t="inlineStr">
        <is>
          <t>Fertigungskosten</t>
        </is>
      </c>
      <c r="D11" s="6" t="n">
        <v>36.8</v>
      </c>
      <c r="E11" s="1" t="n"/>
      <c r="F11" s="1" t="n"/>
      <c r="G11" s="1" t="inlineStr">
        <is>
          <t>Vertrieb / Verwaltung</t>
        </is>
      </c>
      <c r="H11" s="7">
        <f>H10*D13</f>
        <v/>
      </c>
      <c r="I11" s="1" t="n"/>
      <c r="J11" s="1" t="n"/>
      <c r="K11" s="1" t="n"/>
      <c r="L11" s="1" t="n"/>
      <c r="M11" s="1" t="n"/>
    </row>
    <row r="12">
      <c r="A12" s="1" t="n"/>
      <c r="B12" s="1" t="n"/>
      <c r="C12" s="1" t="inlineStr">
        <is>
          <t>Fertigungsänderung</t>
        </is>
      </c>
      <c r="D12" s="6" t="n">
        <v>0</v>
      </c>
      <c r="E12" s="1" t="n"/>
      <c r="F12" s="1" t="n"/>
      <c r="G12" s="1" t="inlineStr">
        <is>
          <t>Selbstkosten</t>
        </is>
      </c>
      <c r="H12" s="7">
        <f>SUM(H10:H11)+D14</f>
        <v/>
      </c>
      <c r="I12" s="1" t="n"/>
      <c r="J12" s="1" t="n"/>
      <c r="K12" s="1" t="n"/>
      <c r="L12" s="1" t="n"/>
      <c r="M12" s="1" t="n"/>
    </row>
    <row r="13" ht="25" customHeight="1">
      <c r="A13" s="1" t="n"/>
      <c r="B13" s="1" t="n"/>
      <c r="C13" s="1" t="inlineStr">
        <is>
          <t>GMKZ Vertrieb / Verwaltung</t>
        </is>
      </c>
      <c r="D13" s="8" t="n">
        <v>0.1458</v>
      </c>
      <c r="E13" s="1" t="n"/>
      <c r="F13" s="1" t="n"/>
      <c r="G13" s="9" t="inlineStr">
        <is>
          <t>Selbstkosten inkl. Fracht</t>
        </is>
      </c>
      <c r="H13" s="10">
        <f>H12+SUM(D15:D16)</f>
        <v/>
      </c>
      <c r="I13" s="1" t="n"/>
      <c r="J13" s="1" t="n"/>
      <c r="K13" s="1" t="n"/>
      <c r="L13" s="1" t="n"/>
      <c r="M13" s="1" t="n"/>
    </row>
    <row r="14">
      <c r="A14" s="1" t="n"/>
      <c r="B14" s="1" t="n"/>
      <c r="C14" s="1" t="inlineStr">
        <is>
          <t>DSD-Gebühr</t>
        </is>
      </c>
      <c r="D14" s="6" t="n">
        <v>0.6</v>
      </c>
      <c r="E14" s="1" t="n"/>
      <c r="F14" s="1" t="n"/>
      <c r="G14" s="1" t="inlineStr">
        <is>
          <t>Konditionen maximal</t>
        </is>
      </c>
      <c r="H14" s="11">
        <f>SUM(D17:D21)+SUM(D23:D24)</f>
        <v/>
      </c>
      <c r="I14" s="1" t="n"/>
      <c r="J14" s="1" t="n"/>
      <c r="K14" s="1" t="n"/>
      <c r="L14" s="1" t="n"/>
      <c r="M14" s="1" t="n"/>
    </row>
    <row r="15">
      <c r="A15" s="1" t="n"/>
      <c r="B15" s="1" t="n"/>
      <c r="C15" s="1" t="inlineStr">
        <is>
          <t>Fracht</t>
        </is>
      </c>
      <c r="D15" s="6" t="n">
        <v>3</v>
      </c>
      <c r="E15" s="1" t="n"/>
      <c r="F15" s="1" t="n"/>
      <c r="G15" s="1" t="inlineStr">
        <is>
          <t>Konditionen mittel</t>
        </is>
      </c>
      <c r="H15" s="11">
        <f>SUM(D17:D20)+D22+SUM(D23:D24)</f>
        <v/>
      </c>
      <c r="I15" s="1" t="n"/>
      <c r="J15" s="1" t="n"/>
      <c r="K15" s="1" t="n"/>
      <c r="L15" s="1" t="n"/>
      <c r="M15" s="1" t="n"/>
    </row>
    <row r="16" ht="25" customHeight="1">
      <c r="A16" s="1" t="n"/>
      <c r="B16" s="1" t="n"/>
      <c r="C16" s="1" t="inlineStr">
        <is>
          <t>Direktversand</t>
        </is>
      </c>
      <c r="D16" s="6" t="n">
        <v>0</v>
      </c>
      <c r="E16" s="1" t="n"/>
      <c r="F16" s="1" t="n"/>
      <c r="G16" s="9" t="inlineStr">
        <is>
          <t>Limitpreis</t>
        </is>
      </c>
      <c r="H16" s="10">
        <f>IF(H14&gt;=1,"n.a.",H13/(1-H14))</f>
        <v/>
      </c>
      <c r="I16" s="1" t="n"/>
      <c r="J16" s="1" t="n"/>
      <c r="K16" s="1" t="n"/>
      <c r="L16" s="1" t="n"/>
      <c r="M16" s="1" t="n"/>
    </row>
    <row r="17">
      <c r="A17" s="1" t="n"/>
      <c r="B17" s="1" t="n"/>
      <c r="C17" s="1" t="inlineStr">
        <is>
          <t>Skonto</t>
        </is>
      </c>
      <c r="D17" s="8" t="n">
        <v>0.0358</v>
      </c>
      <c r="E17" s="1" t="n"/>
      <c r="F17" s="1" t="n"/>
      <c r="G17" s="1" t="inlineStr">
        <is>
          <t>Risikoaufschläge</t>
        </is>
      </c>
      <c r="H17" s="7">
        <f>H13*SUM(D25:D26)</f>
        <v/>
      </c>
      <c r="I17" s="1" t="n"/>
      <c r="J17" s="1" t="n"/>
      <c r="K17" s="1" t="n"/>
      <c r="L17" s="1" t="n"/>
      <c r="M17" s="1" t="n"/>
    </row>
    <row r="18">
      <c r="A18" s="1" t="n"/>
      <c r="B18" s="1" t="n"/>
      <c r="C18" s="1" t="inlineStr">
        <is>
          <t>Fixbonus</t>
        </is>
      </c>
      <c r="D18" s="8" t="n">
        <v>0</v>
      </c>
      <c r="E18" s="1" t="n"/>
      <c r="F18" s="1" t="n"/>
      <c r="G18" s="1" t="inlineStr">
        <is>
          <t>Gewinn</t>
        </is>
      </c>
      <c r="H18" s="7">
        <f>H13*D27</f>
        <v/>
      </c>
      <c r="I18" s="1" t="n"/>
      <c r="J18" s="1" t="n"/>
      <c r="K18" s="1" t="n"/>
      <c r="L18" s="1" t="n"/>
      <c r="M18" s="1" t="n"/>
    </row>
    <row r="19" ht="25" customHeight="1">
      <c r="A19" s="1" t="n"/>
      <c r="B19" s="1" t="n"/>
      <c r="C19" s="1" t="inlineStr">
        <is>
          <t>Staffelbonus</t>
        </is>
      </c>
      <c r="D19" s="8" t="n">
        <v>0.02</v>
      </c>
      <c r="E19" s="1" t="n"/>
      <c r="F19" s="1" t="n"/>
      <c r="G19" s="9" t="inlineStr">
        <is>
          <t>Zielpreis</t>
        </is>
      </c>
      <c r="H19" s="10">
        <f>IF(H15&gt;=1,"n.a.",SUM(H13,H17:H18)/(1-H15))</f>
        <v/>
      </c>
      <c r="I19" s="1" t="n"/>
      <c r="J19" s="1" t="n"/>
      <c r="K19" s="1" t="n"/>
      <c r="L19" s="1" t="n"/>
      <c r="M19" s="1" t="n"/>
    </row>
    <row r="20" ht="25" customHeight="1">
      <c r="A20" s="1" t="n"/>
      <c r="B20" s="1" t="n"/>
      <c r="C20" s="1" t="inlineStr">
        <is>
          <t>Werbekostenzuschuss</t>
        </is>
      </c>
      <c r="D20" s="8" t="n">
        <v>0.01</v>
      </c>
      <c r="E20" s="1" t="n"/>
      <c r="F20" s="1" t="n"/>
      <c r="G20" s="9" t="inlineStr">
        <is>
          <t>Netto-Angebot</t>
        </is>
      </c>
      <c r="H20" s="10">
        <f>D28*(1-H15)</f>
        <v/>
      </c>
      <c r="I20" s="1" t="n"/>
      <c r="J20" s="1" t="n"/>
      <c r="K20" s="1" t="n"/>
      <c r="L20" s="1" t="n"/>
      <c r="M20" s="1" t="n"/>
    </row>
    <row r="21" ht="25" customHeight="1">
      <c r="A21" s="1" t="n"/>
      <c r="B21" s="1" t="n"/>
      <c r="C21" s="1" t="inlineStr">
        <is>
          <t>Wechsel maximal</t>
        </is>
      </c>
      <c r="D21" s="8" t="n">
        <v>0.048</v>
      </c>
      <c r="E21" s="1" t="n"/>
      <c r="F21" s="1" t="n"/>
      <c r="G21" s="9" t="inlineStr">
        <is>
          <t>DB1</t>
        </is>
      </c>
      <c r="H21" s="10">
        <f>H20-H7</f>
        <v/>
      </c>
      <c r="I21" s="1" t="n"/>
      <c r="J21" s="1" t="n"/>
      <c r="K21" s="1" t="n"/>
      <c r="L21" s="1" t="n"/>
      <c r="M21" s="1" t="n"/>
    </row>
    <row r="22">
      <c r="A22" s="1" t="n"/>
      <c r="B22" s="1" t="n"/>
      <c r="C22" s="1" t="inlineStr">
        <is>
          <t>Wechsel mittel</t>
        </is>
      </c>
      <c r="D22" s="8" t="n">
        <v>0.025</v>
      </c>
      <c r="E22" s="1" t="n"/>
      <c r="F22" s="1" t="n"/>
      <c r="G22" s="1" t="inlineStr">
        <is>
          <t>DB1-Marge</t>
        </is>
      </c>
      <c r="H22" s="11">
        <f>IF(H20=0,"n.a.",H21/H20)</f>
        <v/>
      </c>
      <c r="I22" s="1" t="n"/>
      <c r="J22" s="1" t="n"/>
      <c r="K22" s="1" t="n"/>
      <c r="L22" s="1" t="n"/>
      <c r="M22" s="1" t="n"/>
    </row>
    <row r="23">
      <c r="A23" s="1" t="n"/>
      <c r="B23" s="1" t="n"/>
      <c r="C23" s="1" t="inlineStr">
        <is>
          <t>Provision</t>
        </is>
      </c>
      <c r="D23" s="8" t="n">
        <v>0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inlineStr">
        <is>
          <t>Sonstige Konditionen</t>
        </is>
      </c>
      <c r="D24" s="8" t="n">
        <v>0</v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inlineStr">
        <is>
          <t>Garantie</t>
        </is>
      </c>
      <c r="D25" s="8" t="n">
        <v>0.015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inlineStr">
        <is>
          <t>Mengenpuffer</t>
        </is>
      </c>
      <c r="D26" s="8" t="n">
        <v>0.02</v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inlineStr">
        <is>
          <t>Gewinnaufschlag</t>
        </is>
      </c>
      <c r="D27" s="8" t="n">
        <v>0.08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inlineStr">
        <is>
          <t>Angebotspreis</t>
        </is>
      </c>
      <c r="D28" s="6" t="n">
        <v>175</v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Kalkulation.xlsx</t>
        </is>
      </c>
    </row>
  </sheetData>
  <mergeCells count="2">
    <mergeCell ref="C2:M2"/>
    <mergeCell ref="C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2026-10-12T08:21:53Z</dcterms:created>
  <dcterms:modified xsi:type="dcterms:W3CDTF">2026-10-12T08:21:53Z</dcterms:modified>
</cp:coreProperties>
</file>