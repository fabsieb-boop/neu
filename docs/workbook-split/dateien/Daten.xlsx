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7" customWidth="1" min="3" max="3"/>
    <col width="15" customWidth="1" min="4" max="4"/>
    <col width="27" customWidth="1" min="6" max="6"/>
    <col width="15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1" t="n"/>
      <c r="B2" s="1" t="n"/>
      <c r="C2" s="2" t="inlineStr">
        <is>
          <t>Datenindex und Importgrundlagen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32" customHeight="1">
      <c r="A3" s="1" t="n"/>
      <c r="B3" s="1" t="n"/>
      <c r="C3" s="4" t="inlineStr">
        <is>
          <t>Alle 52 Datensichten, 27 Referenzgruppen und der Erstimport sind enthalten. Verknüpfungen öffnen den jeweiligen Tabellenbereich.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34" customHeight="1">
      <c r="A6" s="1" t="n"/>
      <c r="B6" s="1" t="n"/>
      <c r="C6" s="5" t="inlineStr">
        <is>
          <t>Datensatz</t>
        </is>
      </c>
      <c r="D6" s="5" t="inlineStr">
        <is>
          <t>Zeilen</t>
        </is>
      </c>
      <c r="E6" s="5" t="inlineStr">
        <is>
          <t>Arbeitsblatt</t>
        </is>
      </c>
      <c r="F6" s="5" t="inlineStr">
        <is>
          <t>Quellbereich</t>
        </is>
      </c>
      <c r="G6" s="5" t="inlineStr">
        <is>
          <t>Herkunft</t>
        </is>
      </c>
      <c r="H6" s="1" t="n"/>
      <c r="I6" s="1" t="n"/>
      <c r="J6" s="1" t="n"/>
      <c r="K6" s="1" t="n"/>
      <c r="L6" s="1" t="n"/>
      <c r="M6" s="1" t="n"/>
    </row>
    <row r="7">
      <c r="A7" s="1" t="n"/>
      <c r="B7" s="1" t="n"/>
      <c r="C7" s="1" t="inlineStr">
        <is>
          <t>v_kennzahlen_monat</t>
        </is>
      </c>
      <c r="D7" s="1" t="n">
        <v>9</v>
      </c>
      <c r="E7" s="1">
        <f>IFERROR(HYPERLINK("[D Finanzen.xlsx]D Finanzen!A7","D Finanzen"),"D Finanzen")</f>
        <v/>
      </c>
      <c r="F7" s="1" t="inlineStr">
        <is>
          <t>A7:J16</t>
        </is>
      </c>
      <c r="G7" s="1" t="inlineStr">
        <is>
          <t>data.js</t>
        </is>
      </c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1" t="inlineStr">
        <is>
          <t>v_ebitda_monat</t>
        </is>
      </c>
      <c r="D8" s="1" t="n">
        <v>12</v>
      </c>
      <c r="E8" s="1">
        <f>IFERROR(HYPERLINK("[D Finanzen.xlsx]D Finanzen!A21","D Finanzen"),"D Finanzen")</f>
        <v/>
      </c>
      <c r="F8" s="1" t="inlineStr">
        <is>
          <t>A21:H33</t>
        </is>
      </c>
      <c r="G8" s="1" t="inlineStr">
        <is>
          <t>data.js</t>
        </is>
      </c>
      <c r="H8" s="1" t="n"/>
      <c r="I8" s="1" t="n"/>
      <c r="J8" s="1" t="n"/>
      <c r="K8" s="1" t="n"/>
      <c r="L8" s="1" t="n"/>
      <c r="M8" s="1" t="n"/>
    </row>
    <row r="9">
      <c r="A9" s="1" t="n"/>
      <c r="B9" s="1" t="n"/>
      <c r="C9" s="1" t="inlineStr">
        <is>
          <t>v_ebitda_jahr</t>
        </is>
      </c>
      <c r="D9" s="1" t="n">
        <v>1</v>
      </c>
      <c r="E9" s="1">
        <f>IFERROR(HYPERLINK("[D Finanzen.xlsx]D Finanzen!A38","D Finanzen"),"D Finanzen")</f>
        <v/>
      </c>
      <c r="F9" s="1" t="inlineStr">
        <is>
          <t>A38:J39</t>
        </is>
      </c>
      <c r="G9" s="1" t="inlineStr">
        <is>
          <t>data.js</t>
        </is>
      </c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inlineStr">
        <is>
          <t>v_guv_staffel</t>
        </is>
      </c>
      <c r="D10" s="1" t="n">
        <v>71</v>
      </c>
      <c r="E10" s="1">
        <f>IFERROR(HYPERLINK("[D Finanzen.xlsx]D Finanzen!A44","D Finanzen"),"D Finanzen")</f>
        <v/>
      </c>
      <c r="F10" s="1" t="inlineStr">
        <is>
          <t>A44:F115</t>
        </is>
      </c>
      <c r="G10" s="1" t="inlineStr">
        <is>
          <t>data.js</t>
        </is>
      </c>
      <c r="H10" s="1" t="n"/>
      <c r="I10" s="1" t="n"/>
      <c r="J10" s="1" t="n"/>
      <c r="K10" s="1" t="n"/>
      <c r="L10" s="1" t="n"/>
      <c r="M10" s="1" t="n"/>
    </row>
    <row r="11">
      <c r="A11" s="1" t="n"/>
      <c r="B11" s="1" t="n"/>
      <c r="C11" s="1" t="inlineStr">
        <is>
          <t>v_liq_woche</t>
        </is>
      </c>
      <c r="D11" s="1" t="n">
        <v>13</v>
      </c>
      <c r="E11" s="1">
        <f>IFERROR(HYPERLINK("[D Liquidität.xlsx]D Liquidität!A7","D Liquidität"),"D Liquidität")</f>
        <v/>
      </c>
      <c r="F11" s="1" t="inlineStr">
        <is>
          <t>A7:J20</t>
        </is>
      </c>
      <c r="G11" s="1" t="inlineStr">
        <is>
          <t>data.js</t>
        </is>
      </c>
      <c r="H11" s="1" t="n"/>
      <c r="I11" s="1" t="n"/>
      <c r="J11" s="1" t="n"/>
      <c r="K11" s="1" t="n"/>
      <c r="L11" s="1" t="n"/>
      <c r="M11" s="1" t="n"/>
    </row>
    <row r="12">
      <c r="A12" s="1" t="n"/>
      <c r="B12" s="1" t="n"/>
      <c r="C12" s="1" t="inlineStr">
        <is>
          <t>v_projekt_db</t>
        </is>
      </c>
      <c r="D12" s="1" t="n">
        <v>100</v>
      </c>
      <c r="E12" s="1">
        <f>IFERROR(HYPERLINK("[D Projekte.xlsx]D Projekte!A7","D Projekte"),"D Projekte")</f>
        <v/>
      </c>
      <c r="F12" s="1" t="inlineStr">
        <is>
          <t>A7:U107</t>
        </is>
      </c>
      <c r="G12" s="1" t="inlineStr">
        <is>
          <t>data.js</t>
        </is>
      </c>
      <c r="H12" s="1" t="n"/>
      <c r="I12" s="1" t="n"/>
      <c r="J12" s="1" t="n"/>
      <c r="K12" s="1" t="n"/>
      <c r="L12" s="1" t="n"/>
      <c r="M12" s="1" t="n"/>
    </row>
    <row r="13">
      <c r="A13" s="1" t="n"/>
      <c r="B13" s="1" t="n"/>
      <c r="C13" s="1" t="inlineStr">
        <is>
          <t>v_kv_deckblatt</t>
        </is>
      </c>
      <c r="D13" s="1" t="n">
        <v>40</v>
      </c>
      <c r="E13" s="1">
        <f>IFERROR(HYPERLINK("[D Projekte.xlsx]D Projekte!A112","D Projekte"),"D Projekte")</f>
        <v/>
      </c>
      <c r="F13" s="1" t="inlineStr">
        <is>
          <t>A112:AC152</t>
        </is>
      </c>
      <c r="G13" s="1" t="inlineStr">
        <is>
          <t>data.js</t>
        </is>
      </c>
      <c r="H13" s="1" t="n"/>
      <c r="I13" s="1" t="n"/>
      <c r="J13" s="1" t="n"/>
      <c r="K13" s="1" t="n"/>
      <c r="L13" s="1" t="n"/>
      <c r="M13" s="1" t="n"/>
    </row>
    <row r="14">
      <c r="A14" s="1" t="n"/>
      <c r="B14" s="1" t="n"/>
      <c r="C14" s="1" t="inlineStr">
        <is>
          <t>v_risiko_netto</t>
        </is>
      </c>
      <c r="D14" s="1" t="n">
        <v>2265</v>
      </c>
      <c r="E14" s="1">
        <f>IFERROR(HYPERLINK("[D Risiken.xlsx]D Risiken!A7","D Risiken"),"D Risiken")</f>
        <v/>
      </c>
      <c r="F14" s="1" t="inlineStr">
        <is>
          <t>A7:M2272</t>
        </is>
      </c>
      <c r="G14" s="1" t="inlineStr">
        <is>
          <t>data.js</t>
        </is>
      </c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1" t="inlineStr">
        <is>
          <t>v_forecast_monat</t>
        </is>
      </c>
      <c r="D15" s="1" t="n">
        <v>56</v>
      </c>
      <c r="E15" s="1">
        <f>IFERROR(HYPERLINK("[D Finanzen.xlsx]D Finanzen!A120","D Finanzen"),"D Finanzen")</f>
        <v/>
      </c>
      <c r="F15" s="1" t="inlineStr">
        <is>
          <t>A120:O176</t>
        </is>
      </c>
      <c r="G15" s="1" t="inlineStr">
        <is>
          <t>data.js</t>
        </is>
      </c>
      <c r="H15" s="1" t="n"/>
      <c r="I15" s="1" t="n"/>
      <c r="J15" s="1" t="n"/>
      <c r="K15" s="1" t="n"/>
      <c r="L15" s="1" t="n"/>
      <c r="M15" s="1" t="n"/>
    </row>
    <row r="16">
      <c r="A16" s="1" t="n"/>
      <c r="B16" s="1" t="n"/>
      <c r="C16" s="1" t="inlineStr">
        <is>
          <t>v_plan_ist_monat</t>
        </is>
      </c>
      <c r="D16" s="1" t="n">
        <v>12</v>
      </c>
      <c r="E16" s="1">
        <f>IFERROR(HYPERLINK("[D Finanzen.xlsx]D Finanzen!A181","D Finanzen"),"D Finanzen")</f>
        <v/>
      </c>
      <c r="F16" s="1" t="inlineStr">
        <is>
          <t>A181:I193</t>
        </is>
      </c>
      <c r="G16" s="1" t="inlineStr">
        <is>
          <t>data.js</t>
        </is>
      </c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1" t="inlineStr">
        <is>
          <t>v_db_monat</t>
        </is>
      </c>
      <c r="D17" s="1" t="n">
        <v>9</v>
      </c>
      <c r="E17" s="1">
        <f>IFERROR(HYPERLINK("[D KLR.xlsx]D KLR!A7","D KLR"),"D KLR")</f>
        <v/>
      </c>
      <c r="F17" s="1" t="inlineStr">
        <is>
          <t>A7:S16</t>
        </is>
      </c>
      <c r="G17" s="1" t="inlineStr">
        <is>
          <t>data.js</t>
        </is>
      </c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1" t="inlineStr">
        <is>
          <t>v_periode_status</t>
        </is>
      </c>
      <c r="D18" s="1" t="n">
        <v>9</v>
      </c>
      <c r="E18" s="1">
        <f>IFERROR(HYPERLINK("[D Finanzen.xlsx]D Finanzen!A198","D Finanzen"),"D Finanzen")</f>
        <v/>
      </c>
      <c r="F18" s="1" t="inlineStr">
        <is>
          <t>A198:O207</t>
        </is>
      </c>
      <c r="G18" s="1" t="inlineStr">
        <is>
          <t>data.js</t>
        </is>
      </c>
      <c r="H18" s="1" t="n"/>
      <c r="I18" s="1" t="n"/>
      <c r="J18" s="1" t="n"/>
      <c r="K18" s="1" t="n"/>
      <c r="L18" s="1" t="n"/>
      <c r="M18" s="1" t="n"/>
    </row>
    <row r="19">
      <c r="A19" s="1" t="n"/>
      <c r="B19" s="1" t="n"/>
      <c r="C19" s="1" t="inlineStr">
        <is>
          <t>v_ebitda_region_monat</t>
        </is>
      </c>
      <c r="D19" s="1" t="n">
        <v>51</v>
      </c>
      <c r="E19" s="1">
        <f>IFERROR(HYPERLINK("[D Finanzen.xlsx]D Finanzen!A212","D Finanzen"),"D Finanzen")</f>
        <v/>
      </c>
      <c r="F19" s="1" t="inlineStr">
        <is>
          <t>A212:N263</t>
        </is>
      </c>
      <c r="G19" s="1" t="inlineStr">
        <is>
          <t>data.js</t>
        </is>
      </c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1" t="inlineStr">
        <is>
          <t>v_forecast_bruecke</t>
        </is>
      </c>
      <c r="D20" s="1" t="n">
        <v>4</v>
      </c>
      <c r="E20" s="1">
        <f>IFERROR(HYPERLINK("[D Finanzen.xlsx]D Finanzen!A268","D Finanzen"),"D Finanzen")</f>
        <v/>
      </c>
      <c r="F20" s="1" t="inlineStr">
        <is>
          <t>A268:D272</t>
        </is>
      </c>
      <c r="G20" s="1" t="inlineStr">
        <is>
          <t>data.js</t>
        </is>
      </c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inlineStr">
        <is>
          <t>v_liq_kategorie_woche</t>
        </is>
      </c>
      <c r="D21" s="1" t="n">
        <v>60</v>
      </c>
      <c r="E21" s="1">
        <f>IFERROR(HYPERLINK("[D Liquidität.xlsx]D Liquidität!A25","D Liquidität"),"D Liquidität")</f>
        <v/>
      </c>
      <c r="F21" s="1" t="inlineStr">
        <is>
          <t>A25:E85</t>
        </is>
      </c>
      <c r="G21" s="1" t="inlineStr">
        <is>
          <t>data.js</t>
        </is>
      </c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inlineStr">
        <is>
          <t>v_stunden_projekt</t>
        </is>
      </c>
      <c r="D22" s="1" t="n">
        <v>192</v>
      </c>
      <c r="E22" s="1">
        <f>IFERROR(HYPERLINK("[D Projekte.xlsx]D Projekte!A157","D Projekte"),"D Projekte")</f>
        <v/>
      </c>
      <c r="F22" s="1" t="inlineStr">
        <is>
          <t>A157:I349</t>
        </is>
      </c>
      <c r="G22" s="1" t="inlineStr">
        <is>
          <t>data.js</t>
        </is>
      </c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inlineStr">
        <is>
          <t>v_forecast_reihe</t>
        </is>
      </c>
      <c r="D23" s="1" t="n">
        <v>24</v>
      </c>
      <c r="E23" s="1">
        <f>IFERROR(HYPERLINK("[D Finanzen.xlsx]D Finanzen!A277","D Finanzen"),"D Finanzen")</f>
        <v/>
      </c>
      <c r="F23" s="1" t="inlineStr">
        <is>
          <t>A277:H301</t>
        </is>
      </c>
      <c r="G23" s="1" t="inlineStr">
        <is>
          <t>data.js</t>
        </is>
      </c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inlineStr">
        <is>
          <t>v_bestand_ohne_rechnung</t>
        </is>
      </c>
      <c r="D24" s="1" t="n">
        <v>27</v>
      </c>
      <c r="E24" s="1">
        <f>IFERROR(HYPERLINK("[D Projekte.xlsx]D Projekte!A354","D Projekte"),"D Projekte")</f>
        <v/>
      </c>
      <c r="F24" s="1" t="inlineStr">
        <is>
          <t>A354:N381</t>
        </is>
      </c>
      <c r="G24" s="1" t="inlineStr">
        <is>
          <t>data.js</t>
        </is>
      </c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inlineStr">
        <is>
          <t>v_geplante_zahlung</t>
        </is>
      </c>
      <c r="D25" s="1" t="n">
        <v>101</v>
      </c>
      <c r="E25" s="1">
        <f>IFERROR(HYPERLINK("[D Liquidität.xlsx]D Liquidität!A90","D Liquidität"),"D Liquidität")</f>
        <v/>
      </c>
      <c r="F25" s="1" t="inlineStr">
        <is>
          <t>A90:I191</t>
        </is>
      </c>
      <c r="G25" s="1" t="inlineStr">
        <is>
          <t>data.js</t>
        </is>
      </c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inlineStr">
        <is>
          <t>v_liq_tag</t>
        </is>
      </c>
      <c r="D26" s="1" t="n">
        <v>59</v>
      </c>
      <c r="E26" s="1">
        <f>IFERROR(HYPERLINK("[D Liquidität.xlsx]D Liquidität!A196","D Liquidität"),"D Liquidität")</f>
        <v/>
      </c>
      <c r="F26" s="1" t="inlineStr">
        <is>
          <t>A196:I255</t>
        </is>
      </c>
      <c r="G26" s="1" t="inlineStr">
        <is>
          <t>data.js</t>
        </is>
      </c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inlineStr">
        <is>
          <t>v_db_monat_region</t>
        </is>
      </c>
      <c r="D27" s="1" t="n">
        <v>47</v>
      </c>
      <c r="E27" s="1">
        <f>IFERROR(HYPERLINK("[D KLR.xlsx]D KLR!A21","D KLR"),"D KLR")</f>
        <v/>
      </c>
      <c r="F27" s="1" t="inlineStr">
        <is>
          <t>A21:U68</t>
        </is>
      </c>
      <c r="G27" s="1" t="inlineStr">
        <is>
          <t>data.js</t>
        </is>
      </c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inlineStr">
        <is>
          <t>v_stunden_jahr</t>
        </is>
      </c>
      <c r="D28" s="1" t="n">
        <v>1</v>
      </c>
      <c r="E28" s="1">
        <f>IFERROR(HYPERLINK("[D KLR.xlsx]D KLR!A73","D KLR"),"D KLR")</f>
        <v/>
      </c>
      <c r="F28" s="1" t="inlineStr">
        <is>
          <t>A73:K74</t>
        </is>
      </c>
      <c r="G28" s="1" t="inlineStr">
        <is>
          <t>data.js</t>
        </is>
      </c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inlineStr">
        <is>
          <t>v_bilanz</t>
        </is>
      </c>
      <c r="D29" s="1" t="n">
        <v>132</v>
      </c>
      <c r="E29" s="1">
        <f>IFERROR(HYPERLINK("[D Finanzen.xlsx]D Finanzen!A306","D Finanzen"),"D Finanzen")</f>
        <v/>
      </c>
      <c r="F29" s="1" t="inlineStr">
        <is>
          <t>A306:G438</t>
        </is>
      </c>
      <c r="G29" s="1" t="inlineStr">
        <is>
          <t>data.js</t>
        </is>
      </c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inlineStr">
        <is>
          <t>v_kostenart_monat</t>
        </is>
      </c>
      <c r="D30" s="1" t="n">
        <v>678</v>
      </c>
      <c r="E30" s="1">
        <f>IFERROR(HYPERLINK("[D KLR.xlsx]D KLR!A79","D KLR"),"D KLR")</f>
        <v/>
      </c>
      <c r="F30" s="1" t="inlineStr">
        <is>
          <t>A79:N757</t>
        </is>
      </c>
      <c r="G30" s="1" t="inlineStr">
        <is>
          <t>data.js</t>
        </is>
      </c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inlineStr">
        <is>
          <t>v_gemeinkosten_region</t>
        </is>
      </c>
      <c r="D31" s="1" t="n">
        <v>19</v>
      </c>
      <c r="E31" s="1">
        <f>IFERROR(HYPERLINK("[D KLR.xlsx]D KLR!A762","D KLR"),"D KLR")</f>
        <v/>
      </c>
      <c r="F31" s="1" t="inlineStr">
        <is>
          <t>A762:F781</t>
        </is>
      </c>
      <c r="G31" s="1" t="inlineStr">
        <is>
          <t>data.js</t>
        </is>
      </c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inlineStr">
        <is>
          <t>v_forecast_auftrag</t>
        </is>
      </c>
      <c r="D32" s="1" t="n">
        <v>174</v>
      </c>
      <c r="E32" s="1">
        <f>IFERROR(HYPERLINK("[D Finanzen.xlsx]D Finanzen!A443","D Finanzen"),"D Finanzen")</f>
        <v/>
      </c>
      <c r="F32" s="1" t="inlineStr">
        <is>
          <t>A443:P617</t>
        </is>
      </c>
      <c r="G32" s="1" t="inlineStr">
        <is>
          <t>data.js</t>
        </is>
      </c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inlineStr">
        <is>
          <t>v_innenauftrag</t>
        </is>
      </c>
      <c r="D33" s="1" t="n">
        <v>166</v>
      </c>
      <c r="E33" s="1">
        <f>IFERROR(HYPERLINK("[D KLR.xlsx]D KLR!A786","D KLR"),"D KLR")</f>
        <v/>
      </c>
      <c r="F33" s="1" t="inlineStr">
        <is>
          <t>A786:H952</t>
        </is>
      </c>
      <c r="G33" s="1" t="inlineStr">
        <is>
          <t>data.js</t>
        </is>
      </c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inlineStr">
        <is>
          <t>v_abstimmung</t>
        </is>
      </c>
      <c r="D34" s="1" t="n">
        <v>12</v>
      </c>
      <c r="E34" s="1">
        <f>IFERROR(HYPERLINK("[D KLR.xlsx]D KLR!A957","D KLR"),"D KLR")</f>
        <v/>
      </c>
      <c r="F34" s="1" t="inlineStr">
        <is>
          <t>A957:J969</t>
        </is>
      </c>
      <c r="G34" s="1" t="inlineStr">
        <is>
          <t>data.js</t>
        </is>
      </c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inlineStr">
        <is>
          <t>v_kalkulation</t>
        </is>
      </c>
      <c r="D35" s="1" t="n">
        <v>1</v>
      </c>
      <c r="E35" s="1">
        <f>IFERROR(HYPERLINK("[D Projekte.xlsx]D Projekte!A386","D Projekte"),"D Projekte")</f>
        <v/>
      </c>
      <c r="F35" s="1" t="inlineStr">
        <is>
          <t>A386:R387</t>
        </is>
      </c>
      <c r="G35" s="1" t="inlineStr">
        <is>
          <t>data.js</t>
        </is>
      </c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inlineStr">
        <is>
          <t>kalkulation_position</t>
        </is>
      </c>
      <c r="D36" s="1" t="n">
        <v>2</v>
      </c>
      <c r="E36" s="1">
        <f>IFERROR(HYPERLINK("[D Projekte.xlsx]D Projekte!A392","D Projekte"),"D Projekte")</f>
        <v/>
      </c>
      <c r="F36" s="1" t="inlineStr">
        <is>
          <t>A392:J394</t>
        </is>
      </c>
      <c r="G36" s="1" t="inlineStr">
        <is>
          <t>data.js</t>
        </is>
      </c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inlineStr">
        <is>
          <t>v_bestand_deckung</t>
        </is>
      </c>
      <c r="D37" s="1" t="n">
        <v>100</v>
      </c>
      <c r="E37" s="1">
        <f>IFERROR(HYPERLINK("[D Projekte.xlsx]D Projekte!A399","D Projekte"),"D Projekte")</f>
        <v/>
      </c>
      <c r="F37" s="1" t="inlineStr">
        <is>
          <t>A399:V499</t>
        </is>
      </c>
      <c r="G37" s="1" t="inlineStr">
        <is>
          <t>data.js</t>
        </is>
      </c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inlineStr">
        <is>
          <t>projekt_kennzahlen</t>
        </is>
      </c>
      <c r="D38" s="1" t="n">
        <v>151</v>
      </c>
      <c r="E38" s="1">
        <f>IFERROR(HYPERLINK("[D Projekte.xlsx]D Projekte!A504","D Projekte"),"D Projekte")</f>
        <v/>
      </c>
      <c r="F38" s="1" t="inlineStr">
        <is>
          <t>A504:Q655</t>
        </is>
      </c>
      <c r="G38" s="1" t="inlineStr">
        <is>
          <t>data.js</t>
        </is>
      </c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inlineStr">
        <is>
          <t>projekte</t>
        </is>
      </c>
      <c r="D39" s="1" t="n">
        <v>168</v>
      </c>
      <c r="E39" s="1">
        <f>IFERROR(HYPERLINK("[D Projekte.xlsx]D Projekte!A660","D Projekte"),"D Projekte")</f>
        <v/>
      </c>
      <c r="F39" s="1" t="inlineStr">
        <is>
          <t>A660:O828</t>
        </is>
      </c>
      <c r="G39" s="1" t="inlineStr">
        <is>
          <t>data.js</t>
        </is>
      </c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inlineStr">
        <is>
          <t>kv_dashboard</t>
        </is>
      </c>
      <c r="D40" s="1" t="n">
        <v>288</v>
      </c>
      <c r="E40" s="1">
        <f>IFERROR(HYPERLINK("[D Projekte.xlsx]D Projekte!A833","D Projekte"),"D Projekte")</f>
        <v/>
      </c>
      <c r="F40" s="1" t="inlineStr">
        <is>
          <t>A833:AA1121</t>
        </is>
      </c>
      <c r="G40" s="1" t="inlineStr">
        <is>
          <t>data.js</t>
        </is>
      </c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inlineStr">
        <is>
          <t>v_kv_sap</t>
        </is>
      </c>
      <c r="D41" s="1" t="n">
        <v>288</v>
      </c>
      <c r="E41" s="1">
        <f>IFERROR(HYPERLINK("[D Projekte.xlsx]D Projekte!A1126","D Projekte"),"D Projekte")</f>
        <v/>
      </c>
      <c r="F41" s="1" t="inlineStr">
        <is>
          <t>A1126:AC1414</t>
        </is>
      </c>
      <c r="G41" s="1" t="inlineStr">
        <is>
          <t>data.js</t>
        </is>
      </c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inlineStr">
        <is>
          <t>liq_parameter</t>
        </is>
      </c>
      <c r="D42" s="1" t="n">
        <v>16</v>
      </c>
      <c r="E42" s="1">
        <f>IFERROR(HYPERLINK("[D Liquidität.xlsx]D Liquidität!A260","D Liquidität"),"D Liquidität")</f>
        <v/>
      </c>
      <c r="F42" s="1" t="inlineStr">
        <is>
          <t>A260:E276</t>
        </is>
      </c>
      <c r="G42" s="1" t="inlineStr">
        <is>
          <t>data.js</t>
        </is>
      </c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inlineStr">
        <is>
          <t>v_kontenplan_abweichung</t>
        </is>
      </c>
      <c r="D43" s="1" t="n">
        <v>0</v>
      </c>
      <c r="E43" s="1">
        <f>IFERROR(HYPERLINK("[D Finanzen.xlsx]D Finanzen!A622","D Finanzen"),"D Finanzen")</f>
        <v/>
      </c>
      <c r="F43" s="1" t="inlineStr">
        <is>
          <t>A622:A623</t>
        </is>
      </c>
      <c r="G43" s="1" t="inlineStr">
        <is>
          <t>data.js</t>
        </is>
      </c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inlineStr">
        <is>
          <t>offener_posten</t>
        </is>
      </c>
      <c r="D44" s="1" t="n">
        <v>345</v>
      </c>
      <c r="E44" s="1">
        <f>IFERROR(HYPERLINK("[D Liquidität.xlsx]D Liquidität!A281","D Liquidität"),"D Liquidität")</f>
        <v/>
      </c>
      <c r="F44" s="1" t="inlineStr">
        <is>
          <t>A281:N626</t>
        </is>
      </c>
      <c r="G44" s="1" t="inlineStr">
        <is>
          <t>data.js</t>
        </is>
      </c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inlineStr">
        <is>
          <t>kostenarten</t>
        </is>
      </c>
      <c r="D45" s="1" t="n">
        <v>162</v>
      </c>
      <c r="E45" s="1">
        <f>IFERROR(HYPERLINK("[D KLR.xlsx]D KLR!A974","D KLR"),"D KLR")</f>
        <v/>
      </c>
      <c r="F45" s="1" t="inlineStr">
        <is>
          <t>A974:R1136</t>
        </is>
      </c>
      <c r="G45" s="1" t="inlineStr">
        <is>
          <t>data.js</t>
        </is>
      </c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inlineStr">
        <is>
          <t>sap_projekt_kostenart</t>
        </is>
      </c>
      <c r="D46" s="1" t="n">
        <v>3500</v>
      </c>
      <c r="E46" s="1">
        <f>IFERROR(HYPERLINK("[D Projekte.xlsx]D Projekte!A1419","D Projekte"),"D Projekte")</f>
        <v/>
      </c>
      <c r="F46" s="1" t="inlineStr">
        <is>
          <t>A1419:I4919</t>
        </is>
      </c>
      <c r="G46" s="1" t="inlineStr">
        <is>
          <t>data.js</t>
        </is>
      </c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inlineStr">
        <is>
          <t>liq_monat</t>
        </is>
      </c>
      <c r="D47" s="1" t="n">
        <v>24</v>
      </c>
      <c r="E47" s="1">
        <f>IFERROR(HYPERLINK("[D Liquidität.xlsx]D Liquidität!A631","D Liquidität"),"D Liquidität")</f>
        <v/>
      </c>
      <c r="F47" s="1" t="inlineStr">
        <is>
          <t>A631:I655</t>
        </is>
      </c>
      <c r="G47" s="1" t="inlineStr">
        <is>
          <t>data.js</t>
        </is>
      </c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inlineStr">
        <is>
          <t>liq_bestand</t>
        </is>
      </c>
      <c r="D48" s="1" t="n">
        <v>8</v>
      </c>
      <c r="E48" s="1">
        <f>IFERROR(HYPERLINK("[D Liquidität.xlsx]D Liquidität!A660","D Liquidität"),"D Liquidität")</f>
        <v/>
      </c>
      <c r="F48" s="1" t="inlineStr">
        <is>
          <t>A660:D668</t>
        </is>
      </c>
      <c r="G48" s="1" t="inlineStr">
        <is>
          <t>data.js</t>
        </is>
      </c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inlineStr">
        <is>
          <t>liq_finanzierung</t>
        </is>
      </c>
      <c r="D49" s="1" t="n">
        <v>3</v>
      </c>
      <c r="E49" s="1">
        <f>IFERROR(HYPERLINK("[D Liquidität.xlsx]D Liquidität!A673","D Liquidität"),"D Liquidität")</f>
        <v/>
      </c>
      <c r="F49" s="1" t="inlineStr">
        <is>
          <t>A673:E676</t>
        </is>
      </c>
      <c r="G49" s="1" t="inlineStr">
        <is>
          <t>data.js</t>
        </is>
      </c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inlineStr">
        <is>
          <t>v_liq_tag_monat</t>
        </is>
      </c>
      <c r="D50" s="1" t="n">
        <v>4</v>
      </c>
      <c r="E50" s="1">
        <f>IFERROR(HYPERLINK("[D Liquidität.xlsx]D Liquidität!A681","D Liquidität"),"D Liquidität")</f>
        <v/>
      </c>
      <c r="F50" s="1" t="inlineStr">
        <is>
          <t>A681:K685</t>
        </is>
      </c>
      <c r="G50" s="1" t="inlineStr">
        <is>
          <t>data.js</t>
        </is>
      </c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inlineStr">
        <is>
          <t>stunden_monat</t>
        </is>
      </c>
      <c r="D51" s="1" t="n">
        <v>5</v>
      </c>
      <c r="E51" s="1">
        <f>IFERROR(HYPERLINK("[D KLR.xlsx]D KLR!A1141","D KLR"),"D KLR")</f>
        <v/>
      </c>
      <c r="F51" s="1" t="inlineStr">
        <is>
          <t>A1141:M1146</t>
        </is>
      </c>
      <c r="G51" s="1" t="inlineStr">
        <is>
          <t>data.js</t>
        </is>
      </c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inlineStr">
        <is>
          <t>sap_bilanz_072026</t>
        </is>
      </c>
      <c r="D52" s="1" t="n">
        <v>169</v>
      </c>
      <c r="E52" s="1">
        <f>IFERROR(HYPERLINK("[D Finanzen.xlsx]D Finanzen!A628","D Finanzen"),"D Finanzen")</f>
        <v/>
      </c>
      <c r="F52" s="1" t="inlineStr">
        <is>
          <t>A628:H797</t>
        </is>
      </c>
      <c r="G52" s="1" t="inlineStr">
        <is>
          <t>data.js</t>
        </is>
      </c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inlineStr">
        <is>
          <t>sap_guv_072026</t>
        </is>
      </c>
      <c r="D53" s="1" t="n">
        <v>250</v>
      </c>
      <c r="E53" s="1">
        <f>IFERROR(HYPERLINK("[D Finanzen.xlsx]D Finanzen!A802","D Finanzen"),"D Finanzen")</f>
        <v/>
      </c>
      <c r="F53" s="1" t="inlineStr">
        <is>
          <t>A802:H1052</t>
        </is>
      </c>
      <c r="G53" s="1" t="inlineStr">
        <is>
          <t>data.js</t>
        </is>
      </c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inlineStr">
        <is>
          <t>v_monat_ampel</t>
        </is>
      </c>
      <c r="D54" s="1" t="n">
        <v>9</v>
      </c>
      <c r="E54" s="1">
        <f>IFERROR(HYPERLINK("[D Finanzen.xlsx]D Finanzen!A1057","D Finanzen"),"D Finanzen")</f>
        <v/>
      </c>
      <c r="F54" s="1" t="inlineStr">
        <is>
          <t>A1057:U1066</t>
        </is>
      </c>
      <c r="G54" s="1" t="inlineStr">
        <is>
          <t>data.js</t>
        </is>
      </c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inlineStr">
        <is>
          <t>v_guv_abgleich_sap</t>
        </is>
      </c>
      <c r="D55" s="1" t="n">
        <v>64</v>
      </c>
      <c r="E55" s="1">
        <f>IFERROR(HYPERLINK("[D Finanzen.xlsx]D Finanzen!A1071","D Finanzen"),"D Finanzen")</f>
        <v/>
      </c>
      <c r="F55" s="1" t="inlineStr">
        <is>
          <t>A1071:J1135</t>
        </is>
      </c>
      <c r="G55" s="1" t="inlineStr">
        <is>
          <t>data.js</t>
        </is>
      </c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inlineStr">
        <is>
          <t>v_abweichung_monat</t>
        </is>
      </c>
      <c r="D56" s="1" t="n">
        <v>12</v>
      </c>
      <c r="E56" s="1">
        <f>IFERROR(HYPERLINK("[D Finanzen.xlsx]D Finanzen!A1140","D Finanzen"),"D Finanzen")</f>
        <v/>
      </c>
      <c r="F56" s="1" t="inlineStr">
        <is>
          <t>A1140:Q1152</t>
        </is>
      </c>
      <c r="G56" s="1" t="inlineStr">
        <is>
          <t>data.js</t>
        </is>
      </c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inlineStr">
        <is>
          <t>v_plan_position_monat</t>
        </is>
      </c>
      <c r="D57" s="1" t="n">
        <v>2400</v>
      </c>
      <c r="E57" s="1">
        <f>IFERROR(HYPERLINK("[D Finanzen.xlsx]D Finanzen!A1157","D Finanzen"),"D Finanzen")</f>
        <v/>
      </c>
      <c r="F57" s="1" t="inlineStr">
        <is>
          <t>A1157:F3557</t>
        </is>
      </c>
      <c r="G57" s="1" t="inlineStr">
        <is>
          <t>data.js</t>
        </is>
      </c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inlineStr">
        <is>
          <t>v_guv_quelle</t>
        </is>
      </c>
      <c r="D58" s="1" t="n">
        <v>9</v>
      </c>
      <c r="E58" s="1">
        <f>IFERROR(HYPERLINK("[D Finanzen.xlsx]D Finanzen!A3562","D Finanzen"),"D Finanzen")</f>
        <v/>
      </c>
      <c r="F58" s="1" t="inlineStr">
        <is>
          <t>A3562:G3571</t>
        </is>
      </c>
      <c r="G58" s="1" t="inlineStr">
        <is>
          <t>data.js</t>
        </is>
      </c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inlineStr">
        <is>
          <t>ref_ebitda_bereinigt</t>
        </is>
      </c>
      <c r="D59" s="1" t="n">
        <v>15</v>
      </c>
      <c r="E59" s="1">
        <f>IFERROR(HYPERLINK("[Referenzen.xlsx]Referenzen!A7","Referenzen"),"Referenzen")</f>
        <v/>
      </c>
      <c r="F59" s="1" t="inlineStr">
        <is>
          <t>A7:O22</t>
        </is>
      </c>
      <c r="G59" s="1" t="inlineStr">
        <is>
          <t>ref.js</t>
        </is>
      </c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inlineStr">
        <is>
          <t>ref_bewertung</t>
        </is>
      </c>
      <c r="D60" s="1" t="n">
        <v>8</v>
      </c>
      <c r="E60" s="1">
        <f>IFERROR(HYPERLINK("[Referenzen.xlsx]Referenzen!A27","Referenzen"),"Referenzen")</f>
        <v/>
      </c>
      <c r="F60" s="1" t="inlineStr">
        <is>
          <t>A27:G35</t>
        </is>
      </c>
      <c r="G60" s="1" t="inlineStr">
        <is>
          <t>ref.js</t>
        </is>
      </c>
      <c r="H60" s="1" t="n"/>
      <c r="I60" s="1" t="n"/>
      <c r="J60" s="1" t="n"/>
      <c r="K60" s="1" t="n"/>
      <c r="L60" s="1" t="n"/>
      <c r="M60" s="1" t="n"/>
    </row>
    <row r="61">
      <c r="C61" t="inlineStr">
        <is>
          <t>ref_kostenstruktur</t>
        </is>
      </c>
      <c r="D61" t="n">
        <v>4</v>
      </c>
      <c r="E61">
        <f>IFERROR(HYPERLINK("[Referenzen.xlsx]Referenzen!A40","Referenzen"),"Referenzen")</f>
        <v/>
      </c>
      <c r="F61" t="inlineStr">
        <is>
          <t>A40:B44</t>
        </is>
      </c>
      <c r="G61" t="inlineStr">
        <is>
          <t>ref.js</t>
        </is>
      </c>
    </row>
    <row r="62">
      <c r="C62" t="inlineStr">
        <is>
          <t>ref_personal</t>
        </is>
      </c>
      <c r="D62" t="n">
        <v>6</v>
      </c>
      <c r="E62">
        <f>IFERROR(HYPERLINK("[Referenzen.xlsx]Referenzen!A49","Referenzen"),"Referenzen")</f>
        <v/>
      </c>
      <c r="F62" t="inlineStr">
        <is>
          <t>A49:E55</t>
        </is>
      </c>
      <c r="G62" t="inlineStr">
        <is>
          <t>ref.js</t>
        </is>
      </c>
    </row>
    <row r="63">
      <c r="C63" t="inlineStr">
        <is>
          <t>ref_cashpool</t>
        </is>
      </c>
      <c r="D63" t="n">
        <v>6</v>
      </c>
      <c r="E63">
        <f>IFERROR(HYPERLINK("[Referenzen.xlsx]Referenzen!A60","Referenzen"),"Referenzen")</f>
        <v/>
      </c>
      <c r="F63" t="inlineStr">
        <is>
          <t>A60:C66</t>
        </is>
      </c>
      <c r="G63" t="inlineStr">
        <is>
          <t>ref.js</t>
        </is>
      </c>
    </row>
    <row r="64">
      <c r="C64" t="inlineStr">
        <is>
          <t>ref_sales_angebote_ae</t>
        </is>
      </c>
      <c r="D64" t="n">
        <v>6</v>
      </c>
      <c r="E64">
        <f>IFERROR(HYPERLINK("[Referenzen.xlsx]Referenzen!A71","Referenzen"),"Referenzen")</f>
        <v/>
      </c>
      <c r="F64" t="inlineStr">
        <is>
          <t>A71:C77</t>
        </is>
      </c>
      <c r="G64" t="inlineStr">
        <is>
          <t>ref.js</t>
        </is>
      </c>
    </row>
    <row r="65">
      <c r="C65" t="inlineStr">
        <is>
          <t>ref_sales_angebote_vj</t>
        </is>
      </c>
      <c r="D65" t="n">
        <v>6</v>
      </c>
      <c r="E65">
        <f>IFERROR(HYPERLINK("[Referenzen.xlsx]Referenzen!A82","Referenzen"),"Referenzen")</f>
        <v/>
      </c>
      <c r="F65" t="inlineStr">
        <is>
          <t>A82:C88</t>
        </is>
      </c>
      <c r="G65" t="inlineStr">
        <is>
          <t>ref.js</t>
        </is>
      </c>
    </row>
    <row r="66">
      <c r="C66" t="inlineStr">
        <is>
          <t>ref_sales_ae_kum</t>
        </is>
      </c>
      <c r="D66" t="n">
        <v>6</v>
      </c>
      <c r="E66">
        <f>IFERROR(HYPERLINK("[Referenzen.xlsx]Referenzen!A93","Referenzen"),"Referenzen")</f>
        <v/>
      </c>
      <c r="F66" t="inlineStr">
        <is>
          <t>A93:C99</t>
        </is>
      </c>
      <c r="G66" t="inlineStr">
        <is>
          <t>ref.js</t>
        </is>
      </c>
    </row>
    <row r="67">
      <c r="C67" t="inlineStr">
        <is>
          <t>ref_sales_status</t>
        </is>
      </c>
      <c r="D67" t="n">
        <v>4</v>
      </c>
      <c r="E67">
        <f>IFERROR(HYPERLINK("[Referenzen.xlsx]Referenzen!A104","Referenzen"),"Referenzen")</f>
        <v/>
      </c>
      <c r="F67" t="inlineStr">
        <is>
          <t>A104:E108</t>
        </is>
      </c>
      <c r="G67" t="inlineStr">
        <is>
          <t>ref.js</t>
        </is>
      </c>
    </row>
    <row r="68">
      <c r="C68" t="inlineStr">
        <is>
          <t>ref_sales_pipeline</t>
        </is>
      </c>
      <c r="D68" t="n">
        <v>5</v>
      </c>
      <c r="E68">
        <f>IFERROR(HYPERLINK("[Referenzen.xlsx]Referenzen!A113","Referenzen"),"Referenzen")</f>
        <v/>
      </c>
      <c r="F68" t="inlineStr">
        <is>
          <t>A113:B118</t>
        </is>
      </c>
      <c r="G68" t="inlineStr">
        <is>
          <t>ref.js</t>
        </is>
      </c>
    </row>
    <row r="69">
      <c r="C69" t="inlineStr">
        <is>
          <t>ref_fremd_kategorien</t>
        </is>
      </c>
      <c r="D69" t="n">
        <v>10</v>
      </c>
      <c r="E69">
        <f>IFERROR(HYPERLINK("[Referenzen.xlsx]Referenzen!A123","Referenzen"),"Referenzen")</f>
        <v/>
      </c>
      <c r="F69" t="inlineStr">
        <is>
          <t>A123:E133</t>
        </is>
      </c>
      <c r="G69" t="inlineStr">
        <is>
          <t>ref.js</t>
        </is>
      </c>
    </row>
    <row r="70">
      <c r="C70" t="inlineStr">
        <is>
          <t>ref_fremd_zielkonten</t>
        </is>
      </c>
      <c r="D70" t="n">
        <v>10</v>
      </c>
      <c r="E70">
        <f>IFERROR(HYPERLINK("[Referenzen.xlsx]Referenzen!A138","Referenzen"),"Referenzen")</f>
        <v/>
      </c>
      <c r="F70" t="inlineStr">
        <is>
          <t>A138:D148</t>
        </is>
      </c>
      <c r="G70" t="inlineStr">
        <is>
          <t>ref.js</t>
        </is>
      </c>
    </row>
    <row r="71">
      <c r="C71" t="inlineStr">
        <is>
          <t>ref_vorleistungsquote</t>
        </is>
      </c>
      <c r="D71" t="n">
        <v>5</v>
      </c>
      <c r="E71">
        <f>IFERROR(HYPERLINK("[Referenzen.xlsx]Referenzen!A153","Referenzen"),"Referenzen")</f>
        <v/>
      </c>
      <c r="F71" t="inlineStr">
        <is>
          <t>A153:B158</t>
        </is>
      </c>
      <c r="G71" t="inlineStr">
        <is>
          <t>ref.js</t>
        </is>
      </c>
    </row>
    <row r="72">
      <c r="C72" t="inlineStr">
        <is>
          <t>ref_werkvertrag</t>
        </is>
      </c>
      <c r="D72" t="n">
        <v>7</v>
      </c>
      <c r="E72">
        <f>IFERROR(HYPERLINK("[Referenzen.xlsx]Referenzen!A163","Referenzen"),"Referenzen")</f>
        <v/>
      </c>
      <c r="F72" t="inlineStr">
        <is>
          <t>A163:B170</t>
        </is>
      </c>
      <c r="G72" t="inlineStr">
        <is>
          <t>ref.js</t>
        </is>
      </c>
    </row>
    <row r="73">
      <c r="C73" t="inlineStr">
        <is>
          <t>ref_mjp</t>
        </is>
      </c>
      <c r="D73" t="n">
        <v>40</v>
      </c>
      <c r="E73">
        <f>IFERROR(HYPERLINK("[Referenzen.xlsx]Referenzen!A175","Referenzen"),"Referenzen")</f>
        <v/>
      </c>
      <c r="F73" t="inlineStr">
        <is>
          <t>A175:G215</t>
        </is>
      </c>
      <c r="G73" t="inlineStr">
        <is>
          <t>ref.js</t>
        </is>
      </c>
    </row>
    <row r="74">
      <c r="C74" t="inlineStr">
        <is>
          <t>ref_ueberleitung</t>
        </is>
      </c>
      <c r="D74" t="n">
        <v>4</v>
      </c>
      <c r="E74">
        <f>IFERROR(HYPERLINK("[Referenzen.xlsx]Referenzen!A220","Referenzen"),"Referenzen")</f>
        <v/>
      </c>
      <c r="F74" t="inlineStr">
        <is>
          <t>A220:G224</t>
        </is>
      </c>
      <c r="G74" t="inlineStr">
        <is>
          <t>ref.js</t>
        </is>
      </c>
    </row>
    <row r="75">
      <c r="C75" t="inlineStr">
        <is>
          <t>ref_golden</t>
        </is>
      </c>
      <c r="D75" t="n">
        <v>10</v>
      </c>
      <c r="E75">
        <f>IFERROR(HYPERLINK("[Referenzen.xlsx]Referenzen!A229","Referenzen"),"Referenzen")</f>
        <v/>
      </c>
      <c r="F75" t="inlineStr">
        <is>
          <t>A229:F239</t>
        </is>
      </c>
      <c r="G75" t="inlineStr">
        <is>
          <t>ref.js</t>
        </is>
      </c>
    </row>
    <row r="76">
      <c r="C76" t="inlineStr">
        <is>
          <t>ref_golden2</t>
        </is>
      </c>
      <c r="D76" t="n">
        <v>11</v>
      </c>
      <c r="E76">
        <f>IFERROR(HYPERLINK("[Referenzen.xlsx]Referenzen!A244","Referenzen"),"Referenzen")</f>
        <v/>
      </c>
      <c r="F76" t="inlineStr">
        <is>
          <t>A244:D255</t>
        </is>
      </c>
      <c r="G76" t="inlineStr">
        <is>
          <t>ref.js</t>
        </is>
      </c>
    </row>
    <row r="77">
      <c r="C77" t="inlineStr">
        <is>
          <t>ref_pruefmatrix</t>
        </is>
      </c>
      <c r="D77" t="n">
        <v>10</v>
      </c>
      <c r="E77">
        <f>IFERROR(HYPERLINK("[Referenzen.xlsx]Referenzen!A260","Referenzen"),"Referenzen")</f>
        <v/>
      </c>
      <c r="F77" t="inlineStr">
        <is>
          <t>A260:I270</t>
        </is>
      </c>
      <c r="G77" t="inlineStr">
        <is>
          <t>ref.js</t>
        </is>
      </c>
    </row>
    <row r="78">
      <c r="C78" t="inlineStr">
        <is>
          <t>ref_pruefregeln</t>
        </is>
      </c>
      <c r="D78" t="n">
        <v>8</v>
      </c>
      <c r="E78">
        <f>IFERROR(HYPERLINK("[Referenzen.xlsx]Referenzen!A275","Referenzen"),"Referenzen")</f>
        <v/>
      </c>
      <c r="F78" t="inlineStr">
        <is>
          <t>A275:C283</t>
        </is>
      </c>
      <c r="G78" t="inlineStr">
        <is>
          <t>ref.js</t>
        </is>
      </c>
    </row>
    <row r="79">
      <c r="C79" t="inlineStr">
        <is>
          <t>ref_offene_punkte</t>
        </is>
      </c>
      <c r="D79" t="n">
        <v>7</v>
      </c>
      <c r="E79">
        <f>IFERROR(HYPERLINK("[Referenzen.xlsx]Referenzen!A288","Referenzen"),"Referenzen")</f>
        <v/>
      </c>
      <c r="F79" t="inlineStr">
        <is>
          <t>A288:E295</t>
        </is>
      </c>
      <c r="G79" t="inlineStr">
        <is>
          <t>ref.js</t>
        </is>
      </c>
    </row>
    <row r="80">
      <c r="C80" t="inlineStr">
        <is>
          <t>ref_src_guv2026_berechnung</t>
        </is>
      </c>
      <c r="D80" t="n">
        <v>11</v>
      </c>
      <c r="E80">
        <f>IFERROR(HYPERLINK("[Referenzen.xlsx]Referenzen!A300","Referenzen"),"Referenzen")</f>
        <v/>
      </c>
      <c r="F80" t="inlineStr">
        <is>
          <t>A300:O311</t>
        </is>
      </c>
      <c r="G80" t="inlineStr">
        <is>
          <t>ref.js</t>
        </is>
      </c>
    </row>
    <row r="81">
      <c r="C81" t="inlineStr">
        <is>
          <t>ref_formelregister</t>
        </is>
      </c>
      <c r="D81" t="n">
        <v>14</v>
      </c>
      <c r="E81">
        <f>IFERROR(HYPERLINK("[Referenzen.xlsx]Referenzen!A316","Referenzen"),"Referenzen")</f>
        <v/>
      </c>
      <c r="F81" t="inlineStr">
        <is>
          <t>A316:F330</t>
        </is>
      </c>
      <c r="G81" t="inlineStr">
        <is>
          <t>ref.js</t>
        </is>
      </c>
    </row>
    <row r="82">
      <c r="C82" t="inlineStr">
        <is>
          <t>ref_traceability</t>
        </is>
      </c>
      <c r="D82" t="n">
        <v>11</v>
      </c>
      <c r="E82">
        <f>IFERROR(HYPERLINK("[Referenzen.xlsx]Referenzen!A335","Referenzen"),"Referenzen")</f>
        <v/>
      </c>
      <c r="F82" t="inlineStr">
        <is>
          <t>A335:F346</t>
        </is>
      </c>
      <c r="G82" t="inlineStr">
        <is>
          <t>ref.js</t>
        </is>
      </c>
    </row>
    <row r="83">
      <c r="C83" t="inlineStr">
        <is>
          <t>ref_impact</t>
        </is>
      </c>
      <c r="D83" t="n">
        <v>8</v>
      </c>
      <c r="E83">
        <f>IFERROR(HYPERLINK("[Referenzen.xlsx]Referenzen!A351","Referenzen"),"Referenzen")</f>
        <v/>
      </c>
      <c r="F83" t="inlineStr">
        <is>
          <t>A351:F359</t>
        </is>
      </c>
      <c r="G83" t="inlineStr">
        <is>
          <t>ref.js</t>
        </is>
      </c>
    </row>
    <row r="84">
      <c r="C84" t="inlineStr">
        <is>
          <t>ref_ma_gruppen</t>
        </is>
      </c>
      <c r="D84" t="n">
        <v>12</v>
      </c>
      <c r="E84">
        <f>IFERROR(HYPERLINK("[Referenzen.xlsx]Referenzen!A364","Referenzen"),"Referenzen")</f>
        <v/>
      </c>
      <c r="F84" t="inlineStr">
        <is>
          <t>A364:E376</t>
        </is>
      </c>
      <c r="G84" t="inlineStr">
        <is>
          <t>ref.js</t>
        </is>
      </c>
    </row>
    <row r="85">
      <c r="C85" t="inlineStr">
        <is>
          <t>ref_stundensatz_param</t>
        </is>
      </c>
      <c r="D85" t="n">
        <v>17</v>
      </c>
      <c r="E85">
        <f>IFERROR(HYPERLINK("[Referenzen.xlsx]Referenzen!A381","Referenzen"),"Referenzen")</f>
        <v/>
      </c>
      <c r="F85" t="inlineStr">
        <is>
          <t>A381:B398</t>
        </is>
      </c>
      <c r="G85" t="inlineStr">
        <is>
          <t>ref.js</t>
        </is>
      </c>
    </row>
    <row r="88">
      <c r="C88" t="inlineStr">
        <is>
          <t>SharePoint-Verknüpfungen (Dateien im selben Ordner)</t>
        </is>
      </c>
    </row>
    <row r="89">
      <c r="C89" t="inlineStr">
        <is>
          <t>Diese Datei</t>
        </is>
      </c>
      <c r="D89" t="inlineStr">
        <is>
          <t>Daten.xlsx</t>
        </is>
      </c>
    </row>
    <row r="90">
      <c r="C90" t="inlineStr">
        <is>
          <t>Liest aus</t>
        </is>
      </c>
      <c r="D90" t="inlineStr">
        <is>
          <t>D Finanzen.xlsx</t>
        </is>
      </c>
      <c r="E90" t="inlineStr">
        <is>
          <t>D Finanzen</t>
        </is>
      </c>
    </row>
    <row r="91">
      <c r="C91" t="inlineStr">
        <is>
          <t>Liest aus</t>
        </is>
      </c>
      <c r="D91" t="inlineStr">
        <is>
          <t>D KLR.xlsx</t>
        </is>
      </c>
      <c r="E91" t="inlineStr">
        <is>
          <t>D KLR</t>
        </is>
      </c>
    </row>
    <row r="92">
      <c r="C92" t="inlineStr">
        <is>
          <t>Liest aus</t>
        </is>
      </c>
      <c r="D92" t="inlineStr">
        <is>
          <t>D Liquidität.xlsx</t>
        </is>
      </c>
      <c r="E92" t="inlineStr">
        <is>
          <t>D Liquidität</t>
        </is>
      </c>
    </row>
    <row r="93">
      <c r="C93" t="inlineStr">
        <is>
          <t>Liest aus</t>
        </is>
      </c>
      <c r="D93" t="inlineStr">
        <is>
          <t>D Projekte.xlsx</t>
        </is>
      </c>
      <c r="E93" t="inlineStr">
        <is>
          <t>D Projekte</t>
        </is>
      </c>
    </row>
    <row r="94">
      <c r="C94" t="inlineStr">
        <is>
          <t>Liest aus</t>
        </is>
      </c>
      <c r="D94" t="inlineStr">
        <is>
          <t>D Risiken.xlsx</t>
        </is>
      </c>
      <c r="E94" t="inlineStr">
        <is>
          <t>D Risiken</t>
        </is>
      </c>
    </row>
    <row r="95">
      <c r="C95" t="inlineStr">
        <is>
          <t>Liest aus</t>
        </is>
      </c>
      <c r="D95" t="inlineStr">
        <is>
          <t>Referenzen.xlsx</t>
        </is>
      </c>
      <c r="E95" t="inlineStr">
        <is>
          <t>Referenzen</t>
        </is>
      </c>
    </row>
  </sheetData>
  <mergeCells count="2">
    <mergeCell ref="C2:M2"/>
    <mergeCell ref="C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2026-10-12T08:22:13Z</dcterms:created>
  <dcterms:modified xsi:type="dcterms:W3CDTF">2026-10-12T08:22:13Z</dcterms:modified>
</cp:coreProperties>
</file>