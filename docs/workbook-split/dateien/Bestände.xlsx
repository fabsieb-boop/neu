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stän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0.0%;[Red]\(0.0%\);&quot;–&quot;"/>
  </numFmts>
  <fonts count="6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E293B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84" displayName="TVF_84" ref="C6:P106" headerRowCount="1">
  <tableColumns count="14">
    <tableColumn id="1" name="Auftrag"/>
    <tableColumn id="2" name="Projektname"/>
    <tableColumn id="3" name="Region"/>
    <tableColumn id="4" name="Kosten"/>
    <tableColumn id="5" name="Erlöse"/>
    <tableColumn id="6" name="Bestand"/>
    <tableColumn id="7" name="Deckungslücke"/>
    <tableColumn id="8" name="Deckung %"/>
    <tableColumn id="9" name="Rechnungen"/>
    <tableColumn id="10" name="Letzte Rechnung"/>
    <tableColumn id="11" name="Bezugstag"/>
    <tableColumn id="12" name="Tage ohne Rechnung"/>
    <tableColumn id="13" name="Befund"/>
    <tableColumn id="14" name="Uml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44" customWidth="1" min="4" max="4"/>
    <col width="15" customWidth="1" min="5" max="5"/>
    <col width="23" customWidth="1" min="8" max="8"/>
    <col width="15" customWidth="1" min="9" max="9"/>
    <col width="30" customWidth="1" min="15" max="15"/>
    <col width="15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0" customHeight="1">
      <c r="A2" s="1" t="n"/>
      <c r="B2" s="1" t="n"/>
      <c r="C2" s="2" t="inlineStr">
        <is>
          <t>Bestände, Deckung und Rechnungsalter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32" customHeight="1">
      <c r="A3" s="1" t="n"/>
      <c r="B3" s="1" t="n"/>
      <c r="C3" s="4" t="inlineStr">
        <is>
          <t>Bestandslogik nach exportierter Projektdeckung. Historische Datenstände werden nicht mit dem heutigen Datum fortgeschrieben.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36" customHeight="1">
      <c r="A6" s="1" t="n"/>
      <c r="B6" s="1" t="n"/>
      <c r="C6" s="5" t="inlineStr">
        <is>
          <t>Auftrag</t>
        </is>
      </c>
      <c r="D6" s="5" t="inlineStr">
        <is>
          <t>Projektname</t>
        </is>
      </c>
      <c r="E6" s="5" t="inlineStr">
        <is>
          <t>Region</t>
        </is>
      </c>
      <c r="F6" s="5" t="inlineStr">
        <is>
          <t>Kosten</t>
        </is>
      </c>
      <c r="G6" s="5" t="inlineStr">
        <is>
          <t>Erlöse</t>
        </is>
      </c>
      <c r="H6" s="5" t="inlineStr">
        <is>
          <t>Aktivierte Bestandsänderung</t>
        </is>
      </c>
      <c r="I6" s="5" t="inlineStr">
        <is>
          <t>Deckungslücke</t>
        </is>
      </c>
      <c r="J6" s="5" t="inlineStr">
        <is>
          <t>Deckung %</t>
        </is>
      </c>
      <c r="K6" s="5" t="inlineStr">
        <is>
          <t>Rechnungen</t>
        </is>
      </c>
      <c r="L6" s="5" t="inlineStr">
        <is>
          <t>Letzte Rechnung</t>
        </is>
      </c>
      <c r="M6" s="5" t="inlineStr">
        <is>
          <t>Bezugstag</t>
        </is>
      </c>
      <c r="N6" s="5" t="inlineStr">
        <is>
          <t>Tage ohne Rechnung</t>
        </is>
      </c>
      <c r="O6" s="5" t="inlineStr">
        <is>
          <t>Befund</t>
        </is>
      </c>
      <c r="P6" s="5" t="inlineStr">
        <is>
          <t>Umlage</t>
        </is>
      </c>
      <c r="Q6" s="1" t="n"/>
    </row>
    <row r="7" ht="21" customHeight="1">
      <c r="A7" s="1" t="n"/>
      <c r="B7" s="1" t="n"/>
      <c r="C7" s="1" t="inlineStr">
        <is>
          <t>P4102608246</t>
        </is>
      </c>
      <c r="D7" s="1" t="inlineStr">
        <is>
          <t>RB Kohlebunker/Brücke Lübbenau</t>
        </is>
      </c>
      <c r="E7" s="1" t="inlineStr">
        <is>
          <t>Ost</t>
        </is>
      </c>
      <c r="F7" s="6" t="n">
        <v>421915.76</v>
      </c>
      <c r="G7" s="6" t="n">
        <v>71914.57000000001</v>
      </c>
      <c r="H7" s="6" t="n">
        <v>760453.65</v>
      </c>
      <c r="I7" s="6">
        <f>F7-G7-H7</f>
        <v/>
      </c>
      <c r="J7" s="7">
        <f>IF(F7=0,"n.a.",(G7+H7)/F7)</f>
        <v/>
      </c>
      <c r="K7" s="1" t="n">
        <v>51</v>
      </c>
      <c r="L7" s="1" t="inlineStr">
        <is>
          <t>2026-07-31</t>
        </is>
      </c>
      <c r="M7" s="1" t="inlineStr">
        <is>
          <t>2026-09-30</t>
        </is>
      </c>
      <c r="N7" s="1" t="n">
        <v>61</v>
      </c>
      <c r="O7" s="1" t="inlineStr">
        <is>
          <t>UEBERAKTIVIERT</t>
        </is>
      </c>
      <c r="P7" s="6" t="n">
        <v>10081.71</v>
      </c>
      <c r="Q7" s="1" t="n"/>
    </row>
    <row r="8" ht="21" customHeight="1">
      <c r="A8" s="1" t="n"/>
      <c r="B8" s="1" t="n"/>
      <c r="C8" s="1" t="inlineStr">
        <is>
          <t>P4102309045</t>
        </is>
      </c>
      <c r="D8" s="1" t="inlineStr">
        <is>
          <t>BASF Sonstige Kleinmaßnahmen</t>
        </is>
      </c>
      <c r="E8" s="1" t="inlineStr">
        <is>
          <t>Süd-West</t>
        </is>
      </c>
      <c r="F8" s="6" t="n">
        <v>121118.05</v>
      </c>
      <c r="G8" s="6" t="n">
        <v>131609.09</v>
      </c>
      <c r="H8" s="6" t="n">
        <v>0</v>
      </c>
      <c r="I8" s="6">
        <f>F8-G8-H8</f>
        <v/>
      </c>
      <c r="J8" s="7">
        <f>IF(F8=0,"n.a.",(G8+H8)/F8)</f>
        <v/>
      </c>
      <c r="K8" s="1" t="n">
        <v>24</v>
      </c>
      <c r="L8" s="1" t="inlineStr">
        <is>
          <t>2026-07-31</t>
        </is>
      </c>
      <c r="M8" s="1" t="inlineStr">
        <is>
          <t>2026-09-30</t>
        </is>
      </c>
      <c r="N8" s="1" t="n">
        <v>61</v>
      </c>
      <c r="O8" s="1" t="inlineStr">
        <is>
          <t>OK</t>
        </is>
      </c>
      <c r="P8" s="6" t="n">
        <v>3415.27</v>
      </c>
      <c r="Q8" s="1" t="n"/>
    </row>
    <row r="9" ht="21" customHeight="1">
      <c r="A9" s="1" t="n"/>
      <c r="B9" s="1" t="n"/>
      <c r="C9" s="1" t="inlineStr">
        <is>
          <t>P4102157469</t>
        </is>
      </c>
      <c r="D9" s="1" t="inlineStr">
        <is>
          <t>Anmeldung fehlt</t>
        </is>
      </c>
      <c r="E9" s="1" t="inlineStr">
        <is>
          <t>West</t>
        </is>
      </c>
      <c r="F9" s="6" t="n">
        <v>3310.51</v>
      </c>
      <c r="G9" s="6" t="n">
        <v>0</v>
      </c>
      <c r="H9" s="6" t="n">
        <v>0</v>
      </c>
      <c r="I9" s="6">
        <f>F9-G9-H9</f>
        <v/>
      </c>
      <c r="J9" s="7">
        <f>IF(F9=0,"n.a.",(G9+H9)/F9)</f>
        <v/>
      </c>
      <c r="K9" s="1" t="n">
        <v>0</v>
      </c>
      <c r="L9" s="1" t="n"/>
      <c r="M9" s="1" t="inlineStr">
        <is>
          <t>2026-09-30</t>
        </is>
      </c>
      <c r="N9" s="1" t="n">
        <v>61</v>
      </c>
      <c r="O9" s="1" t="inlineStr">
        <is>
          <t>LANGE_OHNE_RECHNUNG</t>
        </is>
      </c>
      <c r="P9" s="6" t="n">
        <v>2.22</v>
      </c>
      <c r="Q9" s="1" t="n"/>
    </row>
    <row r="10" ht="21" customHeight="1">
      <c r="A10" s="1" t="n"/>
      <c r="B10" s="1" t="n"/>
      <c r="C10" s="1" t="inlineStr">
        <is>
          <t>P4102307437</t>
        </is>
      </c>
      <c r="D10" s="1" t="inlineStr">
        <is>
          <t>ENBW - KW Walheim, Permutit-Anlage</t>
        </is>
      </c>
      <c r="E10" s="1" t="inlineStr">
        <is>
          <t>Süd-West</t>
        </is>
      </c>
      <c r="F10" s="6" t="n">
        <v>188.19</v>
      </c>
      <c r="G10" s="6" t="n">
        <v>66801.86</v>
      </c>
      <c r="H10" s="6" t="n">
        <v>-66752</v>
      </c>
      <c r="I10" s="6">
        <f>F10-G10-H10</f>
        <v/>
      </c>
      <c r="J10" s="7">
        <f>IF(F10=0,"n.a.",(G10+H10)/F10)</f>
        <v/>
      </c>
      <c r="K10" s="1" t="n">
        <v>12</v>
      </c>
      <c r="L10" s="1" t="inlineStr">
        <is>
          <t>2026-03-31</t>
        </is>
      </c>
      <c r="M10" s="1" t="inlineStr">
        <is>
          <t>2026-09-30</t>
        </is>
      </c>
      <c r="N10" s="1" t="n">
        <v>183</v>
      </c>
      <c r="O10" s="1" t="inlineStr">
        <is>
          <t>OK</t>
        </is>
      </c>
      <c r="P10" s="6" t="n">
        <v>0</v>
      </c>
      <c r="Q10" s="1" t="n"/>
    </row>
    <row r="11" ht="21" customHeight="1">
      <c r="A11" s="1" t="n"/>
      <c r="B11" s="1" t="n"/>
      <c r="C11" s="1" t="inlineStr">
        <is>
          <t>P4102157436</t>
        </is>
      </c>
      <c r="D11" s="1" t="inlineStr">
        <is>
          <t>Sanierung Kompensatoren</t>
        </is>
      </c>
      <c r="E11" s="1" t="inlineStr">
        <is>
          <t>West</t>
        </is>
      </c>
      <c r="F11" s="6" t="n">
        <v>0</v>
      </c>
      <c r="G11" s="6" t="n">
        <v>49999</v>
      </c>
      <c r="H11" s="6" t="n">
        <v>-44762.43</v>
      </c>
      <c r="I11" s="6">
        <f>F11-G11-H11</f>
        <v/>
      </c>
      <c r="J11" s="7">
        <f>IF(F11=0,"n.a.",(G11+H11)/F11)</f>
        <v/>
      </c>
      <c r="K11" s="1" t="n">
        <v>1</v>
      </c>
      <c r="L11" s="1" t="inlineStr">
        <is>
          <t>2026-05-31</t>
        </is>
      </c>
      <c r="M11" s="1" t="inlineStr">
        <is>
          <t>2026-09-30</t>
        </is>
      </c>
      <c r="N11" s="1" t="n">
        <v>122</v>
      </c>
      <c r="O11" s="1" t="inlineStr">
        <is>
          <t>OK</t>
        </is>
      </c>
      <c r="P11" s="6" t="n">
        <v>0</v>
      </c>
      <c r="Q11" s="1" t="n"/>
    </row>
    <row r="12" ht="21" customHeight="1">
      <c r="A12" s="1" t="n"/>
      <c r="B12" s="1" t="n"/>
      <c r="C12" s="1" t="inlineStr">
        <is>
          <t>P4102307449</t>
        </is>
      </c>
      <c r="D12" s="1" t="inlineStr">
        <is>
          <t>BASF S 607</t>
        </is>
      </c>
      <c r="E12" s="1" t="inlineStr">
        <is>
          <t>Süd-West</t>
        </is>
      </c>
      <c r="F12" s="6" t="n">
        <v>38183.28</v>
      </c>
      <c r="G12" s="6" t="n">
        <v>20000</v>
      </c>
      <c r="H12" s="6" t="n">
        <v>0</v>
      </c>
      <c r="I12" s="6">
        <f>F12-G12-H12</f>
        <v/>
      </c>
      <c r="J12" s="7">
        <f>IF(F12=0,"n.a.",(G12+H12)/F12)</f>
        <v/>
      </c>
      <c r="K12" s="1" t="n">
        <v>1</v>
      </c>
      <c r="L12" s="1" t="inlineStr">
        <is>
          <t>2026-07-31</t>
        </is>
      </c>
      <c r="M12" s="1" t="inlineStr">
        <is>
          <t>2026-09-30</t>
        </is>
      </c>
      <c r="N12" s="1" t="n">
        <v>61</v>
      </c>
      <c r="O12" s="1" t="inlineStr">
        <is>
          <t>LANGE_OHNE_RECHNUNG</t>
        </is>
      </c>
      <c r="P12" s="6" t="n">
        <v>2693.17</v>
      </c>
      <c r="Q12" s="1" t="n"/>
    </row>
    <row r="13" ht="21" customHeight="1">
      <c r="A13" s="1" t="n"/>
      <c r="B13" s="1" t="n"/>
      <c r="C13" s="1" t="inlineStr">
        <is>
          <t>P4102157450</t>
        </is>
      </c>
      <c r="D13" s="1" t="inlineStr">
        <is>
          <t>Verschr. Brennkammer BA-301 Oxygen</t>
        </is>
      </c>
      <c r="E13" s="1" t="inlineStr">
        <is>
          <t>West</t>
        </is>
      </c>
      <c r="F13" s="6" t="n">
        <v>6.1</v>
      </c>
      <c r="G13" s="6" t="n">
        <v>0</v>
      </c>
      <c r="H13" s="6" t="n">
        <v>0</v>
      </c>
      <c r="I13" s="6">
        <f>F13-G13-H13</f>
        <v/>
      </c>
      <c r="J13" s="7">
        <f>IF(F13=0,"n.a.",(G13+H13)/F13)</f>
        <v/>
      </c>
      <c r="K13" s="1" t="n">
        <v>0</v>
      </c>
      <c r="L13" s="1" t="n"/>
      <c r="M13" s="1" t="inlineStr">
        <is>
          <t>2026-09-30</t>
        </is>
      </c>
      <c r="N13" s="1" t="n">
        <v>214</v>
      </c>
      <c r="O13" s="1" t="inlineStr">
        <is>
          <t>OK</t>
        </is>
      </c>
      <c r="P13" s="6" t="n">
        <v>0</v>
      </c>
      <c r="Q13" s="1" t="n"/>
    </row>
    <row r="14" ht="21" customHeight="1">
      <c r="A14" s="1" t="n"/>
      <c r="B14" s="1" t="n"/>
      <c r="C14" s="1" t="inlineStr">
        <is>
          <t>P4102157451</t>
        </is>
      </c>
      <c r="D14" s="1" t="inlineStr">
        <is>
          <t>Sanierung Campus Golzheim</t>
        </is>
      </c>
      <c r="E14" s="1" t="inlineStr">
        <is>
          <t>West</t>
        </is>
      </c>
      <c r="F14" s="6" t="n">
        <v>1802103.07</v>
      </c>
      <c r="G14" s="6" t="n">
        <v>40150.9</v>
      </c>
      <c r="H14" s="6" t="n">
        <v>2029184.6</v>
      </c>
      <c r="I14" s="6">
        <f>F14-G14-H14</f>
        <v/>
      </c>
      <c r="J14" s="7">
        <f>IF(F14=0,"n.a.",(G14+H14)/F14)</f>
        <v/>
      </c>
      <c r="K14" s="1" t="n">
        <v>140</v>
      </c>
      <c r="L14" s="1" t="inlineStr">
        <is>
          <t>2026-09-25</t>
        </is>
      </c>
      <c r="M14" s="1" t="inlineStr">
        <is>
          <t>2026-09-30</t>
        </is>
      </c>
      <c r="N14" s="1" t="n">
        <v>5</v>
      </c>
      <c r="O14" s="1" t="inlineStr">
        <is>
          <t>UEBERAKTIVIERT</t>
        </is>
      </c>
      <c r="P14" s="6" t="n">
        <v>5001.23</v>
      </c>
      <c r="Q14" s="1" t="n"/>
    </row>
    <row r="15" ht="21" customHeight="1">
      <c r="A15" s="1" t="n"/>
      <c r="B15" s="1" t="n"/>
      <c r="C15" s="1" t="inlineStr">
        <is>
          <t>P4102607989</t>
        </is>
      </c>
      <c r="D15" s="1" t="inlineStr">
        <is>
          <t>Kleinaufträge</t>
        </is>
      </c>
      <c r="E15" s="1" t="inlineStr">
        <is>
          <t>Ost</t>
        </is>
      </c>
      <c r="F15" s="6" t="n">
        <v>24061.02</v>
      </c>
      <c r="G15" s="6" t="n">
        <v>98017.2</v>
      </c>
      <c r="H15" s="6" t="n">
        <v>0</v>
      </c>
      <c r="I15" s="6">
        <f>F15-G15-H15</f>
        <v/>
      </c>
      <c r="J15" s="7">
        <f>IF(F15=0,"n.a.",(G15+H15)/F15)</f>
        <v/>
      </c>
      <c r="K15" s="1" t="n">
        <v>61</v>
      </c>
      <c r="L15" s="1" t="inlineStr">
        <is>
          <t>2026-09-30</t>
        </is>
      </c>
      <c r="M15" s="1" t="inlineStr">
        <is>
          <t>2026-09-30</t>
        </is>
      </c>
      <c r="N15" s="1" t="n">
        <v>0</v>
      </c>
      <c r="O15" s="1" t="inlineStr">
        <is>
          <t>VORAUSBERECHNET</t>
        </is>
      </c>
      <c r="P15" s="6" t="n">
        <v>1032.57</v>
      </c>
      <c r="Q15" s="1" t="n"/>
    </row>
    <row r="16" ht="21" customHeight="1">
      <c r="A16" s="1" t="n"/>
      <c r="B16" s="1" t="n"/>
      <c r="C16" s="1" t="inlineStr">
        <is>
          <t>P4102608224</t>
        </is>
      </c>
      <c r="D16" s="1" t="inlineStr">
        <is>
          <t>RB Turbinen Hirschfelde</t>
        </is>
      </c>
      <c r="E16" s="1" t="inlineStr">
        <is>
          <t>Ost</t>
        </is>
      </c>
      <c r="F16" s="6" t="n">
        <v>1758.75</v>
      </c>
      <c r="G16" s="6" t="n">
        <v>0</v>
      </c>
      <c r="H16" s="6" t="n">
        <v>1969.8</v>
      </c>
      <c r="I16" s="6">
        <f>F16-G16-H16</f>
        <v/>
      </c>
      <c r="J16" s="7">
        <f>IF(F16=0,"n.a.",(G16+H16)/F16)</f>
        <v/>
      </c>
      <c r="K16" s="1" t="n">
        <v>0</v>
      </c>
      <c r="L16" s="1" t="n"/>
      <c r="M16" s="1" t="inlineStr">
        <is>
          <t>2026-09-30</t>
        </is>
      </c>
      <c r="N16" s="1" t="n">
        <v>261</v>
      </c>
      <c r="O16" s="1" t="inlineStr">
        <is>
          <t>LANGE_OHNE_RECHNUNG</t>
        </is>
      </c>
      <c r="P16" s="6" t="n">
        <v>0</v>
      </c>
      <c r="Q16" s="1" t="n"/>
    </row>
    <row r="17" ht="21" customHeight="1">
      <c r="A17" s="1" t="n"/>
      <c r="B17" s="1" t="n"/>
      <c r="C17" s="1" t="inlineStr">
        <is>
          <t>P4102652023</t>
        </is>
      </c>
      <c r="D17" s="1" t="inlineStr">
        <is>
          <t>Nachlaufende Kosten</t>
        </is>
      </c>
      <c r="E17" s="1" t="inlineStr">
        <is>
          <t>Berlin</t>
        </is>
      </c>
      <c r="F17" s="6" t="n">
        <v>100</v>
      </c>
      <c r="G17" s="6" t="n">
        <v>0</v>
      </c>
      <c r="H17" s="6" t="n">
        <v>0</v>
      </c>
      <c r="I17" s="6">
        <f>F17-G17-H17</f>
        <v/>
      </c>
      <c r="J17" s="7">
        <f>IF(F17=0,"n.a.",(G17+H17)/F17)</f>
        <v/>
      </c>
      <c r="K17" s="1" t="n">
        <v>0</v>
      </c>
      <c r="L17" s="1" t="n"/>
      <c r="M17" s="1" t="inlineStr">
        <is>
          <t>2026-09-30</t>
        </is>
      </c>
      <c r="N17" s="1" t="n">
        <v>272</v>
      </c>
      <c r="O17" s="1" t="inlineStr">
        <is>
          <t>OK</t>
        </is>
      </c>
      <c r="P17" s="6" t="n">
        <v>0</v>
      </c>
      <c r="Q17" s="1" t="n"/>
    </row>
    <row r="18" ht="21" customHeight="1">
      <c r="A18" s="1" t="n"/>
      <c r="B18" s="1" t="n"/>
      <c r="C18" s="1" t="inlineStr">
        <is>
          <t>P4102608263</t>
        </is>
      </c>
      <c r="D18" s="1" t="inlineStr">
        <is>
          <t>RB Föderbrücke AFB 60</t>
        </is>
      </c>
      <c r="E18" s="1" t="inlineStr">
        <is>
          <t>Ost</t>
        </is>
      </c>
      <c r="F18" s="6" t="n">
        <v>2193058.12</v>
      </c>
      <c r="G18" s="6" t="n">
        <v>3861878.38</v>
      </c>
      <c r="H18" s="6" t="n">
        <v>-870769.6</v>
      </c>
      <c r="I18" s="6">
        <f>F18-G18-H18</f>
        <v/>
      </c>
      <c r="J18" s="7">
        <f>IF(F18=0,"n.a.",(G18+H18)/F18)</f>
        <v/>
      </c>
      <c r="K18" s="1" t="n">
        <v>35</v>
      </c>
      <c r="L18" s="1" t="inlineStr">
        <is>
          <t>2026-07-31</t>
        </is>
      </c>
      <c r="M18" s="1" t="inlineStr">
        <is>
          <t>2026-09-30</t>
        </is>
      </c>
      <c r="N18" s="1" t="n">
        <v>61</v>
      </c>
      <c r="O18" s="1" t="inlineStr">
        <is>
          <t>OK</t>
        </is>
      </c>
      <c r="P18" s="6" t="n">
        <v>27069.08</v>
      </c>
      <c r="Q18" s="1" t="n"/>
    </row>
    <row r="19" ht="21" customHeight="1">
      <c r="A19" s="1" t="n"/>
      <c r="B19" s="1" t="n"/>
      <c r="C19" s="1" t="inlineStr">
        <is>
          <t>P4102658257</t>
        </is>
      </c>
      <c r="D19" s="1" t="inlineStr">
        <is>
          <t>Brücke An der Wuhlheide - Notunterstützu</t>
        </is>
      </c>
      <c r="E19" s="1" t="inlineStr">
        <is>
          <t>Berlin</t>
        </is>
      </c>
      <c r="F19" s="6" t="n">
        <v>0</v>
      </c>
      <c r="G19" s="6" t="n">
        <v>0</v>
      </c>
      <c r="H19" s="6" t="n">
        <v>0</v>
      </c>
      <c r="I19" s="6">
        <f>F19-G19-H19</f>
        <v/>
      </c>
      <c r="J19" s="7">
        <f>IF(F19=0,"n.a.",(G19+H19)/F19)</f>
        <v/>
      </c>
      <c r="K19" s="1" t="n">
        <v>0</v>
      </c>
      <c r="L19" s="1" t="n"/>
      <c r="M19" s="1" t="inlineStr">
        <is>
          <t>2026-09-30</t>
        </is>
      </c>
      <c r="N19" s="1" t="n"/>
      <c r="O19" s="1" t="inlineStr">
        <is>
          <t>OK</t>
        </is>
      </c>
      <c r="P19" s="6" t="n">
        <v>0</v>
      </c>
      <c r="Q19" s="1" t="n"/>
    </row>
    <row r="20" ht="21" customHeight="1">
      <c r="A20" s="1" t="n"/>
      <c r="B20" s="1" t="n"/>
      <c r="C20" s="1" t="inlineStr">
        <is>
          <t>P4102307424</t>
        </is>
      </c>
      <c r="D20" s="1" t="inlineStr">
        <is>
          <t>BASF P 703</t>
        </is>
      </c>
      <c r="E20" s="1" t="inlineStr">
        <is>
          <t>Süd-West</t>
        </is>
      </c>
      <c r="F20" s="6" t="n">
        <v>166.84</v>
      </c>
      <c r="G20" s="6" t="n">
        <v>0</v>
      </c>
      <c r="H20" s="6" t="n">
        <v>0</v>
      </c>
      <c r="I20" s="6">
        <f>F20-G20-H20</f>
        <v/>
      </c>
      <c r="J20" s="7">
        <f>IF(F20=0,"n.a.",(G20+H20)/F20)</f>
        <v/>
      </c>
      <c r="K20" s="1" t="n">
        <v>0</v>
      </c>
      <c r="L20" s="1" t="n"/>
      <c r="M20" s="1" t="inlineStr">
        <is>
          <t>2026-09-30</t>
        </is>
      </c>
      <c r="N20" s="1" t="n">
        <v>166</v>
      </c>
      <c r="O20" s="1" t="inlineStr">
        <is>
          <t>OK</t>
        </is>
      </c>
      <c r="P20" s="6" t="n">
        <v>0</v>
      </c>
      <c r="Q20" s="1" t="n"/>
    </row>
    <row r="21" ht="21" customHeight="1">
      <c r="A21" s="1" t="n"/>
      <c r="B21" s="1" t="n"/>
      <c r="C21" s="1" t="inlineStr">
        <is>
          <t>P4102157208</t>
        </is>
      </c>
      <c r="D21" s="1" t="inlineStr">
        <is>
          <t>Waggonverschrottung</t>
        </is>
      </c>
      <c r="E21" s="1" t="inlineStr">
        <is>
          <t>West</t>
        </is>
      </c>
      <c r="F21" s="6" t="n">
        <v>-47606</v>
      </c>
      <c r="G21" s="6" t="n">
        <v>24855.15</v>
      </c>
      <c r="H21" s="6" t="n">
        <v>-71121.52</v>
      </c>
      <c r="I21" s="6">
        <f>F21-G21-H21</f>
        <v/>
      </c>
      <c r="J21" s="7">
        <f>IF(F21=0,"n.a.",(G21+H21)/F21)</f>
        <v/>
      </c>
      <c r="K21" s="1" t="n">
        <v>10</v>
      </c>
      <c r="L21" s="1" t="inlineStr">
        <is>
          <t>2026-04-30</t>
        </is>
      </c>
      <c r="M21" s="1" t="inlineStr">
        <is>
          <t>2026-09-30</t>
        </is>
      </c>
      <c r="N21" s="1" t="n">
        <v>153</v>
      </c>
      <c r="O21" s="1" t="inlineStr">
        <is>
          <t>OK</t>
        </is>
      </c>
      <c r="P21" s="6" t="n">
        <v>0</v>
      </c>
      <c r="Q21" s="1" t="n"/>
    </row>
    <row r="22" ht="21" customHeight="1">
      <c r="A22" s="1" t="n"/>
      <c r="B22" s="1" t="n"/>
      <c r="C22" s="1" t="inlineStr">
        <is>
          <t>P4102157463</t>
        </is>
      </c>
      <c r="D22" s="1" t="inlineStr">
        <is>
          <t>RB Maschinenhaus Bl. B+C</t>
        </is>
      </c>
      <c r="E22" s="1" t="inlineStr">
        <is>
          <t>West</t>
        </is>
      </c>
      <c r="F22" s="6" t="n">
        <v>861652.83</v>
      </c>
      <c r="G22" s="6" t="n">
        <v>546993.5699999999</v>
      </c>
      <c r="H22" s="6" t="n">
        <v>211492.24</v>
      </c>
      <c r="I22" s="6">
        <f>F22-G22-H22</f>
        <v/>
      </c>
      <c r="J22" s="7">
        <f>IF(F22=0,"n.a.",(G22+H22)/F22)</f>
        <v/>
      </c>
      <c r="K22" s="1" t="n">
        <v>8</v>
      </c>
      <c r="L22" s="1" t="inlineStr">
        <is>
          <t>2026-09-30</t>
        </is>
      </c>
      <c r="M22" s="1" t="inlineStr">
        <is>
          <t>2026-09-30</t>
        </is>
      </c>
      <c r="N22" s="1" t="n">
        <v>0</v>
      </c>
      <c r="O22" s="1" t="inlineStr">
        <is>
          <t>OK</t>
        </is>
      </c>
      <c r="P22" s="6" t="n">
        <v>5513.1</v>
      </c>
      <c r="Q22" s="1" t="n"/>
    </row>
    <row r="23" ht="21" customHeight="1">
      <c r="A23" s="1" t="n"/>
      <c r="B23" s="1" t="n"/>
      <c r="C23" s="1" t="inlineStr">
        <is>
          <t>P4102307426</t>
        </is>
      </c>
      <c r="D23" s="1" t="inlineStr">
        <is>
          <t>BASF Z 300</t>
        </is>
      </c>
      <c r="E23" s="1" t="inlineStr">
        <is>
          <t>Süd-West</t>
        </is>
      </c>
      <c r="F23" s="6" t="n">
        <v>31447.44</v>
      </c>
      <c r="G23" s="6" t="n">
        <v>40236.26</v>
      </c>
      <c r="H23" s="6" t="n">
        <v>0</v>
      </c>
      <c r="I23" s="6">
        <f>F23-G23-H23</f>
        <v/>
      </c>
      <c r="J23" s="7">
        <f>IF(F23=0,"n.a.",(G23+H23)/F23)</f>
        <v/>
      </c>
      <c r="K23" s="1" t="n">
        <v>3</v>
      </c>
      <c r="L23" s="1" t="inlineStr">
        <is>
          <t>2026-04-30</t>
        </is>
      </c>
      <c r="M23" s="1" t="inlineStr">
        <is>
          <t>2026-09-30</t>
        </is>
      </c>
      <c r="N23" s="1" t="n">
        <v>153</v>
      </c>
      <c r="O23" s="1" t="inlineStr">
        <is>
          <t>OK</t>
        </is>
      </c>
      <c r="P23" s="6" t="n">
        <v>0</v>
      </c>
      <c r="Q23" s="1" t="n"/>
    </row>
    <row r="24" ht="21" customHeight="1">
      <c r="A24" s="1" t="n"/>
      <c r="B24" s="1" t="n"/>
      <c r="C24" s="1" t="inlineStr">
        <is>
          <t>P4102157414</t>
        </is>
      </c>
      <c r="D24" s="1" t="inlineStr">
        <is>
          <t>Krandemontage</t>
        </is>
      </c>
      <c r="E24" s="1" t="inlineStr">
        <is>
          <t>West</t>
        </is>
      </c>
      <c r="F24" s="6" t="n">
        <v>100883.26</v>
      </c>
      <c r="G24" s="6" t="n">
        <v>414976.03</v>
      </c>
      <c r="H24" s="6" t="n">
        <v>-279004.22</v>
      </c>
      <c r="I24" s="6">
        <f>F24-G24-H24</f>
        <v/>
      </c>
      <c r="J24" s="7">
        <f>IF(F24=0,"n.a.",(G24+H24)/F24)</f>
        <v/>
      </c>
      <c r="K24" s="1" t="n">
        <v>2</v>
      </c>
      <c r="L24" s="1" t="inlineStr">
        <is>
          <t>2026-05-31</t>
        </is>
      </c>
      <c r="M24" s="1" t="inlineStr">
        <is>
          <t>2026-09-30</t>
        </is>
      </c>
      <c r="N24" s="1" t="n">
        <v>122</v>
      </c>
      <c r="O24" s="1" t="inlineStr">
        <is>
          <t>OK</t>
        </is>
      </c>
      <c r="P24" s="6" t="n">
        <v>0</v>
      </c>
      <c r="Q24" s="1" t="n"/>
    </row>
    <row r="25" ht="21" customHeight="1">
      <c r="A25" s="1" t="n"/>
      <c r="B25" s="1" t="n"/>
      <c r="C25" s="1" t="inlineStr">
        <is>
          <t>P4102307433</t>
        </is>
      </c>
      <c r="D25" s="1" t="inlineStr">
        <is>
          <t>BASF U 505 Blauer Block</t>
        </is>
      </c>
      <c r="E25" s="1" t="inlineStr">
        <is>
          <t>Süd-West</t>
        </is>
      </c>
      <c r="F25" s="6" t="n">
        <v>841205.65</v>
      </c>
      <c r="G25" s="6" t="n">
        <v>845407</v>
      </c>
      <c r="H25" s="6" t="n">
        <v>0</v>
      </c>
      <c r="I25" s="6">
        <f>F25-G25-H25</f>
        <v/>
      </c>
      <c r="J25" s="7">
        <f>IF(F25=0,"n.a.",(G25+H25)/F25)</f>
        <v/>
      </c>
      <c r="K25" s="1" t="n">
        <v>42</v>
      </c>
      <c r="L25" s="1" t="inlineStr">
        <is>
          <t>2026-09-01</t>
        </is>
      </c>
      <c r="M25" s="1" t="inlineStr">
        <is>
          <t>2026-09-30</t>
        </is>
      </c>
      <c r="N25" s="1" t="n">
        <v>29</v>
      </c>
      <c r="O25" s="1" t="inlineStr">
        <is>
          <t>OK</t>
        </is>
      </c>
      <c r="P25" s="6" t="n">
        <v>15301.62</v>
      </c>
      <c r="Q25" s="1" t="n"/>
    </row>
    <row r="26" ht="21" customHeight="1">
      <c r="A26" s="1" t="n"/>
      <c r="B26" s="1" t="n"/>
      <c r="C26" s="1" t="inlineStr">
        <is>
          <t>P4102157455</t>
        </is>
      </c>
      <c r="D26" s="1" t="inlineStr">
        <is>
          <t>Currenta San.+RB G22 Los 1+2 Anm.fehlt</t>
        </is>
      </c>
      <c r="E26" s="1" t="inlineStr">
        <is>
          <t>West</t>
        </is>
      </c>
      <c r="F26" s="6" t="n">
        <v>2796056.06</v>
      </c>
      <c r="G26" s="6" t="n">
        <v>0</v>
      </c>
      <c r="H26" s="6" t="n">
        <v>2639009.53</v>
      </c>
      <c r="I26" s="6">
        <f>F26-G26-H26</f>
        <v/>
      </c>
      <c r="J26" s="7">
        <f>IF(F26=0,"n.a.",(G26+H26)/F26)</f>
        <v/>
      </c>
      <c r="K26" s="1" t="n">
        <v>54</v>
      </c>
      <c r="L26" s="1" t="inlineStr">
        <is>
          <t>2026-07-31</t>
        </is>
      </c>
      <c r="M26" s="1" t="inlineStr">
        <is>
          <t>2026-09-30</t>
        </is>
      </c>
      <c r="N26" s="1" t="n">
        <v>61</v>
      </c>
      <c r="O26" s="1" t="inlineStr">
        <is>
          <t>LANGE_OHNE_RECHNUNG</t>
        </is>
      </c>
      <c r="P26" s="6" t="n">
        <v>25102.87</v>
      </c>
      <c r="Q26" s="1" t="n"/>
    </row>
    <row r="27" ht="21" customHeight="1">
      <c r="A27" s="1" t="n"/>
      <c r="B27" s="1" t="n"/>
      <c r="C27" s="1" t="inlineStr">
        <is>
          <t>P4102157440</t>
        </is>
      </c>
      <c r="D27" s="1" t="inlineStr">
        <is>
          <t>tkse RB 2025</t>
        </is>
      </c>
      <c r="E27" s="1" t="inlineStr">
        <is>
          <t>West</t>
        </is>
      </c>
      <c r="F27" s="6" t="n">
        <v>0</v>
      </c>
      <c r="G27" s="6" t="n">
        <v>0</v>
      </c>
      <c r="H27" s="6" t="n">
        <v>0</v>
      </c>
      <c r="I27" s="6">
        <f>F27-G27-H27</f>
        <v/>
      </c>
      <c r="J27" s="7">
        <f>IF(F27=0,"n.a.",(G27+H27)/F27)</f>
        <v/>
      </c>
      <c r="K27" s="1" t="n">
        <v>0</v>
      </c>
      <c r="L27" s="1" t="n"/>
      <c r="M27" s="1" t="inlineStr">
        <is>
          <t>2026-09-30</t>
        </is>
      </c>
      <c r="N27" s="1" t="n">
        <v>242</v>
      </c>
      <c r="O27" s="1" t="inlineStr">
        <is>
          <t>OK</t>
        </is>
      </c>
      <c r="P27" s="6" t="n">
        <v>0</v>
      </c>
      <c r="Q27" s="1" t="n"/>
    </row>
    <row r="28" ht="21" customHeight="1">
      <c r="A28" s="1" t="n"/>
      <c r="B28" s="1" t="n"/>
      <c r="C28" s="1" t="inlineStr">
        <is>
          <t>P4102307443</t>
        </is>
      </c>
      <c r="D28" s="1" t="inlineStr">
        <is>
          <t>Leingarten Schwimmhalle 2</t>
        </is>
      </c>
      <c r="E28" s="1" t="inlineStr">
        <is>
          <t>Süd-West</t>
        </is>
      </c>
      <c r="F28" s="6" t="n">
        <v>95169.48</v>
      </c>
      <c r="G28" s="6" t="n">
        <v>121773.65</v>
      </c>
      <c r="H28" s="6" t="n">
        <v>0</v>
      </c>
      <c r="I28" s="6">
        <f>F28-G28-H28</f>
        <v/>
      </c>
      <c r="J28" s="7">
        <f>IF(F28=0,"n.a.",(G28+H28)/F28)</f>
        <v/>
      </c>
      <c r="K28" s="1" t="n">
        <v>4</v>
      </c>
      <c r="L28" s="1" t="inlineStr">
        <is>
          <t>2026-09-25</t>
        </is>
      </c>
      <c r="M28" s="1" t="inlineStr">
        <is>
          <t>2026-09-30</t>
        </is>
      </c>
      <c r="N28" s="1" t="n">
        <v>5</v>
      </c>
      <c r="O28" s="1" t="inlineStr">
        <is>
          <t>VORAUSBERECHNET</t>
        </is>
      </c>
      <c r="P28" s="6" t="n">
        <v>6399.75</v>
      </c>
      <c r="Q28" s="1" t="n"/>
    </row>
    <row r="29" ht="21" customHeight="1">
      <c r="A29" s="1" t="n"/>
      <c r="B29" s="1" t="n"/>
      <c r="C29" s="1" t="inlineStr">
        <is>
          <t>P4102608232</t>
        </is>
      </c>
      <c r="D29" s="1" t="inlineStr">
        <is>
          <t>Seilbaggerarbeiten Platz der Republik</t>
        </is>
      </c>
      <c r="E29" s="1" t="inlineStr">
        <is>
          <t>Ost</t>
        </is>
      </c>
      <c r="F29" s="6" t="n">
        <v>0</v>
      </c>
      <c r="G29" s="6" t="n">
        <v>6059.53</v>
      </c>
      <c r="H29" s="6" t="n">
        <v>0</v>
      </c>
      <c r="I29" s="6">
        <f>F29-G29-H29</f>
        <v/>
      </c>
      <c r="J29" s="7">
        <f>IF(F29=0,"n.a.",(G29+H29)/F29)</f>
        <v/>
      </c>
      <c r="K29" s="1" t="n">
        <v>1</v>
      </c>
      <c r="L29" s="1" t="inlineStr">
        <is>
          <t>2026-07-31</t>
        </is>
      </c>
      <c r="M29" s="1" t="inlineStr">
        <is>
          <t>2026-09-30</t>
        </is>
      </c>
      <c r="N29" s="1" t="n">
        <v>61</v>
      </c>
      <c r="O29" s="1" t="inlineStr">
        <is>
          <t>OK</t>
        </is>
      </c>
      <c r="P29" s="6" t="n">
        <v>0</v>
      </c>
      <c r="Q29" s="1" t="n"/>
    </row>
    <row r="30" ht="21" customHeight="1">
      <c r="A30" s="1" t="n"/>
      <c r="B30" s="1" t="n"/>
      <c r="C30" s="1" t="inlineStr">
        <is>
          <t>P4102307435</t>
        </is>
      </c>
      <c r="D30" s="1" t="inlineStr">
        <is>
          <t>ENBW - KW Walheim</t>
        </is>
      </c>
      <c r="E30" s="1" t="inlineStr">
        <is>
          <t>Süd-West</t>
        </is>
      </c>
      <c r="F30" s="6" t="n">
        <v>142710.2</v>
      </c>
      <c r="G30" s="6" t="n">
        <v>240770.35</v>
      </c>
      <c r="H30" s="6" t="n">
        <v>-168400.34</v>
      </c>
      <c r="I30" s="6">
        <f>F30-G30-H30</f>
        <v/>
      </c>
      <c r="J30" s="7">
        <f>IF(F30=0,"n.a.",(G30+H30)/F30)</f>
        <v/>
      </c>
      <c r="K30" s="1" t="n">
        <v>21</v>
      </c>
      <c r="L30" s="1" t="inlineStr">
        <is>
          <t>2026-07-31</t>
        </is>
      </c>
      <c r="M30" s="1" t="inlineStr">
        <is>
          <t>2026-09-30</t>
        </is>
      </c>
      <c r="N30" s="1" t="n">
        <v>61</v>
      </c>
      <c r="O30" s="1" t="inlineStr">
        <is>
          <t>OK</t>
        </is>
      </c>
      <c r="P30" s="6" t="n">
        <v>0</v>
      </c>
      <c r="Q30" s="1" t="n"/>
    </row>
    <row r="31" ht="21" customHeight="1">
      <c r="A31" s="1" t="n"/>
      <c r="B31" s="1" t="n"/>
      <c r="C31" s="1" t="inlineStr">
        <is>
          <t>P4102658228</t>
        </is>
      </c>
      <c r="D31" s="1" t="inlineStr">
        <is>
          <t>ENB EÜ Wollankstraße</t>
        </is>
      </c>
      <c r="E31" s="1" t="inlineStr">
        <is>
          <t>Berlin</t>
        </is>
      </c>
      <c r="F31" s="6" t="n">
        <v>424.37</v>
      </c>
      <c r="G31" s="6" t="n">
        <v>0</v>
      </c>
      <c r="H31" s="6" t="n">
        <v>475.29</v>
      </c>
      <c r="I31" s="6">
        <f>F31-G31-H31</f>
        <v/>
      </c>
      <c r="J31" s="7">
        <f>IF(F31=0,"n.a.",(G31+H31)/F31)</f>
        <v/>
      </c>
      <c r="K31" s="1" t="n">
        <v>0</v>
      </c>
      <c r="L31" s="1" t="n"/>
      <c r="M31" s="1" t="inlineStr">
        <is>
          <t>2026-09-30</t>
        </is>
      </c>
      <c r="N31" s="1" t="n">
        <v>261</v>
      </c>
      <c r="O31" s="1" t="inlineStr">
        <is>
          <t>OK</t>
        </is>
      </c>
      <c r="P31" s="6" t="n">
        <v>0</v>
      </c>
      <c r="Q31" s="1" t="n"/>
    </row>
    <row r="32" ht="21" customHeight="1">
      <c r="A32" s="1" t="n"/>
      <c r="B32" s="1" t="n"/>
      <c r="C32" s="1" t="inlineStr">
        <is>
          <t>P4102307430</t>
        </is>
      </c>
      <c r="D32" s="1" t="inlineStr">
        <is>
          <t>BASF E 701</t>
        </is>
      </c>
      <c r="E32" s="1" t="inlineStr">
        <is>
          <t>Süd-West</t>
        </is>
      </c>
      <c r="F32" s="6" t="n">
        <v>19401.85</v>
      </c>
      <c r="G32" s="6" t="n">
        <v>41935.11</v>
      </c>
      <c r="H32" s="6" t="n">
        <v>0</v>
      </c>
      <c r="I32" s="6">
        <f>F32-G32-H32</f>
        <v/>
      </c>
      <c r="J32" s="7">
        <f>IF(F32=0,"n.a.",(G32+H32)/F32)</f>
        <v/>
      </c>
      <c r="K32" s="1" t="n">
        <v>4</v>
      </c>
      <c r="L32" s="1" t="inlineStr">
        <is>
          <t>2026-07-31</t>
        </is>
      </c>
      <c r="M32" s="1" t="inlineStr">
        <is>
          <t>2026-09-30</t>
        </is>
      </c>
      <c r="N32" s="1" t="n">
        <v>61</v>
      </c>
      <c r="O32" s="1" t="inlineStr">
        <is>
          <t>OK</t>
        </is>
      </c>
      <c r="P32" s="6" t="n">
        <v>0</v>
      </c>
      <c r="Q32" s="1" t="n"/>
    </row>
    <row r="33" ht="21" customHeight="1">
      <c r="A33" s="1" t="n"/>
      <c r="B33" s="1" t="n"/>
      <c r="C33" s="1" t="inlineStr">
        <is>
          <t>P4102608267</t>
        </is>
      </c>
      <c r="D33" s="1" t="inlineStr">
        <is>
          <t>Sprengarbeiten FLJS</t>
        </is>
      </c>
      <c r="E33" s="1" t="inlineStr">
        <is>
          <t>Ost</t>
        </is>
      </c>
      <c r="F33" s="6" t="n">
        <v>20068.44</v>
      </c>
      <c r="G33" s="6" t="n">
        <v>28224.24</v>
      </c>
      <c r="H33" s="6" t="n">
        <v>0</v>
      </c>
      <c r="I33" s="6">
        <f>F33-G33-H33</f>
        <v/>
      </c>
      <c r="J33" s="7">
        <f>IF(F33=0,"n.a.",(G33+H33)/F33)</f>
        <v/>
      </c>
      <c r="K33" s="1" t="n">
        <v>2</v>
      </c>
      <c r="L33" s="1" t="inlineStr">
        <is>
          <t>2026-02-28</t>
        </is>
      </c>
      <c r="M33" s="1" t="inlineStr">
        <is>
          <t>2026-09-30</t>
        </is>
      </c>
      <c r="N33" s="1" t="n">
        <v>214</v>
      </c>
      <c r="O33" s="1" t="inlineStr">
        <is>
          <t>OK</t>
        </is>
      </c>
      <c r="P33" s="6" t="n">
        <v>0</v>
      </c>
      <c r="Q33" s="1" t="n"/>
    </row>
    <row r="34" ht="21" customHeight="1">
      <c r="A34" s="1" t="n"/>
      <c r="B34" s="1" t="n"/>
      <c r="C34" s="1" t="inlineStr">
        <is>
          <t>P4102307427</t>
        </is>
      </c>
      <c r="D34" s="1" t="inlineStr">
        <is>
          <t>BASF N 720</t>
        </is>
      </c>
      <c r="E34" s="1" t="inlineStr">
        <is>
          <t>Süd-West</t>
        </is>
      </c>
      <c r="F34" s="6" t="n">
        <v>63381.2</v>
      </c>
      <c r="G34" s="6" t="n">
        <v>40570.44</v>
      </c>
      <c r="H34" s="6" t="n">
        <v>0</v>
      </c>
      <c r="I34" s="6">
        <f>F34-G34-H34</f>
        <v/>
      </c>
      <c r="J34" s="7">
        <f>IF(F34=0,"n.a.",(G34+H34)/F34)</f>
        <v/>
      </c>
      <c r="K34" s="1" t="n">
        <v>2</v>
      </c>
      <c r="L34" s="1" t="inlineStr">
        <is>
          <t>2026-03-31</t>
        </is>
      </c>
      <c r="M34" s="1" t="inlineStr">
        <is>
          <t>2026-09-30</t>
        </is>
      </c>
      <c r="N34" s="1" t="n">
        <v>183</v>
      </c>
      <c r="O34" s="1" t="inlineStr">
        <is>
          <t>LANGE_OHNE_RECHNUNG</t>
        </is>
      </c>
      <c r="P34" s="6" t="n">
        <v>0</v>
      </c>
      <c r="Q34" s="1" t="n"/>
    </row>
    <row r="35" ht="21" customHeight="1">
      <c r="A35" s="1" t="n"/>
      <c r="B35" s="1" t="n"/>
      <c r="C35" s="1" t="inlineStr">
        <is>
          <t>P4102307416</t>
        </is>
      </c>
      <c r="D35" s="1" t="inlineStr">
        <is>
          <t>BASF O 405 Ammoniak</t>
        </is>
      </c>
      <c r="E35" s="1" t="inlineStr">
        <is>
          <t>Süd-West</t>
        </is>
      </c>
      <c r="F35" s="6" t="n">
        <v>0</v>
      </c>
      <c r="G35" s="6" t="n">
        <v>0</v>
      </c>
      <c r="H35" s="6" t="n">
        <v>-25780.46</v>
      </c>
      <c r="I35" s="6">
        <f>F35-G35-H35</f>
        <v/>
      </c>
      <c r="J35" s="7">
        <f>IF(F35=0,"n.a.",(G35+H35)/F35)</f>
        <v/>
      </c>
      <c r="K35" s="1" t="n">
        <v>0</v>
      </c>
      <c r="L35" s="1" t="n"/>
      <c r="M35" s="1" t="inlineStr">
        <is>
          <t>2026-09-30</t>
        </is>
      </c>
      <c r="N35" s="1" t="n"/>
      <c r="O35" s="1" t="inlineStr">
        <is>
          <t>OK</t>
        </is>
      </c>
      <c r="P35" s="6" t="n">
        <v>0</v>
      </c>
      <c r="Q35" s="1" t="n"/>
    </row>
    <row r="36" ht="21" customHeight="1">
      <c r="A36" s="1" t="n"/>
      <c r="B36" s="1" t="n"/>
      <c r="C36" s="1" t="inlineStr">
        <is>
          <t>P4102157452</t>
        </is>
      </c>
      <c r="D36" s="1" t="inlineStr">
        <is>
          <t>RB Cont.anlage TKSE Gelände</t>
        </is>
      </c>
      <c r="E36" s="1" t="inlineStr">
        <is>
          <t>West</t>
        </is>
      </c>
      <c r="F36" s="6" t="n">
        <v>0</v>
      </c>
      <c r="G36" s="6" t="n">
        <v>0</v>
      </c>
      <c r="H36" s="6" t="n">
        <v>-2847.73</v>
      </c>
      <c r="I36" s="6">
        <f>F36-G36-H36</f>
        <v/>
      </c>
      <c r="J36" s="7">
        <f>IF(F36=0,"n.a.",(G36+H36)/F36)</f>
        <v/>
      </c>
      <c r="K36" s="1" t="n">
        <v>0</v>
      </c>
      <c r="L36" s="1" t="n"/>
      <c r="M36" s="1" t="inlineStr">
        <is>
          <t>2026-09-30</t>
        </is>
      </c>
      <c r="N36" s="1" t="n"/>
      <c r="O36" s="1" t="inlineStr">
        <is>
          <t>OK</t>
        </is>
      </c>
      <c r="P36" s="6" t="n">
        <v>0</v>
      </c>
      <c r="Q36" s="1" t="n"/>
    </row>
    <row r="37" ht="21" customHeight="1">
      <c r="A37" s="1" t="n"/>
      <c r="B37" s="1" t="n"/>
      <c r="C37" s="1" t="inlineStr">
        <is>
          <t>P4102307434</t>
        </is>
      </c>
      <c r="D37" s="1" t="inlineStr">
        <is>
          <t>BASF S 304</t>
        </is>
      </c>
      <c r="E37" s="1" t="inlineStr">
        <is>
          <t>Süd-West</t>
        </is>
      </c>
      <c r="F37" s="6" t="n">
        <v>22058.42</v>
      </c>
      <c r="G37" s="6" t="n">
        <v>60554.04</v>
      </c>
      <c r="H37" s="6" t="n">
        <v>-46621</v>
      </c>
      <c r="I37" s="6">
        <f>F37-G37-H37</f>
        <v/>
      </c>
      <c r="J37" s="7">
        <f>IF(F37=0,"n.a.",(G37+H37)/F37)</f>
        <v/>
      </c>
      <c r="K37" s="1" t="n">
        <v>3</v>
      </c>
      <c r="L37" s="1" t="inlineStr">
        <is>
          <t>2026-03-31</t>
        </is>
      </c>
      <c r="M37" s="1" t="inlineStr">
        <is>
          <t>2026-09-30</t>
        </is>
      </c>
      <c r="N37" s="1" t="n">
        <v>183</v>
      </c>
      <c r="O37" s="1" t="inlineStr">
        <is>
          <t>OK</t>
        </is>
      </c>
      <c r="P37" s="6" t="n">
        <v>0</v>
      </c>
      <c r="Q37" s="1" t="n"/>
    </row>
    <row r="38" ht="21" customHeight="1">
      <c r="A38" s="1" t="n"/>
      <c r="B38" s="1" t="n"/>
      <c r="C38" s="1" t="inlineStr">
        <is>
          <t>P4102307450</t>
        </is>
      </c>
      <c r="D38" s="1" t="inlineStr">
        <is>
          <t>Z500-4 Helion</t>
        </is>
      </c>
      <c r="E38" s="1" t="inlineStr">
        <is>
          <t>Süd-West</t>
        </is>
      </c>
      <c r="F38" s="6" t="n">
        <v>122378.64</v>
      </c>
      <c r="G38" s="6" t="n">
        <v>132500</v>
      </c>
      <c r="H38" s="6" t="n">
        <v>0</v>
      </c>
      <c r="I38" s="6">
        <f>F38-G38-H38</f>
        <v/>
      </c>
      <c r="J38" s="7">
        <f>IF(F38=0,"n.a.",(G38+H38)/F38)</f>
        <v/>
      </c>
      <c r="K38" s="1" t="n">
        <v>1</v>
      </c>
      <c r="L38" s="1" t="inlineStr">
        <is>
          <t>2026-09-16</t>
        </is>
      </c>
      <c r="M38" s="1" t="inlineStr">
        <is>
          <t>2026-09-30</t>
        </is>
      </c>
      <c r="N38" s="1" t="n">
        <v>14</v>
      </c>
      <c r="O38" s="1" t="inlineStr">
        <is>
          <t>OK</t>
        </is>
      </c>
      <c r="P38" s="6" t="n">
        <v>773.64</v>
      </c>
      <c r="Q38" s="1" t="n"/>
    </row>
    <row r="39" ht="21" customHeight="1">
      <c r="A39" s="1" t="n"/>
      <c r="B39" s="1" t="n"/>
      <c r="C39" s="1" t="inlineStr">
        <is>
          <t>P4102608226</t>
        </is>
      </c>
      <c r="D39" s="1" t="inlineStr">
        <is>
          <t>RB Kohlebunker Lübbenau</t>
        </is>
      </c>
      <c r="E39" s="1" t="inlineStr">
        <is>
          <t>Ost</t>
        </is>
      </c>
      <c r="F39" s="6" t="n">
        <v>400.43</v>
      </c>
      <c r="G39" s="6" t="n">
        <v>0</v>
      </c>
      <c r="H39" s="6" t="n">
        <v>0</v>
      </c>
      <c r="I39" s="6">
        <f>F39-G39-H39</f>
        <v/>
      </c>
      <c r="J39" s="7">
        <f>IF(F39=0,"n.a.",(G39+H39)/F39)</f>
        <v/>
      </c>
      <c r="K39" s="1" t="n">
        <v>0</v>
      </c>
      <c r="L39" s="1" t="n"/>
      <c r="M39" s="1" t="inlineStr">
        <is>
          <t>2026-09-30</t>
        </is>
      </c>
      <c r="N39" s="1" t="n">
        <v>107</v>
      </c>
      <c r="O39" s="1" t="inlineStr">
        <is>
          <t>OK</t>
        </is>
      </c>
      <c r="P39" s="6" t="n">
        <v>0</v>
      </c>
      <c r="Q39" s="1" t="n"/>
    </row>
    <row r="40" ht="21" customHeight="1">
      <c r="A40" s="1" t="n"/>
      <c r="B40" s="1" t="n"/>
      <c r="C40" s="1" t="inlineStr">
        <is>
          <t>P4102157468</t>
        </is>
      </c>
      <c r="D40" s="1" t="inlineStr">
        <is>
          <t>Verschr. Kondensattank Kokerei Schwelger</t>
        </is>
      </c>
      <c r="E40" s="1" t="inlineStr">
        <is>
          <t>West</t>
        </is>
      </c>
      <c r="F40" s="6" t="n">
        <v>24696.26</v>
      </c>
      <c r="G40" s="6" t="n">
        <v>-10600</v>
      </c>
      <c r="H40" s="6" t="n">
        <v>0</v>
      </c>
      <c r="I40" s="6">
        <f>F40-G40-H40</f>
        <v/>
      </c>
      <c r="J40" s="7">
        <f>IF(F40=0,"n.a.",(G40+H40)/F40)</f>
        <v/>
      </c>
      <c r="K40" s="1" t="n">
        <v>1</v>
      </c>
      <c r="L40" s="1" t="inlineStr">
        <is>
          <t>2026-09-01</t>
        </is>
      </c>
      <c r="M40" s="1" t="inlineStr">
        <is>
          <t>2026-09-30</t>
        </is>
      </c>
      <c r="N40" s="1" t="n">
        <v>29</v>
      </c>
      <c r="O40" s="1" t="inlineStr">
        <is>
          <t>OHNE_BESTANDSBUCHUNG</t>
        </is>
      </c>
      <c r="P40" s="6" t="n">
        <v>503.14</v>
      </c>
      <c r="Q40" s="1" t="n"/>
    </row>
    <row r="41" ht="21" customHeight="1">
      <c r="A41" s="1" t="n"/>
      <c r="B41" s="1" t="n"/>
      <c r="C41" s="1" t="inlineStr">
        <is>
          <t>P4102608277</t>
        </is>
      </c>
      <c r="D41" s="1" t="inlineStr">
        <is>
          <t>Siebarbeiten KMK Storkow</t>
        </is>
      </c>
      <c r="E41" s="1" t="inlineStr">
        <is>
          <t>Ost</t>
        </is>
      </c>
      <c r="F41" s="6" t="n">
        <v>7367.06</v>
      </c>
      <c r="G41" s="6" t="n">
        <v>9367.07</v>
      </c>
      <c r="H41" s="6" t="n">
        <v>0</v>
      </c>
      <c r="I41" s="6">
        <f>F41-G41-H41</f>
        <v/>
      </c>
      <c r="J41" s="7">
        <f>IF(F41=0,"n.a.",(G41+H41)/F41)</f>
        <v/>
      </c>
      <c r="K41" s="1" t="n">
        <v>1</v>
      </c>
      <c r="L41" s="1" t="inlineStr">
        <is>
          <t>2026-09-30</t>
        </is>
      </c>
      <c r="M41" s="1" t="inlineStr">
        <is>
          <t>2026-09-30</t>
        </is>
      </c>
      <c r="N41" s="1" t="n">
        <v>0</v>
      </c>
      <c r="O41" s="1" t="inlineStr">
        <is>
          <t>OK</t>
        </is>
      </c>
      <c r="P41" s="6" t="n">
        <v>500.62</v>
      </c>
      <c r="Q41" s="1" t="n"/>
    </row>
    <row r="42" ht="21" customHeight="1">
      <c r="A42" s="1" t="n"/>
      <c r="B42" s="1" t="n"/>
      <c r="C42" s="1" t="inlineStr">
        <is>
          <t>P4102307304</t>
        </is>
      </c>
      <c r="D42" s="1" t="inlineStr">
        <is>
          <t>HKW Süd</t>
        </is>
      </c>
      <c r="E42" s="1" t="inlineStr">
        <is>
          <t>Süd-West</t>
        </is>
      </c>
      <c r="F42" s="6" t="n">
        <v>1337.87</v>
      </c>
      <c r="G42" s="6" t="n">
        <v>0.08</v>
      </c>
      <c r="H42" s="6" t="n">
        <v>124.87</v>
      </c>
      <c r="I42" s="6">
        <f>F42-G42-H42</f>
        <v/>
      </c>
      <c r="J42" s="7">
        <f>IF(F42=0,"n.a.",(G42+H42)/F42)</f>
        <v/>
      </c>
      <c r="K42" s="1" t="n">
        <v>13</v>
      </c>
      <c r="L42" s="1" t="inlineStr">
        <is>
          <t>2026-06-30</t>
        </is>
      </c>
      <c r="M42" s="1" t="inlineStr">
        <is>
          <t>2026-09-30</t>
        </is>
      </c>
      <c r="N42" s="1" t="n">
        <v>92</v>
      </c>
      <c r="O42" s="1" t="inlineStr">
        <is>
          <t>LANGE_OHNE_RECHNUNG</t>
        </is>
      </c>
      <c r="P42" s="6" t="n">
        <v>0</v>
      </c>
      <c r="Q42" s="1" t="n"/>
    </row>
    <row r="43" ht="21" customHeight="1">
      <c r="A43" s="1" t="n"/>
      <c r="B43" s="1" t="n"/>
      <c r="C43" s="1" t="inlineStr">
        <is>
          <t>P4102157462</t>
        </is>
      </c>
      <c r="D43" s="1" t="inlineStr">
        <is>
          <t>Waggonverschrottung 2026</t>
        </is>
      </c>
      <c r="E43" s="1" t="inlineStr">
        <is>
          <t>West</t>
        </is>
      </c>
      <c r="F43" s="6" t="n">
        <v>26127.93</v>
      </c>
      <c r="G43" s="6" t="n">
        <v>18107.39</v>
      </c>
      <c r="H43" s="6" t="n">
        <v>0</v>
      </c>
      <c r="I43" s="6">
        <f>F43-G43-H43</f>
        <v/>
      </c>
      <c r="J43" s="7">
        <f>IF(F43=0,"n.a.",(G43+H43)/F43)</f>
        <v/>
      </c>
      <c r="K43" s="1" t="n">
        <v>9</v>
      </c>
      <c r="L43" s="1" t="inlineStr">
        <is>
          <t>2026-05-27</t>
        </is>
      </c>
      <c r="M43" s="1" t="inlineStr">
        <is>
          <t>2026-09-30</t>
        </is>
      </c>
      <c r="N43" s="1" t="n">
        <v>126</v>
      </c>
      <c r="O43" s="1" t="inlineStr">
        <is>
          <t>LANGE_OHNE_RECHNUNG</t>
        </is>
      </c>
      <c r="P43" s="6" t="n">
        <v>239.65</v>
      </c>
      <c r="Q43" s="1" t="n"/>
    </row>
    <row r="44" ht="21" customHeight="1">
      <c r="A44" s="1" t="n"/>
      <c r="B44" s="1" t="n"/>
      <c r="C44" s="1" t="inlineStr">
        <is>
          <t>P4102157466</t>
        </is>
      </c>
      <c r="D44" s="1" t="inlineStr">
        <is>
          <t>Verschrottung Anlagenteile</t>
        </is>
      </c>
      <c r="E44" s="1" t="inlineStr">
        <is>
          <t>West</t>
        </is>
      </c>
      <c r="F44" s="6" t="n">
        <v>8192.09</v>
      </c>
      <c r="G44" s="6" t="n">
        <v>15250</v>
      </c>
      <c r="H44" s="6" t="n">
        <v>0</v>
      </c>
      <c r="I44" s="6">
        <f>F44-G44-H44</f>
        <v/>
      </c>
      <c r="J44" s="7">
        <f>IF(F44=0,"n.a.",(G44+H44)/F44)</f>
        <v/>
      </c>
      <c r="K44" s="1" t="n">
        <v>1</v>
      </c>
      <c r="L44" s="1" t="inlineStr">
        <is>
          <t>2026-06-30</t>
        </is>
      </c>
      <c r="M44" s="1" t="inlineStr">
        <is>
          <t>2026-09-30</t>
        </is>
      </c>
      <c r="N44" s="1" t="n">
        <v>92</v>
      </c>
      <c r="O44" s="1" t="inlineStr">
        <is>
          <t>OK</t>
        </is>
      </c>
      <c r="P44" s="6" t="n">
        <v>0</v>
      </c>
      <c r="Q44" s="1" t="n"/>
    </row>
    <row r="45" ht="21" customHeight="1">
      <c r="A45" s="1" t="n"/>
      <c r="B45" s="1" t="n"/>
      <c r="C45" s="1" t="inlineStr">
        <is>
          <t>P4102157443</t>
        </is>
      </c>
      <c r="D45" s="1" t="inlineStr">
        <is>
          <t>Medice Arzneim. RB 2 Tanks</t>
        </is>
      </c>
      <c r="E45" s="1" t="inlineStr">
        <is>
          <t>West</t>
        </is>
      </c>
      <c r="F45" s="6" t="n">
        <v>0</v>
      </c>
      <c r="G45" s="6" t="n">
        <v>21000</v>
      </c>
      <c r="H45" s="6" t="n">
        <v>-13730.16</v>
      </c>
      <c r="I45" s="6">
        <f>F45-G45-H45</f>
        <v/>
      </c>
      <c r="J45" s="7">
        <f>IF(F45=0,"n.a.",(G45+H45)/F45)</f>
        <v/>
      </c>
      <c r="K45" s="1" t="n">
        <v>1</v>
      </c>
      <c r="L45" s="1" t="inlineStr">
        <is>
          <t>2026-05-31</t>
        </is>
      </c>
      <c r="M45" s="1" t="inlineStr">
        <is>
          <t>2026-09-30</t>
        </is>
      </c>
      <c r="N45" s="1" t="n">
        <v>122</v>
      </c>
      <c r="O45" s="1" t="inlineStr">
        <is>
          <t>OK</t>
        </is>
      </c>
      <c r="P45" s="6" t="n">
        <v>0</v>
      </c>
      <c r="Q45" s="1" t="n"/>
    </row>
    <row r="46" ht="21" customHeight="1">
      <c r="A46" s="1" t="n"/>
      <c r="B46" s="1" t="n"/>
      <c r="C46" s="1" t="inlineStr">
        <is>
          <t>P4102157456</t>
        </is>
      </c>
      <c r="D46" s="1" t="inlineStr">
        <is>
          <t>RB und Entsorgung Fundament Schleifbank</t>
        </is>
      </c>
      <c r="E46" s="1" t="inlineStr">
        <is>
          <t>West</t>
        </is>
      </c>
      <c r="F46" s="6" t="n">
        <v>69993.84</v>
      </c>
      <c r="G46" s="6" t="n">
        <v>103280</v>
      </c>
      <c r="H46" s="6" t="n">
        <v>0</v>
      </c>
      <c r="I46" s="6">
        <f>F46-G46-H46</f>
        <v/>
      </c>
      <c r="J46" s="7">
        <f>IF(F46=0,"n.a.",(G46+H46)/F46)</f>
        <v/>
      </c>
      <c r="K46" s="1" t="n">
        <v>9</v>
      </c>
      <c r="L46" s="1" t="inlineStr">
        <is>
          <t>2026-07-31</t>
        </is>
      </c>
      <c r="M46" s="1" t="inlineStr">
        <is>
          <t>2026-09-30</t>
        </is>
      </c>
      <c r="N46" s="1" t="n">
        <v>61</v>
      </c>
      <c r="O46" s="1" t="inlineStr">
        <is>
          <t>VORAUSBERECHNET</t>
        </is>
      </c>
      <c r="P46" s="6" t="n">
        <v>0</v>
      </c>
      <c r="Q46" s="1" t="n"/>
    </row>
    <row r="47" ht="21" customHeight="1">
      <c r="A47" s="1" t="n"/>
      <c r="B47" s="1" t="n"/>
      <c r="C47" s="1" t="inlineStr">
        <is>
          <t>P4102157431</t>
        </is>
      </c>
      <c r="D47" s="1" t="inlineStr">
        <is>
          <t>RB drei Sandfilter</t>
        </is>
      </c>
      <c r="E47" s="1" t="inlineStr">
        <is>
          <t>West</t>
        </is>
      </c>
      <c r="F47" s="6" t="n">
        <v>0</v>
      </c>
      <c r="G47" s="6" t="n">
        <v>19000</v>
      </c>
      <c r="H47" s="6" t="n">
        <v>-24683.12</v>
      </c>
      <c r="I47" s="6">
        <f>F47-G47-H47</f>
        <v/>
      </c>
      <c r="J47" s="7">
        <f>IF(F47=0,"n.a.",(G47+H47)/F47)</f>
        <v/>
      </c>
      <c r="K47" s="1" t="n">
        <v>1</v>
      </c>
      <c r="L47" s="1" t="inlineStr">
        <is>
          <t>2026-05-31</t>
        </is>
      </c>
      <c r="M47" s="1" t="inlineStr">
        <is>
          <t>2026-09-30</t>
        </is>
      </c>
      <c r="N47" s="1" t="n">
        <v>122</v>
      </c>
      <c r="O47" s="1" t="inlineStr">
        <is>
          <t>OK</t>
        </is>
      </c>
      <c r="P47" s="6" t="n">
        <v>0</v>
      </c>
      <c r="Q47" s="1" t="n"/>
    </row>
    <row r="48" ht="21" customHeight="1">
      <c r="A48" s="1" t="n"/>
      <c r="B48" s="1" t="n"/>
      <c r="C48" s="1" t="inlineStr">
        <is>
          <t>P4102307436</t>
        </is>
      </c>
      <c r="D48" s="1" t="inlineStr">
        <is>
          <t>BASF O 914 - O 915</t>
        </is>
      </c>
      <c r="E48" s="1" t="inlineStr">
        <is>
          <t>Süd-West</t>
        </is>
      </c>
      <c r="F48" s="6" t="n">
        <v>56256.37</v>
      </c>
      <c r="G48" s="6" t="n">
        <v>51822.08</v>
      </c>
      <c r="H48" s="6" t="n">
        <v>5723.3</v>
      </c>
      <c r="I48" s="6">
        <f>F48-G48-H48</f>
        <v/>
      </c>
      <c r="J48" s="7">
        <f>IF(F48=0,"n.a.",(G48+H48)/F48)</f>
        <v/>
      </c>
      <c r="K48" s="1" t="n">
        <v>15</v>
      </c>
      <c r="L48" s="1" t="inlineStr">
        <is>
          <t>2026-05-28</t>
        </is>
      </c>
      <c r="M48" s="1" t="inlineStr">
        <is>
          <t>2026-09-30</t>
        </is>
      </c>
      <c r="N48" s="1" t="n">
        <v>125</v>
      </c>
      <c r="O48" s="1" t="inlineStr">
        <is>
          <t>LANGE_OHNE_RECHNUNG</t>
        </is>
      </c>
      <c r="P48" s="6" t="n">
        <v>0</v>
      </c>
      <c r="Q48" s="1" t="n"/>
    </row>
    <row r="49" ht="21" customHeight="1">
      <c r="A49" s="1" t="n"/>
      <c r="B49" s="1" t="n"/>
      <c r="C49" s="1" t="inlineStr">
        <is>
          <t>P4102307432</t>
        </is>
      </c>
      <c r="D49" s="1" t="inlineStr">
        <is>
          <t>HNVG - Bauph. III Gaswerk</t>
        </is>
      </c>
      <c r="E49" s="1" t="inlineStr">
        <is>
          <t>Süd-West</t>
        </is>
      </c>
      <c r="F49" s="6" t="n">
        <v>30600</v>
      </c>
      <c r="G49" s="6" t="n">
        <v>85258.00999999999</v>
      </c>
      <c r="H49" s="6" t="n">
        <v>-39732.85</v>
      </c>
      <c r="I49" s="6">
        <f>F49-G49-H49</f>
        <v/>
      </c>
      <c r="J49" s="7">
        <f>IF(F49=0,"n.a.",(G49+H49)/F49)</f>
        <v/>
      </c>
      <c r="K49" s="1" t="n">
        <v>13</v>
      </c>
      <c r="L49" s="1" t="inlineStr">
        <is>
          <t>2026-06-30</t>
        </is>
      </c>
      <c r="M49" s="1" t="inlineStr">
        <is>
          <t>2026-09-30</t>
        </is>
      </c>
      <c r="N49" s="1" t="n">
        <v>92</v>
      </c>
      <c r="O49" s="1" t="inlineStr">
        <is>
          <t>OK</t>
        </is>
      </c>
      <c r="P49" s="6" t="n">
        <v>0</v>
      </c>
      <c r="Q49" s="1" t="n"/>
    </row>
    <row r="50" ht="21" customHeight="1">
      <c r="A50" s="1" t="n"/>
      <c r="B50" s="1" t="n"/>
      <c r="C50" s="1" t="inlineStr">
        <is>
          <t>P4102608258</t>
        </is>
      </c>
      <c r="D50" s="1" t="inlineStr">
        <is>
          <t>BTU Dachsanierung Halle 3b</t>
        </is>
      </c>
      <c r="E50" s="1" t="inlineStr">
        <is>
          <t>Ost</t>
        </is>
      </c>
      <c r="F50" s="6" t="n">
        <v>0</v>
      </c>
      <c r="G50" s="6" t="n">
        <v>125327.66</v>
      </c>
      <c r="H50" s="6" t="n">
        <v>-44321.39</v>
      </c>
      <c r="I50" s="6">
        <f>F50-G50-H50</f>
        <v/>
      </c>
      <c r="J50" s="7">
        <f>IF(F50=0,"n.a.",(G50+H50)/F50)</f>
        <v/>
      </c>
      <c r="K50" s="1" t="n">
        <v>1</v>
      </c>
      <c r="L50" s="1" t="inlineStr">
        <is>
          <t>2026-03-31</t>
        </is>
      </c>
      <c r="M50" s="1" t="inlineStr">
        <is>
          <t>2026-09-30</t>
        </is>
      </c>
      <c r="N50" s="1" t="n">
        <v>183</v>
      </c>
      <c r="O50" s="1" t="inlineStr">
        <is>
          <t>OK</t>
        </is>
      </c>
      <c r="P50" s="6" t="n">
        <v>0</v>
      </c>
      <c r="Q50" s="1" t="n"/>
    </row>
    <row r="51" ht="21" customHeight="1">
      <c r="A51" s="1" t="n"/>
      <c r="B51" s="1" t="n"/>
      <c r="C51" s="1" t="inlineStr">
        <is>
          <t>P4102157457</t>
        </is>
      </c>
      <c r="D51" s="1" t="inlineStr">
        <is>
          <t>tkse RB 2026</t>
        </is>
      </c>
      <c r="E51" s="1" t="inlineStr">
        <is>
          <t>West</t>
        </is>
      </c>
      <c r="F51" s="6" t="n">
        <v>133602.97</v>
      </c>
      <c r="G51" s="6" t="n">
        <v>273337.79</v>
      </c>
      <c r="H51" s="6" t="n">
        <v>0</v>
      </c>
      <c r="I51" s="6">
        <f>F51-G51-H51</f>
        <v/>
      </c>
      <c r="J51" s="7">
        <f>IF(F51=0,"n.a.",(G51+H51)/F51)</f>
        <v/>
      </c>
      <c r="K51" s="1" t="n">
        <v>44</v>
      </c>
      <c r="L51" s="1" t="inlineStr">
        <is>
          <t>2026-09-30</t>
        </is>
      </c>
      <c r="M51" s="1" t="inlineStr">
        <is>
          <t>2026-09-30</t>
        </is>
      </c>
      <c r="N51" s="1" t="n">
        <v>0</v>
      </c>
      <c r="O51" s="1" t="inlineStr">
        <is>
          <t>VORAUSBERECHNET</t>
        </is>
      </c>
      <c r="P51" s="6" t="n">
        <v>3291.09</v>
      </c>
      <c r="Q51" s="1" t="n"/>
    </row>
    <row r="52" ht="21" customHeight="1">
      <c r="A52" s="1" t="n"/>
      <c r="B52" s="1" t="n"/>
      <c r="C52" s="1" t="inlineStr">
        <is>
          <t>P4102157453</t>
        </is>
      </c>
      <c r="D52" s="1" t="inlineStr">
        <is>
          <t>Wbw 4 Hallenrückbau</t>
        </is>
      </c>
      <c r="E52" s="1" t="inlineStr">
        <is>
          <t>West</t>
        </is>
      </c>
      <c r="F52" s="6" t="n">
        <v>587803.89</v>
      </c>
      <c r="G52" s="6" t="n">
        <v>1061843.94</v>
      </c>
      <c r="H52" s="6" t="n">
        <v>-0.01</v>
      </c>
      <c r="I52" s="6">
        <f>F52-G52-H52</f>
        <v/>
      </c>
      <c r="J52" s="7">
        <f>IF(F52=0,"n.a.",(G52+H52)/F52)</f>
        <v/>
      </c>
      <c r="K52" s="1" t="n">
        <v>18</v>
      </c>
      <c r="L52" s="1" t="inlineStr">
        <is>
          <t>2026-06-30</t>
        </is>
      </c>
      <c r="M52" s="1" t="inlineStr">
        <is>
          <t>2026-09-30</t>
        </is>
      </c>
      <c r="N52" s="1" t="n">
        <v>92</v>
      </c>
      <c r="O52" s="1" t="inlineStr">
        <is>
          <t>OK</t>
        </is>
      </c>
      <c r="P52" s="6" t="n">
        <v>808.46</v>
      </c>
      <c r="Q52" s="1" t="n"/>
    </row>
    <row r="53" ht="21" customHeight="1">
      <c r="A53" s="1" t="n"/>
      <c r="B53" s="1" t="n"/>
      <c r="C53" s="1" t="inlineStr">
        <is>
          <t>P4102658269</t>
        </is>
      </c>
      <c r="D53" s="1" t="inlineStr">
        <is>
          <t>B102 OD Jüterbog Alte Nuthe</t>
        </is>
      </c>
      <c r="E53" s="1" t="inlineStr">
        <is>
          <t>Berlin</t>
        </is>
      </c>
      <c r="F53" s="6" t="n">
        <v>2708.05</v>
      </c>
      <c r="G53" s="6" t="n">
        <v>16030.23</v>
      </c>
      <c r="H53" s="6" t="n">
        <v>0</v>
      </c>
      <c r="I53" s="6">
        <f>F53-G53-H53</f>
        <v/>
      </c>
      <c r="J53" s="7">
        <f>IF(F53=0,"n.a.",(G53+H53)/F53)</f>
        <v/>
      </c>
      <c r="K53" s="1" t="n">
        <v>12</v>
      </c>
      <c r="L53" s="1" t="inlineStr">
        <is>
          <t>2026-06-30</t>
        </is>
      </c>
      <c r="M53" s="1" t="inlineStr">
        <is>
          <t>2026-09-30</t>
        </is>
      </c>
      <c r="N53" s="1" t="n">
        <v>92</v>
      </c>
      <c r="O53" s="1" t="inlineStr">
        <is>
          <t>OK</t>
        </is>
      </c>
      <c r="P53" s="6" t="n">
        <v>0</v>
      </c>
      <c r="Q53" s="1" t="n"/>
    </row>
    <row r="54" ht="21" customHeight="1">
      <c r="A54" s="1" t="n"/>
      <c r="B54" s="1" t="n"/>
      <c r="C54" s="1" t="inlineStr">
        <is>
          <t>P4102157472</t>
        </is>
      </c>
      <c r="D54" s="1" t="inlineStr">
        <is>
          <t>Kaltwindleitung SMB</t>
        </is>
      </c>
      <c r="E54" s="1" t="inlineStr">
        <is>
          <t>West</t>
        </is>
      </c>
      <c r="F54" s="6" t="n">
        <v>-4915.35</v>
      </c>
      <c r="G54" s="6" t="n">
        <v>0</v>
      </c>
      <c r="H54" s="6" t="n">
        <v>0</v>
      </c>
      <c r="I54" s="6">
        <f>F54-G54-H54</f>
        <v/>
      </c>
      <c r="J54" s="7">
        <f>IF(F54=0,"n.a.",(G54+H54)/F54)</f>
        <v/>
      </c>
      <c r="K54" s="1" t="n">
        <v>0</v>
      </c>
      <c r="L54" s="1" t="n"/>
      <c r="M54" s="1" t="inlineStr">
        <is>
          <t>2026-09-30</t>
        </is>
      </c>
      <c r="N54" s="1" t="n">
        <v>40</v>
      </c>
      <c r="O54" s="1" t="inlineStr">
        <is>
          <t>OK</t>
        </is>
      </c>
      <c r="P54" s="6" t="n">
        <v>96.89</v>
      </c>
      <c r="Q54" s="1" t="n"/>
    </row>
    <row r="55" ht="21" customHeight="1">
      <c r="A55" s="1" t="n"/>
      <c r="B55" s="1" t="n"/>
      <c r="C55" s="1" t="inlineStr">
        <is>
          <t>P4102307444</t>
        </is>
      </c>
      <c r="D55" s="1" t="inlineStr">
        <is>
          <t>BASF  N 416-O 405</t>
        </is>
      </c>
      <c r="E55" s="1" t="inlineStr">
        <is>
          <t>Süd-West</t>
        </is>
      </c>
      <c r="F55" s="6" t="n">
        <v>214346.41</v>
      </c>
      <c r="G55" s="6" t="n">
        <v>53164.67</v>
      </c>
      <c r="H55" s="6" t="n">
        <v>0</v>
      </c>
      <c r="I55" s="6">
        <f>F55-G55-H55</f>
        <v/>
      </c>
      <c r="J55" s="7">
        <f>IF(F55=0,"n.a.",(G55+H55)/F55)</f>
        <v/>
      </c>
      <c r="K55" s="1" t="n">
        <v>4</v>
      </c>
      <c r="L55" s="1" t="inlineStr">
        <is>
          <t>2026-09-01</t>
        </is>
      </c>
      <c r="M55" s="1" t="inlineStr">
        <is>
          <t>2026-09-30</t>
        </is>
      </c>
      <c r="N55" s="1" t="n">
        <v>29</v>
      </c>
      <c r="O55" s="1" t="inlineStr">
        <is>
          <t>OHNE_BESTANDSBUCHUNG</t>
        </is>
      </c>
      <c r="P55" s="6" t="n">
        <v>9548.870000000001</v>
      </c>
      <c r="Q55" s="1" t="n"/>
    </row>
    <row r="56" ht="21" customHeight="1">
      <c r="A56" s="1" t="n"/>
      <c r="B56" s="1" t="n"/>
      <c r="C56" s="1" t="inlineStr">
        <is>
          <t>P4102157420</t>
        </is>
      </c>
      <c r="D56" s="1" t="inlineStr">
        <is>
          <t>ARGE RB GWA+SGA 4</t>
        </is>
      </c>
      <c r="E56" s="1" t="inlineStr">
        <is>
          <t>West</t>
        </is>
      </c>
      <c r="F56" s="6" t="n">
        <v>1091.42</v>
      </c>
      <c r="G56" s="6" t="n">
        <v>0</v>
      </c>
      <c r="H56" s="6" t="n">
        <v>0</v>
      </c>
      <c r="I56" s="6">
        <f>F56-G56-H56</f>
        <v/>
      </c>
      <c r="J56" s="7">
        <f>IF(F56=0,"n.a.",(G56+H56)/F56)</f>
        <v/>
      </c>
      <c r="K56" s="1" t="n">
        <v>4</v>
      </c>
      <c r="L56" s="1" t="inlineStr">
        <is>
          <t>2026-01-31</t>
        </is>
      </c>
      <c r="M56" s="1" t="inlineStr">
        <is>
          <t>2026-09-30</t>
        </is>
      </c>
      <c r="N56" s="1" t="n">
        <v>242</v>
      </c>
      <c r="O56" s="1" t="inlineStr">
        <is>
          <t>LANGE_OHNE_RECHNUNG</t>
        </is>
      </c>
      <c r="P56" s="6" t="n">
        <v>6.78</v>
      </c>
      <c r="Q56" s="1" t="n"/>
    </row>
    <row r="57" ht="21" customHeight="1">
      <c r="A57" s="1" t="n"/>
      <c r="B57" s="1" t="n"/>
      <c r="C57" s="1" t="inlineStr">
        <is>
          <t>P4102658256</t>
        </is>
      </c>
      <c r="D57" s="1" t="inlineStr">
        <is>
          <t>Schleuse Wolfswinkel</t>
        </is>
      </c>
      <c r="E57" s="1" t="inlineStr">
        <is>
          <t>Ohne Zuordnung</t>
        </is>
      </c>
      <c r="F57" s="6" t="n">
        <v>60199.34</v>
      </c>
      <c r="G57" s="6" t="n">
        <v>302672.02</v>
      </c>
      <c r="H57" s="6" t="n">
        <v>-70767.05</v>
      </c>
      <c r="I57" s="6">
        <f>F57-G57-H57</f>
        <v/>
      </c>
      <c r="J57" s="7">
        <f>IF(F57=0,"n.a.",(G57+H57)/F57)</f>
        <v/>
      </c>
      <c r="K57" s="1" t="n">
        <v>21</v>
      </c>
      <c r="L57" s="1" t="inlineStr">
        <is>
          <t>2026-06-30</t>
        </is>
      </c>
      <c r="M57" s="1" t="inlineStr">
        <is>
          <t>2026-09-30</t>
        </is>
      </c>
      <c r="N57" s="1" t="n">
        <v>92</v>
      </c>
      <c r="O57" s="1" t="inlineStr">
        <is>
          <t>OK</t>
        </is>
      </c>
      <c r="P57" s="6" t="n">
        <v>243.46</v>
      </c>
      <c r="Q57" s="1" t="n"/>
    </row>
    <row r="58" ht="21" customHeight="1">
      <c r="A58" s="1" t="n"/>
      <c r="B58" s="1" t="n"/>
      <c r="C58" s="1" t="inlineStr">
        <is>
          <t>P4102157439</t>
        </is>
      </c>
      <c r="D58" s="1" t="inlineStr">
        <is>
          <t>RB Sperrmüllschereefeld</t>
        </is>
      </c>
      <c r="E58" s="1" t="inlineStr">
        <is>
          <t>West</t>
        </is>
      </c>
      <c r="F58" s="6" t="n">
        <v>0</v>
      </c>
      <c r="G58" s="6" t="n">
        <v>37284</v>
      </c>
      <c r="H58" s="6" t="n">
        <v>0</v>
      </c>
      <c r="I58" s="6">
        <f>F58-G58-H58</f>
        <v/>
      </c>
      <c r="J58" s="7">
        <f>IF(F58=0,"n.a.",(G58+H58)/F58)</f>
        <v/>
      </c>
      <c r="K58" s="1" t="n">
        <v>1</v>
      </c>
      <c r="L58" s="1" t="inlineStr">
        <is>
          <t>2026-05-31</t>
        </is>
      </c>
      <c r="M58" s="1" t="inlineStr">
        <is>
          <t>2026-09-30</t>
        </is>
      </c>
      <c r="N58" s="1" t="n">
        <v>122</v>
      </c>
      <c r="O58" s="1" t="inlineStr">
        <is>
          <t>VORAUSBERECHNET</t>
        </is>
      </c>
      <c r="P58" s="6" t="n">
        <v>0</v>
      </c>
      <c r="Q58" s="1" t="n"/>
    </row>
    <row r="59" ht="21" customHeight="1">
      <c r="A59" s="1" t="n"/>
      <c r="B59" s="1" t="n"/>
      <c r="C59" s="1" t="inlineStr">
        <is>
          <t>P4102608264</t>
        </is>
      </c>
      <c r="D59" s="1" t="inlineStr">
        <is>
          <t>Mastrückbau Mainflingen</t>
        </is>
      </c>
      <c r="E59" s="1" t="inlineStr">
        <is>
          <t>Ost</t>
        </is>
      </c>
      <c r="F59" s="6" t="n">
        <v>583.34</v>
      </c>
      <c r="G59" s="6" t="n">
        <v>0</v>
      </c>
      <c r="H59" s="6" t="n">
        <v>0</v>
      </c>
      <c r="I59" s="6">
        <f>F59-G59-H59</f>
        <v/>
      </c>
      <c r="J59" s="7">
        <f>IF(F59=0,"n.a.",(G59+H59)/F59)</f>
        <v/>
      </c>
      <c r="K59" s="1" t="n">
        <v>0</v>
      </c>
      <c r="L59" s="1" t="n"/>
      <c r="M59" s="1" t="inlineStr">
        <is>
          <t>2026-09-30</t>
        </is>
      </c>
      <c r="N59" s="1" t="n">
        <v>272</v>
      </c>
      <c r="O59" s="1" t="inlineStr">
        <is>
          <t>OK</t>
        </is>
      </c>
      <c r="P59" s="6" t="n">
        <v>0</v>
      </c>
      <c r="Q59" s="1" t="n"/>
    </row>
    <row r="60" ht="21" customHeight="1">
      <c r="A60" s="1" t="n"/>
      <c r="B60" s="1" t="n"/>
      <c r="C60" s="1" t="inlineStr">
        <is>
          <t>P4102307411</t>
        </is>
      </c>
      <c r="D60" s="1" t="inlineStr">
        <is>
          <t>BASF G 521</t>
        </is>
      </c>
      <c r="E60" s="1" t="inlineStr">
        <is>
          <t>Süd-West</t>
        </is>
      </c>
      <c r="F60" s="6" t="n">
        <v>0</v>
      </c>
      <c r="G60" s="6" t="n">
        <v>0</v>
      </c>
      <c r="H60" s="6" t="n">
        <v>0</v>
      </c>
      <c r="I60" s="6">
        <f>F60-G60-H60</f>
        <v/>
      </c>
      <c r="J60" s="7">
        <f>IF(F60=0,"n.a.",(G60+H60)/F60)</f>
        <v/>
      </c>
      <c r="K60" s="1" t="n">
        <v>0</v>
      </c>
      <c r="L60" s="1" t="n"/>
      <c r="M60" s="1" t="inlineStr">
        <is>
          <t>2026-09-30</t>
        </is>
      </c>
      <c r="N60" s="1" t="n"/>
      <c r="O60" s="1" t="inlineStr">
        <is>
          <t>OK</t>
        </is>
      </c>
      <c r="P60" s="6" t="n">
        <v>0</v>
      </c>
      <c r="Q60" s="1" t="n"/>
    </row>
    <row r="61" ht="21" customHeight="1">
      <c r="C61" s="8" t="inlineStr">
        <is>
          <t>P4102657982</t>
        </is>
      </c>
      <c r="D61" s="8" t="inlineStr">
        <is>
          <t>Kleinaufträge</t>
        </is>
      </c>
      <c r="E61" s="8" t="inlineStr">
        <is>
          <t>Berlin</t>
        </is>
      </c>
      <c r="F61" s="9" t="n">
        <v>0</v>
      </c>
      <c r="G61" s="9" t="n">
        <v>8250</v>
      </c>
      <c r="H61" s="9" t="n">
        <v>0</v>
      </c>
      <c r="I61" s="9">
        <f>F61-G61-H61</f>
        <v/>
      </c>
      <c r="J61" s="10">
        <f>IF(F61=0,"n.a.",(G61+H61)/F61)</f>
        <v/>
      </c>
      <c r="K61" s="8" t="n">
        <v>1</v>
      </c>
      <c r="L61" s="8" t="inlineStr">
        <is>
          <t>2026-09-16</t>
        </is>
      </c>
      <c r="M61" s="8" t="inlineStr">
        <is>
          <t>2026-09-30</t>
        </is>
      </c>
      <c r="N61" s="8" t="n">
        <v>14</v>
      </c>
      <c r="O61" s="8" t="inlineStr">
        <is>
          <t>OK</t>
        </is>
      </c>
      <c r="P61" s="9" t="n">
        <v>0</v>
      </c>
    </row>
    <row r="62" ht="21" customHeight="1">
      <c r="C62" s="8" t="inlineStr">
        <is>
          <t>P4102608265</t>
        </is>
      </c>
      <c r="D62" s="8" t="inlineStr">
        <is>
          <t>RB Gebäude Grüneberg</t>
        </is>
      </c>
      <c r="E62" s="8" t="inlineStr">
        <is>
          <t>Ost</t>
        </is>
      </c>
      <c r="F62" s="9" t="n">
        <v>3096.72</v>
      </c>
      <c r="G62" s="9" t="n">
        <v>0</v>
      </c>
      <c r="H62" s="9" t="n">
        <v>0</v>
      </c>
      <c r="I62" s="9">
        <f>F62-G62-H62</f>
        <v/>
      </c>
      <c r="J62" s="10">
        <f>IF(F62=0,"n.a.",(G62+H62)/F62)</f>
        <v/>
      </c>
      <c r="K62" s="8" t="n">
        <v>0</v>
      </c>
      <c r="L62" s="8" t="n"/>
      <c r="M62" s="8" t="inlineStr">
        <is>
          <t>2026-09-30</t>
        </is>
      </c>
      <c r="N62" s="8" t="n">
        <v>272</v>
      </c>
      <c r="O62" s="8" t="inlineStr">
        <is>
          <t>LANGE_OHNE_RECHNUNG</t>
        </is>
      </c>
      <c r="P62" s="9" t="n">
        <v>0</v>
      </c>
    </row>
    <row r="63" ht="21" customHeight="1">
      <c r="C63" s="8" t="inlineStr">
        <is>
          <t>P4102608270</t>
        </is>
      </c>
      <c r="D63" s="8" t="inlineStr">
        <is>
          <t>Baggergestellung LH 956 Jänschwalde</t>
        </is>
      </c>
      <c r="E63" s="8" t="inlineStr">
        <is>
          <t>Ost</t>
        </is>
      </c>
      <c r="F63" s="9" t="n">
        <v>18129.38</v>
      </c>
      <c r="G63" s="9" t="n">
        <v>99403.64</v>
      </c>
      <c r="H63" s="9" t="n">
        <v>0</v>
      </c>
      <c r="I63" s="9">
        <f>F63-G63-H63</f>
        <v/>
      </c>
      <c r="J63" s="10">
        <f>IF(F63=0,"n.a.",(G63+H63)/F63)</f>
        <v/>
      </c>
      <c r="K63" s="8" t="n">
        <v>6</v>
      </c>
      <c r="L63" s="8" t="inlineStr">
        <is>
          <t>2026-07-31</t>
        </is>
      </c>
      <c r="M63" s="8" t="inlineStr">
        <is>
          <t>2026-09-30</t>
        </is>
      </c>
      <c r="N63" s="8" t="n">
        <v>61</v>
      </c>
      <c r="O63" s="8" t="inlineStr">
        <is>
          <t>VORAUSBERECHNET</t>
        </is>
      </c>
      <c r="P63" s="9" t="n">
        <v>1815.45</v>
      </c>
    </row>
    <row r="64" ht="21" customHeight="1">
      <c r="C64" s="8" t="inlineStr">
        <is>
          <t>P4102309046</t>
        </is>
      </c>
      <c r="D64" s="8" t="inlineStr">
        <is>
          <t>Sonstige Kleinmaßnahmen</t>
        </is>
      </c>
      <c r="E64" s="8" t="inlineStr">
        <is>
          <t>Süd-West</t>
        </is>
      </c>
      <c r="F64" s="9" t="n">
        <v>15778</v>
      </c>
      <c r="G64" s="9" t="n">
        <v>24410.59</v>
      </c>
      <c r="H64" s="9" t="n">
        <v>0</v>
      </c>
      <c r="I64" s="9">
        <f>F64-G64-H64</f>
        <v/>
      </c>
      <c r="J64" s="10">
        <f>IF(F64=0,"n.a.",(G64+H64)/F64)</f>
        <v/>
      </c>
      <c r="K64" s="8" t="n">
        <v>3</v>
      </c>
      <c r="L64" s="8" t="inlineStr">
        <is>
          <t>2026-06-15</t>
        </is>
      </c>
      <c r="M64" s="8" t="inlineStr">
        <is>
          <t>2026-09-30</t>
        </is>
      </c>
      <c r="N64" s="8" t="n">
        <v>107</v>
      </c>
      <c r="O64" s="8" t="inlineStr">
        <is>
          <t>OK</t>
        </is>
      </c>
      <c r="P64" s="9" t="n">
        <v>0</v>
      </c>
    </row>
    <row r="65" ht="21" customHeight="1">
      <c r="C65" s="8" t="inlineStr">
        <is>
          <t>P4102307428</t>
        </is>
      </c>
      <c r="D65" s="8" t="inlineStr">
        <is>
          <t>BASF O 405</t>
        </is>
      </c>
      <c r="E65" s="8" t="inlineStr">
        <is>
          <t>Süd-West</t>
        </is>
      </c>
      <c r="F65" s="9" t="n">
        <v>7367.86</v>
      </c>
      <c r="G65" s="9" t="n">
        <v>149536.25</v>
      </c>
      <c r="H65" s="9" t="n">
        <v>0</v>
      </c>
      <c r="I65" s="9">
        <f>F65-G65-H65</f>
        <v/>
      </c>
      <c r="J65" s="10">
        <f>IF(F65=0,"n.a.",(G65+H65)/F65)</f>
        <v/>
      </c>
      <c r="K65" s="8" t="n">
        <v>4</v>
      </c>
      <c r="L65" s="8" t="inlineStr">
        <is>
          <t>2026-04-30</t>
        </is>
      </c>
      <c r="M65" s="8" t="inlineStr">
        <is>
          <t>2026-09-30</t>
        </is>
      </c>
      <c r="N65" s="8" t="n">
        <v>153</v>
      </c>
      <c r="O65" s="8" t="inlineStr">
        <is>
          <t>VORAUSBERECHNET</t>
        </is>
      </c>
      <c r="P65" s="9" t="n">
        <v>0</v>
      </c>
    </row>
    <row r="66" ht="21" customHeight="1">
      <c r="C66" s="8" t="inlineStr">
        <is>
          <t>P4102602023</t>
        </is>
      </c>
      <c r="D66" s="8" t="inlineStr">
        <is>
          <t>nachlaufende Kosten</t>
        </is>
      </c>
      <c r="E66" s="8" t="inlineStr">
        <is>
          <t>Ost</t>
        </is>
      </c>
      <c r="F66" s="9" t="n">
        <v>5293.57</v>
      </c>
      <c r="G66" s="9" t="n">
        <v>0</v>
      </c>
      <c r="H66" s="9" t="n">
        <v>0</v>
      </c>
      <c r="I66" s="9">
        <f>F66-G66-H66</f>
        <v/>
      </c>
      <c r="J66" s="10">
        <f>IF(F66=0,"n.a.",(G66+H66)/F66)</f>
        <v/>
      </c>
      <c r="K66" s="8" t="n">
        <v>0</v>
      </c>
      <c r="L66" s="8" t="n"/>
      <c r="M66" s="8" t="inlineStr">
        <is>
          <t>2026-09-30</t>
        </is>
      </c>
      <c r="N66" s="8" t="n">
        <v>244</v>
      </c>
      <c r="O66" s="8" t="inlineStr">
        <is>
          <t>LANGE_OHNE_RECHNUNG</t>
        </is>
      </c>
      <c r="P66" s="9" t="n">
        <v>0</v>
      </c>
    </row>
    <row r="67" ht="21" customHeight="1">
      <c r="C67" s="8" t="inlineStr">
        <is>
          <t>P4102307442</t>
        </is>
      </c>
      <c r="D67" s="8" t="inlineStr">
        <is>
          <t>Leingarten Schwimmhalle 1</t>
        </is>
      </c>
      <c r="E67" s="8" t="inlineStr">
        <is>
          <t>Süd-West</t>
        </is>
      </c>
      <c r="F67" s="9" t="n">
        <v>66420.21000000001</v>
      </c>
      <c r="G67" s="9" t="n">
        <v>6653.7</v>
      </c>
      <c r="H67" s="9" t="n">
        <v>78085.17999999999</v>
      </c>
      <c r="I67" s="9">
        <f>F67-G67-H67</f>
        <v/>
      </c>
      <c r="J67" s="10">
        <f>IF(F67=0,"n.a.",(G67+H67)/F67)</f>
        <v/>
      </c>
      <c r="K67" s="8" t="n">
        <v>7</v>
      </c>
      <c r="L67" s="8" t="inlineStr">
        <is>
          <t>2026-07-31</t>
        </is>
      </c>
      <c r="M67" s="8" t="inlineStr">
        <is>
          <t>2026-09-30</t>
        </is>
      </c>
      <c r="N67" s="8" t="n">
        <v>61</v>
      </c>
      <c r="O67" s="8" t="inlineStr">
        <is>
          <t>LANGE_OHNE_RECHNUNG</t>
        </is>
      </c>
      <c r="P67" s="9" t="n">
        <v>-40.78</v>
      </c>
    </row>
    <row r="68" ht="21" customHeight="1">
      <c r="C68" s="8" t="inlineStr">
        <is>
          <t>P4102157465</t>
        </is>
      </c>
      <c r="D68" s="8" t="inlineStr">
        <is>
          <t>Reinigungsarbeiten Block B</t>
        </is>
      </c>
      <c r="E68" s="8" t="inlineStr">
        <is>
          <t>West</t>
        </is>
      </c>
      <c r="F68" s="9" t="n">
        <v>8117.03</v>
      </c>
      <c r="G68" s="9" t="n">
        <v>16000</v>
      </c>
      <c r="H68" s="9" t="n">
        <v>0</v>
      </c>
      <c r="I68" s="9">
        <f>F68-G68-H68</f>
        <v/>
      </c>
      <c r="J68" s="10">
        <f>IF(F68=0,"n.a.",(G68+H68)/F68)</f>
        <v/>
      </c>
      <c r="K68" s="8" t="n">
        <v>1</v>
      </c>
      <c r="L68" s="8" t="inlineStr">
        <is>
          <t>2026-05-31</t>
        </is>
      </c>
      <c r="M68" s="8" t="inlineStr">
        <is>
          <t>2026-09-30</t>
        </is>
      </c>
      <c r="N68" s="8" t="n">
        <v>122</v>
      </c>
      <c r="O68" s="8" t="inlineStr">
        <is>
          <t>OK</t>
        </is>
      </c>
      <c r="P68" s="9" t="n">
        <v>0</v>
      </c>
    </row>
    <row r="69" ht="21" customHeight="1">
      <c r="C69" s="8" t="inlineStr">
        <is>
          <t>P4102658250</t>
        </is>
      </c>
      <c r="D69" s="8" t="inlineStr">
        <is>
          <t>Parkallee Velten, Brücke Stichkanal</t>
        </is>
      </c>
      <c r="E69" s="8" t="inlineStr">
        <is>
          <t>Berlin</t>
        </is>
      </c>
      <c r="F69" s="9" t="n">
        <v>-8.970000000000001</v>
      </c>
      <c r="G69" s="9" t="n">
        <v>-39809.7</v>
      </c>
      <c r="H69" s="9" t="n">
        <v>0</v>
      </c>
      <c r="I69" s="9">
        <f>F69-G69-H69</f>
        <v/>
      </c>
      <c r="J69" s="10">
        <f>IF(F69=0,"n.a.",(G69+H69)/F69)</f>
        <v/>
      </c>
      <c r="K69" s="8" t="n">
        <v>1</v>
      </c>
      <c r="L69" s="8" t="inlineStr">
        <is>
          <t>2026-06-30</t>
        </is>
      </c>
      <c r="M69" s="8" t="inlineStr">
        <is>
          <t>2026-09-30</t>
        </is>
      </c>
      <c r="N69" s="8" t="n">
        <v>92</v>
      </c>
      <c r="O69" s="8" t="inlineStr">
        <is>
          <t>LANGE_OHNE_RECHNUNG</t>
        </is>
      </c>
      <c r="P69" s="9" t="n">
        <v>0</v>
      </c>
    </row>
    <row r="70" ht="21" customHeight="1">
      <c r="C70" s="8" t="inlineStr">
        <is>
          <t>P4102309044</t>
        </is>
      </c>
      <c r="D70" s="8" t="inlineStr">
        <is>
          <t>RB BASF 2022</t>
        </is>
      </c>
      <c r="E70" s="8" t="inlineStr">
        <is>
          <t>Süd-West</t>
        </is>
      </c>
      <c r="F70" s="9" t="n">
        <v>0</v>
      </c>
      <c r="G70" s="9" t="n">
        <v>0</v>
      </c>
      <c r="H70" s="9" t="n">
        <v>-6447.83</v>
      </c>
      <c r="I70" s="9">
        <f>F70-G70-H70</f>
        <v/>
      </c>
      <c r="J70" s="10">
        <f>IF(F70=0,"n.a.",(G70+H70)/F70)</f>
        <v/>
      </c>
      <c r="K70" s="8" t="n">
        <v>0</v>
      </c>
      <c r="L70" s="8" t="n"/>
      <c r="M70" s="8" t="inlineStr">
        <is>
          <t>2026-09-30</t>
        </is>
      </c>
      <c r="N70" s="8" t="n"/>
      <c r="O70" s="8" t="inlineStr">
        <is>
          <t>OK</t>
        </is>
      </c>
      <c r="P70" s="9" t="n">
        <v>0</v>
      </c>
    </row>
    <row r="71" ht="21" customHeight="1">
      <c r="C71" s="8" t="inlineStr">
        <is>
          <t>P4102658225</t>
        </is>
      </c>
      <c r="D71" s="8" t="inlineStr">
        <is>
          <t>B1 Brandenburg Potsdamer Straße</t>
        </is>
      </c>
      <c r="E71" s="8" t="inlineStr">
        <is>
          <t>Ohne Zuordnung</t>
        </is>
      </c>
      <c r="F71" s="9" t="n">
        <v>-62996.7</v>
      </c>
      <c r="G71" s="9" t="n">
        <v>-122785.46</v>
      </c>
      <c r="H71" s="9" t="n">
        <v>0</v>
      </c>
      <c r="I71" s="9">
        <f>F71-G71-H71</f>
        <v/>
      </c>
      <c r="J71" s="10">
        <f>IF(F71=0,"n.a.",(G71+H71)/F71)</f>
        <v/>
      </c>
      <c r="K71" s="8" t="n">
        <v>2</v>
      </c>
      <c r="L71" s="8" t="inlineStr">
        <is>
          <t>2026-09-30</t>
        </is>
      </c>
      <c r="M71" s="8" t="inlineStr">
        <is>
          <t>2026-09-30</t>
        </is>
      </c>
      <c r="N71" s="8" t="n">
        <v>0</v>
      </c>
      <c r="O71" s="8" t="inlineStr">
        <is>
          <t>UEBERAKTIVIERT</t>
        </is>
      </c>
      <c r="P71" s="9" t="n">
        <v>0</v>
      </c>
    </row>
    <row r="72" ht="21" customHeight="1">
      <c r="C72" s="8" t="inlineStr">
        <is>
          <t>P4102608266</t>
        </is>
      </c>
      <c r="D72" s="8" t="inlineStr">
        <is>
          <t>RB Kurmark- Kaserne Storkow</t>
        </is>
      </c>
      <c r="E72" s="8" t="inlineStr">
        <is>
          <t>Ost</t>
        </is>
      </c>
      <c r="F72" s="9" t="n">
        <v>279.03</v>
      </c>
      <c r="G72" s="9" t="n">
        <v>-591.8099999999999</v>
      </c>
      <c r="H72" s="9" t="n">
        <v>0</v>
      </c>
      <c r="I72" s="9">
        <f>F72-G72-H72</f>
        <v/>
      </c>
      <c r="J72" s="10">
        <f>IF(F72=0,"n.a.",(G72+H72)/F72)</f>
        <v/>
      </c>
      <c r="K72" s="8" t="n">
        <v>1</v>
      </c>
      <c r="L72" s="8" t="inlineStr">
        <is>
          <t>2026-02-12</t>
        </is>
      </c>
      <c r="M72" s="8" t="inlineStr">
        <is>
          <t>2026-09-30</t>
        </is>
      </c>
      <c r="N72" s="8" t="n">
        <v>230</v>
      </c>
      <c r="O72" s="8" t="inlineStr">
        <is>
          <t>OK</t>
        </is>
      </c>
      <c r="P72" s="9" t="n">
        <v>0</v>
      </c>
    </row>
    <row r="73" ht="21" customHeight="1">
      <c r="C73" s="8" t="inlineStr">
        <is>
          <t>P4102157447</t>
        </is>
      </c>
      <c r="D73" s="8" t="inlineStr">
        <is>
          <t>Hkm Demontage DN 500</t>
        </is>
      </c>
      <c r="E73" s="8" t="inlineStr">
        <is>
          <t>West</t>
        </is>
      </c>
      <c r="F73" s="9" t="n">
        <v>0</v>
      </c>
      <c r="G73" s="9" t="n">
        <v>0</v>
      </c>
      <c r="H73" s="9" t="n">
        <v>0</v>
      </c>
      <c r="I73" s="9">
        <f>F73-G73-H73</f>
        <v/>
      </c>
      <c r="J73" s="10">
        <f>IF(F73=0,"n.a.",(G73+H73)/F73)</f>
        <v/>
      </c>
      <c r="K73" s="8" t="n">
        <v>0</v>
      </c>
      <c r="L73" s="8" t="n"/>
      <c r="M73" s="8" t="inlineStr">
        <is>
          <t>2026-09-30</t>
        </is>
      </c>
      <c r="N73" s="8" t="n"/>
      <c r="O73" s="8" t="inlineStr">
        <is>
          <t>OK</t>
        </is>
      </c>
      <c r="P73" s="9" t="n">
        <v>0</v>
      </c>
    </row>
    <row r="74" ht="21" customHeight="1">
      <c r="C74" s="8" t="inlineStr">
        <is>
          <t>P4102307447</t>
        </is>
      </c>
      <c r="D74" s="8" t="inlineStr">
        <is>
          <t>BASF C 317</t>
        </is>
      </c>
      <c r="E74" s="8" t="inlineStr">
        <is>
          <t>Süd-West</t>
        </is>
      </c>
      <c r="F74" s="9" t="n">
        <v>24736.13</v>
      </c>
      <c r="G74" s="9" t="n">
        <v>32751.02</v>
      </c>
      <c r="H74" s="9" t="n">
        <v>0</v>
      </c>
      <c r="I74" s="9">
        <f>F74-G74-H74</f>
        <v/>
      </c>
      <c r="J74" s="10">
        <f>IF(F74=0,"n.a.",(G74+H74)/F74)</f>
        <v/>
      </c>
      <c r="K74" s="8" t="n">
        <v>1</v>
      </c>
      <c r="L74" s="8" t="inlineStr">
        <is>
          <t>2026-07-31</t>
        </is>
      </c>
      <c r="M74" s="8" t="inlineStr">
        <is>
          <t>2026-09-30</t>
        </is>
      </c>
      <c r="N74" s="8" t="n">
        <v>61</v>
      </c>
      <c r="O74" s="8" t="inlineStr">
        <is>
          <t>OK</t>
        </is>
      </c>
      <c r="P74" s="9" t="n">
        <v>5591.74</v>
      </c>
    </row>
    <row r="75" ht="21" customHeight="1">
      <c r="C75" s="8" t="inlineStr">
        <is>
          <t>P4102157429</t>
        </is>
      </c>
      <c r="D75" s="8" t="inlineStr">
        <is>
          <t>Covestro - Rückbau LEV O13</t>
        </is>
      </c>
      <c r="E75" s="8" t="inlineStr">
        <is>
          <t>West</t>
        </is>
      </c>
      <c r="F75" s="9" t="n">
        <v>-24.2</v>
      </c>
      <c r="G75" s="9" t="n">
        <v>0</v>
      </c>
      <c r="H75" s="9" t="n">
        <v>59.31</v>
      </c>
      <c r="I75" s="9">
        <f>F75-G75-H75</f>
        <v/>
      </c>
      <c r="J75" s="10">
        <f>IF(F75=0,"n.a.",(G75+H75)/F75)</f>
        <v/>
      </c>
      <c r="K75" s="8" t="n">
        <v>16</v>
      </c>
      <c r="L75" s="8" t="inlineStr">
        <is>
          <t>2026-06-30</t>
        </is>
      </c>
      <c r="M75" s="8" t="inlineStr">
        <is>
          <t>2026-09-30</t>
        </is>
      </c>
      <c r="N75" s="8" t="n">
        <v>92</v>
      </c>
      <c r="O75" s="8" t="inlineStr">
        <is>
          <t>OK</t>
        </is>
      </c>
      <c r="P75" s="9" t="n">
        <v>0</v>
      </c>
    </row>
    <row r="76" ht="21" customHeight="1">
      <c r="C76" s="8" t="inlineStr">
        <is>
          <t>P4102307429</t>
        </is>
      </c>
      <c r="D76" s="8" t="inlineStr">
        <is>
          <t>BASF C 509</t>
        </is>
      </c>
      <c r="E76" s="8" t="inlineStr">
        <is>
          <t>Süd-West</t>
        </is>
      </c>
      <c r="F76" s="9" t="n">
        <v>-2897.49</v>
      </c>
      <c r="G76" s="9" t="n">
        <v>33120.57</v>
      </c>
      <c r="H76" s="9" t="n">
        <v>0</v>
      </c>
      <c r="I76" s="9">
        <f>F76-G76-H76</f>
        <v/>
      </c>
      <c r="J76" s="10">
        <f>IF(F76=0,"n.a.",(G76+H76)/F76)</f>
        <v/>
      </c>
      <c r="K76" s="8" t="n">
        <v>4</v>
      </c>
      <c r="L76" s="8" t="inlineStr">
        <is>
          <t>2026-09-22</t>
        </is>
      </c>
      <c r="M76" s="8" t="inlineStr">
        <is>
          <t>2026-09-30</t>
        </is>
      </c>
      <c r="N76" s="8" t="n">
        <v>8</v>
      </c>
      <c r="O76" s="8" t="inlineStr">
        <is>
          <t>VORAUSBERECHNET</t>
        </is>
      </c>
      <c r="P76" s="9" t="n">
        <v>0</v>
      </c>
    </row>
    <row r="77" ht="21" customHeight="1">
      <c r="C77" s="8" t="inlineStr">
        <is>
          <t>P4102307438</t>
        </is>
      </c>
      <c r="D77" s="8" t="inlineStr">
        <is>
          <t>Netze BW- UW Bruchsal</t>
        </is>
      </c>
      <c r="E77" s="8" t="inlineStr">
        <is>
          <t>Süd-West</t>
        </is>
      </c>
      <c r="F77" s="9" t="n">
        <v>45790.16</v>
      </c>
      <c r="G77" s="9" t="n">
        <v>13358.8</v>
      </c>
      <c r="H77" s="9" t="n">
        <v>48667.01</v>
      </c>
      <c r="I77" s="9">
        <f>F77-G77-H77</f>
        <v/>
      </c>
      <c r="J77" s="10">
        <f>IF(F77=0,"n.a.",(G77+H77)/F77)</f>
        <v/>
      </c>
      <c r="K77" s="8" t="n">
        <v>11</v>
      </c>
      <c r="L77" s="8" t="inlineStr">
        <is>
          <t>2026-07-31</t>
        </is>
      </c>
      <c r="M77" s="8" t="inlineStr">
        <is>
          <t>2026-09-30</t>
        </is>
      </c>
      <c r="N77" s="8" t="n">
        <v>61</v>
      </c>
      <c r="O77" s="8" t="inlineStr">
        <is>
          <t>LANGE_OHNE_RECHNUNG</t>
        </is>
      </c>
      <c r="P77" s="9" t="n">
        <v>1951.21</v>
      </c>
    </row>
    <row r="78" ht="21" customHeight="1">
      <c r="C78" s="8" t="inlineStr">
        <is>
          <t>P4102608271</t>
        </is>
      </c>
      <c r="D78" s="8" t="inlineStr">
        <is>
          <t>Seilbagger Tagebau Jänschwalde</t>
        </is>
      </c>
      <c r="E78" s="8" t="inlineStr">
        <is>
          <t>Ost</t>
        </is>
      </c>
      <c r="F78" s="9" t="n">
        <v>-5306.87</v>
      </c>
      <c r="G78" s="9" t="n">
        <v>156757.06</v>
      </c>
      <c r="H78" s="9" t="n">
        <v>0</v>
      </c>
      <c r="I78" s="9">
        <f>F78-G78-H78</f>
        <v/>
      </c>
      <c r="J78" s="10">
        <f>IF(F78=0,"n.a.",(G78+H78)/F78)</f>
        <v/>
      </c>
      <c r="K78" s="8" t="n">
        <v>4</v>
      </c>
      <c r="L78" s="8" t="inlineStr">
        <is>
          <t>2026-07-31</t>
        </is>
      </c>
      <c r="M78" s="8" t="inlineStr">
        <is>
          <t>2026-09-30</t>
        </is>
      </c>
      <c r="N78" s="8" t="n">
        <v>61</v>
      </c>
      <c r="O78" s="8" t="inlineStr">
        <is>
          <t>VORAUSBERECHNET</t>
        </is>
      </c>
      <c r="P78" s="9" t="n">
        <v>1721.63</v>
      </c>
    </row>
    <row r="79" ht="21" customHeight="1">
      <c r="C79" s="8" t="inlineStr">
        <is>
          <t>P4102658254</t>
        </is>
      </c>
      <c r="D79" s="8" t="inlineStr">
        <is>
          <t>EÜ Langendreerstraße Bochum</t>
        </is>
      </c>
      <c r="E79" s="8" t="inlineStr">
        <is>
          <t>Berlin</t>
        </is>
      </c>
      <c r="F79" s="9" t="n">
        <v>-0.15</v>
      </c>
      <c r="G79" s="9" t="n">
        <v>0</v>
      </c>
      <c r="H79" s="9" t="n">
        <v>0</v>
      </c>
      <c r="I79" s="9">
        <f>F79-G79-H79</f>
        <v/>
      </c>
      <c r="J79" s="10">
        <f>IF(F79=0,"n.a.",(G79+H79)/F79)</f>
        <v/>
      </c>
      <c r="K79" s="8" t="n">
        <v>0</v>
      </c>
      <c r="L79" s="8" t="n"/>
      <c r="M79" s="8" t="inlineStr">
        <is>
          <t>2026-09-30</t>
        </is>
      </c>
      <c r="N79" s="8" t="n">
        <v>242</v>
      </c>
      <c r="O79" s="8" t="inlineStr">
        <is>
          <t>OK</t>
        </is>
      </c>
      <c r="P79" s="9" t="n">
        <v>0</v>
      </c>
    </row>
    <row r="80" ht="21" customHeight="1">
      <c r="C80" s="8" t="inlineStr">
        <is>
          <t>P4102307439</t>
        </is>
      </c>
      <c r="D80" s="8" t="inlineStr">
        <is>
          <t>BASF U 405 Teil 1</t>
        </is>
      </c>
      <c r="E80" s="8" t="inlineStr">
        <is>
          <t>Süd-West</t>
        </is>
      </c>
      <c r="F80" s="9" t="n">
        <v>107620.54</v>
      </c>
      <c r="G80" s="9" t="n">
        <v>73270.25</v>
      </c>
      <c r="H80" s="9" t="n">
        <v>0</v>
      </c>
      <c r="I80" s="9">
        <f>F80-G80-H80</f>
        <v/>
      </c>
      <c r="J80" s="10">
        <f>IF(F80=0,"n.a.",(G80+H80)/F80)</f>
        <v/>
      </c>
      <c r="K80" s="8" t="n">
        <v>4</v>
      </c>
      <c r="L80" s="8" t="inlineStr">
        <is>
          <t>2026-06-30</t>
        </is>
      </c>
      <c r="M80" s="8" t="inlineStr">
        <is>
          <t>2026-09-30</t>
        </is>
      </c>
      <c r="N80" s="8" t="n">
        <v>92</v>
      </c>
      <c r="O80" s="8" t="inlineStr">
        <is>
          <t>OHNE_BESTANDSBUCHUNG</t>
        </is>
      </c>
      <c r="P80" s="9" t="n">
        <v>3060</v>
      </c>
    </row>
    <row r="81" ht="21" customHeight="1">
      <c r="C81" s="8" t="inlineStr">
        <is>
          <t>P4102157470</t>
        </is>
      </c>
      <c r="D81" s="8" t="inlineStr">
        <is>
          <t>Sägetechn Demontage Mischgasleitung</t>
        </is>
      </c>
      <c r="E81" s="8" t="inlineStr">
        <is>
          <t>West</t>
        </is>
      </c>
      <c r="F81" s="9" t="n">
        <v>-16150.88</v>
      </c>
      <c r="G81" s="9" t="n">
        <v>0</v>
      </c>
      <c r="H81" s="9" t="n">
        <v>0</v>
      </c>
      <c r="I81" s="9">
        <f>F81-G81-H81</f>
        <v/>
      </c>
      <c r="J81" s="10">
        <f>IF(F81=0,"n.a.",(G81+H81)/F81)</f>
        <v/>
      </c>
      <c r="K81" s="8" t="n">
        <v>0</v>
      </c>
      <c r="L81" s="8" t="n"/>
      <c r="M81" s="8" t="inlineStr">
        <is>
          <t>2026-09-30</t>
        </is>
      </c>
      <c r="N81" s="8" t="n">
        <v>41</v>
      </c>
      <c r="O81" s="8" t="inlineStr">
        <is>
          <t>OK</t>
        </is>
      </c>
      <c r="P81" s="9" t="n">
        <v>615.11</v>
      </c>
    </row>
    <row r="82" ht="21" customHeight="1">
      <c r="C82" s="8" t="inlineStr">
        <is>
          <t>P4102658229</t>
        </is>
      </c>
      <c r="D82" s="8" t="inlineStr">
        <is>
          <t>Markgrafenbrücke Berlin</t>
        </is>
      </c>
      <c r="E82" s="8" t="inlineStr">
        <is>
          <t>Ohne Zuordnung</t>
        </is>
      </c>
      <c r="F82" s="9" t="n">
        <v>499614.64</v>
      </c>
      <c r="G82" s="9" t="n">
        <v>12896.8</v>
      </c>
      <c r="H82" s="9" t="n">
        <v>514521.48</v>
      </c>
      <c r="I82" s="9">
        <f>F82-G82-H82</f>
        <v/>
      </c>
      <c r="J82" s="10">
        <f>IF(F82=0,"n.a.",(G82+H82)/F82)</f>
        <v/>
      </c>
      <c r="K82" s="8" t="n">
        <v>36</v>
      </c>
      <c r="L82" s="8" t="inlineStr">
        <is>
          <t>2026-07-31</t>
        </is>
      </c>
      <c r="M82" s="8" t="inlineStr">
        <is>
          <t>2026-09-30</t>
        </is>
      </c>
      <c r="N82" s="8" t="n">
        <v>61</v>
      </c>
      <c r="O82" s="8" t="inlineStr">
        <is>
          <t>LANGE_OHNE_RECHNUNG</t>
        </is>
      </c>
      <c r="P82" s="9" t="n">
        <v>0</v>
      </c>
    </row>
    <row r="83" ht="21" customHeight="1">
      <c r="C83" s="8" t="inlineStr">
        <is>
          <t>P4102157411</t>
        </is>
      </c>
      <c r="D83" s="8" t="inlineStr">
        <is>
          <t>ARGE RB Chemiepark Krefeld</t>
        </is>
      </c>
      <c r="E83" s="8" t="inlineStr">
        <is>
          <t>West</t>
        </is>
      </c>
      <c r="F83" s="9" t="n">
        <v>0</v>
      </c>
      <c r="G83" s="9" t="n">
        <v>45582.42</v>
      </c>
      <c r="H83" s="9" t="n">
        <v>0</v>
      </c>
      <c r="I83" s="9">
        <f>F83-G83-H83</f>
        <v/>
      </c>
      <c r="J83" s="10">
        <f>IF(F83=0,"n.a.",(G83+H83)/F83)</f>
        <v/>
      </c>
      <c r="K83" s="8" t="n">
        <v>1</v>
      </c>
      <c r="L83" s="8" t="inlineStr">
        <is>
          <t>2026-05-31</t>
        </is>
      </c>
      <c r="M83" s="8" t="inlineStr">
        <is>
          <t>2026-09-30</t>
        </is>
      </c>
      <c r="N83" s="8" t="n">
        <v>122</v>
      </c>
      <c r="O83" s="8" t="inlineStr">
        <is>
          <t>VORAUSBERECHNET</t>
        </is>
      </c>
      <c r="P83" s="9" t="n">
        <v>0</v>
      </c>
    </row>
    <row r="84" ht="21" customHeight="1">
      <c r="C84" s="8" t="inlineStr">
        <is>
          <t>P4102307422</t>
        </is>
      </c>
      <c r="D84" s="8" t="inlineStr">
        <is>
          <t>BASF M 950</t>
        </is>
      </c>
      <c r="E84" s="8" t="inlineStr">
        <is>
          <t>Süd-West</t>
        </is>
      </c>
      <c r="F84" s="9" t="n">
        <v>17995.46</v>
      </c>
      <c r="G84" s="9" t="n">
        <v>1613.33</v>
      </c>
      <c r="H84" s="9" t="n">
        <v>-10353.48</v>
      </c>
      <c r="I84" s="9">
        <f>F84-G84-H84</f>
        <v/>
      </c>
      <c r="J84" s="10">
        <f>IF(F84=0,"n.a.",(G84+H84)/F84)</f>
        <v/>
      </c>
      <c r="K84" s="8" t="n">
        <v>2</v>
      </c>
      <c r="L84" s="8" t="inlineStr">
        <is>
          <t>2026-03-31</t>
        </is>
      </c>
      <c r="M84" s="8" t="inlineStr">
        <is>
          <t>2026-09-30</t>
        </is>
      </c>
      <c r="N84" s="8" t="n">
        <v>183</v>
      </c>
      <c r="O84" s="8" t="inlineStr">
        <is>
          <t>LANGE_OHNE_RECHNUNG</t>
        </is>
      </c>
      <c r="P84" s="9" t="n">
        <v>0</v>
      </c>
    </row>
    <row r="85" ht="21" customHeight="1">
      <c r="C85" s="8" t="inlineStr">
        <is>
          <t>P4102658235</t>
        </is>
      </c>
      <c r="D85" s="8" t="inlineStr">
        <is>
          <t>ENB Neue Fahlenbergbrücke</t>
        </is>
      </c>
      <c r="E85" s="8" t="inlineStr">
        <is>
          <t>Berlin</t>
        </is>
      </c>
      <c r="F85" s="9" t="n">
        <v>0</v>
      </c>
      <c r="G85" s="9" t="n">
        <v>0</v>
      </c>
      <c r="H85" s="9" t="n">
        <v>0</v>
      </c>
      <c r="I85" s="9">
        <f>F85-G85-H85</f>
        <v/>
      </c>
      <c r="J85" s="10">
        <f>IF(F85=0,"n.a.",(G85+H85)/F85)</f>
        <v/>
      </c>
      <c r="K85" s="8" t="n">
        <v>2</v>
      </c>
      <c r="L85" s="8" t="inlineStr">
        <is>
          <t>2026-05-31</t>
        </is>
      </c>
      <c r="M85" s="8" t="inlineStr">
        <is>
          <t>2026-09-30</t>
        </is>
      </c>
      <c r="N85" s="8" t="n">
        <v>122</v>
      </c>
      <c r="O85" s="8" t="inlineStr">
        <is>
          <t>OK</t>
        </is>
      </c>
      <c r="P85" s="9" t="n">
        <v>0</v>
      </c>
    </row>
    <row r="86" ht="21" customHeight="1">
      <c r="C86" s="8" t="inlineStr">
        <is>
          <t>P4102658259</t>
        </is>
      </c>
      <c r="D86" s="8" t="inlineStr">
        <is>
          <t>ENB Eisenbahnbrücke Güsen</t>
        </is>
      </c>
      <c r="E86" s="8" t="inlineStr">
        <is>
          <t>Ohne Zuordnung</t>
        </is>
      </c>
      <c r="F86" s="9" t="n">
        <v>2260.94</v>
      </c>
      <c r="G86" s="9" t="n">
        <v>42491.68</v>
      </c>
      <c r="H86" s="9" t="n">
        <v>9610.309999999999</v>
      </c>
      <c r="I86" s="9">
        <f>F86-G86-H86</f>
        <v/>
      </c>
      <c r="J86" s="10">
        <f>IF(F86=0,"n.a.",(G86+H86)/F86)</f>
        <v/>
      </c>
      <c r="K86" s="8" t="n">
        <v>7</v>
      </c>
      <c r="L86" s="8" t="inlineStr">
        <is>
          <t>2026-09-30</t>
        </is>
      </c>
      <c r="M86" s="8" t="inlineStr">
        <is>
          <t>2026-09-30</t>
        </is>
      </c>
      <c r="N86" s="8" t="n">
        <v>0</v>
      </c>
      <c r="O86" s="8" t="inlineStr">
        <is>
          <t>VORAUSBERECHNET</t>
        </is>
      </c>
      <c r="P86" s="9" t="n">
        <v>11518.57</v>
      </c>
    </row>
    <row r="87" ht="21" customHeight="1">
      <c r="C87" s="8" t="inlineStr">
        <is>
          <t>P4102157464</t>
        </is>
      </c>
      <c r="D87" s="8" t="inlineStr">
        <is>
          <t>Asbest Schadstoffsanierung C 601</t>
        </is>
      </c>
      <c r="E87" s="8" t="inlineStr">
        <is>
          <t>West</t>
        </is>
      </c>
      <c r="F87" s="9" t="n">
        <v>15965.12</v>
      </c>
      <c r="G87" s="9" t="n">
        <v>23745</v>
      </c>
      <c r="H87" s="9" t="n">
        <v>0</v>
      </c>
      <c r="I87" s="9">
        <f>F87-G87-H87</f>
        <v/>
      </c>
      <c r="J87" s="10">
        <f>IF(F87=0,"n.a.",(G87+H87)/F87)</f>
        <v/>
      </c>
      <c r="K87" s="8" t="n">
        <v>2</v>
      </c>
      <c r="L87" s="8" t="inlineStr">
        <is>
          <t>2026-06-24</t>
        </is>
      </c>
      <c r="M87" s="8" t="inlineStr">
        <is>
          <t>2026-09-30</t>
        </is>
      </c>
      <c r="N87" s="8" t="n">
        <v>98</v>
      </c>
      <c r="O87" s="8" t="inlineStr">
        <is>
          <t>OK</t>
        </is>
      </c>
      <c r="P87" s="9" t="n">
        <v>-1.88</v>
      </c>
    </row>
    <row r="88" ht="21" customHeight="1">
      <c r="C88" s="8" t="inlineStr">
        <is>
          <t>P4102157467</t>
        </is>
      </c>
      <c r="D88" s="8" t="inlineStr">
        <is>
          <t>Plakoma - Dem. Roheisenfähren</t>
        </is>
      </c>
      <c r="E88" s="8" t="inlineStr">
        <is>
          <t>West</t>
        </is>
      </c>
      <c r="F88" s="9" t="n">
        <v>98000</v>
      </c>
      <c r="G88" s="9" t="n">
        <v>220000</v>
      </c>
      <c r="H88" s="9" t="n">
        <v>0</v>
      </c>
      <c r="I88" s="9">
        <f>F88-G88-H88</f>
        <v/>
      </c>
      <c r="J88" s="10">
        <f>IF(F88=0,"n.a.",(G88+H88)/F88)</f>
        <v/>
      </c>
      <c r="K88" s="8" t="n">
        <v>2</v>
      </c>
      <c r="L88" s="8" t="inlineStr">
        <is>
          <t>2026-09-30</t>
        </is>
      </c>
      <c r="M88" s="8" t="inlineStr">
        <is>
          <t>2026-09-30</t>
        </is>
      </c>
      <c r="N88" s="8" t="n">
        <v>0</v>
      </c>
      <c r="O88" s="8" t="inlineStr">
        <is>
          <t>VORAUSBERECHNET</t>
        </is>
      </c>
      <c r="P88" s="9" t="n">
        <v>0</v>
      </c>
    </row>
    <row r="89" ht="21" customHeight="1">
      <c r="C89" s="8" t="inlineStr">
        <is>
          <t>P4102157449</t>
        </is>
      </c>
      <c r="D89" s="8" t="inlineStr">
        <is>
          <t>RB Kessel KW Lausward</t>
        </is>
      </c>
      <c r="E89" s="8" t="inlineStr">
        <is>
          <t>West</t>
        </is>
      </c>
      <c r="F89" s="9" t="n">
        <v>137884.93</v>
      </c>
      <c r="G89" s="9" t="n">
        <v>827176.51</v>
      </c>
      <c r="H89" s="9" t="n">
        <v>-578657.23</v>
      </c>
      <c r="I89" s="9">
        <f>F89-G89-H89</f>
        <v/>
      </c>
      <c r="J89" s="10">
        <f>IF(F89=0,"n.a.",(G89+H89)/F89)</f>
        <v/>
      </c>
      <c r="K89" s="8" t="n">
        <v>14</v>
      </c>
      <c r="L89" s="8" t="inlineStr">
        <is>
          <t>2026-06-30</t>
        </is>
      </c>
      <c r="M89" s="8" t="inlineStr">
        <is>
          <t>2026-09-30</t>
        </is>
      </c>
      <c r="N89" s="8" t="n">
        <v>92</v>
      </c>
      <c r="O89" s="8" t="inlineStr">
        <is>
          <t>OK</t>
        </is>
      </c>
      <c r="P89" s="9" t="n">
        <v>25.55</v>
      </c>
    </row>
    <row r="90" ht="21" customHeight="1">
      <c r="C90" s="8" t="inlineStr">
        <is>
          <t>P4102307441</t>
        </is>
      </c>
      <c r="D90" s="8" t="inlineStr">
        <is>
          <t>BASF  E 301</t>
        </is>
      </c>
      <c r="E90" s="8" t="inlineStr">
        <is>
          <t>Süd-West</t>
        </is>
      </c>
      <c r="F90" s="9" t="n">
        <v>-22036.65</v>
      </c>
      <c r="G90" s="9" t="n">
        <v>12625.47</v>
      </c>
      <c r="H90" s="9" t="n">
        <v>0</v>
      </c>
      <c r="I90" s="9">
        <f>F90-G90-H90</f>
        <v/>
      </c>
      <c r="J90" s="10">
        <f>IF(F90=0,"n.a.",(G90+H90)/F90)</f>
        <v/>
      </c>
      <c r="K90" s="8" t="n">
        <v>2</v>
      </c>
      <c r="L90" s="8" t="inlineStr">
        <is>
          <t>2026-06-30</t>
        </is>
      </c>
      <c r="M90" s="8" t="inlineStr">
        <is>
          <t>2026-09-30</t>
        </is>
      </c>
      <c r="N90" s="8" t="n">
        <v>92</v>
      </c>
      <c r="O90" s="8" t="inlineStr">
        <is>
          <t>VORAUSBERECHNET</t>
        </is>
      </c>
      <c r="P90" s="9" t="n">
        <v>0</v>
      </c>
    </row>
    <row r="91" ht="21" customHeight="1">
      <c r="C91" s="8" t="inlineStr">
        <is>
          <t>P4102307431</t>
        </is>
      </c>
      <c r="D91" s="8" t="inlineStr">
        <is>
          <t>HNVG Bauph. II Gaswerk</t>
        </is>
      </c>
      <c r="E91" s="8" t="inlineStr">
        <is>
          <t>Süd-West</t>
        </is>
      </c>
      <c r="F91" s="9" t="n">
        <v>0</v>
      </c>
      <c r="G91" s="9" t="n">
        <v>97490.11</v>
      </c>
      <c r="H91" s="9" t="n">
        <v>-83199.77</v>
      </c>
      <c r="I91" s="9">
        <f>F91-G91-H91</f>
        <v/>
      </c>
      <c r="J91" s="10">
        <f>IF(F91=0,"n.a.",(G91+H91)/F91)</f>
        <v/>
      </c>
      <c r="K91" s="8" t="n">
        <v>1</v>
      </c>
      <c r="L91" s="8" t="inlineStr">
        <is>
          <t>2026-03-31</t>
        </is>
      </c>
      <c r="M91" s="8" t="inlineStr">
        <is>
          <t>2026-09-30</t>
        </is>
      </c>
      <c r="N91" s="8" t="n">
        <v>183</v>
      </c>
      <c r="O91" s="8" t="inlineStr">
        <is>
          <t>OK</t>
        </is>
      </c>
      <c r="P91" s="9" t="n">
        <v>0</v>
      </c>
    </row>
    <row r="92" ht="21" customHeight="1">
      <c r="C92" s="8" t="inlineStr">
        <is>
          <t>P4102157459</t>
        </is>
      </c>
      <c r="D92" s="8" t="inlineStr">
        <is>
          <t>RB alte Beizanlage</t>
        </is>
      </c>
      <c r="E92" s="8" t="inlineStr">
        <is>
          <t>West</t>
        </is>
      </c>
      <c r="F92" s="9" t="n">
        <v>15918.45</v>
      </c>
      <c r="G92" s="9" t="n">
        <v>32538</v>
      </c>
      <c r="H92" s="9" t="n">
        <v>0</v>
      </c>
      <c r="I92" s="9">
        <f>F92-G92-H92</f>
        <v/>
      </c>
      <c r="J92" s="10">
        <f>IF(F92=0,"n.a.",(G92+H92)/F92)</f>
        <v/>
      </c>
      <c r="K92" s="8" t="n">
        <v>1</v>
      </c>
      <c r="L92" s="8" t="inlineStr">
        <is>
          <t>2026-03-31</t>
        </is>
      </c>
      <c r="M92" s="8" t="inlineStr">
        <is>
          <t>2026-09-30</t>
        </is>
      </c>
      <c r="N92" s="8" t="n">
        <v>183</v>
      </c>
      <c r="O92" s="8" t="inlineStr">
        <is>
          <t>OK</t>
        </is>
      </c>
      <c r="P92" s="9" t="n">
        <v>0</v>
      </c>
    </row>
    <row r="93" ht="21" customHeight="1">
      <c r="C93" s="8" t="inlineStr">
        <is>
          <t>P4102658272</t>
        </is>
      </c>
      <c r="D93" s="8" t="inlineStr">
        <is>
          <t>Beräumung Herzberger Straße</t>
        </is>
      </c>
      <c r="E93" s="8" t="inlineStr">
        <is>
          <t>Ohne Zuordnung</t>
        </is>
      </c>
      <c r="F93" s="9" t="n">
        <v>17397.17</v>
      </c>
      <c r="G93" s="9" t="n">
        <v>36922.66</v>
      </c>
      <c r="H93" s="9" t="n">
        <v>0</v>
      </c>
      <c r="I93" s="9">
        <f>F93-G93-H93</f>
        <v/>
      </c>
      <c r="J93" s="10">
        <f>IF(F93=0,"n.a.",(G93+H93)/F93)</f>
        <v/>
      </c>
      <c r="K93" s="8" t="n">
        <v>6</v>
      </c>
      <c r="L93" s="8" t="inlineStr">
        <is>
          <t>2026-07-23</t>
        </is>
      </c>
      <c r="M93" s="8" t="inlineStr">
        <is>
          <t>2026-09-30</t>
        </is>
      </c>
      <c r="N93" s="8" t="n">
        <v>69</v>
      </c>
      <c r="O93" s="8" t="inlineStr">
        <is>
          <t>OK</t>
        </is>
      </c>
      <c r="P93" s="9" t="n">
        <v>30.68</v>
      </c>
    </row>
    <row r="94" ht="21" customHeight="1">
      <c r="C94" s="8" t="inlineStr">
        <is>
          <t>P4102604612</t>
        </is>
      </c>
      <c r="D94" s="8" t="inlineStr">
        <is>
          <t>Recyclingplatz Boxberg</t>
        </is>
      </c>
      <c r="E94" s="8" t="inlineStr">
        <is>
          <t>Ost</t>
        </is>
      </c>
      <c r="F94" s="9" t="n">
        <v>9771.620000000001</v>
      </c>
      <c r="G94" s="9" t="n">
        <v>1055.73</v>
      </c>
      <c r="H94" s="9" t="n">
        <v>0</v>
      </c>
      <c r="I94" s="9">
        <f>F94-G94-H94</f>
        <v/>
      </c>
      <c r="J94" s="10">
        <f>IF(F94=0,"n.a.",(G94+H94)/F94)</f>
        <v/>
      </c>
      <c r="K94" s="8" t="n">
        <v>1</v>
      </c>
      <c r="L94" s="8" t="inlineStr">
        <is>
          <t>2026-05-27</t>
        </is>
      </c>
      <c r="M94" s="8" t="inlineStr">
        <is>
          <t>2026-09-30</t>
        </is>
      </c>
      <c r="N94" s="8" t="n">
        <v>126</v>
      </c>
      <c r="O94" s="8" t="inlineStr">
        <is>
          <t>LANGE_OHNE_RECHNUNG</t>
        </is>
      </c>
      <c r="P94" s="9" t="n">
        <v>0</v>
      </c>
    </row>
    <row r="95" ht="21" customHeight="1">
      <c r="C95" s="8" t="inlineStr">
        <is>
          <t>P4102608275</t>
        </is>
      </c>
      <c r="D95" s="8" t="inlineStr">
        <is>
          <t>An der Spreewaldbahn lübben</t>
        </is>
      </c>
      <c r="E95" s="8" t="inlineStr">
        <is>
          <t>Ost</t>
        </is>
      </c>
      <c r="F95" s="9" t="n">
        <v>-14874.74</v>
      </c>
      <c r="G95" s="9" t="n">
        <v>0</v>
      </c>
      <c r="H95" s="9" t="n">
        <v>0</v>
      </c>
      <c r="I95" s="9">
        <f>F95-G95-H95</f>
        <v/>
      </c>
      <c r="J95" s="10">
        <f>IF(F95=0,"n.a.",(G95+H95)/F95)</f>
        <v/>
      </c>
      <c r="K95" s="8" t="n">
        <v>0</v>
      </c>
      <c r="L95" s="8" t="n"/>
      <c r="M95" s="8" t="inlineStr">
        <is>
          <t>2026-09-30</t>
        </is>
      </c>
      <c r="N95" s="8" t="n">
        <v>122</v>
      </c>
      <c r="O95" s="8" t="inlineStr">
        <is>
          <t>OK</t>
        </is>
      </c>
      <c r="P95" s="9" t="n">
        <v>1078.34</v>
      </c>
    </row>
    <row r="96" ht="21" customHeight="1">
      <c r="C96" s="8" t="inlineStr">
        <is>
          <t>P4102608268</t>
        </is>
      </c>
      <c r="D96" s="8" t="inlineStr">
        <is>
          <t>Gutenbergstrasse Potsdam</t>
        </is>
      </c>
      <c r="E96" s="8" t="inlineStr">
        <is>
          <t>Ost</t>
        </is>
      </c>
      <c r="F96" s="9" t="n">
        <v>556.45</v>
      </c>
      <c r="G96" s="9" t="n">
        <v>5542.71</v>
      </c>
      <c r="H96" s="9" t="n">
        <v>0</v>
      </c>
      <c r="I96" s="9">
        <f>F96-G96-H96</f>
        <v/>
      </c>
      <c r="J96" s="10">
        <f>IF(F96=0,"n.a.",(G96+H96)/F96)</f>
        <v/>
      </c>
      <c r="K96" s="8" t="n">
        <v>3</v>
      </c>
      <c r="L96" s="8" t="inlineStr">
        <is>
          <t>2026-05-31</t>
        </is>
      </c>
      <c r="M96" s="8" t="inlineStr">
        <is>
          <t>2026-09-30</t>
        </is>
      </c>
      <c r="N96" s="8" t="n">
        <v>122</v>
      </c>
      <c r="O96" s="8" t="inlineStr">
        <is>
          <t>OK</t>
        </is>
      </c>
      <c r="P96" s="9" t="n">
        <v>0</v>
      </c>
    </row>
    <row r="97" ht="21" customHeight="1">
      <c r="C97" s="8" t="inlineStr">
        <is>
          <t>P4102307423</t>
        </is>
      </c>
      <c r="D97" s="8" t="inlineStr">
        <is>
          <t>BASF F 712</t>
        </is>
      </c>
      <c r="E97" s="8" t="inlineStr">
        <is>
          <t>Süd-West</t>
        </is>
      </c>
      <c r="F97" s="9" t="n">
        <v>31000</v>
      </c>
      <c r="G97" s="9" t="n">
        <v>29755.02</v>
      </c>
      <c r="H97" s="9" t="n">
        <v>0</v>
      </c>
      <c r="I97" s="9">
        <f>F97-G97-H97</f>
        <v/>
      </c>
      <c r="J97" s="10">
        <f>IF(F97=0,"n.a.",(G97+H97)/F97)</f>
        <v/>
      </c>
      <c r="K97" s="8" t="n">
        <v>3</v>
      </c>
      <c r="L97" s="8" t="inlineStr">
        <is>
          <t>2026-02-28</t>
        </is>
      </c>
      <c r="M97" s="8" t="inlineStr">
        <is>
          <t>2026-09-30</t>
        </is>
      </c>
      <c r="N97" s="8" t="n">
        <v>214</v>
      </c>
      <c r="O97" s="8" t="inlineStr">
        <is>
          <t>LANGE_OHNE_RECHNUNG</t>
        </is>
      </c>
      <c r="P97" s="9" t="n">
        <v>0</v>
      </c>
    </row>
    <row r="98" ht="21" customHeight="1">
      <c r="C98" s="8" t="inlineStr">
        <is>
          <t>P4102658276</t>
        </is>
      </c>
      <c r="D98" s="8" t="inlineStr">
        <is>
          <t>EÜ Braunsbedra</t>
        </is>
      </c>
      <c r="E98" s="8" t="inlineStr">
        <is>
          <t>Ohne Zuordnung</t>
        </is>
      </c>
      <c r="F98" s="9" t="n">
        <v>30182.87</v>
      </c>
      <c r="G98" s="9" t="n">
        <v>27313.05</v>
      </c>
      <c r="H98" s="9" t="n">
        <v>70709.82000000001</v>
      </c>
      <c r="I98" s="9">
        <f>F98-G98-H98</f>
        <v/>
      </c>
      <c r="J98" s="10">
        <f>IF(F98=0,"n.a.",(G98+H98)/F98)</f>
        <v/>
      </c>
      <c r="K98" s="8" t="n">
        <v>6</v>
      </c>
      <c r="L98" s="8" t="inlineStr">
        <is>
          <t>2026-09-22</t>
        </is>
      </c>
      <c r="M98" s="8" t="inlineStr">
        <is>
          <t>2026-09-30</t>
        </is>
      </c>
      <c r="N98" s="8" t="n">
        <v>8</v>
      </c>
      <c r="O98" s="8" t="inlineStr">
        <is>
          <t>UEBERAKTIVIERT</t>
        </is>
      </c>
      <c r="P98" s="9" t="n">
        <v>961.09</v>
      </c>
    </row>
    <row r="99" ht="21" customHeight="1">
      <c r="C99" s="8" t="inlineStr">
        <is>
          <t>P4102307306</t>
        </is>
      </c>
      <c r="D99" s="8" t="inlineStr">
        <is>
          <t>RB Halle Karlsruhe</t>
        </is>
      </c>
      <c r="E99" s="8" t="inlineStr">
        <is>
          <t>Süd-West</t>
        </is>
      </c>
      <c r="F99" s="9" t="n">
        <v>-28814.88</v>
      </c>
      <c r="G99" s="9" t="n">
        <v>0</v>
      </c>
      <c r="H99" s="9" t="n">
        <v>-35814.88</v>
      </c>
      <c r="I99" s="9">
        <f>F99-G99-H99</f>
        <v/>
      </c>
      <c r="J99" s="10">
        <f>IF(F99=0,"n.a.",(G99+H99)/F99)</f>
        <v/>
      </c>
      <c r="K99" s="8" t="n">
        <v>0</v>
      </c>
      <c r="L99" s="8" t="n"/>
      <c r="M99" s="8" t="inlineStr">
        <is>
          <t>2026-09-30</t>
        </is>
      </c>
      <c r="N99" s="8" t="n">
        <v>30</v>
      </c>
      <c r="O99" s="8" t="inlineStr">
        <is>
          <t>OK</t>
        </is>
      </c>
      <c r="P99" s="9" t="n">
        <v>0</v>
      </c>
    </row>
    <row r="100" ht="21" customHeight="1">
      <c r="C100" s="8" t="inlineStr">
        <is>
          <t>P4102307448</t>
        </is>
      </c>
      <c r="D100" s="8" t="inlineStr">
        <is>
          <t>Kopf SynGas - Klärschlammvergasung</t>
        </is>
      </c>
      <c r="E100" s="8" t="inlineStr">
        <is>
          <t>Süd-West</t>
        </is>
      </c>
      <c r="F100" s="9" t="n">
        <v>14743.83</v>
      </c>
      <c r="G100" s="9" t="n">
        <v>9829.799999999999</v>
      </c>
      <c r="H100" s="9" t="n">
        <v>0</v>
      </c>
      <c r="I100" s="9">
        <f>F100-G100-H100</f>
        <v/>
      </c>
      <c r="J100" s="10">
        <f>IF(F100=0,"n.a.",(G100+H100)/F100)</f>
        <v/>
      </c>
      <c r="K100" s="8" t="n">
        <v>3</v>
      </c>
      <c r="L100" s="8" t="inlineStr">
        <is>
          <t>2026-09-30</t>
        </is>
      </c>
      <c r="M100" s="8" t="inlineStr">
        <is>
          <t>2026-09-30</t>
        </is>
      </c>
      <c r="N100" s="8" t="n">
        <v>0</v>
      </c>
      <c r="O100" s="8" t="inlineStr">
        <is>
          <t>OK</t>
        </is>
      </c>
      <c r="P100" s="9" t="n">
        <v>726.37</v>
      </c>
    </row>
    <row r="101" ht="21" customHeight="1">
      <c r="C101" s="8" t="inlineStr">
        <is>
          <t>P4102157461</t>
        </is>
      </c>
      <c r="D101" s="8" t="inlineStr">
        <is>
          <t>Brücke D 1 Seitenteile</t>
        </is>
      </c>
      <c r="E101" s="8" t="inlineStr">
        <is>
          <t>West</t>
        </is>
      </c>
      <c r="F101" s="9" t="n">
        <v>22614.95</v>
      </c>
      <c r="G101" s="9" t="n">
        <v>37000</v>
      </c>
      <c r="H101" s="9" t="n">
        <v>0</v>
      </c>
      <c r="I101" s="9">
        <f>F101-G101-H101</f>
        <v/>
      </c>
      <c r="J101" s="10">
        <f>IF(F101=0,"n.a.",(G101+H101)/F101)</f>
        <v/>
      </c>
      <c r="K101" s="8" t="n">
        <v>1</v>
      </c>
      <c r="L101" s="8" t="inlineStr">
        <is>
          <t>2026-07-23</t>
        </is>
      </c>
      <c r="M101" s="8" t="inlineStr">
        <is>
          <t>2026-09-30</t>
        </is>
      </c>
      <c r="N101" s="8" t="n">
        <v>69</v>
      </c>
      <c r="O101" s="8" t="inlineStr">
        <is>
          <t>OK</t>
        </is>
      </c>
      <c r="P101" s="9" t="n">
        <v>0</v>
      </c>
    </row>
    <row r="102" ht="21" customHeight="1">
      <c r="C102" s="8" t="inlineStr">
        <is>
          <t>P4102157445</t>
        </is>
      </c>
      <c r="D102" s="8" t="inlineStr">
        <is>
          <t>RB 2 Stahlwände Lüra Halle</t>
        </is>
      </c>
      <c r="E102" s="8" t="inlineStr">
        <is>
          <t>West</t>
        </is>
      </c>
      <c r="F102" s="9" t="n">
        <v>189.05</v>
      </c>
      <c r="G102" s="9" t="n">
        <v>0</v>
      </c>
      <c r="H102" s="9" t="n">
        <v>0</v>
      </c>
      <c r="I102" s="9">
        <f>F102-G102-H102</f>
        <v/>
      </c>
      <c r="J102" s="10">
        <f>IF(F102=0,"n.a.",(G102+H102)/F102)</f>
        <v/>
      </c>
      <c r="K102" s="8" t="n">
        <v>0</v>
      </c>
      <c r="L102" s="8" t="n"/>
      <c r="M102" s="8" t="inlineStr">
        <is>
          <t>2026-09-30</t>
        </is>
      </c>
      <c r="N102" s="8" t="n">
        <v>226</v>
      </c>
      <c r="O102" s="8" t="inlineStr">
        <is>
          <t>OK</t>
        </is>
      </c>
      <c r="P102" s="9" t="n">
        <v>0</v>
      </c>
    </row>
    <row r="103" ht="21" customHeight="1">
      <c r="C103" s="8" t="inlineStr">
        <is>
          <t>P4102157442</t>
        </is>
      </c>
      <c r="D103" s="8" t="inlineStr">
        <is>
          <t>RB Leitstand Flämmaschine</t>
        </is>
      </c>
      <c r="E103" s="8" t="inlineStr">
        <is>
          <t>West</t>
        </is>
      </c>
      <c r="F103" s="9" t="n">
        <v>31274.13</v>
      </c>
      <c r="G103" s="9" t="n">
        <v>48086.9</v>
      </c>
      <c r="H103" s="9" t="n">
        <v>0</v>
      </c>
      <c r="I103" s="9">
        <f>F103-G103-H103</f>
        <v/>
      </c>
      <c r="J103" s="10">
        <f>IF(F103=0,"n.a.",(G103+H103)/F103)</f>
        <v/>
      </c>
      <c r="K103" s="8" t="n">
        <v>6</v>
      </c>
      <c r="L103" s="8" t="inlineStr">
        <is>
          <t>2026-07-31</t>
        </is>
      </c>
      <c r="M103" s="8" t="inlineStr">
        <is>
          <t>2026-09-30</t>
        </is>
      </c>
      <c r="N103" s="8" t="n">
        <v>61</v>
      </c>
      <c r="O103" s="8" t="inlineStr">
        <is>
          <t>OK</t>
        </is>
      </c>
      <c r="P103" s="9" t="n">
        <v>0</v>
      </c>
    </row>
    <row r="104" ht="21" customHeight="1">
      <c r="C104" s="8" t="inlineStr">
        <is>
          <t>P4102608260</t>
        </is>
      </c>
      <c r="D104" s="8" t="inlineStr">
        <is>
          <t>RB Floorflexplatten Berlin</t>
        </is>
      </c>
      <c r="E104" s="8" t="inlineStr">
        <is>
          <t>Ost</t>
        </is>
      </c>
      <c r="F104" s="9" t="n">
        <v>9277.540000000001</v>
      </c>
      <c r="G104" s="9" t="n">
        <v>16839.08</v>
      </c>
      <c r="H104" s="9" t="n">
        <v>0</v>
      </c>
      <c r="I104" s="9">
        <f>F104-G104-H104</f>
        <v/>
      </c>
      <c r="J104" s="10">
        <f>IF(F104=0,"n.a.",(G104+H104)/F104)</f>
        <v/>
      </c>
      <c r="K104" s="8" t="n">
        <v>21</v>
      </c>
      <c r="L104" s="8" t="inlineStr">
        <is>
          <t>2026-07-31</t>
        </is>
      </c>
      <c r="M104" s="8" t="inlineStr">
        <is>
          <t>2026-09-30</t>
        </is>
      </c>
      <c r="N104" s="8" t="n">
        <v>61</v>
      </c>
      <c r="O104" s="8" t="inlineStr">
        <is>
          <t>OK</t>
        </is>
      </c>
      <c r="P104" s="9" t="n">
        <v>1618.62</v>
      </c>
    </row>
    <row r="105" ht="21" customHeight="1">
      <c r="C105" s="8" t="inlineStr">
        <is>
          <t>P4102307440</t>
        </is>
      </c>
      <c r="D105" s="8" t="inlineStr">
        <is>
          <t>BASF  L 605</t>
        </is>
      </c>
      <c r="E105" s="8" t="inlineStr">
        <is>
          <t>Süd-West</t>
        </is>
      </c>
      <c r="F105" s="9" t="n">
        <v>161600.06</v>
      </c>
      <c r="G105" s="9" t="n">
        <v>249898.21</v>
      </c>
      <c r="H105" s="9" t="n">
        <v>0</v>
      </c>
      <c r="I105" s="9">
        <f>F105-G105-H105</f>
        <v/>
      </c>
      <c r="J105" s="10">
        <f>IF(F105=0,"n.a.",(G105+H105)/F105)</f>
        <v/>
      </c>
      <c r="K105" s="8" t="n">
        <v>10</v>
      </c>
      <c r="L105" s="8" t="inlineStr">
        <is>
          <t>2026-07-31</t>
        </is>
      </c>
      <c r="M105" s="8" t="inlineStr">
        <is>
          <t>2026-09-30</t>
        </is>
      </c>
      <c r="N105" s="8" t="n">
        <v>61</v>
      </c>
      <c r="O105" s="8" t="inlineStr">
        <is>
          <t>VORAUSBERECHNET</t>
        </is>
      </c>
      <c r="P105" s="9" t="n">
        <v>0</v>
      </c>
    </row>
    <row r="106" ht="21" customHeight="1">
      <c r="C106" s="8" t="inlineStr">
        <is>
          <t>P4102157458</t>
        </is>
      </c>
      <c r="D106" s="8" t="inlineStr">
        <is>
          <t>Kleinaufträge Region West 2026</t>
        </is>
      </c>
      <c r="E106" s="8" t="inlineStr">
        <is>
          <t>West</t>
        </is>
      </c>
      <c r="F106" s="9" t="n">
        <v>4953.57</v>
      </c>
      <c r="G106" s="9" t="n">
        <v>27473.13</v>
      </c>
      <c r="H106" s="9" t="n">
        <v>0</v>
      </c>
      <c r="I106" s="9">
        <f>F106-G106-H106</f>
        <v/>
      </c>
      <c r="J106" s="10">
        <f>IF(F106=0,"n.a.",(G106+H106)/F106)</f>
        <v/>
      </c>
      <c r="K106" s="8" t="n">
        <v>5</v>
      </c>
      <c r="L106" s="8" t="inlineStr">
        <is>
          <t>2026-06-30</t>
        </is>
      </c>
      <c r="M106" s="8" t="inlineStr">
        <is>
          <t>2026-09-30</t>
        </is>
      </c>
      <c r="N106" s="8" t="n">
        <v>92</v>
      </c>
      <c r="O106" s="8" t="inlineStr">
        <is>
          <t>OK</t>
        </is>
      </c>
      <c r="P106" s="9" t="n">
        <v>0</v>
      </c>
    </row>
    <row r="109">
      <c r="C109" t="inlineStr">
        <is>
          <t>SharePoint-Verknüpfungen (Dateien im selben Ordner)</t>
        </is>
      </c>
    </row>
    <row r="110">
      <c r="C110" t="inlineStr">
        <is>
          <t>Diese Datei</t>
        </is>
      </c>
      <c r="D110" t="inlineStr">
        <is>
          <t>Bestände.xlsx</t>
        </is>
      </c>
    </row>
  </sheetData>
  <mergeCells count="2">
    <mergeCell ref="C2:Q2"/>
    <mergeCell ref="C3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2026-10-12T08:21:50Z</dcterms:created>
  <dcterms:modified xsi:type="dcterms:W3CDTF">2026-10-12T08:21:51Z</dcterms:modified>
</cp:coreProperties>
</file>