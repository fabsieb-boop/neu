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ktak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\(#,##0.00\);&quot;–&quot;"/>
    <numFmt numFmtId="165" formatCode="#,##0;[Red]\(#,##0\);&quot;–&quot;"/>
  </numFmts>
  <fonts count="7">
    <font>
      <name val="Calibri"/>
      <family val="2"/>
      <color theme="1"/>
      <sz val="11"/>
      <scheme val="minor"/>
    </font>
    <font>
      <name val="Arial"/>
      <family val="2"/>
      <color rgb="FF1E293B"/>
      <sz val="10"/>
    </font>
    <font>
      <name val="Arial"/>
      <family val="2"/>
      <b val="1"/>
      <color rgb="FF1E293B"/>
      <sz val="16"/>
    </font>
    <font>
      <name val="Carlito"/>
      <sz val="11"/>
    </font>
    <font>
      <name val="Arial"/>
      <family val="2"/>
      <color rgb="FF64748B"/>
      <sz val="10"/>
    </font>
    <font>
      <name val="Arial"/>
      <family val="2"/>
      <b val="1"/>
      <color rgb="FFFFFFFF"/>
      <sz val="10"/>
    </font>
    <font>
      <name val="Arial"/>
      <family val="2"/>
      <color rgb="FF2563EB"/>
      <sz val="10"/>
    </font>
  </fonts>
  <fills count="4">
    <fill>
      <patternFill/>
    </fill>
    <fill>
      <patternFill patternType="gray125"/>
    </fill>
    <fill>
      <patternFill patternType="solid">
        <fgColor rgb="FF1E293B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/>
      <right/>
      <top/>
      <bottom style="thin">
        <color rgb="FF2563EB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right" vertical="center"/>
    </xf>
    <xf numFmtId="165" fontId="1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7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8" customWidth="1" min="3" max="3"/>
    <col width="15" customWidth="1" min="4" max="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30" customHeight="1">
      <c r="A2" s="1" t="n"/>
      <c r="B2" s="1" t="n"/>
      <c r="C2" s="2" t="inlineStr">
        <is>
          <t>Projektakte und Projektstatus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32" customHeight="1">
      <c r="A3" s="1" t="n"/>
      <c r="B3" s="1" t="n"/>
      <c r="C3" s="4" t="inlineStr">
        <is>
          <t>Projekt auf Steuerung auswählen. Kostenarten und Stunden stammen aus den exportierten Einzelübersichten.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>
      <c r="A5" s="1" t="n"/>
      <c r="B5" s="1" t="n"/>
      <c r="C5" s="1" t="inlineStr">
        <is>
          <t>Projekt</t>
        </is>
      </c>
      <c r="D5" s="1" t="n"/>
      <c r="E5" s="1" t="n"/>
      <c r="F5" s="1">
        <f>'[Steuerung.xlsx]Steuerung'!$F$10</f>
        <v/>
      </c>
      <c r="G5" s="1">
        <f>IF(COUNTIFS('[D Projekte.xlsx]D Projekte'!$B$661:$B$828,'[Steuerung.xlsx]Steuerung'!$F$10)=0,"n.a.",INDEX('[D Projekte.xlsx]D Projekte'!$C$661:$C$828,MATCH('[Steuerung.xlsx]Steuerung'!$F$10,'[D Projekte.xlsx]D Projekte'!$B$661:$B$828,0)))</f>
        <v/>
      </c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</row>
    <row r="7" ht="34" customHeight="1">
      <c r="A7" s="1" t="n"/>
      <c r="B7" s="1" t="n"/>
      <c r="C7" s="5" t="inlineStr">
        <is>
          <t>Kennzahl</t>
        </is>
      </c>
      <c r="D7" s="5" t="inlineStr">
        <is>
          <t>Wert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inlineStr">
        <is>
          <t>Region</t>
        </is>
      </c>
      <c r="D8" s="1">
        <f>IF(COUNTIFS('[D Projekte.xlsx]D Projekte'!$B$661:$B$828,'[Steuerung.xlsx]Steuerung'!$F$10)=0,"n.a.",INDEX('[D Projekte.xlsx]D Projekte'!$L$661:$L$828,MATCH('[Steuerung.xlsx]Steuerung'!$F$10,'[D Projekte.xlsx]D Projekte'!$B$661:$B$828,0)))</f>
        <v/>
      </c>
      <c r="E8" s="1" t="n"/>
      <c r="F8" s="1" t="n"/>
      <c r="G8" s="1" t="inlineStr">
        <is>
          <t>Risikovolumen netto</t>
        </is>
      </c>
      <c r="H8" s="1" t="n"/>
      <c r="I8" s="1" t="n"/>
      <c r="J8" s="6">
        <f>SUMIFS('[Risiken.xlsx]Risiken'!$N$7:$N$2271,'[Risiken.xlsx]Risiken'!$D$7:$D$2271,'[Steuerung.xlsx]Steuerung'!$F$10)</f>
        <v/>
      </c>
      <c r="K8" s="1" t="n"/>
      <c r="L8" s="1" t="n"/>
      <c r="M8" s="1" t="n"/>
      <c r="N8" s="1" t="n"/>
      <c r="O8" s="1" t="n"/>
    </row>
    <row r="9">
      <c r="A9" s="1" t="n"/>
      <c r="B9" s="1" t="n"/>
      <c r="C9" s="1" t="inlineStr">
        <is>
          <t>Status</t>
        </is>
      </c>
      <c r="D9" s="1">
        <f>IF(COUNTIFS('[D Projekte.xlsx]D Projekte'!$B$661:$B$828,'[Steuerung.xlsx]Steuerung'!$F$10)=0,"n.a.",INDEX('[D Projekte.xlsx]D Projekte'!$E$661:$E$828,MATCH('[Steuerung.xlsx]Steuerung'!$F$10,'[D Projekte.xlsx]D Projekte'!$B$661:$B$828,0)))</f>
        <v/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</row>
    <row r="10">
      <c r="A10" s="1" t="n"/>
      <c r="B10" s="1" t="n"/>
      <c r="C10" s="1" t="inlineStr">
        <is>
          <t>Leistung</t>
        </is>
      </c>
      <c r="D10" s="7">
        <f>IF(COUNTIFS('[D Projekte.xlsx]D Projekte'!$C$8:$C$107,'[Steuerung.xlsx]Steuerung'!$F$10)=0,"n.a.",INDEX('[D Projekte.xlsx]D Projekte'!$G$8:$G$107,MATCH('[Steuerung.xlsx]Steuerung'!$F$10,'[D Projekte.xlsx]D Projekte'!$C$8:$C$107,0)))</f>
        <v/>
      </c>
      <c r="E10" s="1" t="n"/>
      <c r="F10" s="1" t="n"/>
      <c r="G10" s="1" t="inlineStr">
        <is>
          <t>Projektkommentar</t>
        </is>
      </c>
      <c r="H10" s="1" t="n"/>
      <c r="I10" s="1" t="n"/>
      <c r="J10" s="1" t="n"/>
      <c r="K10" s="1" t="n"/>
      <c r="L10" s="1" t="n"/>
      <c r="M10" s="1" t="n"/>
      <c r="N10" s="1" t="n"/>
      <c r="O10" s="1" t="n"/>
    </row>
    <row r="11">
      <c r="A11" s="1" t="n"/>
      <c r="B11" s="1" t="n"/>
      <c r="C11" s="1" t="inlineStr">
        <is>
          <t>Variable Kosten</t>
        </is>
      </c>
      <c r="D11" s="7">
        <f>IF(COUNTIFS('[D Projekte.xlsx]D Projekte'!$C$8:$C$107,'[Steuerung.xlsx]Steuerung'!$F$10)=0,"n.a.",INDEX('[D Projekte.xlsx]D Projekte'!$H$8:$H$107,MATCH('[Steuerung.xlsx]Steuerung'!$F$10,'[D Projekte.xlsx]D Projekte'!$C$8:$C$107,0)))</f>
        <v/>
      </c>
      <c r="E11" s="1" t="n"/>
      <c r="F11" s="1" t="n"/>
      <c r="G11" s="8" t="n"/>
    </row>
    <row r="12">
      <c r="A12" s="1" t="n"/>
      <c r="B12" s="1" t="n"/>
      <c r="C12" s="1" t="inlineStr">
        <is>
          <t>Fixe Projektkosten</t>
        </is>
      </c>
      <c r="D12" s="7">
        <f>IF(COUNTIFS('[D Projekte.xlsx]D Projekte'!$C$8:$C$107,'[Steuerung.xlsx]Steuerung'!$F$10)=0,"n.a.",INDEX('[D Projekte.xlsx]D Projekte'!$I$8:$I$107,MATCH('[Steuerung.xlsx]Steuerung'!$F$10,'[D Projekte.xlsx]D Projekte'!$C$8:$C$107,0)))</f>
        <v/>
      </c>
      <c r="E12" s="1" t="n"/>
      <c r="F12" s="1" t="n"/>
    </row>
    <row r="13">
      <c r="A13" s="1" t="n"/>
      <c r="B13" s="1" t="n"/>
      <c r="C13" s="1" t="inlineStr">
        <is>
          <t>Verrechnete Gemeinkosten</t>
        </is>
      </c>
      <c r="D13" s="7">
        <f>IF(COUNTIFS('[D Projekte.xlsx]D Projekte'!$C$8:$C$107,'[Steuerung.xlsx]Steuerung'!$F$10)=0,"n.a.",INDEX('[D Projekte.xlsx]D Projekte'!$J$8:$J$107,MATCH('[Steuerung.xlsx]Steuerung'!$F$10,'[D Projekte.xlsx]D Projekte'!$C$8:$C$107,0)))</f>
        <v/>
      </c>
      <c r="E13" s="1" t="n"/>
      <c r="F13" s="1" t="n"/>
    </row>
    <row r="14">
      <c r="A14" s="1" t="n"/>
      <c r="B14" s="1" t="n"/>
      <c r="C14" s="1" t="inlineStr">
        <is>
          <t>DB1</t>
        </is>
      </c>
      <c r="D14" s="7">
        <f>IF(COUNTIFS('[D Projekte.xlsx]D Projekte'!$C$8:$C$107,'[Steuerung.xlsx]Steuerung'!$F$10)=0,"n.a.",INDEX('[D Projekte.xlsx]D Projekte'!$O$8:$O$107,MATCH('[Steuerung.xlsx]Steuerung'!$F$10,'[D Projekte.xlsx]D Projekte'!$C$8:$C$107,0)))</f>
        <v/>
      </c>
      <c r="E14" s="1" t="n"/>
      <c r="F14" s="1" t="n"/>
    </row>
    <row r="15">
      <c r="A15" s="1" t="n"/>
      <c r="B15" s="1" t="n"/>
      <c r="C15" s="1" t="inlineStr">
        <is>
          <t>DB2</t>
        </is>
      </c>
      <c r="D15" s="7">
        <f>IF(COUNTIFS('[D Projekte.xlsx]D Projekte'!$C$8:$C$107,'[Steuerung.xlsx]Steuerung'!$F$10)=0,"n.a.",INDEX('[D Projekte.xlsx]D Projekte'!$P$8:$P$107,MATCH('[Steuerung.xlsx]Steuerung'!$F$10,'[D Projekte.xlsx]D Projekte'!$C$8:$C$107,0)))</f>
        <v/>
      </c>
      <c r="E15" s="1" t="n"/>
      <c r="F15" s="1" t="n"/>
    </row>
    <row r="16">
      <c r="A16" s="1" t="n"/>
      <c r="B16" s="1" t="n"/>
      <c r="C16" s="1" t="inlineStr">
        <is>
          <t>DB3</t>
        </is>
      </c>
      <c r="D16" s="7">
        <f>IF(COUNTIFS('[D Projekte.xlsx]D Projekte'!$C$8:$C$107,'[Steuerung.xlsx]Steuerung'!$F$10)=0,"n.a.",INDEX('[D Projekte.xlsx]D Projekte'!$Q$8:$Q$107,MATCH('[Steuerung.xlsx]Steuerung'!$F$10,'[D Projekte.xlsx]D Projekte'!$C$8:$C$107,0)))</f>
        <v/>
      </c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</row>
    <row r="17">
      <c r="A17" s="1" t="n"/>
      <c r="B17" s="1" t="n"/>
      <c r="C17" s="1" t="inlineStr">
        <is>
          <t>DB4</t>
        </is>
      </c>
      <c r="D17" s="7">
        <f>IF(COUNTIFS('[D Projekte.xlsx]D Projekte'!$C$8:$C$107,'[Steuerung.xlsx]Steuerung'!$F$10)=0,"n.a.",INDEX('[D Projekte.xlsx]D Projekte'!$S$8:$S$107,MATCH('[Steuerung.xlsx]Steuerung'!$F$10,'[D Projekte.xlsx]D Projekte'!$C$8:$C$107,0)))</f>
        <v/>
      </c>
      <c r="E17" s="1" t="n"/>
      <c r="F17" s="1" t="n"/>
      <c r="G17" s="1" t="inlineStr">
        <is>
          <t>Kommentar gilt für Projekt-Nr.</t>
        </is>
      </c>
      <c r="H17" s="1" t="n"/>
      <c r="I17" s="1" t="n"/>
      <c r="J17" s="1" t="n"/>
      <c r="K17" s="1" t="n"/>
      <c r="L17" s="8" t="n"/>
      <c r="M17" s="1" t="n"/>
      <c r="N17" s="1" t="n"/>
      <c r="O17" s="1" t="n"/>
    </row>
    <row r="18">
      <c r="A18" s="1" t="n"/>
      <c r="B18" s="1" t="n"/>
      <c r="C18" s="1" t="inlineStr">
        <is>
          <t>Budget Umsatz</t>
        </is>
      </c>
      <c r="D18" s="7">
        <f>IF(COUNTIFS('[D Projekte.xlsx]D Projekte'!$B$661:$B$828,'[Steuerung.xlsx]Steuerung'!$F$10)=0,"n.a.",INDEX('[D Projekte.xlsx]D Projekte'!$H$661:$H$828,MATCH('[Steuerung.xlsx]Steuerung'!$F$10,'[D Projekte.xlsx]D Projekte'!$B$661:$B$828,0)))</f>
        <v/>
      </c>
      <c r="E18" s="1" t="n"/>
      <c r="F18" s="1" t="n"/>
      <c r="G18" s="1">
        <f>IF(L17="","Kommentar mit Projekt-Nr. kennzeichnen",IF(L17='[Steuerung.xlsx]Steuerung'!$F$10,"Kommentar zu ausgewähltem Projekt","Kommentar gehört zu anderem Projekt"))</f>
        <v/>
      </c>
      <c r="H18" s="1" t="n"/>
      <c r="I18" s="1" t="n"/>
      <c r="J18" s="1" t="n"/>
      <c r="K18" s="1" t="n"/>
      <c r="L18" s="1" t="n"/>
      <c r="M18" s="1" t="n"/>
      <c r="N18" s="1" t="n"/>
      <c r="O18" s="1" t="n"/>
    </row>
    <row r="19">
      <c r="A19" s="1" t="n"/>
      <c r="B19" s="1" t="n"/>
      <c r="C19" s="1" t="inlineStr">
        <is>
          <t>Budget Kosten</t>
        </is>
      </c>
      <c r="D19" s="7">
        <f>IF(COUNTIFS('[D Projekte.xlsx]D Projekte'!$B$661:$B$828,'[Steuerung.xlsx]Steuerung'!$F$10)=0,"n.a.",INDEX('[D Projekte.xlsx]D Projekte'!$I$661:$I$828,MATCH('[Steuerung.xlsx]Steuerung'!$F$10,'[D Projekte.xlsx]D Projekte'!$B$661:$B$828,0)))</f>
        <v/>
      </c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</row>
    <row r="23" ht="34" customHeight="1">
      <c r="A23" s="1" t="n"/>
      <c r="B23" s="1" t="n"/>
      <c r="C23" s="5" t="inlineStr">
        <is>
          <t>Monat</t>
        </is>
      </c>
      <c r="D23" s="5" t="inlineStr">
        <is>
          <t>SAP-Kostenartensaldo</t>
        </is>
      </c>
      <c r="E23" s="5" t="inlineStr">
        <is>
          <t>Projektstunden</t>
        </is>
      </c>
      <c r="F23" s="5" t="inlineStr">
        <is>
          <t>Tage</t>
        </is>
      </c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>
      <c r="A24" s="1" t="n"/>
      <c r="B24" s="1" t="n"/>
      <c r="C24" s="1" t="n">
        <v>1</v>
      </c>
      <c r="D24" s="6">
        <f>IF(COUNTIFS('[D Projekte.xlsx]D Projekte'!$A$1420:$A$4919,'[Steuerung.xlsx]Steuerung'!$F$10,'[D Projekte.xlsx]D Projekte'!$G$1420:$G$4919,C24)=0,"",SUMIFS('[D Projekte.xlsx]D Projekte'!$H$1420:$H$4919,'[D Projekte.xlsx]D Projekte'!$A$1420:$A$4919,'[Steuerung.xlsx]Steuerung'!$F$10,'[D Projekte.xlsx]D Projekte'!$G$1420:$G$4919,C24))</f>
        <v/>
      </c>
      <c r="E24" s="6">
        <f>IF(COUNTIFS('[D Projekte.xlsx]D Projekte'!$C$158:$C$349,'[Steuerung.xlsx]Steuerung'!$F$10,'[D Projekte.xlsx]D Projekte'!$B$158:$B$349,C24,'[D Projekte.xlsx]D Projekte'!$A$158:$A$349,'[Steuerung.xlsx]Steuerung'!$F$6)=0,"",SUMIFS('[D Projekte.xlsx]D Projekte'!$G$158:$G$349,'[D Projekte.xlsx]D Projekte'!$C$158:$C$349,'[Steuerung.xlsx]Steuerung'!$F$10,'[D Projekte.xlsx]D Projekte'!$B$158:$B$349,C24,'[D Projekte.xlsx]D Projekte'!$A$158:$A$349,'[Steuerung.xlsx]Steuerung'!$F$6))</f>
        <v/>
      </c>
      <c r="F24" s="6">
        <f>IF(COUNTIFS('[D Projekte.xlsx]D Projekte'!$C$158:$C$349,'[Steuerung.xlsx]Steuerung'!$F$10,'[D Projekte.xlsx]D Projekte'!$B$158:$B$349,C24,'[D Projekte.xlsx]D Projekte'!$A$158:$A$349,'[Steuerung.xlsx]Steuerung'!$F$6)=0,"",SUMIFS('[D Projekte.xlsx]D Projekte'!$I$158:$I$349,'[D Projekte.xlsx]D Projekte'!$C$158:$C$349,'[Steuerung.xlsx]Steuerung'!$F$10,'[D Projekte.xlsx]D Projekte'!$B$158:$B$349,C24,'[D Projekte.xlsx]D Projekte'!$A$158:$A$349,'[Steuerung.xlsx]Steuerung'!$F$6))</f>
        <v/>
      </c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</row>
    <row r="25">
      <c r="A25" s="1" t="n"/>
      <c r="B25" s="1" t="n"/>
      <c r="C25" s="1" t="n">
        <v>2</v>
      </c>
      <c r="D25" s="6">
        <f>IF(COUNTIFS('[D Projekte.xlsx]D Projekte'!$A$1420:$A$4919,'[Steuerung.xlsx]Steuerung'!$F$10,'[D Projekte.xlsx]D Projekte'!$G$1420:$G$4919,C25)=0,"",SUMIFS('[D Projekte.xlsx]D Projekte'!$H$1420:$H$4919,'[D Projekte.xlsx]D Projekte'!$A$1420:$A$4919,'[Steuerung.xlsx]Steuerung'!$F$10,'[D Projekte.xlsx]D Projekte'!$G$1420:$G$4919,C25))</f>
        <v/>
      </c>
      <c r="E25" s="6">
        <f>IF(COUNTIFS('[D Projekte.xlsx]D Projekte'!$C$158:$C$349,'[Steuerung.xlsx]Steuerung'!$F$10,'[D Projekte.xlsx]D Projekte'!$B$158:$B$349,C25,'[D Projekte.xlsx]D Projekte'!$A$158:$A$349,'[Steuerung.xlsx]Steuerung'!$F$6)=0,"",SUMIFS('[D Projekte.xlsx]D Projekte'!$G$158:$G$349,'[D Projekte.xlsx]D Projekte'!$C$158:$C$349,'[Steuerung.xlsx]Steuerung'!$F$10,'[D Projekte.xlsx]D Projekte'!$B$158:$B$349,C25,'[D Projekte.xlsx]D Projekte'!$A$158:$A$349,'[Steuerung.xlsx]Steuerung'!$F$6))</f>
        <v/>
      </c>
      <c r="F25" s="6">
        <f>IF(COUNTIFS('[D Projekte.xlsx]D Projekte'!$C$158:$C$349,'[Steuerung.xlsx]Steuerung'!$F$10,'[D Projekte.xlsx]D Projekte'!$B$158:$B$349,C25,'[D Projekte.xlsx]D Projekte'!$A$158:$A$349,'[Steuerung.xlsx]Steuerung'!$F$6)=0,"",SUMIFS('[D Projekte.xlsx]D Projekte'!$I$158:$I$349,'[D Projekte.xlsx]D Projekte'!$C$158:$C$349,'[Steuerung.xlsx]Steuerung'!$F$10,'[D Projekte.xlsx]D Projekte'!$B$158:$B$349,C25,'[D Projekte.xlsx]D Projekte'!$A$158:$A$349,'[Steuerung.xlsx]Steuerung'!$F$6))</f>
        <v/>
      </c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>
      <c r="A26" s="1" t="n"/>
      <c r="B26" s="1" t="n"/>
      <c r="C26" s="1" t="n">
        <v>3</v>
      </c>
      <c r="D26" s="6">
        <f>IF(COUNTIFS('[D Projekte.xlsx]D Projekte'!$A$1420:$A$4919,'[Steuerung.xlsx]Steuerung'!$F$10,'[D Projekte.xlsx]D Projekte'!$G$1420:$G$4919,C26)=0,"",SUMIFS('[D Projekte.xlsx]D Projekte'!$H$1420:$H$4919,'[D Projekte.xlsx]D Projekte'!$A$1420:$A$4919,'[Steuerung.xlsx]Steuerung'!$F$10,'[D Projekte.xlsx]D Projekte'!$G$1420:$G$4919,C26))</f>
        <v/>
      </c>
      <c r="E26" s="6">
        <f>IF(COUNTIFS('[D Projekte.xlsx]D Projekte'!$C$158:$C$349,'[Steuerung.xlsx]Steuerung'!$F$10,'[D Projekte.xlsx]D Projekte'!$B$158:$B$349,C26,'[D Projekte.xlsx]D Projekte'!$A$158:$A$349,'[Steuerung.xlsx]Steuerung'!$F$6)=0,"",SUMIFS('[D Projekte.xlsx]D Projekte'!$G$158:$G$349,'[D Projekte.xlsx]D Projekte'!$C$158:$C$349,'[Steuerung.xlsx]Steuerung'!$F$10,'[D Projekte.xlsx]D Projekte'!$B$158:$B$349,C26,'[D Projekte.xlsx]D Projekte'!$A$158:$A$349,'[Steuerung.xlsx]Steuerung'!$F$6))</f>
        <v/>
      </c>
      <c r="F26" s="6">
        <f>IF(COUNTIFS('[D Projekte.xlsx]D Projekte'!$C$158:$C$349,'[Steuerung.xlsx]Steuerung'!$F$10,'[D Projekte.xlsx]D Projekte'!$B$158:$B$349,C26,'[D Projekte.xlsx]D Projekte'!$A$158:$A$349,'[Steuerung.xlsx]Steuerung'!$F$6)=0,"",SUMIFS('[D Projekte.xlsx]D Projekte'!$I$158:$I$349,'[D Projekte.xlsx]D Projekte'!$C$158:$C$349,'[Steuerung.xlsx]Steuerung'!$F$10,'[D Projekte.xlsx]D Projekte'!$B$158:$B$349,C26,'[D Projekte.xlsx]D Projekte'!$A$158:$A$349,'[Steuerung.xlsx]Steuerung'!$F$6))</f>
        <v/>
      </c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</row>
    <row r="27">
      <c r="A27" s="1" t="n"/>
      <c r="B27" s="1" t="n"/>
      <c r="C27" s="1" t="n">
        <v>4</v>
      </c>
      <c r="D27" s="6">
        <f>IF(COUNTIFS('[D Projekte.xlsx]D Projekte'!$A$1420:$A$4919,'[Steuerung.xlsx]Steuerung'!$F$10,'[D Projekte.xlsx]D Projekte'!$G$1420:$G$4919,C27)=0,"",SUMIFS('[D Projekte.xlsx]D Projekte'!$H$1420:$H$4919,'[D Projekte.xlsx]D Projekte'!$A$1420:$A$4919,'[Steuerung.xlsx]Steuerung'!$F$10,'[D Projekte.xlsx]D Projekte'!$G$1420:$G$4919,C27))</f>
        <v/>
      </c>
      <c r="E27" s="6">
        <f>IF(COUNTIFS('[D Projekte.xlsx]D Projekte'!$C$158:$C$349,'[Steuerung.xlsx]Steuerung'!$F$10,'[D Projekte.xlsx]D Projekte'!$B$158:$B$349,C27,'[D Projekte.xlsx]D Projekte'!$A$158:$A$349,'[Steuerung.xlsx]Steuerung'!$F$6)=0,"",SUMIFS('[D Projekte.xlsx]D Projekte'!$G$158:$G$349,'[D Projekte.xlsx]D Projekte'!$C$158:$C$349,'[Steuerung.xlsx]Steuerung'!$F$10,'[D Projekte.xlsx]D Projekte'!$B$158:$B$349,C27,'[D Projekte.xlsx]D Projekte'!$A$158:$A$349,'[Steuerung.xlsx]Steuerung'!$F$6))</f>
        <v/>
      </c>
      <c r="F27" s="6">
        <f>IF(COUNTIFS('[D Projekte.xlsx]D Projekte'!$C$158:$C$349,'[Steuerung.xlsx]Steuerung'!$F$10,'[D Projekte.xlsx]D Projekte'!$B$158:$B$349,C27,'[D Projekte.xlsx]D Projekte'!$A$158:$A$349,'[Steuerung.xlsx]Steuerung'!$F$6)=0,"",SUMIFS('[D Projekte.xlsx]D Projekte'!$I$158:$I$349,'[D Projekte.xlsx]D Projekte'!$C$158:$C$349,'[Steuerung.xlsx]Steuerung'!$F$10,'[D Projekte.xlsx]D Projekte'!$B$158:$B$349,C27,'[D Projekte.xlsx]D Projekte'!$A$158:$A$349,'[Steuerung.xlsx]Steuerung'!$F$6))</f>
        <v/>
      </c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>
        <v>5</v>
      </c>
      <c r="D28" s="6">
        <f>IF(COUNTIFS('[D Projekte.xlsx]D Projekte'!$A$1420:$A$4919,'[Steuerung.xlsx]Steuerung'!$F$10,'[D Projekte.xlsx]D Projekte'!$G$1420:$G$4919,C28)=0,"",SUMIFS('[D Projekte.xlsx]D Projekte'!$H$1420:$H$4919,'[D Projekte.xlsx]D Projekte'!$A$1420:$A$4919,'[Steuerung.xlsx]Steuerung'!$F$10,'[D Projekte.xlsx]D Projekte'!$G$1420:$G$4919,C28))</f>
        <v/>
      </c>
      <c r="E28" s="6">
        <f>IF(COUNTIFS('[D Projekte.xlsx]D Projekte'!$C$158:$C$349,'[Steuerung.xlsx]Steuerung'!$F$10,'[D Projekte.xlsx]D Projekte'!$B$158:$B$349,C28,'[D Projekte.xlsx]D Projekte'!$A$158:$A$349,'[Steuerung.xlsx]Steuerung'!$F$6)=0,"",SUMIFS('[D Projekte.xlsx]D Projekte'!$G$158:$G$349,'[D Projekte.xlsx]D Projekte'!$C$158:$C$349,'[Steuerung.xlsx]Steuerung'!$F$10,'[D Projekte.xlsx]D Projekte'!$B$158:$B$349,C28,'[D Projekte.xlsx]D Projekte'!$A$158:$A$349,'[Steuerung.xlsx]Steuerung'!$F$6))</f>
        <v/>
      </c>
      <c r="F28" s="6">
        <f>IF(COUNTIFS('[D Projekte.xlsx]D Projekte'!$C$158:$C$349,'[Steuerung.xlsx]Steuerung'!$F$10,'[D Projekte.xlsx]D Projekte'!$B$158:$B$349,C28,'[D Projekte.xlsx]D Projekte'!$A$158:$A$349,'[Steuerung.xlsx]Steuerung'!$F$6)=0,"",SUMIFS('[D Projekte.xlsx]D Projekte'!$I$158:$I$349,'[D Projekte.xlsx]D Projekte'!$C$158:$C$349,'[Steuerung.xlsx]Steuerung'!$F$10,'[D Projekte.xlsx]D Projekte'!$B$158:$B$349,C28,'[D Projekte.xlsx]D Projekte'!$A$158:$A$349,'[Steuerung.xlsx]Steuerung'!$F$6))</f>
        <v/>
      </c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>
        <v>6</v>
      </c>
      <c r="D29" s="6">
        <f>IF(COUNTIFS('[D Projekte.xlsx]D Projekte'!$A$1420:$A$4919,'[Steuerung.xlsx]Steuerung'!$F$10,'[D Projekte.xlsx]D Projekte'!$G$1420:$G$4919,C29)=0,"",SUMIFS('[D Projekte.xlsx]D Projekte'!$H$1420:$H$4919,'[D Projekte.xlsx]D Projekte'!$A$1420:$A$4919,'[Steuerung.xlsx]Steuerung'!$F$10,'[D Projekte.xlsx]D Projekte'!$G$1420:$G$4919,C29))</f>
        <v/>
      </c>
      <c r="E29" s="6">
        <f>IF(COUNTIFS('[D Projekte.xlsx]D Projekte'!$C$158:$C$349,'[Steuerung.xlsx]Steuerung'!$F$10,'[D Projekte.xlsx]D Projekte'!$B$158:$B$349,C29,'[D Projekte.xlsx]D Projekte'!$A$158:$A$349,'[Steuerung.xlsx]Steuerung'!$F$6)=0,"",SUMIFS('[D Projekte.xlsx]D Projekte'!$G$158:$G$349,'[D Projekte.xlsx]D Projekte'!$C$158:$C$349,'[Steuerung.xlsx]Steuerung'!$F$10,'[D Projekte.xlsx]D Projekte'!$B$158:$B$349,C29,'[D Projekte.xlsx]D Projekte'!$A$158:$A$349,'[Steuerung.xlsx]Steuerung'!$F$6))</f>
        <v/>
      </c>
      <c r="F29" s="6">
        <f>IF(COUNTIFS('[D Projekte.xlsx]D Projekte'!$C$158:$C$349,'[Steuerung.xlsx]Steuerung'!$F$10,'[D Projekte.xlsx]D Projekte'!$B$158:$B$349,C29,'[D Projekte.xlsx]D Projekte'!$A$158:$A$349,'[Steuerung.xlsx]Steuerung'!$F$6)=0,"",SUMIFS('[D Projekte.xlsx]D Projekte'!$I$158:$I$349,'[D Projekte.xlsx]D Projekte'!$C$158:$C$349,'[Steuerung.xlsx]Steuerung'!$F$10,'[D Projekte.xlsx]D Projekte'!$B$158:$B$349,C29,'[D Projekte.xlsx]D Projekte'!$A$158:$A$349,'[Steuerung.xlsx]Steuerung'!$F$6))</f>
        <v/>
      </c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>
        <v>7</v>
      </c>
      <c r="D30" s="6">
        <f>IF(COUNTIFS('[D Projekte.xlsx]D Projekte'!$A$1420:$A$4919,'[Steuerung.xlsx]Steuerung'!$F$10,'[D Projekte.xlsx]D Projekte'!$G$1420:$G$4919,C30)=0,"",SUMIFS('[D Projekte.xlsx]D Projekte'!$H$1420:$H$4919,'[D Projekte.xlsx]D Projekte'!$A$1420:$A$4919,'[Steuerung.xlsx]Steuerung'!$F$10,'[D Projekte.xlsx]D Projekte'!$G$1420:$G$4919,C30))</f>
        <v/>
      </c>
      <c r="E30" s="6">
        <f>IF(COUNTIFS('[D Projekte.xlsx]D Projekte'!$C$158:$C$349,'[Steuerung.xlsx]Steuerung'!$F$10,'[D Projekte.xlsx]D Projekte'!$B$158:$B$349,C30,'[D Projekte.xlsx]D Projekte'!$A$158:$A$349,'[Steuerung.xlsx]Steuerung'!$F$6)=0,"",SUMIFS('[D Projekte.xlsx]D Projekte'!$G$158:$G$349,'[D Projekte.xlsx]D Projekte'!$C$158:$C$349,'[Steuerung.xlsx]Steuerung'!$F$10,'[D Projekte.xlsx]D Projekte'!$B$158:$B$349,C30,'[D Projekte.xlsx]D Projekte'!$A$158:$A$349,'[Steuerung.xlsx]Steuerung'!$F$6))</f>
        <v/>
      </c>
      <c r="F30" s="6">
        <f>IF(COUNTIFS('[D Projekte.xlsx]D Projekte'!$C$158:$C$349,'[Steuerung.xlsx]Steuerung'!$F$10,'[D Projekte.xlsx]D Projekte'!$B$158:$B$349,C30,'[D Projekte.xlsx]D Projekte'!$A$158:$A$349,'[Steuerung.xlsx]Steuerung'!$F$6)=0,"",SUMIFS('[D Projekte.xlsx]D Projekte'!$I$158:$I$349,'[D Projekte.xlsx]D Projekte'!$C$158:$C$349,'[Steuerung.xlsx]Steuerung'!$F$10,'[D Projekte.xlsx]D Projekte'!$B$158:$B$349,C30,'[D Projekte.xlsx]D Projekte'!$A$158:$A$349,'[Steuerung.xlsx]Steuerung'!$F$6))</f>
        <v/>
      </c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  <row r="31">
      <c r="A31" s="1" t="n"/>
      <c r="B31" s="1" t="n"/>
      <c r="C31" s="1" t="n">
        <v>8</v>
      </c>
      <c r="D31" s="6">
        <f>IF(COUNTIFS('[D Projekte.xlsx]D Projekte'!$A$1420:$A$4919,'[Steuerung.xlsx]Steuerung'!$F$10,'[D Projekte.xlsx]D Projekte'!$G$1420:$G$4919,C31)=0,"",SUMIFS('[D Projekte.xlsx]D Projekte'!$H$1420:$H$4919,'[D Projekte.xlsx]D Projekte'!$A$1420:$A$4919,'[Steuerung.xlsx]Steuerung'!$F$10,'[D Projekte.xlsx]D Projekte'!$G$1420:$G$4919,C31))</f>
        <v/>
      </c>
      <c r="E31" s="6">
        <f>IF(COUNTIFS('[D Projekte.xlsx]D Projekte'!$C$158:$C$349,'[Steuerung.xlsx]Steuerung'!$F$10,'[D Projekte.xlsx]D Projekte'!$B$158:$B$349,C31,'[D Projekte.xlsx]D Projekte'!$A$158:$A$349,'[Steuerung.xlsx]Steuerung'!$F$6)=0,"",SUMIFS('[D Projekte.xlsx]D Projekte'!$G$158:$G$349,'[D Projekte.xlsx]D Projekte'!$C$158:$C$349,'[Steuerung.xlsx]Steuerung'!$F$10,'[D Projekte.xlsx]D Projekte'!$B$158:$B$349,C31,'[D Projekte.xlsx]D Projekte'!$A$158:$A$349,'[Steuerung.xlsx]Steuerung'!$F$6))</f>
        <v/>
      </c>
      <c r="F31" s="6">
        <f>IF(COUNTIFS('[D Projekte.xlsx]D Projekte'!$C$158:$C$349,'[Steuerung.xlsx]Steuerung'!$F$10,'[D Projekte.xlsx]D Projekte'!$B$158:$B$349,C31,'[D Projekte.xlsx]D Projekte'!$A$158:$A$349,'[Steuerung.xlsx]Steuerung'!$F$6)=0,"",SUMIFS('[D Projekte.xlsx]D Projekte'!$I$158:$I$349,'[D Projekte.xlsx]D Projekte'!$C$158:$C$349,'[Steuerung.xlsx]Steuerung'!$F$10,'[D Projekte.xlsx]D Projekte'!$B$158:$B$349,C31,'[D Projekte.xlsx]D Projekte'!$A$158:$A$349,'[Steuerung.xlsx]Steuerung'!$F$6))</f>
        <v/>
      </c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</row>
    <row r="32">
      <c r="A32" s="1" t="n"/>
      <c r="B32" s="1" t="n"/>
      <c r="C32" s="1" t="n">
        <v>9</v>
      </c>
      <c r="D32" s="6">
        <f>IF(COUNTIFS('[D Projekte.xlsx]D Projekte'!$A$1420:$A$4919,'[Steuerung.xlsx]Steuerung'!$F$10,'[D Projekte.xlsx]D Projekte'!$G$1420:$G$4919,C32)=0,"",SUMIFS('[D Projekte.xlsx]D Projekte'!$H$1420:$H$4919,'[D Projekte.xlsx]D Projekte'!$A$1420:$A$4919,'[Steuerung.xlsx]Steuerung'!$F$10,'[D Projekte.xlsx]D Projekte'!$G$1420:$G$4919,C32))</f>
        <v/>
      </c>
      <c r="E32" s="6">
        <f>IF(COUNTIFS('[D Projekte.xlsx]D Projekte'!$C$158:$C$349,'[Steuerung.xlsx]Steuerung'!$F$10,'[D Projekte.xlsx]D Projekte'!$B$158:$B$349,C32,'[D Projekte.xlsx]D Projekte'!$A$158:$A$349,'[Steuerung.xlsx]Steuerung'!$F$6)=0,"",SUMIFS('[D Projekte.xlsx]D Projekte'!$G$158:$G$349,'[D Projekte.xlsx]D Projekte'!$C$158:$C$349,'[Steuerung.xlsx]Steuerung'!$F$10,'[D Projekte.xlsx]D Projekte'!$B$158:$B$349,C32,'[D Projekte.xlsx]D Projekte'!$A$158:$A$349,'[Steuerung.xlsx]Steuerung'!$F$6))</f>
        <v/>
      </c>
      <c r="F32" s="6">
        <f>IF(COUNTIFS('[D Projekte.xlsx]D Projekte'!$C$158:$C$349,'[Steuerung.xlsx]Steuerung'!$F$10,'[D Projekte.xlsx]D Projekte'!$B$158:$B$349,C32,'[D Projekte.xlsx]D Projekte'!$A$158:$A$349,'[Steuerung.xlsx]Steuerung'!$F$6)=0,"",SUMIFS('[D Projekte.xlsx]D Projekte'!$I$158:$I$349,'[D Projekte.xlsx]D Projekte'!$C$158:$C$349,'[Steuerung.xlsx]Steuerung'!$F$10,'[D Projekte.xlsx]D Projekte'!$B$158:$B$349,C32,'[D Projekte.xlsx]D Projekte'!$A$158:$A$349,'[Steuerung.xlsx]Steuerung'!$F$6))</f>
        <v/>
      </c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</row>
    <row r="33">
      <c r="A33" s="1" t="n"/>
      <c r="B33" s="1" t="n"/>
      <c r="C33" s="1" t="n">
        <v>10</v>
      </c>
      <c r="D33" s="6">
        <f>IF(COUNTIFS('[D Projekte.xlsx]D Projekte'!$A$1420:$A$4919,'[Steuerung.xlsx]Steuerung'!$F$10,'[D Projekte.xlsx]D Projekte'!$G$1420:$G$4919,C33)=0,"",SUMIFS('[D Projekte.xlsx]D Projekte'!$H$1420:$H$4919,'[D Projekte.xlsx]D Projekte'!$A$1420:$A$4919,'[Steuerung.xlsx]Steuerung'!$F$10,'[D Projekte.xlsx]D Projekte'!$G$1420:$G$4919,C33))</f>
        <v/>
      </c>
      <c r="E33" s="6">
        <f>IF(COUNTIFS('[D Projekte.xlsx]D Projekte'!$C$158:$C$349,'[Steuerung.xlsx]Steuerung'!$F$10,'[D Projekte.xlsx]D Projekte'!$B$158:$B$349,C33,'[D Projekte.xlsx]D Projekte'!$A$158:$A$349,'[Steuerung.xlsx]Steuerung'!$F$6)=0,"",SUMIFS('[D Projekte.xlsx]D Projekte'!$G$158:$G$349,'[D Projekte.xlsx]D Projekte'!$C$158:$C$349,'[Steuerung.xlsx]Steuerung'!$F$10,'[D Projekte.xlsx]D Projekte'!$B$158:$B$349,C33,'[D Projekte.xlsx]D Projekte'!$A$158:$A$349,'[Steuerung.xlsx]Steuerung'!$F$6))</f>
        <v/>
      </c>
      <c r="F33" s="6">
        <f>IF(COUNTIFS('[D Projekte.xlsx]D Projekte'!$C$158:$C$349,'[Steuerung.xlsx]Steuerung'!$F$10,'[D Projekte.xlsx]D Projekte'!$B$158:$B$349,C33,'[D Projekte.xlsx]D Projekte'!$A$158:$A$349,'[Steuerung.xlsx]Steuerung'!$F$6)=0,"",SUMIFS('[D Projekte.xlsx]D Projekte'!$I$158:$I$349,'[D Projekte.xlsx]D Projekte'!$C$158:$C$349,'[Steuerung.xlsx]Steuerung'!$F$10,'[D Projekte.xlsx]D Projekte'!$B$158:$B$349,C33,'[D Projekte.xlsx]D Projekte'!$A$158:$A$349,'[Steuerung.xlsx]Steuerung'!$F$6))</f>
        <v/>
      </c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</row>
    <row r="34">
      <c r="A34" s="1" t="n"/>
      <c r="B34" s="1" t="n"/>
      <c r="C34" s="1" t="n">
        <v>11</v>
      </c>
      <c r="D34" s="6">
        <f>IF(COUNTIFS('[D Projekte.xlsx]D Projekte'!$A$1420:$A$4919,'[Steuerung.xlsx]Steuerung'!$F$10,'[D Projekte.xlsx]D Projekte'!$G$1420:$G$4919,C34)=0,"",SUMIFS('[D Projekte.xlsx]D Projekte'!$H$1420:$H$4919,'[D Projekte.xlsx]D Projekte'!$A$1420:$A$4919,'[Steuerung.xlsx]Steuerung'!$F$10,'[D Projekte.xlsx]D Projekte'!$G$1420:$G$4919,C34))</f>
        <v/>
      </c>
      <c r="E34" s="6">
        <f>IF(COUNTIFS('[D Projekte.xlsx]D Projekte'!$C$158:$C$349,'[Steuerung.xlsx]Steuerung'!$F$10,'[D Projekte.xlsx]D Projekte'!$B$158:$B$349,C34,'[D Projekte.xlsx]D Projekte'!$A$158:$A$349,'[Steuerung.xlsx]Steuerung'!$F$6)=0,"",SUMIFS('[D Projekte.xlsx]D Projekte'!$G$158:$G$349,'[D Projekte.xlsx]D Projekte'!$C$158:$C$349,'[Steuerung.xlsx]Steuerung'!$F$10,'[D Projekte.xlsx]D Projekte'!$B$158:$B$349,C34,'[D Projekte.xlsx]D Projekte'!$A$158:$A$349,'[Steuerung.xlsx]Steuerung'!$F$6))</f>
        <v/>
      </c>
      <c r="F34" s="6">
        <f>IF(COUNTIFS('[D Projekte.xlsx]D Projekte'!$C$158:$C$349,'[Steuerung.xlsx]Steuerung'!$F$10,'[D Projekte.xlsx]D Projekte'!$B$158:$B$349,C34,'[D Projekte.xlsx]D Projekte'!$A$158:$A$349,'[Steuerung.xlsx]Steuerung'!$F$6)=0,"",SUMIFS('[D Projekte.xlsx]D Projekte'!$I$158:$I$349,'[D Projekte.xlsx]D Projekte'!$C$158:$C$349,'[Steuerung.xlsx]Steuerung'!$F$10,'[D Projekte.xlsx]D Projekte'!$B$158:$B$349,C34,'[D Projekte.xlsx]D Projekte'!$A$158:$A$349,'[Steuerung.xlsx]Steuerung'!$F$6))</f>
        <v/>
      </c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</row>
    <row r="35">
      <c r="A35" s="1" t="n"/>
      <c r="B35" s="1" t="n"/>
      <c r="C35" s="1" t="n">
        <v>12</v>
      </c>
      <c r="D35" s="6">
        <f>IF(COUNTIFS('[D Projekte.xlsx]D Projekte'!$A$1420:$A$4919,'[Steuerung.xlsx]Steuerung'!$F$10,'[D Projekte.xlsx]D Projekte'!$G$1420:$G$4919,C35)=0,"",SUMIFS('[D Projekte.xlsx]D Projekte'!$H$1420:$H$4919,'[D Projekte.xlsx]D Projekte'!$A$1420:$A$4919,'[Steuerung.xlsx]Steuerung'!$F$10,'[D Projekte.xlsx]D Projekte'!$G$1420:$G$4919,C35))</f>
        <v/>
      </c>
      <c r="E35" s="6">
        <f>IF(COUNTIFS('[D Projekte.xlsx]D Projekte'!$C$158:$C$349,'[Steuerung.xlsx]Steuerung'!$F$10,'[D Projekte.xlsx]D Projekte'!$B$158:$B$349,C35,'[D Projekte.xlsx]D Projekte'!$A$158:$A$349,'[Steuerung.xlsx]Steuerung'!$F$6)=0,"",SUMIFS('[D Projekte.xlsx]D Projekte'!$G$158:$G$349,'[D Projekte.xlsx]D Projekte'!$C$158:$C$349,'[Steuerung.xlsx]Steuerung'!$F$10,'[D Projekte.xlsx]D Projekte'!$B$158:$B$349,C35,'[D Projekte.xlsx]D Projekte'!$A$158:$A$349,'[Steuerung.xlsx]Steuerung'!$F$6))</f>
        <v/>
      </c>
      <c r="F35" s="6">
        <f>IF(COUNTIFS('[D Projekte.xlsx]D Projekte'!$C$158:$C$349,'[Steuerung.xlsx]Steuerung'!$F$10,'[D Projekte.xlsx]D Projekte'!$B$158:$B$349,C35,'[D Projekte.xlsx]D Projekte'!$A$158:$A$349,'[Steuerung.xlsx]Steuerung'!$F$6)=0,"",SUMIFS('[D Projekte.xlsx]D Projekte'!$I$158:$I$349,'[D Projekte.xlsx]D Projekte'!$C$158:$C$349,'[Steuerung.xlsx]Steuerung'!$F$10,'[D Projekte.xlsx]D Projekte'!$B$158:$B$349,C35,'[D Projekte.xlsx]D Projekte'!$A$158:$A$349,'[Steuerung.xlsx]Steuerung'!$F$6))</f>
        <v/>
      </c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</row>
    <row r="63">
      <c r="C63" t="inlineStr">
        <is>
          <t>SharePoint-Verknüpfungen (Dateien im selben Ordner)</t>
        </is>
      </c>
    </row>
    <row r="64">
      <c r="C64" t="inlineStr">
        <is>
          <t>Diese Datei</t>
        </is>
      </c>
      <c r="D64" t="inlineStr">
        <is>
          <t>Projektakte.xlsx</t>
        </is>
      </c>
    </row>
    <row r="65">
      <c r="C65" t="inlineStr">
        <is>
          <t>Liest aus</t>
        </is>
      </c>
      <c r="D65" t="inlineStr">
        <is>
          <t>D Projekte.xlsx</t>
        </is>
      </c>
      <c r="E65" t="inlineStr">
        <is>
          <t>D Projekte</t>
        </is>
      </c>
    </row>
    <row r="66">
      <c r="C66" t="inlineStr">
        <is>
          <t>Liest aus</t>
        </is>
      </c>
      <c r="D66" t="inlineStr">
        <is>
          <t>Risiken.xlsx</t>
        </is>
      </c>
      <c r="E66" t="inlineStr">
        <is>
          <t>Risiken</t>
        </is>
      </c>
    </row>
    <row r="67">
      <c r="C67" t="inlineStr">
        <is>
          <t>Liest aus</t>
        </is>
      </c>
      <c r="D67" t="inlineStr">
        <is>
          <t>Steuerung.xlsx</t>
        </is>
      </c>
      <c r="E67" t="inlineStr">
        <is>
          <t>Steuerung</t>
        </is>
      </c>
    </row>
  </sheetData>
  <mergeCells count="4">
    <mergeCell ref="C3:O3"/>
    <mergeCell ref="G5:O5"/>
    <mergeCell ref="G11:O15"/>
    <mergeCell ref="C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2026-10-12T08:21:47Z</dcterms:created>
  <dcterms:modified xsi:type="dcterms:W3CDTF">2026-10-12T08:21:47Z</dcterms:modified>
</cp:coreProperties>
</file>