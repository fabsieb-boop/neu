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quiditä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;[Red]\(#,##0\);&quot;–&quot;"/>
    <numFmt numFmtId="165" formatCode="yyyy-mm-dd h:mm:ss"/>
    <numFmt numFmtId="166" formatCode="dd\.mm\.yyyy"/>
    <numFmt numFmtId="167" formatCode="#,##0.00;[Red]\(#,##0.00\);&quot;–&quot;"/>
  </numFmts>
  <fonts count="7">
    <font>
      <name val="Calibri"/>
      <family val="2"/>
      <color theme="1"/>
      <sz val="11"/>
      <scheme val="minor"/>
    </font>
    <font>
      <name val="Arial"/>
      <family val="2"/>
      <color rgb="FF1E293B"/>
      <sz val="10"/>
    </font>
    <font>
      <name val="Arial"/>
      <family val="2"/>
      <b val="1"/>
      <color rgb="FF1E293B"/>
      <sz val="16"/>
    </font>
    <font>
      <name val="Carlito"/>
      <sz val="11"/>
    </font>
    <font>
      <name val="Arial"/>
      <family val="2"/>
      <color rgb="FF64748B"/>
      <sz val="10"/>
    </font>
    <font>
      <name val="Arial"/>
      <family val="2"/>
      <b val="1"/>
      <color rgb="FFFFFFFF"/>
      <sz val="10"/>
    </font>
    <font>
      <name val="Arial"/>
      <family val="2"/>
      <b val="1"/>
      <color rgb="FF1E293B"/>
      <sz val="10"/>
    </font>
  </fonts>
  <fills count="4">
    <fill>
      <patternFill/>
    </fill>
    <fill>
      <patternFill patternType="gray125"/>
    </fill>
    <fill>
      <patternFill patternType="solid">
        <fgColor rgb="FF1E293B"/>
      </patternFill>
    </fill>
    <fill>
      <patternFill patternType="solid">
        <fgColor rgb="FFF0F4F8"/>
      </patternFill>
    </fill>
  </fills>
  <borders count="2">
    <border>
      <left/>
      <right/>
      <top/>
      <bottom/>
      <diagonal/>
    </border>
    <border>
      <left/>
      <right/>
      <top/>
      <bottom style="thin">
        <color rgb="FF2563EB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0" fillId="0" borderId="1" pivotButton="0" quotePrefix="0" xfId="0"/>
    <xf numFmtId="0" fontId="4" fillId="0" borderId="0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 wrapText="1"/>
    </xf>
    <xf numFmtId="164" fontId="1" fillId="0" borderId="0" applyAlignment="1" pivotButton="0" quotePrefix="0" xfId="0">
      <alignment horizontal="right" vertical="center"/>
    </xf>
    <xf numFmtId="0" fontId="6" fillId="3" borderId="0" applyAlignment="1" pivotButton="0" quotePrefix="0" xfId="0">
      <alignment vertical="center"/>
    </xf>
    <xf numFmtId="166" fontId="1" fillId="0" borderId="0" applyAlignment="1" pivotButton="0" quotePrefix="0" xfId="0">
      <alignment horizontal="right" vertical="center"/>
    </xf>
    <xf numFmtId="167" fontId="1" fillId="0" borderId="0" applyAlignment="1" pivotButton="0" quotePrefix="0" xfId="0">
      <alignment horizontal="right" vertical="center"/>
    </xf>
    <xf numFmtId="1" fontId="1" fillId="0" borderId="0" applyAlignment="1" pivotButton="0" quotePrefix="0" xfId="0">
      <alignment horizontal="right" vertical="center"/>
    </xf>
    <xf numFmtId="0" fontId="1" fillId="0" borderId="0" pivotButton="0" quotePrefix="0" xfId="0"/>
    <xf numFmtId="166" fontId="1" fillId="0" borderId="0" applyAlignment="1" pivotButton="0" quotePrefix="0" xfId="0">
      <alignment horizontal="right"/>
    </xf>
    <xf numFmtId="167" fontId="1" fillId="0" borderId="0" applyAlignment="1" pivotButton="0" quotePrefix="0" xfId="0">
      <alignment horizontal="right"/>
    </xf>
    <xf numFmtId="1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VF_86" displayName="TVF_86" ref="C26:M371" headerRowCount="1">
  <tableColumns count="11">
    <tableColumn id="1" name="Art"/>
    <tableColumn id="2" name="Konto"/>
    <tableColumn id="3" name="Belegnummer"/>
    <tableColumn id="4" name="Belegdatum"/>
    <tableColumn id="5" name="Nettofälligkeit"/>
    <tableColumn id="6" name="Betrag"/>
    <tableColumn id="7" name="Währung"/>
    <tableColumn id="8" name="Auftrag"/>
    <tableColumn id="9" name="Text"/>
    <tableColumn id="10" name="Stand"/>
    <tableColumn id="11" name="Überfällig T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.5" customWidth="1" min="1" max="1"/>
    <col width="38" customWidth="1" min="3" max="3"/>
    <col width="15" customWidth="1" min="4" max="4"/>
    <col width="45" customWidth="1" min="11" max="11"/>
    <col width="15" customWidth="1" min="12" max="12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 ht="30" customHeight="1">
      <c r="A2" s="1" t="n"/>
      <c r="B2" s="1" t="n"/>
      <c r="C2" s="2" t="inlineStr">
        <is>
          <t>Liquiditätsübersicht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</row>
    <row r="3" ht="32" customHeight="1">
      <c r="A3" s="1" t="n"/>
      <c r="B3" s="1" t="n"/>
      <c r="C3" s="4" t="inlineStr">
        <is>
          <t>Wochen- und Tagesplanung aus dem bereitgestellten Export. Der Cash-Pool-Monatsroll steht auf dem separaten Blatt Monatsroll.</t>
        </is>
      </c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</row>
    <row r="6" ht="34" customHeight="1">
      <c r="A6" s="1" t="n"/>
      <c r="B6" s="1" t="n"/>
      <c r="C6" s="5" t="inlineStr">
        <is>
          <t>KW</t>
        </is>
      </c>
      <c r="D6" s="5" t="inlineStr">
        <is>
          <t>Von</t>
        </is>
      </c>
      <c r="E6" s="5" t="inlineStr">
        <is>
          <t>Bis</t>
        </is>
      </c>
      <c r="F6" s="5" t="inlineStr">
        <is>
          <t>Einzahlungen</t>
        </is>
      </c>
      <c r="G6" s="5" t="inlineStr">
        <is>
          <t>Auszahlungen</t>
        </is>
      </c>
      <c r="H6" s="5" t="inlineStr">
        <is>
          <t>Veränderung</t>
        </is>
      </c>
      <c r="I6" s="5" t="inlineStr">
        <is>
          <t>Saldo Ende</t>
        </is>
      </c>
      <c r="J6" s="5" t="inlineStr">
        <is>
          <t>Tiefpunkt</t>
        </is>
      </c>
      <c r="K6" s="5" t="inlineStr">
        <is>
          <t>Tiefpunkt am</t>
        </is>
      </c>
      <c r="L6" s="1" t="n"/>
      <c r="M6" s="1" t="n"/>
      <c r="N6" s="1" t="n"/>
      <c r="O6" s="1" t="n"/>
      <c r="P6" s="1" t="n"/>
    </row>
    <row r="7">
      <c r="A7" s="1" t="n"/>
      <c r="B7" s="1" t="n"/>
      <c r="C7" s="1" t="n">
        <v>33</v>
      </c>
      <c r="D7" s="1" t="inlineStr">
        <is>
          <t>2026-08-11</t>
        </is>
      </c>
      <c r="E7" s="1" t="inlineStr">
        <is>
          <t>2026-08-14</t>
        </is>
      </c>
      <c r="F7" s="6" t="n">
        <v>57663.24</v>
      </c>
      <c r="G7" s="6" t="n">
        <v>-482714.05</v>
      </c>
      <c r="H7" s="6">
        <f>SUM(F7:G7)</f>
        <v/>
      </c>
      <c r="I7" s="6" t="n">
        <v>-1273561.11</v>
      </c>
      <c r="J7" s="6" t="n">
        <v>-1273561.11</v>
      </c>
      <c r="K7" s="1" t="inlineStr">
        <is>
          <t>2026-08-14</t>
        </is>
      </c>
      <c r="L7" s="1" t="n"/>
      <c r="M7" s="1" t="n"/>
      <c r="N7" s="1" t="n"/>
      <c r="O7" s="1" t="n"/>
      <c r="P7" s="1" t="n"/>
    </row>
    <row r="8">
      <c r="A8" s="1" t="n"/>
      <c r="B8" s="1" t="n"/>
      <c r="C8" s="1" t="n">
        <v>34</v>
      </c>
      <c r="D8" s="1" t="inlineStr">
        <is>
          <t>2026-08-17</t>
        </is>
      </c>
      <c r="E8" s="1" t="inlineStr">
        <is>
          <t>2026-08-21</t>
        </is>
      </c>
      <c r="F8" s="6" t="n">
        <v>642836.22</v>
      </c>
      <c r="G8" s="6" t="n">
        <v>-121089.12</v>
      </c>
      <c r="H8" s="6">
        <f>SUM(F8:G8)</f>
        <v/>
      </c>
      <c r="I8" s="6" t="n">
        <v>-751814.01</v>
      </c>
      <c r="J8" s="6" t="n">
        <v>-807896.99</v>
      </c>
      <c r="K8" s="1" t="inlineStr">
        <is>
          <t>2026-08-19</t>
        </is>
      </c>
      <c r="L8" s="1" t="n"/>
      <c r="M8" s="1" t="n"/>
      <c r="N8" s="1" t="n"/>
      <c r="O8" s="1" t="n"/>
      <c r="P8" s="1" t="n"/>
    </row>
    <row r="9">
      <c r="A9" s="1" t="n"/>
      <c r="B9" s="1" t="n"/>
      <c r="C9" s="1" t="n">
        <v>35</v>
      </c>
      <c r="D9" s="1" t="inlineStr">
        <is>
          <t>2026-08-24</t>
        </is>
      </c>
      <c r="E9" s="1" t="inlineStr">
        <is>
          <t>2026-08-28</t>
        </is>
      </c>
      <c r="F9" s="6" t="n">
        <v>494890.26</v>
      </c>
      <c r="G9" s="6" t="n">
        <v>-575987.86</v>
      </c>
      <c r="H9" s="6">
        <f>SUM(F9:G9)</f>
        <v/>
      </c>
      <c r="I9" s="6" t="n">
        <v>-832911.61</v>
      </c>
      <c r="J9" s="6" t="n">
        <v>-832911.61</v>
      </c>
      <c r="K9" s="1" t="inlineStr">
        <is>
          <t>2026-08-28</t>
        </is>
      </c>
      <c r="L9" s="1" t="n"/>
      <c r="M9" s="1" t="n"/>
      <c r="N9" s="1" t="n"/>
      <c r="O9" s="1" t="n"/>
      <c r="P9" s="1" t="n"/>
    </row>
    <row r="10">
      <c r="A10" s="1" t="n"/>
      <c r="B10" s="1" t="n"/>
      <c r="C10" s="1" t="n">
        <v>36</v>
      </c>
      <c r="D10" s="1" t="inlineStr">
        <is>
          <t>2026-08-31</t>
        </is>
      </c>
      <c r="E10" s="1" t="inlineStr">
        <is>
          <t>2026-09-03</t>
        </is>
      </c>
      <c r="F10" s="6" t="n">
        <v>199182.29</v>
      </c>
      <c r="G10" s="6" t="n">
        <v>-299065.32</v>
      </c>
      <c r="H10" s="6">
        <f>SUM(F10:G10)</f>
        <v/>
      </c>
      <c r="I10" s="6" t="n">
        <v>-932794.64</v>
      </c>
      <c r="J10" s="6" t="n">
        <v>-1052972.85</v>
      </c>
      <c r="K10" s="1" t="inlineStr">
        <is>
          <t>2026-09-01</t>
        </is>
      </c>
      <c r="L10" s="1" t="n"/>
      <c r="M10" s="1" t="n"/>
      <c r="N10" s="1" t="n"/>
      <c r="O10" s="1" t="n"/>
      <c r="P10" s="1" t="n"/>
    </row>
    <row r="11">
      <c r="A11" s="1" t="n"/>
      <c r="B11" s="1" t="n"/>
      <c r="C11" s="1" t="n">
        <v>37</v>
      </c>
      <c r="D11" s="1" t="inlineStr">
        <is>
          <t>2026-09-07</t>
        </is>
      </c>
      <c r="E11" s="1" t="inlineStr">
        <is>
          <t>2026-09-11</t>
        </is>
      </c>
      <c r="F11" s="6" t="n">
        <v>693356.3</v>
      </c>
      <c r="G11" s="6" t="n">
        <v>-745145.99</v>
      </c>
      <c r="H11" s="6">
        <f>SUM(F11:G11)</f>
        <v/>
      </c>
      <c r="I11" s="6" t="n">
        <v>-984584.33</v>
      </c>
      <c r="J11" s="6" t="n">
        <v>-1045647.62</v>
      </c>
      <c r="K11" s="1" t="inlineStr">
        <is>
          <t>2026-09-10</t>
        </is>
      </c>
      <c r="L11" s="1" t="n"/>
      <c r="M11" s="1" t="n"/>
      <c r="N11" s="1" t="n"/>
      <c r="O11" s="1" t="n"/>
      <c r="P11" s="1" t="n"/>
    </row>
    <row r="12">
      <c r="A12" s="1" t="n"/>
      <c r="B12" s="1" t="n"/>
      <c r="C12" s="1" t="n">
        <v>38</v>
      </c>
      <c r="D12" s="1" t="inlineStr">
        <is>
          <t>2026-09-14</t>
        </is>
      </c>
      <c r="E12" s="1" t="inlineStr">
        <is>
          <t>2026-09-17</t>
        </is>
      </c>
      <c r="F12" s="6" t="n">
        <v>521646.76</v>
      </c>
      <c r="G12" s="6" t="n">
        <v>-225027.24</v>
      </c>
      <c r="H12" s="6">
        <f>SUM(F12:G12)</f>
        <v/>
      </c>
      <c r="I12" s="6" t="n">
        <v>-687964.8100000001</v>
      </c>
      <c r="J12" s="6" t="n">
        <v>-822557.48</v>
      </c>
      <c r="K12" s="1" t="inlineStr">
        <is>
          <t>2026-09-15</t>
        </is>
      </c>
      <c r="L12" s="1" t="n"/>
      <c r="M12" s="1" t="n"/>
      <c r="N12" s="1" t="n"/>
      <c r="O12" s="1" t="n"/>
      <c r="P12" s="1" t="n"/>
    </row>
    <row r="13">
      <c r="A13" s="1" t="n"/>
      <c r="B13" s="1" t="n"/>
      <c r="C13" s="1" t="n">
        <v>39</v>
      </c>
      <c r="D13" s="1" t="inlineStr">
        <is>
          <t>2026-09-21</t>
        </is>
      </c>
      <c r="E13" s="1" t="inlineStr">
        <is>
          <t>2026-09-25</t>
        </is>
      </c>
      <c r="F13" s="6" t="n">
        <v>245815.86</v>
      </c>
      <c r="G13" s="6" t="n">
        <v>-212843.19</v>
      </c>
      <c r="H13" s="6">
        <f>SUM(F13:G13)</f>
        <v/>
      </c>
      <c r="I13" s="6" t="n">
        <v>-654992.14</v>
      </c>
      <c r="J13" s="6" t="n">
        <v>-713117</v>
      </c>
      <c r="K13" s="1" t="inlineStr">
        <is>
          <t>2026-09-22</t>
        </is>
      </c>
      <c r="L13" s="1" t="n"/>
      <c r="M13" s="1" t="n"/>
      <c r="N13" s="1" t="n"/>
      <c r="O13" s="1" t="n"/>
      <c r="P13" s="1" t="n"/>
    </row>
    <row r="14">
      <c r="A14" s="1" t="n"/>
      <c r="B14" s="1" t="n"/>
      <c r="C14" s="1" t="n">
        <v>40</v>
      </c>
      <c r="D14" s="1" t="inlineStr">
        <is>
          <t>2026-09-28</t>
        </is>
      </c>
      <c r="E14" s="1" t="inlineStr">
        <is>
          <t>2026-10-01</t>
        </is>
      </c>
      <c r="F14" s="6" t="n">
        <v>234582.68</v>
      </c>
      <c r="G14" s="6" t="n">
        <v>-443147.77</v>
      </c>
      <c r="H14" s="6">
        <f>SUM(F14:G14)</f>
        <v/>
      </c>
      <c r="I14" s="6" t="n">
        <v>-863557.23</v>
      </c>
      <c r="J14" s="6" t="n">
        <v>-1047298.42</v>
      </c>
      <c r="K14" s="1" t="inlineStr">
        <is>
          <t>2026-09-29</t>
        </is>
      </c>
      <c r="L14" s="1" t="n"/>
      <c r="M14" s="1" t="n"/>
      <c r="N14" s="1" t="n"/>
      <c r="O14" s="1" t="n"/>
      <c r="P14" s="1" t="n"/>
    </row>
    <row r="15">
      <c r="A15" s="1" t="n"/>
      <c r="B15" s="1" t="n"/>
      <c r="C15" s="1" t="n">
        <v>41</v>
      </c>
      <c r="D15" s="1" t="inlineStr">
        <is>
          <t>2026-10-05</t>
        </is>
      </c>
      <c r="E15" s="1" t="inlineStr">
        <is>
          <t>2026-10-09</t>
        </is>
      </c>
      <c r="F15" s="6" t="n">
        <v>776089.86</v>
      </c>
      <c r="G15" s="6" t="n">
        <v>-329301.1</v>
      </c>
      <c r="H15" s="6">
        <f>SUM(F15:G15)</f>
        <v/>
      </c>
      <c r="I15" s="6" t="n">
        <v>-416768.47</v>
      </c>
      <c r="J15" s="6" t="n">
        <v>-586737.42</v>
      </c>
      <c r="K15" s="1" t="inlineStr">
        <is>
          <t>2026-10-05</t>
        </is>
      </c>
      <c r="L15" s="1" t="n"/>
      <c r="M15" s="1" t="n"/>
      <c r="N15" s="1" t="n"/>
      <c r="O15" s="1" t="n"/>
      <c r="P15" s="1" t="n"/>
    </row>
    <row r="16">
      <c r="A16" s="1" t="n"/>
      <c r="B16" s="1" t="n"/>
      <c r="C16" s="1" t="n">
        <v>42</v>
      </c>
      <c r="D16" s="1" t="inlineStr">
        <is>
          <t>2026-10-12</t>
        </is>
      </c>
      <c r="E16" s="1" t="inlineStr">
        <is>
          <t>2026-10-16</t>
        </is>
      </c>
      <c r="F16" s="6" t="n">
        <v>225696.24</v>
      </c>
      <c r="G16" s="6" t="n">
        <v>-411116.37</v>
      </c>
      <c r="H16" s="6">
        <f>SUM(F16:G16)</f>
        <v/>
      </c>
      <c r="I16" s="6" t="n">
        <v>-602188.6</v>
      </c>
      <c r="J16" s="6" t="n">
        <v>-758593.9399999999</v>
      </c>
      <c r="K16" s="1" t="inlineStr">
        <is>
          <t>2026-10-14</t>
        </is>
      </c>
      <c r="L16" s="1" t="n"/>
      <c r="M16" s="1" t="n"/>
      <c r="N16" s="1" t="n"/>
      <c r="O16" s="1" t="n"/>
      <c r="P16" s="1" t="n"/>
    </row>
    <row r="17">
      <c r="A17" s="1" t="n"/>
      <c r="B17" s="1" t="n"/>
      <c r="C17" s="1" t="n">
        <v>43</v>
      </c>
      <c r="D17" s="1" t="inlineStr">
        <is>
          <t>2026-10-19</t>
        </is>
      </c>
      <c r="E17" s="1" t="inlineStr">
        <is>
          <t>2026-10-23</t>
        </is>
      </c>
      <c r="F17" s="6" t="n">
        <v>57176.23</v>
      </c>
      <c r="G17" s="6" t="n">
        <v>-151903.24</v>
      </c>
      <c r="H17" s="6">
        <f>SUM(F17:G17)</f>
        <v/>
      </c>
      <c r="I17" s="6" t="n">
        <v>-696915.61</v>
      </c>
      <c r="J17" s="6" t="n">
        <v>-745825.5</v>
      </c>
      <c r="K17" s="1" t="inlineStr">
        <is>
          <t>2026-10-20</t>
        </is>
      </c>
      <c r="L17" s="1" t="n"/>
      <c r="M17" s="1" t="n"/>
      <c r="N17" s="1" t="n"/>
      <c r="O17" s="1" t="n"/>
      <c r="P17" s="1" t="n"/>
    </row>
    <row r="18">
      <c r="A18" s="1" t="n"/>
      <c r="B18" s="1" t="n"/>
      <c r="C18" s="1" t="n">
        <v>44</v>
      </c>
      <c r="D18" s="1" t="inlineStr">
        <is>
          <t>2026-10-26</t>
        </is>
      </c>
      <c r="E18" s="1" t="inlineStr">
        <is>
          <t>2026-10-29</t>
        </is>
      </c>
      <c r="F18" s="6" t="n">
        <v>407945.2</v>
      </c>
      <c r="G18" s="6" t="n">
        <v>-596084.6</v>
      </c>
      <c r="H18" s="6">
        <f>SUM(F18:G18)</f>
        <v/>
      </c>
      <c r="I18" s="6" t="n">
        <v>-885055.01</v>
      </c>
      <c r="J18" s="6" t="n">
        <v>-970666.74</v>
      </c>
      <c r="K18" s="1" t="inlineStr">
        <is>
          <t>2026-10-27</t>
        </is>
      </c>
      <c r="L18" s="1" t="n"/>
      <c r="M18" s="1" t="n"/>
      <c r="N18" s="1" t="n"/>
      <c r="O18" s="1" t="n"/>
      <c r="P18" s="1" t="n"/>
    </row>
    <row r="19">
      <c r="A19" s="1" t="n"/>
      <c r="B19" s="1" t="n"/>
      <c r="C19" s="1" t="n">
        <v>45</v>
      </c>
      <c r="D19" s="1" t="inlineStr">
        <is>
          <t>2026-11-02</t>
        </is>
      </c>
      <c r="E19" s="1" t="inlineStr">
        <is>
          <t>2026-11-06</t>
        </is>
      </c>
      <c r="F19" s="6" t="n">
        <v>261595.23</v>
      </c>
      <c r="G19" s="6" t="n">
        <v>-250423.43</v>
      </c>
      <c r="H19" s="6">
        <f>SUM(F19:G19)</f>
        <v/>
      </c>
      <c r="I19" s="6" t="n">
        <v>-873883.21</v>
      </c>
      <c r="J19" s="6" t="n">
        <v>-910149.59</v>
      </c>
      <c r="K19" s="1" t="inlineStr">
        <is>
          <t>2026-11-03</t>
        </is>
      </c>
      <c r="L19" s="1" t="n"/>
      <c r="M19" s="1" t="n"/>
      <c r="N19" s="1" t="n"/>
      <c r="O19" s="1" t="n"/>
      <c r="P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</row>
    <row r="24" ht="26" customHeight="1">
      <c r="A24" s="1" t="n"/>
      <c r="B24" s="1" t="n"/>
      <c r="C24" s="7" t="inlineStr">
        <is>
          <t>Offene Posten</t>
        </is>
      </c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</row>
    <row r="26" ht="36" customHeight="1">
      <c r="A26" s="1" t="n"/>
      <c r="B26" s="1" t="n"/>
      <c r="C26" s="5" t="inlineStr">
        <is>
          <t>Art</t>
        </is>
      </c>
      <c r="D26" s="5" t="inlineStr">
        <is>
          <t>Konto</t>
        </is>
      </c>
      <c r="E26" s="5" t="inlineStr">
        <is>
          <t>Belegnummer</t>
        </is>
      </c>
      <c r="F26" s="5" t="inlineStr">
        <is>
          <t>Belegdatum</t>
        </is>
      </c>
      <c r="G26" s="5" t="inlineStr">
        <is>
          <t>Nettofälligkeit</t>
        </is>
      </c>
      <c r="H26" s="5" t="inlineStr">
        <is>
          <t>Betrag</t>
        </is>
      </c>
      <c r="I26" s="5" t="inlineStr">
        <is>
          <t>Währung</t>
        </is>
      </c>
      <c r="J26" s="5" t="inlineStr">
        <is>
          <t>Auftrag</t>
        </is>
      </c>
      <c r="K26" s="5" t="inlineStr">
        <is>
          <t>Text</t>
        </is>
      </c>
      <c r="L26" s="5" t="inlineStr">
        <is>
          <t>Stand</t>
        </is>
      </c>
      <c r="M26" s="5" t="inlineStr">
        <is>
          <t>Überfällig Tage</t>
        </is>
      </c>
      <c r="N26" s="1" t="n"/>
      <c r="O26" s="1" t="n"/>
      <c r="P26" s="1" t="n"/>
    </row>
    <row r="27" ht="21" customHeight="1">
      <c r="A27" s="1" t="n"/>
      <c r="B27" s="1" t="n"/>
      <c r="C27" s="1" t="inlineStr">
        <is>
          <t>FORDERUNG</t>
        </is>
      </c>
      <c r="D27" s="1" t="inlineStr">
        <is>
          <t>8910190602.0</t>
        </is>
      </c>
      <c r="E27" s="1" t="inlineStr">
        <is>
          <t>4719000434.0</t>
        </is>
      </c>
      <c r="F27" s="8" t="n">
        <v>46239</v>
      </c>
      <c r="G27" s="8" t="n">
        <v>46269</v>
      </c>
      <c r="H27" s="9" t="n">
        <v>552620.95</v>
      </c>
      <c r="I27" s="1" t="inlineStr">
        <is>
          <t>EUR</t>
        </is>
      </c>
      <c r="J27" s="1" t="inlineStr">
        <is>
          <t>157455</t>
        </is>
      </c>
      <c r="K27" s="1" t="inlineStr">
        <is>
          <t>*157455 7.AR Schadstoffsanierung</t>
        </is>
      </c>
      <c r="L27" s="8" t="n">
        <v>46254</v>
      </c>
      <c r="M27" s="10">
        <f>IF(G27="","n.a.",MAX(0,'[Steuerung.xlsx]Steuerung'!$F$12-G27))</f>
        <v/>
      </c>
      <c r="N27" s="1" t="n"/>
      <c r="O27" s="1" t="n"/>
      <c r="P27" s="1" t="n"/>
    </row>
    <row r="28" ht="21" customHeight="1">
      <c r="A28" s="1" t="n"/>
      <c r="B28" s="1" t="n"/>
      <c r="C28" s="1" t="inlineStr">
        <is>
          <t>FORDERUNG</t>
        </is>
      </c>
      <c r="D28" s="1" t="inlineStr">
        <is>
          <t>8910117607.0</t>
        </is>
      </c>
      <c r="E28" s="1" t="inlineStr">
        <is>
          <t>4719000247.0</t>
        </is>
      </c>
      <c r="F28" s="8" t="n">
        <v>46168</v>
      </c>
      <c r="G28" s="8" t="n">
        <v>46228</v>
      </c>
      <c r="H28" s="9" t="n">
        <v>299584.91</v>
      </c>
      <c r="I28" s="1" t="inlineStr">
        <is>
          <t>EUR</t>
        </is>
      </c>
      <c r="J28" s="1" t="inlineStr">
        <is>
          <t>157414</t>
        </is>
      </c>
      <c r="K28" s="1" t="inlineStr">
        <is>
          <t>*157414 - Krandemontage 05.24 - 05.26</t>
        </is>
      </c>
      <c r="L28" s="8" t="n">
        <v>46254</v>
      </c>
      <c r="M28" s="10">
        <f>IF(G28="","n.a.",MAX(0,'[Steuerung.xlsx]Steuerung'!$F$12-G28))</f>
        <v/>
      </c>
      <c r="N28" s="1" t="n"/>
      <c r="O28" s="1" t="n"/>
      <c r="P28" s="1" t="n"/>
    </row>
    <row r="29" ht="21" customHeight="1">
      <c r="A29" s="1" t="n"/>
      <c r="B29" s="1" t="n"/>
      <c r="C29" s="1" t="inlineStr">
        <is>
          <t>FORDERUNG</t>
        </is>
      </c>
      <c r="D29" s="1" t="inlineStr">
        <is>
          <t>8910190362.0</t>
        </is>
      </c>
      <c r="E29" s="1" t="inlineStr">
        <is>
          <t>4719000410.0</t>
        </is>
      </c>
      <c r="F29" s="8" t="n">
        <v>46220</v>
      </c>
      <c r="G29" s="8" t="n">
        <v>46250</v>
      </c>
      <c r="H29" s="9" t="n">
        <v>271700.8</v>
      </c>
      <c r="I29" s="1" t="inlineStr">
        <is>
          <t>EUR</t>
        </is>
      </c>
      <c r="J29" s="1" t="inlineStr">
        <is>
          <t>157463</t>
        </is>
      </c>
      <c r="K29" s="1" t="inlineStr">
        <is>
          <t>*157463 - Rückbau Maschinenhaus</t>
        </is>
      </c>
      <c r="L29" s="8" t="n">
        <v>46254</v>
      </c>
      <c r="M29" s="10">
        <f>IF(G29="","n.a.",MAX(0,'[Steuerung.xlsx]Steuerung'!$F$12-G29))</f>
        <v/>
      </c>
      <c r="N29" s="1" t="n"/>
      <c r="O29" s="1" t="n"/>
      <c r="P29" s="1" t="n"/>
    </row>
    <row r="30" ht="21" customHeight="1">
      <c r="A30" s="1" t="n"/>
      <c r="B30" s="1" t="n"/>
      <c r="C30" s="1" t="inlineStr">
        <is>
          <t>FORDERUNG</t>
        </is>
      </c>
      <c r="D30" s="1" t="inlineStr">
        <is>
          <t>8910190504.0</t>
        </is>
      </c>
      <c r="E30" s="1" t="inlineStr">
        <is>
          <t>4719000437.0</t>
        </is>
      </c>
      <c r="F30" s="8" t="n">
        <v>46239</v>
      </c>
      <c r="G30" s="8" t="n">
        <v>46299</v>
      </c>
      <c r="H30" s="9" t="n">
        <v>241140.49</v>
      </c>
      <c r="I30" s="1" t="inlineStr">
        <is>
          <t>EUR</t>
        </is>
      </c>
      <c r="J30" s="1" t="inlineStr">
        <is>
          <t>157451</t>
        </is>
      </c>
      <c r="K30" s="1" t="inlineStr">
        <is>
          <t>*157451 10.AR Sanierung Campus Golzheim</t>
        </is>
      </c>
      <c r="L30" s="8" t="n">
        <v>46254</v>
      </c>
      <c r="M30" s="10">
        <f>IF(G30="","n.a.",MAX(0,'[Steuerung.xlsx]Steuerung'!$F$12-G30))</f>
        <v/>
      </c>
      <c r="N30" s="1" t="n"/>
      <c r="O30" s="1" t="n"/>
      <c r="P30" s="1" t="n"/>
    </row>
    <row r="31" ht="21" customHeight="1">
      <c r="A31" s="1" t="n"/>
      <c r="B31" s="1" t="n"/>
      <c r="C31" s="1" t="inlineStr">
        <is>
          <t>FORDERUNG</t>
        </is>
      </c>
      <c r="D31" s="1" t="inlineStr">
        <is>
          <t>8910190191.0</t>
        </is>
      </c>
      <c r="E31" s="1" t="inlineStr">
        <is>
          <t>4719000415.0</t>
        </is>
      </c>
      <c r="F31" s="8" t="n">
        <v>46219</v>
      </c>
      <c r="G31" s="8" t="n">
        <v>46249</v>
      </c>
      <c r="H31" s="9" t="n">
        <v>204242.25</v>
      </c>
      <c r="I31" s="1" t="inlineStr">
        <is>
          <t>EUR</t>
        </is>
      </c>
      <c r="J31" s="1" t="inlineStr">
        <is>
          <t>608263</t>
        </is>
      </c>
      <c r="K31" s="1" t="inlineStr">
        <is>
          <t>*608263 - Rückbau Abraumförderbrücke</t>
        </is>
      </c>
      <c r="L31" s="8" t="n">
        <v>46254</v>
      </c>
      <c r="M31" s="10">
        <f>IF(G31="","n.a.",MAX(0,'[Steuerung.xlsx]Steuerung'!$F$12-G31))</f>
        <v/>
      </c>
      <c r="N31" s="1" t="n"/>
      <c r="O31" s="1" t="n"/>
      <c r="P31" s="1" t="n"/>
    </row>
    <row r="32" ht="21" customHeight="1">
      <c r="A32" s="1" t="n"/>
      <c r="B32" s="1" t="n"/>
      <c r="C32" s="1" t="inlineStr">
        <is>
          <t>FORDERUNG</t>
        </is>
      </c>
      <c r="D32" s="1" t="inlineStr">
        <is>
          <t>8910190191.0</t>
        </is>
      </c>
      <c r="E32" s="1" t="inlineStr">
        <is>
          <t>4719000350.0</t>
        </is>
      </c>
      <c r="F32" s="8" t="n">
        <v>46203</v>
      </c>
      <c r="G32" s="8" t="n">
        <v>46233</v>
      </c>
      <c r="H32" s="9" t="n">
        <v>184376.95</v>
      </c>
      <c r="I32" s="1" t="inlineStr">
        <is>
          <t>EUR</t>
        </is>
      </c>
      <c r="J32" s="1" t="inlineStr">
        <is>
          <t>608263</t>
        </is>
      </c>
      <c r="K32" s="1" t="inlineStr">
        <is>
          <t>*608263 Rückbau Abraumförderbrücke</t>
        </is>
      </c>
      <c r="L32" s="8" t="n">
        <v>46254</v>
      </c>
      <c r="M32" s="10">
        <f>IF(G32="","n.a.",MAX(0,'[Steuerung.xlsx]Steuerung'!$F$12-G32))</f>
        <v/>
      </c>
      <c r="N32" s="1" t="n"/>
      <c r="O32" s="1" t="n"/>
      <c r="P32" s="1" t="n"/>
    </row>
    <row r="33" ht="21" customHeight="1">
      <c r="A33" s="1" t="n"/>
      <c r="B33" s="1" t="n"/>
      <c r="C33" s="1" t="inlineStr">
        <is>
          <t>FORDERUNG</t>
        </is>
      </c>
      <c r="D33" s="1" t="inlineStr">
        <is>
          <t>8910156854.0</t>
        </is>
      </c>
      <c r="E33" s="1" t="inlineStr">
        <is>
          <t>4719000426.0</t>
        </is>
      </c>
      <c r="F33" s="8" t="n">
        <v>46234</v>
      </c>
      <c r="G33" s="8" t="n">
        <v>46256</v>
      </c>
      <c r="H33" s="9" t="n">
        <v>108571.48</v>
      </c>
      <c r="I33" s="1" t="inlineStr">
        <is>
          <t>EUR</t>
        </is>
      </c>
      <c r="J33" s="1" t="inlineStr">
        <is>
          <t>608246</t>
        </is>
      </c>
      <c r="K33" s="1" t="inlineStr">
        <is>
          <t>*608246 15.AR Rückbau Kohlebunker</t>
        </is>
      </c>
      <c r="L33" s="8" t="n">
        <v>46254</v>
      </c>
      <c r="M33" s="10">
        <f>IF(G33="","n.a.",MAX(0,'[Steuerung.xlsx]Steuerung'!$F$12-G33))</f>
        <v/>
      </c>
      <c r="N33" s="1" t="n"/>
      <c r="O33" s="1" t="n"/>
      <c r="P33" s="1" t="n"/>
    </row>
    <row r="34" ht="21" customHeight="1">
      <c r="A34" s="1" t="n"/>
      <c r="B34" s="1" t="n"/>
      <c r="C34" s="1" t="inlineStr">
        <is>
          <t>FORDERUNG</t>
        </is>
      </c>
      <c r="D34" s="1" t="inlineStr">
        <is>
          <t>8910188848.0</t>
        </is>
      </c>
      <c r="E34" s="1" t="inlineStr">
        <is>
          <t>4719000593.0</t>
        </is>
      </c>
      <c r="F34" s="8" t="n">
        <v>46006</v>
      </c>
      <c r="G34" s="8" t="n">
        <v>46036</v>
      </c>
      <c r="H34" s="9" t="n">
        <v>76785.46000000001</v>
      </c>
      <c r="I34" s="1" t="inlineStr">
        <is>
          <t>EUR</t>
        </is>
      </c>
      <c r="J34" s="1" t="inlineStr">
        <is>
          <t>658225</t>
        </is>
      </c>
      <c r="K34" s="1" t="inlineStr">
        <is>
          <t>*658225 - SR Abbrucharbeiten</t>
        </is>
      </c>
      <c r="L34" s="8" t="n">
        <v>46254</v>
      </c>
      <c r="M34" s="10">
        <f>IF(G34="","n.a.",MAX(0,'[Steuerung.xlsx]Steuerung'!$F$12-G34))</f>
        <v/>
      </c>
      <c r="N34" s="1" t="n"/>
      <c r="O34" s="1" t="n"/>
      <c r="P34" s="1" t="n"/>
    </row>
    <row r="35" ht="21" customHeight="1">
      <c r="A35" s="1" t="n"/>
      <c r="B35" s="1" t="n"/>
      <c r="C35" s="1" t="inlineStr">
        <is>
          <t>FORDERUNG</t>
        </is>
      </c>
      <c r="D35" s="1" t="inlineStr">
        <is>
          <t>8910190747.0</t>
        </is>
      </c>
      <c r="E35" s="1" t="inlineStr">
        <is>
          <t>4719000428.0</t>
        </is>
      </c>
      <c r="F35" s="8" t="n">
        <v>46237</v>
      </c>
      <c r="G35" s="8" t="n">
        <v>46267</v>
      </c>
      <c r="H35" s="9" t="n">
        <v>73729.58</v>
      </c>
      <c r="I35" s="1" t="inlineStr">
        <is>
          <t>EUR</t>
        </is>
      </c>
      <c r="J35" s="1" t="inlineStr">
        <is>
          <t>608271</t>
        </is>
      </c>
      <c r="K35" s="1" t="inlineStr">
        <is>
          <t>*608271 Tagebau Jänschwalde</t>
        </is>
      </c>
      <c r="L35" s="8" t="n">
        <v>46254</v>
      </c>
      <c r="M35" s="10">
        <f>IF(G35="","n.a.",MAX(0,'[Steuerung.xlsx]Steuerung'!$F$12-G35))</f>
        <v/>
      </c>
      <c r="N35" s="1" t="n"/>
      <c r="O35" s="1" t="n"/>
      <c r="P35" s="1" t="n"/>
    </row>
    <row r="36" ht="21" customHeight="1">
      <c r="A36" s="1" t="n"/>
      <c r="B36" s="1" t="n"/>
      <c r="C36" s="1" t="inlineStr">
        <is>
          <t>FORDERUNG</t>
        </is>
      </c>
      <c r="D36" s="1" t="inlineStr">
        <is>
          <t>8910184197.0</t>
        </is>
      </c>
      <c r="E36" s="1" t="inlineStr">
        <is>
          <t>4719000420.0</t>
        </is>
      </c>
      <c r="F36" s="8" t="n">
        <v>46230</v>
      </c>
      <c r="G36" s="8" t="n">
        <v>46260</v>
      </c>
      <c r="H36" s="9" t="n">
        <v>66796.97</v>
      </c>
      <c r="I36" s="1" t="inlineStr">
        <is>
          <t>EUR</t>
        </is>
      </c>
      <c r="J36" s="1" t="inlineStr">
        <is>
          <t>658276</t>
        </is>
      </c>
      <c r="K36" s="1" t="inlineStr">
        <is>
          <t>*658276 - 2. AR</t>
        </is>
      </c>
      <c r="L36" s="8" t="n">
        <v>46254</v>
      </c>
      <c r="M36" s="10">
        <f>IF(G36="","n.a.",MAX(0,'[Steuerung.xlsx]Steuerung'!$F$12-G36))</f>
        <v/>
      </c>
      <c r="N36" s="1" t="n"/>
      <c r="O36" s="1" t="n"/>
      <c r="P36" s="1" t="n"/>
    </row>
    <row r="37" ht="21" customHeight="1">
      <c r="A37" s="1" t="n"/>
      <c r="B37" s="1" t="n"/>
      <c r="C37" s="1" t="inlineStr">
        <is>
          <t>FORDERUNG</t>
        </is>
      </c>
      <c r="D37" s="1" t="inlineStr">
        <is>
          <t>8910184197.0</t>
        </is>
      </c>
      <c r="E37" s="1" t="inlineStr">
        <is>
          <t>4719000342.0</t>
        </is>
      </c>
      <c r="F37" s="8" t="n">
        <v>46202</v>
      </c>
      <c r="G37" s="8" t="n">
        <v>46232</v>
      </c>
      <c r="H37" s="9" t="n">
        <v>65892.57000000001</v>
      </c>
      <c r="I37" s="1" t="inlineStr">
        <is>
          <t>EUR</t>
        </is>
      </c>
      <c r="J37" s="1" t="inlineStr">
        <is>
          <t>658276</t>
        </is>
      </c>
      <c r="K37" s="1" t="inlineStr">
        <is>
          <t>*658276 1.AR Abbrucharbeiten</t>
        </is>
      </c>
      <c r="L37" s="8" t="n">
        <v>46254</v>
      </c>
      <c r="M37" s="10">
        <f>IF(G37="","n.a.",MAX(0,'[Steuerung.xlsx]Steuerung'!$F$12-G37))</f>
        <v/>
      </c>
      <c r="N37" s="1" t="n"/>
      <c r="O37" s="1" t="n"/>
      <c r="P37" s="1" t="n"/>
    </row>
    <row r="38" ht="21" customHeight="1">
      <c r="A38" s="1" t="n"/>
      <c r="B38" s="1" t="n"/>
      <c r="C38" s="1" t="inlineStr">
        <is>
          <t>FORDERUNG</t>
        </is>
      </c>
      <c r="D38" s="1" t="inlineStr">
        <is>
          <t>8910190517.0</t>
        </is>
      </c>
      <c r="E38" s="1" t="inlineStr">
        <is>
          <t>4719000388.0</t>
        </is>
      </c>
      <c r="F38" s="8" t="n">
        <v>46217</v>
      </c>
      <c r="G38" s="8" t="n">
        <v>46247</v>
      </c>
      <c r="H38" s="9" t="n">
        <v>57663.24</v>
      </c>
      <c r="I38" s="1" t="inlineStr">
        <is>
          <t>EUR</t>
        </is>
      </c>
      <c r="J38" s="1" t="inlineStr">
        <is>
          <t>307442</t>
        </is>
      </c>
      <c r="K38" s="1" t="inlineStr">
        <is>
          <t>*307442 - Schwimmhalle Entkernung und Demontage</t>
        </is>
      </c>
      <c r="L38" s="8" t="n">
        <v>46254</v>
      </c>
      <c r="M38" s="10">
        <f>IF(G38="","n.a.",MAX(0,'[Steuerung.xlsx]Steuerung'!$F$12-G38))</f>
        <v/>
      </c>
      <c r="N38" s="1" t="n"/>
      <c r="O38" s="1" t="n"/>
      <c r="P38" s="1" t="n"/>
    </row>
    <row r="39" ht="21" customHeight="1">
      <c r="A39" s="1" t="n"/>
      <c r="B39" s="1" t="n"/>
      <c r="C39" s="1" t="inlineStr">
        <is>
          <t>FORDERUNG</t>
        </is>
      </c>
      <c r="D39" s="1" t="inlineStr">
        <is>
          <t>8910190191.0</t>
        </is>
      </c>
      <c r="E39" s="1" t="inlineStr">
        <is>
          <t>4719000432.0</t>
        </is>
      </c>
      <c r="F39" s="8" t="n">
        <v>46238</v>
      </c>
      <c r="G39" s="8" t="n">
        <v>46268</v>
      </c>
      <c r="H39" s="9" t="n">
        <v>52052</v>
      </c>
      <c r="I39" s="1" t="inlineStr">
        <is>
          <t>EUR</t>
        </is>
      </c>
      <c r="J39" s="1" t="inlineStr">
        <is>
          <t>608263</t>
        </is>
      </c>
      <c r="K39" s="1" t="inlineStr">
        <is>
          <t>*608263 Rückbau Abraumförderbrücke</t>
        </is>
      </c>
      <c r="L39" s="8" t="n">
        <v>46254</v>
      </c>
      <c r="M39" s="10">
        <f>IF(G39="","n.a.",MAX(0,'[Steuerung.xlsx]Steuerung'!$F$12-G39))</f>
        <v/>
      </c>
      <c r="N39" s="1" t="n"/>
      <c r="O39" s="1" t="n"/>
      <c r="P39" s="1" t="n"/>
    </row>
    <row r="40" ht="21" customHeight="1">
      <c r="A40" s="1" t="n"/>
      <c r="B40" s="1" t="n"/>
      <c r="C40" s="1" t="inlineStr">
        <is>
          <t>FORDERUNG</t>
        </is>
      </c>
      <c r="D40" s="1" t="inlineStr">
        <is>
          <t>8910190191.0</t>
        </is>
      </c>
      <c r="E40" s="1" t="inlineStr">
        <is>
          <t>4719000349.0</t>
        </is>
      </c>
      <c r="F40" s="8" t="n">
        <v>46203</v>
      </c>
      <c r="G40" s="8" t="n">
        <v>46233</v>
      </c>
      <c r="H40" s="9" t="n">
        <v>44187</v>
      </c>
      <c r="I40" s="1" t="inlineStr">
        <is>
          <t>EUR</t>
        </is>
      </c>
      <c r="J40" s="1" t="inlineStr">
        <is>
          <t>608263</t>
        </is>
      </c>
      <c r="K40" s="1" t="inlineStr">
        <is>
          <t>*608263 Rückbau Abraumförderbrücke</t>
        </is>
      </c>
      <c r="L40" s="8" t="n">
        <v>46254</v>
      </c>
      <c r="M40" s="10">
        <f>IF(G40="","n.a.",MAX(0,'[Steuerung.xlsx]Steuerung'!$F$12-G40))</f>
        <v/>
      </c>
      <c r="N40" s="1" t="n"/>
      <c r="O40" s="1" t="n"/>
      <c r="P40" s="1" t="n"/>
    </row>
    <row r="41" ht="21" customHeight="1">
      <c r="A41" s="1" t="n"/>
      <c r="B41" s="1" t="n"/>
      <c r="C41" s="1" t="inlineStr">
        <is>
          <t>FORDERUNG</t>
        </is>
      </c>
      <c r="D41" s="1" t="inlineStr">
        <is>
          <t>8910117607.0</t>
        </is>
      </c>
      <c r="E41" s="1" t="inlineStr">
        <is>
          <t>4719000411.0</t>
        </is>
      </c>
      <c r="F41" s="8" t="n">
        <v>46219</v>
      </c>
      <c r="G41" s="8" t="n">
        <v>46279</v>
      </c>
      <c r="H41" s="9" t="n">
        <v>44030</v>
      </c>
      <c r="I41" s="1" t="inlineStr">
        <is>
          <t>EUR</t>
        </is>
      </c>
      <c r="J41" s="1" t="inlineStr">
        <is>
          <t>157461</t>
        </is>
      </c>
      <c r="K41" s="1" t="inlineStr">
        <is>
          <t>*157461 - Rückbau Brücke</t>
        </is>
      </c>
      <c r="L41" s="8" t="n">
        <v>46254</v>
      </c>
      <c r="M41" s="10">
        <f>IF(G41="","n.a.",MAX(0,'[Steuerung.xlsx]Steuerung'!$F$12-G41))</f>
        <v/>
      </c>
      <c r="N41" s="1" t="n"/>
      <c r="O41" s="1" t="n"/>
      <c r="P41" s="1" t="n"/>
    </row>
    <row r="42" ht="21" customHeight="1">
      <c r="A42" s="1" t="n"/>
      <c r="B42" s="1" t="n"/>
      <c r="C42" s="1" t="inlineStr">
        <is>
          <t>FORDERUNG</t>
        </is>
      </c>
      <c r="D42" s="1" t="inlineStr">
        <is>
          <t>8910117568.0</t>
        </is>
      </c>
      <c r="E42" s="1" t="inlineStr">
        <is>
          <t>4719000421.0</t>
        </is>
      </c>
      <c r="F42" s="8" t="n">
        <v>46231</v>
      </c>
      <c r="G42" s="8" t="n">
        <v>46261</v>
      </c>
      <c r="H42" s="9" t="n">
        <v>38973.71</v>
      </c>
      <c r="I42" s="1" t="inlineStr">
        <is>
          <t>EUR</t>
        </is>
      </c>
      <c r="J42" s="1" t="inlineStr">
        <is>
          <t>307447</t>
        </is>
      </c>
      <c r="K42" s="1" t="inlineStr">
        <is>
          <t>*307447 - GU RE30-2026-0109</t>
        </is>
      </c>
      <c r="L42" s="8" t="n">
        <v>46254</v>
      </c>
      <c r="M42" s="10">
        <f>IF(G42="","n.a.",MAX(0,'[Steuerung.xlsx]Steuerung'!$F$12-G42))</f>
        <v/>
      </c>
      <c r="N42" s="1" t="n"/>
      <c r="O42" s="1" t="n"/>
      <c r="P42" s="1" t="n"/>
    </row>
    <row r="43" ht="21" customHeight="1">
      <c r="A43" s="1" t="n"/>
      <c r="B43" s="1" t="n"/>
      <c r="C43" s="1" t="inlineStr">
        <is>
          <t>FORDERUNG</t>
        </is>
      </c>
      <c r="D43" s="1" t="inlineStr">
        <is>
          <t>8910146937.0</t>
        </is>
      </c>
      <c r="E43" s="1" t="inlineStr">
        <is>
          <t>4719000429.0</t>
        </is>
      </c>
      <c r="F43" s="8" t="n">
        <v>46237</v>
      </c>
      <c r="G43" s="8" t="n">
        <v>46267</v>
      </c>
      <c r="H43" s="9" t="n">
        <v>27258.48</v>
      </c>
      <c r="I43" s="1" t="inlineStr">
        <is>
          <t>EUR</t>
        </is>
      </c>
      <c r="J43" s="1" t="inlineStr">
        <is>
          <t>608270</t>
        </is>
      </c>
      <c r="K43" s="1" t="inlineStr">
        <is>
          <t>*608270 Tagebau Jänschwalde</t>
        </is>
      </c>
      <c r="L43" s="8" t="n">
        <v>46254</v>
      </c>
      <c r="M43" s="10">
        <f>IF(G43="","n.a.",MAX(0,'[Steuerung.xlsx]Steuerung'!$F$12-G43))</f>
        <v/>
      </c>
      <c r="N43" s="1" t="n"/>
      <c r="O43" s="1" t="n"/>
      <c r="P43" s="1" t="n"/>
    </row>
    <row r="44" ht="21" customHeight="1">
      <c r="A44" s="1" t="n"/>
      <c r="B44" s="1" t="n"/>
      <c r="C44" s="1" t="inlineStr">
        <is>
          <t>FORDERUNG</t>
        </is>
      </c>
      <c r="D44" s="1" t="inlineStr">
        <is>
          <t>8910184196.0</t>
        </is>
      </c>
      <c r="E44" s="1" t="inlineStr">
        <is>
          <t>4719000433.0</t>
        </is>
      </c>
      <c r="F44" s="8" t="n">
        <v>46234</v>
      </c>
      <c r="G44" s="8" t="n">
        <v>46264</v>
      </c>
      <c r="H44" s="9" t="n">
        <v>23800</v>
      </c>
      <c r="I44" s="1" t="inlineStr">
        <is>
          <t>EUR</t>
        </is>
      </c>
      <c r="J44" s="1" t="inlineStr">
        <is>
          <t>307438</t>
        </is>
      </c>
      <c r="K44" s="1" t="inlineStr">
        <is>
          <t>*307438 Rückbau UW Bruchsal</t>
        </is>
      </c>
      <c r="L44" s="8" t="n">
        <v>46254</v>
      </c>
      <c r="M44" s="10">
        <f>IF(G44="","n.a.",MAX(0,'[Steuerung.xlsx]Steuerung'!$F$12-G44))</f>
        <v/>
      </c>
      <c r="N44" s="1" t="n"/>
      <c r="O44" s="1" t="n"/>
      <c r="P44" s="1" t="n"/>
    </row>
    <row r="45" ht="21" customHeight="1">
      <c r="A45" s="1" t="n"/>
      <c r="B45" s="1" t="n"/>
      <c r="C45" s="1" t="inlineStr">
        <is>
          <t>FORDERUNG</t>
        </is>
      </c>
      <c r="D45" s="1" t="inlineStr">
        <is>
          <t>8910120461.0</t>
        </is>
      </c>
      <c r="E45" s="1" t="inlineStr">
        <is>
          <t>4719000418.0</t>
        </is>
      </c>
      <c r="F45" s="8" t="n">
        <v>46233</v>
      </c>
      <c r="G45" s="8" t="n">
        <v>46254</v>
      </c>
      <c r="H45" s="9" t="n">
        <v>15470</v>
      </c>
      <c r="I45" s="1" t="inlineStr">
        <is>
          <t>EUR</t>
        </is>
      </c>
      <c r="J45" s="1" t="inlineStr">
        <is>
          <t>607989</t>
        </is>
      </c>
      <c r="K45" s="1" t="inlineStr">
        <is>
          <t>*607989 - Kleinaufträge Region Ost</t>
        </is>
      </c>
      <c r="L45" s="8" t="n">
        <v>46254</v>
      </c>
      <c r="M45" s="10">
        <f>IF(G45="","n.a.",MAX(0,'[Steuerung.xlsx]Steuerung'!$F$12-G45))</f>
        <v/>
      </c>
      <c r="N45" s="1" t="n"/>
      <c r="O45" s="1" t="n"/>
      <c r="P45" s="1" t="n"/>
    </row>
    <row r="46" ht="21" customHeight="1">
      <c r="A46" s="1" t="n"/>
      <c r="B46" s="1" t="n"/>
      <c r="C46" s="1" t="inlineStr">
        <is>
          <t>FORDERUNG</t>
        </is>
      </c>
      <c r="D46" s="1" t="inlineStr">
        <is>
          <t>8910188895.0</t>
        </is>
      </c>
      <c r="E46" s="1" t="inlineStr">
        <is>
          <t>4719000253.0</t>
        </is>
      </c>
      <c r="F46" s="8" t="n">
        <v>46164</v>
      </c>
      <c r="G46" s="8" t="n">
        <v>46209</v>
      </c>
      <c r="H46" s="9" t="n">
        <v>12143.39</v>
      </c>
      <c r="I46" s="1" t="inlineStr">
        <is>
          <t>EUR</t>
        </is>
      </c>
      <c r="J46" s="1" t="inlineStr">
        <is>
          <t>307436</t>
        </is>
      </c>
      <c r="K46" s="1" t="inlineStr">
        <is>
          <t>*307436 - Entkernungsarbeiten</t>
        </is>
      </c>
      <c r="L46" s="8" t="n">
        <v>46254</v>
      </c>
      <c r="M46" s="10">
        <f>IF(G46="","n.a.",MAX(0,'[Steuerung.xlsx]Steuerung'!$F$12-G46))</f>
        <v/>
      </c>
      <c r="N46" s="1" t="n"/>
      <c r="O46" s="1" t="n"/>
      <c r="P46" s="1" t="n"/>
    </row>
    <row r="47" ht="21" customHeight="1">
      <c r="A47" s="1" t="n"/>
      <c r="B47" s="1" t="n"/>
      <c r="C47" s="1" t="inlineStr">
        <is>
          <t>FORDERUNG</t>
        </is>
      </c>
      <c r="D47" s="1" t="inlineStr">
        <is>
          <t>8910117568.0</t>
        </is>
      </c>
      <c r="E47" s="1" t="inlineStr">
        <is>
          <t>4719000423.0</t>
        </is>
      </c>
      <c r="F47" s="8" t="n">
        <v>46231</v>
      </c>
      <c r="G47" s="8" t="n">
        <v>46261</v>
      </c>
      <c r="H47" s="9" t="n">
        <v>11866.68</v>
      </c>
      <c r="I47" s="1" t="inlineStr">
        <is>
          <t>EUR</t>
        </is>
      </c>
      <c r="J47" s="1" t="inlineStr">
        <is>
          <t>309045</t>
        </is>
      </c>
      <c r="K47" s="1" t="inlineStr">
        <is>
          <t>*309045 - GU RE30-2026-0107</t>
        </is>
      </c>
      <c r="L47" s="8" t="n">
        <v>46254</v>
      </c>
      <c r="M47" s="10">
        <f>IF(G47="","n.a.",MAX(0,'[Steuerung.xlsx]Steuerung'!$F$12-G47))</f>
        <v/>
      </c>
      <c r="N47" s="1" t="n"/>
      <c r="O47" s="1" t="n"/>
      <c r="P47" s="1" t="n"/>
    </row>
    <row r="48" ht="21" customHeight="1">
      <c r="A48" s="1" t="n"/>
      <c r="B48" s="1" t="n"/>
      <c r="C48" s="1" t="inlineStr">
        <is>
          <t>FORDERUNG</t>
        </is>
      </c>
      <c r="D48" s="1" t="inlineStr">
        <is>
          <t>8910117607.0</t>
        </is>
      </c>
      <c r="E48" s="1" t="inlineStr">
        <is>
          <t>4719000360.0</t>
        </is>
      </c>
      <c r="F48" s="8" t="n">
        <v>46205</v>
      </c>
      <c r="G48" s="8" t="n">
        <v>46265</v>
      </c>
      <c r="H48" s="9" t="n">
        <v>11635.34</v>
      </c>
      <c r="I48" s="1" t="inlineStr">
        <is>
          <t>EUR</t>
        </is>
      </c>
      <c r="J48" s="1" t="inlineStr">
        <is>
          <t>157457</t>
        </is>
      </c>
      <c r="K48" s="1" t="inlineStr">
        <is>
          <t>*157457 Rückbau Koksgasleitung</t>
        </is>
      </c>
      <c r="L48" s="8" t="n">
        <v>46254</v>
      </c>
      <c r="M48" s="10">
        <f>IF(G48="","n.a.",MAX(0,'[Steuerung.xlsx]Steuerung'!$F$12-G48))</f>
        <v/>
      </c>
      <c r="N48" s="1" t="n"/>
      <c r="O48" s="1" t="n"/>
      <c r="P48" s="1" t="n"/>
    </row>
    <row r="49" ht="21" customHeight="1">
      <c r="A49" s="1" t="n"/>
      <c r="B49" s="1" t="n"/>
      <c r="C49" s="1" t="inlineStr">
        <is>
          <t>FORDERUNG</t>
        </is>
      </c>
      <c r="D49" s="1" t="inlineStr">
        <is>
          <t>8910117607.0</t>
        </is>
      </c>
      <c r="E49" s="1" t="inlineStr">
        <is>
          <t>4719000361.0</t>
        </is>
      </c>
      <c r="F49" s="8" t="n">
        <v>46205</v>
      </c>
      <c r="G49" s="8" t="n">
        <v>46265</v>
      </c>
      <c r="H49" s="9" t="n">
        <v>11187.48</v>
      </c>
      <c r="I49" s="1" t="inlineStr">
        <is>
          <t>EUR</t>
        </is>
      </c>
      <c r="J49" s="1" t="inlineStr">
        <is>
          <t>157457</t>
        </is>
      </c>
      <c r="K49" s="1" t="inlineStr">
        <is>
          <t>*157457 Rückbau Koksgasleitung</t>
        </is>
      </c>
      <c r="L49" s="8" t="n">
        <v>46254</v>
      </c>
      <c r="M49" s="10">
        <f>IF(G49="","n.a.",MAX(0,'[Steuerung.xlsx]Steuerung'!$F$12-G49))</f>
        <v/>
      </c>
      <c r="N49" s="1" t="n"/>
      <c r="O49" s="1" t="n"/>
      <c r="P49" s="1" t="n"/>
    </row>
    <row r="50" ht="21" customHeight="1">
      <c r="A50" s="1" t="n"/>
      <c r="B50" s="1" t="n"/>
      <c r="C50" s="1" t="inlineStr">
        <is>
          <t>FORDERUNG</t>
        </is>
      </c>
      <c r="D50" s="1" t="inlineStr">
        <is>
          <t>8910117607.0</t>
        </is>
      </c>
      <c r="E50" s="1" t="inlineStr">
        <is>
          <t>4719000362.0</t>
        </is>
      </c>
      <c r="F50" s="8" t="n">
        <v>46205</v>
      </c>
      <c r="G50" s="8" t="n">
        <v>46265</v>
      </c>
      <c r="H50" s="9" t="n">
        <v>10751.51</v>
      </c>
      <c r="I50" s="1" t="inlineStr">
        <is>
          <t>EUR</t>
        </is>
      </c>
      <c r="J50" s="1" t="inlineStr">
        <is>
          <t>157457</t>
        </is>
      </c>
      <c r="K50" s="1" t="inlineStr">
        <is>
          <t>*157457 Verschrottung v. Rohrleitungen</t>
        </is>
      </c>
      <c r="L50" s="8" t="n">
        <v>46254</v>
      </c>
      <c r="M50" s="10">
        <f>IF(G50="","n.a.",MAX(0,'[Steuerung.xlsx]Steuerung'!$F$12-G50))</f>
        <v/>
      </c>
      <c r="N50" s="1" t="n"/>
      <c r="O50" s="1" t="n"/>
      <c r="P50" s="1" t="n"/>
    </row>
    <row r="51" ht="21" customHeight="1">
      <c r="A51" s="1" t="n"/>
      <c r="B51" s="1" t="n"/>
      <c r="C51" s="1" t="inlineStr">
        <is>
          <t>FORDERUNG</t>
        </is>
      </c>
      <c r="D51" s="1" t="inlineStr">
        <is>
          <t>8910117607.0</t>
        </is>
      </c>
      <c r="E51" s="1" t="inlineStr">
        <is>
          <t>4719000381.0</t>
        </is>
      </c>
      <c r="F51" s="8" t="n">
        <v>46218</v>
      </c>
      <c r="G51" s="8" t="n">
        <v>46278</v>
      </c>
      <c r="H51" s="9" t="n">
        <v>10046.93</v>
      </c>
      <c r="I51" s="1" t="inlineStr">
        <is>
          <t>EUR</t>
        </is>
      </c>
      <c r="J51" s="1" t="inlineStr">
        <is>
          <t>157457</t>
        </is>
      </c>
      <c r="K51" s="1" t="inlineStr">
        <is>
          <t>*157457 - Rückbau Koksgasleitung</t>
        </is>
      </c>
      <c r="L51" s="8" t="n">
        <v>46254</v>
      </c>
      <c r="M51" s="10">
        <f>IF(G51="","n.a.",MAX(0,'[Steuerung.xlsx]Steuerung'!$F$12-G51))</f>
        <v/>
      </c>
      <c r="N51" s="1" t="n"/>
      <c r="O51" s="1" t="n"/>
      <c r="P51" s="1" t="n"/>
    </row>
    <row r="52" ht="21" customHeight="1">
      <c r="A52" s="1" t="n"/>
      <c r="B52" s="1" t="n"/>
      <c r="C52" s="1" t="inlineStr">
        <is>
          <t>FORDERUNG</t>
        </is>
      </c>
      <c r="D52" s="1" t="inlineStr">
        <is>
          <t>8910117568.0</t>
        </is>
      </c>
      <c r="E52" s="1" t="inlineStr">
        <is>
          <t>4719000422.0</t>
        </is>
      </c>
      <c r="F52" s="8" t="n">
        <v>46231</v>
      </c>
      <c r="G52" s="8" t="n">
        <v>46261</v>
      </c>
      <c r="H52" s="9" t="n">
        <v>9817.5</v>
      </c>
      <c r="I52" s="1" t="inlineStr">
        <is>
          <t>EUR</t>
        </is>
      </c>
      <c r="J52" s="1" t="inlineStr">
        <is>
          <t>309045</t>
        </is>
      </c>
      <c r="K52" s="1" t="inlineStr">
        <is>
          <t>*309045 - GU RE30-2026-0108</t>
        </is>
      </c>
      <c r="L52" s="8" t="n">
        <v>46254</v>
      </c>
      <c r="M52" s="10">
        <f>IF(G52="","n.a.",MAX(0,'[Steuerung.xlsx]Steuerung'!$F$12-G52))</f>
        <v/>
      </c>
      <c r="N52" s="1" t="n"/>
      <c r="O52" s="1" t="n"/>
      <c r="P52" s="1" t="n"/>
    </row>
    <row r="53" ht="21" customHeight="1">
      <c r="A53" s="1" t="n"/>
      <c r="B53" s="1" t="n"/>
      <c r="C53" s="1" t="inlineStr">
        <is>
          <t>FORDERUNG</t>
        </is>
      </c>
      <c r="D53" s="1" t="inlineStr">
        <is>
          <t>8910190191.0</t>
        </is>
      </c>
      <c r="E53" s="1" t="inlineStr">
        <is>
          <t>4719000431.0</t>
        </is>
      </c>
      <c r="F53" s="8" t="n">
        <v>46238</v>
      </c>
      <c r="G53" s="8" t="n">
        <v>46268</v>
      </c>
      <c r="H53" s="9" t="n">
        <v>9282</v>
      </c>
      <c r="I53" s="1" t="inlineStr">
        <is>
          <t>EUR</t>
        </is>
      </c>
      <c r="J53" s="1" t="inlineStr">
        <is>
          <t>608263</t>
        </is>
      </c>
      <c r="K53" s="1" t="inlineStr">
        <is>
          <t>*608263 Rückbau Abraumförderbrücke</t>
        </is>
      </c>
      <c r="L53" s="8" t="n">
        <v>46254</v>
      </c>
      <c r="M53" s="10">
        <f>IF(G53="","n.a.",MAX(0,'[Steuerung.xlsx]Steuerung'!$F$12-G53))</f>
        <v/>
      </c>
      <c r="N53" s="1" t="n"/>
      <c r="O53" s="1" t="n"/>
      <c r="P53" s="1" t="n"/>
    </row>
    <row r="54" ht="21" customHeight="1">
      <c r="A54" s="1" t="n"/>
      <c r="B54" s="1" t="n"/>
      <c r="C54" s="1" t="inlineStr">
        <is>
          <t>FORDERUNG</t>
        </is>
      </c>
      <c r="D54" s="1" t="inlineStr">
        <is>
          <t>8910146937.0</t>
        </is>
      </c>
      <c r="E54" s="1" t="inlineStr">
        <is>
          <t>4719000430.0</t>
        </is>
      </c>
      <c r="F54" s="8" t="n">
        <v>46237</v>
      </c>
      <c r="G54" s="8" t="n">
        <v>46267</v>
      </c>
      <c r="H54" s="9" t="n">
        <v>8568</v>
      </c>
      <c r="I54" s="1" t="inlineStr">
        <is>
          <t>EUR</t>
        </is>
      </c>
      <c r="J54" s="1" t="inlineStr">
        <is>
          <t>607989</t>
        </is>
      </c>
      <c r="K54" s="1" t="inlineStr">
        <is>
          <t>*607989 Tagebau Jänschwalde</t>
        </is>
      </c>
      <c r="L54" s="8" t="n">
        <v>46254</v>
      </c>
      <c r="M54" s="10">
        <f>IF(G54="","n.a.",MAX(0,'[Steuerung.xlsx]Steuerung'!$F$12-G54))</f>
        <v/>
      </c>
      <c r="N54" s="1" t="n"/>
      <c r="O54" s="1" t="n"/>
      <c r="P54" s="1" t="n"/>
    </row>
    <row r="55" ht="21" customHeight="1">
      <c r="A55" s="1" t="n"/>
      <c r="B55" s="1" t="n"/>
      <c r="C55" s="1" t="inlineStr">
        <is>
          <t>FORDERUNG</t>
        </is>
      </c>
      <c r="D55" s="1" t="inlineStr">
        <is>
          <t>8910117607.0</t>
        </is>
      </c>
      <c r="E55" s="1" t="inlineStr">
        <is>
          <t>4719000382.0</t>
        </is>
      </c>
      <c r="F55" s="8" t="n">
        <v>46218</v>
      </c>
      <c r="G55" s="8" t="n">
        <v>46278</v>
      </c>
      <c r="H55" s="9" t="n">
        <v>8457.559999999999</v>
      </c>
      <c r="I55" s="1" t="inlineStr">
        <is>
          <t>EUR</t>
        </is>
      </c>
      <c r="J55" s="1" t="inlineStr">
        <is>
          <t>157457</t>
        </is>
      </c>
      <c r="K55" s="1" t="inlineStr">
        <is>
          <t>*157457 - Gestellung Bühne mit Fahrer</t>
        </is>
      </c>
      <c r="L55" s="8" t="n">
        <v>46254</v>
      </c>
      <c r="M55" s="10">
        <f>IF(G55="","n.a.",MAX(0,'[Steuerung.xlsx]Steuerung'!$F$12-G55))</f>
        <v/>
      </c>
      <c r="N55" s="1" t="n"/>
      <c r="O55" s="1" t="n"/>
      <c r="P55" s="1" t="n"/>
    </row>
    <row r="56" ht="21" customHeight="1">
      <c r="A56" s="1" t="n"/>
      <c r="B56" s="1" t="n"/>
      <c r="C56" s="1" t="inlineStr">
        <is>
          <t>FORDERUNG</t>
        </is>
      </c>
      <c r="D56" s="1" t="inlineStr">
        <is>
          <t>8910117607.0</t>
        </is>
      </c>
      <c r="E56" s="1" t="inlineStr">
        <is>
          <t>4719000383.0</t>
        </is>
      </c>
      <c r="F56" s="8" t="n">
        <v>46218</v>
      </c>
      <c r="G56" s="8" t="n">
        <v>46278</v>
      </c>
      <c r="H56" s="9" t="n">
        <v>8428.6</v>
      </c>
      <c r="I56" s="1" t="inlineStr">
        <is>
          <t>EUR</t>
        </is>
      </c>
      <c r="J56" s="1" t="inlineStr">
        <is>
          <t>157457</t>
        </is>
      </c>
      <c r="K56" s="1" t="inlineStr">
        <is>
          <t>*157457 - Gestellung Bühne mit Fahrer</t>
        </is>
      </c>
      <c r="L56" s="8" t="n">
        <v>46254</v>
      </c>
      <c r="M56" s="10">
        <f>IF(G56="","n.a.",MAX(0,'[Steuerung.xlsx]Steuerung'!$F$12-G56))</f>
        <v/>
      </c>
      <c r="N56" s="1" t="n"/>
      <c r="O56" s="1" t="n"/>
      <c r="P56" s="1" t="n"/>
    </row>
    <row r="57" ht="21" customHeight="1">
      <c r="A57" s="1" t="n"/>
      <c r="B57" s="1" t="n"/>
      <c r="C57" s="1" t="inlineStr">
        <is>
          <t>FORDERUNG</t>
        </is>
      </c>
      <c r="D57" s="1" t="inlineStr">
        <is>
          <t>8910117607.0</t>
        </is>
      </c>
      <c r="E57" s="1" t="inlineStr">
        <is>
          <t>4719000365.0</t>
        </is>
      </c>
      <c r="F57" s="8" t="n">
        <v>46205</v>
      </c>
      <c r="G57" s="8" t="n">
        <v>46265</v>
      </c>
      <c r="H57" s="9" t="n">
        <v>8189.48</v>
      </c>
      <c r="I57" s="1" t="inlineStr">
        <is>
          <t>EUR</t>
        </is>
      </c>
      <c r="J57" s="1" t="inlineStr">
        <is>
          <t>157457</t>
        </is>
      </c>
      <c r="K57" s="1" t="inlineStr">
        <is>
          <t>*157457 Verschrottung v. Rohrleitungen</t>
        </is>
      </c>
      <c r="L57" s="8" t="n">
        <v>46254</v>
      </c>
      <c r="M57" s="10">
        <f>IF(G57="","n.a.",MAX(0,'[Steuerung.xlsx]Steuerung'!$F$12-G57))</f>
        <v/>
      </c>
      <c r="N57" s="1" t="n"/>
      <c r="O57" s="1" t="n"/>
      <c r="P57" s="1" t="n"/>
    </row>
    <row r="58" ht="21" customHeight="1">
      <c r="A58" s="1" t="n"/>
      <c r="B58" s="1" t="n"/>
      <c r="C58" s="1" t="inlineStr">
        <is>
          <t>FORDERUNG</t>
        </is>
      </c>
      <c r="D58" s="1" t="inlineStr">
        <is>
          <t>8910123654.0</t>
        </is>
      </c>
      <c r="E58" s="1" t="inlineStr">
        <is>
          <t>4719000259.0</t>
        </is>
      </c>
      <c r="F58" s="8" t="n">
        <v>46171</v>
      </c>
      <c r="G58" s="8" t="n">
        <v>46201</v>
      </c>
      <c r="H58" s="9" t="n">
        <v>7084.8</v>
      </c>
      <c r="I58" s="1" t="inlineStr">
        <is>
          <t>EUR</t>
        </is>
      </c>
      <c r="J58" s="1" t="inlineStr">
        <is>
          <t>157458</t>
        </is>
      </c>
      <c r="K58" s="1" t="inlineStr">
        <is>
          <t>*157458 - Mischschrott</t>
        </is>
      </c>
      <c r="L58" s="8" t="n">
        <v>46254</v>
      </c>
      <c r="M58" s="10">
        <f>IF(G58="","n.a.",MAX(0,'[Steuerung.xlsx]Steuerung'!$F$12-G58))</f>
        <v/>
      </c>
      <c r="N58" s="1" t="n"/>
      <c r="O58" s="1" t="n"/>
      <c r="P58" s="1" t="n"/>
    </row>
    <row r="59" ht="21" customHeight="1">
      <c r="A59" s="1" t="n"/>
      <c r="B59" s="1" t="n"/>
      <c r="C59" s="1" t="inlineStr">
        <is>
          <t>FORDERUNG</t>
        </is>
      </c>
      <c r="D59" s="1" t="inlineStr">
        <is>
          <t>8910117607.0</t>
        </is>
      </c>
      <c r="E59" s="1" t="inlineStr">
        <is>
          <t>4719000380.0</t>
        </is>
      </c>
      <c r="F59" s="8" t="n">
        <v>46218</v>
      </c>
      <c r="G59" s="8" t="n">
        <v>46278</v>
      </c>
      <c r="H59" s="9" t="n">
        <v>5823.36</v>
      </c>
      <c r="I59" s="1" t="inlineStr">
        <is>
          <t>EUR</t>
        </is>
      </c>
      <c r="J59" s="1" t="inlineStr">
        <is>
          <t>157457</t>
        </is>
      </c>
      <c r="K59" s="1" t="inlineStr">
        <is>
          <t>*157457 - div. Transport und Verladearbeiten</t>
        </is>
      </c>
      <c r="L59" s="8" t="n">
        <v>46254</v>
      </c>
      <c r="M59" s="10">
        <f>IF(G59="","n.a.",MAX(0,'[Steuerung.xlsx]Steuerung'!$F$12-G59))</f>
        <v/>
      </c>
      <c r="N59" s="1" t="n"/>
      <c r="O59" s="1" t="n"/>
      <c r="P59" s="1" t="n"/>
    </row>
    <row r="60" ht="21" customHeight="1">
      <c r="A60" s="1" t="n"/>
      <c r="B60" s="1" t="n"/>
      <c r="C60" s="1" t="inlineStr">
        <is>
          <t>FORDERUNG</t>
        </is>
      </c>
      <c r="D60" s="1" t="inlineStr">
        <is>
          <t>8910188771.0</t>
        </is>
      </c>
      <c r="E60" s="1" t="inlineStr">
        <is>
          <t>4719000340.0</t>
        </is>
      </c>
      <c r="F60" s="8" t="n">
        <v>45891</v>
      </c>
      <c r="G60" s="8" t="n">
        <v>45905</v>
      </c>
      <c r="H60" s="9" t="n">
        <v>1982.97</v>
      </c>
      <c r="I60" s="1" t="inlineStr">
        <is>
          <t>EUR</t>
        </is>
      </c>
      <c r="J60" s="1" t="inlineStr">
        <is>
          <t>307306</t>
        </is>
      </c>
      <c r="K60" s="1" t="inlineStr">
        <is>
          <t>*307306 Niederschlagschutz</t>
        </is>
      </c>
      <c r="L60" s="8" t="n">
        <v>46254</v>
      </c>
      <c r="M60" s="10">
        <f>IF(G60="","n.a.",MAX(0,'[Steuerung.xlsx]Steuerung'!$F$12-G60))</f>
        <v/>
      </c>
      <c r="N60" s="1" t="n"/>
      <c r="O60" s="1" t="n"/>
      <c r="P60" s="1" t="n"/>
    </row>
    <row r="61" ht="21" customHeight="1">
      <c r="C61" s="11" t="inlineStr">
        <is>
          <t>FORDERUNG</t>
        </is>
      </c>
      <c r="D61" s="11" t="inlineStr">
        <is>
          <t>8910189350.0</t>
        </is>
      </c>
      <c r="E61" s="11" t="inlineStr">
        <is>
          <t>4719000356.0</t>
        </is>
      </c>
      <c r="F61" s="12" t="n">
        <v>46203</v>
      </c>
      <c r="G61" s="12" t="n">
        <v>46233</v>
      </c>
      <c r="H61" s="13" t="n">
        <v>1128.43</v>
      </c>
      <c r="I61" s="11" t="inlineStr">
        <is>
          <t>EUR</t>
        </is>
      </c>
      <c r="J61" s="11" t="inlineStr">
        <is>
          <t>658256</t>
        </is>
      </c>
      <c r="K61" s="11" t="inlineStr">
        <is>
          <t>*658256 Grundinstandsetzung v. Schleusen</t>
        </is>
      </c>
      <c r="L61" s="12" t="n">
        <v>46254</v>
      </c>
      <c r="M61" s="14">
        <f>IF(G61="","n.a.",MAX(0,'[Steuerung.xlsx]Steuerung'!$F$12-G61))</f>
        <v/>
      </c>
    </row>
    <row r="62" ht="21" customHeight="1">
      <c r="C62" s="11" t="inlineStr">
        <is>
          <t>FORDERUNG</t>
        </is>
      </c>
      <c r="D62" s="11" t="inlineStr">
        <is>
          <t>8910188771.0</t>
        </is>
      </c>
      <c r="E62" s="11" t="inlineStr">
        <is>
          <t>4719000341.0</t>
        </is>
      </c>
      <c r="F62" s="12" t="n">
        <v>45891</v>
      </c>
      <c r="G62" s="12" t="n">
        <v>45905</v>
      </c>
      <c r="H62" s="13" t="n">
        <v>952</v>
      </c>
      <c r="I62" s="11" t="inlineStr">
        <is>
          <t>EUR</t>
        </is>
      </c>
      <c r="J62" s="11" t="inlineStr">
        <is>
          <t>307306</t>
        </is>
      </c>
      <c r="K62" s="11" t="inlineStr">
        <is>
          <t>*307306 Rückbau Sandklassierer</t>
        </is>
      </c>
      <c r="L62" s="12" t="n">
        <v>46254</v>
      </c>
      <c r="M62" s="14">
        <f>IF(G62="","n.a.",MAX(0,'[Steuerung.xlsx]Steuerung'!$F$12-G62))</f>
        <v/>
      </c>
    </row>
    <row r="63" ht="21" customHeight="1">
      <c r="C63" s="11" t="inlineStr">
        <is>
          <t>FORDERUNG</t>
        </is>
      </c>
      <c r="D63" s="11" t="inlineStr">
        <is>
          <t>8910189470.0</t>
        </is>
      </c>
      <c r="E63" s="11" t="inlineStr">
        <is>
          <t>4719000175.0</t>
        </is>
      </c>
      <c r="F63" s="12" t="n">
        <v>46139</v>
      </c>
      <c r="G63" s="12" t="n">
        <v>46169</v>
      </c>
      <c r="H63" s="13" t="n">
        <v>828.73</v>
      </c>
      <c r="I63" s="11" t="inlineStr">
        <is>
          <t>EUR</t>
        </is>
      </c>
      <c r="J63" s="11" t="inlineStr">
        <is>
          <t>304611</t>
        </is>
      </c>
      <c r="K63" s="11" t="inlineStr">
        <is>
          <t>*304611 - Arbeitsschuhe 01.2026 - 04.2026</t>
        </is>
      </c>
      <c r="L63" s="12" t="n">
        <v>46254</v>
      </c>
      <c r="M63" s="14">
        <f>IF(G63="","n.a.",MAX(0,'[Steuerung.xlsx]Steuerung'!$F$12-G63))</f>
        <v/>
      </c>
    </row>
    <row r="64" ht="21" customHeight="1">
      <c r="C64" s="11" t="inlineStr">
        <is>
          <t>FORDERUNG</t>
        </is>
      </c>
      <c r="D64" s="11" t="inlineStr">
        <is>
          <t>8910189470.0</t>
        </is>
      </c>
      <c r="E64" s="11" t="inlineStr">
        <is>
          <t>4719000313.0</t>
        </is>
      </c>
      <c r="F64" s="12" t="n">
        <v>46184</v>
      </c>
      <c r="G64" s="12" t="n">
        <v>46198</v>
      </c>
      <c r="H64" s="13" t="n">
        <v>512.54</v>
      </c>
      <c r="I64" s="11" t="inlineStr">
        <is>
          <t>EUR</t>
        </is>
      </c>
      <c r="J64" s="11" t="inlineStr">
        <is>
          <t>304611</t>
        </is>
      </c>
      <c r="K64" s="11" t="inlineStr">
        <is>
          <t>*304611 Arbeitsschuhe</t>
        </is>
      </c>
      <c r="L64" s="12" t="n">
        <v>46254</v>
      </c>
      <c r="M64" s="14">
        <f>IF(G64="","n.a.",MAX(0,'[Steuerung.xlsx]Steuerung'!$F$12-G64))</f>
        <v/>
      </c>
    </row>
    <row r="65" ht="21" customHeight="1">
      <c r="C65" s="11" t="inlineStr">
        <is>
          <t>FORDERUNG</t>
        </is>
      </c>
      <c r="D65" s="11" t="inlineStr">
        <is>
          <t>8910188771.0</t>
        </is>
      </c>
      <c r="E65" s="11" t="inlineStr">
        <is>
          <t>4719000339.0</t>
        </is>
      </c>
      <c r="F65" s="12" t="n">
        <v>45891</v>
      </c>
      <c r="G65" s="12" t="n">
        <v>45905</v>
      </c>
      <c r="H65" s="13" t="n">
        <v>452.2</v>
      </c>
      <c r="I65" s="11" t="inlineStr">
        <is>
          <t>EUR</t>
        </is>
      </c>
      <c r="J65" s="11" t="inlineStr">
        <is>
          <t>307306</t>
        </is>
      </c>
      <c r="K65" s="11" t="inlineStr">
        <is>
          <t>*307306 provisorische Entwässerung</t>
        </is>
      </c>
      <c r="L65" s="12" t="n">
        <v>46254</v>
      </c>
      <c r="M65" s="14">
        <f>IF(G65="","n.a.",MAX(0,'[Steuerung.xlsx]Steuerung'!$F$12-G65))</f>
        <v/>
      </c>
    </row>
    <row r="66" ht="21" customHeight="1">
      <c r="C66" s="11" t="inlineStr">
        <is>
          <t>FORDERUNG</t>
        </is>
      </c>
      <c r="D66" s="11" t="inlineStr">
        <is>
          <t>8910138957.0</t>
        </is>
      </c>
      <c r="E66" s="11" t="inlineStr">
        <is>
          <t>4719000348.0</t>
        </is>
      </c>
      <c r="F66" s="12" t="n">
        <v>46202</v>
      </c>
      <c r="G66" s="12" t="n">
        <v>46216</v>
      </c>
      <c r="H66" s="13" t="n">
        <v>452.2</v>
      </c>
      <c r="I66" s="11" t="inlineStr">
        <is>
          <t>EUR</t>
        </is>
      </c>
      <c r="J66" s="11" t="inlineStr">
        <is>
          <t>607989</t>
        </is>
      </c>
      <c r="K66" s="11" t="inlineStr">
        <is>
          <t>*607989  Kleinaufträge Region Ost</t>
        </is>
      </c>
      <c r="L66" s="12" t="n">
        <v>46254</v>
      </c>
      <c r="M66" s="14">
        <f>IF(G66="","n.a.",MAX(0,'[Steuerung.xlsx]Steuerung'!$F$12-G66))</f>
        <v/>
      </c>
    </row>
    <row r="67" ht="21" customHeight="1">
      <c r="C67" s="11" t="inlineStr">
        <is>
          <t>FORDERUNG</t>
        </is>
      </c>
      <c r="D67" s="11" t="inlineStr">
        <is>
          <t>8910117570.0</t>
        </is>
      </c>
      <c r="E67" s="11" t="inlineStr">
        <is>
          <t>4719000416.0</t>
        </is>
      </c>
      <c r="F67" s="12" t="n">
        <v>46233</v>
      </c>
      <c r="G67" s="12" t="n">
        <v>46263</v>
      </c>
      <c r="H67" s="13" t="n">
        <v>404.6</v>
      </c>
      <c r="I67" s="11" t="inlineStr">
        <is>
          <t>EUR</t>
        </is>
      </c>
      <c r="J67" s="11" t="inlineStr">
        <is>
          <t>607989</t>
        </is>
      </c>
      <c r="K67" s="11" t="inlineStr">
        <is>
          <t>*607989 - Tausch / Stellung / Abholung</t>
        </is>
      </c>
      <c r="L67" s="12" t="n">
        <v>46254</v>
      </c>
      <c r="M67" s="14">
        <f>IF(G67="","n.a.",MAX(0,'[Steuerung.xlsx]Steuerung'!$F$12-G67))</f>
        <v/>
      </c>
    </row>
    <row r="68" ht="21" customHeight="1">
      <c r="C68" s="11" t="inlineStr">
        <is>
          <t>FORDERUNG</t>
        </is>
      </c>
      <c r="D68" s="11" t="inlineStr">
        <is>
          <t>8910190788.0</t>
        </is>
      </c>
      <c r="E68" s="11" t="inlineStr">
        <is>
          <t>4719000408.0</t>
        </is>
      </c>
      <c r="F68" s="12" t="n">
        <v>46219</v>
      </c>
      <c r="G68" s="12" t="n">
        <v>46233</v>
      </c>
      <c r="H68" s="13" t="n">
        <v>258.05</v>
      </c>
      <c r="I68" s="11" t="inlineStr">
        <is>
          <t>EUR</t>
        </is>
      </c>
      <c r="J68" s="11" t="inlineStr">
        <is>
          <t>607989</t>
        </is>
      </c>
      <c r="K68" s="11" t="inlineStr">
        <is>
          <t>*607989 - Kleinaufträge Region Ost</t>
        </is>
      </c>
      <c r="L68" s="12" t="n">
        <v>46254</v>
      </c>
      <c r="M68" s="14">
        <f>IF(G68="","n.a.",MAX(0,'[Steuerung.xlsx]Steuerung'!$F$12-G68))</f>
        <v/>
      </c>
    </row>
    <row r="69" ht="21" customHeight="1">
      <c r="C69" s="11" t="inlineStr">
        <is>
          <t>FORDERUNG</t>
        </is>
      </c>
      <c r="D69" s="11" t="inlineStr">
        <is>
          <t>8910190846.0</t>
        </is>
      </c>
      <c r="E69" s="11" t="inlineStr">
        <is>
          <t>4719000384.0</t>
        </is>
      </c>
      <c r="F69" s="12" t="n">
        <v>46213</v>
      </c>
      <c r="G69" s="12" t="n">
        <v>46227</v>
      </c>
      <c r="H69" s="13" t="n">
        <v>127.5</v>
      </c>
      <c r="I69" s="11" t="inlineStr">
        <is>
          <t>EUR</t>
        </is>
      </c>
      <c r="J69" s="11" t="inlineStr">
        <is>
          <t>304611</t>
        </is>
      </c>
      <c r="K69" s="11" t="inlineStr">
        <is>
          <t>*304611 - Arbeitsschuhe</t>
        </is>
      </c>
      <c r="L69" s="12" t="n">
        <v>46254</v>
      </c>
      <c r="M69" s="14">
        <f>IF(G69="","n.a.",MAX(0,'[Steuerung.xlsx]Steuerung'!$F$12-G69))</f>
        <v/>
      </c>
    </row>
    <row r="70" ht="21" customHeight="1">
      <c r="C70" s="11" t="inlineStr">
        <is>
          <t>FORDERUNG</t>
        </is>
      </c>
      <c r="D70" s="11" t="inlineStr">
        <is>
          <t>8910190732.0</t>
        </is>
      </c>
      <c r="E70" s="11" t="inlineStr">
        <is>
          <t>4719000395.0</t>
        </is>
      </c>
      <c r="F70" s="12" t="n">
        <v>46213</v>
      </c>
      <c r="G70" s="12" t="n">
        <v>46243</v>
      </c>
      <c r="H70" s="13" t="n">
        <v>63.75</v>
      </c>
      <c r="I70" s="11" t="inlineStr">
        <is>
          <t>EUR</t>
        </is>
      </c>
      <c r="J70" s="11" t="inlineStr">
        <is>
          <t>304611</t>
        </is>
      </c>
      <c r="K70" s="11" t="inlineStr">
        <is>
          <t>*304611 - Arbeitsschuhe</t>
        </is>
      </c>
      <c r="L70" s="12" t="n">
        <v>46254</v>
      </c>
      <c r="M70" s="14">
        <f>IF(G70="","n.a.",MAX(0,'[Steuerung.xlsx]Steuerung'!$F$12-G70))</f>
        <v/>
      </c>
    </row>
    <row r="71" ht="21" customHeight="1">
      <c r="C71" s="11" t="inlineStr">
        <is>
          <t>FORDERUNG</t>
        </is>
      </c>
      <c r="D71" s="11" t="inlineStr">
        <is>
          <t>8910189470.0</t>
        </is>
      </c>
      <c r="E71" s="11" t="inlineStr">
        <is>
          <t>1170009.0</t>
        </is>
      </c>
      <c r="F71" s="12" t="n">
        <v>46203</v>
      </c>
      <c r="G71" s="12" t="n">
        <v>46203</v>
      </c>
      <c r="H71" s="13" t="n">
        <v>-300</v>
      </c>
      <c r="I71" s="11" t="inlineStr">
        <is>
          <t>EUR</t>
        </is>
      </c>
      <c r="J71" s="11" t="inlineStr">
        <is>
          <t>8910189</t>
        </is>
      </c>
      <c r="K71" s="11" t="inlineStr">
        <is>
          <t>AR 30-2026-0038 - Debi 8910189470 22.07.2026</t>
        </is>
      </c>
      <c r="L71" s="12" t="n">
        <v>46254</v>
      </c>
      <c r="M71" s="14">
        <f>IF(G71="","n.a.",MAX(0,'[Steuerung.xlsx]Steuerung'!$F$12-G71))</f>
        <v/>
      </c>
    </row>
    <row r="72" ht="21" customHeight="1">
      <c r="C72" s="11" t="inlineStr">
        <is>
          <t>VERBINDLICHKEIT</t>
        </is>
      </c>
      <c r="D72" s="11" t="n"/>
      <c r="E72" s="11" t="inlineStr">
        <is>
          <t>8035</t>
        </is>
      </c>
      <c r="F72" s="12" t="n"/>
      <c r="G72" s="12" t="n">
        <v>46258</v>
      </c>
      <c r="H72" s="13" t="n">
        <v>-20</v>
      </c>
      <c r="I72" s="11" t="inlineStr">
        <is>
          <t>EUR</t>
        </is>
      </c>
      <c r="J72" s="11" t="n"/>
      <c r="K72" s="11" t="inlineStr">
        <is>
          <t>07/26 Nichtnutzungsgebühr Hr. Flamme</t>
        </is>
      </c>
      <c r="L72" s="12" t="n">
        <v>46254</v>
      </c>
      <c r="M72" s="14">
        <f>IF(G72="","n.a.",MAX(0,'[Steuerung.xlsx]Steuerung'!$F$12-G72))</f>
        <v/>
      </c>
    </row>
    <row r="73" ht="21" customHeight="1">
      <c r="C73" s="11" t="inlineStr">
        <is>
          <t>VERBINDLICHKEIT</t>
        </is>
      </c>
      <c r="D73" s="11" t="n"/>
      <c r="E73" s="11" t="inlineStr">
        <is>
          <t>7837</t>
        </is>
      </c>
      <c r="F73" s="12" t="n"/>
      <c r="G73" s="12" t="n">
        <v>46244</v>
      </c>
      <c r="H73" s="13" t="n">
        <v>-365.16</v>
      </c>
      <c r="I73" s="11" t="inlineStr">
        <is>
          <t>EUR</t>
        </is>
      </c>
      <c r="J73" s="11" t="n"/>
      <c r="K73" s="11" t="inlineStr">
        <is>
          <t>07/26 medizinische Leistungen</t>
        </is>
      </c>
      <c r="L73" s="12" t="n">
        <v>46254</v>
      </c>
      <c r="M73" s="14">
        <f>IF(G73="","n.a.",MAX(0,'[Steuerung.xlsx]Steuerung'!$F$12-G73))</f>
        <v/>
      </c>
    </row>
    <row r="74" ht="21" customHeight="1">
      <c r="C74" s="11" t="inlineStr">
        <is>
          <t>VERBINDLICHKEIT</t>
        </is>
      </c>
      <c r="D74" s="11" t="n"/>
      <c r="E74" s="11" t="inlineStr">
        <is>
          <t>2077</t>
        </is>
      </c>
      <c r="F74" s="12" t="n"/>
      <c r="G74" s="12" t="n">
        <v>46173</v>
      </c>
      <c r="H74" s="13" t="n">
        <v>8828.610000000001</v>
      </c>
      <c r="I74" s="11" t="inlineStr">
        <is>
          <t>EUR</t>
        </is>
      </c>
      <c r="J74" s="11" t="n"/>
      <c r="K74" s="11" t="inlineStr">
        <is>
          <t>Storno zu 426050024 05/26 Gestellung Teleskop</t>
        </is>
      </c>
      <c r="L74" s="12" t="n">
        <v>46254</v>
      </c>
      <c r="M74" s="14">
        <f>IF(G74="","n.a.",MAX(0,'[Steuerung.xlsx]Steuerung'!$F$12-G74))</f>
        <v/>
      </c>
    </row>
    <row r="75" ht="21" customHeight="1">
      <c r="C75" s="11" t="inlineStr">
        <is>
          <t>VERBINDLICHKEIT</t>
        </is>
      </c>
      <c r="D75" s="11" t="n"/>
      <c r="E75" s="11" t="inlineStr">
        <is>
          <t>7112</t>
        </is>
      </c>
      <c r="F75" s="12" t="n"/>
      <c r="G75" s="12" t="n">
        <v>46182</v>
      </c>
      <c r="H75" s="13" t="n">
        <v>-6413.51</v>
      </c>
      <c r="I75" s="11" t="inlineStr">
        <is>
          <t>EUR</t>
        </is>
      </c>
      <c r="J75" s="11" t="n"/>
      <c r="K75" s="11" t="inlineStr">
        <is>
          <t>05/26 Gestellung Teleskop-Geländekran</t>
        </is>
      </c>
      <c r="L75" s="12" t="n">
        <v>46254</v>
      </c>
      <c r="M75" s="14">
        <f>IF(G75="","n.a.",MAX(0,'[Steuerung.xlsx]Steuerung'!$F$12-G75))</f>
        <v/>
      </c>
    </row>
    <row r="76" ht="21" customHeight="1">
      <c r="C76" s="11" t="inlineStr">
        <is>
          <t>VERBINDLICHKEIT</t>
        </is>
      </c>
      <c r="D76" s="11" t="n"/>
      <c r="E76" s="11" t="inlineStr">
        <is>
          <t>7457</t>
        </is>
      </c>
      <c r="F76" s="12" t="n"/>
      <c r="G76" s="12" t="n">
        <v>46205</v>
      </c>
      <c r="H76" s="13" t="n">
        <v>-883.46</v>
      </c>
      <c r="I76" s="11" t="inlineStr">
        <is>
          <t>EUR</t>
        </is>
      </c>
      <c r="J76" s="11" t="n"/>
      <c r="K76" s="11" t="inlineStr">
        <is>
          <t>06/26 Gestellung LDK</t>
        </is>
      </c>
      <c r="L76" s="12" t="n">
        <v>46254</v>
      </c>
      <c r="M76" s="14">
        <f>IF(G76="","n.a.",MAX(0,'[Steuerung.xlsx]Steuerung'!$F$12-G76))</f>
        <v/>
      </c>
    </row>
    <row r="77" ht="21" customHeight="1">
      <c r="C77" s="11" t="inlineStr">
        <is>
          <t>VERBINDLICHKEIT</t>
        </is>
      </c>
      <c r="D77" s="11" t="n"/>
      <c r="E77" s="11" t="inlineStr">
        <is>
          <t>7423</t>
        </is>
      </c>
      <c r="F77" s="12" t="n"/>
      <c r="G77" s="12" t="n">
        <v>46203</v>
      </c>
      <c r="H77" s="13" t="n">
        <v>-1308.14</v>
      </c>
      <c r="I77" s="11" t="inlineStr">
        <is>
          <t>EUR</t>
        </is>
      </c>
      <c r="J77" s="11" t="n"/>
      <c r="K77" s="11" t="inlineStr">
        <is>
          <t>06/26 Gestellung LKW mit Ladekran</t>
        </is>
      </c>
      <c r="L77" s="12" t="n">
        <v>46254</v>
      </c>
      <c r="M77" s="14">
        <f>IF(G77="","n.a.",MAX(0,'[Steuerung.xlsx]Steuerung'!$F$12-G77))</f>
        <v/>
      </c>
    </row>
    <row r="78" ht="21" customHeight="1">
      <c r="C78" s="11" t="inlineStr">
        <is>
          <t>VERBINDLICHKEIT</t>
        </is>
      </c>
      <c r="D78" s="11" t="n"/>
      <c r="E78" s="11" t="inlineStr">
        <is>
          <t>8008</t>
        </is>
      </c>
      <c r="F78" s="12" t="n"/>
      <c r="G78" s="12" t="n">
        <v>46244</v>
      </c>
      <c r="H78" s="13" t="n">
        <v>-1805.46</v>
      </c>
      <c r="I78" s="11" t="inlineStr">
        <is>
          <t>EUR</t>
        </is>
      </c>
      <c r="J78" s="11" t="n"/>
      <c r="K78" s="11" t="inlineStr">
        <is>
          <t>06/26 WKV-Prämien-Abrechnung</t>
        </is>
      </c>
      <c r="L78" s="12" t="n">
        <v>46254</v>
      </c>
      <c r="M78" s="14">
        <f>IF(G78="","n.a.",MAX(0,'[Steuerung.xlsx]Steuerung'!$F$12-G78))</f>
        <v/>
      </c>
    </row>
    <row r="79" ht="21" customHeight="1">
      <c r="C79" s="11" t="inlineStr">
        <is>
          <t>VERBINDLICHKEIT</t>
        </is>
      </c>
      <c r="D79" s="11" t="n"/>
      <c r="E79" s="11" t="inlineStr">
        <is>
          <t>7975</t>
        </is>
      </c>
      <c r="F79" s="12" t="n"/>
      <c r="G79" s="12" t="n">
        <v>46267</v>
      </c>
      <c r="H79" s="13" t="n">
        <v>-2032.14</v>
      </c>
      <c r="I79" s="11" t="inlineStr">
        <is>
          <t>EUR</t>
        </is>
      </c>
      <c r="J79" s="11" t="n"/>
      <c r="K79" s="11" t="inlineStr">
        <is>
          <t>07/26 Diesel Lübbenau</t>
        </is>
      </c>
      <c r="L79" s="12" t="n">
        <v>46254</v>
      </c>
      <c r="M79" s="14">
        <f>IF(G79="","n.a.",MAX(0,'[Steuerung.xlsx]Steuerung'!$F$12-G79))</f>
        <v/>
      </c>
    </row>
    <row r="80" ht="21" customHeight="1">
      <c r="C80" s="11" t="inlineStr">
        <is>
          <t>VERBINDLICHKEIT</t>
        </is>
      </c>
      <c r="D80" s="11" t="n"/>
      <c r="E80" s="11" t="inlineStr">
        <is>
          <t>7922</t>
        </is>
      </c>
      <c r="F80" s="12" t="n"/>
      <c r="G80" s="12" t="n">
        <v>46263</v>
      </c>
      <c r="H80" s="13" t="n">
        <v>-2762.64</v>
      </c>
      <c r="I80" s="11" t="inlineStr">
        <is>
          <t>EUR</t>
        </is>
      </c>
      <c r="J80" s="11" t="n"/>
      <c r="K80" s="11" t="inlineStr">
        <is>
          <t>07/26 Diesel Lübbenau</t>
        </is>
      </c>
      <c r="L80" s="12" t="n">
        <v>46254</v>
      </c>
      <c r="M80" s="14">
        <f>IF(G80="","n.a.",MAX(0,'[Steuerung.xlsx]Steuerung'!$F$12-G80))</f>
        <v/>
      </c>
    </row>
    <row r="81" ht="21" customHeight="1">
      <c r="C81" s="11" t="inlineStr">
        <is>
          <t>VERBINDLICHKEIT</t>
        </is>
      </c>
      <c r="D81" s="11" t="n"/>
      <c r="E81" s="11" t="inlineStr">
        <is>
          <t>7923</t>
        </is>
      </c>
      <c r="F81" s="12" t="n"/>
      <c r="G81" s="12" t="n">
        <v>46263</v>
      </c>
      <c r="H81" s="13" t="n">
        <v>-1165.07</v>
      </c>
      <c r="I81" s="11" t="inlineStr">
        <is>
          <t>EUR</t>
        </is>
      </c>
      <c r="J81" s="11" t="n"/>
      <c r="K81" s="11" t="inlineStr">
        <is>
          <t>07/26 Diesel Lübbenau</t>
        </is>
      </c>
      <c r="L81" s="12" t="n">
        <v>46254</v>
      </c>
      <c r="M81" s="14">
        <f>IF(G81="","n.a.",MAX(0,'[Steuerung.xlsx]Steuerung'!$F$12-G81))</f>
        <v/>
      </c>
    </row>
    <row r="82" ht="21" customHeight="1">
      <c r="C82" s="11" t="inlineStr">
        <is>
          <t>VERBINDLICHKEIT</t>
        </is>
      </c>
      <c r="D82" s="11" t="n"/>
      <c r="E82" s="11" t="inlineStr">
        <is>
          <t>7845</t>
        </is>
      </c>
      <c r="F82" s="12" t="n"/>
      <c r="G82" s="12" t="n">
        <v>46254</v>
      </c>
      <c r="H82" s="13" t="n">
        <v>-2209.16</v>
      </c>
      <c r="I82" s="11" t="inlineStr">
        <is>
          <t>EUR</t>
        </is>
      </c>
      <c r="J82" s="11" t="n"/>
      <c r="K82" s="11" t="inlineStr">
        <is>
          <t>07/26 Diesel Lübbenau</t>
        </is>
      </c>
      <c r="L82" s="12" t="n">
        <v>46254</v>
      </c>
      <c r="M82" s="14">
        <f>IF(G82="","n.a.",MAX(0,'[Steuerung.xlsx]Steuerung'!$F$12-G82))</f>
        <v/>
      </c>
    </row>
    <row r="83" ht="21" customHeight="1">
      <c r="C83" s="11" t="inlineStr">
        <is>
          <t>VERBINDLICHKEIT</t>
        </is>
      </c>
      <c r="D83" s="11" t="n"/>
      <c r="E83" s="11" t="inlineStr">
        <is>
          <t>7886</t>
        </is>
      </c>
      <c r="F83" s="12" t="n"/>
      <c r="G83" s="12" t="n">
        <v>46257</v>
      </c>
      <c r="H83" s="13" t="n">
        <v>-1052.32</v>
      </c>
      <c r="I83" s="11" t="inlineStr">
        <is>
          <t>EUR</t>
        </is>
      </c>
      <c r="J83" s="11" t="n"/>
      <c r="K83" s="11" t="inlineStr">
        <is>
          <t>07/26 Diesel Jänschwalde</t>
        </is>
      </c>
      <c r="L83" s="12" t="n">
        <v>46254</v>
      </c>
      <c r="M83" s="14">
        <f>IF(G83="","n.a.",MAX(0,'[Steuerung.xlsx]Steuerung'!$F$12-G83))</f>
        <v/>
      </c>
    </row>
    <row r="84" ht="21" customHeight="1">
      <c r="C84" s="11" t="inlineStr">
        <is>
          <t>VERBINDLICHKEIT</t>
        </is>
      </c>
      <c r="D84" s="11" t="n"/>
      <c r="E84" s="11" t="inlineStr">
        <is>
          <t>7801</t>
        </is>
      </c>
      <c r="F84" s="12" t="n"/>
      <c r="G84" s="12" t="n">
        <v>46249</v>
      </c>
      <c r="H84" s="13" t="n">
        <v>-1087.78</v>
      </c>
      <c r="I84" s="11" t="inlineStr">
        <is>
          <t>EUR</t>
        </is>
      </c>
      <c r="J84" s="11" t="n"/>
      <c r="K84" s="11" t="inlineStr">
        <is>
          <t>07/26 Diesel Lübbenau</t>
        </is>
      </c>
      <c r="L84" s="12" t="n">
        <v>46254</v>
      </c>
      <c r="M84" s="14">
        <f>IF(G84="","n.a.",MAX(0,'[Steuerung.xlsx]Steuerung'!$F$12-G84))</f>
        <v/>
      </c>
    </row>
    <row r="85" ht="21" customHeight="1">
      <c r="C85" s="11" t="inlineStr">
        <is>
          <t>VERBINDLICHKEIT</t>
        </is>
      </c>
      <c r="D85" s="11" t="n"/>
      <c r="E85" s="11" t="inlineStr">
        <is>
          <t>7737</t>
        </is>
      </c>
      <c r="F85" s="12" t="n"/>
      <c r="G85" s="12" t="n">
        <v>46243</v>
      </c>
      <c r="H85" s="13" t="n">
        <v>-2266.96</v>
      </c>
      <c r="I85" s="11" t="inlineStr">
        <is>
          <t>EUR</t>
        </is>
      </c>
      <c r="J85" s="11" t="n"/>
      <c r="K85" s="11" t="inlineStr">
        <is>
          <t>07/26 Diesel Lübbenau</t>
        </is>
      </c>
      <c r="L85" s="12" t="n">
        <v>46254</v>
      </c>
      <c r="M85" s="14">
        <f>IF(G85="","n.a.",MAX(0,'[Steuerung.xlsx]Steuerung'!$F$12-G85))</f>
        <v/>
      </c>
    </row>
    <row r="86" ht="21" customHeight="1">
      <c r="C86" s="11" t="inlineStr">
        <is>
          <t>VERBINDLICHKEIT</t>
        </is>
      </c>
      <c r="D86" s="11" t="n"/>
      <c r="E86" s="11" t="inlineStr">
        <is>
          <t>4714000039</t>
        </is>
      </c>
      <c r="F86" s="12" t="n"/>
      <c r="G86" s="12" t="n">
        <v>46244</v>
      </c>
      <c r="H86" s="13" t="n">
        <v>-42.84</v>
      </c>
      <c r="I86" s="11" t="inlineStr">
        <is>
          <t>EUR</t>
        </is>
      </c>
      <c r="J86" s="11" t="n"/>
      <c r="K86" s="11" t="inlineStr">
        <is>
          <t>*Rückzahlung Skonto Rechnung 3230</t>
        </is>
      </c>
      <c r="L86" s="12" t="n">
        <v>46254</v>
      </c>
      <c r="M86" s="14">
        <f>IF(G86="","n.a.",MAX(0,'[Steuerung.xlsx]Steuerung'!$F$12-G86))</f>
        <v/>
      </c>
    </row>
    <row r="87" ht="21" customHeight="1">
      <c r="C87" s="11" t="inlineStr">
        <is>
          <t>VERBINDLICHKEIT</t>
        </is>
      </c>
      <c r="D87" s="11" t="n"/>
      <c r="E87" s="11" t="inlineStr">
        <is>
          <t>4714000039</t>
        </is>
      </c>
      <c r="F87" s="12" t="n"/>
      <c r="G87" s="12" t="n">
        <v>46244</v>
      </c>
      <c r="H87" s="13" t="n">
        <v>-10.71</v>
      </c>
      <c r="I87" s="11" t="inlineStr">
        <is>
          <t>EUR</t>
        </is>
      </c>
      <c r="J87" s="11" t="n"/>
      <c r="K87" s="11" t="inlineStr">
        <is>
          <t>*Rückzahlung Skonto Rechnung 3236</t>
        </is>
      </c>
      <c r="L87" s="12" t="n">
        <v>46254</v>
      </c>
      <c r="M87" s="14">
        <f>IF(G87="","n.a.",MAX(0,'[Steuerung.xlsx]Steuerung'!$F$12-G87))</f>
        <v/>
      </c>
    </row>
    <row r="88" ht="21" customHeight="1">
      <c r="C88" s="11" t="inlineStr">
        <is>
          <t>VERBINDLICHKEIT</t>
        </is>
      </c>
      <c r="D88" s="11" t="n"/>
      <c r="E88" s="11" t="inlineStr">
        <is>
          <t>4714000039</t>
        </is>
      </c>
      <c r="F88" s="12" t="n"/>
      <c r="G88" s="12" t="n">
        <v>46244</v>
      </c>
      <c r="H88" s="13" t="n">
        <v>-99.95999999999999</v>
      </c>
      <c r="I88" s="11" t="inlineStr">
        <is>
          <t>EUR</t>
        </is>
      </c>
      <c r="J88" s="11" t="n"/>
      <c r="K88" s="11" t="inlineStr">
        <is>
          <t>*Rückzahlung Skonto Rechnung 3254</t>
        </is>
      </c>
      <c r="L88" s="12" t="n">
        <v>46254</v>
      </c>
      <c r="M88" s="14">
        <f>IF(G88="","n.a.",MAX(0,'[Steuerung.xlsx]Steuerung'!$F$12-G88))</f>
        <v/>
      </c>
    </row>
    <row r="89" ht="21" customHeight="1">
      <c r="C89" s="11" t="inlineStr">
        <is>
          <t>VERBINDLICHKEIT</t>
        </is>
      </c>
      <c r="D89" s="11" t="n"/>
      <c r="E89" s="11" t="inlineStr">
        <is>
          <t>4714000039</t>
        </is>
      </c>
      <c r="F89" s="12" t="n"/>
      <c r="G89" s="12" t="n">
        <v>46244</v>
      </c>
      <c r="H89" s="13" t="n">
        <v>-7.14</v>
      </c>
      <c r="I89" s="11" t="inlineStr">
        <is>
          <t>EUR</t>
        </is>
      </c>
      <c r="J89" s="11" t="n"/>
      <c r="K89" s="11" t="inlineStr">
        <is>
          <t>*Rückzahlung Skonto Rechnung 3307</t>
        </is>
      </c>
      <c r="L89" s="12" t="n">
        <v>46254</v>
      </c>
      <c r="M89" s="14">
        <f>IF(G89="","n.a.",MAX(0,'[Steuerung.xlsx]Steuerung'!$F$12-G89))</f>
        <v/>
      </c>
    </row>
    <row r="90" ht="21" customHeight="1">
      <c r="C90" s="11" t="inlineStr">
        <is>
          <t>VERBINDLICHKEIT</t>
        </is>
      </c>
      <c r="D90" s="11" t="n"/>
      <c r="E90" s="11" t="inlineStr">
        <is>
          <t>4714000039</t>
        </is>
      </c>
      <c r="F90" s="12" t="n"/>
      <c r="G90" s="12" t="n">
        <v>46244</v>
      </c>
      <c r="H90" s="13" t="n">
        <v>-7.14</v>
      </c>
      <c r="I90" s="11" t="inlineStr">
        <is>
          <t>EUR</t>
        </is>
      </c>
      <c r="J90" s="11" t="n"/>
      <c r="K90" s="11" t="inlineStr">
        <is>
          <t>*Rückzahlung Skonto Rechnung 3395</t>
        </is>
      </c>
      <c r="L90" s="12" t="n">
        <v>46254</v>
      </c>
      <c r="M90" s="14">
        <f>IF(G90="","n.a.",MAX(0,'[Steuerung.xlsx]Steuerung'!$F$12-G90))</f>
        <v/>
      </c>
    </row>
    <row r="91" ht="21" customHeight="1">
      <c r="C91" s="11" t="inlineStr">
        <is>
          <t>VERBINDLICHKEIT</t>
        </is>
      </c>
      <c r="D91" s="11" t="n"/>
      <c r="E91" s="11" t="inlineStr">
        <is>
          <t>4714000039</t>
        </is>
      </c>
      <c r="F91" s="12" t="n"/>
      <c r="G91" s="12" t="n">
        <v>46244</v>
      </c>
      <c r="H91" s="13" t="n">
        <v>-5.14</v>
      </c>
      <c r="I91" s="11" t="inlineStr">
        <is>
          <t>EUR</t>
        </is>
      </c>
      <c r="J91" s="11" t="n"/>
      <c r="K91" s="11" t="inlineStr">
        <is>
          <t>*Rückzahlung Skonto Rechnung 3396</t>
        </is>
      </c>
      <c r="L91" s="12" t="n">
        <v>46254</v>
      </c>
      <c r="M91" s="14">
        <f>IF(G91="","n.a.",MAX(0,'[Steuerung.xlsx]Steuerung'!$F$12-G91))</f>
        <v/>
      </c>
    </row>
    <row r="92" ht="21" customHeight="1">
      <c r="C92" s="11" t="inlineStr">
        <is>
          <t>VERBINDLICHKEIT</t>
        </is>
      </c>
      <c r="D92" s="11" t="n"/>
      <c r="E92" s="11" t="inlineStr">
        <is>
          <t>4714000039</t>
        </is>
      </c>
      <c r="F92" s="12" t="n"/>
      <c r="G92" s="12" t="n">
        <v>46244</v>
      </c>
      <c r="H92" s="13" t="n">
        <v>-53.55</v>
      </c>
      <c r="I92" s="11" t="inlineStr">
        <is>
          <t>EUR</t>
        </is>
      </c>
      <c r="J92" s="11" t="n"/>
      <c r="K92" s="11" t="inlineStr">
        <is>
          <t>*Rückzahlung Skonto Rechnung 3448</t>
        </is>
      </c>
      <c r="L92" s="12" t="n">
        <v>46254</v>
      </c>
      <c r="M92" s="14">
        <f>IF(G92="","n.a.",MAX(0,'[Steuerung.xlsx]Steuerung'!$F$12-G92))</f>
        <v/>
      </c>
    </row>
    <row r="93" ht="21" customHeight="1">
      <c r="C93" s="11" t="inlineStr">
        <is>
          <t>VERBINDLICHKEIT</t>
        </is>
      </c>
      <c r="D93" s="11" t="n"/>
      <c r="E93" s="11" t="inlineStr">
        <is>
          <t>4714000039</t>
        </is>
      </c>
      <c r="F93" s="12" t="n"/>
      <c r="G93" s="12" t="n">
        <v>46244</v>
      </c>
      <c r="H93" s="13" t="n">
        <v>-26.78</v>
      </c>
      <c r="I93" s="11" t="inlineStr">
        <is>
          <t>EUR</t>
        </is>
      </c>
      <c r="J93" s="11" t="n"/>
      <c r="K93" s="11" t="inlineStr">
        <is>
          <t>*Rückzahlung Skonto Rechnung 3449</t>
        </is>
      </c>
      <c r="L93" s="12" t="n">
        <v>46254</v>
      </c>
      <c r="M93" s="14">
        <f>IF(G93="","n.a.",MAX(0,'[Steuerung.xlsx]Steuerung'!$F$12-G93))</f>
        <v/>
      </c>
    </row>
    <row r="94" ht="21" customHeight="1">
      <c r="C94" s="11" t="inlineStr">
        <is>
          <t>VERBINDLICHKEIT</t>
        </is>
      </c>
      <c r="D94" s="11" t="n"/>
      <c r="E94" s="11" t="inlineStr">
        <is>
          <t>4714000039</t>
        </is>
      </c>
      <c r="F94" s="12" t="n"/>
      <c r="G94" s="12" t="n">
        <v>46244</v>
      </c>
      <c r="H94" s="13" t="n">
        <v>-17.85</v>
      </c>
      <c r="I94" s="11" t="inlineStr">
        <is>
          <t>EUR</t>
        </is>
      </c>
      <c r="J94" s="11" t="n"/>
      <c r="K94" s="11" t="inlineStr">
        <is>
          <t>*Rückzahlung Skonto Rechnung 3457</t>
        </is>
      </c>
      <c r="L94" s="12" t="n">
        <v>46254</v>
      </c>
      <c r="M94" s="14">
        <f>IF(G94="","n.a.",MAX(0,'[Steuerung.xlsx]Steuerung'!$F$12-G94))</f>
        <v/>
      </c>
    </row>
    <row r="95" ht="21" customHeight="1">
      <c r="C95" s="11" t="inlineStr">
        <is>
          <t>VERBINDLICHKEIT</t>
        </is>
      </c>
      <c r="D95" s="11" t="n"/>
      <c r="E95" s="11" t="inlineStr">
        <is>
          <t>4714000039</t>
        </is>
      </c>
      <c r="F95" s="12" t="n"/>
      <c r="G95" s="12" t="n">
        <v>46244</v>
      </c>
      <c r="H95" s="13" t="n">
        <v>-8.93</v>
      </c>
      <c r="I95" s="11" t="inlineStr">
        <is>
          <t>EUR</t>
        </is>
      </c>
      <c r="J95" s="11" t="n"/>
      <c r="K95" s="11" t="inlineStr">
        <is>
          <t>*Rückzahlung Skonto Rechnung 3471</t>
        </is>
      </c>
      <c r="L95" s="12" t="n">
        <v>46254</v>
      </c>
      <c r="M95" s="14">
        <f>IF(G95="","n.a.",MAX(0,'[Steuerung.xlsx]Steuerung'!$F$12-G95))</f>
        <v/>
      </c>
    </row>
    <row r="96" ht="21" customHeight="1">
      <c r="C96" s="11" t="inlineStr">
        <is>
          <t>VERBINDLICHKEIT</t>
        </is>
      </c>
      <c r="D96" s="11" t="n"/>
      <c r="E96" s="11" t="inlineStr">
        <is>
          <t>7915</t>
        </is>
      </c>
      <c r="F96" s="12" t="n"/>
      <c r="G96" s="12" t="n">
        <v>46220</v>
      </c>
      <c r="H96" s="13" t="n">
        <v>-243</v>
      </c>
      <c r="I96" s="11" t="inlineStr">
        <is>
          <t>EUR</t>
        </is>
      </c>
      <c r="J96" s="11" t="n"/>
      <c r="K96" s="11" t="inlineStr">
        <is>
          <t>CB-TV 105 Kfz-Steuer 06.07.-05.07.</t>
        </is>
      </c>
      <c r="L96" s="12" t="n">
        <v>46254</v>
      </c>
      <c r="M96" s="14">
        <f>IF(G96="","n.a.",MAX(0,'[Steuerung.xlsx]Steuerung'!$F$12-G96))</f>
        <v/>
      </c>
    </row>
    <row r="97" ht="21" customHeight="1">
      <c r="C97" s="11" t="inlineStr">
        <is>
          <t>VERBINDLICHKEIT</t>
        </is>
      </c>
      <c r="D97" s="11" t="n"/>
      <c r="E97" s="11" t="inlineStr">
        <is>
          <t>8078</t>
        </is>
      </c>
      <c r="F97" s="12" t="n"/>
      <c r="G97" s="12" t="n">
        <v>46262</v>
      </c>
      <c r="H97" s="13" t="n">
        <v>-5559.57</v>
      </c>
      <c r="I97" s="11" t="inlineStr">
        <is>
          <t>EUR</t>
        </is>
      </c>
      <c r="J97" s="11" t="n"/>
      <c r="K97" s="11" t="inlineStr">
        <is>
          <t>07/26 AdBlue, Diesel</t>
        </is>
      </c>
      <c r="L97" s="12" t="n">
        <v>46254</v>
      </c>
      <c r="M97" s="14">
        <f>IF(G97="","n.a.",MAX(0,'[Steuerung.xlsx]Steuerung'!$F$12-G97))</f>
        <v/>
      </c>
    </row>
    <row r="98" ht="21" customHeight="1">
      <c r="C98" s="11" t="inlineStr">
        <is>
          <t>VERBINDLICHKEIT</t>
        </is>
      </c>
      <c r="D98" s="11" t="n"/>
      <c r="E98" s="11" t="inlineStr">
        <is>
          <t>7930</t>
        </is>
      </c>
      <c r="F98" s="12" t="n"/>
      <c r="G98" s="12" t="n">
        <v>46225</v>
      </c>
      <c r="H98" s="13" t="n">
        <v>-54429.56</v>
      </c>
      <c r="I98" s="11" t="inlineStr">
        <is>
          <t>EUR</t>
        </is>
      </c>
      <c r="J98" s="11" t="n"/>
      <c r="K98" s="11" t="inlineStr">
        <is>
          <t>03+05/26 VZ Körperschaftssteuer/Soli-Zuschlag</t>
        </is>
      </c>
      <c r="L98" s="12" t="n">
        <v>46254</v>
      </c>
      <c r="M98" s="14">
        <f>IF(G98="","n.a.",MAX(0,'[Steuerung.xlsx]Steuerung'!$F$12-G98))</f>
        <v/>
      </c>
    </row>
    <row r="99" ht="21" customHeight="1">
      <c r="C99" s="11" t="inlineStr">
        <is>
          <t>VERBINDLICHKEIT</t>
        </is>
      </c>
      <c r="D99" s="11" t="n"/>
      <c r="E99" s="11" t="inlineStr">
        <is>
          <t>7879</t>
        </is>
      </c>
      <c r="F99" s="12" t="n"/>
      <c r="G99" s="12" t="n">
        <v>46247</v>
      </c>
      <c r="H99" s="13" t="n">
        <v>-44.55</v>
      </c>
      <c r="I99" s="11" t="inlineStr">
        <is>
          <t>EUR</t>
        </is>
      </c>
      <c r="J99" s="11" t="n"/>
      <c r="K99" s="11" t="inlineStr">
        <is>
          <t>07/26 Verbandskasten, Post-It</t>
        </is>
      </c>
      <c r="L99" s="12" t="n">
        <v>46254</v>
      </c>
      <c r="M99" s="14">
        <f>IF(G99="","n.a.",MAX(0,'[Steuerung.xlsx]Steuerung'!$F$12-G99))</f>
        <v/>
      </c>
    </row>
    <row r="100" ht="21" customHeight="1">
      <c r="C100" s="11" t="inlineStr">
        <is>
          <t>VERBINDLICHKEIT</t>
        </is>
      </c>
      <c r="D100" s="11" t="n"/>
      <c r="E100" s="11" t="inlineStr">
        <is>
          <t>7888</t>
        </is>
      </c>
      <c r="F100" s="12" t="n"/>
      <c r="G100" s="12" t="n">
        <v>46246</v>
      </c>
      <c r="H100" s="13" t="n">
        <v>-76.77</v>
      </c>
      <c r="I100" s="11" t="inlineStr">
        <is>
          <t>EUR</t>
        </is>
      </c>
      <c r="J100" s="11" t="n"/>
      <c r="K100" s="11" t="inlineStr">
        <is>
          <t>07/26 div. Bürobedarf</t>
        </is>
      </c>
      <c r="L100" s="12" t="n">
        <v>46254</v>
      </c>
      <c r="M100" s="14">
        <f>IF(G100="","n.a.",MAX(0,'[Steuerung.xlsx]Steuerung'!$F$12-G100))</f>
        <v/>
      </c>
    </row>
    <row r="101" ht="21" customHeight="1">
      <c r="C101" s="11" t="inlineStr">
        <is>
          <t>VERBINDLICHKEIT</t>
        </is>
      </c>
      <c r="D101" s="11" t="n"/>
      <c r="E101" s="11" t="inlineStr">
        <is>
          <t>8076</t>
        </is>
      </c>
      <c r="F101" s="12" t="n"/>
      <c r="G101" s="12" t="n">
        <v>46260</v>
      </c>
      <c r="H101" s="13" t="n">
        <v>-289.73</v>
      </c>
      <c r="I101" s="11" t="inlineStr">
        <is>
          <t>EUR</t>
        </is>
      </c>
      <c r="J101" s="11" t="n"/>
      <c r="K101" s="11" t="inlineStr">
        <is>
          <t>08/26 Bürostuhl, Steckdosenleiste</t>
        </is>
      </c>
      <c r="L101" s="12" t="n">
        <v>46254</v>
      </c>
      <c r="M101" s="14">
        <f>IF(G101="","n.a.",MAX(0,'[Steuerung.xlsx]Steuerung'!$F$12-G101))</f>
        <v/>
      </c>
    </row>
    <row r="102" ht="21" customHeight="1">
      <c r="C102" s="11" t="inlineStr">
        <is>
          <t>VERBINDLICHKEIT</t>
        </is>
      </c>
      <c r="D102" s="11" t="n"/>
      <c r="E102" s="11" t="inlineStr">
        <is>
          <t>7897</t>
        </is>
      </c>
      <c r="F102" s="12" t="n"/>
      <c r="G102" s="12" t="n">
        <v>46290</v>
      </c>
      <c r="H102" s="13" t="n">
        <v>-259.57</v>
      </c>
      <c r="I102" s="11" t="inlineStr">
        <is>
          <t>EUR</t>
        </is>
      </c>
      <c r="J102" s="11" t="n"/>
      <c r="K102" s="11" t="inlineStr">
        <is>
          <t>07/26 Sicherheitsstiefel S7,Bundhose,Klinge Messer</t>
        </is>
      </c>
      <c r="L102" s="12" t="n">
        <v>46254</v>
      </c>
      <c r="M102" s="14">
        <f>IF(G102="","n.a.",MAX(0,'[Steuerung.xlsx]Steuerung'!$F$12-G102))</f>
        <v/>
      </c>
    </row>
    <row r="103" ht="21" customHeight="1">
      <c r="C103" s="11" t="inlineStr">
        <is>
          <t>VERBINDLICHKEIT</t>
        </is>
      </c>
      <c r="D103" s="11" t="n"/>
      <c r="E103" s="11" t="inlineStr">
        <is>
          <t>7855</t>
        </is>
      </c>
      <c r="F103" s="12" t="n"/>
      <c r="G103" s="12" t="n">
        <v>46283</v>
      </c>
      <c r="H103" s="13" t="n">
        <v>-154.14</v>
      </c>
      <c r="I103" s="11" t="inlineStr">
        <is>
          <t>EUR</t>
        </is>
      </c>
      <c r="J103" s="11" t="n"/>
      <c r="K103" s="11" t="inlineStr">
        <is>
          <t>07/26 Stahlbandmaß,Graffiti-Entferner,Haftschmier</t>
        </is>
      </c>
      <c r="L103" s="12" t="n">
        <v>46254</v>
      </c>
      <c r="M103" s="14">
        <f>IF(G103="","n.a.",MAX(0,'[Steuerung.xlsx]Steuerung'!$F$12-G103))</f>
        <v/>
      </c>
    </row>
    <row r="104" ht="21" customHeight="1">
      <c r="C104" s="11" t="inlineStr">
        <is>
          <t>VERBINDLICHKEIT</t>
        </is>
      </c>
      <c r="D104" s="11" t="n"/>
      <c r="E104" s="11" t="inlineStr">
        <is>
          <t>7192</t>
        </is>
      </c>
      <c r="F104" s="12" t="n"/>
      <c r="G104" s="12" t="n">
        <v>46241</v>
      </c>
      <c r="H104" s="13" t="n">
        <v>-199.67</v>
      </c>
      <c r="I104" s="11" t="inlineStr">
        <is>
          <t>EUR</t>
        </is>
      </c>
      <c r="J104" s="11" t="n"/>
      <c r="K104" s="11" t="inlineStr">
        <is>
          <t>06/26 Schutzhandsch., Zubeh. Lötwerkzeuge, Lack..</t>
        </is>
      </c>
      <c r="L104" s="12" t="n">
        <v>46254</v>
      </c>
      <c r="M104" s="14">
        <f>IF(G104="","n.a.",MAX(0,'[Steuerung.xlsx]Steuerung'!$F$12-G104))</f>
        <v/>
      </c>
    </row>
    <row r="105" ht="21" customHeight="1">
      <c r="C105" s="11" t="inlineStr">
        <is>
          <t>VERBINDLICHKEIT</t>
        </is>
      </c>
      <c r="D105" s="11" t="n"/>
      <c r="E105" s="11" t="inlineStr">
        <is>
          <t>7795</t>
        </is>
      </c>
      <c r="F105" s="12" t="n"/>
      <c r="G105" s="12" t="n">
        <v>46278</v>
      </c>
      <c r="H105" s="13" t="n">
        <v>-1182.02</v>
      </c>
      <c r="I105" s="11" t="inlineStr">
        <is>
          <t>EUR</t>
        </is>
      </c>
      <c r="J105" s="11" t="n"/>
      <c r="K105" s="11" t="inlineStr">
        <is>
          <t>07/26 div. Werkstattbedarf</t>
        </is>
      </c>
      <c r="L105" s="12" t="n">
        <v>46254</v>
      </c>
      <c r="M105" s="14">
        <f>IF(G105="","n.a.",MAX(0,'[Steuerung.xlsx]Steuerung'!$F$12-G105))</f>
        <v/>
      </c>
    </row>
    <row r="106" ht="21" customHeight="1">
      <c r="C106" s="11" t="inlineStr">
        <is>
          <t>VERBINDLICHKEIT</t>
        </is>
      </c>
      <c r="D106" s="11" t="n"/>
      <c r="E106" s="11" t="inlineStr">
        <is>
          <t>8004</t>
        </is>
      </c>
      <c r="F106" s="12" t="n"/>
      <c r="G106" s="12" t="n">
        <v>46294</v>
      </c>
      <c r="H106" s="13" t="n">
        <v>-86.26000000000001</v>
      </c>
      <c r="I106" s="11" t="inlineStr">
        <is>
          <t>EUR</t>
        </is>
      </c>
      <c r="J106" s="11" t="n"/>
      <c r="K106" s="11" t="inlineStr">
        <is>
          <t>07/26 div. Artikel</t>
        </is>
      </c>
      <c r="L106" s="12" t="n">
        <v>46254</v>
      </c>
      <c r="M106" s="14">
        <f>IF(G106="","n.a.",MAX(0,'[Steuerung.xlsx]Steuerung'!$F$12-G106))</f>
        <v/>
      </c>
    </row>
    <row r="107" ht="21" customHeight="1">
      <c r="C107" s="11" t="inlineStr">
        <is>
          <t>VERBINDLICHKEIT</t>
        </is>
      </c>
      <c r="D107" s="11" t="n"/>
      <c r="E107" s="11" t="inlineStr">
        <is>
          <t>8000</t>
        </is>
      </c>
      <c r="F107" s="12" t="n"/>
      <c r="G107" s="12" t="n">
        <v>46294</v>
      </c>
      <c r="H107" s="13" t="n">
        <v>-65.02</v>
      </c>
      <c r="I107" s="11" t="inlineStr">
        <is>
          <t>EUR</t>
        </is>
      </c>
      <c r="J107" s="11" t="n"/>
      <c r="K107" s="11" t="inlineStr">
        <is>
          <t>07/26 div. Artikel</t>
        </is>
      </c>
      <c r="L107" s="12" t="n">
        <v>46254</v>
      </c>
      <c r="M107" s="14">
        <f>IF(G107="","n.a.",MAX(0,'[Steuerung.xlsx]Steuerung'!$F$12-G107))</f>
        <v/>
      </c>
    </row>
    <row r="108" ht="21" customHeight="1">
      <c r="C108" s="11" t="inlineStr">
        <is>
          <t>VERBINDLICHKEIT</t>
        </is>
      </c>
      <c r="D108" s="11" t="n"/>
      <c r="E108" s="11" t="inlineStr">
        <is>
          <t>8052</t>
        </is>
      </c>
      <c r="F108" s="12" t="n"/>
      <c r="G108" s="12" t="n">
        <v>46297</v>
      </c>
      <c r="H108" s="13" t="n">
        <v>-62.45</v>
      </c>
      <c r="I108" s="11" t="inlineStr">
        <is>
          <t>EUR</t>
        </is>
      </c>
      <c r="J108" s="11" t="n"/>
      <c r="K108" s="11" t="inlineStr">
        <is>
          <t>08/26 Dickschichtlack</t>
        </is>
      </c>
      <c r="L108" s="12" t="n">
        <v>46254</v>
      </c>
      <c r="M108" s="14">
        <f>IF(G108="","n.a.",MAX(0,'[Steuerung.xlsx]Steuerung'!$F$12-G108))</f>
        <v/>
      </c>
    </row>
    <row r="109" ht="21" customHeight="1">
      <c r="C109" s="11" t="inlineStr">
        <is>
          <t>VERBINDLICHKEIT</t>
        </is>
      </c>
      <c r="D109" s="11" t="n"/>
      <c r="E109" s="11" t="inlineStr">
        <is>
          <t>8034</t>
        </is>
      </c>
      <c r="F109" s="12" t="n"/>
      <c r="G109" s="12" t="n">
        <v>46252</v>
      </c>
      <c r="H109" s="13" t="n">
        <v>-78.54000000000001</v>
      </c>
      <c r="I109" s="11" t="inlineStr">
        <is>
          <t>EUR</t>
        </is>
      </c>
      <c r="J109" s="11" t="n"/>
      <c r="K109" s="11" t="inlineStr">
        <is>
          <t>07/26 Nutzung Bäderbetriebe</t>
        </is>
      </c>
      <c r="L109" s="12" t="n">
        <v>46254</v>
      </c>
      <c r="M109" s="14">
        <f>IF(G109="","n.a.",MAX(0,'[Steuerung.xlsx]Steuerung'!$F$12-G109))</f>
        <v/>
      </c>
    </row>
    <row r="110" ht="21" customHeight="1">
      <c r="C110" s="11" t="inlineStr">
        <is>
          <t>VERBINDLICHKEIT</t>
        </is>
      </c>
      <c r="D110" s="11" t="n"/>
      <c r="E110" s="11" t="inlineStr">
        <is>
          <t>8055</t>
        </is>
      </c>
      <c r="F110" s="12" t="n"/>
      <c r="G110" s="12" t="n">
        <v>46299</v>
      </c>
      <c r="H110" s="13" t="n">
        <v>-928.2</v>
      </c>
      <c r="I110" s="11" t="inlineStr">
        <is>
          <t>EUR</t>
        </is>
      </c>
      <c r="J110" s="11" t="n"/>
      <c r="K110" s="11" t="inlineStr">
        <is>
          <t>08/26 Miete Sanitärcontainer, Standardcontainer</t>
        </is>
      </c>
      <c r="L110" s="12" t="n">
        <v>46254</v>
      </c>
      <c r="M110" s="14">
        <f>IF(G110="","n.a.",MAX(0,'[Steuerung.xlsx]Steuerung'!$F$12-G110))</f>
        <v/>
      </c>
    </row>
    <row r="111" ht="21" customHeight="1">
      <c r="C111" s="11" t="inlineStr">
        <is>
          <t>VERBINDLICHKEIT</t>
        </is>
      </c>
      <c r="D111" s="11" t="n"/>
      <c r="E111" s="11" t="inlineStr">
        <is>
          <t>7937</t>
        </is>
      </c>
      <c r="F111" s="12" t="n"/>
      <c r="G111" s="12" t="n">
        <v>46264</v>
      </c>
      <c r="H111" s="13" t="n">
        <v>-950.75</v>
      </c>
      <c r="I111" s="11" t="inlineStr">
        <is>
          <t>EUR</t>
        </is>
      </c>
      <c r="J111" s="11" t="n"/>
      <c r="K111" s="11" t="inlineStr">
        <is>
          <t>07/26 Rep. Radlader 908</t>
        </is>
      </c>
      <c r="L111" s="12" t="n">
        <v>46254</v>
      </c>
      <c r="M111" s="14">
        <f>IF(G111="","n.a.",MAX(0,'[Steuerung.xlsx]Steuerung'!$F$12-G111))</f>
        <v/>
      </c>
    </row>
    <row r="112" ht="21" customHeight="1">
      <c r="C112" s="11" t="inlineStr">
        <is>
          <t>VERBINDLICHKEIT</t>
        </is>
      </c>
      <c r="D112" s="11" t="n"/>
      <c r="E112" s="11" t="inlineStr">
        <is>
          <t>2113</t>
        </is>
      </c>
      <c r="F112" s="12" t="n"/>
      <c r="G112" s="12" t="n">
        <v>46233</v>
      </c>
      <c r="H112" s="13" t="n">
        <v>1360.17</v>
      </c>
      <c r="I112" s="11" t="inlineStr">
        <is>
          <t>EUR</t>
        </is>
      </c>
      <c r="J112" s="11" t="n"/>
      <c r="K112" s="11" t="inlineStr">
        <is>
          <t>Storno zu REK1132418 06/26 PE-Schlauchfolie</t>
        </is>
      </c>
      <c r="L112" s="12" t="n">
        <v>46254</v>
      </c>
      <c r="M112" s="14">
        <f>IF(G112="","n.a.",MAX(0,'[Steuerung.xlsx]Steuerung'!$F$12-G112))</f>
        <v/>
      </c>
    </row>
    <row r="113" ht="21" customHeight="1">
      <c r="C113" s="11" t="inlineStr">
        <is>
          <t>VERBINDLICHKEIT</t>
        </is>
      </c>
      <c r="D113" s="11" t="n"/>
      <c r="E113" s="11" t="inlineStr">
        <is>
          <t>7665</t>
        </is>
      </c>
      <c r="F113" s="12" t="n"/>
      <c r="G113" s="12" t="n">
        <v>46240</v>
      </c>
      <c r="H113" s="13" t="n">
        <v>-1596.33</v>
      </c>
      <c r="I113" s="11" t="inlineStr">
        <is>
          <t>EUR</t>
        </is>
      </c>
      <c r="J113" s="11" t="n"/>
      <c r="K113" s="11" t="inlineStr">
        <is>
          <t>07/26 PE-Schlauchfolie</t>
        </is>
      </c>
      <c r="L113" s="12" t="n">
        <v>46254</v>
      </c>
      <c r="M113" s="14">
        <f>IF(G113="","n.a.",MAX(0,'[Steuerung.xlsx]Steuerung'!$F$12-G113))</f>
        <v/>
      </c>
    </row>
    <row r="114" ht="21" customHeight="1">
      <c r="C114" s="11" t="inlineStr">
        <is>
          <t>VERBINDLICHKEIT</t>
        </is>
      </c>
      <c r="D114" s="11" t="n"/>
      <c r="E114" s="11" t="inlineStr">
        <is>
          <t>8061</t>
        </is>
      </c>
      <c r="F114" s="12" t="n"/>
      <c r="G114" s="12" t="n">
        <v>46269</v>
      </c>
      <c r="H114" s="13" t="n">
        <v>-532.11</v>
      </c>
      <c r="I114" s="11" t="inlineStr">
        <is>
          <t>EUR</t>
        </is>
      </c>
      <c r="J114" s="11" t="n"/>
      <c r="K114" s="11" t="inlineStr">
        <is>
          <t>08/26 PE-Schlauchfolie</t>
        </is>
      </c>
      <c r="L114" s="12" t="n">
        <v>46254</v>
      </c>
      <c r="M114" s="14">
        <f>IF(G114="","n.a.",MAX(0,'[Steuerung.xlsx]Steuerung'!$F$12-G114))</f>
        <v/>
      </c>
    </row>
    <row r="115" ht="21" customHeight="1">
      <c r="C115" s="11" t="inlineStr">
        <is>
          <t>VERBINDLICHKEIT</t>
        </is>
      </c>
      <c r="D115" s="11" t="n"/>
      <c r="E115" s="11" t="inlineStr">
        <is>
          <t>7900</t>
        </is>
      </c>
      <c r="F115" s="12" t="n"/>
      <c r="G115" s="12" t="n">
        <v>46291</v>
      </c>
      <c r="H115" s="13" t="n">
        <v>-17516.8</v>
      </c>
      <c r="I115" s="11" t="inlineStr">
        <is>
          <t>EUR</t>
        </is>
      </c>
      <c r="J115" s="11" t="n"/>
      <c r="K115" s="11" t="inlineStr">
        <is>
          <t>07/26 GK10 Kranzkette, 1- strg. 26x14500</t>
        </is>
      </c>
      <c r="L115" s="12" t="n">
        <v>46254</v>
      </c>
      <c r="M115" s="14">
        <f>IF(G115="","n.a.",MAX(0,'[Steuerung.xlsx]Steuerung'!$F$12-G115))</f>
        <v/>
      </c>
    </row>
    <row r="116" ht="21" customHeight="1">
      <c r="C116" s="11" t="inlineStr">
        <is>
          <t>VERBINDLICHKEIT</t>
        </is>
      </c>
      <c r="D116" s="11" t="n"/>
      <c r="E116" s="11" t="inlineStr">
        <is>
          <t>7957</t>
        </is>
      </c>
      <c r="F116" s="12" t="n"/>
      <c r="G116" s="12" t="n">
        <v>46294</v>
      </c>
      <c r="H116" s="13" t="n">
        <v>-1248.76</v>
      </c>
      <c r="I116" s="11" t="inlineStr">
        <is>
          <t>EUR</t>
        </is>
      </c>
      <c r="J116" s="11" t="n"/>
      <c r="K116" s="11" t="inlineStr">
        <is>
          <t>07/26 Miete 4 Kammer Personalschleuse plus Zubehör</t>
        </is>
      </c>
      <c r="L116" s="12" t="n">
        <v>46254</v>
      </c>
      <c r="M116" s="14">
        <f>IF(G116="","n.a.",MAX(0,'[Steuerung.xlsx]Steuerung'!$F$12-G116))</f>
        <v/>
      </c>
    </row>
    <row r="117" ht="21" customHeight="1">
      <c r="C117" s="11" t="inlineStr">
        <is>
          <t>VERBINDLICHKEIT</t>
        </is>
      </c>
      <c r="D117" s="11" t="n"/>
      <c r="E117" s="11" t="inlineStr">
        <is>
          <t>7956</t>
        </is>
      </c>
      <c r="F117" s="12" t="n"/>
      <c r="G117" s="12" t="n">
        <v>46294</v>
      </c>
      <c r="H117" s="13" t="n">
        <v>-958.64</v>
      </c>
      <c r="I117" s="11" t="inlineStr">
        <is>
          <t>EUR</t>
        </is>
      </c>
      <c r="J117" s="11" t="n"/>
      <c r="K117" s="11" t="inlineStr">
        <is>
          <t>07/26 Miete 4 Kammer Personalschleuse plus Zubehör</t>
        </is>
      </c>
      <c r="L117" s="12" t="n">
        <v>46254</v>
      </c>
      <c r="M117" s="14">
        <f>IF(G117="","n.a.",MAX(0,'[Steuerung.xlsx]Steuerung'!$F$12-G117))</f>
        <v/>
      </c>
    </row>
    <row r="118" ht="21" customHeight="1">
      <c r="C118" s="11" t="inlineStr">
        <is>
          <t>VERBINDLICHKEIT</t>
        </is>
      </c>
      <c r="D118" s="11" t="n"/>
      <c r="E118" s="11" t="inlineStr">
        <is>
          <t>7768</t>
        </is>
      </c>
      <c r="F118" s="12" t="n"/>
      <c r="G118" s="12" t="n">
        <v>46277</v>
      </c>
      <c r="H118" s="13" t="n">
        <v>-916.95</v>
      </c>
      <c r="I118" s="11" t="inlineStr">
        <is>
          <t>EUR</t>
        </is>
      </c>
      <c r="J118" s="11" t="n"/>
      <c r="K118" s="11" t="inlineStr">
        <is>
          <t>07/26 Miete 4 Kammer Personalschleuse plus Zubehör</t>
        </is>
      </c>
      <c r="L118" s="12" t="n">
        <v>46254</v>
      </c>
      <c r="M118" s="14">
        <f>IF(G118="","n.a.",MAX(0,'[Steuerung.xlsx]Steuerung'!$F$12-G118))</f>
        <v/>
      </c>
    </row>
    <row r="119" ht="21" customHeight="1">
      <c r="C119" s="11" t="inlineStr">
        <is>
          <t>VERBINDLICHKEIT</t>
        </is>
      </c>
      <c r="D119" s="11" t="n"/>
      <c r="E119" s="11" t="inlineStr">
        <is>
          <t>7767</t>
        </is>
      </c>
      <c r="F119" s="12" t="n"/>
      <c r="G119" s="12" t="n">
        <v>46277</v>
      </c>
      <c r="H119" s="13" t="n">
        <v>-1194.46</v>
      </c>
      <c r="I119" s="11" t="inlineStr">
        <is>
          <t>EUR</t>
        </is>
      </c>
      <c r="J119" s="11" t="n"/>
      <c r="K119" s="11" t="inlineStr">
        <is>
          <t>07/26 Miete 4 Kammer Personalschleuse plus Zubehör</t>
        </is>
      </c>
      <c r="L119" s="12" t="n">
        <v>46254</v>
      </c>
      <c r="M119" s="14">
        <f>IF(G119="","n.a.",MAX(0,'[Steuerung.xlsx]Steuerung'!$F$12-G119))</f>
        <v/>
      </c>
    </row>
    <row r="120" ht="21" customHeight="1">
      <c r="C120" s="11" t="inlineStr">
        <is>
          <t>VERBINDLICHKEIT</t>
        </is>
      </c>
      <c r="D120" s="11" t="n"/>
      <c r="E120" s="11" t="inlineStr">
        <is>
          <t>7703</t>
        </is>
      </c>
      <c r="F120" s="12" t="n"/>
      <c r="G120" s="12" t="n">
        <v>46250</v>
      </c>
      <c r="H120" s="13" t="n">
        <v>-233.04</v>
      </c>
      <c r="I120" s="11" t="inlineStr">
        <is>
          <t>EUR</t>
        </is>
      </c>
      <c r="J120" s="11" t="n"/>
      <c r="K120" s="11" t="inlineStr">
        <is>
          <t>06-07/26 Miete Bauwagen</t>
        </is>
      </c>
      <c r="L120" s="12" t="n">
        <v>46254</v>
      </c>
      <c r="M120" s="14">
        <f>IF(G120="","n.a.",MAX(0,'[Steuerung.xlsx]Steuerung'!$F$12-G120))</f>
        <v/>
      </c>
    </row>
    <row r="121" ht="21" customHeight="1">
      <c r="C121" s="11" t="inlineStr">
        <is>
          <t>VERBINDLICHKEIT</t>
        </is>
      </c>
      <c r="D121" s="11" t="n"/>
      <c r="E121" s="11" t="inlineStr">
        <is>
          <t>7908</t>
        </is>
      </c>
      <c r="F121" s="12" t="n"/>
      <c r="G121" s="12" t="n">
        <v>46272</v>
      </c>
      <c r="H121" s="13" t="n">
        <v>-1355.95</v>
      </c>
      <c r="I121" s="11" t="inlineStr">
        <is>
          <t>EUR</t>
        </is>
      </c>
      <c r="J121" s="11" t="n"/>
      <c r="K121" s="11" t="inlineStr">
        <is>
          <t>07/26 Miete Minibagger CAT 300.9 plus Zubehör</t>
        </is>
      </c>
      <c r="L121" s="12" t="n">
        <v>46254</v>
      </c>
      <c r="M121" s="14">
        <f>IF(G121="","n.a.",MAX(0,'[Steuerung.xlsx]Steuerung'!$F$12-G121))</f>
        <v/>
      </c>
    </row>
    <row r="122" ht="21" customHeight="1">
      <c r="C122" s="11" t="inlineStr">
        <is>
          <t>VERBINDLICHKEIT</t>
        </is>
      </c>
      <c r="D122" s="11" t="n"/>
      <c r="E122" s="11" t="inlineStr">
        <is>
          <t>7914</t>
        </is>
      </c>
      <c r="F122" s="12" t="n"/>
      <c r="G122" s="12" t="n">
        <v>46271</v>
      </c>
      <c r="H122" s="13" t="n">
        <v>-8.75</v>
      </c>
      <c r="I122" s="11" t="inlineStr">
        <is>
          <t>EUR</t>
        </is>
      </c>
      <c r="J122" s="11" t="n"/>
      <c r="K122" s="11" t="inlineStr">
        <is>
          <t>07/26 Miete Metallbauzaun plus Zubehör</t>
        </is>
      </c>
      <c r="L122" s="12" t="n">
        <v>46254</v>
      </c>
      <c r="M122" s="14">
        <f>IF(G122="","n.a.",MAX(0,'[Steuerung.xlsx]Steuerung'!$F$12-G122))</f>
        <v/>
      </c>
    </row>
    <row r="123" ht="21" customHeight="1">
      <c r="C123" s="11" t="inlineStr">
        <is>
          <t>VERBINDLICHKEIT</t>
        </is>
      </c>
      <c r="D123" s="11" t="n"/>
      <c r="E123" s="11" t="inlineStr">
        <is>
          <t>7925</t>
        </is>
      </c>
      <c r="F123" s="12" t="n"/>
      <c r="G123" s="12" t="n">
        <v>46273</v>
      </c>
      <c r="H123" s="13" t="n">
        <v>-1929.8</v>
      </c>
      <c r="I123" s="11" t="inlineStr">
        <is>
          <t>EUR</t>
        </is>
      </c>
      <c r="J123" s="11" t="n"/>
      <c r="K123" s="11" t="inlineStr">
        <is>
          <t>07/26 Diesel</t>
        </is>
      </c>
      <c r="L123" s="12" t="n">
        <v>46254</v>
      </c>
      <c r="M123" s="14">
        <f>IF(G123="","n.a.",MAX(0,'[Steuerung.xlsx]Steuerung'!$F$12-G123))</f>
        <v/>
      </c>
    </row>
    <row r="124" ht="21" customHeight="1">
      <c r="C124" s="11" t="inlineStr">
        <is>
          <t>VERBINDLICHKEIT</t>
        </is>
      </c>
      <c r="D124" s="11" t="n"/>
      <c r="E124" s="11" t="inlineStr">
        <is>
          <t>7911</t>
        </is>
      </c>
      <c r="F124" s="12" t="n"/>
      <c r="G124" s="12" t="n">
        <v>46271</v>
      </c>
      <c r="H124" s="13" t="n">
        <v>-1116.22</v>
      </c>
      <c r="I124" s="11" t="inlineStr">
        <is>
          <t>EUR</t>
        </is>
      </c>
      <c r="J124" s="11" t="n"/>
      <c r="K124" s="11" t="inlineStr">
        <is>
          <t>07/26 Miete Teiflöffel</t>
        </is>
      </c>
      <c r="L124" s="12" t="n">
        <v>46254</v>
      </c>
      <c r="M124" s="14">
        <f>IF(G124="","n.a.",MAX(0,'[Steuerung.xlsx]Steuerung'!$F$12-G124))</f>
        <v/>
      </c>
    </row>
    <row r="125" ht="21" customHeight="1">
      <c r="C125" s="11" t="inlineStr">
        <is>
          <t>VERBINDLICHKEIT</t>
        </is>
      </c>
      <c r="D125" s="11" t="n"/>
      <c r="E125" s="11" t="inlineStr">
        <is>
          <t>7924</t>
        </is>
      </c>
      <c r="F125" s="12" t="n"/>
      <c r="G125" s="12" t="n">
        <v>46273</v>
      </c>
      <c r="H125" s="13" t="n">
        <v>-583.1</v>
      </c>
      <c r="I125" s="11" t="inlineStr">
        <is>
          <t>EUR</t>
        </is>
      </c>
      <c r="J125" s="11" t="n"/>
      <c r="K125" s="11" t="inlineStr">
        <is>
          <t>07/26 Fäkalienentsorgung Sanierung G22</t>
        </is>
      </c>
      <c r="L125" s="12" t="n">
        <v>46254</v>
      </c>
      <c r="M125" s="14">
        <f>IF(G125="","n.a.",MAX(0,'[Steuerung.xlsx]Steuerung'!$F$12-G125))</f>
        <v/>
      </c>
    </row>
    <row r="126" ht="21" customHeight="1">
      <c r="C126" s="11" t="inlineStr">
        <is>
          <t>VERBINDLICHKEIT</t>
        </is>
      </c>
      <c r="D126" s="11" t="n"/>
      <c r="E126" s="11" t="inlineStr">
        <is>
          <t>7913</t>
        </is>
      </c>
      <c r="F126" s="12" t="n"/>
      <c r="G126" s="12" t="n">
        <v>46271</v>
      </c>
      <c r="H126" s="13" t="n">
        <v>-166.77</v>
      </c>
      <c r="I126" s="11" t="inlineStr">
        <is>
          <t>EUR</t>
        </is>
      </c>
      <c r="J126" s="11" t="n"/>
      <c r="K126" s="11" t="inlineStr">
        <is>
          <t>07/26 Miete Metallbauzaun plus Zubehör</t>
        </is>
      </c>
      <c r="L126" s="12" t="n">
        <v>46254</v>
      </c>
      <c r="M126" s="14">
        <f>IF(G126="","n.a.",MAX(0,'[Steuerung.xlsx]Steuerung'!$F$12-G126))</f>
        <v/>
      </c>
    </row>
    <row r="127" ht="21" customHeight="1">
      <c r="C127" s="11" t="inlineStr">
        <is>
          <t>VERBINDLICHKEIT</t>
        </is>
      </c>
      <c r="D127" s="11" t="n"/>
      <c r="E127" s="11" t="inlineStr">
        <is>
          <t>8026</t>
        </is>
      </c>
      <c r="F127" s="12" t="n"/>
      <c r="G127" s="12" t="n">
        <v>46277</v>
      </c>
      <c r="H127" s="13" t="n">
        <v>-484.81</v>
      </c>
      <c r="I127" s="11" t="inlineStr">
        <is>
          <t>EUR</t>
        </is>
      </c>
      <c r="J127" s="11" t="n"/>
      <c r="K127" s="11" t="inlineStr">
        <is>
          <t>08/26 Miete Doppelcontainer plus Zubehör</t>
        </is>
      </c>
      <c r="L127" s="12" t="n">
        <v>46254</v>
      </c>
      <c r="M127" s="14">
        <f>IF(G127="","n.a.",MAX(0,'[Steuerung.xlsx]Steuerung'!$F$12-G127))</f>
        <v/>
      </c>
    </row>
    <row r="128" ht="21" customHeight="1">
      <c r="C128" s="11" t="inlineStr">
        <is>
          <t>VERBINDLICHKEIT</t>
        </is>
      </c>
      <c r="D128" s="11" t="n"/>
      <c r="E128" s="11" t="inlineStr">
        <is>
          <t>8027</t>
        </is>
      </c>
      <c r="F128" s="12" t="n"/>
      <c r="G128" s="12" t="n">
        <v>46277</v>
      </c>
      <c r="H128" s="13" t="n">
        <v>-2431.05</v>
      </c>
      <c r="I128" s="11" t="inlineStr">
        <is>
          <t>EUR</t>
        </is>
      </c>
      <c r="J128" s="11" t="n"/>
      <c r="K128" s="11" t="inlineStr">
        <is>
          <t>08/26 Miete Raum-Modul plus Zubehör</t>
        </is>
      </c>
      <c r="L128" s="12" t="n">
        <v>46254</v>
      </c>
      <c r="M128" s="14">
        <f>IF(G128="","n.a.",MAX(0,'[Steuerung.xlsx]Steuerung'!$F$12-G128))</f>
        <v/>
      </c>
    </row>
    <row r="129" ht="21" customHeight="1">
      <c r="C129" s="11" t="inlineStr">
        <is>
          <t>VERBINDLICHKEIT</t>
        </is>
      </c>
      <c r="D129" s="11" t="n"/>
      <c r="E129" s="11" t="inlineStr">
        <is>
          <t>8028</t>
        </is>
      </c>
      <c r="F129" s="12" t="n"/>
      <c r="G129" s="12" t="n">
        <v>46277</v>
      </c>
      <c r="H129" s="13" t="n">
        <v>-1433.71</v>
      </c>
      <c r="I129" s="11" t="inlineStr">
        <is>
          <t>EUR</t>
        </is>
      </c>
      <c r="J129" s="11" t="n"/>
      <c r="K129" s="11" t="inlineStr">
        <is>
          <t>08/26 Miete Raum-Modul plus Zubehör</t>
        </is>
      </c>
      <c r="L129" s="12" t="n">
        <v>46254</v>
      </c>
      <c r="M129" s="14">
        <f>IF(G129="","n.a.",MAX(0,'[Steuerung.xlsx]Steuerung'!$F$12-G129))</f>
        <v/>
      </c>
    </row>
    <row r="130" ht="21" customHeight="1">
      <c r="C130" s="11" t="inlineStr">
        <is>
          <t>VERBINDLICHKEIT</t>
        </is>
      </c>
      <c r="D130" s="11" t="n"/>
      <c r="E130" s="11" t="inlineStr">
        <is>
          <t>7986</t>
        </is>
      </c>
      <c r="F130" s="12" t="n"/>
      <c r="G130" s="12" t="n">
        <v>46274</v>
      </c>
      <c r="H130" s="13" t="n">
        <v>-6255.78</v>
      </c>
      <c r="I130" s="11" t="inlineStr">
        <is>
          <t>EUR</t>
        </is>
      </c>
      <c r="J130" s="11" t="n"/>
      <c r="K130" s="11" t="inlineStr">
        <is>
          <t>07/26 Miete Radlader CAT 906 plus Zubehör</t>
        </is>
      </c>
      <c r="L130" s="12" t="n">
        <v>46254</v>
      </c>
      <c r="M130" s="14">
        <f>IF(G130="","n.a.",MAX(0,'[Steuerung.xlsx]Steuerung'!$F$12-G130))</f>
        <v/>
      </c>
    </row>
    <row r="131" ht="21" customHeight="1">
      <c r="C131" s="11" t="inlineStr">
        <is>
          <t>VERBINDLICHKEIT</t>
        </is>
      </c>
      <c r="D131" s="11" t="n"/>
      <c r="E131" s="11" t="inlineStr">
        <is>
          <t>7993</t>
        </is>
      </c>
      <c r="F131" s="12" t="n"/>
      <c r="G131" s="12" t="n">
        <v>46274</v>
      </c>
      <c r="H131" s="13" t="n">
        <v>-1755.19</v>
      </c>
      <c r="I131" s="11" t="inlineStr">
        <is>
          <t>EUR</t>
        </is>
      </c>
      <c r="J131" s="11" t="n"/>
      <c r="K131" s="11" t="inlineStr">
        <is>
          <t>07/26 Miete Walzenzug CAT</t>
        </is>
      </c>
      <c r="L131" s="12" t="n">
        <v>46254</v>
      </c>
      <c r="M131" s="14">
        <f>IF(G131="","n.a.",MAX(0,'[Steuerung.xlsx]Steuerung'!$F$12-G131))</f>
        <v/>
      </c>
    </row>
    <row r="132" ht="21" customHeight="1">
      <c r="C132" s="11" t="inlineStr">
        <is>
          <t>VERBINDLICHKEIT</t>
        </is>
      </c>
      <c r="D132" s="11" t="n"/>
      <c r="E132" s="11" t="inlineStr">
        <is>
          <t>7982</t>
        </is>
      </c>
      <c r="F132" s="12" t="n"/>
      <c r="G132" s="12" t="n">
        <v>46274</v>
      </c>
      <c r="H132" s="13" t="n">
        <v>-1489.76</v>
      </c>
      <c r="I132" s="11" t="inlineStr">
        <is>
          <t>EUR</t>
        </is>
      </c>
      <c r="J132" s="11" t="n"/>
      <c r="K132" s="11" t="inlineStr">
        <is>
          <t>07/26 Miete Minibagger CAT 300.9 plus Zubehör</t>
        </is>
      </c>
      <c r="L132" s="12" t="n">
        <v>46254</v>
      </c>
      <c r="M132" s="14">
        <f>IF(G132="","n.a.",MAX(0,'[Steuerung.xlsx]Steuerung'!$F$12-G132))</f>
        <v/>
      </c>
    </row>
    <row r="133" ht="21" customHeight="1">
      <c r="C133" s="11" t="inlineStr">
        <is>
          <t>VERBINDLICHKEIT</t>
        </is>
      </c>
      <c r="D133" s="11" t="n"/>
      <c r="E133" s="11" t="inlineStr">
        <is>
          <t>7983</t>
        </is>
      </c>
      <c r="F133" s="12" t="n"/>
      <c r="G133" s="12" t="n">
        <v>46274</v>
      </c>
      <c r="H133" s="13" t="n">
        <v>-225.62</v>
      </c>
      <c r="I133" s="11" t="inlineStr">
        <is>
          <t>EUR</t>
        </is>
      </c>
      <c r="J133" s="11" t="n"/>
      <c r="K133" s="11" t="inlineStr">
        <is>
          <t>07/26 Miete Lagercontainer, Metallbauzaun</t>
        </is>
      </c>
      <c r="L133" s="12" t="n">
        <v>46254</v>
      </c>
      <c r="M133" s="14">
        <f>IF(G133="","n.a.",MAX(0,'[Steuerung.xlsx]Steuerung'!$F$12-G133))</f>
        <v/>
      </c>
    </row>
    <row r="134" ht="21" customHeight="1">
      <c r="C134" s="11" t="inlineStr">
        <is>
          <t>VERBINDLICHKEIT</t>
        </is>
      </c>
      <c r="D134" s="11" t="n"/>
      <c r="E134" s="11" t="inlineStr">
        <is>
          <t>7990</t>
        </is>
      </c>
      <c r="F134" s="12" t="n"/>
      <c r="G134" s="12" t="n">
        <v>46274</v>
      </c>
      <c r="H134" s="13" t="n">
        <v>-79.97</v>
      </c>
      <c r="I134" s="11" t="inlineStr">
        <is>
          <t>EUR</t>
        </is>
      </c>
      <c r="J134" s="11" t="n"/>
      <c r="K134" s="11" t="inlineStr">
        <is>
          <t>07/26 Miete Metallbauzaun plus Zubehör</t>
        </is>
      </c>
      <c r="L134" s="12" t="n">
        <v>46254</v>
      </c>
      <c r="M134" s="14">
        <f>IF(G134="","n.a.",MAX(0,'[Steuerung.xlsx]Steuerung'!$F$12-G134))</f>
        <v/>
      </c>
    </row>
    <row r="135" ht="21" customHeight="1">
      <c r="C135" s="11" t="inlineStr">
        <is>
          <t>VERBINDLICHKEIT</t>
        </is>
      </c>
      <c r="D135" s="11" t="n"/>
      <c r="E135" s="11" t="inlineStr">
        <is>
          <t>7992</t>
        </is>
      </c>
      <c r="F135" s="12" t="n"/>
      <c r="G135" s="12" t="n">
        <v>46274</v>
      </c>
      <c r="H135" s="13" t="n">
        <v>-2559.1</v>
      </c>
      <c r="I135" s="11" t="inlineStr">
        <is>
          <t>EUR</t>
        </is>
      </c>
      <c r="J135" s="11" t="n"/>
      <c r="K135" s="11" t="inlineStr">
        <is>
          <t>07/26 Miete Radlader CAT 908M plus Zubehör</t>
        </is>
      </c>
      <c r="L135" s="12" t="n">
        <v>46254</v>
      </c>
      <c r="M135" s="14">
        <f>IF(G135="","n.a.",MAX(0,'[Steuerung.xlsx]Steuerung'!$F$12-G135))</f>
        <v/>
      </c>
    </row>
    <row r="136" ht="21" customHeight="1">
      <c r="C136" s="11" t="inlineStr">
        <is>
          <t>VERBINDLICHKEIT</t>
        </is>
      </c>
      <c r="D136" s="11" t="n"/>
      <c r="E136" s="11" t="inlineStr">
        <is>
          <t>7984</t>
        </is>
      </c>
      <c r="F136" s="12" t="n"/>
      <c r="G136" s="12" t="n">
        <v>46274</v>
      </c>
      <c r="H136" s="13" t="n">
        <v>-1485.64</v>
      </c>
      <c r="I136" s="11" t="inlineStr">
        <is>
          <t>EUR</t>
        </is>
      </c>
      <c r="J136" s="11" t="n"/>
      <c r="K136" s="11" t="inlineStr">
        <is>
          <t>07/26 Miete Kompressor XAS plus Zubehör</t>
        </is>
      </c>
      <c r="L136" s="12" t="n">
        <v>46254</v>
      </c>
      <c r="M136" s="14">
        <f>IF(G136="","n.a.",MAX(0,'[Steuerung.xlsx]Steuerung'!$F$12-G136))</f>
        <v/>
      </c>
    </row>
    <row r="137" ht="21" customHeight="1">
      <c r="C137" s="11" t="inlineStr">
        <is>
          <t>VERBINDLICHKEIT</t>
        </is>
      </c>
      <c r="D137" s="11" t="n"/>
      <c r="E137" s="11" t="inlineStr">
        <is>
          <t>7985</t>
        </is>
      </c>
      <c r="F137" s="12" t="n"/>
      <c r="G137" s="12" t="n">
        <v>46274</v>
      </c>
      <c r="H137" s="13" t="n">
        <v>-582.49</v>
      </c>
      <c r="I137" s="11" t="inlineStr">
        <is>
          <t>EUR</t>
        </is>
      </c>
      <c r="J137" s="11" t="n"/>
      <c r="K137" s="11" t="inlineStr">
        <is>
          <t>07/26 Miete Mobile Tankanlage</t>
        </is>
      </c>
      <c r="L137" s="12" t="n">
        <v>46254</v>
      </c>
      <c r="M137" s="14">
        <f>IF(G137="","n.a.",MAX(0,'[Steuerung.xlsx]Steuerung'!$F$12-G137))</f>
        <v/>
      </c>
    </row>
    <row r="138" ht="21" customHeight="1">
      <c r="C138" s="11" t="inlineStr">
        <is>
          <t>VERBINDLICHKEIT</t>
        </is>
      </c>
      <c r="D138" s="11" t="n"/>
      <c r="E138" s="11" t="inlineStr">
        <is>
          <t>7981</t>
        </is>
      </c>
      <c r="F138" s="12" t="n"/>
      <c r="G138" s="12" t="n">
        <v>46274</v>
      </c>
      <c r="H138" s="13" t="n">
        <v>-1331.49</v>
      </c>
      <c r="I138" s="11" t="inlineStr">
        <is>
          <t>EUR</t>
        </is>
      </c>
      <c r="J138" s="11" t="n"/>
      <c r="K138" s="11" t="inlineStr">
        <is>
          <t>07/26 Miete Minibagger CAT 302.7 plus Zubehör</t>
        </is>
      </c>
      <c r="L138" s="12" t="n">
        <v>46254</v>
      </c>
      <c r="M138" s="14">
        <f>IF(G138="","n.a.",MAX(0,'[Steuerung.xlsx]Steuerung'!$F$12-G138))</f>
        <v/>
      </c>
    </row>
    <row r="139" ht="21" customHeight="1">
      <c r="C139" s="11" t="inlineStr">
        <is>
          <t>VERBINDLICHKEIT</t>
        </is>
      </c>
      <c r="D139" s="11" t="n"/>
      <c r="E139" s="11" t="inlineStr">
        <is>
          <t>7988</t>
        </is>
      </c>
      <c r="F139" s="12" t="n"/>
      <c r="G139" s="12" t="n">
        <v>46274</v>
      </c>
      <c r="H139" s="13" t="n">
        <v>-124.95</v>
      </c>
      <c r="I139" s="11" t="inlineStr">
        <is>
          <t>EUR</t>
        </is>
      </c>
      <c r="J139" s="11" t="n"/>
      <c r="K139" s="11" t="inlineStr">
        <is>
          <t>07/26 Miete Metallbauzaun plus Zubehör</t>
        </is>
      </c>
      <c r="L139" s="12" t="n">
        <v>46254</v>
      </c>
      <c r="M139" s="14">
        <f>IF(G139="","n.a.",MAX(0,'[Steuerung.xlsx]Steuerung'!$F$12-G139))</f>
        <v/>
      </c>
    </row>
    <row r="140" ht="21" customHeight="1">
      <c r="C140" s="11" t="inlineStr">
        <is>
          <t>VERBINDLICHKEIT</t>
        </is>
      </c>
      <c r="D140" s="11" t="n"/>
      <c r="E140" s="11" t="inlineStr">
        <is>
          <t>7989</t>
        </is>
      </c>
      <c r="F140" s="12" t="n"/>
      <c r="G140" s="12" t="n">
        <v>46274</v>
      </c>
      <c r="H140" s="13" t="n">
        <v>-1482.98</v>
      </c>
      <c r="I140" s="11" t="inlineStr">
        <is>
          <t>EUR</t>
        </is>
      </c>
      <c r="J140" s="11" t="n"/>
      <c r="K140" s="11" t="inlineStr">
        <is>
          <t>07/26 Miete Schlaghammer</t>
        </is>
      </c>
      <c r="L140" s="12" t="n">
        <v>46254</v>
      </c>
      <c r="M140" s="14">
        <f>IF(G140="","n.a.",MAX(0,'[Steuerung.xlsx]Steuerung'!$F$12-G140))</f>
        <v/>
      </c>
    </row>
    <row r="141" ht="21" customHeight="1">
      <c r="C141" s="11" t="inlineStr">
        <is>
          <t>VERBINDLICHKEIT</t>
        </is>
      </c>
      <c r="D141" s="11" t="n"/>
      <c r="E141" s="11" t="inlineStr">
        <is>
          <t>7991</t>
        </is>
      </c>
      <c r="F141" s="12" t="n"/>
      <c r="G141" s="12" t="n">
        <v>46274</v>
      </c>
      <c r="H141" s="13" t="n">
        <v>-124.95</v>
      </c>
      <c r="I141" s="11" t="inlineStr">
        <is>
          <t>EUR</t>
        </is>
      </c>
      <c r="J141" s="11" t="n"/>
      <c r="K141" s="11" t="inlineStr">
        <is>
          <t>07/26 Miete Metallbauzaun plus Zubehör</t>
        </is>
      </c>
      <c r="L141" s="12" t="n">
        <v>46254</v>
      </c>
      <c r="M141" s="14">
        <f>IF(G141="","n.a.",MAX(0,'[Steuerung.xlsx]Steuerung'!$F$12-G141))</f>
        <v/>
      </c>
    </row>
    <row r="142" ht="21" customHeight="1">
      <c r="C142" s="11" t="inlineStr">
        <is>
          <t>VERBINDLICHKEIT</t>
        </is>
      </c>
      <c r="D142" s="11" t="n"/>
      <c r="E142" s="11" t="inlineStr">
        <is>
          <t>8030</t>
        </is>
      </c>
      <c r="F142" s="12" t="n"/>
      <c r="G142" s="12" t="n">
        <v>46278</v>
      </c>
      <c r="H142" s="13" t="n">
        <v>-416.63</v>
      </c>
      <c r="I142" s="11" t="inlineStr">
        <is>
          <t>EUR</t>
        </is>
      </c>
      <c r="J142" s="11" t="n"/>
      <c r="K142" s="11" t="inlineStr">
        <is>
          <t>08/26 Rep. Hydraulikhammer SB52</t>
        </is>
      </c>
      <c r="L142" s="12" t="n">
        <v>46254</v>
      </c>
      <c r="M142" s="14">
        <f>IF(G142="","n.a.",MAX(0,'[Steuerung.xlsx]Steuerung'!$F$12-G142))</f>
        <v/>
      </c>
    </row>
    <row r="143" ht="21" customHeight="1">
      <c r="C143" s="11" t="inlineStr">
        <is>
          <t>VERBINDLICHKEIT</t>
        </is>
      </c>
      <c r="D143" s="11" t="n"/>
      <c r="E143" s="11" t="inlineStr">
        <is>
          <t>8031</t>
        </is>
      </c>
      <c r="F143" s="12" t="n"/>
      <c r="G143" s="12" t="n">
        <v>46278</v>
      </c>
      <c r="H143" s="13" t="n">
        <v>-651.54</v>
      </c>
      <c r="I143" s="11" t="inlineStr">
        <is>
          <t>EUR</t>
        </is>
      </c>
      <c r="J143" s="11" t="n"/>
      <c r="K143" s="11" t="inlineStr">
        <is>
          <t>08/26 Rep. Radlader CAT 906M</t>
        </is>
      </c>
      <c r="L143" s="12" t="n">
        <v>46254</v>
      </c>
      <c r="M143" s="14">
        <f>IF(G143="","n.a.",MAX(0,'[Steuerung.xlsx]Steuerung'!$F$12-G143))</f>
        <v/>
      </c>
    </row>
    <row r="144" ht="21" customHeight="1">
      <c r="C144" s="11" t="inlineStr">
        <is>
          <t>VERBINDLICHKEIT</t>
        </is>
      </c>
      <c r="D144" s="11" t="n"/>
      <c r="E144" s="11" t="inlineStr">
        <is>
          <t>8029</t>
        </is>
      </c>
      <c r="F144" s="12" t="n"/>
      <c r="G144" s="12" t="n">
        <v>46277</v>
      </c>
      <c r="H144" s="13" t="n">
        <v>-408.41</v>
      </c>
      <c r="I144" s="11" t="inlineStr">
        <is>
          <t>EUR</t>
        </is>
      </c>
      <c r="J144" s="11" t="n"/>
      <c r="K144" s="11" t="inlineStr">
        <is>
          <t>08/26 Miete Raum-Modul plus Zubehör</t>
        </is>
      </c>
      <c r="L144" s="12" t="n">
        <v>46254</v>
      </c>
      <c r="M144" s="14">
        <f>IF(G144="","n.a.",MAX(0,'[Steuerung.xlsx]Steuerung'!$F$12-G144))</f>
        <v/>
      </c>
    </row>
    <row r="145" ht="21" customHeight="1">
      <c r="C145" s="11" t="inlineStr">
        <is>
          <t>VERBINDLICHKEIT</t>
        </is>
      </c>
      <c r="D145" s="11" t="n"/>
      <c r="E145" s="11" t="inlineStr">
        <is>
          <t>7987</t>
        </is>
      </c>
      <c r="F145" s="12" t="n"/>
      <c r="G145" s="12" t="n">
        <v>46274</v>
      </c>
      <c r="H145" s="13" t="n">
        <v>-1861.16</v>
      </c>
      <c r="I145" s="11" t="inlineStr">
        <is>
          <t>EUR</t>
        </is>
      </c>
      <c r="J145" s="11" t="n"/>
      <c r="K145" s="11" t="inlineStr">
        <is>
          <t>07/26 Miete Radlader CAT 906M plus Zubehör</t>
        </is>
      </c>
      <c r="L145" s="12" t="n">
        <v>46254</v>
      </c>
      <c r="M145" s="14">
        <f>IF(G145="","n.a.",MAX(0,'[Steuerung.xlsx]Steuerung'!$F$12-G145))</f>
        <v/>
      </c>
    </row>
    <row r="146" ht="21" customHeight="1">
      <c r="C146" s="11" t="inlineStr">
        <is>
          <t>VERBINDLICHKEIT</t>
        </is>
      </c>
      <c r="D146" s="11" t="n"/>
      <c r="E146" s="11" t="inlineStr">
        <is>
          <t>8011</t>
        </is>
      </c>
      <c r="F146" s="12" t="n"/>
      <c r="G146" s="12" t="n">
        <v>46252</v>
      </c>
      <c r="H146" s="13" t="n">
        <v>-208.25</v>
      </c>
      <c r="I146" s="11" t="inlineStr">
        <is>
          <t>EUR</t>
        </is>
      </c>
      <c r="J146" s="11" t="n"/>
      <c r="K146" s="11" t="inlineStr">
        <is>
          <t>08/26 Makita Akku Basisset</t>
        </is>
      </c>
      <c r="L146" s="12" t="n">
        <v>46254</v>
      </c>
      <c r="M146" s="14">
        <f>IF(G146="","n.a.",MAX(0,'[Steuerung.xlsx]Steuerung'!$F$12-G146))</f>
        <v/>
      </c>
    </row>
    <row r="147" ht="21" customHeight="1">
      <c r="C147" s="11" t="inlineStr">
        <is>
          <t>VERBINDLICHKEIT</t>
        </is>
      </c>
      <c r="D147" s="11" t="n"/>
      <c r="E147" s="11" t="inlineStr">
        <is>
          <t>8012</t>
        </is>
      </c>
      <c r="F147" s="12" t="n"/>
      <c r="G147" s="12" t="n">
        <v>46252</v>
      </c>
      <c r="H147" s="13" t="n">
        <v>-302.02</v>
      </c>
      <c r="I147" s="11" t="inlineStr">
        <is>
          <t>EUR</t>
        </is>
      </c>
      <c r="J147" s="11" t="n"/>
      <c r="K147" s="11" t="inlineStr">
        <is>
          <t>08/26 Multinorm-Bundhose, - Latzhose, - Bundjacke</t>
        </is>
      </c>
      <c r="L147" s="12" t="n">
        <v>46254</v>
      </c>
      <c r="M147" s="14">
        <f>IF(G147="","n.a.",MAX(0,'[Steuerung.xlsx]Steuerung'!$F$12-G147))</f>
        <v/>
      </c>
    </row>
    <row r="148" ht="21" customHeight="1">
      <c r="C148" s="11" t="inlineStr">
        <is>
          <t>VERBINDLICHKEIT</t>
        </is>
      </c>
      <c r="D148" s="11" t="n"/>
      <c r="E148" s="11" t="inlineStr">
        <is>
          <t>8013</t>
        </is>
      </c>
      <c r="F148" s="12" t="n"/>
      <c r="G148" s="12" t="n">
        <v>46252</v>
      </c>
      <c r="H148" s="13" t="n">
        <v>-827.79</v>
      </c>
      <c r="I148" s="11" t="inlineStr">
        <is>
          <t>EUR</t>
        </is>
      </c>
      <c r="J148" s="11" t="n"/>
      <c r="K148" s="11" t="inlineStr">
        <is>
          <t>08/26 div. Artikel</t>
        </is>
      </c>
      <c r="L148" s="12" t="n">
        <v>46254</v>
      </c>
      <c r="M148" s="14">
        <f>IF(G148="","n.a.",MAX(0,'[Steuerung.xlsx]Steuerung'!$F$12-G148))</f>
        <v/>
      </c>
    </row>
    <row r="149" ht="21" customHeight="1">
      <c r="C149" s="11" t="inlineStr">
        <is>
          <t>VERBINDLICHKEIT</t>
        </is>
      </c>
      <c r="D149" s="11" t="n"/>
      <c r="E149" s="11" t="inlineStr">
        <is>
          <t>8049</t>
        </is>
      </c>
      <c r="F149" s="12" t="n"/>
      <c r="G149" s="12" t="n">
        <v>46247</v>
      </c>
      <c r="H149" s="13" t="n">
        <v>-85.23</v>
      </c>
      <c r="I149" s="11" t="inlineStr">
        <is>
          <t>EUR</t>
        </is>
      </c>
      <c r="J149" s="11" t="n"/>
      <c r="K149" s="11" t="inlineStr">
        <is>
          <t>07/26 Ticket: #2045381 - Speicherplatz USB-LW</t>
        </is>
      </c>
      <c r="L149" s="12" t="n">
        <v>46254</v>
      </c>
      <c r="M149" s="14">
        <f>IF(G149="","n.a.",MAX(0,'[Steuerung.xlsx]Steuerung'!$F$12-G149))</f>
        <v/>
      </c>
    </row>
    <row r="150" ht="21" customHeight="1">
      <c r="C150" s="11" t="inlineStr">
        <is>
          <t>VERBINDLICHKEIT</t>
        </is>
      </c>
      <c r="D150" s="11" t="n"/>
      <c r="E150" s="11" t="inlineStr">
        <is>
          <t>7890</t>
        </is>
      </c>
      <c r="F150" s="12" t="n"/>
      <c r="G150" s="12" t="n">
        <v>46241</v>
      </c>
      <c r="H150" s="13" t="n">
        <v>-10.02</v>
      </c>
      <c r="I150" s="11" t="inlineStr">
        <is>
          <t>EUR</t>
        </is>
      </c>
      <c r="J150" s="11" t="n"/>
      <c r="K150" s="11" t="inlineStr">
        <is>
          <t>06/26 Energielieferung</t>
        </is>
      </c>
      <c r="L150" s="12" t="n">
        <v>46254</v>
      </c>
      <c r="M150" s="14">
        <f>IF(G150="","n.a.",MAX(0,'[Steuerung.xlsx]Steuerung'!$F$12-G150))</f>
        <v/>
      </c>
    </row>
    <row r="151" ht="21" customHeight="1">
      <c r="C151" s="11" t="inlineStr">
        <is>
          <t>VERBINDLICHKEIT</t>
        </is>
      </c>
      <c r="D151" s="11" t="n"/>
      <c r="E151" s="11" t="inlineStr">
        <is>
          <t>7889</t>
        </is>
      </c>
      <c r="F151" s="12" t="n"/>
      <c r="G151" s="12" t="n">
        <v>46241</v>
      </c>
      <c r="H151" s="13" t="n">
        <v>-10.35</v>
      </c>
      <c r="I151" s="11" t="inlineStr">
        <is>
          <t>EUR</t>
        </is>
      </c>
      <c r="J151" s="11" t="n"/>
      <c r="K151" s="11" t="inlineStr">
        <is>
          <t>06/26 Infrastrukturpauschale</t>
        </is>
      </c>
      <c r="L151" s="12" t="n">
        <v>46254</v>
      </c>
      <c r="M151" s="14">
        <f>IF(G151="","n.a.",MAX(0,'[Steuerung.xlsx]Steuerung'!$F$12-G151))</f>
        <v/>
      </c>
    </row>
    <row r="152" ht="21" customHeight="1">
      <c r="C152" s="11" t="inlineStr">
        <is>
          <t>VERBINDLICHKEIT</t>
        </is>
      </c>
      <c r="D152" s="11" t="n"/>
      <c r="E152" s="11" t="inlineStr">
        <is>
          <t>7891</t>
        </is>
      </c>
      <c r="F152" s="12" t="n"/>
      <c r="G152" s="12" t="n">
        <v>46241</v>
      </c>
      <c r="H152" s="13" t="n">
        <v>-20.19</v>
      </c>
      <c r="I152" s="11" t="inlineStr">
        <is>
          <t>EUR</t>
        </is>
      </c>
      <c r="J152" s="11" t="n"/>
      <c r="K152" s="11" t="inlineStr">
        <is>
          <t>Quartal II 2026 Trinkwasser</t>
        </is>
      </c>
      <c r="L152" s="12" t="n">
        <v>46254</v>
      </c>
      <c r="M152" s="14">
        <f>IF(G152="","n.a.",MAX(0,'[Steuerung.xlsx]Steuerung'!$F$12-G152))</f>
        <v/>
      </c>
    </row>
    <row r="153" ht="21" customHeight="1">
      <c r="C153" s="11" t="inlineStr">
        <is>
          <t>VERBINDLICHKEIT</t>
        </is>
      </c>
      <c r="D153" s="11" t="n"/>
      <c r="E153" s="11" t="inlineStr">
        <is>
          <t>7892</t>
        </is>
      </c>
      <c r="F153" s="12" t="n"/>
      <c r="G153" s="12" t="n">
        <v>46241</v>
      </c>
      <c r="H153" s="13" t="n">
        <v>-125.71</v>
      </c>
      <c r="I153" s="11" t="inlineStr">
        <is>
          <t>EUR</t>
        </is>
      </c>
      <c r="J153" s="11" t="n"/>
      <c r="K153" s="11" t="inlineStr">
        <is>
          <t>06/26 Strom</t>
        </is>
      </c>
      <c r="L153" s="12" t="n">
        <v>46254</v>
      </c>
      <c r="M153" s="14">
        <f>IF(G153="","n.a.",MAX(0,'[Steuerung.xlsx]Steuerung'!$F$12-G153))</f>
        <v/>
      </c>
    </row>
    <row r="154" ht="21" customHeight="1">
      <c r="C154" s="11" t="inlineStr">
        <is>
          <t>VERBINDLICHKEIT</t>
        </is>
      </c>
      <c r="D154" s="11" t="n"/>
      <c r="E154" s="11" t="inlineStr">
        <is>
          <t>8042</t>
        </is>
      </c>
      <c r="F154" s="12" t="n"/>
      <c r="G154" s="12" t="n">
        <v>46248</v>
      </c>
      <c r="H154" s="13" t="n">
        <v>-1642.2</v>
      </c>
      <c r="I154" s="11" t="inlineStr">
        <is>
          <t>EUR</t>
        </is>
      </c>
      <c r="J154" s="11" t="n"/>
      <c r="K154" s="11" t="inlineStr">
        <is>
          <t>07/26 Spinde</t>
        </is>
      </c>
      <c r="L154" s="12" t="n">
        <v>46254</v>
      </c>
      <c r="M154" s="14">
        <f>IF(G154="","n.a.",MAX(0,'[Steuerung.xlsx]Steuerung'!$F$12-G154))</f>
        <v/>
      </c>
    </row>
    <row r="155" ht="21" customHeight="1">
      <c r="C155" s="11" t="inlineStr">
        <is>
          <t>VERBINDLICHKEIT</t>
        </is>
      </c>
      <c r="D155" s="11" t="n"/>
      <c r="E155" s="11" t="inlineStr">
        <is>
          <t>8075</t>
        </is>
      </c>
      <c r="F155" s="12" t="n"/>
      <c r="G155" s="12" t="n">
        <v>46255</v>
      </c>
      <c r="H155" s="13" t="n">
        <v>-333.8</v>
      </c>
      <c r="I155" s="11" t="inlineStr">
        <is>
          <t>EUR</t>
        </is>
      </c>
      <c r="J155" s="11" t="n"/>
      <c r="K155" s="11" t="inlineStr">
        <is>
          <t>08/26 Miete</t>
        </is>
      </c>
      <c r="L155" s="12" t="n">
        <v>46254</v>
      </c>
      <c r="M155" s="14">
        <f>IF(G155="","n.a.",MAX(0,'[Steuerung.xlsx]Steuerung'!$F$12-G155))</f>
        <v/>
      </c>
    </row>
    <row r="156" ht="21" customHeight="1">
      <c r="C156" s="11" t="inlineStr">
        <is>
          <t>VERBINDLICHKEIT</t>
        </is>
      </c>
      <c r="D156" s="11" t="n"/>
      <c r="E156" s="11" t="inlineStr">
        <is>
          <t>8024</t>
        </is>
      </c>
      <c r="F156" s="12" t="n"/>
      <c r="G156" s="12" t="n">
        <v>46297</v>
      </c>
      <c r="H156" s="13" t="n">
        <v>-284.41</v>
      </c>
      <c r="I156" s="11" t="inlineStr">
        <is>
          <t>EUR</t>
        </is>
      </c>
      <c r="J156" s="11" t="n"/>
      <c r="K156" s="11" t="inlineStr">
        <is>
          <t>07-08/26 Toilettenkabine KW 29-32</t>
        </is>
      </c>
      <c r="L156" s="12" t="n">
        <v>46254</v>
      </c>
      <c r="M156" s="14">
        <f>IF(G156="","n.a.",MAX(0,'[Steuerung.xlsx]Steuerung'!$F$12-G156))</f>
        <v/>
      </c>
    </row>
    <row r="157" ht="21" customHeight="1">
      <c r="C157" s="11" t="inlineStr">
        <is>
          <t>VERBINDLICHKEIT</t>
        </is>
      </c>
      <c r="D157" s="11" t="n"/>
      <c r="E157" s="11" t="inlineStr">
        <is>
          <t>8064</t>
        </is>
      </c>
      <c r="F157" s="12" t="n"/>
      <c r="G157" s="12" t="n">
        <v>46241</v>
      </c>
      <c r="H157" s="13" t="n">
        <v>-1187.62</v>
      </c>
      <c r="I157" s="11" t="inlineStr">
        <is>
          <t>EUR</t>
        </is>
      </c>
      <c r="J157" s="11" t="n"/>
      <c r="K157" s="11" t="inlineStr">
        <is>
          <t>07-08/26 Leasing &amp; Service CB-TV 108</t>
        </is>
      </c>
      <c r="L157" s="12" t="n">
        <v>46254</v>
      </c>
      <c r="M157" s="14">
        <f>IF(G157="","n.a.",MAX(0,'[Steuerung.xlsx]Steuerung'!$F$12-G157))</f>
        <v/>
      </c>
    </row>
    <row r="158" ht="21" customHeight="1">
      <c r="C158" s="11" t="inlineStr">
        <is>
          <t>VERBINDLICHKEIT</t>
        </is>
      </c>
      <c r="D158" s="11" t="n"/>
      <c r="E158" s="11" t="inlineStr">
        <is>
          <t>7852</t>
        </is>
      </c>
      <c r="F158" s="12" t="n"/>
      <c r="G158" s="12" t="n">
        <v>46254</v>
      </c>
      <c r="H158" s="13" t="n">
        <v>-92.69</v>
      </c>
      <c r="I158" s="11" t="inlineStr">
        <is>
          <t>EUR</t>
        </is>
      </c>
      <c r="J158" s="11" t="n"/>
      <c r="K158" s="11" t="inlineStr">
        <is>
          <t>07/26 Meisselpaste 400g Patrone</t>
        </is>
      </c>
      <c r="L158" s="12" t="n">
        <v>46254</v>
      </c>
      <c r="M158" s="14">
        <f>IF(G158="","n.a.",MAX(0,'[Steuerung.xlsx]Steuerung'!$F$12-G158))</f>
        <v/>
      </c>
    </row>
    <row r="159" ht="21" customHeight="1">
      <c r="C159" s="11" t="inlineStr">
        <is>
          <t>VERBINDLICHKEIT</t>
        </is>
      </c>
      <c r="D159" s="11" t="n"/>
      <c r="E159" s="11" t="inlineStr">
        <is>
          <t>7784</t>
        </is>
      </c>
      <c r="F159" s="12" t="n"/>
      <c r="G159" s="12" t="n">
        <v>46247</v>
      </c>
      <c r="H159" s="13" t="n">
        <v>-202.3</v>
      </c>
      <c r="I159" s="11" t="inlineStr">
        <is>
          <t>EUR</t>
        </is>
      </c>
      <c r="J159" s="11" t="n"/>
      <c r="K159" s="11" t="inlineStr">
        <is>
          <t>07/26 302.7D SN:LJL01582 CAT Minibagger Switch</t>
        </is>
      </c>
      <c r="L159" s="12" t="n">
        <v>46254</v>
      </c>
      <c r="M159" s="14">
        <f>IF(G159="","n.a.",MAX(0,'[Steuerung.xlsx]Steuerung'!$F$12-G159))</f>
        <v/>
      </c>
    </row>
    <row r="160" ht="21" customHeight="1">
      <c r="C160" s="11" t="inlineStr">
        <is>
          <t>VERBINDLICHKEIT</t>
        </is>
      </c>
      <c r="D160" s="11" t="n"/>
      <c r="E160" s="11" t="inlineStr">
        <is>
          <t>7821</t>
        </is>
      </c>
      <c r="F160" s="12" t="n"/>
      <c r="G160" s="12" t="n">
        <v>46250</v>
      </c>
      <c r="H160" s="13" t="n">
        <v>-780.37</v>
      </c>
      <c r="I160" s="11" t="inlineStr">
        <is>
          <t>EUR</t>
        </is>
      </c>
      <c r="J160" s="11" t="n"/>
      <c r="K160" s="11" t="inlineStr">
        <is>
          <t>06/26 Rep. VRG40 20820(200305600)</t>
        </is>
      </c>
      <c r="L160" s="12" t="n">
        <v>46254</v>
      </c>
      <c r="M160" s="14">
        <f>IF(G160="","n.a.",MAX(0,'[Steuerung.xlsx]Steuerung'!$F$12-G160))</f>
        <v/>
      </c>
    </row>
    <row r="161" ht="21" customHeight="1">
      <c r="C161" s="11" t="inlineStr">
        <is>
          <t>VERBINDLICHKEIT</t>
        </is>
      </c>
      <c r="D161" s="11" t="n"/>
      <c r="E161" s="11" t="inlineStr">
        <is>
          <t>7822</t>
        </is>
      </c>
      <c r="F161" s="12" t="n"/>
      <c r="G161" s="12" t="n">
        <v>46250</v>
      </c>
      <c r="H161" s="13" t="n">
        <v>-69.06</v>
      </c>
      <c r="I161" s="11" t="inlineStr">
        <is>
          <t>EUR</t>
        </is>
      </c>
      <c r="J161" s="11" t="n"/>
      <c r="K161" s="11" t="inlineStr">
        <is>
          <t>07/26 Rep. 330-07 CAT Kettenbagger SN:XNB40160</t>
        </is>
      </c>
      <c r="L161" s="12" t="n">
        <v>46254</v>
      </c>
      <c r="M161" s="14">
        <f>IF(G161="","n.a.",MAX(0,'[Steuerung.xlsx]Steuerung'!$F$12-G161))</f>
        <v/>
      </c>
    </row>
    <row r="162" ht="21" customHeight="1">
      <c r="C162" s="11" t="inlineStr">
        <is>
          <t>VERBINDLICHKEIT</t>
        </is>
      </c>
      <c r="D162" s="11" t="n"/>
      <c r="E162" s="11" t="inlineStr">
        <is>
          <t>7869</t>
        </is>
      </c>
      <c r="F162" s="12" t="n"/>
      <c r="G162" s="12" t="n">
        <v>46255</v>
      </c>
      <c r="H162" s="13" t="n">
        <v>-1279.96</v>
      </c>
      <c r="I162" s="11" t="inlineStr">
        <is>
          <t>EUR</t>
        </is>
      </c>
      <c r="J162" s="11" t="n"/>
      <c r="K162" s="11" t="inlineStr">
        <is>
          <t>07/26 Rep. M318-07A CAT Mobilbagger</t>
        </is>
      </c>
      <c r="L162" s="12" t="n">
        <v>46254</v>
      </c>
      <c r="M162" s="14">
        <f>IF(G162="","n.a.",MAX(0,'[Steuerung.xlsx]Steuerung'!$F$12-G162))</f>
        <v/>
      </c>
    </row>
    <row r="163" ht="21" customHeight="1">
      <c r="C163" s="11" t="inlineStr">
        <is>
          <t>VERBINDLICHKEIT</t>
        </is>
      </c>
      <c r="D163" s="11" t="n"/>
      <c r="E163" s="11" t="inlineStr">
        <is>
          <t>7880</t>
        </is>
      </c>
      <c r="F163" s="12" t="n"/>
      <c r="G163" s="12" t="n">
        <v>46255</v>
      </c>
      <c r="H163" s="13" t="n">
        <v>-3696.19</v>
      </c>
      <c r="I163" s="11" t="inlineStr">
        <is>
          <t>EUR</t>
        </is>
      </c>
      <c r="J163" s="11" t="n"/>
      <c r="K163" s="11" t="inlineStr">
        <is>
          <t>07/26 Insp. 330-07 CAT Kettenbagger XNB40160</t>
        </is>
      </c>
      <c r="L163" s="12" t="n">
        <v>46254</v>
      </c>
      <c r="M163" s="14">
        <f>IF(G163="","n.a.",MAX(0,'[Steuerung.xlsx]Steuerung'!$F$12-G163))</f>
        <v/>
      </c>
    </row>
    <row r="164" ht="21" customHeight="1">
      <c r="C164" s="11" t="inlineStr">
        <is>
          <t>VERBINDLICHKEIT</t>
        </is>
      </c>
      <c r="D164" s="11" t="n"/>
      <c r="E164" s="11" t="inlineStr">
        <is>
          <t>7676</t>
        </is>
      </c>
      <c r="F164" s="12" t="n"/>
      <c r="G164" s="12" t="n">
        <v>46239</v>
      </c>
      <c r="H164" s="13" t="n">
        <v>-2671.17</v>
      </c>
      <c r="I164" s="11" t="inlineStr">
        <is>
          <t>EUR</t>
        </is>
      </c>
      <c r="J164" s="11" t="n"/>
      <c r="K164" s="11" t="inlineStr">
        <is>
          <t>07/26 Insp. 330-07 CAT Kettenbagger XNB50156</t>
        </is>
      </c>
      <c r="L164" s="12" t="n">
        <v>46254</v>
      </c>
      <c r="M164" s="14">
        <f>IF(G164="","n.a.",MAX(0,'[Steuerung.xlsx]Steuerung'!$F$12-G164))</f>
        <v/>
      </c>
    </row>
    <row r="165" ht="21" customHeight="1">
      <c r="C165" s="11" t="inlineStr">
        <is>
          <t>VERBINDLICHKEIT</t>
        </is>
      </c>
      <c r="D165" s="11" t="n"/>
      <c r="E165" s="11" t="inlineStr">
        <is>
          <t>7675</t>
        </is>
      </c>
      <c r="F165" s="12" t="n"/>
      <c r="G165" s="12" t="n">
        <v>46239</v>
      </c>
      <c r="H165" s="13" t="n">
        <v>-643.12</v>
      </c>
      <c r="I165" s="11" t="inlineStr">
        <is>
          <t>EUR</t>
        </is>
      </c>
      <c r="J165" s="11" t="n"/>
      <c r="K165" s="11" t="inlineStr">
        <is>
          <t>07/26 Rep. 330-07 CAT Kettenbagger XNB20285</t>
        </is>
      </c>
      <c r="L165" s="12" t="n">
        <v>46254</v>
      </c>
      <c r="M165" s="14">
        <f>IF(G165="","n.a.",MAX(0,'[Steuerung.xlsx]Steuerung'!$F$12-G165))</f>
        <v/>
      </c>
    </row>
    <row r="166" ht="21" customHeight="1">
      <c r="C166" s="11" t="inlineStr">
        <is>
          <t>VERBINDLICHKEIT</t>
        </is>
      </c>
      <c r="D166" s="11" t="n"/>
      <c r="E166" s="11" t="inlineStr">
        <is>
          <t>8079</t>
        </is>
      </c>
      <c r="F166" s="12" t="n"/>
      <c r="G166" s="12" t="n">
        <v>46269</v>
      </c>
      <c r="H166" s="13" t="n">
        <v>-309.67</v>
      </c>
      <c r="I166" s="11" t="inlineStr">
        <is>
          <t>EUR</t>
        </is>
      </c>
      <c r="J166" s="11" t="n"/>
      <c r="K166" s="11" t="inlineStr">
        <is>
          <t>08/26 Rep. 330-07 CAT Kettenbagger XNB50156</t>
        </is>
      </c>
      <c r="L166" s="12" t="n">
        <v>46254</v>
      </c>
      <c r="M166" s="14">
        <f>IF(G166="","n.a.",MAX(0,'[Steuerung.xlsx]Steuerung'!$F$12-G166))</f>
        <v/>
      </c>
    </row>
    <row r="167" ht="21" customHeight="1">
      <c r="C167" s="11" t="inlineStr">
        <is>
          <t>VERBINDLICHKEIT</t>
        </is>
      </c>
      <c r="D167" s="11" t="n"/>
      <c r="E167" s="11" t="inlineStr">
        <is>
          <t>7817</t>
        </is>
      </c>
      <c r="F167" s="12" t="n"/>
      <c r="G167" s="12" t="n">
        <v>46249</v>
      </c>
      <c r="H167" s="13" t="n">
        <v>-1208.97</v>
      </c>
      <c r="I167" s="11" t="inlineStr">
        <is>
          <t>EUR</t>
        </is>
      </c>
      <c r="J167" s="11" t="n"/>
      <c r="K167" s="11" t="inlineStr">
        <is>
          <t>06/26 Überpr./Wartung/Instands. Hardware</t>
        </is>
      </c>
      <c r="L167" s="12" t="n">
        <v>46254</v>
      </c>
      <c r="M167" s="14">
        <f>IF(G167="","n.a.",MAX(0,'[Steuerung.xlsx]Steuerung'!$F$12-G167))</f>
        <v/>
      </c>
    </row>
    <row r="168" ht="21" customHeight="1">
      <c r="C168" s="11" t="inlineStr">
        <is>
          <t>VERBINDLICHKEIT</t>
        </is>
      </c>
      <c r="D168" s="11" t="n"/>
      <c r="E168" s="11" t="inlineStr">
        <is>
          <t>1200627</t>
        </is>
      </c>
      <c r="F168" s="12" t="n"/>
      <c r="G168" s="12" t="n">
        <v>46234</v>
      </c>
      <c r="H168" s="13" t="n">
        <v>-2226</v>
      </c>
      <c r="I168" s="11" t="inlineStr">
        <is>
          <t>EUR</t>
        </is>
      </c>
      <c r="J168" s="11" t="n"/>
      <c r="K168" s="11" t="inlineStr">
        <is>
          <t>*ZE 111008700-VGW0320001-26 Gewerbesteuer/2026</t>
        </is>
      </c>
      <c r="L168" s="12" t="n">
        <v>46254</v>
      </c>
      <c r="M168" s="14">
        <f>IF(G168="","n.a.",MAX(0,'[Steuerung.xlsx]Steuerung'!$F$12-G168))</f>
        <v/>
      </c>
    </row>
    <row r="169" ht="21" customHeight="1">
      <c r="C169" s="11" t="inlineStr">
        <is>
          <t>VERBINDLICHKEIT</t>
        </is>
      </c>
      <c r="D169" s="11" t="n"/>
      <c r="E169" s="11" t="inlineStr">
        <is>
          <t>1200628</t>
        </is>
      </c>
      <c r="F169" s="12" t="n"/>
      <c r="G169" s="12" t="n">
        <v>46234</v>
      </c>
      <c r="H169" s="13" t="n">
        <v>-4469</v>
      </c>
      <c r="I169" s="11" t="inlineStr">
        <is>
          <t>EUR</t>
        </is>
      </c>
      <c r="J169" s="11" t="n"/>
      <c r="K169" s="11" t="inlineStr">
        <is>
          <t>*ZE 111008700-VGW0320001-24 Gewerbesteuer/2024</t>
        </is>
      </c>
      <c r="L169" s="12" t="n">
        <v>46254</v>
      </c>
      <c r="M169" s="14">
        <f>IF(G169="","n.a.",MAX(0,'[Steuerung.xlsx]Steuerung'!$F$12-G169))</f>
        <v/>
      </c>
    </row>
    <row r="170" ht="21" customHeight="1">
      <c r="C170" s="11" t="inlineStr">
        <is>
          <t>VERBINDLICHKEIT</t>
        </is>
      </c>
      <c r="D170" s="11" t="n"/>
      <c r="E170" s="11" t="inlineStr">
        <is>
          <t>2118</t>
        </is>
      </c>
      <c r="F170" s="12" t="n"/>
      <c r="G170" s="12" t="n">
        <v>46230</v>
      </c>
      <c r="H170" s="13" t="n">
        <v>6695</v>
      </c>
      <c r="I170" s="11" t="inlineStr">
        <is>
          <t>EUR</t>
        </is>
      </c>
      <c r="J170" s="11" t="n"/>
      <c r="K170" s="11" t="inlineStr">
        <is>
          <t>*0320001 Erstattung GewSt Boxberg 2024 + 2026</t>
        </is>
      </c>
      <c r="L170" s="12" t="n">
        <v>46254</v>
      </c>
      <c r="M170" s="14">
        <f>IF(G170="","n.a.",MAX(0,'[Steuerung.xlsx]Steuerung'!$F$12-G170))</f>
        <v/>
      </c>
    </row>
    <row r="171" ht="21" customHeight="1">
      <c r="C171" s="11" t="inlineStr">
        <is>
          <t>VERBINDLICHKEIT</t>
        </is>
      </c>
      <c r="D171" s="11" t="n"/>
      <c r="E171" s="11" t="inlineStr">
        <is>
          <t>7995</t>
        </is>
      </c>
      <c r="F171" s="12" t="n"/>
      <c r="G171" s="12" t="n">
        <v>46264</v>
      </c>
      <c r="H171" s="13" t="n">
        <v>-503.61</v>
      </c>
      <c r="I171" s="11" t="inlineStr">
        <is>
          <t>EUR</t>
        </is>
      </c>
      <c r="J171" s="11" t="n"/>
      <c r="K171" s="11" t="inlineStr">
        <is>
          <t>07/26 Miete Trägerklemme</t>
        </is>
      </c>
      <c r="L171" s="12" t="n">
        <v>46254</v>
      </c>
      <c r="M171" s="14">
        <f>IF(G171="","n.a.",MAX(0,'[Steuerung.xlsx]Steuerung'!$F$12-G171))</f>
        <v/>
      </c>
    </row>
    <row r="172" ht="21" customHeight="1">
      <c r="C172" s="11" t="inlineStr">
        <is>
          <t>VERBINDLICHKEIT</t>
        </is>
      </c>
      <c r="D172" s="11" t="n"/>
      <c r="E172" s="11" t="inlineStr">
        <is>
          <t>7828</t>
        </is>
      </c>
      <c r="F172" s="12" t="n"/>
      <c r="G172" s="12" t="n">
        <v>46250</v>
      </c>
      <c r="H172" s="13" t="n">
        <v>-1556.17</v>
      </c>
      <c r="I172" s="11" t="inlineStr">
        <is>
          <t>EUR</t>
        </is>
      </c>
      <c r="J172" s="11" t="n"/>
      <c r="K172" s="11" t="inlineStr">
        <is>
          <t>06-07/26 Mautabrechnung</t>
        </is>
      </c>
      <c r="L172" s="12" t="n">
        <v>46254</v>
      </c>
      <c r="M172" s="14">
        <f>IF(G172="","n.a.",MAX(0,'[Steuerung.xlsx]Steuerung'!$F$12-G172))</f>
        <v/>
      </c>
    </row>
    <row r="173" ht="21" customHeight="1">
      <c r="C173" s="11" t="inlineStr">
        <is>
          <t>VERBINDLICHKEIT</t>
        </is>
      </c>
      <c r="D173" s="11" t="n"/>
      <c r="E173" s="11" t="inlineStr">
        <is>
          <t>7856</t>
        </is>
      </c>
      <c r="F173" s="12" t="n"/>
      <c r="G173" s="12" t="n">
        <v>46239</v>
      </c>
      <c r="H173" s="13" t="n">
        <v>-3528.11</v>
      </c>
      <c r="I173" s="11" t="inlineStr">
        <is>
          <t>EUR</t>
        </is>
      </c>
      <c r="J173" s="11" t="n"/>
      <c r="K173" s="11" t="inlineStr">
        <is>
          <t>06/26 Behälter aufstellen &amp; entleeren</t>
        </is>
      </c>
      <c r="L173" s="12" t="n">
        <v>46254</v>
      </c>
      <c r="M173" s="14">
        <f>IF(G173="","n.a.",MAX(0,'[Steuerung.xlsx]Steuerung'!$F$12-G173))</f>
        <v/>
      </c>
    </row>
    <row r="174" ht="21" customHeight="1">
      <c r="C174" s="11" t="inlineStr">
        <is>
          <t>VERBINDLICHKEIT</t>
        </is>
      </c>
      <c r="D174" s="11" t="n"/>
      <c r="E174" s="11" t="inlineStr">
        <is>
          <t>7872</t>
        </is>
      </c>
      <c r="F174" s="12" t="n"/>
      <c r="G174" s="12" t="n">
        <v>46286</v>
      </c>
      <c r="H174" s="13" t="n">
        <v>-203.67</v>
      </c>
      <c r="I174" s="11" t="inlineStr">
        <is>
          <t>EUR</t>
        </is>
      </c>
      <c r="J174" s="11" t="n"/>
      <c r="K174" s="11" t="inlineStr">
        <is>
          <t>07/26 Big Bag</t>
        </is>
      </c>
      <c r="L174" s="12" t="n">
        <v>46254</v>
      </c>
      <c r="M174" s="14">
        <f>IF(G174="","n.a.",MAX(0,'[Steuerung.xlsx]Steuerung'!$F$12-G174))</f>
        <v/>
      </c>
    </row>
    <row r="175" ht="21" customHeight="1">
      <c r="C175" s="11" t="inlineStr">
        <is>
          <t>VERBINDLICHKEIT</t>
        </is>
      </c>
      <c r="D175" s="11" t="n"/>
      <c r="E175" s="11" t="inlineStr">
        <is>
          <t>7998</t>
        </is>
      </c>
      <c r="F175" s="12" t="n"/>
      <c r="G175" s="12" t="n">
        <v>46248</v>
      </c>
      <c r="H175" s="13" t="n">
        <v>-207.42</v>
      </c>
      <c r="I175" s="11" t="inlineStr">
        <is>
          <t>EUR</t>
        </is>
      </c>
      <c r="J175" s="11" t="n"/>
      <c r="K175" s="11" t="inlineStr">
        <is>
          <t>07/26 UHR Moriz-Seeler-Str. 5 Berlin - Turm 2. OG</t>
        </is>
      </c>
      <c r="L175" s="12" t="n">
        <v>46254</v>
      </c>
      <c r="M175" s="14">
        <f>IF(G175="","n.a.",MAX(0,'[Steuerung.xlsx]Steuerung'!$F$12-G175))</f>
        <v/>
      </c>
    </row>
    <row r="176" ht="21" customHeight="1">
      <c r="C176" s="11" t="inlineStr">
        <is>
          <t>VERBINDLICHKEIT</t>
        </is>
      </c>
      <c r="D176" s="11" t="n"/>
      <c r="E176" s="11" t="inlineStr">
        <is>
          <t>7921</t>
        </is>
      </c>
      <c r="F176" s="12" t="n"/>
      <c r="G176" s="12" t="n">
        <v>46292</v>
      </c>
      <c r="H176" s="13" t="n">
        <v>-318.91</v>
      </c>
      <c r="I176" s="11" t="inlineStr">
        <is>
          <t>EUR</t>
        </is>
      </c>
      <c r="J176" s="11" t="n"/>
      <c r="K176" s="11" t="inlineStr">
        <is>
          <t>06/26 UHR - RB Ost, Gebäude 1L08 Halle VII Boxberg</t>
        </is>
      </c>
      <c r="L176" s="12" t="n">
        <v>46254</v>
      </c>
      <c r="M176" s="14">
        <f>IF(G176="","n.a.",MAX(0,'[Steuerung.xlsx]Steuerung'!$F$12-G176))</f>
        <v/>
      </c>
    </row>
    <row r="177" ht="21" customHeight="1">
      <c r="C177" s="11" t="inlineStr">
        <is>
          <t>VERBINDLICHKEIT</t>
        </is>
      </c>
      <c r="D177" s="11" t="n"/>
      <c r="E177" s="11" t="inlineStr">
        <is>
          <t>7959</t>
        </is>
      </c>
      <c r="F177" s="12" t="n"/>
      <c r="G177" s="12" t="n">
        <v>46234</v>
      </c>
      <c r="H177" s="13" t="n">
        <v>-868.95</v>
      </c>
      <c r="I177" s="11" t="inlineStr">
        <is>
          <t>EUR</t>
        </is>
      </c>
      <c r="J177" s="11" t="n"/>
      <c r="K177" s="11" t="inlineStr">
        <is>
          <t>06-07/26 Mietwagen Hr. Kilinc</t>
        </is>
      </c>
      <c r="L177" s="12" t="n">
        <v>46254</v>
      </c>
      <c r="M177" s="14">
        <f>IF(G177="","n.a.",MAX(0,'[Steuerung.xlsx]Steuerung'!$F$12-G177))</f>
        <v/>
      </c>
    </row>
    <row r="178" ht="21" customHeight="1">
      <c r="C178" s="11" t="inlineStr">
        <is>
          <t>VERBINDLICHKEIT</t>
        </is>
      </c>
      <c r="D178" s="11" t="n"/>
      <c r="E178" s="11" t="inlineStr">
        <is>
          <t>7958</t>
        </is>
      </c>
      <c r="F178" s="12" t="n"/>
      <c r="G178" s="12" t="n">
        <v>46234</v>
      </c>
      <c r="H178" s="13" t="n">
        <v>-839</v>
      </c>
      <c r="I178" s="11" t="inlineStr">
        <is>
          <t>EUR</t>
        </is>
      </c>
      <c r="J178" s="11" t="n"/>
      <c r="K178" s="11" t="inlineStr">
        <is>
          <t>06-07/26 Mietwagen Hr. Lanzar</t>
        </is>
      </c>
      <c r="L178" s="12" t="n">
        <v>46254</v>
      </c>
      <c r="M178" s="14">
        <f>IF(G178="","n.a.",MAX(0,'[Steuerung.xlsx]Steuerung'!$F$12-G178))</f>
        <v/>
      </c>
    </row>
    <row r="179" ht="21" customHeight="1">
      <c r="C179" s="11" t="inlineStr">
        <is>
          <t>VERBINDLICHKEIT</t>
        </is>
      </c>
      <c r="D179" s="11" t="n"/>
      <c r="E179" s="11" t="inlineStr">
        <is>
          <t>7873</t>
        </is>
      </c>
      <c r="F179" s="12" t="n"/>
      <c r="G179" s="12" t="n">
        <v>46286</v>
      </c>
      <c r="H179" s="13" t="n">
        <v>-677.11</v>
      </c>
      <c r="I179" s="11" t="inlineStr">
        <is>
          <t>EUR</t>
        </is>
      </c>
      <c r="J179" s="11" t="n"/>
      <c r="K179" s="11" t="inlineStr">
        <is>
          <t>07/26 LDPE-Baufolie, Einwegmaske</t>
        </is>
      </c>
      <c r="L179" s="12" t="n">
        <v>46254</v>
      </c>
      <c r="M179" s="14">
        <f>IF(G179="","n.a.",MAX(0,'[Steuerung.xlsx]Steuerung'!$F$12-G179))</f>
        <v/>
      </c>
    </row>
    <row r="180" ht="21" customHeight="1">
      <c r="C180" s="11" t="inlineStr">
        <is>
          <t>VERBINDLICHKEIT</t>
        </is>
      </c>
      <c r="D180" s="11" t="n"/>
      <c r="E180" s="11" t="inlineStr">
        <is>
          <t>8070</t>
        </is>
      </c>
      <c r="F180" s="12" t="n"/>
      <c r="G180" s="12" t="n">
        <v>46271</v>
      </c>
      <c r="H180" s="13" t="n">
        <v>-241.58</v>
      </c>
      <c r="I180" s="11" t="inlineStr">
        <is>
          <t>EUR</t>
        </is>
      </c>
      <c r="J180" s="11" t="n"/>
      <c r="K180" s="11" t="inlineStr">
        <is>
          <t>07/26 Annahme Holz</t>
        </is>
      </c>
      <c r="L180" s="12" t="n">
        <v>46254</v>
      </c>
      <c r="M180" s="14">
        <f>IF(G180="","n.a.",MAX(0,'[Steuerung.xlsx]Steuerung'!$F$12-G180))</f>
        <v/>
      </c>
    </row>
    <row r="181" ht="21" customHeight="1">
      <c r="C181" s="11" t="inlineStr">
        <is>
          <t>VERBINDLICHKEIT</t>
        </is>
      </c>
      <c r="D181" s="11" t="n"/>
      <c r="E181" s="11" t="inlineStr">
        <is>
          <t>6000000229</t>
        </is>
      </c>
      <c r="F181" s="12" t="n"/>
      <c r="G181" s="12" t="n">
        <v>46143</v>
      </c>
      <c r="H181" s="13" t="n">
        <v>-3894.16</v>
      </c>
      <c r="I181" s="11" t="inlineStr">
        <is>
          <t>EUR</t>
        </is>
      </c>
      <c r="J181" s="11" t="n"/>
      <c r="K181" s="11" t="inlineStr">
        <is>
          <t>Miete CAT Umschlagbagger MH3024-07</t>
        </is>
      </c>
      <c r="L181" s="12" t="n">
        <v>46254</v>
      </c>
      <c r="M181" s="14">
        <f>IF(G181="","n.a.",MAX(0,'[Steuerung.xlsx]Steuerung'!$F$12-G181))</f>
        <v/>
      </c>
    </row>
    <row r="182" ht="21" customHeight="1">
      <c r="C182" s="11" t="inlineStr">
        <is>
          <t>VERBINDLICHKEIT</t>
        </is>
      </c>
      <c r="D182" s="11" t="n"/>
      <c r="E182" s="11" t="inlineStr">
        <is>
          <t>7974</t>
        </is>
      </c>
      <c r="F182" s="12" t="n"/>
      <c r="G182" s="12" t="n">
        <v>46238</v>
      </c>
      <c r="H182" s="13" t="n">
        <v>-174.93</v>
      </c>
      <c r="I182" s="11" t="inlineStr">
        <is>
          <t>EUR</t>
        </is>
      </c>
      <c r="J182" s="11" t="n"/>
      <c r="K182" s="11" t="inlineStr">
        <is>
          <t>05-06/26 Prüfungsgebühren</t>
        </is>
      </c>
      <c r="L182" s="12" t="n">
        <v>46254</v>
      </c>
      <c r="M182" s="14">
        <f>IF(G182="","n.a.",MAX(0,'[Steuerung.xlsx]Steuerung'!$F$12-G182))</f>
        <v/>
      </c>
    </row>
    <row r="183" ht="21" customHeight="1">
      <c r="C183" s="11" t="inlineStr">
        <is>
          <t>VERBINDLICHKEIT</t>
        </is>
      </c>
      <c r="D183" s="11" t="n"/>
      <c r="E183" s="11" t="inlineStr">
        <is>
          <t>7842</t>
        </is>
      </c>
      <c r="F183" s="12" t="n"/>
      <c r="G183" s="12" t="n">
        <v>46231</v>
      </c>
      <c r="H183" s="13" t="n">
        <v>-49.98</v>
      </c>
      <c r="I183" s="11" t="inlineStr">
        <is>
          <t>EUR</t>
        </is>
      </c>
      <c r="J183" s="11" t="n"/>
      <c r="K183" s="11" t="inlineStr">
        <is>
          <t>06/26 Spinde</t>
        </is>
      </c>
      <c r="L183" s="12" t="n">
        <v>46254</v>
      </c>
      <c r="M183" s="14">
        <f>IF(G183="","n.a.",MAX(0,'[Steuerung.xlsx]Steuerung'!$F$12-G183))</f>
        <v/>
      </c>
    </row>
    <row r="184" ht="21" customHeight="1">
      <c r="C184" s="11" t="inlineStr">
        <is>
          <t>VERBINDLICHKEIT</t>
        </is>
      </c>
      <c r="D184" s="11" t="n"/>
      <c r="E184" s="11" t="inlineStr">
        <is>
          <t>7979</t>
        </is>
      </c>
      <c r="F184" s="12" t="n"/>
      <c r="G184" s="12" t="n">
        <v>46242</v>
      </c>
      <c r="H184" s="13" t="n">
        <v>-2.28</v>
      </c>
      <c r="I184" s="11" t="inlineStr">
        <is>
          <t>EUR</t>
        </is>
      </c>
      <c r="J184" s="11" t="n"/>
      <c r="K184" s="11" t="inlineStr">
        <is>
          <t>08/26 Strom</t>
        </is>
      </c>
      <c r="L184" s="12" t="n">
        <v>46254</v>
      </c>
      <c r="M184" s="14">
        <f>IF(G184="","n.a.",MAX(0,'[Steuerung.xlsx]Steuerung'!$F$12-G184))</f>
        <v/>
      </c>
    </row>
    <row r="185" ht="21" customHeight="1">
      <c r="C185" s="11" t="inlineStr">
        <is>
          <t>VERBINDLICHKEIT</t>
        </is>
      </c>
      <c r="D185" s="11" t="n"/>
      <c r="E185" s="11" t="inlineStr">
        <is>
          <t>2100</t>
        </is>
      </c>
      <c r="F185" s="12" t="n"/>
      <c r="G185" s="12" t="n">
        <v>46198</v>
      </c>
      <c r="H185" s="13" t="n">
        <v>119</v>
      </c>
      <c r="I185" s="11" t="inlineStr">
        <is>
          <t>EUR</t>
        </is>
      </c>
      <c r="J185" s="11" t="n"/>
      <c r="K185" s="11" t="inlineStr">
        <is>
          <t>Storno zu 17149503 06/26 fehlende Torkarten</t>
        </is>
      </c>
      <c r="L185" s="12" t="n">
        <v>46254</v>
      </c>
      <c r="M185" s="14">
        <f>IF(G185="","n.a.",MAX(0,'[Steuerung.xlsx]Steuerung'!$F$12-G185))</f>
        <v/>
      </c>
    </row>
    <row r="186" ht="21" customHeight="1">
      <c r="C186" s="11" t="inlineStr">
        <is>
          <t>VERBINDLICHKEIT</t>
        </is>
      </c>
      <c r="D186" s="11" t="n"/>
      <c r="E186" s="11" t="inlineStr">
        <is>
          <t>8067</t>
        </is>
      </c>
      <c r="F186" s="12" t="n"/>
      <c r="G186" s="12" t="n">
        <v>46242</v>
      </c>
      <c r="H186" s="13" t="n">
        <v>-128.52</v>
      </c>
      <c r="I186" s="11" t="inlineStr">
        <is>
          <t>EUR</t>
        </is>
      </c>
      <c r="J186" s="11" t="n"/>
      <c r="K186" s="11" t="inlineStr">
        <is>
          <t>08/26 Miete / Pacht</t>
        </is>
      </c>
      <c r="L186" s="12" t="n">
        <v>46254</v>
      </c>
      <c r="M186" s="14">
        <f>IF(G186="","n.a.",MAX(0,'[Steuerung.xlsx]Steuerung'!$F$12-G186))</f>
        <v/>
      </c>
    </row>
    <row r="187" ht="21" customHeight="1">
      <c r="C187" s="11" t="inlineStr">
        <is>
          <t>VERBINDLICHKEIT</t>
        </is>
      </c>
      <c r="D187" s="11" t="n"/>
      <c r="E187" s="11" t="inlineStr">
        <is>
          <t>8033</t>
        </is>
      </c>
      <c r="F187" s="12" t="n"/>
      <c r="G187" s="12" t="n">
        <v>46268</v>
      </c>
      <c r="H187" s="13" t="n">
        <v>-629.22</v>
      </c>
      <c r="I187" s="11" t="inlineStr">
        <is>
          <t>EUR</t>
        </is>
      </c>
      <c r="J187" s="11" t="n"/>
      <c r="K187" s="11" t="inlineStr">
        <is>
          <t>07/26 Sauerstoff, Propan, div. Mieten</t>
        </is>
      </c>
      <c r="L187" s="12" t="n">
        <v>46254</v>
      </c>
      <c r="M187" s="14">
        <f>IF(G187="","n.a.",MAX(0,'[Steuerung.xlsx]Steuerung'!$F$12-G187))</f>
        <v/>
      </c>
    </row>
    <row r="188" ht="21" customHeight="1">
      <c r="C188" s="11" t="inlineStr">
        <is>
          <t>VERBINDLICHKEIT</t>
        </is>
      </c>
      <c r="D188" s="11" t="n"/>
      <c r="E188" s="11" t="inlineStr">
        <is>
          <t>8032</t>
        </is>
      </c>
      <c r="F188" s="12" t="n"/>
      <c r="G188" s="12" t="n">
        <v>46268</v>
      </c>
      <c r="H188" s="13" t="n">
        <v>-573.13</v>
      </c>
      <c r="I188" s="11" t="inlineStr">
        <is>
          <t>EUR</t>
        </is>
      </c>
      <c r="J188" s="11" t="n"/>
      <c r="K188" s="11" t="inlineStr">
        <is>
          <t>07/26 div. Mieten</t>
        </is>
      </c>
      <c r="L188" s="12" t="n">
        <v>46254</v>
      </c>
      <c r="M188" s="14">
        <f>IF(G188="","n.a.",MAX(0,'[Steuerung.xlsx]Steuerung'!$F$12-G188))</f>
        <v/>
      </c>
    </row>
    <row r="189" ht="21" customHeight="1">
      <c r="C189" s="11" t="inlineStr">
        <is>
          <t>VERBINDLICHKEIT</t>
        </is>
      </c>
      <c r="D189" s="11" t="n"/>
      <c r="E189" s="11" t="inlineStr">
        <is>
          <t>8037</t>
        </is>
      </c>
      <c r="F189" s="12" t="n"/>
      <c r="G189" s="12" t="n">
        <v>46268</v>
      </c>
      <c r="H189" s="13" t="n">
        <v>-213.34</v>
      </c>
      <c r="I189" s="11" t="inlineStr">
        <is>
          <t>EUR</t>
        </is>
      </c>
      <c r="J189" s="11" t="n"/>
      <c r="K189" s="11" t="inlineStr">
        <is>
          <t>07/26 div. Mieten</t>
        </is>
      </c>
      <c r="L189" s="12" t="n">
        <v>46254</v>
      </c>
      <c r="M189" s="14">
        <f>IF(G189="","n.a.",MAX(0,'[Steuerung.xlsx]Steuerung'!$F$12-G189))</f>
        <v/>
      </c>
    </row>
    <row r="190" ht="21" customHeight="1">
      <c r="C190" s="11" t="inlineStr">
        <is>
          <t>VERBINDLICHKEIT</t>
        </is>
      </c>
      <c r="D190" s="11" t="n"/>
      <c r="E190" s="11" t="inlineStr">
        <is>
          <t>8039</t>
        </is>
      </c>
      <c r="F190" s="12" t="n"/>
      <c r="G190" s="12" t="n">
        <v>46268</v>
      </c>
      <c r="H190" s="13" t="n">
        <v>-110.32</v>
      </c>
      <c r="I190" s="11" t="inlineStr">
        <is>
          <t>EUR</t>
        </is>
      </c>
      <c r="J190" s="11" t="n"/>
      <c r="K190" s="11" t="inlineStr">
        <is>
          <t>07/26 div. Mieten</t>
        </is>
      </c>
      <c r="L190" s="12" t="n">
        <v>46254</v>
      </c>
      <c r="M190" s="14">
        <f>IF(G190="","n.a.",MAX(0,'[Steuerung.xlsx]Steuerung'!$F$12-G190))</f>
        <v/>
      </c>
    </row>
    <row r="191" ht="21" customHeight="1">
      <c r="C191" s="11" t="inlineStr">
        <is>
          <t>VERBINDLICHKEIT</t>
        </is>
      </c>
      <c r="D191" s="11" t="n"/>
      <c r="E191" s="11" t="inlineStr">
        <is>
          <t>8038</t>
        </is>
      </c>
      <c r="F191" s="12" t="n"/>
      <c r="G191" s="12" t="n">
        <v>46268</v>
      </c>
      <c r="H191" s="13" t="n">
        <v>-20.97</v>
      </c>
      <c r="I191" s="11" t="inlineStr">
        <is>
          <t>EUR</t>
        </is>
      </c>
      <c r="J191" s="11" t="n"/>
      <c r="K191" s="11" t="inlineStr">
        <is>
          <t>07/26 div. Mieten</t>
        </is>
      </c>
      <c r="L191" s="12" t="n">
        <v>46254</v>
      </c>
      <c r="M191" s="14">
        <f>IF(G191="","n.a.",MAX(0,'[Steuerung.xlsx]Steuerung'!$F$12-G191))</f>
        <v/>
      </c>
    </row>
    <row r="192" ht="21" customHeight="1">
      <c r="C192" s="11" t="inlineStr">
        <is>
          <t>VERBINDLICHKEIT</t>
        </is>
      </c>
      <c r="D192" s="11" t="n"/>
      <c r="E192" s="11" t="inlineStr">
        <is>
          <t>8036</t>
        </is>
      </c>
      <c r="F192" s="12" t="n"/>
      <c r="G192" s="12" t="n">
        <v>46268</v>
      </c>
      <c r="H192" s="13" t="n">
        <v>-248.97</v>
      </c>
      <c r="I192" s="11" t="inlineStr">
        <is>
          <t>EUR</t>
        </is>
      </c>
      <c r="J192" s="11" t="n"/>
      <c r="K192" s="11" t="inlineStr">
        <is>
          <t>07/26 div. Mieten</t>
        </is>
      </c>
      <c r="L192" s="12" t="n">
        <v>46254</v>
      </c>
      <c r="M192" s="14">
        <f>IF(G192="","n.a.",MAX(0,'[Steuerung.xlsx]Steuerung'!$F$12-G192))</f>
        <v/>
      </c>
    </row>
    <row r="193" ht="21" customHeight="1">
      <c r="C193" s="11" t="inlineStr">
        <is>
          <t>VERBINDLICHKEIT</t>
        </is>
      </c>
      <c r="D193" s="11" t="n"/>
      <c r="E193" s="11" t="inlineStr">
        <is>
          <t>8017</t>
        </is>
      </c>
      <c r="F193" s="12" t="n"/>
      <c r="G193" s="12" t="n">
        <v>46268</v>
      </c>
      <c r="H193" s="13" t="n">
        <v>-890</v>
      </c>
      <c r="I193" s="11" t="inlineStr">
        <is>
          <t>EUR</t>
        </is>
      </c>
      <c r="J193" s="11" t="n"/>
      <c r="K193" s="11" t="inlineStr">
        <is>
          <t>08/26 Ausbilderlehrgang Hr. Kühn</t>
        </is>
      </c>
      <c r="L193" s="12" t="n">
        <v>46254</v>
      </c>
      <c r="M193" s="14">
        <f>IF(G193="","n.a.",MAX(0,'[Steuerung.xlsx]Steuerung'!$F$12-G193))</f>
        <v/>
      </c>
    </row>
    <row r="194" ht="21" customHeight="1">
      <c r="C194" s="11" t="inlineStr">
        <is>
          <t>VERBINDLICHKEIT</t>
        </is>
      </c>
      <c r="D194" s="11" t="n"/>
      <c r="E194" s="11" t="inlineStr">
        <is>
          <t>8069</t>
        </is>
      </c>
      <c r="F194" s="12" t="n"/>
      <c r="G194" s="12" t="n">
        <v>46300</v>
      </c>
      <c r="H194" s="13" t="n">
        <v>-85.68000000000001</v>
      </c>
      <c r="I194" s="11" t="inlineStr">
        <is>
          <t>EUR</t>
        </is>
      </c>
      <c r="J194" s="11" t="n"/>
      <c r="K194" s="11" t="inlineStr">
        <is>
          <t>08/26 Fußmattensatz</t>
        </is>
      </c>
      <c r="L194" s="12" t="n">
        <v>46254</v>
      </c>
      <c r="M194" s="14">
        <f>IF(G194="","n.a.",MAX(0,'[Steuerung.xlsx]Steuerung'!$F$12-G194))</f>
        <v/>
      </c>
    </row>
    <row r="195" ht="21" customHeight="1">
      <c r="C195" s="11" t="inlineStr">
        <is>
          <t>VERBINDLICHKEIT</t>
        </is>
      </c>
      <c r="D195" s="11" t="n"/>
      <c r="E195" s="11" t="inlineStr">
        <is>
          <t>8014</t>
        </is>
      </c>
      <c r="F195" s="12" t="n"/>
      <c r="G195" s="12" t="n">
        <v>46239</v>
      </c>
      <c r="H195" s="13" t="n">
        <v>-15940.24</v>
      </c>
      <c r="I195" s="11" t="inlineStr">
        <is>
          <t>EUR</t>
        </is>
      </c>
      <c r="J195" s="11" t="n"/>
      <c r="K195" s="11" t="inlineStr">
        <is>
          <t>07/26 Gerüst - Currenta Schadstoffsanierung G22</t>
        </is>
      </c>
      <c r="L195" s="12" t="n">
        <v>46254</v>
      </c>
      <c r="M195" s="14">
        <f>IF(G195="","n.a.",MAX(0,'[Steuerung.xlsx]Steuerung'!$F$12-G195))</f>
        <v/>
      </c>
    </row>
    <row r="196" ht="21" customHeight="1">
      <c r="C196" s="11" t="inlineStr">
        <is>
          <t>VERBINDLICHKEIT</t>
        </is>
      </c>
      <c r="D196" s="11" t="n"/>
      <c r="E196" s="11" t="inlineStr">
        <is>
          <t>7976</t>
        </is>
      </c>
      <c r="F196" s="12" t="n"/>
      <c r="G196" s="12" t="n">
        <v>46238</v>
      </c>
      <c r="H196" s="13" t="n">
        <v>-6111.89</v>
      </c>
      <c r="I196" s="11" t="inlineStr">
        <is>
          <t>EUR</t>
        </is>
      </c>
      <c r="J196" s="11" t="n"/>
      <c r="K196" s="11" t="inlineStr">
        <is>
          <t>07/26 Gerüst - Currenta Schadstoffsanierung G22</t>
        </is>
      </c>
      <c r="L196" s="12" t="n">
        <v>46254</v>
      </c>
      <c r="M196" s="14">
        <f>IF(G196="","n.a.",MAX(0,'[Steuerung.xlsx]Steuerung'!$F$12-G196))</f>
        <v/>
      </c>
    </row>
    <row r="197" ht="21" customHeight="1">
      <c r="C197" s="11" t="inlineStr">
        <is>
          <t>VERBINDLICHKEIT</t>
        </is>
      </c>
      <c r="D197" s="11" t="n"/>
      <c r="E197" s="11" t="inlineStr">
        <is>
          <t>7929</t>
        </is>
      </c>
      <c r="F197" s="12" t="n"/>
      <c r="G197" s="12" t="n">
        <v>46233</v>
      </c>
      <c r="H197" s="13" t="n">
        <v>-9372.610000000001</v>
      </c>
      <c r="I197" s="11" t="inlineStr">
        <is>
          <t>EUR</t>
        </is>
      </c>
      <c r="J197" s="11" t="n"/>
      <c r="K197" s="11" t="inlineStr">
        <is>
          <t>03/26 Eisen und Stahl</t>
        </is>
      </c>
      <c r="L197" s="12" t="n">
        <v>46254</v>
      </c>
      <c r="M197" s="14">
        <f>IF(G197="","n.a.",MAX(0,'[Steuerung.xlsx]Steuerung'!$F$12-G197))</f>
        <v/>
      </c>
    </row>
    <row r="198" ht="21" customHeight="1">
      <c r="C198" s="11" t="inlineStr">
        <is>
          <t>VERBINDLICHKEIT</t>
        </is>
      </c>
      <c r="D198" s="11" t="n"/>
      <c r="E198" s="11" t="inlineStr">
        <is>
          <t>2080</t>
        </is>
      </c>
      <c r="F198" s="12" t="n"/>
      <c r="G198" s="12" t="n">
        <v>46160</v>
      </c>
      <c r="H198" s="13" t="n">
        <v>180</v>
      </c>
      <c r="I198" s="11" t="inlineStr">
        <is>
          <t>EUR</t>
        </is>
      </c>
      <c r="J198" s="11" t="n"/>
      <c r="K198" s="11" t="inlineStr">
        <is>
          <t>GewSt + Zinsen 2020, 2021, 2022 Duisburg</t>
        </is>
      </c>
      <c r="L198" s="12" t="n">
        <v>46254</v>
      </c>
      <c r="M198" s="14">
        <f>IF(G198="","n.a.",MAX(0,'[Steuerung.xlsx]Steuerung'!$F$12-G198))</f>
        <v/>
      </c>
    </row>
    <row r="199" ht="21" customHeight="1">
      <c r="C199" s="11" t="inlineStr">
        <is>
          <t>VERBINDLICHKEIT</t>
        </is>
      </c>
      <c r="D199" s="11" t="n"/>
      <c r="E199" s="11" t="inlineStr">
        <is>
          <t>1200663</t>
        </is>
      </c>
      <c r="F199" s="12" t="n"/>
      <c r="G199" s="12" t="n">
        <v>46241</v>
      </c>
      <c r="H199" s="13" t="n">
        <v>-11080</v>
      </c>
      <c r="I199" s="11" t="inlineStr">
        <is>
          <t>EUR</t>
        </is>
      </c>
      <c r="J199" s="11" t="n"/>
      <c r="K199" s="11" t="inlineStr">
        <is>
          <t>*ZE ERSTATT.014/690/53443 GEW.ST 2024</t>
        </is>
      </c>
      <c r="L199" s="12" t="n">
        <v>46254</v>
      </c>
      <c r="M199" s="14">
        <f>IF(G199="","n.a.",MAX(0,'[Steuerung.xlsx]Steuerung'!$F$12-G199))</f>
        <v/>
      </c>
    </row>
    <row r="200" ht="21" customHeight="1">
      <c r="C200" s="11" t="inlineStr">
        <is>
          <t>VERBINDLICHKEIT</t>
        </is>
      </c>
      <c r="D200" s="11" t="n"/>
      <c r="E200" s="11" t="inlineStr">
        <is>
          <t>1200663</t>
        </is>
      </c>
      <c r="F200" s="12" t="n"/>
      <c r="G200" s="12" t="n">
        <v>46241</v>
      </c>
      <c r="H200" s="13" t="n">
        <v>-34</v>
      </c>
      <c r="I200" s="11" t="inlineStr">
        <is>
          <t>EUR</t>
        </is>
      </c>
      <c r="J200" s="11" t="n"/>
      <c r="K200" s="11" t="inlineStr">
        <is>
          <t>*ZE ERSTATT.014/690/53443 GEW.ST 24 ZINSEN</t>
        </is>
      </c>
      <c r="L200" s="12" t="n">
        <v>46254</v>
      </c>
      <c r="M200" s="14">
        <f>IF(G200="","n.a.",MAX(0,'[Steuerung.xlsx]Steuerung'!$F$12-G200))</f>
        <v/>
      </c>
    </row>
    <row r="201" ht="21" customHeight="1">
      <c r="C201" s="11" t="inlineStr">
        <is>
          <t>VERBINDLICHKEIT</t>
        </is>
      </c>
      <c r="D201" s="11" t="n"/>
      <c r="E201" s="11" t="inlineStr">
        <is>
          <t>1200663</t>
        </is>
      </c>
      <c r="F201" s="12" t="n"/>
      <c r="G201" s="12" t="n">
        <v>46241</v>
      </c>
      <c r="H201" s="13" t="n">
        <v>-2701</v>
      </c>
      <c r="I201" s="11" t="inlineStr">
        <is>
          <t>EUR</t>
        </is>
      </c>
      <c r="J201" s="11" t="n"/>
      <c r="K201" s="11" t="inlineStr">
        <is>
          <t>*ZE ERSTATT.014/690/53443 GEW.ST 1VJ.26</t>
        </is>
      </c>
      <c r="L201" s="12" t="n">
        <v>46254</v>
      </c>
      <c r="M201" s="14">
        <f>IF(G201="","n.a.",MAX(0,'[Steuerung.xlsx]Steuerung'!$F$12-G201))</f>
        <v/>
      </c>
    </row>
    <row r="202" ht="21" customHeight="1">
      <c r="C202" s="11" t="inlineStr">
        <is>
          <t>VERBINDLICHKEIT</t>
        </is>
      </c>
      <c r="D202" s="11" t="n"/>
      <c r="E202" s="11" t="inlineStr">
        <is>
          <t>1200663</t>
        </is>
      </c>
      <c r="F202" s="12" t="n"/>
      <c r="G202" s="12" t="n">
        <v>46241</v>
      </c>
      <c r="H202" s="13" t="n">
        <v>-2701</v>
      </c>
      <c r="I202" s="11" t="inlineStr">
        <is>
          <t>EUR</t>
        </is>
      </c>
      <c r="J202" s="11" t="n"/>
      <c r="K202" s="11" t="inlineStr">
        <is>
          <t>*ZE ERSTATT.014/690/53443 GEW.ST 2VJ.26</t>
        </is>
      </c>
      <c r="L202" s="12" t="n">
        <v>46254</v>
      </c>
      <c r="M202" s="14">
        <f>IF(G202="","n.a.",MAX(0,'[Steuerung.xlsx]Steuerung'!$F$12-G202))</f>
        <v/>
      </c>
    </row>
    <row r="203" ht="21" customHeight="1">
      <c r="C203" s="11" t="inlineStr">
        <is>
          <t>VERBINDLICHKEIT</t>
        </is>
      </c>
      <c r="D203" s="11" t="n"/>
      <c r="E203" s="11" t="inlineStr">
        <is>
          <t>7973</t>
        </is>
      </c>
      <c r="F203" s="12" t="n"/>
      <c r="G203" s="12" t="n">
        <v>46238</v>
      </c>
      <c r="H203" s="13" t="n">
        <v>-800.45</v>
      </c>
      <c r="I203" s="11" t="inlineStr">
        <is>
          <t>EUR</t>
        </is>
      </c>
      <c r="J203" s="11" t="n"/>
      <c r="K203" s="11" t="inlineStr">
        <is>
          <t>06/26 Prämienabrechnung</t>
        </is>
      </c>
      <c r="L203" s="12" t="n">
        <v>46254</v>
      </c>
      <c r="M203" s="14">
        <f>IF(G203="","n.a.",MAX(0,'[Steuerung.xlsx]Steuerung'!$F$12-G203))</f>
        <v/>
      </c>
    </row>
    <row r="204" ht="21" customHeight="1">
      <c r="C204" s="11" t="inlineStr">
        <is>
          <t>VERBINDLICHKEIT</t>
        </is>
      </c>
      <c r="D204" s="11" t="n"/>
      <c r="E204" s="11" t="inlineStr">
        <is>
          <t>1200331</t>
        </is>
      </c>
      <c r="F204" s="12" t="n"/>
      <c r="G204" s="12" t="n">
        <v>46148</v>
      </c>
      <c r="H204" s="13" t="n">
        <v>-75</v>
      </c>
      <c r="I204" s="11" t="inlineStr">
        <is>
          <t>EUR</t>
        </is>
      </c>
      <c r="J204" s="11" t="n"/>
      <c r="K204" s="11" t="inlineStr">
        <is>
          <t>*ZE 110049-100-1 GewSt 2021 - nicht erfasst</t>
        </is>
      </c>
      <c r="L204" s="12" t="n">
        <v>46254</v>
      </c>
      <c r="M204" s="14">
        <f>IF(G204="","n.a.",MAX(0,'[Steuerung.xlsx]Steuerung'!$F$12-G204))</f>
        <v/>
      </c>
    </row>
    <row r="205" ht="21" customHeight="1">
      <c r="C205" s="11" t="inlineStr">
        <is>
          <t>VERBINDLICHKEIT</t>
        </is>
      </c>
      <c r="D205" s="11" t="n"/>
      <c r="E205" s="11" t="inlineStr">
        <is>
          <t>2067</t>
        </is>
      </c>
      <c r="F205" s="12" t="n"/>
      <c r="G205" s="12" t="n">
        <v>46146</v>
      </c>
      <c r="H205" s="13" t="n">
        <v>39</v>
      </c>
      <c r="I205" s="11" t="inlineStr">
        <is>
          <t>EUR</t>
        </is>
      </c>
      <c r="J205" s="11" t="n"/>
      <c r="K205" s="11" t="inlineStr">
        <is>
          <t>GewSt 2020-23 Rheinsberg</t>
        </is>
      </c>
      <c r="L205" s="12" t="n">
        <v>46254</v>
      </c>
      <c r="M205" s="14">
        <f>IF(G205="","n.a.",MAX(0,'[Steuerung.xlsx]Steuerung'!$F$12-G205))</f>
        <v/>
      </c>
    </row>
    <row r="206" ht="21" customHeight="1">
      <c r="C206" s="11" t="inlineStr">
        <is>
          <t>VERBINDLICHKEIT</t>
        </is>
      </c>
      <c r="D206" s="11" t="n"/>
      <c r="E206" s="11" t="inlineStr">
        <is>
          <t>2083</t>
        </is>
      </c>
      <c r="F206" s="12" t="n"/>
      <c r="G206" s="12" t="n">
        <v>46195</v>
      </c>
      <c r="H206" s="13" t="n">
        <v>45.1</v>
      </c>
      <c r="I206" s="11" t="inlineStr">
        <is>
          <t>EUR</t>
        </is>
      </c>
      <c r="J206" s="11" t="n"/>
      <c r="K206" s="11" t="inlineStr">
        <is>
          <t>GewSt Dortmund 2020, 2021</t>
        </is>
      </c>
      <c r="L206" s="12" t="n">
        <v>46254</v>
      </c>
      <c r="M206" s="14">
        <f>IF(G206="","n.a.",MAX(0,'[Steuerung.xlsx]Steuerung'!$F$12-G206))</f>
        <v/>
      </c>
    </row>
    <row r="207" ht="21" customHeight="1">
      <c r="C207" s="11" t="inlineStr">
        <is>
          <t>VERBINDLICHKEIT</t>
        </is>
      </c>
      <c r="D207" s="11" t="n"/>
      <c r="E207" s="11" t="inlineStr">
        <is>
          <t>7938</t>
        </is>
      </c>
      <c r="F207" s="12" t="n"/>
      <c r="G207" s="12" t="n">
        <v>46264</v>
      </c>
      <c r="H207" s="13" t="n">
        <v>-471.24</v>
      </c>
      <c r="I207" s="11" t="inlineStr">
        <is>
          <t>EUR</t>
        </is>
      </c>
      <c r="J207" s="11" t="n"/>
      <c r="K207" s="11" t="inlineStr">
        <is>
          <t>07/26 Miete Stahlplatten</t>
        </is>
      </c>
      <c r="L207" s="12" t="n">
        <v>46254</v>
      </c>
      <c r="M207" s="14">
        <f>IF(G207="","n.a.",MAX(0,'[Steuerung.xlsx]Steuerung'!$F$12-G207))</f>
        <v/>
      </c>
    </row>
    <row r="208" ht="21" customHeight="1">
      <c r="C208" s="11" t="inlineStr">
        <is>
          <t>VERBINDLICHKEIT</t>
        </is>
      </c>
      <c r="D208" s="11" t="n"/>
      <c r="E208" s="11" t="inlineStr">
        <is>
          <t>7939</t>
        </is>
      </c>
      <c r="F208" s="12" t="n"/>
      <c r="G208" s="12" t="n">
        <v>46264</v>
      </c>
      <c r="H208" s="13" t="n">
        <v>-2816.73</v>
      </c>
      <c r="I208" s="11" t="inlineStr">
        <is>
          <t>EUR</t>
        </is>
      </c>
      <c r="J208" s="11" t="n"/>
      <c r="K208" s="11" t="inlineStr">
        <is>
          <t>07/26 Miete Stahlplatten</t>
        </is>
      </c>
      <c r="L208" s="12" t="n">
        <v>46254</v>
      </c>
      <c r="M208" s="14">
        <f>IF(G208="","n.a.",MAX(0,'[Steuerung.xlsx]Steuerung'!$F$12-G208))</f>
        <v/>
      </c>
    </row>
    <row r="209" ht="21" customHeight="1">
      <c r="C209" s="11" t="inlineStr">
        <is>
          <t>VERBINDLICHKEIT</t>
        </is>
      </c>
      <c r="D209" s="11" t="n"/>
      <c r="E209" s="11" t="inlineStr">
        <is>
          <t>7722</t>
        </is>
      </c>
      <c r="F209" s="12" t="n"/>
      <c r="G209" s="12" t="n">
        <v>46242</v>
      </c>
      <c r="H209" s="13" t="n">
        <v>-3913.43</v>
      </c>
      <c r="I209" s="11" t="inlineStr">
        <is>
          <t>EUR</t>
        </is>
      </c>
      <c r="J209" s="11" t="n"/>
      <c r="K209" s="11" t="inlineStr">
        <is>
          <t>07-08/26 Miete Stahlplatten</t>
        </is>
      </c>
      <c r="L209" s="12" t="n">
        <v>46254</v>
      </c>
      <c r="M209" s="14">
        <f>IF(G209="","n.a.",MAX(0,'[Steuerung.xlsx]Steuerung'!$F$12-G209))</f>
        <v/>
      </c>
    </row>
    <row r="210" ht="21" customHeight="1">
      <c r="C210" s="11" t="inlineStr">
        <is>
          <t>VERBINDLICHKEIT</t>
        </is>
      </c>
      <c r="D210" s="11" t="n"/>
      <c r="E210" s="11" t="inlineStr">
        <is>
          <t>7804</t>
        </is>
      </c>
      <c r="F210" s="12" t="n"/>
      <c r="G210" s="12" t="n">
        <v>46243</v>
      </c>
      <c r="H210" s="13" t="n">
        <v>-16.99</v>
      </c>
      <c r="I210" s="11" t="inlineStr">
        <is>
          <t>EUR</t>
        </is>
      </c>
      <c r="J210" s="11" t="n"/>
      <c r="K210" s="11" t="inlineStr">
        <is>
          <t>07/26 iPhone-Hülle</t>
        </is>
      </c>
      <c r="L210" s="12" t="n">
        <v>46254</v>
      </c>
      <c r="M210" s="14">
        <f>IF(G210="","n.a.",MAX(0,'[Steuerung.xlsx]Steuerung'!$F$12-G210))</f>
        <v/>
      </c>
    </row>
    <row r="211" ht="21" customHeight="1">
      <c r="C211" s="11" t="inlineStr">
        <is>
          <t>VERBINDLICHKEIT</t>
        </is>
      </c>
      <c r="D211" s="11" t="n"/>
      <c r="E211" s="11" t="inlineStr">
        <is>
          <t>7803</t>
        </is>
      </c>
      <c r="F211" s="12" t="n"/>
      <c r="G211" s="12" t="n">
        <v>46248</v>
      </c>
      <c r="H211" s="13" t="n">
        <v>-14.3</v>
      </c>
      <c r="I211" s="11" t="inlineStr">
        <is>
          <t>EUR</t>
        </is>
      </c>
      <c r="J211" s="11" t="n"/>
      <c r="K211" s="11" t="inlineStr">
        <is>
          <t>07/26 Laminiertaschen</t>
        </is>
      </c>
      <c r="L211" s="12" t="n">
        <v>46254</v>
      </c>
      <c r="M211" s="14">
        <f>IF(G211="","n.a.",MAX(0,'[Steuerung.xlsx]Steuerung'!$F$12-G211))</f>
        <v/>
      </c>
    </row>
    <row r="212" ht="21" customHeight="1">
      <c r="C212" s="11" t="inlineStr">
        <is>
          <t>VERBINDLICHKEIT</t>
        </is>
      </c>
      <c r="D212" s="11" t="n"/>
      <c r="E212" s="11" t="inlineStr">
        <is>
          <t>7751</t>
        </is>
      </c>
      <c r="F212" s="12" t="n"/>
      <c r="G212" s="12" t="n">
        <v>46245</v>
      </c>
      <c r="H212" s="13" t="n">
        <v>-63.47</v>
      </c>
      <c r="I212" s="11" t="inlineStr">
        <is>
          <t>EUR</t>
        </is>
      </c>
      <c r="J212" s="11" t="n"/>
      <c r="K212" s="11" t="inlineStr">
        <is>
          <t>07/26 Logitech kabellose Maus, Gelstifte</t>
        </is>
      </c>
      <c r="L212" s="12" t="n">
        <v>46254</v>
      </c>
      <c r="M212" s="14">
        <f>IF(G212="","n.a.",MAX(0,'[Steuerung.xlsx]Steuerung'!$F$12-G212))</f>
        <v/>
      </c>
    </row>
    <row r="213" ht="21" customHeight="1">
      <c r="C213" s="11" t="inlineStr">
        <is>
          <t>VERBINDLICHKEIT</t>
        </is>
      </c>
      <c r="D213" s="11" t="n"/>
      <c r="E213" s="11" t="inlineStr">
        <is>
          <t>7750</t>
        </is>
      </c>
      <c r="F213" s="12" t="n"/>
      <c r="G213" s="12" t="n">
        <v>46243</v>
      </c>
      <c r="H213" s="13" t="n">
        <v>-43.9</v>
      </c>
      <c r="I213" s="11" t="inlineStr">
        <is>
          <t>EUR</t>
        </is>
      </c>
      <c r="J213" s="11" t="n"/>
      <c r="K213" s="11" t="inlineStr">
        <is>
          <t>07/26 Kopierpapier</t>
        </is>
      </c>
      <c r="L213" s="12" t="n">
        <v>46254</v>
      </c>
      <c r="M213" s="14">
        <f>IF(G213="","n.a.",MAX(0,'[Steuerung.xlsx]Steuerung'!$F$12-G213))</f>
        <v/>
      </c>
    </row>
    <row r="214" ht="21" customHeight="1">
      <c r="C214" s="11" t="inlineStr">
        <is>
          <t>VERBINDLICHKEIT</t>
        </is>
      </c>
      <c r="D214" s="11" t="n"/>
      <c r="E214" s="11" t="inlineStr">
        <is>
          <t>7843</t>
        </is>
      </c>
      <c r="F214" s="12" t="n"/>
      <c r="G214" s="12" t="n">
        <v>46243</v>
      </c>
      <c r="H214" s="13" t="n">
        <v>-94.48999999999999</v>
      </c>
      <c r="I214" s="11" t="inlineStr">
        <is>
          <t>EUR</t>
        </is>
      </c>
      <c r="J214" s="11" t="n"/>
      <c r="K214" s="11" t="inlineStr">
        <is>
          <t>07/26 Endlospapier</t>
        </is>
      </c>
      <c r="L214" s="12" t="n">
        <v>46254</v>
      </c>
      <c r="M214" s="14">
        <f>IF(G214="","n.a.",MAX(0,'[Steuerung.xlsx]Steuerung'!$F$12-G214))</f>
        <v/>
      </c>
    </row>
    <row r="215" ht="21" customHeight="1">
      <c r="C215" s="11" t="inlineStr">
        <is>
          <t>VERBINDLICHKEIT</t>
        </is>
      </c>
      <c r="D215" s="11" t="n"/>
      <c r="E215" s="11" t="inlineStr">
        <is>
          <t>7744</t>
        </is>
      </c>
      <c r="F215" s="12" t="n"/>
      <c r="G215" s="12" t="n">
        <v>46246</v>
      </c>
      <c r="H215" s="13" t="n">
        <v>-730</v>
      </c>
      <c r="I215" s="11" t="inlineStr">
        <is>
          <t>EUR</t>
        </is>
      </c>
      <c r="J215" s="11" t="n"/>
      <c r="K215" s="11" t="inlineStr">
        <is>
          <t>06-07/26 DFA Höhenarbeiten</t>
        </is>
      </c>
      <c r="L215" s="12" t="n">
        <v>46254</v>
      </c>
      <c r="M215" s="14">
        <f>IF(G215="","n.a.",MAX(0,'[Steuerung.xlsx]Steuerung'!$F$12-G215))</f>
        <v/>
      </c>
    </row>
    <row r="216" ht="21" customHeight="1">
      <c r="C216" s="11" t="inlineStr">
        <is>
          <t>VERBINDLICHKEIT</t>
        </is>
      </c>
      <c r="D216" s="11" t="n"/>
      <c r="E216" s="11" t="inlineStr">
        <is>
          <t>7885</t>
        </is>
      </c>
      <c r="F216" s="12" t="n"/>
      <c r="G216" s="12" t="n">
        <v>46256</v>
      </c>
      <c r="H216" s="13" t="n">
        <v>-840</v>
      </c>
      <c r="I216" s="11" t="inlineStr">
        <is>
          <t>EUR</t>
        </is>
      </c>
      <c r="J216" s="11" t="n"/>
      <c r="K216" s="11" t="inlineStr">
        <is>
          <t>07/26 DFA Höhenarbeiten</t>
        </is>
      </c>
      <c r="L216" s="12" t="n">
        <v>46254</v>
      </c>
      <c r="M216" s="14">
        <f>IF(G216="","n.a.",MAX(0,'[Steuerung.xlsx]Steuerung'!$F$12-G216))</f>
        <v/>
      </c>
    </row>
    <row r="217" ht="21" customHeight="1">
      <c r="C217" s="11" t="inlineStr">
        <is>
          <t>VERBINDLICHKEIT</t>
        </is>
      </c>
      <c r="D217" s="11" t="n"/>
      <c r="E217" s="11" t="inlineStr">
        <is>
          <t>7909</t>
        </is>
      </c>
      <c r="F217" s="12" t="n"/>
      <c r="G217" s="12" t="n">
        <v>46261</v>
      </c>
      <c r="H217" s="13" t="n">
        <v>-14350</v>
      </c>
      <c r="I217" s="11" t="inlineStr">
        <is>
          <t>EUR</t>
        </is>
      </c>
      <c r="J217" s="11" t="n"/>
      <c r="K217" s="11" t="inlineStr">
        <is>
          <t>07/26 Demontagearbeiten G22 Leverkusen</t>
        </is>
      </c>
      <c r="L217" s="12" t="n">
        <v>46254</v>
      </c>
      <c r="M217" s="14">
        <f>IF(G217="","n.a.",MAX(0,'[Steuerung.xlsx]Steuerung'!$F$12-G217))</f>
        <v/>
      </c>
    </row>
    <row r="218" ht="21" customHeight="1">
      <c r="C218" s="11" t="inlineStr">
        <is>
          <t>VERBINDLICHKEIT</t>
        </is>
      </c>
      <c r="D218" s="11" t="n"/>
      <c r="E218" s="11" t="inlineStr">
        <is>
          <t>8015</t>
        </is>
      </c>
      <c r="F218" s="12" t="n"/>
      <c r="G218" s="12" t="n">
        <v>46268</v>
      </c>
      <c r="H218" s="13" t="n">
        <v>-1850</v>
      </c>
      <c r="I218" s="11" t="inlineStr">
        <is>
          <t>EUR</t>
        </is>
      </c>
      <c r="J218" s="11" t="n"/>
      <c r="K218" s="11" t="inlineStr">
        <is>
          <t>07-08/26 DFA Höhenarbeiten</t>
        </is>
      </c>
      <c r="L218" s="12" t="n">
        <v>46254</v>
      </c>
      <c r="M218" s="14">
        <f>IF(G218="","n.a.",MAX(0,'[Steuerung.xlsx]Steuerung'!$F$12-G218))</f>
        <v/>
      </c>
    </row>
    <row r="219" ht="21" customHeight="1">
      <c r="C219" s="11" t="inlineStr">
        <is>
          <t>VERBINDLICHKEIT</t>
        </is>
      </c>
      <c r="D219" s="11" t="n"/>
      <c r="E219" s="11" t="inlineStr">
        <is>
          <t>7963</t>
        </is>
      </c>
      <c r="F219" s="12" t="n"/>
      <c r="G219" s="12" t="n">
        <v>46235</v>
      </c>
      <c r="H219" s="13" t="n">
        <v>-3495.43</v>
      </c>
      <c r="I219" s="11" t="inlineStr">
        <is>
          <t>EUR</t>
        </is>
      </c>
      <c r="J219" s="11" t="n"/>
      <c r="K219" s="11" t="inlineStr">
        <is>
          <t>07/26 Vergütung Factoringleistung</t>
        </is>
      </c>
      <c r="L219" s="12" t="n">
        <v>46254</v>
      </c>
      <c r="M219" s="14">
        <f>IF(G219="","n.a.",MAX(0,'[Steuerung.xlsx]Steuerung'!$F$12-G219))</f>
        <v/>
      </c>
    </row>
    <row r="220" ht="21" customHeight="1">
      <c r="C220" s="11" t="inlineStr">
        <is>
          <t>VERBINDLICHKEIT</t>
        </is>
      </c>
      <c r="D220" s="11" t="n"/>
      <c r="E220" s="11" t="inlineStr">
        <is>
          <t>7969</t>
        </is>
      </c>
      <c r="F220" s="12" t="n"/>
      <c r="G220" s="12" t="n">
        <v>46236</v>
      </c>
      <c r="H220" s="13" t="n">
        <v>-1806.47</v>
      </c>
      <c r="I220" s="11" t="inlineStr">
        <is>
          <t>EUR</t>
        </is>
      </c>
      <c r="J220" s="11" t="n"/>
      <c r="K220" s="11" t="inlineStr">
        <is>
          <t>08/26 Service &amp; Finanzrate div. Fahrzeuge</t>
        </is>
      </c>
      <c r="L220" s="12" t="n">
        <v>46254</v>
      </c>
      <c r="M220" s="14">
        <f>IF(G220="","n.a.",MAX(0,'[Steuerung.xlsx]Steuerung'!$F$12-G220))</f>
        <v/>
      </c>
    </row>
    <row r="221" ht="21" customHeight="1">
      <c r="C221" s="11" t="inlineStr">
        <is>
          <t>VERBINDLICHKEIT</t>
        </is>
      </c>
      <c r="D221" s="11" t="n"/>
      <c r="E221" s="11" t="inlineStr">
        <is>
          <t>7966</t>
        </is>
      </c>
      <c r="F221" s="12" t="n"/>
      <c r="G221" s="12" t="n">
        <v>46255</v>
      </c>
      <c r="H221" s="13" t="n">
        <v>-1237.6</v>
      </c>
      <c r="I221" s="11" t="inlineStr">
        <is>
          <t>EUR</t>
        </is>
      </c>
      <c r="J221" s="11" t="n"/>
      <c r="K221" s="11" t="inlineStr">
        <is>
          <t>07/26 Miete Fahrbahnbleche</t>
        </is>
      </c>
      <c r="L221" s="12" t="n">
        <v>46254</v>
      </c>
      <c r="M221" s="14">
        <f>IF(G221="","n.a.",MAX(0,'[Steuerung.xlsx]Steuerung'!$F$12-G221))</f>
        <v/>
      </c>
    </row>
    <row r="222" ht="21" customHeight="1">
      <c r="C222" s="11" t="inlineStr">
        <is>
          <t>VERBINDLICHKEIT</t>
        </is>
      </c>
      <c r="D222" s="11" t="n"/>
      <c r="E222" s="11" t="inlineStr">
        <is>
          <t>7912</t>
        </is>
      </c>
      <c r="F222" s="12" t="n"/>
      <c r="G222" s="12" t="n">
        <v>46253</v>
      </c>
      <c r="H222" s="13" t="n">
        <v>-2618</v>
      </c>
      <c r="I222" s="11" t="inlineStr">
        <is>
          <t>EUR</t>
        </is>
      </c>
      <c r="J222" s="11" t="n"/>
      <c r="K222" s="11" t="inlineStr">
        <is>
          <t>06-07/26 Miete Fahrbahnbleche</t>
        </is>
      </c>
      <c r="L222" s="12" t="n">
        <v>46254</v>
      </c>
      <c r="M222" s="14">
        <f>IF(G222="","n.a.",MAX(0,'[Steuerung.xlsx]Steuerung'!$F$12-G222))</f>
        <v/>
      </c>
    </row>
    <row r="223" ht="21" customHeight="1">
      <c r="C223" s="11" t="inlineStr">
        <is>
          <t>VERBINDLICHKEIT</t>
        </is>
      </c>
      <c r="D223" s="11" t="n"/>
      <c r="E223" s="11" t="inlineStr">
        <is>
          <t>7874</t>
        </is>
      </c>
      <c r="F223" s="12" t="n"/>
      <c r="G223" s="12" t="n">
        <v>46240</v>
      </c>
      <c r="H223" s="13" t="n">
        <v>-95.13</v>
      </c>
      <c r="I223" s="11" t="inlineStr">
        <is>
          <t>EUR</t>
        </is>
      </c>
      <c r="J223" s="11" t="n"/>
      <c r="K223" s="11" t="inlineStr">
        <is>
          <t>07/26 Miete Systemcontainer plus Zubehör</t>
        </is>
      </c>
      <c r="L223" s="12" t="n">
        <v>46254</v>
      </c>
      <c r="M223" s="14">
        <f>IF(G223="","n.a.",MAX(0,'[Steuerung.xlsx]Steuerung'!$F$12-G223))</f>
        <v/>
      </c>
    </row>
    <row r="224" ht="21" customHeight="1">
      <c r="C224" s="11" t="inlineStr">
        <is>
          <t>VERBINDLICHKEIT</t>
        </is>
      </c>
      <c r="D224" s="11" t="n"/>
      <c r="E224" s="11" t="inlineStr">
        <is>
          <t>7868</t>
        </is>
      </c>
      <c r="F224" s="12" t="n"/>
      <c r="G224" s="12" t="n">
        <v>46239</v>
      </c>
      <c r="H224" s="13" t="n">
        <v>-727.71</v>
      </c>
      <c r="I224" s="11" t="inlineStr">
        <is>
          <t>EUR</t>
        </is>
      </c>
      <c r="J224" s="11" t="n"/>
      <c r="K224" s="11" t="inlineStr">
        <is>
          <t>07/26 Miete Teleskopstapler</t>
        </is>
      </c>
      <c r="L224" s="12" t="n">
        <v>46254</v>
      </c>
      <c r="M224" s="14">
        <f>IF(G224="","n.a.",MAX(0,'[Steuerung.xlsx]Steuerung'!$F$12-G224))</f>
        <v/>
      </c>
    </row>
    <row r="225" ht="21" customHeight="1">
      <c r="C225" s="11" t="inlineStr">
        <is>
          <t>VERBINDLICHKEIT</t>
        </is>
      </c>
      <c r="D225" s="11" t="n"/>
      <c r="E225" s="11" t="inlineStr">
        <is>
          <t>8009</t>
        </is>
      </c>
      <c r="F225" s="12" t="n"/>
      <c r="G225" s="12" t="n">
        <v>46251</v>
      </c>
      <c r="H225" s="13" t="n">
        <v>-342.24</v>
      </c>
      <c r="I225" s="11" t="inlineStr">
        <is>
          <t>EUR</t>
        </is>
      </c>
      <c r="J225" s="11" t="n"/>
      <c r="K225" s="11" t="inlineStr">
        <is>
          <t>07-08/26 Miete Systemcontainer plus Zubehör</t>
        </is>
      </c>
      <c r="L225" s="12" t="n">
        <v>46254</v>
      </c>
      <c r="M225" s="14">
        <f>IF(G225="","n.a.",MAX(0,'[Steuerung.xlsx]Steuerung'!$F$12-G225))</f>
        <v/>
      </c>
    </row>
    <row r="226" ht="21" customHeight="1">
      <c r="C226" s="11" t="inlineStr">
        <is>
          <t>VERBINDLICHKEIT</t>
        </is>
      </c>
      <c r="D226" s="11" t="n"/>
      <c r="E226" s="11" t="inlineStr">
        <is>
          <t>7907</t>
        </is>
      </c>
      <c r="F226" s="12" t="n"/>
      <c r="G226" s="12" t="n">
        <v>46245</v>
      </c>
      <c r="H226" s="13" t="n">
        <v>-753.51</v>
      </c>
      <c r="I226" s="11" t="inlineStr">
        <is>
          <t>EUR</t>
        </is>
      </c>
      <c r="J226" s="11" t="n"/>
      <c r="K226" s="11" t="inlineStr">
        <is>
          <t>02-03/26 Kraftstoff Service Diesel+Reinig.+Maut+TP</t>
        </is>
      </c>
      <c r="L226" s="12" t="n">
        <v>46254</v>
      </c>
      <c r="M226" s="14">
        <f>IF(G226="","n.a.",MAX(0,'[Steuerung.xlsx]Steuerung'!$F$12-G226))</f>
        <v/>
      </c>
    </row>
    <row r="227" ht="21" customHeight="1">
      <c r="C227" s="11" t="inlineStr">
        <is>
          <t>VERBINDLICHKEIT</t>
        </is>
      </c>
      <c r="D227" s="11" t="n"/>
      <c r="E227" s="11" t="inlineStr">
        <is>
          <t>8048</t>
        </is>
      </c>
      <c r="F227" s="12" t="n"/>
      <c r="G227" s="12" t="n">
        <v>46253</v>
      </c>
      <c r="H227" s="13" t="n">
        <v>-762.88</v>
      </c>
      <c r="I227" s="11" t="inlineStr">
        <is>
          <t>EUR</t>
        </is>
      </c>
      <c r="J227" s="11" t="n"/>
      <c r="K227" s="11" t="inlineStr">
        <is>
          <t>07/26 Schaden an Teleskopstapler</t>
        </is>
      </c>
      <c r="L227" s="12" t="n">
        <v>46254</v>
      </c>
      <c r="M227" s="14">
        <f>IF(G227="","n.a.",MAX(0,'[Steuerung.xlsx]Steuerung'!$F$12-G227))</f>
        <v/>
      </c>
    </row>
    <row r="228" ht="21" customHeight="1">
      <c r="C228" s="11" t="inlineStr">
        <is>
          <t>VERBINDLICHKEIT</t>
        </is>
      </c>
      <c r="D228" s="11" t="n"/>
      <c r="E228" s="11" t="inlineStr">
        <is>
          <t>8065</t>
        </is>
      </c>
      <c r="F228" s="12" t="n"/>
      <c r="G228" s="12" t="n">
        <v>46254</v>
      </c>
      <c r="H228" s="13" t="n">
        <v>-95.13</v>
      </c>
      <c r="I228" s="11" t="inlineStr">
        <is>
          <t>EUR</t>
        </is>
      </c>
      <c r="J228" s="11" t="n"/>
      <c r="K228" s="11" t="inlineStr">
        <is>
          <t>07-08/26 Miete Systemcontainer plus Zubehör</t>
        </is>
      </c>
      <c r="L228" s="12" t="n">
        <v>46254</v>
      </c>
      <c r="M228" s="14">
        <f>IF(G228="","n.a.",MAX(0,'[Steuerung.xlsx]Steuerung'!$F$12-G228))</f>
        <v/>
      </c>
    </row>
    <row r="229" ht="21" customHeight="1">
      <c r="C229" s="11" t="inlineStr">
        <is>
          <t>VERBINDLICHKEIT</t>
        </is>
      </c>
      <c r="D229" s="11" t="n"/>
      <c r="E229" s="11" t="inlineStr">
        <is>
          <t>8066</t>
        </is>
      </c>
      <c r="F229" s="12" t="n"/>
      <c r="G229" s="12" t="n">
        <v>46255</v>
      </c>
      <c r="H229" s="13" t="n">
        <v>-1317.4</v>
      </c>
      <c r="I229" s="11" t="inlineStr">
        <is>
          <t>EUR</t>
        </is>
      </c>
      <c r="J229" s="11" t="n"/>
      <c r="K229" s="11" t="inlineStr">
        <is>
          <t>07/26 Miete Teleskopstapler</t>
        </is>
      </c>
      <c r="L229" s="12" t="n">
        <v>46254</v>
      </c>
      <c r="M229" s="14">
        <f>IF(G229="","n.a.",MAX(0,'[Steuerung.xlsx]Steuerung'!$F$12-G229))</f>
        <v/>
      </c>
    </row>
    <row r="230" ht="21" customHeight="1">
      <c r="C230" s="11" t="inlineStr">
        <is>
          <t>VERBINDLICHKEIT</t>
        </is>
      </c>
      <c r="D230" s="11" t="n"/>
      <c r="E230" s="11" t="inlineStr">
        <is>
          <t>2087</t>
        </is>
      </c>
      <c r="F230" s="12" t="n"/>
      <c r="G230" s="12" t="n">
        <v>46174</v>
      </c>
      <c r="H230" s="13" t="n">
        <v>201</v>
      </c>
      <c r="I230" s="11" t="inlineStr">
        <is>
          <t>EUR</t>
        </is>
      </c>
      <c r="J230" s="11" t="n"/>
      <c r="K230" s="11" t="inlineStr">
        <is>
          <t>GewSt Ludwigshafen 2020 + 2021 + 2022</t>
        </is>
      </c>
      <c r="L230" s="12" t="n">
        <v>46254</v>
      </c>
      <c r="M230" s="14">
        <f>IF(G230="","n.a.",MAX(0,'[Steuerung.xlsx]Steuerung'!$F$12-G230))</f>
        <v/>
      </c>
    </row>
    <row r="231" ht="21" customHeight="1">
      <c r="C231" s="11" t="inlineStr">
        <is>
          <t>VERBINDLICHKEIT</t>
        </is>
      </c>
      <c r="D231" s="11" t="n"/>
      <c r="E231" s="11" t="inlineStr">
        <is>
          <t>1200413</t>
        </is>
      </c>
      <c r="F231" s="12" t="n"/>
      <c r="G231" s="12" t="n">
        <v>46174</v>
      </c>
      <c r="H231" s="13" t="n">
        <v>-345</v>
      </c>
      <c r="I231" s="11" t="inlineStr">
        <is>
          <t>EUR</t>
        </is>
      </c>
      <c r="J231" s="11" t="n"/>
      <c r="K231" s="11" t="inlineStr">
        <is>
          <t>*ZE GewSt 2021_5-0101-347182-1_STADTKASSE LUDWIGS.</t>
        </is>
      </c>
      <c r="L231" s="12" t="n">
        <v>46254</v>
      </c>
      <c r="M231" s="14">
        <f>IF(G231="","n.a.",MAX(0,'[Steuerung.xlsx]Steuerung'!$F$12-G231))</f>
        <v/>
      </c>
    </row>
    <row r="232" ht="21" customHeight="1">
      <c r="C232" s="11" t="inlineStr">
        <is>
          <t>VERBINDLICHKEIT</t>
        </is>
      </c>
      <c r="D232" s="11" t="n"/>
      <c r="E232" s="11" t="inlineStr">
        <is>
          <t>1200416</t>
        </is>
      </c>
      <c r="F232" s="12" t="n"/>
      <c r="G232" s="12" t="n">
        <v>46174</v>
      </c>
      <c r="H232" s="13" t="n">
        <v>-57</v>
      </c>
      <c r="I232" s="11" t="inlineStr">
        <is>
          <t>EUR</t>
        </is>
      </c>
      <c r="J232" s="11" t="n"/>
      <c r="K232" s="11" t="inlineStr">
        <is>
          <t>*ZE GewSt 2022_5-0101-347182-1_STADTKASSE LUDWIGS.</t>
        </is>
      </c>
      <c r="L232" s="12" t="n">
        <v>46254</v>
      </c>
      <c r="M232" s="14">
        <f>IF(G232="","n.a.",MAX(0,'[Steuerung.xlsx]Steuerung'!$F$12-G232))</f>
        <v/>
      </c>
    </row>
    <row r="233" ht="21" customHeight="1">
      <c r="C233" s="11" t="inlineStr">
        <is>
          <t>VERBINDLICHKEIT</t>
        </is>
      </c>
      <c r="D233" s="11" t="n"/>
      <c r="E233" s="11" t="inlineStr">
        <is>
          <t>2090</t>
        </is>
      </c>
      <c r="F233" s="12" t="n"/>
      <c r="G233" s="12" t="n">
        <v>46177</v>
      </c>
      <c r="H233" s="13" t="n">
        <v>2</v>
      </c>
      <c r="I233" s="11" t="inlineStr">
        <is>
          <t>EUR</t>
        </is>
      </c>
      <c r="J233" s="11" t="n"/>
      <c r="K233" s="11" t="inlineStr">
        <is>
          <t>Zinsen GewSt Ludwigshafen 2020+2021</t>
        </is>
      </c>
      <c r="L233" s="12" t="n">
        <v>46254</v>
      </c>
      <c r="M233" s="14">
        <f>IF(G233="","n.a.",MAX(0,'[Steuerung.xlsx]Steuerung'!$F$12-G233))</f>
        <v/>
      </c>
    </row>
    <row r="234" ht="21" customHeight="1">
      <c r="C234" s="11" t="inlineStr">
        <is>
          <t>VERBINDLICHKEIT</t>
        </is>
      </c>
      <c r="D234" s="11" t="n"/>
      <c r="E234" s="11" t="inlineStr">
        <is>
          <t>1200445</t>
        </is>
      </c>
      <c r="F234" s="12" t="n"/>
      <c r="G234" s="12" t="n">
        <v>46181</v>
      </c>
      <c r="H234" s="13" t="n">
        <v>-15</v>
      </c>
      <c r="I234" s="11" t="inlineStr">
        <is>
          <t>EUR</t>
        </is>
      </c>
      <c r="J234" s="11" t="n"/>
      <c r="K234" s="11" t="inlineStr">
        <is>
          <t>*ZE Erstattungszins 2021_5-0101-347182-1</t>
        </is>
      </c>
      <c r="L234" s="12" t="n">
        <v>46254</v>
      </c>
      <c r="M234" s="14">
        <f>IF(G234="","n.a.",MAX(0,'[Steuerung.xlsx]Steuerung'!$F$12-G234))</f>
        <v/>
      </c>
    </row>
    <row r="235" ht="21" customHeight="1">
      <c r="C235" s="11" t="inlineStr">
        <is>
          <t>VERBINDLICHKEIT</t>
        </is>
      </c>
      <c r="D235" s="11" t="n"/>
      <c r="E235" s="11" t="inlineStr">
        <is>
          <t>7940</t>
        </is>
      </c>
      <c r="F235" s="12" t="n"/>
      <c r="G235" s="12" t="n">
        <v>46241</v>
      </c>
      <c r="H235" s="13" t="n">
        <v>-570.38</v>
      </c>
      <c r="I235" s="11" t="inlineStr">
        <is>
          <t>EUR</t>
        </is>
      </c>
      <c r="J235" s="11" t="n"/>
      <c r="K235" s="11" t="inlineStr">
        <is>
          <t>07/26 UHR Dissencher Str. 50, Cottbus - Büro</t>
        </is>
      </c>
      <c r="L235" s="12" t="n">
        <v>46254</v>
      </c>
      <c r="M235" s="14">
        <f>IF(G235="","n.a.",MAX(0,'[Steuerung.xlsx]Steuerung'!$F$12-G235))</f>
        <v/>
      </c>
    </row>
    <row r="236" ht="21" customHeight="1">
      <c r="C236" s="11" t="inlineStr">
        <is>
          <t>VERBINDLICHKEIT</t>
        </is>
      </c>
      <c r="D236" s="11" t="n"/>
      <c r="E236" s="11" t="inlineStr">
        <is>
          <t>7931</t>
        </is>
      </c>
      <c r="F236" s="12" t="n"/>
      <c r="G236" s="12" t="n">
        <v>46239</v>
      </c>
      <c r="H236" s="13" t="n">
        <v>-1246.17</v>
      </c>
      <c r="I236" s="11" t="inlineStr">
        <is>
          <t>EUR</t>
        </is>
      </c>
      <c r="J236" s="11" t="n"/>
      <c r="K236" s="11" t="inlineStr">
        <is>
          <t>06-07/26 Mietwagen Hr. de Bruyn</t>
        </is>
      </c>
      <c r="L236" s="12" t="n">
        <v>46254</v>
      </c>
      <c r="M236" s="14">
        <f>IF(G236="","n.a.",MAX(0,'[Steuerung.xlsx]Steuerung'!$F$12-G236))</f>
        <v/>
      </c>
    </row>
    <row r="237" ht="21" customHeight="1">
      <c r="C237" s="11" t="inlineStr">
        <is>
          <t>VERBINDLICHKEIT</t>
        </is>
      </c>
      <c r="D237" s="11" t="n"/>
      <c r="E237" s="11" t="inlineStr">
        <is>
          <t>4716000028</t>
        </is>
      </c>
      <c r="F237" s="12" t="n"/>
      <c r="G237" s="12" t="n">
        <v>45890</v>
      </c>
      <c r="H237" s="13" t="n">
        <v>300</v>
      </c>
      <c r="I237" s="11" t="inlineStr">
        <is>
          <t>EUR</t>
        </is>
      </c>
      <c r="J237" s="11" t="n"/>
      <c r="K237" s="11" t="inlineStr">
        <is>
          <t>Vorschuss BST Kasse BV 608263 – F 60 Jänschwalde</t>
        </is>
      </c>
      <c r="L237" s="12" t="n">
        <v>46254</v>
      </c>
      <c r="M237" s="14">
        <f>IF(G237="","n.a.",MAX(0,'[Steuerung.xlsx]Steuerung'!$F$12-G237))</f>
        <v/>
      </c>
    </row>
    <row r="238" ht="21" customHeight="1">
      <c r="C238" s="11" t="inlineStr">
        <is>
          <t>VERBINDLICHKEIT</t>
        </is>
      </c>
      <c r="D238" s="11" t="n"/>
      <c r="E238" s="11" t="inlineStr">
        <is>
          <t>1200585</t>
        </is>
      </c>
      <c r="F238" s="12" t="n"/>
      <c r="G238" s="12" t="n">
        <v>46219</v>
      </c>
      <c r="H238" s="13" t="n">
        <v>-37256</v>
      </c>
      <c r="I238" s="11" t="inlineStr">
        <is>
          <t>EUR</t>
        </is>
      </c>
      <c r="J238" s="11" t="n"/>
      <c r="K238" s="11" t="inlineStr">
        <is>
          <t>*ZE TVF/SWM Erstattung GK 2171/2024roni</t>
        </is>
      </c>
      <c r="L238" s="12" t="n">
        <v>46254</v>
      </c>
      <c r="M238" s="14">
        <f>IF(G238="","n.a.",MAX(0,'[Steuerung.xlsx]Steuerung'!$F$12-G238))</f>
        <v/>
      </c>
    </row>
    <row r="239" ht="21" customHeight="1">
      <c r="C239" s="11" t="inlineStr">
        <is>
          <t>VERBINDLICHKEIT</t>
        </is>
      </c>
      <c r="D239" s="11" t="n"/>
      <c r="E239" s="11" t="inlineStr">
        <is>
          <t>2116</t>
        </is>
      </c>
      <c r="F239" s="12" t="n"/>
      <c r="G239" s="12" t="n">
        <v>46198</v>
      </c>
      <c r="H239" s="13" t="n">
        <v>37256</v>
      </c>
      <c r="I239" s="11" t="inlineStr">
        <is>
          <t>EUR</t>
        </is>
      </c>
      <c r="J239" s="11" t="n"/>
      <c r="K239" s="11" t="inlineStr">
        <is>
          <t>07/26 Erstattung TVF ./. SWM GK 2171/2024roni</t>
        </is>
      </c>
      <c r="L239" s="12" t="n">
        <v>46254</v>
      </c>
      <c r="M239" s="14">
        <f>IF(G239="","n.a.",MAX(0,'[Steuerung.xlsx]Steuerung'!$F$12-G239))</f>
        <v/>
      </c>
    </row>
    <row r="240" ht="21" customHeight="1">
      <c r="C240" s="11" t="inlineStr">
        <is>
          <t>VERBINDLICHKEIT</t>
        </is>
      </c>
      <c r="D240" s="11" t="n"/>
      <c r="E240" s="11" t="inlineStr">
        <is>
          <t>8023</t>
        </is>
      </c>
      <c r="F240" s="12" t="n"/>
      <c r="G240" s="12" t="n">
        <v>46268</v>
      </c>
      <c r="H240" s="13" t="n">
        <v>-13250</v>
      </c>
      <c r="I240" s="11" t="inlineStr">
        <is>
          <t>EUR</t>
        </is>
      </c>
      <c r="J240" s="11" t="n"/>
      <c r="K240" s="11" t="inlineStr">
        <is>
          <t>07/26 Verschrottung Koksgasleitung</t>
        </is>
      </c>
      <c r="L240" s="12" t="n">
        <v>46254</v>
      </c>
      <c r="M240" s="14">
        <f>IF(G240="","n.a.",MAX(0,'[Steuerung.xlsx]Steuerung'!$F$12-G240))</f>
        <v/>
      </c>
    </row>
    <row r="241" ht="21" customHeight="1">
      <c r="C241" s="11" t="inlineStr">
        <is>
          <t>VERBINDLICHKEIT</t>
        </is>
      </c>
      <c r="D241" s="11" t="n"/>
      <c r="E241" s="11" t="inlineStr">
        <is>
          <t>7834</t>
        </is>
      </c>
      <c r="F241" s="12" t="n"/>
      <c r="G241" s="12" t="n">
        <v>46253</v>
      </c>
      <c r="H241" s="13" t="n">
        <v>-6750</v>
      </c>
      <c r="I241" s="11" t="inlineStr">
        <is>
          <t>EUR</t>
        </is>
      </c>
      <c r="J241" s="11" t="n"/>
      <c r="K241" s="11" t="inlineStr">
        <is>
          <t>06/26 Wbw 4 Hallenrückbau nach Brandschaden</t>
        </is>
      </c>
      <c r="L241" s="12" t="n">
        <v>46254</v>
      </c>
      <c r="M241" s="14">
        <f>IF(G241="","n.a.",MAX(0,'[Steuerung.xlsx]Steuerung'!$F$12-G241))</f>
        <v/>
      </c>
    </row>
    <row r="242" ht="21" customHeight="1">
      <c r="C242" s="11" t="inlineStr">
        <is>
          <t>VERBINDLICHKEIT</t>
        </is>
      </c>
      <c r="D242" s="11" t="n"/>
      <c r="E242" s="11" t="inlineStr">
        <is>
          <t>7910</t>
        </is>
      </c>
      <c r="F242" s="12" t="n"/>
      <c r="G242" s="12" t="n">
        <v>46256</v>
      </c>
      <c r="H242" s="13" t="n">
        <v>-890.08</v>
      </c>
      <c r="I242" s="11" t="inlineStr">
        <is>
          <t>EUR</t>
        </is>
      </c>
      <c r="J242" s="11" t="n"/>
      <c r="K242" s="11" t="inlineStr">
        <is>
          <t>07/26 div. Transportleistungen</t>
        </is>
      </c>
      <c r="L242" s="12" t="n">
        <v>46254</v>
      </c>
      <c r="M242" s="14">
        <f>IF(G242="","n.a.",MAX(0,'[Steuerung.xlsx]Steuerung'!$F$12-G242))</f>
        <v/>
      </c>
    </row>
    <row r="243" ht="21" customHeight="1">
      <c r="C243" s="11" t="inlineStr">
        <is>
          <t>VERBINDLICHKEIT</t>
        </is>
      </c>
      <c r="D243" s="11" t="n"/>
      <c r="E243" s="11" t="inlineStr">
        <is>
          <t>7826</t>
        </is>
      </c>
      <c r="F243" s="12" t="n"/>
      <c r="G243" s="12" t="n">
        <v>46244</v>
      </c>
      <c r="H243" s="13" t="n">
        <v>-83.3</v>
      </c>
      <c r="I243" s="11" t="inlineStr">
        <is>
          <t>EUR</t>
        </is>
      </c>
      <c r="J243" s="11" t="n"/>
      <c r="K243" s="11" t="inlineStr">
        <is>
          <t>07/26 Verpflegungskostenmehraufwand</t>
        </is>
      </c>
      <c r="L243" s="12" t="n">
        <v>46254</v>
      </c>
      <c r="M243" s="14">
        <f>IF(G243="","n.a.",MAX(0,'[Steuerung.xlsx]Steuerung'!$F$12-G243))</f>
        <v/>
      </c>
    </row>
    <row r="244" ht="21" customHeight="1">
      <c r="C244" s="11" t="inlineStr">
        <is>
          <t>VERBINDLICHKEIT</t>
        </is>
      </c>
      <c r="D244" s="11" t="n"/>
      <c r="E244" s="11" t="inlineStr">
        <is>
          <t>7825</t>
        </is>
      </c>
      <c r="F244" s="12" t="n"/>
      <c r="G244" s="12" t="n">
        <v>46251</v>
      </c>
      <c r="H244" s="13" t="n">
        <v>-1475.6</v>
      </c>
      <c r="I244" s="11" t="inlineStr">
        <is>
          <t>EUR</t>
        </is>
      </c>
      <c r="J244" s="11" t="n"/>
      <c r="K244" s="11" t="inlineStr">
        <is>
          <t>07/26 div. Transportleistungen</t>
        </is>
      </c>
      <c r="L244" s="12" t="n">
        <v>46254</v>
      </c>
      <c r="M244" s="14">
        <f>IF(G244="","n.a.",MAX(0,'[Steuerung.xlsx]Steuerung'!$F$12-G244))</f>
        <v/>
      </c>
    </row>
    <row r="245" ht="21" customHeight="1">
      <c r="C245" s="11" t="inlineStr">
        <is>
          <t>VERBINDLICHKEIT</t>
        </is>
      </c>
      <c r="D245" s="11" t="n"/>
      <c r="E245" s="11" t="inlineStr">
        <is>
          <t>3000082</t>
        </is>
      </c>
      <c r="F245" s="12" t="n"/>
      <c r="G245" s="12" t="n">
        <v>46238</v>
      </c>
      <c r="H245" s="13" t="n">
        <v>-65.04000000000001</v>
      </c>
      <c r="I245" s="11" t="inlineStr">
        <is>
          <t>EUR</t>
        </is>
      </c>
      <c r="J245" s="11" t="n"/>
      <c r="K245" s="11" t="inlineStr">
        <is>
          <t>07/26 Baustellenbetreuung</t>
        </is>
      </c>
      <c r="L245" s="12" t="n">
        <v>46254</v>
      </c>
      <c r="M245" s="14">
        <f>IF(G245="","n.a.",MAX(0,'[Steuerung.xlsx]Steuerung'!$F$12-G245))</f>
        <v/>
      </c>
    </row>
    <row r="246" ht="21" customHeight="1">
      <c r="C246" s="11" t="inlineStr">
        <is>
          <t>VERBINDLICHKEIT</t>
        </is>
      </c>
      <c r="D246" s="11" t="n"/>
      <c r="E246" s="11" t="inlineStr">
        <is>
          <t>8072</t>
        </is>
      </c>
      <c r="F246" s="12" t="n"/>
      <c r="G246" s="12" t="n">
        <v>46261</v>
      </c>
      <c r="H246" s="13" t="n">
        <v>-3461.74</v>
      </c>
      <c r="I246" s="11" t="inlineStr">
        <is>
          <t>EUR</t>
        </is>
      </c>
      <c r="J246" s="11" t="n"/>
      <c r="K246" s="11" t="inlineStr">
        <is>
          <t>07-08/26 Asbestsanierung Berlin - WE 154</t>
        </is>
      </c>
      <c r="L246" s="12" t="n">
        <v>46254</v>
      </c>
      <c r="M246" s="14">
        <f>IF(G246="","n.a.",MAX(0,'[Steuerung.xlsx]Steuerung'!$F$12-G246))</f>
        <v/>
      </c>
    </row>
    <row r="247" ht="21" customHeight="1">
      <c r="C247" s="11" t="inlineStr">
        <is>
          <t>VERBINDLICHKEIT</t>
        </is>
      </c>
      <c r="D247" s="11" t="n"/>
      <c r="E247" s="11" t="inlineStr">
        <is>
          <t>8073</t>
        </is>
      </c>
      <c r="F247" s="12" t="n"/>
      <c r="G247" s="12" t="n">
        <v>46261</v>
      </c>
      <c r="H247" s="13" t="n">
        <v>-2448.09</v>
      </c>
      <c r="I247" s="11" t="inlineStr">
        <is>
          <t>EUR</t>
        </is>
      </c>
      <c r="J247" s="11" t="n"/>
      <c r="K247" s="11" t="inlineStr">
        <is>
          <t>07-08/26 Asbestsanierung Berlin - WE 113</t>
        </is>
      </c>
      <c r="L247" s="12" t="n">
        <v>46254</v>
      </c>
      <c r="M247" s="14">
        <f>IF(G247="","n.a.",MAX(0,'[Steuerung.xlsx]Steuerung'!$F$12-G247))</f>
        <v/>
      </c>
    </row>
    <row r="248" ht="21" customHeight="1">
      <c r="C248" s="11" t="inlineStr">
        <is>
          <t>VERBINDLICHKEIT</t>
        </is>
      </c>
      <c r="D248" s="11" t="n"/>
      <c r="E248" s="11" t="inlineStr">
        <is>
          <t>8074</t>
        </is>
      </c>
      <c r="F248" s="12" t="n"/>
      <c r="G248" s="12" t="n">
        <v>46261</v>
      </c>
      <c r="H248" s="13" t="n">
        <v>-2881.95</v>
      </c>
      <c r="I248" s="11" t="inlineStr">
        <is>
          <t>EUR</t>
        </is>
      </c>
      <c r="J248" s="11" t="n"/>
      <c r="K248" s="11" t="inlineStr">
        <is>
          <t>07-08/26 Asbestsanierung Berlin - WE 72</t>
        </is>
      </c>
      <c r="L248" s="12" t="n">
        <v>46254</v>
      </c>
      <c r="M248" s="14">
        <f>IF(G248="","n.a.",MAX(0,'[Steuerung.xlsx]Steuerung'!$F$12-G248))</f>
        <v/>
      </c>
    </row>
    <row r="249" ht="21" customHeight="1">
      <c r="C249" s="11" t="inlineStr">
        <is>
          <t>VERBINDLICHKEIT</t>
        </is>
      </c>
      <c r="D249" s="11" t="n"/>
      <c r="E249" s="11" t="inlineStr">
        <is>
          <t>8071</t>
        </is>
      </c>
      <c r="F249" s="12" t="n"/>
      <c r="G249" s="12" t="n">
        <v>46261</v>
      </c>
      <c r="H249" s="13" t="n">
        <v>-4696.72</v>
      </c>
      <c r="I249" s="11" t="inlineStr">
        <is>
          <t>EUR</t>
        </is>
      </c>
      <c r="J249" s="11" t="n"/>
      <c r="K249" s="11" t="inlineStr">
        <is>
          <t>07-08/26 Asbestsanierung Berlin - WE 266</t>
        </is>
      </c>
      <c r="L249" s="12" t="n">
        <v>46254</v>
      </c>
      <c r="M249" s="14">
        <f>IF(G249="","n.a.",MAX(0,'[Steuerung.xlsx]Steuerung'!$F$12-G249))</f>
        <v/>
      </c>
    </row>
    <row r="250" ht="21" customHeight="1">
      <c r="C250" s="11" t="inlineStr">
        <is>
          <t>VERBINDLICHKEIT</t>
        </is>
      </c>
      <c r="D250" s="11" t="n"/>
      <c r="E250" s="11" t="inlineStr">
        <is>
          <t>7953</t>
        </is>
      </c>
      <c r="F250" s="12" t="n"/>
      <c r="G250" s="12" t="n">
        <v>46241</v>
      </c>
      <c r="H250" s="13" t="n">
        <v>-1642.2</v>
      </c>
      <c r="I250" s="11" t="inlineStr">
        <is>
          <t>EUR</t>
        </is>
      </c>
      <c r="J250" s="11" t="n"/>
      <c r="K250" s="11" t="inlineStr">
        <is>
          <t>07/26 Miete Elektro-Gelenkteleskopbühne</t>
        </is>
      </c>
      <c r="L250" s="12" t="n">
        <v>46254</v>
      </c>
      <c r="M250" s="14">
        <f>IF(G250="","n.a.",MAX(0,'[Steuerung.xlsx]Steuerung'!$F$12-G250))</f>
        <v/>
      </c>
    </row>
    <row r="251" ht="21" customHeight="1">
      <c r="C251" s="11" t="inlineStr">
        <is>
          <t>VERBINDLICHKEIT</t>
        </is>
      </c>
      <c r="D251" s="11" t="n"/>
      <c r="E251" s="11" t="inlineStr">
        <is>
          <t>8043</t>
        </is>
      </c>
      <c r="F251" s="12" t="n"/>
      <c r="G251" s="12" t="n">
        <v>46235</v>
      </c>
      <c r="H251" s="13" t="n">
        <v>-226.93</v>
      </c>
      <c r="I251" s="11" t="inlineStr">
        <is>
          <t>EUR</t>
        </is>
      </c>
      <c r="J251" s="11" t="n"/>
      <c r="K251" s="11" t="inlineStr">
        <is>
          <t>07/26 TP + Container-, Muldenmiete</t>
        </is>
      </c>
      <c r="L251" s="12" t="n">
        <v>46254</v>
      </c>
      <c r="M251" s="14">
        <f>IF(G251="","n.a.",MAX(0,'[Steuerung.xlsx]Steuerung'!$F$12-G251))</f>
        <v/>
      </c>
    </row>
    <row r="252" ht="21" customHeight="1">
      <c r="C252" s="11" t="inlineStr">
        <is>
          <t>VERBINDLICHKEIT</t>
        </is>
      </c>
      <c r="D252" s="11" t="n"/>
      <c r="E252" s="11" t="inlineStr">
        <is>
          <t>8044</t>
        </is>
      </c>
      <c r="F252" s="12" t="n"/>
      <c r="G252" s="12" t="n">
        <v>46235</v>
      </c>
      <c r="H252" s="13" t="n">
        <v>-541.27</v>
      </c>
      <c r="I252" s="11" t="inlineStr">
        <is>
          <t>EUR</t>
        </is>
      </c>
      <c r="J252" s="11" t="n"/>
      <c r="K252" s="11" t="inlineStr">
        <is>
          <t>07/26 TP + Container-, Muldenmiete</t>
        </is>
      </c>
      <c r="L252" s="12" t="n">
        <v>46254</v>
      </c>
      <c r="M252" s="14">
        <f>IF(G252="","n.a.",MAX(0,'[Steuerung.xlsx]Steuerung'!$F$12-G252))</f>
        <v/>
      </c>
    </row>
    <row r="253" ht="21" customHeight="1">
      <c r="C253" s="11" t="inlineStr">
        <is>
          <t>VERBINDLICHKEIT</t>
        </is>
      </c>
      <c r="D253" s="11" t="n"/>
      <c r="E253" s="11" t="inlineStr">
        <is>
          <t>8045</t>
        </is>
      </c>
      <c r="F253" s="12" t="n"/>
      <c r="G253" s="12" t="n">
        <v>46235</v>
      </c>
      <c r="H253" s="13" t="n">
        <v>-185.74</v>
      </c>
      <c r="I253" s="11" t="inlineStr">
        <is>
          <t>EUR</t>
        </is>
      </c>
      <c r="J253" s="11" t="n"/>
      <c r="K253" s="11" t="inlineStr">
        <is>
          <t>07/26 TP + Containermiete</t>
        </is>
      </c>
      <c r="L253" s="12" t="n">
        <v>46254</v>
      </c>
      <c r="M253" s="14">
        <f>IF(G253="","n.a.",MAX(0,'[Steuerung.xlsx]Steuerung'!$F$12-G253))</f>
        <v/>
      </c>
    </row>
    <row r="254" ht="21" customHeight="1">
      <c r="C254" s="11" t="inlineStr">
        <is>
          <t>VERBINDLICHKEIT</t>
        </is>
      </c>
      <c r="D254" s="11" t="n"/>
      <c r="E254" s="11" t="inlineStr">
        <is>
          <t>8046</t>
        </is>
      </c>
      <c r="F254" s="12" t="n"/>
      <c r="G254" s="12" t="n">
        <v>46235</v>
      </c>
      <c r="H254" s="13" t="n">
        <v>-840.14</v>
      </c>
      <c r="I254" s="11" t="inlineStr">
        <is>
          <t>EUR</t>
        </is>
      </c>
      <c r="J254" s="11" t="n"/>
      <c r="K254" s="11" t="inlineStr">
        <is>
          <t>07/26 TP + Container-, Muldenmiete</t>
        </is>
      </c>
      <c r="L254" s="12" t="n">
        <v>46254</v>
      </c>
      <c r="M254" s="14">
        <f>IF(G254="","n.a.",MAX(0,'[Steuerung.xlsx]Steuerung'!$F$12-G254))</f>
        <v/>
      </c>
    </row>
    <row r="255" ht="21" customHeight="1">
      <c r="C255" s="11" t="inlineStr">
        <is>
          <t>VERBINDLICHKEIT</t>
        </is>
      </c>
      <c r="D255" s="11" t="n"/>
      <c r="E255" s="11" t="inlineStr">
        <is>
          <t>8047</t>
        </is>
      </c>
      <c r="F255" s="12" t="n"/>
      <c r="G255" s="12" t="n">
        <v>46235</v>
      </c>
      <c r="H255" s="13" t="n">
        <v>-1234.33</v>
      </c>
      <c r="I255" s="11" t="inlineStr">
        <is>
          <t>EUR</t>
        </is>
      </c>
      <c r="J255" s="11" t="n"/>
      <c r="K255" s="11" t="inlineStr">
        <is>
          <t>07/26 TP + Containermiete</t>
        </is>
      </c>
      <c r="L255" s="12" t="n">
        <v>46254</v>
      </c>
      <c r="M255" s="14">
        <f>IF(G255="","n.a.",MAX(0,'[Steuerung.xlsx]Steuerung'!$F$12-G255))</f>
        <v/>
      </c>
    </row>
    <row r="256" ht="21" customHeight="1">
      <c r="C256" s="11" t="inlineStr">
        <is>
          <t>VERBINDLICHKEIT</t>
        </is>
      </c>
      <c r="D256" s="11" t="n"/>
      <c r="E256" s="11" t="inlineStr">
        <is>
          <t>8063</t>
        </is>
      </c>
      <c r="F256" s="12" t="n"/>
      <c r="G256" s="12" t="n">
        <v>46247</v>
      </c>
      <c r="H256" s="13" t="n">
        <v>-74.91</v>
      </c>
      <c r="I256" s="11" t="inlineStr">
        <is>
          <t>EUR</t>
        </is>
      </c>
      <c r="J256" s="11" t="n"/>
      <c r="K256" s="11" t="inlineStr">
        <is>
          <t>08/26 KN 2740445008 BK 5622295951</t>
        </is>
      </c>
      <c r="L256" s="12" t="n">
        <v>46254</v>
      </c>
      <c r="M256" s="14">
        <f>IF(G256="","n.a.",MAX(0,'[Steuerung.xlsx]Steuerung'!$F$12-G256))</f>
        <v/>
      </c>
    </row>
    <row r="257" ht="21" customHeight="1">
      <c r="C257" s="11" t="inlineStr">
        <is>
          <t>VERBINDLICHKEIT</t>
        </is>
      </c>
      <c r="D257" s="11" t="n"/>
      <c r="E257" s="11" t="inlineStr">
        <is>
          <t>3000083</t>
        </is>
      </c>
      <c r="F257" s="12" t="n"/>
      <c r="G257" s="12" t="n">
        <v>46231</v>
      </c>
      <c r="H257" s="13" t="n">
        <v>-3</v>
      </c>
      <c r="I257" s="11" t="inlineStr">
        <is>
          <t>EUR</t>
        </is>
      </c>
      <c r="J257" s="11" t="n"/>
      <c r="K257" s="11" t="inlineStr">
        <is>
          <t>07/26 Parken Notartermin</t>
        </is>
      </c>
      <c r="L257" s="12" t="n">
        <v>46254</v>
      </c>
      <c r="M257" s="14">
        <f>IF(G257="","n.a.",MAX(0,'[Steuerung.xlsx]Steuerung'!$F$12-G257))</f>
        <v/>
      </c>
    </row>
    <row r="258" ht="21" customHeight="1">
      <c r="C258" s="11" t="inlineStr">
        <is>
          <t>VERBINDLICHKEIT</t>
        </is>
      </c>
      <c r="D258" s="11" t="n"/>
      <c r="E258" s="11" t="inlineStr">
        <is>
          <t>7858</t>
        </is>
      </c>
      <c r="F258" s="12" t="n"/>
      <c r="G258" s="12" t="n">
        <v>46255</v>
      </c>
      <c r="H258" s="13" t="n">
        <v>-285.6</v>
      </c>
      <c r="I258" s="11" t="inlineStr">
        <is>
          <t>EUR</t>
        </is>
      </c>
      <c r="J258" s="11" t="n"/>
      <c r="K258" s="11" t="inlineStr">
        <is>
          <t>07/26 Filterauswertung BASF C 317</t>
        </is>
      </c>
      <c r="L258" s="12" t="n">
        <v>46254</v>
      </c>
      <c r="M258" s="14">
        <f>IF(G258="","n.a.",MAX(0,'[Steuerung.xlsx]Steuerung'!$F$12-G258))</f>
        <v/>
      </c>
    </row>
    <row r="259" ht="21" customHeight="1">
      <c r="C259" s="11" t="inlineStr">
        <is>
          <t>VERBINDLICHKEIT</t>
        </is>
      </c>
      <c r="D259" s="11" t="n"/>
      <c r="E259" s="11" t="inlineStr">
        <is>
          <t>7977</t>
        </is>
      </c>
      <c r="F259" s="12" t="n"/>
      <c r="G259" s="12" t="n">
        <v>46264</v>
      </c>
      <c r="H259" s="13" t="n">
        <v>-71.40000000000001</v>
      </c>
      <c r="I259" s="11" t="inlineStr">
        <is>
          <t>EUR</t>
        </is>
      </c>
      <c r="J259" s="11" t="n"/>
      <c r="K259" s="11" t="inlineStr">
        <is>
          <t>07/26 Posttransfer</t>
        </is>
      </c>
      <c r="L259" s="12" t="n">
        <v>46254</v>
      </c>
      <c r="M259" s="14">
        <f>IF(G259="","n.a.",MAX(0,'[Steuerung.xlsx]Steuerung'!$F$12-G259))</f>
        <v/>
      </c>
    </row>
    <row r="260" ht="21" customHeight="1">
      <c r="C260" s="11" t="inlineStr">
        <is>
          <t>VERBINDLICHKEIT</t>
        </is>
      </c>
      <c r="D260" s="11" t="n"/>
      <c r="E260" s="11" t="inlineStr">
        <is>
          <t>7917</t>
        </is>
      </c>
      <c r="F260" s="12" t="n"/>
      <c r="G260" s="12" t="n">
        <v>46232</v>
      </c>
      <c r="H260" s="13" t="n">
        <v>-23866.88</v>
      </c>
      <c r="I260" s="11" t="inlineStr">
        <is>
          <t>EUR</t>
        </is>
      </c>
      <c r="J260" s="11" t="n"/>
      <c r="K260" s="11" t="inlineStr">
        <is>
          <t>07/26 Ents. Transport versch. Stoffe</t>
        </is>
      </c>
      <c r="L260" s="12" t="n">
        <v>46254</v>
      </c>
      <c r="M260" s="14">
        <f>IF(G260="","n.a.",MAX(0,'[Steuerung.xlsx]Steuerung'!$F$12-G260))</f>
        <v/>
      </c>
    </row>
    <row r="261" ht="21" customHeight="1">
      <c r="C261" s="11" t="inlineStr">
        <is>
          <t>VERBINDLICHKEIT</t>
        </is>
      </c>
      <c r="D261" s="11" t="n"/>
      <c r="E261" s="11" t="inlineStr">
        <is>
          <t>7918</t>
        </is>
      </c>
      <c r="F261" s="12" t="n"/>
      <c r="G261" s="12" t="n">
        <v>46231</v>
      </c>
      <c r="H261" s="13" t="n">
        <v>-6247.5</v>
      </c>
      <c r="I261" s="11" t="inlineStr">
        <is>
          <t>EUR</t>
        </is>
      </c>
      <c r="J261" s="11" t="n"/>
      <c r="K261" s="11" t="inlineStr">
        <is>
          <t>07/26 Tagespauschale LKW inkl. Fahrpersonal</t>
        </is>
      </c>
      <c r="L261" s="12" t="n">
        <v>46254</v>
      </c>
      <c r="M261" s="14">
        <f>IF(G261="","n.a.",MAX(0,'[Steuerung.xlsx]Steuerung'!$F$12-G261))</f>
        <v/>
      </c>
    </row>
    <row r="262" ht="21" customHeight="1">
      <c r="C262" s="11" t="inlineStr">
        <is>
          <t>VERBINDLICHKEIT</t>
        </is>
      </c>
      <c r="D262" s="11" t="n"/>
      <c r="E262" s="11" t="inlineStr">
        <is>
          <t>8041</t>
        </is>
      </c>
      <c r="F262" s="12" t="n"/>
      <c r="G262" s="12" t="n">
        <v>46240</v>
      </c>
      <c r="H262" s="13" t="n">
        <v>-23009.27</v>
      </c>
      <c r="I262" s="11" t="inlineStr">
        <is>
          <t>EUR</t>
        </is>
      </c>
      <c r="J262" s="11" t="n"/>
      <c r="K262" s="11" t="inlineStr">
        <is>
          <t>07/26 Transport versch. Stoffe</t>
        </is>
      </c>
      <c r="L262" s="12" t="n">
        <v>46254</v>
      </c>
      <c r="M262" s="14">
        <f>IF(G262="","n.a.",MAX(0,'[Steuerung.xlsx]Steuerung'!$F$12-G262))</f>
        <v/>
      </c>
    </row>
    <row r="263" ht="21" customHeight="1">
      <c r="C263" s="11" t="inlineStr">
        <is>
          <t>VERBINDLICHKEIT</t>
        </is>
      </c>
      <c r="D263" s="11" t="n"/>
      <c r="E263" s="11" t="inlineStr">
        <is>
          <t>8077</t>
        </is>
      </c>
      <c r="F263" s="12" t="n"/>
      <c r="G263" s="12" t="n">
        <v>46252</v>
      </c>
      <c r="H263" s="13" t="n">
        <v>-103.53</v>
      </c>
      <c r="I263" s="11" t="inlineStr">
        <is>
          <t>EUR</t>
        </is>
      </c>
      <c r="J263" s="11" t="n"/>
      <c r="K263" s="11" t="inlineStr">
        <is>
          <t>08/26 Fahne</t>
        </is>
      </c>
      <c r="L263" s="12" t="n">
        <v>46254</v>
      </c>
      <c r="M263" s="14">
        <f>IF(G263="","n.a.",MAX(0,'[Steuerung.xlsx]Steuerung'!$F$12-G263))</f>
        <v/>
      </c>
    </row>
    <row r="264" ht="21" customHeight="1">
      <c r="C264" s="11" t="inlineStr">
        <is>
          <t>VERBINDLICHKEIT</t>
        </is>
      </c>
      <c r="D264" s="11" t="n"/>
      <c r="E264" s="11" t="inlineStr">
        <is>
          <t>7936</t>
        </is>
      </c>
      <c r="F264" s="12" t="n"/>
      <c r="G264" s="12" t="n">
        <v>46234</v>
      </c>
      <c r="H264" s="13" t="n">
        <v>-551.51</v>
      </c>
      <c r="I264" s="11" t="inlineStr">
        <is>
          <t>EUR</t>
        </is>
      </c>
      <c r="J264" s="11" t="n"/>
      <c r="K264" s="11" t="inlineStr">
        <is>
          <t>07/26 CB-TV 108 Überführ.,Zulassung,KVA</t>
        </is>
      </c>
      <c r="L264" s="12" t="n">
        <v>46254</v>
      </c>
      <c r="M264" s="14">
        <f>IF(G264="","n.a.",MAX(0,'[Steuerung.xlsx]Steuerung'!$F$12-G264))</f>
        <v/>
      </c>
    </row>
    <row r="265" ht="21" customHeight="1">
      <c r="C265" s="11" t="inlineStr">
        <is>
          <t>VERBINDLICHKEIT</t>
        </is>
      </c>
      <c r="D265" s="11" t="n"/>
      <c r="E265" s="11" t="inlineStr">
        <is>
          <t>8053</t>
        </is>
      </c>
      <c r="F265" s="12" t="n"/>
      <c r="G265" s="12" t="n">
        <v>46239</v>
      </c>
      <c r="H265" s="13" t="n">
        <v>-21.54</v>
      </c>
      <c r="I265" s="11" t="inlineStr">
        <is>
          <t>EUR</t>
        </is>
      </c>
      <c r="J265" s="11" t="n"/>
      <c r="K265" s="11" t="inlineStr">
        <is>
          <t>08/26 Radwechsel CB-HI 162</t>
        </is>
      </c>
      <c r="L265" s="12" t="n">
        <v>46254</v>
      </c>
      <c r="M265" s="14">
        <f>IF(G265="","n.a.",MAX(0,'[Steuerung.xlsx]Steuerung'!$F$12-G265))</f>
        <v/>
      </c>
    </row>
    <row r="266" ht="21" customHeight="1">
      <c r="C266" s="11" t="inlineStr">
        <is>
          <t>VERBINDLICHKEIT</t>
        </is>
      </c>
      <c r="D266" s="11" t="n"/>
      <c r="E266" s="11" t="inlineStr">
        <is>
          <t>7860</t>
        </is>
      </c>
      <c r="F266" s="12" t="n"/>
      <c r="G266" s="12" t="n">
        <v>46239</v>
      </c>
      <c r="H266" s="13" t="n">
        <v>-414.12</v>
      </c>
      <c r="I266" s="11" t="inlineStr">
        <is>
          <t>EUR</t>
        </is>
      </c>
      <c r="J266" s="11" t="n"/>
      <c r="K266" s="11" t="inlineStr">
        <is>
          <t>07/26 Direktinstickung</t>
        </is>
      </c>
      <c r="L266" s="12" t="n">
        <v>46254</v>
      </c>
      <c r="M266" s="14">
        <f>IF(G266="","n.a.",MAX(0,'[Steuerung.xlsx]Steuerung'!$F$12-G266))</f>
        <v/>
      </c>
    </row>
    <row r="267" ht="21" customHeight="1">
      <c r="C267" s="11" t="inlineStr">
        <is>
          <t>VERBINDLICHKEIT</t>
        </is>
      </c>
      <c r="D267" s="11" t="n"/>
      <c r="E267" s="11" t="inlineStr">
        <is>
          <t>7719</t>
        </is>
      </c>
      <c r="F267" s="12" t="n"/>
      <c r="G267" s="12" t="n">
        <v>46242</v>
      </c>
      <c r="H267" s="13" t="n">
        <v>-109.24</v>
      </c>
      <c r="I267" s="11" t="inlineStr">
        <is>
          <t>EUR</t>
        </is>
      </c>
      <c r="J267" s="11" t="n"/>
      <c r="K267" s="11" t="inlineStr">
        <is>
          <t>07/26 div. Bürobedarf</t>
        </is>
      </c>
      <c r="L267" s="12" t="n">
        <v>46254</v>
      </c>
      <c r="M267" s="14">
        <f>IF(G267="","n.a.",MAX(0,'[Steuerung.xlsx]Steuerung'!$F$12-G267))</f>
        <v/>
      </c>
    </row>
    <row r="268" ht="21" customHeight="1">
      <c r="C268" s="11" t="inlineStr">
        <is>
          <t>VERBINDLICHKEIT</t>
        </is>
      </c>
      <c r="D268" s="11" t="n"/>
      <c r="E268" s="11" t="inlineStr">
        <is>
          <t>7881</t>
        </is>
      </c>
      <c r="F268" s="12" t="n"/>
      <c r="G268" s="12" t="n">
        <v>46240</v>
      </c>
      <c r="H268" s="13" t="n">
        <v>-51.55</v>
      </c>
      <c r="I268" s="11" t="inlineStr">
        <is>
          <t>EUR</t>
        </is>
      </c>
      <c r="J268" s="11" t="n"/>
      <c r="K268" s="11" t="inlineStr">
        <is>
          <t>07/26 Mineralwasser, Quellwasser</t>
        </is>
      </c>
      <c r="L268" s="12" t="n">
        <v>46254</v>
      </c>
      <c r="M268" s="14">
        <f>IF(G268="","n.a.",MAX(0,'[Steuerung.xlsx]Steuerung'!$F$12-G268))</f>
        <v/>
      </c>
    </row>
    <row r="269" ht="21" customHeight="1">
      <c r="C269" s="11" t="inlineStr">
        <is>
          <t>VERBINDLICHKEIT</t>
        </is>
      </c>
      <c r="D269" s="11" t="n"/>
      <c r="E269" s="11" t="inlineStr">
        <is>
          <t>7755</t>
        </is>
      </c>
      <c r="F269" s="12" t="n"/>
      <c r="G269" s="12" t="n">
        <v>46246</v>
      </c>
      <c r="H269" s="13" t="n">
        <v>-223.27</v>
      </c>
      <c r="I269" s="11" t="inlineStr">
        <is>
          <t>EUR</t>
        </is>
      </c>
      <c r="J269" s="11" t="n"/>
      <c r="K269" s="11" t="inlineStr">
        <is>
          <t>07/26 Wasser,Energy,Desinfek.,Papiertü.,Wischtuch</t>
        </is>
      </c>
      <c r="L269" s="12" t="n">
        <v>46254</v>
      </c>
      <c r="M269" s="14">
        <f>IF(G269="","n.a.",MAX(0,'[Steuerung.xlsx]Steuerung'!$F$12-G269))</f>
        <v/>
      </c>
    </row>
    <row r="270" ht="21" customHeight="1">
      <c r="C270" s="11" t="inlineStr">
        <is>
          <t>VERBINDLICHKEIT</t>
        </is>
      </c>
      <c r="D270" s="11" t="n"/>
      <c r="E270" s="11" t="inlineStr">
        <is>
          <t>7743</t>
        </is>
      </c>
      <c r="F270" s="12" t="n"/>
      <c r="G270" s="12" t="n">
        <v>46242</v>
      </c>
      <c r="H270" s="13" t="n">
        <v>-304.36</v>
      </c>
      <c r="I270" s="11" t="inlineStr">
        <is>
          <t>EUR</t>
        </is>
      </c>
      <c r="J270" s="11" t="n"/>
      <c r="K270" s="11" t="inlineStr">
        <is>
          <t>07/26 Filtertüten,Zucker,Kaffee,Mezzo Mix,Seife</t>
        </is>
      </c>
      <c r="L270" s="12" t="n">
        <v>46254</v>
      </c>
      <c r="M270" s="14">
        <f>IF(G270="","n.a.",MAX(0,'[Steuerung.xlsx]Steuerung'!$F$12-G270))</f>
        <v/>
      </c>
    </row>
    <row r="271" ht="21" customHeight="1">
      <c r="C271" s="11" t="inlineStr">
        <is>
          <t>VERBINDLICHKEIT</t>
        </is>
      </c>
      <c r="D271" s="11" t="n"/>
      <c r="E271" s="11" t="inlineStr">
        <is>
          <t>7999</t>
        </is>
      </c>
      <c r="F271" s="12" t="n"/>
      <c r="G271" s="12" t="n">
        <v>46251</v>
      </c>
      <c r="H271" s="13" t="n">
        <v>-48.4</v>
      </c>
      <c r="I271" s="11" t="inlineStr">
        <is>
          <t>EUR</t>
        </is>
      </c>
      <c r="J271" s="11" t="n"/>
      <c r="K271" s="11" t="inlineStr">
        <is>
          <t>08/26 Knoppers, Wasser</t>
        </is>
      </c>
      <c r="L271" s="12" t="n">
        <v>46254</v>
      </c>
      <c r="M271" s="14">
        <f>IF(G271="","n.a.",MAX(0,'[Steuerung.xlsx]Steuerung'!$F$12-G271))</f>
        <v/>
      </c>
    </row>
    <row r="272" ht="21" customHeight="1">
      <c r="C272" s="11" t="inlineStr">
        <is>
          <t>VERBINDLICHKEIT</t>
        </is>
      </c>
      <c r="D272" s="11" t="n"/>
      <c r="E272" s="11" t="inlineStr">
        <is>
          <t>8010</t>
        </is>
      </c>
      <c r="F272" s="12" t="n"/>
      <c r="G272" s="12" t="n">
        <v>46249</v>
      </c>
      <c r="H272" s="13" t="n">
        <v>-594.99</v>
      </c>
      <c r="I272" s="11" t="inlineStr">
        <is>
          <t>EUR</t>
        </is>
      </c>
      <c r="J272" s="11" t="n"/>
      <c r="K272" s="11" t="inlineStr">
        <is>
          <t>07/26 ÜN Hr. Ziebura</t>
        </is>
      </c>
      <c r="L272" s="12" t="n">
        <v>46254</v>
      </c>
      <c r="M272" s="14">
        <f>IF(G272="","n.a.",MAX(0,'[Steuerung.xlsx]Steuerung'!$F$12-G272))</f>
        <v/>
      </c>
    </row>
    <row r="273" ht="21" customHeight="1">
      <c r="C273" s="11" t="inlineStr">
        <is>
          <t>VERBINDLICHKEIT</t>
        </is>
      </c>
      <c r="D273" s="11" t="n"/>
      <c r="E273" s="11" t="inlineStr">
        <is>
          <t>8068</t>
        </is>
      </c>
      <c r="F273" s="12" t="n"/>
      <c r="G273" s="12" t="n">
        <v>46249</v>
      </c>
      <c r="H273" s="13" t="n">
        <v>-629.99</v>
      </c>
      <c r="I273" s="11" t="inlineStr">
        <is>
          <t>EUR</t>
        </is>
      </c>
      <c r="J273" s="11" t="n"/>
      <c r="K273" s="11" t="inlineStr">
        <is>
          <t>07/26 Stellplatz Wohnwagen Hr. Marks</t>
        </is>
      </c>
      <c r="L273" s="12" t="n">
        <v>46254</v>
      </c>
      <c r="M273" s="14">
        <f>IF(G273="","n.a.",MAX(0,'[Steuerung.xlsx]Steuerung'!$F$12-G273))</f>
        <v/>
      </c>
    </row>
    <row r="274" ht="21" customHeight="1">
      <c r="C274" s="11" t="inlineStr">
        <is>
          <t>VERBINDLICHKEIT</t>
        </is>
      </c>
      <c r="D274" s="11" t="n"/>
      <c r="E274" s="11" t="inlineStr">
        <is>
          <t>7800</t>
        </is>
      </c>
      <c r="F274" s="12" t="n"/>
      <c r="G274" s="12" t="n">
        <v>46279</v>
      </c>
      <c r="H274" s="13" t="n">
        <v>-206.47</v>
      </c>
      <c r="I274" s="11" t="inlineStr">
        <is>
          <t>EUR</t>
        </is>
      </c>
      <c r="J274" s="11" t="n"/>
      <c r="K274" s="11" t="inlineStr">
        <is>
          <t>07/26 Überprüfung Baustromverteiler / Containeranl</t>
        </is>
      </c>
      <c r="L274" s="12" t="n">
        <v>46254</v>
      </c>
      <c r="M274" s="14">
        <f>IF(G274="","n.a.",MAX(0,'[Steuerung.xlsx]Steuerung'!$F$12-G274))</f>
        <v/>
      </c>
    </row>
    <row r="275" ht="21" customHeight="1">
      <c r="C275" s="11" t="inlineStr">
        <is>
          <t>VERBINDLICHKEIT</t>
        </is>
      </c>
      <c r="D275" s="11" t="n"/>
      <c r="E275" s="11" t="inlineStr">
        <is>
          <t>7805</t>
        </is>
      </c>
      <c r="F275" s="12" t="n"/>
      <c r="G275" s="12" t="n">
        <v>46279</v>
      </c>
      <c r="H275" s="13" t="n">
        <v>-31.89</v>
      </c>
      <c r="I275" s="11" t="inlineStr">
        <is>
          <t>EUR</t>
        </is>
      </c>
      <c r="J275" s="11" t="n"/>
      <c r="K275" s="11" t="inlineStr">
        <is>
          <t>07/26 Putzpapierrollen</t>
        </is>
      </c>
      <c r="L275" s="12" t="n">
        <v>46254</v>
      </c>
      <c r="M275" s="14">
        <f>IF(G275="","n.a.",MAX(0,'[Steuerung.xlsx]Steuerung'!$F$12-G275))</f>
        <v/>
      </c>
    </row>
    <row r="276" ht="21" customHeight="1">
      <c r="C276" s="11" t="inlineStr">
        <is>
          <t>VERBINDLICHKEIT</t>
        </is>
      </c>
      <c r="D276" s="11" t="n"/>
      <c r="E276" s="11" t="inlineStr">
        <is>
          <t>7806</t>
        </is>
      </c>
      <c r="F276" s="12" t="n"/>
      <c r="G276" s="12" t="n">
        <v>46279</v>
      </c>
      <c r="H276" s="13" t="n">
        <v>-107.81</v>
      </c>
      <c r="I276" s="11" t="inlineStr">
        <is>
          <t>EUR</t>
        </is>
      </c>
      <c r="J276" s="11" t="n"/>
      <c r="K276" s="11" t="inlineStr">
        <is>
          <t>07/26 Westen Flex Gr. L</t>
        </is>
      </c>
      <c r="L276" s="12" t="n">
        <v>46254</v>
      </c>
      <c r="M276" s="14">
        <f>IF(G276="","n.a.",MAX(0,'[Steuerung.xlsx]Steuerung'!$F$12-G276))</f>
        <v/>
      </c>
    </row>
    <row r="277" ht="21" customHeight="1">
      <c r="C277" s="11" t="inlineStr">
        <is>
          <t>VERBINDLICHKEIT</t>
        </is>
      </c>
      <c r="D277" s="11" t="n"/>
      <c r="E277" s="11" t="inlineStr">
        <is>
          <t>7807</t>
        </is>
      </c>
      <c r="F277" s="12" t="n"/>
      <c r="G277" s="12" t="n">
        <v>46279</v>
      </c>
      <c r="H277" s="13" t="n">
        <v>-497.57</v>
      </c>
      <c r="I277" s="11" t="inlineStr">
        <is>
          <t>EUR</t>
        </is>
      </c>
      <c r="J277" s="11" t="n"/>
      <c r="K277" s="11" t="inlineStr">
        <is>
          <t>07/26 CEE-Verlängerung,Standstromverteiler,Prüf.</t>
        </is>
      </c>
      <c r="L277" s="12" t="n">
        <v>46254</v>
      </c>
      <c r="M277" s="14">
        <f>IF(G277="","n.a.",MAX(0,'[Steuerung.xlsx]Steuerung'!$F$12-G277))</f>
        <v/>
      </c>
    </row>
    <row r="278" ht="21" customHeight="1">
      <c r="C278" s="11" t="inlineStr">
        <is>
          <t>VERBINDLICHKEIT</t>
        </is>
      </c>
      <c r="D278" s="11" t="n"/>
      <c r="E278" s="11" t="inlineStr">
        <is>
          <t>7808</t>
        </is>
      </c>
      <c r="F278" s="12" t="n"/>
      <c r="G278" s="12" t="n">
        <v>46279</v>
      </c>
      <c r="H278" s="13" t="n">
        <v>-109.78</v>
      </c>
      <c r="I278" s="11" t="inlineStr">
        <is>
          <t>EUR</t>
        </is>
      </c>
      <c r="J278" s="11" t="n"/>
      <c r="K278" s="11" t="inlineStr">
        <is>
          <t>07/26 Hemd Grau Gr. XL m. Emblem 3 Stk.</t>
        </is>
      </c>
      <c r="L278" s="12" t="n">
        <v>46254</v>
      </c>
      <c r="M278" s="14">
        <f>IF(G278="","n.a.",MAX(0,'[Steuerung.xlsx]Steuerung'!$F$12-G278))</f>
        <v/>
      </c>
    </row>
    <row r="279" ht="21" customHeight="1">
      <c r="C279" s="11" t="inlineStr">
        <is>
          <t>VERBINDLICHKEIT</t>
        </is>
      </c>
      <c r="D279" s="11" t="n"/>
      <c r="E279" s="11" t="inlineStr">
        <is>
          <t>7809</t>
        </is>
      </c>
      <c r="F279" s="12" t="n"/>
      <c r="G279" s="12" t="n">
        <v>46279</v>
      </c>
      <c r="H279" s="13" t="n">
        <v>-177.91</v>
      </c>
      <c r="I279" s="11" t="inlineStr">
        <is>
          <t>EUR</t>
        </is>
      </c>
      <c r="J279" s="11" t="n"/>
      <c r="K279" s="11" t="inlineStr">
        <is>
          <t>07/26 Softshelljacke Gr. XL m. Emblem 1 Stk.</t>
        </is>
      </c>
      <c r="L279" s="12" t="n">
        <v>46254</v>
      </c>
      <c r="M279" s="14">
        <f>IF(G279="","n.a.",MAX(0,'[Steuerung.xlsx]Steuerung'!$F$12-G279))</f>
        <v/>
      </c>
    </row>
    <row r="280" ht="21" customHeight="1">
      <c r="C280" s="11" t="inlineStr">
        <is>
          <t>VERBINDLICHKEIT</t>
        </is>
      </c>
      <c r="D280" s="11" t="n"/>
      <c r="E280" s="11" t="inlineStr">
        <is>
          <t>7810</t>
        </is>
      </c>
      <c r="F280" s="12" t="n"/>
      <c r="G280" s="12" t="n">
        <v>46279</v>
      </c>
      <c r="H280" s="13" t="n">
        <v>-370.09</v>
      </c>
      <c r="I280" s="11" t="inlineStr">
        <is>
          <t>EUR</t>
        </is>
      </c>
      <c r="J280" s="11" t="n"/>
      <c r="K280" s="11" t="inlineStr">
        <is>
          <t>07/26 Überprüf.Baustromverteiler/Containeranlagen</t>
        </is>
      </c>
      <c r="L280" s="12" t="n">
        <v>46254</v>
      </c>
      <c r="M280" s="14">
        <f>IF(G280="","n.a.",MAX(0,'[Steuerung.xlsx]Steuerung'!$F$12-G280))</f>
        <v/>
      </c>
    </row>
    <row r="281" ht="21" customHeight="1">
      <c r="C281" s="11" t="inlineStr">
        <is>
          <t>VERBINDLICHKEIT</t>
        </is>
      </c>
      <c r="D281" s="11" t="n"/>
      <c r="E281" s="11" t="inlineStr">
        <is>
          <t>7811</t>
        </is>
      </c>
      <c r="F281" s="12" t="n"/>
      <c r="G281" s="12" t="n">
        <v>46279</v>
      </c>
      <c r="H281" s="13" t="n">
        <v>-173.74</v>
      </c>
      <c r="I281" s="11" t="inlineStr">
        <is>
          <t>EUR</t>
        </is>
      </c>
      <c r="J281" s="11" t="n"/>
      <c r="K281" s="11" t="inlineStr">
        <is>
          <t>07/26 Softshelljacke Gr. XL 1 Stk.</t>
        </is>
      </c>
      <c r="L281" s="12" t="n">
        <v>46254</v>
      </c>
      <c r="M281" s="14">
        <f>IF(G281="","n.a.",MAX(0,'[Steuerung.xlsx]Steuerung'!$F$12-G281))</f>
        <v/>
      </c>
    </row>
    <row r="282" ht="21" customHeight="1">
      <c r="C282" s="11" t="inlineStr">
        <is>
          <t>VERBINDLICHKEIT</t>
        </is>
      </c>
      <c r="D282" s="11" t="n"/>
      <c r="E282" s="11" t="inlineStr">
        <is>
          <t>7813</t>
        </is>
      </c>
      <c r="F282" s="12" t="n"/>
      <c r="G282" s="12" t="n">
        <v>46279</v>
      </c>
      <c r="H282" s="13" t="n">
        <v>-119</v>
      </c>
      <c r="I282" s="11" t="inlineStr">
        <is>
          <t>EUR</t>
        </is>
      </c>
      <c r="J282" s="11" t="n"/>
      <c r="K282" s="11" t="inlineStr">
        <is>
          <t>07/26 Führungsschuh Makita 3070</t>
        </is>
      </c>
      <c r="L282" s="12" t="n">
        <v>46254</v>
      </c>
      <c r="M282" s="14">
        <f>IF(G282="","n.a.",MAX(0,'[Steuerung.xlsx]Steuerung'!$F$12-G282))</f>
        <v/>
      </c>
    </row>
    <row r="283" ht="21" customHeight="1">
      <c r="C283" s="11" t="inlineStr">
        <is>
          <t>VERBINDLICHKEIT</t>
        </is>
      </c>
      <c r="D283" s="11" t="n"/>
      <c r="E283" s="11" t="inlineStr">
        <is>
          <t>7812</t>
        </is>
      </c>
      <c r="F283" s="12" t="n"/>
      <c r="G283" s="12" t="n">
        <v>46279</v>
      </c>
      <c r="H283" s="13" t="n">
        <v>-107.16</v>
      </c>
      <c r="I283" s="11" t="inlineStr">
        <is>
          <t>EUR</t>
        </is>
      </c>
      <c r="J283" s="11" t="n"/>
      <c r="K283" s="11" t="inlineStr">
        <is>
          <t>07/26 Rep. Schrottschneidbrenner inkl. Prüfplak.</t>
        </is>
      </c>
      <c r="L283" s="12" t="n">
        <v>46254</v>
      </c>
      <c r="M283" s="14">
        <f>IF(G283="","n.a.",MAX(0,'[Steuerung.xlsx]Steuerung'!$F$12-G283))</f>
        <v/>
      </c>
    </row>
    <row r="284" ht="21" customHeight="1">
      <c r="C284" s="11" t="inlineStr">
        <is>
          <t>VERBINDLICHKEIT</t>
        </is>
      </c>
      <c r="D284" s="11" t="n"/>
      <c r="E284" s="11" t="inlineStr">
        <is>
          <t>7774</t>
        </is>
      </c>
      <c r="F284" s="12" t="n"/>
      <c r="G284" s="12" t="n">
        <v>46277</v>
      </c>
      <c r="H284" s="13" t="n">
        <v>-10.28</v>
      </c>
      <c r="I284" s="11" t="inlineStr">
        <is>
          <t>EUR</t>
        </is>
      </c>
      <c r="J284" s="11" t="n"/>
      <c r="K284" s="11" t="inlineStr">
        <is>
          <t>07/26 Stecktülle, Schnellver.Kup.</t>
        </is>
      </c>
      <c r="L284" s="12" t="n">
        <v>46254</v>
      </c>
      <c r="M284" s="14">
        <f>IF(G284="","n.a.",MAX(0,'[Steuerung.xlsx]Steuerung'!$F$12-G284))</f>
        <v/>
      </c>
    </row>
    <row r="285" ht="21" customHeight="1">
      <c r="C285" s="11" t="inlineStr">
        <is>
          <t>VERBINDLICHKEIT</t>
        </is>
      </c>
      <c r="D285" s="11" t="n"/>
      <c r="E285" s="11" t="inlineStr">
        <is>
          <t>7819</t>
        </is>
      </c>
      <c r="F285" s="12" t="n"/>
      <c r="G285" s="12" t="n">
        <v>46280</v>
      </c>
      <c r="H285" s="13" t="n">
        <v>-2926.45</v>
      </c>
      <c r="I285" s="11" t="inlineStr">
        <is>
          <t>EUR</t>
        </is>
      </c>
      <c r="J285" s="11" t="n"/>
      <c r="K285" s="11" t="inlineStr">
        <is>
          <t>07/26 Sauerstoff</t>
        </is>
      </c>
      <c r="L285" s="12" t="n">
        <v>46254</v>
      </c>
      <c r="M285" s="14">
        <f>IF(G285="","n.a.",MAX(0,'[Steuerung.xlsx]Steuerung'!$F$12-G285))</f>
        <v/>
      </c>
    </row>
    <row r="286" ht="21" customHeight="1">
      <c r="C286" s="11" t="inlineStr">
        <is>
          <t>VERBINDLICHKEIT</t>
        </is>
      </c>
      <c r="D286" s="11" t="n"/>
      <c r="E286" s="11" t="inlineStr">
        <is>
          <t>7820</t>
        </is>
      </c>
      <c r="F286" s="12" t="n"/>
      <c r="G286" s="12" t="n">
        <v>46280</v>
      </c>
      <c r="H286" s="13" t="n">
        <v>-471.24</v>
      </c>
      <c r="I286" s="11" t="inlineStr">
        <is>
          <t>EUR</t>
        </is>
      </c>
      <c r="J286" s="11" t="n"/>
      <c r="K286" s="11" t="inlineStr">
        <is>
          <t>07/26 Werkzeugkoffer 134-tlg</t>
        </is>
      </c>
      <c r="L286" s="12" t="n">
        <v>46254</v>
      </c>
      <c r="M286" s="14">
        <f>IF(G286="","n.a.",MAX(0,'[Steuerung.xlsx]Steuerung'!$F$12-G286))</f>
        <v/>
      </c>
    </row>
    <row r="287" ht="21" customHeight="1">
      <c r="C287" s="11" t="inlineStr">
        <is>
          <t>VERBINDLICHKEIT</t>
        </is>
      </c>
      <c r="D287" s="11" t="n"/>
      <c r="E287" s="11" t="inlineStr">
        <is>
          <t>7773</t>
        </is>
      </c>
      <c r="F287" s="12" t="n"/>
      <c r="G287" s="12" t="n">
        <v>46277</v>
      </c>
      <c r="H287" s="13" t="n">
        <v>-1084.9</v>
      </c>
      <c r="I287" s="11" t="inlineStr">
        <is>
          <t>EUR</t>
        </is>
      </c>
      <c r="J287" s="11" t="n"/>
      <c r="K287" s="11" t="inlineStr">
        <is>
          <t>07/26 Höhensicher.gerät,Karabiner,Winkelschl.</t>
        </is>
      </c>
      <c r="L287" s="12" t="n">
        <v>46254</v>
      </c>
      <c r="M287" s="14">
        <f>IF(G287="","n.a.",MAX(0,'[Steuerung.xlsx]Steuerung'!$F$12-G287))</f>
        <v/>
      </c>
    </row>
    <row r="288" ht="21" customHeight="1">
      <c r="C288" s="11" t="inlineStr">
        <is>
          <t>VERBINDLICHKEIT</t>
        </is>
      </c>
      <c r="D288" s="11" t="n"/>
      <c r="E288" s="11" t="inlineStr">
        <is>
          <t>7772</t>
        </is>
      </c>
      <c r="F288" s="12" t="n"/>
      <c r="G288" s="12" t="n">
        <v>46277</v>
      </c>
      <c r="H288" s="13" t="n">
        <v>-242.76</v>
      </c>
      <c r="I288" s="11" t="inlineStr">
        <is>
          <t>EUR</t>
        </is>
      </c>
      <c r="J288" s="11" t="n"/>
      <c r="K288" s="11" t="inlineStr">
        <is>
          <t>07/26 Gewebeband</t>
        </is>
      </c>
      <c r="L288" s="12" t="n">
        <v>46254</v>
      </c>
      <c r="M288" s="14">
        <f>IF(G288="","n.a.",MAX(0,'[Steuerung.xlsx]Steuerung'!$F$12-G288))</f>
        <v/>
      </c>
    </row>
    <row r="289" ht="21" customHeight="1">
      <c r="C289" s="11" t="inlineStr">
        <is>
          <t>VERBINDLICHKEIT</t>
        </is>
      </c>
      <c r="D289" s="11" t="n"/>
      <c r="E289" s="11" t="inlineStr">
        <is>
          <t>7906</t>
        </is>
      </c>
      <c r="F289" s="12" t="n"/>
      <c r="G289" s="12" t="n">
        <v>46291</v>
      </c>
      <c r="H289" s="13" t="n">
        <v>-877.63</v>
      </c>
      <c r="I289" s="11" t="inlineStr">
        <is>
          <t>EUR</t>
        </is>
      </c>
      <c r="J289" s="11" t="n"/>
      <c r="K289" s="11" t="inlineStr">
        <is>
          <t>07/26 Weithalsfass 60L blau</t>
        </is>
      </c>
      <c r="L289" s="12" t="n">
        <v>46254</v>
      </c>
      <c r="M289" s="14">
        <f>IF(G289="","n.a.",MAX(0,'[Steuerung.xlsx]Steuerung'!$F$12-G289))</f>
        <v/>
      </c>
    </row>
    <row r="290" ht="21" customHeight="1">
      <c r="C290" s="11" t="inlineStr">
        <is>
          <t>VERBINDLICHKEIT</t>
        </is>
      </c>
      <c r="D290" s="11" t="n"/>
      <c r="E290" s="11" t="inlineStr">
        <is>
          <t>7875</t>
        </is>
      </c>
      <c r="F290" s="12" t="n"/>
      <c r="G290" s="12" t="n">
        <v>46286</v>
      </c>
      <c r="H290" s="13" t="n">
        <v>-235.62</v>
      </c>
      <c r="I290" s="11" t="inlineStr">
        <is>
          <t>EUR</t>
        </is>
      </c>
      <c r="J290" s="11" t="n"/>
      <c r="K290" s="11" t="inlineStr">
        <is>
          <t>07/26 Werkzeugkoffer</t>
        </is>
      </c>
      <c r="L290" s="12" t="n">
        <v>46254</v>
      </c>
      <c r="M290" s="14">
        <f>IF(G290="","n.a.",MAX(0,'[Steuerung.xlsx]Steuerung'!$F$12-G290))</f>
        <v/>
      </c>
    </row>
    <row r="291" ht="21" customHeight="1">
      <c r="C291" s="11" t="inlineStr">
        <is>
          <t>VERBINDLICHKEIT</t>
        </is>
      </c>
      <c r="D291" s="11" t="n"/>
      <c r="E291" s="11" t="inlineStr">
        <is>
          <t>7877</t>
        </is>
      </c>
      <c r="F291" s="12" t="n"/>
      <c r="G291" s="12" t="n">
        <v>46286</v>
      </c>
      <c r="H291" s="13" t="n">
        <v>-128.88</v>
      </c>
      <c r="I291" s="11" t="inlineStr">
        <is>
          <t>EUR</t>
        </is>
      </c>
      <c r="J291" s="11" t="n"/>
      <c r="K291" s="11" t="inlineStr">
        <is>
          <t>07/26 Schrumpfhaube</t>
        </is>
      </c>
      <c r="L291" s="12" t="n">
        <v>46254</v>
      </c>
      <c r="M291" s="14">
        <f>IF(G291="","n.a.",MAX(0,'[Steuerung.xlsx]Steuerung'!$F$12-G291))</f>
        <v/>
      </c>
    </row>
    <row r="292" ht="21" customHeight="1">
      <c r="C292" s="11" t="inlineStr">
        <is>
          <t>VERBINDLICHKEIT</t>
        </is>
      </c>
      <c r="D292" s="11" t="n"/>
      <c r="E292" s="11" t="inlineStr">
        <is>
          <t>7878</t>
        </is>
      </c>
      <c r="F292" s="12" t="n"/>
      <c r="G292" s="12" t="n">
        <v>46286</v>
      </c>
      <c r="H292" s="13" t="n">
        <v>-10.38</v>
      </c>
      <c r="I292" s="11" t="inlineStr">
        <is>
          <t>EUR</t>
        </is>
      </c>
      <c r="J292" s="11" t="n"/>
      <c r="K292" s="11" t="inlineStr">
        <is>
          <t>07/26 Kabelbinder</t>
        </is>
      </c>
      <c r="L292" s="12" t="n">
        <v>46254</v>
      </c>
      <c r="M292" s="14">
        <f>IF(G292="","n.a.",MAX(0,'[Steuerung.xlsx]Steuerung'!$F$12-G292))</f>
        <v/>
      </c>
    </row>
    <row r="293" ht="21" customHeight="1">
      <c r="C293" s="11" t="inlineStr">
        <is>
          <t>VERBINDLICHKEIT</t>
        </is>
      </c>
      <c r="D293" s="11" t="n"/>
      <c r="E293" s="11" t="inlineStr">
        <is>
          <t>7876</t>
        </is>
      </c>
      <c r="F293" s="12" t="n"/>
      <c r="G293" s="12" t="n">
        <v>46286</v>
      </c>
      <c r="H293" s="13" t="n">
        <v>-113.8</v>
      </c>
      <c r="I293" s="11" t="inlineStr">
        <is>
          <t>EUR</t>
        </is>
      </c>
      <c r="J293" s="11" t="n"/>
      <c r="K293" s="11" t="inlineStr">
        <is>
          <t>07/26 Halbmaske,Filterdeckel,Gase-/Dämpfefilter</t>
        </is>
      </c>
      <c r="L293" s="12" t="n">
        <v>46254</v>
      </c>
      <c r="M293" s="14">
        <f>IF(G293="","n.a.",MAX(0,'[Steuerung.xlsx]Steuerung'!$F$12-G293))</f>
        <v/>
      </c>
    </row>
    <row r="294" ht="21" customHeight="1">
      <c r="C294" s="11" t="inlineStr">
        <is>
          <t>VERBINDLICHKEIT</t>
        </is>
      </c>
      <c r="D294" s="11" t="n"/>
      <c r="E294" s="11" t="inlineStr">
        <is>
          <t>7949</t>
        </is>
      </c>
      <c r="F294" s="12" t="n"/>
      <c r="G294" s="12" t="n">
        <v>46294</v>
      </c>
      <c r="H294" s="13" t="n">
        <v>-274.78</v>
      </c>
      <c r="I294" s="11" t="inlineStr">
        <is>
          <t>EUR</t>
        </is>
      </c>
      <c r="J294" s="11" t="n"/>
      <c r="K294" s="11" t="inlineStr">
        <is>
          <t>07/26 Säbelsäge</t>
        </is>
      </c>
      <c r="L294" s="12" t="n">
        <v>46254</v>
      </c>
      <c r="M294" s="14">
        <f>IF(G294="","n.a.",MAX(0,'[Steuerung.xlsx]Steuerung'!$F$12-G294))</f>
        <v/>
      </c>
    </row>
    <row r="295" ht="21" customHeight="1">
      <c r="C295" s="11" t="inlineStr">
        <is>
          <t>VERBINDLICHKEIT</t>
        </is>
      </c>
      <c r="D295" s="11" t="n"/>
      <c r="E295" s="11" t="inlineStr">
        <is>
          <t>7948</t>
        </is>
      </c>
      <c r="F295" s="12" t="n"/>
      <c r="G295" s="12" t="n">
        <v>46294</v>
      </c>
      <c r="H295" s="13" t="n">
        <v>-1591.57</v>
      </c>
      <c r="I295" s="11" t="inlineStr">
        <is>
          <t>EUR</t>
        </is>
      </c>
      <c r="J295" s="11" t="n"/>
      <c r="K295" s="11" t="inlineStr">
        <is>
          <t>07/26 div. Artikel</t>
        </is>
      </c>
      <c r="L295" s="12" t="n">
        <v>46254</v>
      </c>
      <c r="M295" s="14">
        <f>IF(G295="","n.a.",MAX(0,'[Steuerung.xlsx]Steuerung'!$F$12-G295))</f>
        <v/>
      </c>
    </row>
    <row r="296" ht="21" customHeight="1">
      <c r="C296" s="11" t="inlineStr">
        <is>
          <t>VERBINDLICHKEIT</t>
        </is>
      </c>
      <c r="D296" s="11" t="n"/>
      <c r="E296" s="11" t="inlineStr">
        <is>
          <t>7942</t>
        </is>
      </c>
      <c r="F296" s="12" t="n"/>
      <c r="G296" s="12" t="n">
        <v>46294</v>
      </c>
      <c r="H296" s="13" t="n">
        <v>-955.39</v>
      </c>
      <c r="I296" s="11" t="inlineStr">
        <is>
          <t>EUR</t>
        </is>
      </c>
      <c r="J296" s="11" t="n"/>
      <c r="K296" s="11" t="inlineStr">
        <is>
          <t>07/26 Miete Flaschenbündel-Füllung</t>
        </is>
      </c>
      <c r="L296" s="12" t="n">
        <v>46254</v>
      </c>
      <c r="M296" s="14">
        <f>IF(G296="","n.a.",MAX(0,'[Steuerung.xlsx]Steuerung'!$F$12-G296))</f>
        <v/>
      </c>
    </row>
    <row r="297" ht="21" customHeight="1">
      <c r="C297" s="11" t="inlineStr">
        <is>
          <t>VERBINDLICHKEIT</t>
        </is>
      </c>
      <c r="D297" s="11" t="n"/>
      <c r="E297" s="11" t="inlineStr">
        <is>
          <t>8021</t>
        </is>
      </c>
      <c r="F297" s="12" t="n"/>
      <c r="G297" s="12" t="n">
        <v>46298</v>
      </c>
      <c r="H297" s="13" t="n">
        <v>-33.88</v>
      </c>
      <c r="I297" s="11" t="inlineStr">
        <is>
          <t>EUR</t>
        </is>
      </c>
      <c r="J297" s="11" t="n"/>
      <c r="K297" s="11" t="inlineStr">
        <is>
          <t>08/26 Markierungsspray</t>
        </is>
      </c>
      <c r="L297" s="12" t="n">
        <v>46254</v>
      </c>
      <c r="M297" s="14">
        <f>IF(G297="","n.a.",MAX(0,'[Steuerung.xlsx]Steuerung'!$F$12-G297))</f>
        <v/>
      </c>
    </row>
    <row r="298" ht="21" customHeight="1">
      <c r="C298" s="11" t="inlineStr">
        <is>
          <t>VERBINDLICHKEIT</t>
        </is>
      </c>
      <c r="D298" s="11" t="n"/>
      <c r="E298" s="11" t="inlineStr">
        <is>
          <t>8020</t>
        </is>
      </c>
      <c r="F298" s="12" t="n"/>
      <c r="G298" s="12" t="n">
        <v>46298</v>
      </c>
      <c r="H298" s="13" t="n">
        <v>-274.78</v>
      </c>
      <c r="I298" s="11" t="inlineStr">
        <is>
          <t>EUR</t>
        </is>
      </c>
      <c r="J298" s="11" t="n"/>
      <c r="K298" s="11" t="inlineStr">
        <is>
          <t>08/26 Säbelsäge</t>
        </is>
      </c>
      <c r="L298" s="12" t="n">
        <v>46254</v>
      </c>
      <c r="M298" s="14">
        <f>IF(G298="","n.a.",MAX(0,'[Steuerung.xlsx]Steuerung'!$F$12-G298))</f>
        <v/>
      </c>
    </row>
    <row r="299" ht="21" customHeight="1">
      <c r="C299" s="11" t="inlineStr">
        <is>
          <t>VERBINDLICHKEIT</t>
        </is>
      </c>
      <c r="D299" s="11" t="n"/>
      <c r="E299" s="11" t="inlineStr">
        <is>
          <t>7944</t>
        </is>
      </c>
      <c r="F299" s="12" t="n"/>
      <c r="G299" s="12" t="n">
        <v>46294</v>
      </c>
      <c r="H299" s="13" t="n">
        <v>-272.51</v>
      </c>
      <c r="I299" s="11" t="inlineStr">
        <is>
          <t>EUR</t>
        </is>
      </c>
      <c r="J299" s="11" t="n"/>
      <c r="K299" s="11" t="inlineStr">
        <is>
          <t>07/26 Schutzanzug CoverStar®Eco</t>
        </is>
      </c>
      <c r="L299" s="12" t="n">
        <v>46254</v>
      </c>
      <c r="M299" s="14">
        <f>IF(G299="","n.a.",MAX(0,'[Steuerung.xlsx]Steuerung'!$F$12-G299))</f>
        <v/>
      </c>
    </row>
    <row r="300" ht="21" customHeight="1">
      <c r="C300" s="11" t="inlineStr">
        <is>
          <t>VERBINDLICHKEIT</t>
        </is>
      </c>
      <c r="D300" s="11" t="n"/>
      <c r="E300" s="11" t="inlineStr">
        <is>
          <t>7947</t>
        </is>
      </c>
      <c r="F300" s="12" t="n"/>
      <c r="G300" s="12" t="n">
        <v>46294</v>
      </c>
      <c r="H300" s="13" t="n">
        <v>-248.71</v>
      </c>
      <c r="I300" s="11" t="inlineStr">
        <is>
          <t>EUR</t>
        </is>
      </c>
      <c r="J300" s="11" t="n"/>
      <c r="K300" s="11" t="inlineStr">
        <is>
          <t>07/26 LED Lichtbandtrommel</t>
        </is>
      </c>
      <c r="L300" s="12" t="n">
        <v>46254</v>
      </c>
      <c r="M300" s="14">
        <f>IF(G300="","n.a.",MAX(0,'[Steuerung.xlsx]Steuerung'!$F$12-G300))</f>
        <v/>
      </c>
    </row>
    <row r="301" ht="21" customHeight="1">
      <c r="C301" s="11" t="inlineStr">
        <is>
          <t>VERBINDLICHKEIT</t>
        </is>
      </c>
      <c r="D301" s="11" t="n"/>
      <c r="E301" s="11" t="inlineStr">
        <is>
          <t>7945</t>
        </is>
      </c>
      <c r="F301" s="12" t="n"/>
      <c r="G301" s="12" t="n">
        <v>46294</v>
      </c>
      <c r="H301" s="13" t="n">
        <v>-2675.72</v>
      </c>
      <c r="I301" s="11" t="inlineStr">
        <is>
          <t>EUR</t>
        </is>
      </c>
      <c r="J301" s="11" t="n"/>
      <c r="K301" s="11" t="inlineStr">
        <is>
          <t>07/26 LED Lichtbandtrommel</t>
        </is>
      </c>
      <c r="L301" s="12" t="n">
        <v>46254</v>
      </c>
      <c r="M301" s="14">
        <f>IF(G301="","n.a.",MAX(0,'[Steuerung.xlsx]Steuerung'!$F$12-G301))</f>
        <v/>
      </c>
    </row>
    <row r="302" ht="21" customHeight="1">
      <c r="C302" s="11" t="inlineStr">
        <is>
          <t>VERBINDLICHKEIT</t>
        </is>
      </c>
      <c r="D302" s="11" t="n"/>
      <c r="E302" s="11" t="inlineStr">
        <is>
          <t>7943</t>
        </is>
      </c>
      <c r="F302" s="12" t="n"/>
      <c r="G302" s="12" t="n">
        <v>46294</v>
      </c>
      <c r="H302" s="13" t="n">
        <v>-339.15</v>
      </c>
      <c r="I302" s="11" t="inlineStr">
        <is>
          <t>EUR</t>
        </is>
      </c>
      <c r="J302" s="11" t="n"/>
      <c r="K302" s="11" t="inlineStr">
        <is>
          <t>07/26 Sauerstoffschlauch</t>
        </is>
      </c>
      <c r="L302" s="12" t="n">
        <v>46254</v>
      </c>
      <c r="M302" s="14">
        <f>IF(G302="","n.a.",MAX(0,'[Steuerung.xlsx]Steuerung'!$F$12-G302))</f>
        <v/>
      </c>
    </row>
    <row r="303" ht="21" customHeight="1">
      <c r="C303" s="11" t="inlineStr">
        <is>
          <t>VERBINDLICHKEIT</t>
        </is>
      </c>
      <c r="D303" s="11" t="n"/>
      <c r="E303" s="11" t="inlineStr">
        <is>
          <t>7946</t>
        </is>
      </c>
      <c r="F303" s="12" t="n"/>
      <c r="G303" s="12" t="n">
        <v>46294</v>
      </c>
      <c r="H303" s="13" t="n">
        <v>-71.88</v>
      </c>
      <c r="I303" s="11" t="inlineStr">
        <is>
          <t>EUR</t>
        </is>
      </c>
      <c r="J303" s="11" t="n"/>
      <c r="K303" s="11" t="inlineStr">
        <is>
          <t>07/26 Ölkehrspäne</t>
        </is>
      </c>
      <c r="L303" s="12" t="n">
        <v>46254</v>
      </c>
      <c r="M303" s="14">
        <f>IF(G303="","n.a.",MAX(0,'[Steuerung.xlsx]Steuerung'!$F$12-G303))</f>
        <v/>
      </c>
    </row>
    <row r="304" ht="21" customHeight="1">
      <c r="C304" s="11" t="inlineStr">
        <is>
          <t>VERBINDLICHKEIT</t>
        </is>
      </c>
      <c r="D304" s="11" t="n"/>
      <c r="E304" s="11" t="inlineStr">
        <is>
          <t>8080</t>
        </is>
      </c>
      <c r="F304" s="12" t="n"/>
      <c r="G304" s="12" t="n">
        <v>46300</v>
      </c>
      <c r="H304" s="13" t="n">
        <v>-351.05</v>
      </c>
      <c r="I304" s="11" t="inlineStr">
        <is>
          <t>EUR</t>
        </is>
      </c>
      <c r="J304" s="11" t="n"/>
      <c r="K304" s="11" t="inlineStr">
        <is>
          <t>08/26 Weithalsfass</t>
        </is>
      </c>
      <c r="L304" s="12" t="n">
        <v>46254</v>
      </c>
      <c r="M304" s="14">
        <f>IF(G304="","n.a.",MAX(0,'[Steuerung.xlsx]Steuerung'!$F$12-G304))</f>
        <v/>
      </c>
    </row>
    <row r="305" ht="21" customHeight="1">
      <c r="C305" s="11" t="inlineStr">
        <is>
          <t>VERBINDLICHKEIT</t>
        </is>
      </c>
      <c r="D305" s="11" t="n"/>
      <c r="E305" s="11" t="inlineStr">
        <is>
          <t>8081</t>
        </is>
      </c>
      <c r="F305" s="12" t="n"/>
      <c r="G305" s="12" t="n">
        <v>46300</v>
      </c>
      <c r="H305" s="13" t="n">
        <v>-721.88</v>
      </c>
      <c r="I305" s="11" t="inlineStr">
        <is>
          <t>EUR</t>
        </is>
      </c>
      <c r="J305" s="11" t="n"/>
      <c r="K305" s="11" t="inlineStr">
        <is>
          <t>08/26 div. Artikel</t>
        </is>
      </c>
      <c r="L305" s="12" t="n">
        <v>46254</v>
      </c>
      <c r="M305" s="14">
        <f>IF(G305="","n.a.",MAX(0,'[Steuerung.xlsx]Steuerung'!$F$12-G305))</f>
        <v/>
      </c>
    </row>
    <row r="306" ht="21" customHeight="1">
      <c r="C306" s="11" t="inlineStr">
        <is>
          <t>VERBINDLICHKEIT</t>
        </is>
      </c>
      <c r="D306" s="11" t="n"/>
      <c r="E306" s="11" t="inlineStr">
        <is>
          <t>8082</t>
        </is>
      </c>
      <c r="F306" s="12" t="n"/>
      <c r="G306" s="12" t="n">
        <v>46300</v>
      </c>
      <c r="H306" s="13" t="n">
        <v>-66.31</v>
      </c>
      <c r="I306" s="11" t="inlineStr">
        <is>
          <t>EUR</t>
        </is>
      </c>
      <c r="J306" s="11" t="n"/>
      <c r="K306" s="11" t="inlineStr">
        <is>
          <t>08/26 Handhebelfasspumpe</t>
        </is>
      </c>
      <c r="L306" s="12" t="n">
        <v>46254</v>
      </c>
      <c r="M306" s="14">
        <f>IF(G306="","n.a.",MAX(0,'[Steuerung.xlsx]Steuerung'!$F$12-G306))</f>
        <v/>
      </c>
    </row>
    <row r="307" ht="21" customHeight="1">
      <c r="C307" s="11" t="inlineStr">
        <is>
          <t>VERBINDLICHKEIT</t>
        </is>
      </c>
      <c r="D307" s="11" t="n"/>
      <c r="E307" s="11" t="inlineStr">
        <is>
          <t>7980</t>
        </is>
      </c>
      <c r="F307" s="12" t="n"/>
      <c r="G307" s="12" t="n">
        <v>46241</v>
      </c>
      <c r="H307" s="13" t="n">
        <v>-4165</v>
      </c>
      <c r="I307" s="11" t="inlineStr">
        <is>
          <t>EUR</t>
        </is>
      </c>
      <c r="J307" s="11" t="n"/>
      <c r="K307" s="11" t="inlineStr">
        <is>
          <t>07/26 Miete Raupenbagger, Tieflöffel</t>
        </is>
      </c>
      <c r="L307" s="12" t="n">
        <v>46254</v>
      </c>
      <c r="M307" s="14">
        <f>IF(G307="","n.a.",MAX(0,'[Steuerung.xlsx]Steuerung'!$F$12-G307))</f>
        <v/>
      </c>
    </row>
    <row r="308" ht="21" customHeight="1">
      <c r="C308" s="11" t="inlineStr">
        <is>
          <t>VERBINDLICHKEIT</t>
        </is>
      </c>
      <c r="D308" s="11" t="n"/>
      <c r="E308" s="11" t="inlineStr">
        <is>
          <t>7779</t>
        </is>
      </c>
      <c r="F308" s="12" t="n"/>
      <c r="G308" s="12" t="n">
        <v>46247</v>
      </c>
      <c r="H308" s="13" t="n">
        <v>-5562.83</v>
      </c>
      <c r="I308" s="11" t="inlineStr">
        <is>
          <t>EUR</t>
        </is>
      </c>
      <c r="J308" s="11" t="n"/>
      <c r="K308" s="11" t="inlineStr">
        <is>
          <t>07/26 Rep. Liebherr Seilbagger HS872</t>
        </is>
      </c>
      <c r="L308" s="12" t="n">
        <v>46254</v>
      </c>
      <c r="M308" s="14">
        <f>IF(G308="","n.a.",MAX(0,'[Steuerung.xlsx]Steuerung'!$F$12-G308))</f>
        <v/>
      </c>
    </row>
    <row r="309" ht="21" customHeight="1">
      <c r="C309" s="11" t="inlineStr">
        <is>
          <t>VERBINDLICHKEIT</t>
        </is>
      </c>
      <c r="D309" s="11" t="n"/>
      <c r="E309" s="11" t="inlineStr">
        <is>
          <t>7919</t>
        </is>
      </c>
      <c r="F309" s="12" t="n"/>
      <c r="G309" s="12" t="n">
        <v>46245</v>
      </c>
      <c r="H309" s="13" t="n">
        <v>-1670.76</v>
      </c>
      <c r="I309" s="11" t="inlineStr">
        <is>
          <t>EUR</t>
        </is>
      </c>
      <c r="J309" s="11" t="n"/>
      <c r="K309" s="11" t="inlineStr">
        <is>
          <t>04-06/26 Miete mobile Gasmesstechntik</t>
        </is>
      </c>
      <c r="L309" s="12" t="n">
        <v>46254</v>
      </c>
      <c r="M309" s="14">
        <f>IF(G309="","n.a.",MAX(0,'[Steuerung.xlsx]Steuerung'!$F$12-G309))</f>
        <v/>
      </c>
    </row>
    <row r="310" ht="21" customHeight="1">
      <c r="C310" s="11" t="inlineStr">
        <is>
          <t>VERBINDLICHKEIT</t>
        </is>
      </c>
      <c r="D310" s="11" t="n"/>
      <c r="E310" s="11" t="inlineStr">
        <is>
          <t>8058</t>
        </is>
      </c>
      <c r="F310" s="12" t="n"/>
      <c r="G310" s="12" t="n">
        <v>46239</v>
      </c>
      <c r="H310" s="13" t="n">
        <v>-9363.34</v>
      </c>
      <c r="I310" s="11" t="inlineStr">
        <is>
          <t>EUR</t>
        </is>
      </c>
      <c r="J310" s="11" t="n"/>
      <c r="K310" s="11" t="inlineStr">
        <is>
          <t>08/26 div. Mieten</t>
        </is>
      </c>
      <c r="L310" s="12" t="n">
        <v>46254</v>
      </c>
      <c r="M310" s="14">
        <f>IF(G310="","n.a.",MAX(0,'[Steuerung.xlsx]Steuerung'!$F$12-G310))</f>
        <v/>
      </c>
    </row>
    <row r="311" ht="21" customHeight="1">
      <c r="C311" s="11" t="inlineStr">
        <is>
          <t>VERBINDLICHKEIT</t>
        </is>
      </c>
      <c r="D311" s="11" t="n"/>
      <c r="E311" s="11" t="inlineStr">
        <is>
          <t>8059</t>
        </is>
      </c>
      <c r="F311" s="12" t="n"/>
      <c r="G311" s="12" t="n">
        <v>46239</v>
      </c>
      <c r="H311" s="13" t="n">
        <v>-2767.94</v>
      </c>
      <c r="I311" s="11" t="inlineStr">
        <is>
          <t>EUR</t>
        </is>
      </c>
      <c r="J311" s="11" t="n"/>
      <c r="K311" s="11" t="inlineStr">
        <is>
          <t>08/26 Miete ENVIRO Handfräsmaschine</t>
        </is>
      </c>
      <c r="L311" s="12" t="n">
        <v>46254</v>
      </c>
      <c r="M311" s="14">
        <f>IF(G311="","n.a.",MAX(0,'[Steuerung.xlsx]Steuerung'!$F$12-G311))</f>
        <v/>
      </c>
    </row>
    <row r="312" ht="21" customHeight="1">
      <c r="C312" s="11" t="inlineStr">
        <is>
          <t>VERBINDLICHKEIT</t>
        </is>
      </c>
      <c r="D312" s="11" t="n"/>
      <c r="E312" s="11" t="inlineStr">
        <is>
          <t>7935</t>
        </is>
      </c>
      <c r="F312" s="12" t="n"/>
      <c r="G312" s="12" t="n">
        <v>46255</v>
      </c>
      <c r="H312" s="13" t="n">
        <v>-107.96</v>
      </c>
      <c r="I312" s="11" t="inlineStr">
        <is>
          <t>EUR</t>
        </is>
      </c>
      <c r="J312" s="11" t="n"/>
      <c r="K312" s="11" t="inlineStr">
        <is>
          <t>07/26 Sprühlack RAL 1040 / 4020</t>
        </is>
      </c>
      <c r="L312" s="12" t="n">
        <v>46254</v>
      </c>
      <c r="M312" s="14">
        <f>IF(G312="","n.a.",MAX(0,'[Steuerung.xlsx]Steuerung'!$F$12-G312))</f>
        <v/>
      </c>
    </row>
    <row r="313" ht="21" customHeight="1">
      <c r="C313" s="11" t="inlineStr">
        <is>
          <t>VERBINDLICHKEIT</t>
        </is>
      </c>
      <c r="D313" s="11" t="n"/>
      <c r="E313" s="11" t="inlineStr">
        <is>
          <t>7965</t>
        </is>
      </c>
      <c r="F313" s="12" t="n"/>
      <c r="G313" s="12" t="n">
        <v>46255</v>
      </c>
      <c r="H313" s="13" t="n">
        <v>-1982.12</v>
      </c>
      <c r="I313" s="11" t="inlineStr">
        <is>
          <t>EUR</t>
        </is>
      </c>
      <c r="J313" s="11" t="n"/>
      <c r="K313" s="11" t="inlineStr">
        <is>
          <t>06/26 Diele</t>
        </is>
      </c>
      <c r="L313" s="12" t="n">
        <v>46254</v>
      </c>
      <c r="M313" s="14">
        <f>IF(G313="","n.a.",MAX(0,'[Steuerung.xlsx]Steuerung'!$F$12-G313))</f>
        <v/>
      </c>
    </row>
    <row r="314" ht="21" customHeight="1">
      <c r="C314" s="11" t="inlineStr">
        <is>
          <t>VERBINDLICHKEIT</t>
        </is>
      </c>
      <c r="D314" s="11" t="n"/>
      <c r="E314" s="11" t="inlineStr">
        <is>
          <t>8018</t>
        </is>
      </c>
      <c r="F314" s="12" t="n"/>
      <c r="G314" s="12" t="n">
        <v>46241</v>
      </c>
      <c r="H314" s="13" t="n">
        <v>-2618</v>
      </c>
      <c r="I314" s="11" t="inlineStr">
        <is>
          <t>EUR</t>
        </is>
      </c>
      <c r="J314" s="11" t="n"/>
      <c r="K314" s="11" t="inlineStr">
        <is>
          <t>07/26 Transport Kettenbagger CAT 336</t>
        </is>
      </c>
      <c r="L314" s="12" t="n">
        <v>46254</v>
      </c>
      <c r="M314" s="14">
        <f>IF(G314="","n.a.",MAX(0,'[Steuerung.xlsx]Steuerung'!$F$12-G314))</f>
        <v/>
      </c>
    </row>
    <row r="315" ht="21" customHeight="1">
      <c r="C315" s="11" t="inlineStr">
        <is>
          <t>VERBINDLICHKEIT</t>
        </is>
      </c>
      <c r="D315" s="11" t="n"/>
      <c r="E315" s="11" t="inlineStr">
        <is>
          <t>7789</t>
        </is>
      </c>
      <c r="F315" s="12" t="n"/>
      <c r="G315" s="12" t="n">
        <v>46248</v>
      </c>
      <c r="H315" s="13" t="n">
        <v>-1124.55</v>
      </c>
      <c r="I315" s="11" t="inlineStr">
        <is>
          <t>EUR</t>
        </is>
      </c>
      <c r="J315" s="11" t="n"/>
      <c r="K315" s="11" t="inlineStr">
        <is>
          <t>07/26 Einweganzug</t>
        </is>
      </c>
      <c r="L315" s="12" t="n">
        <v>46254</v>
      </c>
      <c r="M315" s="14">
        <f>IF(G315="","n.a.",MAX(0,'[Steuerung.xlsx]Steuerung'!$F$12-G315))</f>
        <v/>
      </c>
    </row>
    <row r="316" ht="21" customHeight="1">
      <c r="C316" s="11" t="inlineStr">
        <is>
          <t>VERBINDLICHKEIT</t>
        </is>
      </c>
      <c r="D316" s="11" t="n"/>
      <c r="E316" s="11" t="inlineStr">
        <is>
          <t>7894</t>
        </is>
      </c>
      <c r="F316" s="12" t="n"/>
      <c r="G316" s="12" t="n">
        <v>46260</v>
      </c>
      <c r="H316" s="13" t="n">
        <v>-7021</v>
      </c>
      <c r="I316" s="11" t="inlineStr">
        <is>
          <t>EUR</t>
        </is>
      </c>
      <c r="J316" s="11" t="n"/>
      <c r="K316" s="11" t="inlineStr">
        <is>
          <t>07/26 PP-Bändchengewebesack,Big Bag</t>
        </is>
      </c>
      <c r="L316" s="12" t="n">
        <v>46254</v>
      </c>
      <c r="M316" s="14">
        <f>IF(G316="","n.a.",MAX(0,'[Steuerung.xlsx]Steuerung'!$F$12-G316))</f>
        <v/>
      </c>
    </row>
    <row r="317" ht="21" customHeight="1">
      <c r="C317" s="11" t="inlineStr">
        <is>
          <t>VERBINDLICHKEIT</t>
        </is>
      </c>
      <c r="D317" s="11" t="n"/>
      <c r="E317" s="11" t="inlineStr">
        <is>
          <t>7853</t>
        </is>
      </c>
      <c r="F317" s="12" t="n"/>
      <c r="G317" s="12" t="n">
        <v>46255</v>
      </c>
      <c r="H317" s="13" t="n">
        <v>-5919.06</v>
      </c>
      <c r="I317" s="11" t="inlineStr">
        <is>
          <t>EUR</t>
        </is>
      </c>
      <c r="J317" s="11" t="n"/>
      <c r="K317" s="11" t="inlineStr">
        <is>
          <t>07/26 Miete Proflow SC Asbestos inkl. Zubehör</t>
        </is>
      </c>
      <c r="L317" s="12" t="n">
        <v>46254</v>
      </c>
      <c r="M317" s="14">
        <f>IF(G317="","n.a.",MAX(0,'[Steuerung.xlsx]Steuerung'!$F$12-G317))</f>
        <v/>
      </c>
    </row>
    <row r="318" ht="21" customHeight="1">
      <c r="C318" s="11" t="inlineStr">
        <is>
          <t>VERBINDLICHKEIT</t>
        </is>
      </c>
      <c r="D318" s="11" t="n"/>
      <c r="E318" s="11" t="inlineStr">
        <is>
          <t>7697</t>
        </is>
      </c>
      <c r="F318" s="12" t="n"/>
      <c r="G318" s="12" t="n">
        <v>46241</v>
      </c>
      <c r="H318" s="13" t="n">
        <v>-552.76</v>
      </c>
      <c r="I318" s="11" t="inlineStr">
        <is>
          <t>EUR</t>
        </is>
      </c>
      <c r="J318" s="11" t="n"/>
      <c r="K318" s="11" t="inlineStr">
        <is>
          <t>06/26 Filterkerzen</t>
        </is>
      </c>
      <c r="L318" s="12" t="n">
        <v>46254</v>
      </c>
      <c r="M318" s="14">
        <f>IF(G318="","n.a.",MAX(0,'[Steuerung.xlsx]Steuerung'!$F$12-G318))</f>
        <v/>
      </c>
    </row>
    <row r="319" ht="21" customHeight="1">
      <c r="C319" s="11" t="inlineStr">
        <is>
          <t>VERBINDLICHKEIT</t>
        </is>
      </c>
      <c r="D319" s="11" t="n"/>
      <c r="E319" s="11" t="inlineStr">
        <is>
          <t>7718</t>
        </is>
      </c>
      <c r="F319" s="12" t="n"/>
      <c r="G319" s="12" t="n">
        <v>46242</v>
      </c>
      <c r="H319" s="13" t="n">
        <v>-4923.03</v>
      </c>
      <c r="I319" s="11" t="inlineStr">
        <is>
          <t>EUR</t>
        </is>
      </c>
      <c r="J319" s="11" t="n"/>
      <c r="K319" s="11" t="inlineStr">
        <is>
          <t>07/26 Proflow SC Asbestos plus Zubehör</t>
        </is>
      </c>
      <c r="L319" s="12" t="n">
        <v>46254</v>
      </c>
      <c r="M319" s="14">
        <f>IF(G319="","n.a.",MAX(0,'[Steuerung.xlsx]Steuerung'!$F$12-G319))</f>
        <v/>
      </c>
    </row>
    <row r="320" ht="21" customHeight="1">
      <c r="C320" s="11" t="inlineStr">
        <is>
          <t>VERBINDLICHKEIT</t>
        </is>
      </c>
      <c r="D320" s="11" t="n"/>
      <c r="E320" s="11" t="inlineStr">
        <is>
          <t>8051</t>
        </is>
      </c>
      <c r="F320" s="12" t="n"/>
      <c r="G320" s="12" t="n">
        <v>46269</v>
      </c>
      <c r="H320" s="13" t="n">
        <v>-803.25</v>
      </c>
      <c r="I320" s="11" t="inlineStr">
        <is>
          <t>EUR</t>
        </is>
      </c>
      <c r="J320" s="11" t="n"/>
      <c r="K320" s="11" t="inlineStr">
        <is>
          <t>08/26 Einweganzug</t>
        </is>
      </c>
      <c r="L320" s="12" t="n">
        <v>46254</v>
      </c>
      <c r="M320" s="14">
        <f>IF(G320="","n.a.",MAX(0,'[Steuerung.xlsx]Steuerung'!$F$12-G320))</f>
        <v/>
      </c>
    </row>
    <row r="321" ht="21" customHeight="1">
      <c r="C321" s="11" t="inlineStr">
        <is>
          <t>VERBINDLICHKEIT</t>
        </is>
      </c>
      <c r="D321" s="11" t="n"/>
      <c r="E321" s="11" t="inlineStr">
        <is>
          <t>4714000038</t>
        </is>
      </c>
      <c r="F321" s="12" t="n"/>
      <c r="G321" s="12" t="n">
        <v>46184</v>
      </c>
      <c r="H321" s="13" t="n">
        <v>-17.74</v>
      </c>
      <c r="I321" s="11" t="inlineStr">
        <is>
          <t>EUR</t>
        </is>
      </c>
      <c r="J321" s="11" t="n"/>
      <c r="K321" s="11" t="inlineStr">
        <is>
          <t>*Skontorückzahlung zu 0421443</t>
        </is>
      </c>
      <c r="L321" s="12" t="n">
        <v>46254</v>
      </c>
      <c r="M321" s="14">
        <f>IF(G321="","n.a.",MAX(0,'[Steuerung.xlsx]Steuerung'!$F$12-G321))</f>
        <v/>
      </c>
    </row>
    <row r="322" ht="21" customHeight="1">
      <c r="C322" s="11" t="inlineStr">
        <is>
          <t>VERBINDLICHKEIT</t>
        </is>
      </c>
      <c r="D322" s="11" t="n"/>
      <c r="E322" s="11" t="inlineStr">
        <is>
          <t>8054</t>
        </is>
      </c>
      <c r="F322" s="12" t="n"/>
      <c r="G322" s="12" t="n">
        <v>46253</v>
      </c>
      <c r="H322" s="13" t="n">
        <v>-335.72</v>
      </c>
      <c r="I322" s="11" t="inlineStr">
        <is>
          <t>EUR</t>
        </is>
      </c>
      <c r="J322" s="11" t="n"/>
      <c r="K322" s="11" t="inlineStr">
        <is>
          <t>1.10.3084420; 2026 Straf-Rechtsschutz</t>
        </is>
      </c>
      <c r="L322" s="12" t="n">
        <v>46254</v>
      </c>
      <c r="M322" s="14">
        <f>IF(G322="","n.a.",MAX(0,'[Steuerung.xlsx]Steuerung'!$F$12-G322))</f>
        <v/>
      </c>
    </row>
    <row r="323" ht="21" customHeight="1">
      <c r="C323" s="11" t="inlineStr">
        <is>
          <t>VERBINDLICHKEIT</t>
        </is>
      </c>
      <c r="D323" s="11" t="n"/>
      <c r="E323" s="11" t="inlineStr">
        <is>
          <t>7901</t>
        </is>
      </c>
      <c r="F323" s="12" t="n"/>
      <c r="G323" s="12" t="n">
        <v>46238</v>
      </c>
      <c r="H323" s="13" t="n">
        <v>-3361.74</v>
      </c>
      <c r="I323" s="11" t="inlineStr">
        <is>
          <t>EUR</t>
        </is>
      </c>
      <c r="J323" s="11" t="n"/>
      <c r="K323" s="11" t="inlineStr">
        <is>
          <t>07/26 Transport versch. Stoffe</t>
        </is>
      </c>
      <c r="L323" s="12" t="n">
        <v>46254</v>
      </c>
      <c r="M323" s="14">
        <f>IF(G323="","n.a.",MAX(0,'[Steuerung.xlsx]Steuerung'!$F$12-G323))</f>
        <v/>
      </c>
    </row>
    <row r="324" ht="21" customHeight="1">
      <c r="C324" s="11" t="inlineStr">
        <is>
          <t>VERBINDLICHKEIT</t>
        </is>
      </c>
      <c r="D324" s="11" t="n"/>
      <c r="E324" s="11" t="inlineStr">
        <is>
          <t>6000000391</t>
        </is>
      </c>
      <c r="F324" s="12" t="n"/>
      <c r="G324" s="12" t="n">
        <v>46235</v>
      </c>
      <c r="H324" s="13" t="n">
        <v>-4390.71</v>
      </c>
      <c r="I324" s="11" t="inlineStr">
        <is>
          <t>EUR</t>
        </is>
      </c>
      <c r="J324" s="11" t="n"/>
      <c r="K324" s="11" t="inlineStr">
        <is>
          <t>V-077-517-934-6 Maschinenversicherung</t>
        </is>
      </c>
      <c r="L324" s="12" t="n">
        <v>46254</v>
      </c>
      <c r="M324" s="14">
        <f>IF(G324="","n.a.",MAX(0,'[Steuerung.xlsx]Steuerung'!$F$12-G324))</f>
        <v/>
      </c>
    </row>
    <row r="325" ht="21" customHeight="1">
      <c r="C325" s="11" t="inlineStr">
        <is>
          <t>VERBINDLICHKEIT</t>
        </is>
      </c>
      <c r="D325" s="11" t="n"/>
      <c r="E325" s="11" t="inlineStr">
        <is>
          <t>7904</t>
        </is>
      </c>
      <c r="F325" s="12" t="n"/>
      <c r="G325" s="12" t="n">
        <v>46260</v>
      </c>
      <c r="H325" s="13" t="n">
        <v>-4500.17</v>
      </c>
      <c r="I325" s="11" t="inlineStr">
        <is>
          <t>EUR</t>
        </is>
      </c>
      <c r="J325" s="11" t="n"/>
      <c r="K325" s="11" t="inlineStr">
        <is>
          <t>05/26 OSL-AW 5 HU+Rep.</t>
        </is>
      </c>
      <c r="L325" s="12" t="n">
        <v>46254</v>
      </c>
      <c r="M325" s="14">
        <f>IF(G325="","n.a.",MAX(0,'[Steuerung.xlsx]Steuerung'!$F$12-G325))</f>
        <v/>
      </c>
    </row>
    <row r="326" ht="21" customHeight="1">
      <c r="C326" s="11" t="inlineStr">
        <is>
          <t>VERBINDLICHKEIT</t>
        </is>
      </c>
      <c r="D326" s="11" t="n"/>
      <c r="E326" s="11" t="inlineStr">
        <is>
          <t>7491</t>
        </is>
      </c>
      <c r="F326" s="12" t="n"/>
      <c r="G326" s="12" t="n">
        <v>46232</v>
      </c>
      <c r="H326" s="13" t="n">
        <v>-25500</v>
      </c>
      <c r="I326" s="11" t="inlineStr">
        <is>
          <t>EUR</t>
        </is>
      </c>
      <c r="J326" s="11" t="n"/>
      <c r="K326" s="11" t="inlineStr">
        <is>
          <t>04-05/26 Abbruch "Blauer Bock" BASF U505</t>
        </is>
      </c>
      <c r="L326" s="12" t="n">
        <v>46254</v>
      </c>
      <c r="M326" s="14">
        <f>IF(G326="","n.a.",MAX(0,'[Steuerung.xlsx]Steuerung'!$F$12-G326))</f>
        <v/>
      </c>
    </row>
    <row r="327" ht="21" customHeight="1">
      <c r="C327" s="11" t="inlineStr">
        <is>
          <t>VERBINDLICHKEIT</t>
        </is>
      </c>
      <c r="D327" s="11" t="n"/>
      <c r="E327" s="11" t="inlineStr">
        <is>
          <t>7962</t>
        </is>
      </c>
      <c r="F327" s="12" t="n"/>
      <c r="G327" s="12" t="n">
        <v>46264</v>
      </c>
      <c r="H327" s="13" t="n">
        <v>-20733.55</v>
      </c>
      <c r="I327" s="11" t="inlineStr">
        <is>
          <t>EUR</t>
        </is>
      </c>
      <c r="J327" s="11" t="n"/>
      <c r="K327" s="11" t="inlineStr">
        <is>
          <t>07/26 Entsorgung versch. Stoffe</t>
        </is>
      </c>
      <c r="L327" s="12" t="n">
        <v>46254</v>
      </c>
      <c r="M327" s="14">
        <f>IF(G327="","n.a.",MAX(0,'[Steuerung.xlsx]Steuerung'!$F$12-G327))</f>
        <v/>
      </c>
    </row>
    <row r="328" ht="21" customHeight="1">
      <c r="C328" s="11" t="inlineStr">
        <is>
          <t>VERBINDLICHKEIT</t>
        </is>
      </c>
      <c r="D328" s="11" t="n"/>
      <c r="E328" s="11" t="inlineStr">
        <is>
          <t>7815</t>
        </is>
      </c>
      <c r="F328" s="12" t="n"/>
      <c r="G328" s="12" t="n">
        <v>46223</v>
      </c>
      <c r="H328" s="13" t="n">
        <v>-75000</v>
      </c>
      <c r="I328" s="11" t="inlineStr">
        <is>
          <t>EUR</t>
        </is>
      </c>
      <c r="J328" s="11" t="n"/>
      <c r="K328" s="11" t="inlineStr">
        <is>
          <t>04-06/26 4. Abschlag Abbruch "Blauer Bock"</t>
        </is>
      </c>
      <c r="L328" s="12" t="n">
        <v>46254</v>
      </c>
      <c r="M328" s="14">
        <f>IF(G328="","n.a.",MAX(0,'[Steuerung.xlsx]Steuerung'!$F$12-G328))</f>
        <v/>
      </c>
    </row>
    <row r="329" ht="21" customHeight="1">
      <c r="C329" s="11" t="inlineStr">
        <is>
          <t>VERBINDLICHKEIT</t>
        </is>
      </c>
      <c r="D329" s="11" t="n"/>
      <c r="E329" s="11" t="inlineStr">
        <is>
          <t>7816</t>
        </is>
      </c>
      <c r="F329" s="12" t="n"/>
      <c r="G329" s="12" t="n">
        <v>46223</v>
      </c>
      <c r="H329" s="13" t="n">
        <v>-112012.19</v>
      </c>
      <c r="I329" s="11" t="inlineStr">
        <is>
          <t>EUR</t>
        </is>
      </c>
      <c r="J329" s="11" t="n"/>
      <c r="K329" s="11" t="inlineStr">
        <is>
          <t>04-06/26 5. Abschlag Abbruch "Blauer Bock"</t>
        </is>
      </c>
      <c r="L329" s="12" t="n">
        <v>46254</v>
      </c>
      <c r="M329" s="14">
        <f>IF(G329="","n.a.",MAX(0,'[Steuerung.xlsx]Steuerung'!$F$12-G329))</f>
        <v/>
      </c>
    </row>
    <row r="330" ht="21" customHeight="1">
      <c r="C330" s="11" t="inlineStr">
        <is>
          <t>VERBINDLICHKEIT</t>
        </is>
      </c>
      <c r="D330" s="11" t="n"/>
      <c r="E330" s="11" t="inlineStr">
        <is>
          <t>7960</t>
        </is>
      </c>
      <c r="F330" s="12" t="n"/>
      <c r="G330" s="12" t="n">
        <v>46264</v>
      </c>
      <c r="H330" s="13" t="n">
        <v>-51885.8</v>
      </c>
      <c r="I330" s="11" t="inlineStr">
        <is>
          <t>EUR</t>
        </is>
      </c>
      <c r="J330" s="11" t="n"/>
      <c r="K330" s="11" t="inlineStr">
        <is>
          <t>04-06/26 Abbruch "Blauer Bock" BASF U505</t>
        </is>
      </c>
      <c r="L330" s="12" t="n">
        <v>46254</v>
      </c>
      <c r="M330" s="14">
        <f>IF(G330="","n.a.",MAX(0,'[Steuerung.xlsx]Steuerung'!$F$12-G330))</f>
        <v/>
      </c>
    </row>
    <row r="331" ht="21" customHeight="1">
      <c r="C331" s="11" t="inlineStr">
        <is>
          <t>VERBINDLICHKEIT</t>
        </is>
      </c>
      <c r="D331" s="11" t="n"/>
      <c r="E331" s="11" t="inlineStr">
        <is>
          <t>7961</t>
        </is>
      </c>
      <c r="F331" s="12" t="n"/>
      <c r="G331" s="12" t="n">
        <v>46264</v>
      </c>
      <c r="H331" s="13" t="n">
        <v>-75000</v>
      </c>
      <c r="I331" s="11" t="inlineStr">
        <is>
          <t>EUR</t>
        </is>
      </c>
      <c r="J331" s="11" t="n"/>
      <c r="K331" s="11" t="inlineStr">
        <is>
          <t>04-06/26 Abbruch "Blauer Bock" BASF U505</t>
        </is>
      </c>
      <c r="L331" s="12" t="n">
        <v>46254</v>
      </c>
      <c r="M331" s="14">
        <f>IF(G331="","n.a.",MAX(0,'[Steuerung.xlsx]Steuerung'!$F$12-G331))</f>
        <v/>
      </c>
    </row>
    <row r="332" ht="21" customHeight="1">
      <c r="C332" s="11" t="inlineStr">
        <is>
          <t>VERBINDLICHKEIT</t>
        </is>
      </c>
      <c r="D332" s="11" t="n"/>
      <c r="E332" s="11" t="inlineStr">
        <is>
          <t>7978</t>
        </is>
      </c>
      <c r="F332" s="12" t="n"/>
      <c r="G332" s="12" t="n">
        <v>46238</v>
      </c>
      <c r="H332" s="13" t="n">
        <v>-535.5</v>
      </c>
      <c r="I332" s="11" t="inlineStr">
        <is>
          <t>EUR</t>
        </is>
      </c>
      <c r="J332" s="11" t="n"/>
      <c r="K332" s="11" t="inlineStr">
        <is>
          <t>08/26 UHR Schießgartenweg 8a Frankenthal Gebäude D</t>
        </is>
      </c>
      <c r="L332" s="12" t="n">
        <v>46254</v>
      </c>
      <c r="M332" s="14">
        <f>IF(G332="","n.a.",MAX(0,'[Steuerung.xlsx]Steuerung'!$F$12-G332))</f>
        <v/>
      </c>
    </row>
    <row r="333" ht="21" customHeight="1">
      <c r="C333" s="11" t="inlineStr">
        <is>
          <t>VERBINDLICHKEIT</t>
        </is>
      </c>
      <c r="D333" s="11" t="n"/>
      <c r="E333" s="11" t="inlineStr">
        <is>
          <t>8040</t>
        </is>
      </c>
      <c r="F333" s="12" t="n"/>
      <c r="G333" s="12" t="n">
        <v>46244</v>
      </c>
      <c r="H333" s="13" t="n">
        <v>-133.56</v>
      </c>
      <c r="I333" s="11" t="inlineStr">
        <is>
          <t>EUR</t>
        </is>
      </c>
      <c r="J333" s="11" t="n"/>
      <c r="K333" s="11" t="inlineStr">
        <is>
          <t>07/26 Kostenberechnung Abberufung Hr. Kay</t>
        </is>
      </c>
      <c r="L333" s="12" t="n">
        <v>46254</v>
      </c>
      <c r="M333" s="14">
        <f>IF(G333="","n.a.",MAX(0,'[Steuerung.xlsx]Steuerung'!$F$12-G333))</f>
        <v/>
      </c>
    </row>
    <row r="334" ht="21" customHeight="1">
      <c r="C334" s="11" t="inlineStr">
        <is>
          <t>VERBINDLICHKEIT</t>
        </is>
      </c>
      <c r="D334" s="11" t="n"/>
      <c r="E334" s="11" t="inlineStr">
        <is>
          <t>8060</t>
        </is>
      </c>
      <c r="F334" s="12" t="n"/>
      <c r="G334" s="12" t="n">
        <v>46253</v>
      </c>
      <c r="H334" s="13" t="n">
        <v>-2427.6</v>
      </c>
      <c r="I334" s="11" t="inlineStr">
        <is>
          <t>EUR</t>
        </is>
      </c>
      <c r="J334" s="11" t="n"/>
      <c r="K334" s="11" t="inlineStr">
        <is>
          <t>08/26 Dielen</t>
        </is>
      </c>
      <c r="L334" s="12" t="n">
        <v>46254</v>
      </c>
      <c r="M334" s="14">
        <f>IF(G334="","n.a.",MAX(0,'[Steuerung.xlsx]Steuerung'!$F$12-G334))</f>
        <v/>
      </c>
    </row>
    <row r="335" ht="21" customHeight="1">
      <c r="C335" s="11" t="inlineStr">
        <is>
          <t>VERBINDLICHKEIT</t>
        </is>
      </c>
      <c r="D335" s="11" t="n"/>
      <c r="E335" s="11" t="inlineStr">
        <is>
          <t>7954</t>
        </is>
      </c>
      <c r="F335" s="12" t="n"/>
      <c r="G335" s="12" t="n">
        <v>46241</v>
      </c>
      <c r="H335" s="13" t="n">
        <v>-249.9</v>
      </c>
      <c r="I335" s="11" t="inlineStr">
        <is>
          <t>EUR</t>
        </is>
      </c>
      <c r="J335" s="11" t="n"/>
      <c r="K335" s="11" t="inlineStr">
        <is>
          <t>07/26 IT-Dienstleistungen</t>
        </is>
      </c>
      <c r="L335" s="12" t="n">
        <v>46254</v>
      </c>
      <c r="M335" s="14">
        <f>IF(G335="","n.a.",MAX(0,'[Steuerung.xlsx]Steuerung'!$F$12-G335))</f>
        <v/>
      </c>
    </row>
    <row r="336" ht="21" customHeight="1">
      <c r="C336" s="11" t="inlineStr">
        <is>
          <t>VERBINDLICHKEIT</t>
        </is>
      </c>
      <c r="D336" s="11" t="n"/>
      <c r="E336" s="11" t="inlineStr">
        <is>
          <t>7941</t>
        </is>
      </c>
      <c r="F336" s="12" t="n"/>
      <c r="G336" s="12" t="n">
        <v>46248</v>
      </c>
      <c r="H336" s="13" t="n">
        <v>-110.55</v>
      </c>
      <c r="I336" s="11" t="inlineStr">
        <is>
          <t>EUR</t>
        </is>
      </c>
      <c r="J336" s="11" t="n"/>
      <c r="K336" s="11" t="inlineStr">
        <is>
          <t>08/26 Festnetz KN2748192212 BK5631079067</t>
        </is>
      </c>
      <c r="L336" s="12" t="n">
        <v>46254</v>
      </c>
      <c r="M336" s="14">
        <f>IF(G336="","n.a.",MAX(0,'[Steuerung.xlsx]Steuerung'!$F$12-G336))</f>
        <v/>
      </c>
    </row>
    <row r="337" ht="21" customHeight="1">
      <c r="C337" s="11" t="inlineStr">
        <is>
          <t>VERBINDLICHKEIT</t>
        </is>
      </c>
      <c r="D337" s="11" t="n"/>
      <c r="E337" s="11" t="inlineStr">
        <is>
          <t>7760</t>
        </is>
      </c>
      <c r="F337" s="12" t="n"/>
      <c r="G337" s="12" t="n">
        <v>46246</v>
      </c>
      <c r="H337" s="13" t="n">
        <v>-1099.02</v>
      </c>
      <c r="I337" s="11" t="inlineStr">
        <is>
          <t>EUR</t>
        </is>
      </c>
      <c r="J337" s="11" t="n"/>
      <c r="K337" s="11" t="inlineStr">
        <is>
          <t>06/26 KN 40611100 RV 80002917_1</t>
        </is>
      </c>
      <c r="L337" s="12" t="n">
        <v>46254</v>
      </c>
      <c r="M337" s="14">
        <f>IF(G337="","n.a.",MAX(0,'[Steuerung.xlsx]Steuerung'!$F$12-G337))</f>
        <v/>
      </c>
    </row>
    <row r="338" ht="21" customHeight="1">
      <c r="C338" s="11" t="inlineStr">
        <is>
          <t>VERBINDLICHKEIT</t>
        </is>
      </c>
      <c r="D338" s="11" t="n"/>
      <c r="E338" s="11" t="inlineStr">
        <is>
          <t>6000000383</t>
        </is>
      </c>
      <c r="F338" s="12" t="n"/>
      <c r="G338" s="12" t="n">
        <v>46235</v>
      </c>
      <c r="H338" s="13" t="n">
        <v>-353.64</v>
      </c>
      <c r="I338" s="11" t="inlineStr">
        <is>
          <t>EUR</t>
        </is>
      </c>
      <c r="J338" s="11" t="n"/>
      <c r="K338" s="11" t="inlineStr">
        <is>
          <t>Leasing CB-TV 15</t>
        </is>
      </c>
      <c r="L338" s="12" t="n">
        <v>46254</v>
      </c>
      <c r="M338" s="14">
        <f>IF(G338="","n.a.",MAX(0,'[Steuerung.xlsx]Steuerung'!$F$12-G338))</f>
        <v/>
      </c>
    </row>
    <row r="339" ht="21" customHeight="1">
      <c r="C339" s="11" t="inlineStr">
        <is>
          <t>VERBINDLICHKEIT</t>
        </is>
      </c>
      <c r="D339" s="11" t="n"/>
      <c r="E339" s="11" t="inlineStr">
        <is>
          <t>8025</t>
        </is>
      </c>
      <c r="F339" s="12" t="n"/>
      <c r="G339" s="12" t="n">
        <v>46268</v>
      </c>
      <c r="H339" s="13" t="n">
        <v>-4696.75</v>
      </c>
      <c r="I339" s="11" t="inlineStr">
        <is>
          <t>EUR</t>
        </is>
      </c>
      <c r="J339" s="11" t="n"/>
      <c r="K339" s="11" t="inlineStr">
        <is>
          <t>08/26 Flachsäcke PE-LD</t>
        </is>
      </c>
      <c r="L339" s="12" t="n">
        <v>46254</v>
      </c>
      <c r="M339" s="14">
        <f>IF(G339="","n.a.",MAX(0,'[Steuerung.xlsx]Steuerung'!$F$12-G339))</f>
        <v/>
      </c>
    </row>
    <row r="340" ht="21" customHeight="1">
      <c r="C340" s="11" t="inlineStr">
        <is>
          <t>VERBINDLICHKEIT</t>
        </is>
      </c>
      <c r="D340" s="11" t="n"/>
      <c r="E340" s="11" t="inlineStr">
        <is>
          <t>7994</t>
        </is>
      </c>
      <c r="F340" s="12" t="n"/>
      <c r="G340" s="12" t="n">
        <v>46238</v>
      </c>
      <c r="H340" s="13" t="n">
        <v>-26000</v>
      </c>
      <c r="I340" s="11" t="inlineStr">
        <is>
          <t>EUR</t>
        </is>
      </c>
      <c r="J340" s="11" t="n"/>
      <c r="K340" s="11" t="inlineStr">
        <is>
          <t>06-07/26 Demontage- &amp; Brennschneidearbeiten</t>
        </is>
      </c>
      <c r="L340" s="12" t="n">
        <v>46254</v>
      </c>
      <c r="M340" s="14">
        <f>IF(G340="","n.a.",MAX(0,'[Steuerung.xlsx]Steuerung'!$F$12-G340))</f>
        <v/>
      </c>
    </row>
    <row r="341" ht="21" customHeight="1">
      <c r="C341" s="11" t="inlineStr">
        <is>
          <t>VERBINDLICHKEIT</t>
        </is>
      </c>
      <c r="D341" s="11" t="n"/>
      <c r="E341" s="11" t="inlineStr">
        <is>
          <t>7771</t>
        </is>
      </c>
      <c r="F341" s="12" t="n"/>
      <c r="G341" s="12" t="n">
        <v>46277</v>
      </c>
      <c r="H341" s="13" t="n">
        <v>-549.47</v>
      </c>
      <c r="I341" s="11" t="inlineStr">
        <is>
          <t>EUR</t>
        </is>
      </c>
      <c r="J341" s="11" t="n"/>
      <c r="K341" s="11" t="inlineStr">
        <is>
          <t>07/26 CB-NA 431 Radwechsel</t>
        </is>
      </c>
      <c r="L341" s="12" t="n">
        <v>46254</v>
      </c>
      <c r="M341" s="14">
        <f>IF(G341="","n.a.",MAX(0,'[Steuerung.xlsx]Steuerung'!$F$12-G341))</f>
        <v/>
      </c>
    </row>
    <row r="342" ht="21" customHeight="1">
      <c r="C342" s="11" t="inlineStr">
        <is>
          <t>VERBINDLICHKEIT</t>
        </is>
      </c>
      <c r="D342" s="11" t="n"/>
      <c r="E342" s="11" t="inlineStr">
        <is>
          <t>8050</t>
        </is>
      </c>
      <c r="F342" s="12" t="n"/>
      <c r="G342" s="12" t="n">
        <v>46254</v>
      </c>
      <c r="H342" s="13" t="n">
        <v>-113.05</v>
      </c>
      <c r="I342" s="11" t="inlineStr">
        <is>
          <t>EUR</t>
        </is>
      </c>
      <c r="J342" s="11" t="n"/>
      <c r="K342" s="11" t="inlineStr">
        <is>
          <t>07/26 Transport Bauzäune</t>
        </is>
      </c>
      <c r="L342" s="12" t="n">
        <v>46254</v>
      </c>
      <c r="M342" s="14">
        <f>IF(G342="","n.a.",MAX(0,'[Steuerung.xlsx]Steuerung'!$F$12-G342))</f>
        <v/>
      </c>
    </row>
    <row r="343" ht="21" customHeight="1">
      <c r="C343" s="11" t="inlineStr">
        <is>
          <t>VERBINDLICHKEIT</t>
        </is>
      </c>
      <c r="D343" s="11" t="n"/>
      <c r="E343" s="11" t="inlineStr">
        <is>
          <t>3000081</t>
        </is>
      </c>
      <c r="F343" s="12" t="n"/>
      <c r="G343" s="12" t="n">
        <v>46233</v>
      </c>
      <c r="H343" s="13" t="n">
        <v>-434</v>
      </c>
      <c r="I343" s="11" t="inlineStr">
        <is>
          <t>EUR</t>
        </is>
      </c>
      <c r="J343" s="11" t="n"/>
      <c r="K343" s="11" t="inlineStr">
        <is>
          <t>06-07/26 Ausbildungsdurchlauf Büro Frankenthal</t>
        </is>
      </c>
      <c r="L343" s="12" t="n">
        <v>46254</v>
      </c>
      <c r="M343" s="14">
        <f>IF(G343="","n.a.",MAX(0,'[Steuerung.xlsx]Steuerung'!$F$12-G343))</f>
        <v/>
      </c>
    </row>
    <row r="344" ht="21" customHeight="1">
      <c r="C344" s="11" t="inlineStr">
        <is>
          <t>VERBINDLICHKEIT</t>
        </is>
      </c>
      <c r="D344" s="11" t="n"/>
      <c r="E344" s="11" t="inlineStr">
        <is>
          <t>8057</t>
        </is>
      </c>
      <c r="F344" s="12" t="n"/>
      <c r="G344" s="12" t="n">
        <v>46252</v>
      </c>
      <c r="H344" s="13" t="n">
        <v>-658.61</v>
      </c>
      <c r="I344" s="11" t="inlineStr">
        <is>
          <t>EUR</t>
        </is>
      </c>
      <c r="J344" s="11" t="n"/>
      <c r="K344" s="11" t="inlineStr">
        <is>
          <t>08/26 Service-/Wartungsgebühr bau-mobil Lizenzen</t>
        </is>
      </c>
      <c r="L344" s="12" t="n">
        <v>46254</v>
      </c>
      <c r="M344" s="14">
        <f>IF(G344="","n.a.",MAX(0,'[Steuerung.xlsx]Steuerung'!$F$12-G344))</f>
        <v/>
      </c>
    </row>
    <row r="345" ht="21" customHeight="1">
      <c r="C345" s="11" t="inlineStr">
        <is>
          <t>VERBINDLICHKEIT</t>
        </is>
      </c>
      <c r="D345" s="11" t="n"/>
      <c r="E345" s="11" t="inlineStr">
        <is>
          <t>3000080</t>
        </is>
      </c>
      <c r="F345" s="12" t="n"/>
      <c r="G345" s="12" t="n">
        <v>46235</v>
      </c>
      <c r="H345" s="13" t="n">
        <v>-704.5700000000001</v>
      </c>
      <c r="I345" s="11" t="inlineStr">
        <is>
          <t>EUR</t>
        </is>
      </c>
      <c r="J345" s="11" t="n"/>
      <c r="K345" s="11" t="inlineStr">
        <is>
          <t>06-07/26 Baustellenbetreuung</t>
        </is>
      </c>
      <c r="L345" s="12" t="n">
        <v>46254</v>
      </c>
      <c r="M345" s="14">
        <f>IF(G345="","n.a.",MAX(0,'[Steuerung.xlsx]Steuerung'!$F$12-G345))</f>
        <v/>
      </c>
    </row>
    <row r="346" ht="21" customHeight="1">
      <c r="C346" s="11" t="inlineStr">
        <is>
          <t>VERBINDLICHKEIT</t>
        </is>
      </c>
      <c r="D346" s="11" t="n"/>
      <c r="E346" s="11" t="inlineStr">
        <is>
          <t>8005</t>
        </is>
      </c>
      <c r="F346" s="12" t="n"/>
      <c r="G346" s="12" t="n">
        <v>46245</v>
      </c>
      <c r="H346" s="13" t="n">
        <v>-130</v>
      </c>
      <c r="I346" s="11" t="inlineStr">
        <is>
          <t>EUR</t>
        </is>
      </c>
      <c r="J346" s="11" t="n"/>
      <c r="K346" s="11" t="inlineStr">
        <is>
          <t>08/26 ÜN + Parken Hr. Kemper</t>
        </is>
      </c>
      <c r="L346" s="12" t="n">
        <v>46254</v>
      </c>
      <c r="M346" s="14">
        <f>IF(G346="","n.a.",MAX(0,'[Steuerung.xlsx]Steuerung'!$F$12-G346))</f>
        <v/>
      </c>
    </row>
    <row r="347" ht="21" customHeight="1">
      <c r="C347" s="11" t="inlineStr">
        <is>
          <t>VERBINDLICHKEIT</t>
        </is>
      </c>
      <c r="D347" s="11" t="n"/>
      <c r="E347" s="11" t="inlineStr">
        <is>
          <t>8006</t>
        </is>
      </c>
      <c r="F347" s="12" t="n"/>
      <c r="G347" s="12" t="n">
        <v>46245</v>
      </c>
      <c r="H347" s="13" t="n">
        <v>-130</v>
      </c>
      <c r="I347" s="11" t="inlineStr">
        <is>
          <t>EUR</t>
        </is>
      </c>
      <c r="J347" s="11" t="n"/>
      <c r="K347" s="11" t="inlineStr">
        <is>
          <t>08/26 ÜN + Parken Hr. Kenski</t>
        </is>
      </c>
      <c r="L347" s="12" t="n">
        <v>46254</v>
      </c>
      <c r="M347" s="14">
        <f>IF(G347="","n.a.",MAX(0,'[Steuerung.xlsx]Steuerung'!$F$12-G347))</f>
        <v/>
      </c>
    </row>
    <row r="348" ht="21" customHeight="1">
      <c r="C348" s="11" t="inlineStr">
        <is>
          <t>VERBINDLICHKEIT</t>
        </is>
      </c>
      <c r="D348" s="11" t="n"/>
      <c r="E348" s="11" t="inlineStr">
        <is>
          <t>7893</t>
        </is>
      </c>
      <c r="F348" s="12" t="n"/>
      <c r="G348" s="12" t="n">
        <v>46243</v>
      </c>
      <c r="H348" s="13" t="n">
        <v>-773.5</v>
      </c>
      <c r="I348" s="11" t="inlineStr">
        <is>
          <t>EUR</t>
        </is>
      </c>
      <c r="J348" s="11" t="n"/>
      <c r="K348" s="11" t="inlineStr">
        <is>
          <t>07/26 Aufbau mobile Absturzsicherung</t>
        </is>
      </c>
      <c r="L348" s="12" t="n">
        <v>46254</v>
      </c>
      <c r="M348" s="14">
        <f>IF(G348="","n.a.",MAX(0,'[Steuerung.xlsx]Steuerung'!$F$12-G348))</f>
        <v/>
      </c>
    </row>
    <row r="349" ht="21" customHeight="1">
      <c r="C349" s="11" t="inlineStr">
        <is>
          <t>VERBINDLICHKEIT</t>
        </is>
      </c>
      <c r="D349" s="11" t="n"/>
      <c r="E349" s="11" t="inlineStr">
        <is>
          <t>8022</t>
        </is>
      </c>
      <c r="F349" s="12" t="n"/>
      <c r="G349" s="12" t="n">
        <v>46241</v>
      </c>
      <c r="H349" s="13" t="n">
        <v>-397.53</v>
      </c>
      <c r="I349" s="11" t="inlineStr">
        <is>
          <t>EUR</t>
        </is>
      </c>
      <c r="J349" s="11" t="n"/>
      <c r="K349" s="11" t="inlineStr">
        <is>
          <t>05/26 Instandsetzung Feuerlöscher</t>
        </is>
      </c>
      <c r="L349" s="12" t="n">
        <v>46254</v>
      </c>
      <c r="M349" s="14">
        <f>IF(G349="","n.a.",MAX(0,'[Steuerung.xlsx]Steuerung'!$F$12-G349))</f>
        <v/>
      </c>
    </row>
    <row r="350" ht="21" customHeight="1">
      <c r="C350" s="11" t="inlineStr">
        <is>
          <t>VERBINDLICHKEIT</t>
        </is>
      </c>
      <c r="D350" s="11" t="n"/>
      <c r="E350" s="11" t="inlineStr">
        <is>
          <t>8056</t>
        </is>
      </c>
      <c r="F350" s="12" t="n"/>
      <c r="G350" s="12" t="n">
        <v>46251</v>
      </c>
      <c r="H350" s="13" t="n">
        <v>-970.11</v>
      </c>
      <c r="I350" s="11" t="inlineStr">
        <is>
          <t>EUR</t>
        </is>
      </c>
      <c r="J350" s="11" t="n"/>
      <c r="K350" s="11" t="inlineStr">
        <is>
          <t>08/26 Softwarepflege/Softwaremiete</t>
        </is>
      </c>
      <c r="L350" s="12" t="n">
        <v>46254</v>
      </c>
      <c r="M350" s="14">
        <f>IF(G350="","n.a.",MAX(0,'[Steuerung.xlsx]Steuerung'!$F$12-G350))</f>
        <v/>
      </c>
    </row>
    <row r="351" ht="21" customHeight="1">
      <c r="C351" s="11" t="inlineStr">
        <is>
          <t>VERBINDLICHKEIT</t>
        </is>
      </c>
      <c r="D351" s="11" t="n"/>
      <c r="E351" s="11" t="inlineStr">
        <is>
          <t>8019</t>
        </is>
      </c>
      <c r="F351" s="12" t="n"/>
      <c r="G351" s="12" t="n">
        <v>46244</v>
      </c>
      <c r="H351" s="13" t="n">
        <v>-158.29</v>
      </c>
      <c r="I351" s="11" t="inlineStr">
        <is>
          <t>EUR</t>
        </is>
      </c>
      <c r="J351" s="11" t="n"/>
      <c r="K351" s="11" t="inlineStr">
        <is>
          <t>08/26 Festnetz KN 1763143</t>
        </is>
      </c>
      <c r="L351" s="12" t="n">
        <v>46254</v>
      </c>
      <c r="M351" s="14">
        <f>IF(G351="","n.a.",MAX(0,'[Steuerung.xlsx]Steuerung'!$F$12-G351))</f>
        <v/>
      </c>
    </row>
    <row r="352" ht="21" customHeight="1">
      <c r="C352" s="11" t="inlineStr">
        <is>
          <t>VERBINDLICHKEIT</t>
        </is>
      </c>
      <c r="D352" s="11" t="n"/>
      <c r="E352" s="11" t="inlineStr">
        <is>
          <t>7952</t>
        </is>
      </c>
      <c r="F352" s="12" t="n"/>
      <c r="G352" s="12" t="n">
        <v>46242</v>
      </c>
      <c r="H352" s="13" t="n">
        <v>-5488.39</v>
      </c>
      <c r="I352" s="11" t="inlineStr">
        <is>
          <t>EUR</t>
        </is>
      </c>
      <c r="J352" s="11" t="n"/>
      <c r="K352" s="11" t="inlineStr">
        <is>
          <t>07/26 div. Artikel</t>
        </is>
      </c>
      <c r="L352" s="12" t="n">
        <v>46254</v>
      </c>
      <c r="M352" s="14">
        <f>IF(G352="","n.a.",MAX(0,'[Steuerung.xlsx]Steuerung'!$F$12-G352))</f>
        <v/>
      </c>
    </row>
    <row r="353" ht="21" customHeight="1">
      <c r="C353" s="11" t="inlineStr">
        <is>
          <t>VERBINDLICHKEIT</t>
        </is>
      </c>
      <c r="D353" s="11" t="n"/>
      <c r="E353" s="11" t="inlineStr">
        <is>
          <t>7951</t>
        </is>
      </c>
      <c r="F353" s="12" t="n"/>
      <c r="G353" s="12" t="n">
        <v>46242</v>
      </c>
      <c r="H353" s="13" t="n">
        <v>-1419.67</v>
      </c>
      <c r="I353" s="11" t="inlineStr">
        <is>
          <t>EUR</t>
        </is>
      </c>
      <c r="J353" s="11" t="n"/>
      <c r="K353" s="11" t="inlineStr">
        <is>
          <t>07/26 Kippmulde</t>
        </is>
      </c>
      <c r="L353" s="12" t="n">
        <v>46254</v>
      </c>
      <c r="M353" s="14">
        <f>IF(G353="","n.a.",MAX(0,'[Steuerung.xlsx]Steuerung'!$F$12-G353))</f>
        <v/>
      </c>
    </row>
    <row r="354" ht="21" customHeight="1">
      <c r="C354" s="11" t="inlineStr">
        <is>
          <t>VERBINDLICHKEIT</t>
        </is>
      </c>
      <c r="D354" s="11" t="n"/>
      <c r="E354" s="11" t="inlineStr">
        <is>
          <t>8839</t>
        </is>
      </c>
      <c r="F354" s="12" t="n"/>
      <c r="G354" s="12" t="n">
        <v>46022</v>
      </c>
      <c r="H354" s="13" t="n">
        <v>200</v>
      </c>
      <c r="I354" s="11" t="inlineStr">
        <is>
          <t>EUR</t>
        </is>
      </c>
      <c r="J354" s="11" t="n"/>
      <c r="K354" s="11" t="inlineStr">
        <is>
          <t>Kaution</t>
        </is>
      </c>
      <c r="L354" s="12" t="n">
        <v>46254</v>
      </c>
      <c r="M354" s="14">
        <f>IF(G354="","n.a.",MAX(0,'[Steuerung.xlsx]Steuerung'!$F$12-G354))</f>
        <v/>
      </c>
    </row>
    <row r="355" ht="21" customHeight="1">
      <c r="C355" s="11" t="inlineStr">
        <is>
          <t>VERBINDLICHKEIT</t>
        </is>
      </c>
      <c r="D355" s="11" t="n"/>
      <c r="E355" s="11" t="inlineStr">
        <is>
          <t>8895</t>
        </is>
      </c>
      <c r="F355" s="12" t="n"/>
      <c r="G355" s="12" t="n">
        <v>46022</v>
      </c>
      <c r="H355" s="13" t="n">
        <v>100</v>
      </c>
      <c r="I355" s="11" t="inlineStr">
        <is>
          <t>EUR</t>
        </is>
      </c>
      <c r="J355" s="11" t="n"/>
      <c r="K355" s="11" t="inlineStr">
        <is>
          <t>Kaution</t>
        </is>
      </c>
      <c r="L355" s="12" t="n">
        <v>46254</v>
      </c>
      <c r="M355" s="14">
        <f>IF(G355="","n.a.",MAX(0,'[Steuerung.xlsx]Steuerung'!$F$12-G355))</f>
        <v/>
      </c>
    </row>
    <row r="356" ht="21" customHeight="1">
      <c r="C356" s="11" t="inlineStr">
        <is>
          <t>VERBINDLICHKEIT</t>
        </is>
      </c>
      <c r="D356" s="11" t="n"/>
      <c r="E356" s="11" t="inlineStr">
        <is>
          <t>7902</t>
        </is>
      </c>
      <c r="F356" s="12" t="n"/>
      <c r="G356" s="12" t="n">
        <v>46231</v>
      </c>
      <c r="H356" s="13" t="n">
        <v>-8400</v>
      </c>
      <c r="I356" s="11" t="inlineStr">
        <is>
          <t>EUR</t>
        </is>
      </c>
      <c r="J356" s="11" t="n"/>
      <c r="K356" s="11" t="inlineStr">
        <is>
          <t>07/26 Rückbau Rollbahnträger</t>
        </is>
      </c>
      <c r="L356" s="12" t="n">
        <v>46254</v>
      </c>
      <c r="M356" s="14">
        <f>IF(G356="","n.a.",MAX(0,'[Steuerung.xlsx]Steuerung'!$F$12-G356))</f>
        <v/>
      </c>
    </row>
    <row r="357" ht="21" customHeight="1">
      <c r="C357" s="11" t="inlineStr">
        <is>
          <t>VERBINDLICHKEIT</t>
        </is>
      </c>
      <c r="D357" s="11" t="n"/>
      <c r="E357" s="11" t="inlineStr">
        <is>
          <t>8016</t>
        </is>
      </c>
      <c r="F357" s="12" t="n"/>
      <c r="G357" s="12" t="n">
        <v>46238</v>
      </c>
      <c r="H357" s="13" t="n">
        <v>-6550</v>
      </c>
      <c r="I357" s="11" t="inlineStr">
        <is>
          <t>EUR</t>
        </is>
      </c>
      <c r="J357" s="11" t="n"/>
      <c r="K357" s="11" t="inlineStr">
        <is>
          <t>07-08/26 Rückbau Rollbahnträger</t>
        </is>
      </c>
      <c r="L357" s="12" t="n">
        <v>46254</v>
      </c>
      <c r="M357" s="14">
        <f>IF(G357="","n.a.",MAX(0,'[Steuerung.xlsx]Steuerung'!$F$12-G357))</f>
        <v/>
      </c>
    </row>
    <row r="358" ht="21" customHeight="1">
      <c r="C358" s="11" t="inlineStr">
        <is>
          <t>VERBINDLICHKEIT</t>
        </is>
      </c>
      <c r="D358" s="11" t="n"/>
      <c r="E358" s="11" t="inlineStr">
        <is>
          <t>7955</t>
        </is>
      </c>
      <c r="F358" s="12" t="n"/>
      <c r="G358" s="12" t="n">
        <v>46235</v>
      </c>
      <c r="H358" s="13" t="n">
        <v>-6842.5</v>
      </c>
      <c r="I358" s="11" t="inlineStr">
        <is>
          <t>EUR</t>
        </is>
      </c>
      <c r="J358" s="11" t="n"/>
      <c r="K358" s="11" t="inlineStr">
        <is>
          <t>07/26 Miete Brokk 110</t>
        </is>
      </c>
      <c r="L358" s="12" t="n">
        <v>46254</v>
      </c>
      <c r="M358" s="14">
        <f>IF(G358="","n.a.",MAX(0,'[Steuerung.xlsx]Steuerung'!$F$12-G358))</f>
        <v/>
      </c>
    </row>
    <row r="359" ht="21" customHeight="1">
      <c r="C359" s="11" t="inlineStr">
        <is>
          <t>VERBINDLICHKEIT</t>
        </is>
      </c>
      <c r="D359" s="11" t="n"/>
      <c r="E359" s="11" t="inlineStr">
        <is>
          <t>8003</t>
        </is>
      </c>
      <c r="F359" s="12" t="n"/>
      <c r="G359" s="12" t="n">
        <v>46252</v>
      </c>
      <c r="H359" s="13" t="n">
        <v>-1387.92</v>
      </c>
      <c r="I359" s="11" t="inlineStr">
        <is>
          <t>EUR</t>
        </is>
      </c>
      <c r="J359" s="11" t="n"/>
      <c r="K359" s="11" t="inlineStr">
        <is>
          <t>07/26 Taschenfilter, Vlies</t>
        </is>
      </c>
      <c r="L359" s="12" t="n">
        <v>46254</v>
      </c>
      <c r="M359" s="14">
        <f>IF(G359="","n.a.",MAX(0,'[Steuerung.xlsx]Steuerung'!$F$12-G359))</f>
        <v/>
      </c>
    </row>
    <row r="360" ht="21" customHeight="1">
      <c r="C360" s="11" t="inlineStr">
        <is>
          <t>VERBINDLICHKEIT</t>
        </is>
      </c>
      <c r="D360" s="11" t="n"/>
      <c r="E360" s="11" t="inlineStr">
        <is>
          <t>7932</t>
        </is>
      </c>
      <c r="F360" s="12" t="n"/>
      <c r="G360" s="12" t="n">
        <v>46240</v>
      </c>
      <c r="H360" s="13" t="n">
        <v>-25200</v>
      </c>
      <c r="I360" s="11" t="inlineStr">
        <is>
          <t>EUR</t>
        </is>
      </c>
      <c r="J360" s="11" t="n"/>
      <c r="K360" s="11" t="inlineStr">
        <is>
          <t>06-07/26 Abbrucharb. Schwimmhalle I  Leingarten</t>
        </is>
      </c>
      <c r="L360" s="12" t="n">
        <v>46254</v>
      </c>
      <c r="M360" s="14">
        <f>IF(G360="","n.a.",MAX(0,'[Steuerung.xlsx]Steuerung'!$F$12-G360))</f>
        <v/>
      </c>
    </row>
    <row r="361" ht="21" customHeight="1">
      <c r="C361" s="11" t="inlineStr">
        <is>
          <t>VERBINDLICHKEIT</t>
        </is>
      </c>
      <c r="D361" s="11" t="n"/>
      <c r="E361" s="11" t="inlineStr">
        <is>
          <t>7933</t>
        </is>
      </c>
      <c r="F361" s="12" t="n"/>
      <c r="G361" s="12" t="n">
        <v>46240</v>
      </c>
      <c r="H361" s="13" t="n">
        <v>-12000</v>
      </c>
      <c r="I361" s="11" t="inlineStr">
        <is>
          <t>EUR</t>
        </is>
      </c>
      <c r="J361" s="11" t="n"/>
      <c r="K361" s="11" t="inlineStr">
        <is>
          <t>07/26 Abbrucharb. Schwimmhalle I  Leingarten</t>
        </is>
      </c>
      <c r="L361" s="12" t="n">
        <v>46254</v>
      </c>
      <c r="M361" s="14">
        <f>IF(G361="","n.a.",MAX(0,'[Steuerung.xlsx]Steuerung'!$F$12-G361))</f>
        <v/>
      </c>
    </row>
    <row r="362" ht="21" customHeight="1">
      <c r="C362" s="11" t="inlineStr">
        <is>
          <t>VERBINDLICHKEIT</t>
        </is>
      </c>
      <c r="D362" s="11" t="n"/>
      <c r="E362" s="11" t="inlineStr">
        <is>
          <t>7934</t>
        </is>
      </c>
      <c r="F362" s="12" t="n"/>
      <c r="G362" s="12" t="n">
        <v>46240</v>
      </c>
      <c r="H362" s="13" t="n">
        <v>-14400</v>
      </c>
      <c r="I362" s="11" t="inlineStr">
        <is>
          <t>EUR</t>
        </is>
      </c>
      <c r="J362" s="11" t="n"/>
      <c r="K362" s="11" t="inlineStr">
        <is>
          <t>07/26 Abbrucharb. USW Bruchsal</t>
        </is>
      </c>
      <c r="L362" s="12" t="n">
        <v>46254</v>
      </c>
      <c r="M362" s="14">
        <f>IF(G362="","n.a.",MAX(0,'[Steuerung.xlsx]Steuerung'!$F$12-G362))</f>
        <v/>
      </c>
    </row>
    <row r="363" ht="21" customHeight="1">
      <c r="C363" s="11" t="inlineStr">
        <is>
          <t>VERBINDLICHKEIT</t>
        </is>
      </c>
      <c r="D363" s="11" t="n"/>
      <c r="E363" s="11" t="inlineStr">
        <is>
          <t>2119</t>
        </is>
      </c>
      <c r="F363" s="12" t="n"/>
      <c r="G363" s="12" t="n">
        <v>46233</v>
      </c>
      <c r="H363" s="13" t="n">
        <v>12000</v>
      </c>
      <c r="I363" s="11" t="inlineStr">
        <is>
          <t>EUR</t>
        </is>
      </c>
      <c r="J363" s="11" t="n"/>
      <c r="K363" s="11" t="inlineStr">
        <is>
          <t>GS zu RE0015 07/26 Abbrucharb. Schwimmhalle I</t>
        </is>
      </c>
      <c r="L363" s="12" t="n">
        <v>46254</v>
      </c>
      <c r="M363" s="14">
        <f>IF(G363="","n.a.",MAX(0,'[Steuerung.xlsx]Steuerung'!$F$12-G363))</f>
        <v/>
      </c>
    </row>
    <row r="364" ht="21" customHeight="1">
      <c r="C364" s="11" t="inlineStr">
        <is>
          <t>VERBINDLICHKEIT</t>
        </is>
      </c>
      <c r="D364" s="11" t="n"/>
      <c r="E364" s="11" t="inlineStr">
        <is>
          <t>2120</t>
        </is>
      </c>
      <c r="F364" s="12" t="n"/>
      <c r="G364" s="12" t="n">
        <v>46233</v>
      </c>
      <c r="H364" s="13" t="n">
        <v>14400</v>
      </c>
      <c r="I364" s="11" t="inlineStr">
        <is>
          <t>EUR</t>
        </is>
      </c>
      <c r="J364" s="11" t="n"/>
      <c r="K364" s="11" t="inlineStr">
        <is>
          <t>GS zu RE0016 07/26 Abbrucharb. USW Bruchsal</t>
        </is>
      </c>
      <c r="L364" s="12" t="n">
        <v>46254</v>
      </c>
      <c r="M364" s="14">
        <f>IF(G364="","n.a.",MAX(0,'[Steuerung.xlsx]Steuerung'!$F$12-G364))</f>
        <v/>
      </c>
    </row>
    <row r="365" ht="21" customHeight="1">
      <c r="C365" s="11" t="inlineStr">
        <is>
          <t>VERBINDLICHKEIT</t>
        </is>
      </c>
      <c r="D365" s="11" t="n"/>
      <c r="E365" s="11" t="inlineStr">
        <is>
          <t>2121</t>
        </is>
      </c>
      <c r="F365" s="12" t="n"/>
      <c r="G365" s="12" t="n">
        <v>46233</v>
      </c>
      <c r="H365" s="13" t="n">
        <v>25200</v>
      </c>
      <c r="I365" s="11" t="inlineStr">
        <is>
          <t>EUR</t>
        </is>
      </c>
      <c r="J365" s="11" t="n"/>
      <c r="K365" s="11" t="inlineStr">
        <is>
          <t>GS zu RE0017 06-07/26 Abbrucharb. Schwimmhalle I</t>
        </is>
      </c>
      <c r="L365" s="12" t="n">
        <v>46254</v>
      </c>
      <c r="M365" s="14">
        <f>IF(G365="","n.a.",MAX(0,'[Steuerung.xlsx]Steuerung'!$F$12-G365))</f>
        <v/>
      </c>
    </row>
    <row r="366" ht="21" customHeight="1">
      <c r="C366" s="11" t="inlineStr">
        <is>
          <t>VERBINDLICHKEIT</t>
        </is>
      </c>
      <c r="D366" s="11" t="n"/>
      <c r="E366" s="11" t="inlineStr">
        <is>
          <t>7996</t>
        </is>
      </c>
      <c r="F366" s="12" t="n"/>
      <c r="G366" s="12" t="n">
        <v>46252</v>
      </c>
      <c r="H366" s="13" t="n">
        <v>-6730.64</v>
      </c>
      <c r="I366" s="11" t="inlineStr">
        <is>
          <t>EUR</t>
        </is>
      </c>
      <c r="J366" s="11" t="n"/>
      <c r="K366" s="11" t="inlineStr">
        <is>
          <t>06/26 Rep. Schrottschere</t>
        </is>
      </c>
      <c r="L366" s="12" t="n">
        <v>46254</v>
      </c>
      <c r="M366" s="14">
        <f>IF(G366="","n.a.",MAX(0,'[Steuerung.xlsx]Steuerung'!$F$12-G366))</f>
        <v/>
      </c>
    </row>
    <row r="367" ht="21" customHeight="1">
      <c r="C367" s="11" t="inlineStr">
        <is>
          <t>VERBINDLICHKEIT</t>
        </is>
      </c>
      <c r="D367" s="11" t="n"/>
      <c r="E367" s="11" t="inlineStr">
        <is>
          <t>7997</t>
        </is>
      </c>
      <c r="F367" s="12" t="n"/>
      <c r="G367" s="12" t="n">
        <v>46251</v>
      </c>
      <c r="H367" s="13" t="n">
        <v>-1398.74</v>
      </c>
      <c r="I367" s="11" t="inlineStr">
        <is>
          <t>EUR</t>
        </is>
      </c>
      <c r="J367" s="11" t="n"/>
      <c r="K367" s="11" t="inlineStr">
        <is>
          <t>06/26 Rep. OQ Schnellwechsler</t>
        </is>
      </c>
      <c r="L367" s="12" t="n">
        <v>46254</v>
      </c>
      <c r="M367" s="14">
        <f>IF(G367="","n.a.",MAX(0,'[Steuerung.xlsx]Steuerung'!$F$12-G367))</f>
        <v/>
      </c>
    </row>
    <row r="368" ht="21" customHeight="1">
      <c r="C368" s="11" t="inlineStr">
        <is>
          <t>VERBINDLICHKEIT</t>
        </is>
      </c>
      <c r="D368" s="11" t="n"/>
      <c r="E368" s="11" t="inlineStr">
        <is>
          <t>4716000025</t>
        </is>
      </c>
      <c r="F368" s="12" t="n"/>
      <c r="G368" s="12" t="n">
        <v>46174</v>
      </c>
      <c r="H368" s="13" t="n">
        <v>1150</v>
      </c>
      <c r="I368" s="11" t="inlineStr">
        <is>
          <t>EUR</t>
        </is>
      </c>
      <c r="J368" s="11" t="n"/>
      <c r="K368" s="11" t="inlineStr">
        <is>
          <t>* Miete Apartment Nr. 10</t>
        </is>
      </c>
      <c r="L368" s="12" t="n">
        <v>46254</v>
      </c>
      <c r="M368" s="14">
        <f>IF(G368="","n.a.",MAX(0,'[Steuerung.xlsx]Steuerung'!$F$12-G368))</f>
        <v/>
      </c>
    </row>
    <row r="369" ht="21" customHeight="1">
      <c r="C369" s="11" t="inlineStr">
        <is>
          <t>VERBINDLICHKEIT</t>
        </is>
      </c>
      <c r="D369" s="11" t="n"/>
      <c r="E369" s="11" t="inlineStr">
        <is>
          <t>4714000031</t>
        </is>
      </c>
      <c r="F369" s="12" t="n"/>
      <c r="G369" s="12" t="n">
        <v>46203</v>
      </c>
      <c r="H369" s="13" t="n">
        <v>1500</v>
      </c>
      <c r="I369" s="11" t="inlineStr">
        <is>
          <t>EUR</t>
        </is>
      </c>
      <c r="J369" s="11" t="n"/>
      <c r="K369" s="11" t="inlineStr">
        <is>
          <t>* Kaution Miete Apartment Nr. 10</t>
        </is>
      </c>
      <c r="L369" s="12" t="n">
        <v>46254</v>
      </c>
      <c r="M369" s="14">
        <f>IF(G369="","n.a.",MAX(0,'[Steuerung.xlsx]Steuerung'!$F$12-G369))</f>
        <v/>
      </c>
    </row>
    <row r="370" ht="21" customHeight="1">
      <c r="C370" s="11" t="inlineStr">
        <is>
          <t>VERBINDLICHKEIT</t>
        </is>
      </c>
      <c r="D370" s="11" t="n"/>
      <c r="E370" s="11" t="inlineStr">
        <is>
          <t>8007</t>
        </is>
      </c>
      <c r="F370" s="12" t="n"/>
      <c r="G370" s="12" t="n">
        <v>46239</v>
      </c>
      <c r="H370" s="13" t="n">
        <v>-65.45</v>
      </c>
      <c r="I370" s="11" t="inlineStr">
        <is>
          <t>EUR</t>
        </is>
      </c>
      <c r="J370" s="11" t="n"/>
      <c r="K370" s="11" t="inlineStr">
        <is>
          <t>07/26 Miete Absetzcontainer</t>
        </is>
      </c>
      <c r="L370" s="12" t="n">
        <v>46254</v>
      </c>
      <c r="M370" s="14">
        <f>IF(G370="","n.a.",MAX(0,'[Steuerung.xlsx]Steuerung'!$F$12-G370))</f>
        <v/>
      </c>
    </row>
    <row r="371" ht="21" customHeight="1">
      <c r="C371" s="11" t="inlineStr">
        <is>
          <t>VERBINDLICHKEIT</t>
        </is>
      </c>
      <c r="D371" s="11" t="n"/>
      <c r="E371" s="11" t="inlineStr">
        <is>
          <t>7783</t>
        </is>
      </c>
      <c r="F371" s="12" t="n"/>
      <c r="G371" s="12" t="n">
        <v>46239</v>
      </c>
      <c r="H371" s="13" t="n">
        <v>-2336.57</v>
      </c>
      <c r="I371" s="11" t="inlineStr">
        <is>
          <t>EUR</t>
        </is>
      </c>
      <c r="J371" s="11" t="n"/>
      <c r="K371" s="11" t="inlineStr">
        <is>
          <t>05-06/26  Faserkonzentr.mess.Chempark Dormagen</t>
        </is>
      </c>
      <c r="L371" s="12" t="n">
        <v>46254</v>
      </c>
      <c r="M371" s="14">
        <f>IF(G371="","n.a.",MAX(0,'[Steuerung.xlsx]Steuerung'!$F$12-G371))</f>
        <v/>
      </c>
    </row>
    <row r="374">
      <c r="C374" t="inlineStr">
        <is>
          <t>SharePoint-Verknüpfungen (Dateien im selben Ordner)</t>
        </is>
      </c>
    </row>
    <row r="375">
      <c r="C375" t="inlineStr">
        <is>
          <t>Diese Datei</t>
        </is>
      </c>
      <c r="D375" t="inlineStr">
        <is>
          <t>Liquidität.xlsx</t>
        </is>
      </c>
    </row>
    <row r="376">
      <c r="C376" t="inlineStr">
        <is>
          <t>Liest aus</t>
        </is>
      </c>
      <c r="D376" t="inlineStr">
        <is>
          <t>Steuerung.xlsx</t>
        </is>
      </c>
      <c r="E376" t="inlineStr">
        <is>
          <t>Steuerung</t>
        </is>
      </c>
    </row>
  </sheetData>
  <mergeCells count="3">
    <mergeCell ref="C2:P2"/>
    <mergeCell ref="C3:P3"/>
    <mergeCell ref="C24:P24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2026-10-12T08:21:53Z</dcterms:created>
  <dcterms:modified xsi:type="dcterms:W3CDTF">2026-10-12T08:21:54Z</dcterms:modified>
</cp:coreProperties>
</file>