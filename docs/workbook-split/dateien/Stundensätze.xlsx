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ndensät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\(#,##0.00\);&quot;–&quot;"/>
    <numFmt numFmtId="165" formatCode="0.0%;[Red]\(0.0%\);&quot;–&quot;"/>
  </numFmts>
  <fonts count="10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  <font>
      <name val="Arial"/>
      <family val="2"/>
      <b val="1"/>
      <color rgb="FFFFFFFF"/>
      <sz val="10"/>
    </font>
    <font>
      <name val="Arial"/>
      <family val="2"/>
      <color rgb="FF2563EB"/>
      <sz val="10"/>
    </font>
    <font>
      <name val="Arial"/>
      <family val="2"/>
      <color rgb="FF00804A"/>
      <sz val="10"/>
    </font>
    <font>
      <name val="Arial"/>
      <family val="2"/>
      <b val="1"/>
      <color rgb="FF1E293B"/>
      <sz val="10"/>
    </font>
    <font>
      <name val="Arial"/>
      <family val="2"/>
      <b val="1"/>
      <color rgb="FF2563EB"/>
      <sz val="10"/>
    </font>
  </fonts>
  <fills count="6">
    <fill>
      <patternFill/>
    </fill>
    <fill>
      <patternFill patternType="gray125"/>
    </fill>
    <fill>
      <patternFill patternType="solid">
        <fgColor rgb="FF1E293B"/>
      </patternFill>
    </fill>
    <fill>
      <patternFill patternType="solid">
        <fgColor rgb="FFFFF3CD"/>
      </patternFill>
    </fill>
    <fill>
      <patternFill patternType="solid">
        <fgColor rgb="FFEFF6FF"/>
      </patternFill>
    </fill>
    <fill>
      <patternFill patternType="solid">
        <fgColor rgb="FFF0F4F8"/>
      </patternFill>
    </fill>
  </fills>
  <borders count="3">
    <border>
      <left/>
      <right/>
      <top/>
      <bottom/>
      <diagonal/>
    </border>
    <border>
      <left/>
      <right/>
      <top/>
      <bottom style="thin">
        <color rgb="FF2563EB"/>
      </bottom>
      <diagonal/>
    </border>
    <border>
      <left/>
      <right/>
      <top style="thin">
        <color rgb="FFCBD5E1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164" fontId="6" fillId="3" borderId="0" applyAlignment="1" pivotButton="0" quotePrefix="0" xfId="0">
      <alignment horizontal="right" vertical="center"/>
    </xf>
    <xf numFmtId="164" fontId="1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5" fontId="6" fillId="3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0" fontId="8" fillId="4" borderId="2" applyAlignment="1" pivotButton="0" quotePrefix="0" xfId="0">
      <alignment vertical="center"/>
    </xf>
    <xf numFmtId="164" fontId="8" fillId="4" borderId="2" applyAlignment="1" pivotButton="0" quotePrefix="0" xfId="0">
      <alignment horizontal="right" vertical="center"/>
    </xf>
    <xf numFmtId="165" fontId="1" fillId="0" borderId="0" applyAlignment="1" pivotButton="0" quotePrefix="0" xfId="0">
      <alignment horizontal="right" vertical="center"/>
    </xf>
    <xf numFmtId="0" fontId="8" fillId="5" borderId="0" applyAlignment="1" pivotButton="0" quotePrefix="0" xfId="0">
      <alignment vertical="center"/>
    </xf>
    <xf numFmtId="0" fontId="8" fillId="4" borderId="0" applyAlignment="1" pivotButton="0" quotePrefix="0" xfId="0">
      <alignment vertical="center"/>
    </xf>
    <xf numFmtId="164" fontId="8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 wrapText="1"/>
    </xf>
    <xf numFmtId="165" fontId="9" fillId="3" borderId="0" applyAlignment="1" pivotButton="0" quotePrefix="0" xfId="0">
      <alignment horizontal="right" vertical="center" wrapText="1"/>
    </xf>
    <xf numFmtId="164" fontId="5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3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8" customWidth="1" min="3" max="3"/>
    <col width="15" customWidth="1" min="4" max="4"/>
    <col width="35" customWidth="1" min="7" max="7"/>
    <col width="15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0" customHeight="1">
      <c r="A2" s="1" t="n"/>
      <c r="B2" s="1" t="n"/>
      <c r="C2" s="2" t="inlineStr">
        <is>
          <t>Stundensatzanalyse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</row>
    <row r="3" ht="32" customHeight="1">
      <c r="A3" s="1" t="n"/>
      <c r="B3" s="1" t="n"/>
      <c r="C3" s="4" t="inlineStr">
        <is>
          <t>TVF-Stufenschema je Region und separate Originalvorlage zur Stundenverrechnung. Gelbe Parameter sind editierbar.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</row>
    <row r="6" ht="34" customHeight="1">
      <c r="A6" s="1" t="n"/>
      <c r="B6" s="1" t="n"/>
      <c r="C6" s="5" t="inlineStr">
        <is>
          <t>TVF-Parameter</t>
        </is>
      </c>
      <c r="D6" s="5" t="inlineStr">
        <is>
          <t>Wert</t>
        </is>
      </c>
      <c r="E6" s="1" t="n"/>
      <c r="F6" s="1" t="n"/>
      <c r="G6" s="5" t="inlineStr">
        <is>
          <t>Rechenschritt</t>
        </is>
      </c>
      <c r="H6" s="5" t="inlineStr">
        <is>
          <t>West</t>
        </is>
      </c>
      <c r="I6" s="5" t="inlineStr">
        <is>
          <t>Süd-West</t>
        </is>
      </c>
      <c r="J6" s="5" t="inlineStr">
        <is>
          <t>Ost</t>
        </is>
      </c>
      <c r="K6" s="5" t="inlineStr">
        <is>
          <t>Berlin</t>
        </is>
      </c>
      <c r="L6" s="1" t="n"/>
      <c r="M6" s="1" t="n"/>
      <c r="N6" s="1" t="n"/>
      <c r="O6" s="1" t="n"/>
      <c r="P6" s="1" t="n"/>
    </row>
    <row r="7">
      <c r="A7" s="1" t="n"/>
      <c r="B7" s="1" t="n"/>
      <c r="C7" s="1" t="inlineStr">
        <is>
          <t>std_monat_vz</t>
        </is>
      </c>
      <c r="D7" s="6" t="n">
        <v>173</v>
      </c>
      <c r="E7" s="1" t="n"/>
      <c r="F7" s="1" t="n"/>
      <c r="G7" s="1" t="inlineStr">
        <is>
          <t>Mitarbeiter</t>
        </is>
      </c>
      <c r="H7" s="7">
        <f>SUMIFS($F$65:$F$76,$C$65:$C$76,"West")</f>
        <v/>
      </c>
      <c r="I7" s="7">
        <f>SUMIFS($F$65:$F$76,$C$65:$C$76,"Süd-West")</f>
        <v/>
      </c>
      <c r="J7" s="7">
        <f>SUMIFS($F$65:$F$76,$C$65:$C$76,"Ost")</f>
        <v/>
      </c>
      <c r="K7" s="7">
        <f>SUMIFS($F$65:$F$76,$C$65:$C$76,"Berlin")</f>
        <v/>
      </c>
      <c r="L7" s="1" t="n"/>
      <c r="M7" s="1" t="n"/>
      <c r="N7" s="1" t="n"/>
      <c r="O7" s="1" t="n"/>
      <c r="P7" s="1" t="n"/>
    </row>
    <row r="8">
      <c r="A8" s="1" t="n"/>
      <c r="B8" s="1" t="n"/>
      <c r="C8" s="1" t="inlineStr">
        <is>
          <t>std_monat_gf</t>
        </is>
      </c>
      <c r="D8" s="6" t="n">
        <v>40</v>
      </c>
      <c r="E8" s="1" t="n"/>
      <c r="F8" s="1" t="n"/>
      <c r="G8" s="1" t="inlineStr">
        <is>
          <t>Bezahlte Stunden</t>
        </is>
      </c>
      <c r="H8" s="7">
        <f>SUMIFS($H$65:$H$76,$C$65:$C$76,"West")</f>
        <v/>
      </c>
      <c r="I8" s="7">
        <f>SUMIFS($H$65:$H$76,$C$65:$C$76,"Süd-West")</f>
        <v/>
      </c>
      <c r="J8" s="7">
        <f>SUMIFS($H$65:$H$76,$C$65:$C$76,"Ost")</f>
        <v/>
      </c>
      <c r="K8" s="7">
        <f>SUMIFS($H$65:$H$76,$C$65:$C$76,"Berlin")</f>
        <v/>
      </c>
      <c r="L8" s="1" t="n"/>
      <c r="M8" s="1" t="n"/>
      <c r="N8" s="1" t="n"/>
      <c r="O8" s="1" t="n"/>
      <c r="P8" s="1" t="n"/>
    </row>
    <row r="9">
      <c r="A9" s="1" t="n"/>
      <c r="B9" s="1" t="n"/>
      <c r="C9" s="1" t="inlineStr">
        <is>
          <t>arbeitstage</t>
        </is>
      </c>
      <c r="D9" s="6" t="n">
        <v>259</v>
      </c>
      <c r="E9" s="1" t="n"/>
      <c r="F9" s="1" t="n"/>
      <c r="G9" s="1" t="inlineStr">
        <is>
          <t>Produktive Stunden</t>
        </is>
      </c>
      <c r="H9" s="7">
        <f>H8*$D$25</f>
        <v/>
      </c>
      <c r="I9" s="7">
        <f>I8*$D$25</f>
        <v/>
      </c>
      <c r="J9" s="7">
        <f>J8*$D$25</f>
        <v/>
      </c>
      <c r="K9" s="7">
        <f>K8*$D$25</f>
        <v/>
      </c>
      <c r="L9" s="1" t="n"/>
      <c r="M9" s="1" t="n"/>
      <c r="N9" s="1" t="n"/>
      <c r="O9" s="1" t="n"/>
      <c r="P9" s="1" t="n"/>
    </row>
    <row r="10">
      <c r="A10" s="1" t="n"/>
      <c r="B10" s="1" t="n"/>
      <c r="C10" s="1" t="inlineStr">
        <is>
          <t>feiertage</t>
        </is>
      </c>
      <c r="D10" s="6" t="n">
        <v>10</v>
      </c>
      <c r="E10" s="1" t="n"/>
      <c r="F10" s="1" t="n"/>
      <c r="G10" s="1" t="inlineStr">
        <is>
          <t>Direktlohn inkl. Tarif</t>
        </is>
      </c>
      <c r="H10" s="8">
        <f>SUMIFS($I$65:$I$76,$C$65:$C$76,"West")*(1+$D$20)^('[Steuerung.xlsx]Steuerung'!$F$11-$D$22)</f>
        <v/>
      </c>
      <c r="I10" s="8">
        <f>SUMIFS($I$65:$I$76,$C$65:$C$76,"Süd-West")*(1+$D$20)^('[Steuerung.xlsx]Steuerung'!$F$11-$D$22)</f>
        <v/>
      </c>
      <c r="J10" s="8">
        <f>SUMIFS($I$65:$I$76,$C$65:$C$76,"Ost")*(1+$D$20)^('[Steuerung.xlsx]Steuerung'!$F$11-$D$22)</f>
        <v/>
      </c>
      <c r="K10" s="8">
        <f>SUMIFS($I$65:$I$76,$C$65:$C$76,"Berlin")*(1+$D$20)^('[Steuerung.xlsx]Steuerung'!$F$11-$D$22)</f>
        <v/>
      </c>
      <c r="L10" s="1" t="n"/>
      <c r="M10" s="1" t="n"/>
      <c r="N10" s="1" t="n"/>
      <c r="O10" s="1" t="n"/>
      <c r="P10" s="1" t="n"/>
    </row>
    <row r="11">
      <c r="A11" s="1" t="n"/>
      <c r="B11" s="1" t="n"/>
      <c r="C11" s="1" t="inlineStr">
        <is>
          <t>urlaub</t>
        </is>
      </c>
      <c r="D11" s="6" t="n">
        <v>26</v>
      </c>
      <c r="E11" s="1" t="n"/>
      <c r="F11" s="1" t="n"/>
      <c r="G11" s="1" t="inlineStr">
        <is>
          <t>Bruttolohn mit Zuschlägen</t>
        </is>
      </c>
      <c r="H11" s="7">
        <f>H10*(1+$D$13+$D$14)</f>
        <v/>
      </c>
      <c r="I11" s="7">
        <f>I10*(1+$D$13+$D$14)</f>
        <v/>
      </c>
      <c r="J11" s="7">
        <f>J10*(1+$D$13+$D$14)</f>
        <v/>
      </c>
      <c r="K11" s="7">
        <f>K10*(1+$D$13+$D$14)</f>
        <v/>
      </c>
      <c r="L11" s="1" t="n"/>
      <c r="M11" s="1" t="n"/>
      <c r="N11" s="1" t="n"/>
      <c r="O11" s="1" t="n"/>
      <c r="P11" s="1" t="n"/>
    </row>
    <row r="12">
      <c r="A12" s="1" t="n"/>
      <c r="B12" s="1" t="n"/>
      <c r="C12" s="1" t="inlineStr">
        <is>
          <t>krank</t>
        </is>
      </c>
      <c r="D12" s="6" t="n">
        <v>55</v>
      </c>
      <c r="E12" s="1" t="n"/>
      <c r="F12" s="1" t="n"/>
      <c r="G12" s="1" t="inlineStr">
        <is>
          <t>Personalkosten gesamt</t>
        </is>
      </c>
      <c r="H12" s="8">
        <f>H11*(1+$D$15+$D$16+$D$17)+H7*($D$18+$D$19)*(1+$D$21)^('[Steuerung.xlsx]Steuerung'!$F$11-$D$22)</f>
        <v/>
      </c>
      <c r="I12" s="8">
        <f>I11*(1+$D$15+$D$16+$D$17)+I7*($D$18+$D$19)*(1+$D$21)^('[Steuerung.xlsx]Steuerung'!$F$11-$D$22)</f>
        <v/>
      </c>
      <c r="J12" s="8">
        <f>J11*(1+$D$15+$D$16+$D$17)+J7*($D$18+$D$19)*(1+$D$21)^('[Steuerung.xlsx]Steuerung'!$F$11-$D$22)</f>
        <v/>
      </c>
      <c r="K12" s="8">
        <f>K11*(1+$D$15+$D$16+$D$17)+K7*($D$18+$D$19)*(1+$D$21)^('[Steuerung.xlsx]Steuerung'!$F$11-$D$22)</f>
        <v/>
      </c>
      <c r="L12" s="1" t="n"/>
      <c r="M12" s="1" t="n"/>
      <c r="N12" s="1" t="n"/>
      <c r="O12" s="1" t="n"/>
      <c r="P12" s="1" t="n"/>
    </row>
    <row r="13">
      <c r="A13" s="1" t="n"/>
      <c r="B13" s="1" t="n"/>
      <c r="C13" s="1" t="inlineStr">
        <is>
          <t>sonderzahl</t>
        </is>
      </c>
      <c r="D13" s="9" t="n">
        <v>0.0708</v>
      </c>
      <c r="E13" s="1" t="n"/>
      <c r="F13" s="1" t="n"/>
      <c r="G13" s="1" t="inlineStr">
        <is>
          <t>Kostensatz EUR / Std.</t>
        </is>
      </c>
      <c r="H13" s="7">
        <f>IF(H9=0,"n.a.",H12/H9)</f>
        <v/>
      </c>
      <c r="I13" s="7">
        <f>IF(I9=0,"n.a.",I12/I9)</f>
        <v/>
      </c>
      <c r="J13" s="7">
        <f>IF(J9=0,"n.a.",J12/J9)</f>
        <v/>
      </c>
      <c r="K13" s="7">
        <f>IF(K9=0,"n.a.",K12/K9)</f>
        <v/>
      </c>
      <c r="L13" s="1" t="n"/>
      <c r="M13" s="1" t="n"/>
      <c r="N13" s="1" t="n"/>
      <c r="O13" s="1" t="n"/>
      <c r="P13" s="1" t="n"/>
    </row>
    <row r="14">
      <c r="A14" s="1" t="n"/>
      <c r="B14" s="1" t="n"/>
      <c r="C14" s="1" t="inlineStr">
        <is>
          <t>ueberstd</t>
        </is>
      </c>
      <c r="D14" s="9" t="n">
        <v>0.0149</v>
      </c>
      <c r="E14" s="1" t="n"/>
      <c r="F14" s="1" t="n"/>
      <c r="G14" s="1" t="inlineStr">
        <is>
          <t>Personalplan</t>
        </is>
      </c>
      <c r="H14" s="8">
        <f>SUMIFS('[Referenzen.xlsx]Referenzen'!$C$176:$C$215,'[Referenzen.xlsx]Referenzen'!$A$176:$A$215,'[Steuerung.xlsx]Steuerung'!$F$11,'[Referenzen.xlsx]Referenzen'!$B$176:$B$215,"Personalaufwand")</f>
        <v/>
      </c>
      <c r="I14" s="8">
        <f>SUMIFS('[Referenzen.xlsx]Referenzen'!$D$176:$D$215,'[Referenzen.xlsx]Referenzen'!$A$176:$A$215,'[Steuerung.xlsx]Steuerung'!$F$11,'[Referenzen.xlsx]Referenzen'!$B$176:$B$215,"Personalaufwand")</f>
        <v/>
      </c>
      <c r="J14" s="8">
        <f>SUMIFS('[Referenzen.xlsx]Referenzen'!$E$176:$E$215,'[Referenzen.xlsx]Referenzen'!$A$176:$A$215,'[Steuerung.xlsx]Steuerung'!$F$11,'[Referenzen.xlsx]Referenzen'!$B$176:$B$215,"Personalaufwand")</f>
        <v/>
      </c>
      <c r="K14" s="8">
        <f>SUMIFS('[Referenzen.xlsx]Referenzen'!$F$176:$F$215,'[Referenzen.xlsx]Referenzen'!$A$176:$A$215,'[Steuerung.xlsx]Steuerung'!$F$11,'[Referenzen.xlsx]Referenzen'!$B$176:$B$215,"Personalaufwand")</f>
        <v/>
      </c>
      <c r="L14" s="1" t="n"/>
      <c r="M14" s="1" t="n"/>
      <c r="N14" s="1" t="n"/>
      <c r="O14" s="1" t="n"/>
      <c r="P14" s="1" t="n"/>
    </row>
    <row r="15">
      <c r="A15" s="1" t="n"/>
      <c r="B15" s="1" t="n"/>
      <c r="C15" s="1" t="inlineStr">
        <is>
          <t>sv</t>
        </is>
      </c>
      <c r="D15" s="9" t="n">
        <v>0.2235</v>
      </c>
      <c r="E15" s="1" t="n"/>
      <c r="F15" s="1" t="n"/>
      <c r="G15" s="1" t="inlineStr">
        <is>
          <t>Overhead Personal</t>
        </is>
      </c>
      <c r="H15" s="7">
        <f>H14-H12</f>
        <v/>
      </c>
      <c r="I15" s="7">
        <f>I14-I12</f>
        <v/>
      </c>
      <c r="J15" s="7">
        <f>J14-J12</f>
        <v/>
      </c>
      <c r="K15" s="7">
        <f>K14-K12</f>
        <v/>
      </c>
      <c r="L15" s="1" t="n"/>
      <c r="M15" s="1" t="n"/>
      <c r="N15" s="1" t="n"/>
      <c r="O15" s="1" t="n"/>
      <c r="P15" s="1" t="n"/>
    </row>
    <row r="16">
      <c r="A16" s="1" t="n"/>
      <c r="B16" s="1" t="n"/>
      <c r="C16" s="1" t="inlineStr">
        <is>
          <t>bg</t>
        </is>
      </c>
      <c r="D16" s="9" t="n">
        <v>0.0249</v>
      </c>
      <c r="E16" s="1" t="n"/>
      <c r="F16" s="1" t="n"/>
      <c r="G16" s="1" t="inlineStr">
        <is>
          <t>Übrige Gemeinkosten</t>
        </is>
      </c>
      <c r="H16" s="8">
        <f>SUMIFS('[Referenzen.xlsx]Referenzen'!$C$176:$C$215,'[Referenzen.xlsx]Referenzen'!$A$176:$A$215,'[Steuerung.xlsx]Steuerung'!$F$11,'[Referenzen.xlsx]Referenzen'!$B$176:$B$215,"Raumkosten")+SUMIFS('[Referenzen.xlsx]Referenzen'!$C$176:$C$215,'[Referenzen.xlsx]Referenzen'!$A$176:$A$215,'[Steuerung.xlsx]Steuerung'!$F$11,'[Referenzen.xlsx]Referenzen'!$B$176:$B$215,"Fuhrparkkosten")+SUMIFS('[Referenzen.xlsx]Referenzen'!$C$176:$C$215,'[Referenzen.xlsx]Referenzen'!$A$176:$A$215,'[Steuerung.xlsx]Steuerung'!$F$11,'[Referenzen.xlsx]Referenzen'!$B$176:$B$215,"Instandh. Betriebsausstattung")+SUMIFS('[Referenzen.xlsx]Referenzen'!$C$176:$C$215,'[Referenzen.xlsx]Referenzen'!$A$176:$A$215,'[Steuerung.xlsx]Steuerung'!$F$11,'[Referenzen.xlsx]Referenzen'!$B$176:$B$215,"Vertriebskosten")+SUMIFS('[Referenzen.xlsx]Referenzen'!$C$176:$C$215,'[Referenzen.xlsx]Referenzen'!$A$176:$A$215,'[Steuerung.xlsx]Steuerung'!$F$11,'[Referenzen.xlsx]Referenzen'!$B$176:$B$215,"Verwaltungskosten")</f>
        <v/>
      </c>
      <c r="I16" s="8">
        <f>SUMIFS('[Referenzen.xlsx]Referenzen'!$D$176:$D$215,'[Referenzen.xlsx]Referenzen'!$A$176:$A$215,'[Steuerung.xlsx]Steuerung'!$F$11,'[Referenzen.xlsx]Referenzen'!$B$176:$B$215,"Raumkosten")+SUMIFS('[Referenzen.xlsx]Referenzen'!$D$176:$D$215,'[Referenzen.xlsx]Referenzen'!$A$176:$A$215,'[Steuerung.xlsx]Steuerung'!$F$11,'[Referenzen.xlsx]Referenzen'!$B$176:$B$215,"Fuhrparkkosten")+SUMIFS('[Referenzen.xlsx]Referenzen'!$D$176:$D$215,'[Referenzen.xlsx]Referenzen'!$A$176:$A$215,'[Steuerung.xlsx]Steuerung'!$F$11,'[Referenzen.xlsx]Referenzen'!$B$176:$B$215,"Instandh. Betriebsausstattung")+SUMIFS('[Referenzen.xlsx]Referenzen'!$D$176:$D$215,'[Referenzen.xlsx]Referenzen'!$A$176:$A$215,'[Steuerung.xlsx]Steuerung'!$F$11,'[Referenzen.xlsx]Referenzen'!$B$176:$B$215,"Vertriebskosten")+SUMIFS('[Referenzen.xlsx]Referenzen'!$D$176:$D$215,'[Referenzen.xlsx]Referenzen'!$A$176:$A$215,'[Steuerung.xlsx]Steuerung'!$F$11,'[Referenzen.xlsx]Referenzen'!$B$176:$B$215,"Verwaltungskosten")</f>
        <v/>
      </c>
      <c r="J16" s="8">
        <f>SUMIFS('[Referenzen.xlsx]Referenzen'!$E$176:$E$215,'[Referenzen.xlsx]Referenzen'!$A$176:$A$215,'[Steuerung.xlsx]Steuerung'!$F$11,'[Referenzen.xlsx]Referenzen'!$B$176:$B$215,"Raumkosten")+SUMIFS('[Referenzen.xlsx]Referenzen'!$E$176:$E$215,'[Referenzen.xlsx]Referenzen'!$A$176:$A$215,'[Steuerung.xlsx]Steuerung'!$F$11,'[Referenzen.xlsx]Referenzen'!$B$176:$B$215,"Fuhrparkkosten")+SUMIFS('[Referenzen.xlsx]Referenzen'!$E$176:$E$215,'[Referenzen.xlsx]Referenzen'!$A$176:$A$215,'[Steuerung.xlsx]Steuerung'!$F$11,'[Referenzen.xlsx]Referenzen'!$B$176:$B$215,"Instandh. Betriebsausstattung")+SUMIFS('[Referenzen.xlsx]Referenzen'!$E$176:$E$215,'[Referenzen.xlsx]Referenzen'!$A$176:$A$215,'[Steuerung.xlsx]Steuerung'!$F$11,'[Referenzen.xlsx]Referenzen'!$B$176:$B$215,"Vertriebskosten")+SUMIFS('[Referenzen.xlsx]Referenzen'!$E$176:$E$215,'[Referenzen.xlsx]Referenzen'!$A$176:$A$215,'[Steuerung.xlsx]Steuerung'!$F$11,'[Referenzen.xlsx]Referenzen'!$B$176:$B$215,"Verwaltungskosten")</f>
        <v/>
      </c>
      <c r="K16" s="8">
        <f>SUMIFS('[Referenzen.xlsx]Referenzen'!$F$176:$F$215,'[Referenzen.xlsx]Referenzen'!$A$176:$A$215,'[Steuerung.xlsx]Steuerung'!$F$11,'[Referenzen.xlsx]Referenzen'!$B$176:$B$215,"Raumkosten")+SUMIFS('[Referenzen.xlsx]Referenzen'!$F$176:$F$215,'[Referenzen.xlsx]Referenzen'!$A$176:$A$215,'[Steuerung.xlsx]Steuerung'!$F$11,'[Referenzen.xlsx]Referenzen'!$B$176:$B$215,"Fuhrparkkosten")+SUMIFS('[Referenzen.xlsx]Referenzen'!$F$176:$F$215,'[Referenzen.xlsx]Referenzen'!$A$176:$A$215,'[Steuerung.xlsx]Steuerung'!$F$11,'[Referenzen.xlsx]Referenzen'!$B$176:$B$215,"Instandh. Betriebsausstattung")+SUMIFS('[Referenzen.xlsx]Referenzen'!$F$176:$F$215,'[Referenzen.xlsx]Referenzen'!$A$176:$A$215,'[Steuerung.xlsx]Steuerung'!$F$11,'[Referenzen.xlsx]Referenzen'!$B$176:$B$215,"Vertriebskosten")+SUMIFS('[Referenzen.xlsx]Referenzen'!$F$176:$F$215,'[Referenzen.xlsx]Referenzen'!$A$176:$A$215,'[Steuerung.xlsx]Steuerung'!$F$11,'[Referenzen.xlsx]Referenzen'!$B$176:$B$215,"Verwaltungskosten")</f>
        <v/>
      </c>
      <c r="L16" s="1" t="n"/>
      <c r="M16" s="1" t="n"/>
      <c r="N16" s="1" t="n"/>
      <c r="O16" s="1" t="n"/>
      <c r="P16" s="1" t="n"/>
    </row>
    <row r="17">
      <c r="A17" s="1" t="n"/>
      <c r="B17" s="1" t="n"/>
      <c r="C17" s="1" t="inlineStr">
        <is>
          <t>av</t>
        </is>
      </c>
      <c r="D17" s="9" t="n">
        <v>0.0044</v>
      </c>
      <c r="E17" s="1" t="n"/>
      <c r="F17" s="1" t="n"/>
      <c r="G17" s="1" t="inlineStr">
        <is>
          <t>Anteil Gesamtleistung</t>
        </is>
      </c>
      <c r="H17" s="10">
        <f>IF(SUM('[Mehrjahresplan.xlsx]Mehrjahresplan'!$D$24:$D$27)=0,"n.a.",SUMIFS('[Referenzen.xlsx]Referenzen'!$C$176:$C$215,'[Referenzen.xlsx]Referenzen'!$A$176:$A$215,'[Steuerung.xlsx]Steuerung'!$F$11,'[Referenzen.xlsx]Referenzen'!$B$176:$B$215,"Gesamtleistung")/SUM('[Mehrjahresplan.xlsx]Mehrjahresplan'!$D$24:$D$27))</f>
        <v/>
      </c>
      <c r="I17" s="10">
        <f>IF(SUM('[Mehrjahresplan.xlsx]Mehrjahresplan'!$D$24:$D$27)=0,"n.a.",SUMIFS('[Referenzen.xlsx]Referenzen'!$D$176:$D$215,'[Referenzen.xlsx]Referenzen'!$A$176:$A$215,'[Steuerung.xlsx]Steuerung'!$F$11,'[Referenzen.xlsx]Referenzen'!$B$176:$B$215,"Gesamtleistung")/SUM('[Mehrjahresplan.xlsx]Mehrjahresplan'!$D$24:$D$27))</f>
        <v/>
      </c>
      <c r="J17" s="10">
        <f>IF(SUM('[Mehrjahresplan.xlsx]Mehrjahresplan'!$D$24:$D$27)=0,"n.a.",SUMIFS('[Referenzen.xlsx]Referenzen'!$E$176:$E$215,'[Referenzen.xlsx]Referenzen'!$A$176:$A$215,'[Steuerung.xlsx]Steuerung'!$F$11,'[Referenzen.xlsx]Referenzen'!$B$176:$B$215,"Gesamtleistung")/SUM('[Mehrjahresplan.xlsx]Mehrjahresplan'!$D$24:$D$27))</f>
        <v/>
      </c>
      <c r="K17" s="10">
        <f>IF(SUM('[Mehrjahresplan.xlsx]Mehrjahresplan'!$D$24:$D$27)=0,"n.a.",SUMIFS('[Referenzen.xlsx]Referenzen'!$F$176:$F$215,'[Referenzen.xlsx]Referenzen'!$A$176:$A$215,'[Steuerung.xlsx]Steuerung'!$F$11,'[Referenzen.xlsx]Referenzen'!$B$176:$B$215,"Gesamtleistung")/SUM('[Mehrjahresplan.xlsx]Mehrjahresplan'!$D$24:$D$27))</f>
        <v/>
      </c>
      <c r="L17" s="1" t="n"/>
      <c r="M17" s="1" t="n"/>
      <c r="N17" s="1" t="n"/>
      <c r="O17" s="1" t="n"/>
      <c r="P17" s="1" t="n"/>
    </row>
    <row r="18">
      <c r="A18" s="1" t="n"/>
      <c r="B18" s="1" t="n"/>
      <c r="C18" s="1" t="inlineStr">
        <is>
          <t>kleidung</t>
        </is>
      </c>
      <c r="D18" s="6" t="n">
        <v>600</v>
      </c>
      <c r="E18" s="1" t="n"/>
      <c r="F18" s="1" t="n"/>
      <c r="G18" s="1" t="inlineStr">
        <is>
          <t>Verwaltungsumlage</t>
        </is>
      </c>
      <c r="H18" s="8">
        <f>SUMIFS('[Referenzen.xlsx]Referenzen'!$G$176:$G$215,'[Referenzen.xlsx]Referenzen'!$A$176:$A$215,'[Steuerung.xlsx]Steuerung'!$F$11,'[Referenzen.xlsx]Referenzen'!$B$176:$B$215,"&lt;&gt;Gesamtleistung")*H17</f>
        <v/>
      </c>
      <c r="I18" s="8">
        <f>SUMIFS('[Referenzen.xlsx]Referenzen'!$G$176:$G$215,'[Referenzen.xlsx]Referenzen'!$A$176:$A$215,'[Steuerung.xlsx]Steuerung'!$F$11,'[Referenzen.xlsx]Referenzen'!$B$176:$B$215,"&lt;&gt;Gesamtleistung")*I17</f>
        <v/>
      </c>
      <c r="J18" s="8">
        <f>SUMIFS('[Referenzen.xlsx]Referenzen'!$G$176:$G$215,'[Referenzen.xlsx]Referenzen'!$A$176:$A$215,'[Steuerung.xlsx]Steuerung'!$F$11,'[Referenzen.xlsx]Referenzen'!$B$176:$B$215,"&lt;&gt;Gesamtleistung")*J17</f>
        <v/>
      </c>
      <c r="K18" s="8">
        <f>SUMIFS('[Referenzen.xlsx]Referenzen'!$G$176:$G$215,'[Referenzen.xlsx]Referenzen'!$A$176:$A$215,'[Steuerung.xlsx]Steuerung'!$F$11,'[Referenzen.xlsx]Referenzen'!$B$176:$B$215,"&lt;&gt;Gesamtleistung")*K17</f>
        <v/>
      </c>
      <c r="L18" s="1" t="n"/>
      <c r="M18" s="1" t="n"/>
      <c r="N18" s="1" t="n"/>
      <c r="O18" s="1" t="n"/>
      <c r="P18" s="1" t="n"/>
    </row>
    <row r="19">
      <c r="A19" s="1" t="n"/>
      <c r="B19" s="1" t="n"/>
      <c r="C19" s="1" t="inlineStr">
        <is>
          <t>sonst_nk</t>
        </is>
      </c>
      <c r="D19" s="6" t="n">
        <v>0</v>
      </c>
      <c r="E19" s="1" t="n"/>
      <c r="F19" s="1" t="n"/>
      <c r="G19" s="1" t="inlineStr">
        <is>
          <t>Eigenleistungsquote</t>
        </is>
      </c>
      <c r="H19" s="10">
        <f>1-SUMIFS('[Referenzen.xlsx]Referenzen'!$C$176:$C$215,'[Referenzen.xlsx]Referenzen'!$A$176:$A$215,'[Steuerung.xlsx]Steuerung'!$F$11,'[Referenzen.xlsx]Referenzen'!$B$176:$B$215,"Vorleistungen")/SUMIFS('[Referenzen.xlsx]Referenzen'!$C$176:$C$215,'[Referenzen.xlsx]Referenzen'!$A$176:$A$215,'[Steuerung.xlsx]Steuerung'!$F$11,'[Referenzen.xlsx]Referenzen'!$B$176:$B$215,"Gesamtleistung")</f>
        <v/>
      </c>
      <c r="I19" s="10">
        <f>1-SUMIFS('[Referenzen.xlsx]Referenzen'!$D$176:$D$215,'[Referenzen.xlsx]Referenzen'!$A$176:$A$215,'[Steuerung.xlsx]Steuerung'!$F$11,'[Referenzen.xlsx]Referenzen'!$B$176:$B$215,"Vorleistungen")/SUMIFS('[Referenzen.xlsx]Referenzen'!$D$176:$D$215,'[Referenzen.xlsx]Referenzen'!$A$176:$A$215,'[Steuerung.xlsx]Steuerung'!$F$11,'[Referenzen.xlsx]Referenzen'!$B$176:$B$215,"Gesamtleistung")</f>
        <v/>
      </c>
      <c r="J19" s="10">
        <f>1-SUMIFS('[Referenzen.xlsx]Referenzen'!$E$176:$E$215,'[Referenzen.xlsx]Referenzen'!$A$176:$A$215,'[Steuerung.xlsx]Steuerung'!$F$11,'[Referenzen.xlsx]Referenzen'!$B$176:$B$215,"Vorleistungen")/SUMIFS('[Referenzen.xlsx]Referenzen'!$E$176:$E$215,'[Referenzen.xlsx]Referenzen'!$A$176:$A$215,'[Steuerung.xlsx]Steuerung'!$F$11,'[Referenzen.xlsx]Referenzen'!$B$176:$B$215,"Gesamtleistung")</f>
        <v/>
      </c>
      <c r="K19" s="10">
        <f>1-SUMIFS('[Referenzen.xlsx]Referenzen'!$F$176:$F$215,'[Referenzen.xlsx]Referenzen'!$A$176:$A$215,'[Steuerung.xlsx]Steuerung'!$F$11,'[Referenzen.xlsx]Referenzen'!$B$176:$B$215,"Vorleistungen")/SUMIFS('[Referenzen.xlsx]Referenzen'!$F$176:$F$215,'[Referenzen.xlsx]Referenzen'!$A$176:$A$215,'[Steuerung.xlsx]Steuerung'!$F$11,'[Referenzen.xlsx]Referenzen'!$B$176:$B$215,"Gesamtleistung")</f>
        <v/>
      </c>
      <c r="L19" s="1" t="n"/>
      <c r="M19" s="1" t="n"/>
      <c r="N19" s="1" t="n"/>
      <c r="O19" s="1" t="n"/>
      <c r="P19" s="1" t="n"/>
    </row>
    <row r="20">
      <c r="A20" s="1" t="n"/>
      <c r="B20" s="1" t="n"/>
      <c r="C20" s="1" t="inlineStr">
        <is>
          <t>tarif_pa</t>
        </is>
      </c>
      <c r="D20" s="9" t="n">
        <v>0.03</v>
      </c>
      <c r="E20" s="1" t="n"/>
      <c r="F20" s="1" t="n"/>
      <c r="G20" s="1" t="inlineStr">
        <is>
          <t>GK auf Eigenstunden</t>
        </is>
      </c>
      <c r="H20" s="7">
        <f>SUM(H15:H16,H18)*H19*$D$23</f>
        <v/>
      </c>
      <c r="I20" s="7">
        <f>SUM(I15:I16,I18)*I19*$D$23</f>
        <v/>
      </c>
      <c r="J20" s="7">
        <f>SUM(J15:J16,J18)*J19*$D$23</f>
        <v/>
      </c>
      <c r="K20" s="7">
        <f>SUM(K15:K16,K18)*K19*$D$23</f>
        <v/>
      </c>
      <c r="L20" s="1" t="n"/>
      <c r="M20" s="1" t="n"/>
      <c r="N20" s="1" t="n"/>
      <c r="O20" s="1" t="n"/>
      <c r="P20" s="1" t="n"/>
    </row>
    <row r="21">
      <c r="A21" s="1" t="n"/>
      <c r="B21" s="1" t="n"/>
      <c r="C21" s="1" t="inlineStr">
        <is>
          <t>sach_pa</t>
        </is>
      </c>
      <c r="D21" s="9" t="n">
        <v>0.02</v>
      </c>
      <c r="E21" s="1" t="n"/>
      <c r="F21" s="1" t="n"/>
      <c r="G21" s="1" t="inlineStr">
        <is>
          <t>Gemeinkostensatz</t>
        </is>
      </c>
      <c r="H21" s="7">
        <f>IF(H9=0,"n.a.",H20/H9)</f>
        <v/>
      </c>
      <c r="I21" s="7">
        <f>IF(I9=0,"n.a.",I20/I9)</f>
        <v/>
      </c>
      <c r="J21" s="7">
        <f>IF(J9=0,"n.a.",J20/J9)</f>
        <v/>
      </c>
      <c r="K21" s="7">
        <f>IF(K9=0,"n.a.",K20/K9)</f>
        <v/>
      </c>
      <c r="L21" s="1" t="n"/>
      <c r="M21" s="1" t="n"/>
      <c r="N21" s="1" t="n"/>
      <c r="O21" s="1" t="n"/>
      <c r="P21" s="1" t="n"/>
    </row>
    <row r="22" ht="25" customHeight="1">
      <c r="A22" s="1" t="n"/>
      <c r="B22" s="1" t="n"/>
      <c r="C22" s="1" t="inlineStr">
        <is>
          <t>basisjahr</t>
        </is>
      </c>
      <c r="D22" s="6" t="n">
        <v>2026</v>
      </c>
      <c r="E22" s="1" t="n"/>
      <c r="F22" s="1" t="n"/>
      <c r="G22" s="11" t="inlineStr">
        <is>
          <t>Vollkostensatz</t>
        </is>
      </c>
      <c r="H22" s="12">
        <f>H13+H21</f>
        <v/>
      </c>
      <c r="I22" s="12">
        <f>I13+I21</f>
        <v/>
      </c>
      <c r="J22" s="12">
        <f>J13+J21</f>
        <v/>
      </c>
      <c r="K22" s="12">
        <f>K13+K21</f>
        <v/>
      </c>
      <c r="L22" s="1" t="n"/>
      <c r="M22" s="1" t="n"/>
      <c r="N22" s="1" t="n"/>
      <c r="O22" s="1" t="n"/>
      <c r="P22" s="1" t="n"/>
    </row>
    <row r="23">
      <c r="A23" s="1" t="n"/>
      <c r="B23" s="1" t="n"/>
      <c r="C23" s="1" t="inlineStr">
        <is>
          <t>gk_ansatz</t>
        </is>
      </c>
      <c r="D23" s="9" t="n">
        <v>1</v>
      </c>
      <c r="E23" s="1" t="n"/>
      <c r="F23" s="1" t="n"/>
      <c r="G23" s="1" t="inlineStr">
        <is>
          <t>Planmarge</t>
        </is>
      </c>
      <c r="H23" s="10">
        <f>(SUMIFS('[Referenzen.xlsx]Referenzen'!$C$176:$C$215,'[Referenzen.xlsx]Referenzen'!$A$176:$A$215,'[Steuerung.xlsx]Steuerung'!$F$11,'[Referenzen.xlsx]Referenzen'!$B$176:$B$215,"Gesamtleistung")-SUMIFS('[Referenzen.xlsx]Referenzen'!$C$176:$C$215,'[Referenzen.xlsx]Referenzen'!$A$176:$A$215,'[Steuerung.xlsx]Steuerung'!$F$11,'[Referenzen.xlsx]Referenzen'!$B$176:$B$215,"&lt;&gt;Gesamtleistung"))/SUMIFS('[Referenzen.xlsx]Referenzen'!$C$176:$C$215,'[Referenzen.xlsx]Referenzen'!$A$176:$A$215,'[Steuerung.xlsx]Steuerung'!$F$11,'[Referenzen.xlsx]Referenzen'!$B$176:$B$215,"Gesamtleistung")</f>
        <v/>
      </c>
      <c r="I23" s="10">
        <f>(SUMIFS('[Referenzen.xlsx]Referenzen'!$D$176:$D$215,'[Referenzen.xlsx]Referenzen'!$A$176:$A$215,'[Steuerung.xlsx]Steuerung'!$F$11,'[Referenzen.xlsx]Referenzen'!$B$176:$B$215,"Gesamtleistung")-SUMIFS('[Referenzen.xlsx]Referenzen'!$D$176:$D$215,'[Referenzen.xlsx]Referenzen'!$A$176:$A$215,'[Steuerung.xlsx]Steuerung'!$F$11,'[Referenzen.xlsx]Referenzen'!$B$176:$B$215,"&lt;&gt;Gesamtleistung"))/SUMIFS('[Referenzen.xlsx]Referenzen'!$D$176:$D$215,'[Referenzen.xlsx]Referenzen'!$A$176:$A$215,'[Steuerung.xlsx]Steuerung'!$F$11,'[Referenzen.xlsx]Referenzen'!$B$176:$B$215,"Gesamtleistung")</f>
        <v/>
      </c>
      <c r="J23" s="10">
        <f>(SUMIFS('[Referenzen.xlsx]Referenzen'!$E$176:$E$215,'[Referenzen.xlsx]Referenzen'!$A$176:$A$215,'[Steuerung.xlsx]Steuerung'!$F$11,'[Referenzen.xlsx]Referenzen'!$B$176:$B$215,"Gesamtleistung")-SUMIFS('[Referenzen.xlsx]Referenzen'!$E$176:$E$215,'[Referenzen.xlsx]Referenzen'!$A$176:$A$215,'[Steuerung.xlsx]Steuerung'!$F$11,'[Referenzen.xlsx]Referenzen'!$B$176:$B$215,"&lt;&gt;Gesamtleistung"))/SUMIFS('[Referenzen.xlsx]Referenzen'!$E$176:$E$215,'[Referenzen.xlsx]Referenzen'!$A$176:$A$215,'[Steuerung.xlsx]Steuerung'!$F$11,'[Referenzen.xlsx]Referenzen'!$B$176:$B$215,"Gesamtleistung")</f>
        <v/>
      </c>
      <c r="K23" s="10">
        <f>(SUMIFS('[Referenzen.xlsx]Referenzen'!$F$176:$F$215,'[Referenzen.xlsx]Referenzen'!$A$176:$A$215,'[Steuerung.xlsx]Steuerung'!$F$11,'[Referenzen.xlsx]Referenzen'!$B$176:$B$215,"Gesamtleistung")-SUMIFS('[Referenzen.xlsx]Referenzen'!$F$176:$F$215,'[Referenzen.xlsx]Referenzen'!$A$176:$A$215,'[Steuerung.xlsx]Steuerung'!$F$11,'[Referenzen.xlsx]Referenzen'!$B$176:$B$215,"&lt;&gt;Gesamtleistung"))/SUMIFS('[Referenzen.xlsx]Referenzen'!$F$176:$F$215,'[Referenzen.xlsx]Referenzen'!$A$176:$A$215,'[Steuerung.xlsx]Steuerung'!$F$11,'[Referenzen.xlsx]Referenzen'!$B$176:$B$215,"Gesamtleistung")</f>
        <v/>
      </c>
      <c r="L23" s="1" t="n"/>
      <c r="M23" s="1" t="n"/>
      <c r="N23" s="1" t="n"/>
      <c r="O23" s="1" t="n"/>
      <c r="P23" s="1" t="n"/>
    </row>
    <row r="24" ht="25" customHeight="1">
      <c r="A24" s="1" t="n"/>
      <c r="B24" s="1" t="n"/>
      <c r="C24" s="1" t="n"/>
      <c r="D24" s="1" t="n"/>
      <c r="E24" s="1" t="n"/>
      <c r="F24" s="1" t="n"/>
      <c r="G24" s="11" t="inlineStr">
        <is>
          <t>Angebotssatz</t>
        </is>
      </c>
      <c r="H24" s="12">
        <f>IF(H23&gt;=1,"n.a.",H22/(1-H23))</f>
        <v/>
      </c>
      <c r="I24" s="12">
        <f>IF(I23&gt;=1,"n.a.",I22/(1-I23))</f>
        <v/>
      </c>
      <c r="J24" s="12">
        <f>IF(J23&gt;=1,"n.a.",J22/(1-J23))</f>
        <v/>
      </c>
      <c r="K24" s="12">
        <f>IF(K23&gt;=1,"n.a.",K22/(1-K23))</f>
        <v/>
      </c>
      <c r="L24" s="1" t="n"/>
      <c r="M24" s="1" t="n"/>
      <c r="N24" s="1" t="n"/>
      <c r="O24" s="1" t="n"/>
      <c r="P24" s="1" t="n"/>
    </row>
    <row r="25">
      <c r="A25" s="1" t="n"/>
      <c r="B25" s="1" t="n"/>
      <c r="C25" s="1" t="inlineStr">
        <is>
          <t>Produktivitätsgrad</t>
        </is>
      </c>
      <c r="D25" s="13">
        <f>($D$9-$D$10-$D$11-$D$12)/$D$9</f>
        <v/>
      </c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 ht="26" customHeight="1">
      <c r="A28" s="1" t="n"/>
      <c r="B28" s="1" t="n"/>
      <c r="C28" s="14" t="inlineStr">
        <is>
          <t>Originalvorlage Stundenverrechnung</t>
        </is>
      </c>
      <c r="P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 ht="34" customHeight="1">
      <c r="A30" s="1" t="n"/>
      <c r="B30" s="1" t="n"/>
      <c r="C30" s="5" t="inlineStr">
        <is>
          <t>Vorlagenparameter</t>
        </is>
      </c>
      <c r="D30" s="5" t="inlineStr">
        <is>
          <t>Wert</t>
        </is>
      </c>
      <c r="E30" s="1" t="n"/>
      <c r="F30" s="1" t="n"/>
      <c r="G30" s="5" t="inlineStr">
        <is>
          <t>Vorlagenrechnung</t>
        </is>
      </c>
      <c r="H30" s="5" t="inlineStr">
        <is>
          <t>Ergebnis</t>
        </is>
      </c>
      <c r="I30" s="1" t="n"/>
      <c r="J30" s="1" t="n"/>
      <c r="K30" s="1" t="n"/>
      <c r="L30" s="1" t="n"/>
      <c r="M30" s="1" t="n"/>
      <c r="N30" s="1" t="n"/>
      <c r="O30" s="1" t="n"/>
      <c r="P30" s="1" t="n"/>
    </row>
    <row r="31">
      <c r="A31" s="1" t="n"/>
      <c r="B31" s="1" t="n"/>
      <c r="C31" s="1" t="inlineStr">
        <is>
          <t>Kalendertage</t>
        </is>
      </c>
      <c r="D31" s="6" t="n">
        <v>365</v>
      </c>
      <c r="E31" s="1" t="n"/>
      <c r="F31" s="1" t="n"/>
      <c r="G31" s="1" t="inlineStr">
        <is>
          <t>Vertragsarbeitstage</t>
        </is>
      </c>
      <c r="H31" s="7">
        <f>D31-D32-D33</f>
        <v/>
      </c>
      <c r="I31" s="1" t="n"/>
      <c r="J31" s="1" t="n"/>
      <c r="K31" s="1" t="n"/>
      <c r="L31" s="1" t="n"/>
      <c r="M31" s="1" t="n"/>
      <c r="N31" s="1" t="n"/>
      <c r="O31" s="1" t="n"/>
      <c r="P31" s="1" t="n"/>
    </row>
    <row r="32">
      <c r="A32" s="1" t="n"/>
      <c r="B32" s="1" t="n"/>
      <c r="C32" s="1" t="inlineStr">
        <is>
          <t>Wochenendtage</t>
        </is>
      </c>
      <c r="D32" s="6" t="n">
        <v>104</v>
      </c>
      <c r="E32" s="1" t="n"/>
      <c r="F32" s="1" t="n"/>
      <c r="G32" s="1" t="inlineStr">
        <is>
          <t>Anwesenheitstage</t>
        </is>
      </c>
      <c r="H32" s="7">
        <f>H31-D34-D35</f>
        <v/>
      </c>
      <c r="I32" s="1" t="n"/>
      <c r="J32" s="1" t="n"/>
      <c r="K32" s="1" t="n"/>
      <c r="L32" s="1" t="n"/>
      <c r="M32" s="1" t="n"/>
      <c r="N32" s="1" t="n"/>
      <c r="O32" s="1" t="n"/>
      <c r="P32" s="1" t="n"/>
    </row>
    <row r="33">
      <c r="A33" s="1" t="n"/>
      <c r="B33" s="1" t="n"/>
      <c r="C33" s="1" t="inlineStr">
        <is>
          <t>Feiertage</t>
        </is>
      </c>
      <c r="D33" s="6" t="n">
        <v>9</v>
      </c>
      <c r="E33" s="1" t="n"/>
      <c r="F33" s="1" t="n"/>
      <c r="G33" s="1" t="inlineStr">
        <is>
          <t>Arbeitsstunden / Jahr</t>
        </is>
      </c>
      <c r="H33" s="7">
        <f>H32*D36</f>
        <v/>
      </c>
      <c r="I33" s="1" t="n"/>
      <c r="J33" s="1" t="n"/>
      <c r="K33" s="1" t="n"/>
      <c r="L33" s="1" t="n"/>
      <c r="M33" s="1" t="n"/>
      <c r="N33" s="1" t="n"/>
      <c r="O33" s="1" t="n"/>
      <c r="P33" s="1" t="n"/>
    </row>
    <row r="34">
      <c r="A34" s="1" t="n"/>
      <c r="B34" s="1" t="n"/>
      <c r="C34" s="1" t="inlineStr">
        <is>
          <t>Urlaubstage</t>
        </is>
      </c>
      <c r="D34" s="6" t="n">
        <v>30</v>
      </c>
      <c r="E34" s="1" t="n"/>
      <c r="F34" s="1" t="n"/>
      <c r="G34" s="1" t="inlineStr">
        <is>
          <t>Anwesenheit brutto</t>
        </is>
      </c>
      <c r="H34" s="7">
        <f>H33+D37*12</f>
        <v/>
      </c>
      <c r="I34" s="1" t="n"/>
      <c r="J34" s="1" t="n"/>
      <c r="K34" s="1" t="n"/>
      <c r="L34" s="1" t="n"/>
      <c r="M34" s="1" t="n"/>
      <c r="N34" s="1" t="n"/>
      <c r="O34" s="1" t="n"/>
      <c r="P34" s="1" t="n"/>
    </row>
    <row r="35">
      <c r="A35" s="1" t="n"/>
      <c r="B35" s="1" t="n"/>
      <c r="C35" s="1" t="inlineStr">
        <is>
          <t>Krankheitstage</t>
        </is>
      </c>
      <c r="D35" s="6" t="n">
        <v>10</v>
      </c>
      <c r="E35" s="1" t="n"/>
      <c r="F35" s="1" t="n"/>
      <c r="G35" s="1" t="inlineStr">
        <is>
          <t>Produktive Stunden</t>
        </is>
      </c>
      <c r="H35" s="7">
        <f>H34-D38-H33*D39</f>
        <v/>
      </c>
      <c r="I35" s="1" t="n"/>
      <c r="J35" s="1" t="n"/>
      <c r="K35" s="1" t="n"/>
      <c r="L35" s="1" t="n"/>
      <c r="M35" s="1" t="n"/>
      <c r="N35" s="1" t="n"/>
      <c r="O35" s="1" t="n"/>
      <c r="P35" s="1" t="n"/>
    </row>
    <row r="36">
      <c r="A36" s="1" t="n"/>
      <c r="B36" s="1" t="n"/>
      <c r="C36" s="1" t="inlineStr">
        <is>
          <t>Stunden je Tag</t>
        </is>
      </c>
      <c r="D36" s="6" t="n">
        <v>8</v>
      </c>
      <c r="E36" s="1" t="n"/>
      <c r="F36" s="1" t="n"/>
      <c r="G36" s="1" t="inlineStr">
        <is>
          <t>Monatslohn</t>
        </is>
      </c>
      <c r="H36" s="7">
        <f>D40*180</f>
        <v/>
      </c>
      <c r="I36" s="1" t="n"/>
      <c r="J36" s="1" t="n"/>
      <c r="K36" s="1" t="n"/>
      <c r="L36" s="1" t="n"/>
      <c r="M36" s="1" t="n"/>
      <c r="N36" s="1" t="n"/>
      <c r="O36" s="1" t="n"/>
      <c r="P36" s="1" t="n"/>
    </row>
    <row r="37">
      <c r="A37" s="1" t="n"/>
      <c r="B37" s="1" t="n"/>
      <c r="C37" s="1" t="inlineStr">
        <is>
          <t>Mehrarbeit je Monat</t>
        </is>
      </c>
      <c r="D37" s="6" t="n">
        <v>10</v>
      </c>
      <c r="E37" s="1" t="n"/>
      <c r="F37" s="1" t="n"/>
      <c r="G37" s="1" t="inlineStr">
        <is>
          <t>AG-Sozialversicherung</t>
        </is>
      </c>
      <c r="H37" s="7">
        <f>H36*D41</f>
        <v/>
      </c>
      <c r="I37" s="1" t="n"/>
      <c r="J37" s="1" t="n"/>
      <c r="K37" s="1" t="n"/>
      <c r="L37" s="1" t="n"/>
      <c r="M37" s="1" t="n"/>
      <c r="N37" s="1" t="n"/>
      <c r="O37" s="1" t="n"/>
      <c r="P37" s="1" t="n"/>
    </row>
    <row r="38">
      <c r="A38" s="1" t="n"/>
      <c r="B38" s="1" t="n"/>
      <c r="C38" s="1" t="inlineStr">
        <is>
          <t>Weiterbildung Stunden</t>
        </is>
      </c>
      <c r="D38" s="6" t="n">
        <v>0</v>
      </c>
      <c r="E38" s="1" t="n"/>
      <c r="F38" s="1" t="n"/>
      <c r="G38" s="1" t="inlineStr">
        <is>
          <t>Urlaubsgeld</t>
        </is>
      </c>
      <c r="H38" s="7">
        <f>D40*170*D42</f>
        <v/>
      </c>
      <c r="I38" s="1" t="n"/>
      <c r="J38" s="1" t="n"/>
      <c r="K38" s="1" t="n"/>
      <c r="L38" s="1" t="n"/>
      <c r="M38" s="1" t="n"/>
      <c r="N38" s="1" t="n"/>
      <c r="O38" s="1" t="n"/>
      <c r="P38" s="1" t="n"/>
    </row>
    <row r="39">
      <c r="A39" s="1" t="n"/>
      <c r="B39" s="1" t="n"/>
      <c r="C39" s="1" t="inlineStr">
        <is>
          <t>Gemeinkostenzeit</t>
        </is>
      </c>
      <c r="D39" s="6" t="n">
        <v>0.2</v>
      </c>
      <c r="E39" s="1" t="n"/>
      <c r="F39" s="1" t="n"/>
      <c r="G39" s="1" t="inlineStr">
        <is>
          <t>Weihnachtsgeld</t>
        </is>
      </c>
      <c r="H39" s="7">
        <f>D40*170*D43</f>
        <v/>
      </c>
      <c r="I39" s="1" t="n"/>
      <c r="J39" s="1" t="n"/>
      <c r="K39" s="1" t="n"/>
      <c r="L39" s="1" t="n"/>
      <c r="M39" s="1" t="n"/>
      <c r="N39" s="1" t="n"/>
      <c r="O39" s="1" t="n"/>
      <c r="P39" s="1" t="n"/>
    </row>
    <row r="40">
      <c r="A40" s="1" t="n"/>
      <c r="B40" s="1" t="n"/>
      <c r="C40" s="1" t="inlineStr">
        <is>
          <t>Stundenlohn</t>
        </is>
      </c>
      <c r="D40" s="6" t="n">
        <v>17.5</v>
      </c>
      <c r="E40" s="1" t="n"/>
      <c r="F40" s="1" t="n"/>
      <c r="G40" s="1" t="inlineStr">
        <is>
          <t>Jahresbasis</t>
        </is>
      </c>
      <c r="H40" s="7">
        <f>12*(H36+H37+D44)+H38+H39</f>
        <v/>
      </c>
      <c r="I40" s="1" t="n"/>
      <c r="J40" s="1" t="n"/>
      <c r="K40" s="1" t="n"/>
      <c r="L40" s="1" t="n"/>
      <c r="M40" s="1" t="n"/>
      <c r="N40" s="1" t="n"/>
      <c r="O40" s="1" t="n"/>
      <c r="P40" s="1" t="n"/>
    </row>
    <row r="41">
      <c r="A41" s="1" t="n"/>
      <c r="B41" s="1" t="n"/>
      <c r="C41" s="1" t="inlineStr">
        <is>
          <t>Sozialversicherung</t>
        </is>
      </c>
      <c r="D41" s="6" t="n">
        <v>0.2</v>
      </c>
      <c r="E41" s="1" t="n"/>
      <c r="F41" s="1" t="n"/>
      <c r="G41" s="1" t="inlineStr">
        <is>
          <t>Jahresaufwand</t>
        </is>
      </c>
      <c r="H41" s="7">
        <f>H40*(1+D45+D46)</f>
        <v/>
      </c>
      <c r="I41" s="1" t="n"/>
      <c r="J41" s="1" t="n"/>
      <c r="K41" s="1" t="n"/>
      <c r="L41" s="1" t="n"/>
      <c r="M41" s="1" t="n"/>
      <c r="N41" s="1" t="n"/>
      <c r="O41" s="1" t="n"/>
      <c r="P41" s="1" t="n"/>
    </row>
    <row r="42" ht="25" customHeight="1">
      <c r="A42" s="1" t="n"/>
      <c r="B42" s="1" t="n"/>
      <c r="C42" s="1" t="inlineStr">
        <is>
          <t>Urlaubsgeld-Faktor</t>
        </is>
      </c>
      <c r="D42" s="6" t="n">
        <v>0.5</v>
      </c>
      <c r="E42" s="1" t="n"/>
      <c r="F42" s="1" t="n"/>
      <c r="G42" s="11" t="inlineStr">
        <is>
          <t>Satz ohne Verwaltungs-GK</t>
        </is>
      </c>
      <c r="H42" s="12">
        <f>IF(H35=0,"n.a.",H41/H35)</f>
        <v/>
      </c>
      <c r="I42" s="1" t="n"/>
      <c r="J42" s="1" t="n"/>
      <c r="K42" s="1" t="n"/>
      <c r="L42" s="1" t="n"/>
      <c r="M42" s="1" t="n"/>
      <c r="N42" s="1" t="n"/>
      <c r="O42" s="1" t="n"/>
      <c r="P42" s="1" t="n"/>
    </row>
    <row r="43" ht="25" customHeight="1">
      <c r="A43" s="1" t="n"/>
      <c r="B43" s="1" t="n"/>
      <c r="C43" s="1" t="inlineStr">
        <is>
          <t>Weihnachtsgeld-Faktor</t>
        </is>
      </c>
      <c r="D43" s="6" t="n">
        <v>0.5</v>
      </c>
      <c r="E43" s="1" t="n"/>
      <c r="F43" s="1" t="n"/>
      <c r="G43" s="15" t="inlineStr">
        <is>
          <t>Satz mit Verwaltungs-GK</t>
        </is>
      </c>
      <c r="H43" s="16">
        <f>H42*(1+D47+D48)</f>
        <v/>
      </c>
      <c r="I43" s="1" t="n"/>
      <c r="J43" s="1" t="n"/>
      <c r="K43" s="1" t="n"/>
      <c r="L43" s="1" t="n"/>
      <c r="M43" s="1" t="n"/>
      <c r="N43" s="1" t="n"/>
      <c r="O43" s="1" t="n"/>
      <c r="P43" s="1" t="n"/>
    </row>
    <row r="44">
      <c r="A44" s="1" t="n"/>
      <c r="B44" s="1" t="n"/>
      <c r="C44" s="1" t="inlineStr">
        <is>
          <t>VL je Monat</t>
        </is>
      </c>
      <c r="D44" s="6" t="n">
        <v>52</v>
      </c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  <row r="45">
      <c r="A45" s="1" t="n"/>
      <c r="B45" s="1" t="n"/>
      <c r="C45" s="1" t="inlineStr">
        <is>
          <t>Sonstige Personal-GK</t>
        </is>
      </c>
      <c r="D45" s="6" t="n">
        <v>0.01</v>
      </c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>
      <c r="A46" s="1" t="n"/>
      <c r="B46" s="1" t="n"/>
      <c r="C46" s="1" t="inlineStr">
        <is>
          <t>Risiko</t>
        </is>
      </c>
      <c r="D46" s="6" t="n">
        <v>0.03</v>
      </c>
      <c r="E46" s="1" t="n"/>
      <c r="F46" s="1" t="n"/>
      <c r="G46" s="17" t="inlineStr">
        <is>
          <t>Abweichung der Originalvorlage: Ihre Beschriftung nennt 34,04 / 48,33 EUR. Die gespeicherten Standardparameter und Formeln ergeben 34,48 / 48,96 EUR. Hier wird die hinterlegte Rechenlogik reproduziert.</t>
        </is>
      </c>
      <c r="P46" s="1" t="n"/>
    </row>
    <row r="47">
      <c r="A47" s="1" t="n"/>
      <c r="B47" s="1" t="n"/>
      <c r="C47" s="1" t="inlineStr">
        <is>
          <t>Verwaltungs-GK</t>
        </is>
      </c>
      <c r="D47" s="6" t="n">
        <v>0.3</v>
      </c>
      <c r="E47" s="1" t="n"/>
      <c r="F47" s="1" t="n"/>
      <c r="P47" s="1" t="n"/>
    </row>
    <row r="48" ht="34" customHeight="1">
      <c r="A48" s="1" t="n"/>
      <c r="B48" s="1" t="n"/>
      <c r="C48" s="5" t="inlineStr">
        <is>
          <t>Wagnis/Gewinn</t>
        </is>
      </c>
      <c r="D48" s="18" t="n">
        <v>0.12</v>
      </c>
      <c r="E48" s="5" t="inlineStr">
        <is>
          <t>Geringfügig</t>
        </is>
      </c>
      <c r="F48" s="5" t="inlineStr">
        <is>
          <t>Anzahl</t>
        </is>
      </c>
      <c r="G48" s="5" t="inlineStr">
        <is>
          <t>Monatslohn</t>
        </is>
      </c>
      <c r="H48" s="5" t="inlineStr">
        <is>
          <t>Std. bezahlt/Jahr</t>
        </is>
      </c>
      <c r="I48" s="5" t="inlineStr">
        <is>
          <t>Lohn/Jahr</t>
        </is>
      </c>
      <c r="J48" s="1" t="n"/>
      <c r="K48" s="1" t="n"/>
      <c r="L48" s="1" t="n"/>
      <c r="M48" s="1" t="n"/>
      <c r="N48" s="1" t="n"/>
      <c r="O48" s="1" t="n"/>
      <c r="P48" s="1" t="n"/>
    </row>
    <row r="49">
      <c r="A49" s="1" t="n"/>
      <c r="B49" s="1" t="n"/>
      <c r="J49" s="1" t="n"/>
      <c r="K49" s="1" t="n"/>
      <c r="L49" s="1" t="n"/>
      <c r="M49" s="1" t="n"/>
      <c r="N49" s="1" t="n"/>
      <c r="O49" s="1" t="n"/>
      <c r="P49" s="1" t="n"/>
    </row>
    <row r="50">
      <c r="A50" s="1" t="n"/>
      <c r="B50" s="1" t="n"/>
      <c r="J50" s="1" t="n"/>
      <c r="K50" s="1" t="n"/>
      <c r="L50" s="1" t="n"/>
      <c r="M50" s="1" t="n"/>
      <c r="N50" s="1" t="n"/>
      <c r="O50" s="1" t="n"/>
      <c r="P50" s="1" t="n"/>
    </row>
    <row r="51">
      <c r="A51" s="1" t="n"/>
      <c r="B51" s="1" t="n"/>
      <c r="J51" s="1" t="n"/>
      <c r="K51" s="1" t="n"/>
      <c r="L51" s="1" t="n"/>
      <c r="M51" s="1" t="n"/>
      <c r="N51" s="1" t="n"/>
      <c r="O51" s="1" t="n"/>
      <c r="P51" s="1" t="n"/>
    </row>
    <row r="52">
      <c r="A52" s="1" t="n"/>
      <c r="B52" s="1" t="n"/>
      <c r="J52" s="1" t="n"/>
      <c r="K52" s="1" t="n"/>
      <c r="L52" s="1" t="n"/>
      <c r="M52" s="1" t="n"/>
      <c r="N52" s="1" t="n"/>
      <c r="O52" s="1" t="n"/>
      <c r="P52" s="1" t="n"/>
    </row>
    <row r="53">
      <c r="A53" s="1" t="n"/>
      <c r="B53" s="1" t="n"/>
      <c r="J53" s="1" t="n"/>
      <c r="K53" s="1" t="n"/>
      <c r="L53" s="1" t="n"/>
      <c r="M53" s="1" t="n"/>
      <c r="N53" s="1" t="n"/>
      <c r="O53" s="1" t="n"/>
      <c r="P53" s="1" t="n"/>
    </row>
    <row r="54">
      <c r="A54" s="1" t="n"/>
      <c r="B54" s="1" t="n"/>
      <c r="J54" s="1" t="n"/>
      <c r="K54" s="1" t="n"/>
      <c r="L54" s="1" t="n"/>
      <c r="M54" s="1" t="n"/>
      <c r="N54" s="1" t="n"/>
      <c r="O54" s="1" t="n"/>
      <c r="P54" s="1" t="n"/>
    </row>
    <row r="55">
      <c r="A55" s="1" t="n"/>
      <c r="B55" s="1" t="n"/>
      <c r="J55" s="1" t="n"/>
      <c r="K55" s="1" t="n"/>
      <c r="L55" s="1" t="n"/>
      <c r="M55" s="1" t="n"/>
      <c r="N55" s="1" t="n"/>
      <c r="O55" s="1" t="n"/>
      <c r="P55" s="1" t="n"/>
    </row>
    <row r="56">
      <c r="A56" s="1" t="n"/>
      <c r="B56" s="1" t="n"/>
      <c r="J56" s="1" t="n"/>
      <c r="K56" s="1" t="n"/>
      <c r="L56" s="1" t="n"/>
      <c r="M56" s="1" t="n"/>
      <c r="N56" s="1" t="n"/>
      <c r="O56" s="1" t="n"/>
      <c r="P56" s="1" t="n"/>
    </row>
    <row r="57">
      <c r="A57" s="1" t="n"/>
      <c r="B57" s="1" t="n"/>
      <c r="J57" s="1" t="n"/>
      <c r="K57" s="1" t="n"/>
      <c r="L57" s="1" t="n"/>
      <c r="M57" s="1" t="n"/>
      <c r="N57" s="1" t="n"/>
      <c r="O57" s="1" t="n"/>
      <c r="P57" s="1" t="n"/>
    </row>
    <row r="58">
      <c r="A58" s="1" t="n"/>
      <c r="B58" s="1" t="n"/>
      <c r="J58" s="1" t="n"/>
      <c r="K58" s="1" t="n"/>
      <c r="L58" s="1" t="n"/>
      <c r="M58" s="1" t="n"/>
      <c r="N58" s="1" t="n"/>
      <c r="O58" s="1" t="n"/>
      <c r="P58" s="1" t="n"/>
    </row>
    <row r="59">
      <c r="A59" s="1" t="n"/>
      <c r="B59" s="1" t="n"/>
      <c r="J59" s="1" t="n"/>
      <c r="K59" s="1" t="n"/>
      <c r="L59" s="1" t="n"/>
      <c r="M59" s="1" t="n"/>
      <c r="N59" s="1" t="n"/>
      <c r="O59" s="1" t="n"/>
      <c r="P59" s="1" t="n"/>
    </row>
    <row r="60">
      <c r="A60" s="1" t="n"/>
      <c r="B60" s="1" t="n"/>
      <c r="J60" s="1" t="n"/>
      <c r="K60" s="1" t="n"/>
      <c r="L60" s="1" t="n"/>
      <c r="M60" s="1" t="n"/>
      <c r="N60" s="1" t="n"/>
      <c r="O60" s="1" t="n"/>
      <c r="P60" s="1" t="n"/>
    </row>
    <row r="61"/>
    <row r="62"/>
    <row r="63"/>
    <row r="64" ht="34" customHeight="1">
      <c r="C64" s="5" t="inlineStr">
        <is>
          <t>Region</t>
        </is>
      </c>
      <c r="D64" s="19" t="inlineStr">
        <is>
          <t>Tätigkeit</t>
        </is>
      </c>
      <c r="E64" s="5" t="inlineStr">
        <is>
          <t>Geringfügig</t>
        </is>
      </c>
      <c r="F64" s="5" t="inlineStr">
        <is>
          <t>Anzahl</t>
        </is>
      </c>
      <c r="G64" s="5" t="inlineStr">
        <is>
          <t>Monatslohn</t>
        </is>
      </c>
      <c r="H64" s="5" t="inlineStr">
        <is>
          <t>Std. bezahlt/Jahr</t>
        </is>
      </c>
      <c r="I64" s="5" t="inlineStr">
        <is>
          <t>Lohn/Jahr</t>
        </is>
      </c>
    </row>
    <row r="65">
      <c r="C65" s="1" t="inlineStr">
        <is>
          <t>Berlin</t>
        </is>
      </c>
      <c r="D65" s="1" t="inlineStr">
        <is>
          <t>A/E</t>
        </is>
      </c>
      <c r="E65" s="1" t="b">
        <v>0</v>
      </c>
      <c r="F65" s="6" t="n">
        <v>2</v>
      </c>
      <c r="G65" s="6" t="n">
        <v>2863.75</v>
      </c>
      <c r="H65" s="7">
        <f>F65*IF(E65,$D$8,$D$7)*12</f>
        <v/>
      </c>
      <c r="I65" s="7">
        <f>F65*G65*12</f>
        <v/>
      </c>
    </row>
    <row r="66">
      <c r="C66" s="1" t="inlineStr">
        <is>
          <t>Berlin</t>
        </is>
      </c>
      <c r="D66" s="1" t="inlineStr">
        <is>
          <t>BSL</t>
        </is>
      </c>
      <c r="E66" s="1" t="b">
        <v>0</v>
      </c>
      <c r="F66" s="6" t="n">
        <v>1</v>
      </c>
      <c r="G66" s="6" t="n">
        <v>3950</v>
      </c>
      <c r="H66" s="7">
        <f>F66*IF(E66,$D$8,$D$7)*12</f>
        <v/>
      </c>
      <c r="I66" s="7">
        <f>F66*G66*12</f>
        <v/>
      </c>
    </row>
    <row r="67">
      <c r="C67" s="1" t="inlineStr">
        <is>
          <t>Ost</t>
        </is>
      </c>
      <c r="D67" s="1" t="inlineStr">
        <is>
          <t>A/E</t>
        </is>
      </c>
      <c r="E67" s="1" t="b">
        <v>0</v>
      </c>
      <c r="F67" s="6" t="n">
        <v>2</v>
      </c>
      <c r="G67" s="6" t="n">
        <v>2950</v>
      </c>
      <c r="H67" s="7">
        <f>F67*IF(E67,$D$8,$D$7)*12</f>
        <v/>
      </c>
      <c r="I67" s="7">
        <f>F67*G67*12</f>
        <v/>
      </c>
    </row>
    <row r="68">
      <c r="C68" s="1" t="inlineStr">
        <is>
          <t>Ost</t>
        </is>
      </c>
      <c r="D68" s="1" t="inlineStr">
        <is>
          <t>BSL</t>
        </is>
      </c>
      <c r="E68" s="1" t="b">
        <v>0</v>
      </c>
      <c r="F68" s="6" t="n">
        <v>4</v>
      </c>
      <c r="G68" s="6" t="n">
        <v>3950</v>
      </c>
      <c r="H68" s="7">
        <f>F68*IF(E68,$D$8,$D$7)*12</f>
        <v/>
      </c>
      <c r="I68" s="7">
        <f>F68*G68*12</f>
        <v/>
      </c>
    </row>
    <row r="69">
      <c r="C69" s="1" t="inlineStr">
        <is>
          <t>Ost</t>
        </is>
      </c>
      <c r="D69" s="1" t="inlineStr">
        <is>
          <t>Masch.</t>
        </is>
      </c>
      <c r="E69" s="1" t="b">
        <v>0</v>
      </c>
      <c r="F69" s="6" t="n">
        <v>3</v>
      </c>
      <c r="G69" s="6" t="n">
        <v>3015.25</v>
      </c>
      <c r="H69" s="7">
        <f>F69*IF(E69,$D$8,$D$7)*12</f>
        <v/>
      </c>
      <c r="I69" s="7">
        <f>F69*G69*12</f>
        <v/>
      </c>
    </row>
    <row r="70">
      <c r="C70" s="1" t="inlineStr">
        <is>
          <t>Ost</t>
        </is>
      </c>
      <c r="D70" s="1" t="inlineStr">
        <is>
          <t>VA</t>
        </is>
      </c>
      <c r="E70" s="1" t="b">
        <v>0</v>
      </c>
      <c r="F70" s="6" t="n">
        <v>2</v>
      </c>
      <c r="G70" s="6" t="n">
        <v>3069.68</v>
      </c>
      <c r="H70" s="7">
        <f>F70*IF(E70,$D$8,$D$7)*12</f>
        <v/>
      </c>
      <c r="I70" s="7">
        <f>F70*G70*12</f>
        <v/>
      </c>
    </row>
    <row r="71">
      <c r="C71" s="1" t="inlineStr">
        <is>
          <t>Süd-West</t>
        </is>
      </c>
      <c r="D71" s="1" t="inlineStr">
        <is>
          <t>A/E</t>
        </is>
      </c>
      <c r="E71" s="1" t="b">
        <v>0</v>
      </c>
      <c r="F71" s="6" t="n">
        <v>8</v>
      </c>
      <c r="G71" s="6" t="n">
        <v>2988.14</v>
      </c>
      <c r="H71" s="7">
        <f>F71*IF(E71,$D$8,$D$7)*12</f>
        <v/>
      </c>
      <c r="I71" s="7">
        <f>F71*G71*12</f>
        <v/>
      </c>
    </row>
    <row r="72">
      <c r="C72" s="1" t="inlineStr">
        <is>
          <t>Süd-West</t>
        </is>
      </c>
      <c r="D72" s="1" t="inlineStr">
        <is>
          <t>A/E</t>
        </is>
      </c>
      <c r="E72" s="1" t="b">
        <v>1</v>
      </c>
      <c r="F72" s="6" t="n">
        <v>3</v>
      </c>
      <c r="G72" s="6" t="n">
        <v>556</v>
      </c>
      <c r="H72" s="7">
        <f>F72*IF(E72,$D$8,$D$7)*12</f>
        <v/>
      </c>
      <c r="I72" s="7">
        <f>F72*G72*12</f>
        <v/>
      </c>
    </row>
    <row r="73">
      <c r="C73" s="1" t="inlineStr">
        <is>
          <t>Süd-West</t>
        </is>
      </c>
      <c r="D73" s="1" t="inlineStr">
        <is>
          <t>BSL</t>
        </is>
      </c>
      <c r="E73" s="1" t="b">
        <v>0</v>
      </c>
      <c r="F73" s="6" t="n">
        <v>4</v>
      </c>
      <c r="G73" s="6" t="n">
        <v>3600</v>
      </c>
      <c r="H73" s="7">
        <f>F73*IF(E73,$D$8,$D$7)*12</f>
        <v/>
      </c>
      <c r="I73" s="7">
        <f>F73*G73*12</f>
        <v/>
      </c>
    </row>
    <row r="74">
      <c r="C74" s="1" t="inlineStr">
        <is>
          <t>West</t>
        </is>
      </c>
      <c r="D74" s="1" t="inlineStr">
        <is>
          <t>A/E</t>
        </is>
      </c>
      <c r="E74" s="1" t="b">
        <v>0</v>
      </c>
      <c r="F74" s="6" t="n">
        <v>2</v>
      </c>
      <c r="G74" s="6" t="n">
        <v>3019.93</v>
      </c>
      <c r="H74" s="7">
        <f>F74*IF(E74,$D$8,$D$7)*12</f>
        <v/>
      </c>
      <c r="I74" s="7">
        <f>F74*G74*12</f>
        <v/>
      </c>
    </row>
    <row r="75">
      <c r="C75" s="1" t="inlineStr">
        <is>
          <t>West</t>
        </is>
      </c>
      <c r="D75" s="1" t="inlineStr">
        <is>
          <t>BSL</t>
        </is>
      </c>
      <c r="E75" s="1" t="b">
        <v>0</v>
      </c>
      <c r="F75" s="6" t="n">
        <v>7</v>
      </c>
      <c r="G75" s="6" t="n">
        <v>3981.86</v>
      </c>
      <c r="H75" s="7">
        <f>F75*IF(E75,$D$8,$D$7)*12</f>
        <v/>
      </c>
      <c r="I75" s="7">
        <f>F75*G75*12</f>
        <v/>
      </c>
    </row>
    <row r="76">
      <c r="C76" s="1" t="inlineStr">
        <is>
          <t>West</t>
        </is>
      </c>
      <c r="D76" s="1" t="inlineStr">
        <is>
          <t>Masch.</t>
        </is>
      </c>
      <c r="E76" s="1" t="b">
        <v>0</v>
      </c>
      <c r="F76" s="6" t="n">
        <v>2</v>
      </c>
      <c r="G76" s="6" t="n">
        <v>3768.75</v>
      </c>
      <c r="H76" s="7">
        <f>F76*IF(E76,$D$8,$D$7)*12</f>
        <v/>
      </c>
      <c r="I76" s="7">
        <f>F76*G76*12</f>
        <v/>
      </c>
    </row>
    <row r="79">
      <c r="C79" t="inlineStr">
        <is>
          <t>SharePoint-Verknüpfungen (Dateien im selben Ordner)</t>
        </is>
      </c>
    </row>
    <row r="80">
      <c r="C80" t="inlineStr">
        <is>
          <t>Diese Datei</t>
        </is>
      </c>
      <c r="D80" t="inlineStr">
        <is>
          <t>Stundensätze.xlsx</t>
        </is>
      </c>
    </row>
    <row r="81">
      <c r="C81" t="inlineStr">
        <is>
          <t>Liest aus</t>
        </is>
      </c>
      <c r="D81" t="inlineStr">
        <is>
          <t>Mehrjahresplan.xlsx</t>
        </is>
      </c>
      <c r="E81" t="inlineStr">
        <is>
          <t>Mehrjahresplan</t>
        </is>
      </c>
    </row>
    <row r="82">
      <c r="C82" t="inlineStr">
        <is>
          <t>Liest aus</t>
        </is>
      </c>
      <c r="D82" t="inlineStr">
        <is>
          <t>Referenzen.xlsx</t>
        </is>
      </c>
      <c r="E82" t="inlineStr">
        <is>
          <t>Referenzen</t>
        </is>
      </c>
    </row>
    <row r="83">
      <c r="C83" t="inlineStr">
        <is>
          <t>Liest aus</t>
        </is>
      </c>
      <c r="D83" t="inlineStr">
        <is>
          <t>Steuerung.xlsx</t>
        </is>
      </c>
      <c r="E83" t="inlineStr">
        <is>
          <t>Steuerung</t>
        </is>
      </c>
    </row>
  </sheetData>
  <mergeCells count="4">
    <mergeCell ref="C2:P2"/>
    <mergeCell ref="C28:O28"/>
    <mergeCell ref="C3:P3"/>
    <mergeCell ref="G46:O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2026-10-12T08:21:52Z</dcterms:created>
  <dcterms:modified xsi:type="dcterms:W3CDTF">2026-10-12T08:21:53Z</dcterms:modified>
</cp:coreProperties>
</file>