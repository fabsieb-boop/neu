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n"/>
      <c r="C2" s="2" t="inlineStr">
        <is>
          <t>GuV und EBITDA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32" customHeight="1">
      <c r="A3" s="1" t="n"/>
      <c r="B3" s="1" t="n"/>
      <c r="C3" s="4" t="inlineStr">
        <is>
          <t>Importierte Monatsdaten haben Vorrang vor dem Originalexport. Quelle je Monat in Zeile 23. Aufwendungen negativ, Beträge in EUR.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inlineStr">
        <is>
          <t>Position</t>
        </is>
      </c>
      <c r="D5" s="1" t="n"/>
      <c r="E5" s="1" t="n"/>
      <c r="F5" s="1" t="n">
        <v>1</v>
      </c>
      <c r="G5" s="1" t="n">
        <v>2</v>
      </c>
      <c r="H5" s="1" t="n">
        <v>3</v>
      </c>
      <c r="I5" s="1" t="n">
        <v>4</v>
      </c>
      <c r="J5" s="1" t="n">
        <v>5</v>
      </c>
      <c r="K5" s="1" t="n">
        <v>6</v>
      </c>
      <c r="L5" s="1" t="n">
        <v>7</v>
      </c>
      <c r="M5" s="1" t="n">
        <v>8</v>
      </c>
      <c r="N5" s="1" t="n">
        <v>9</v>
      </c>
      <c r="O5" s="1" t="n">
        <v>10</v>
      </c>
      <c r="P5" s="1" t="n">
        <v>11</v>
      </c>
      <c r="Q5" s="1" t="n">
        <v>12</v>
      </c>
      <c r="R5" s="1" t="n"/>
    </row>
    <row r="6" ht="34" customHeight="1">
      <c r="A6" s="1" t="n"/>
      <c r="B6" s="1" t="n"/>
      <c r="C6" s="5" t="inlineStr">
        <is>
          <t>Position</t>
        </is>
      </c>
      <c r="D6" s="5" t="inlineStr">
        <is>
          <t>YTD</t>
        </is>
      </c>
      <c r="E6" s="5" t="inlineStr">
        <is>
          <t>Anteil</t>
        </is>
      </c>
      <c r="F6" s="5" t="inlineStr">
        <is>
          <t>Jan</t>
        </is>
      </c>
      <c r="G6" s="5" t="inlineStr">
        <is>
          <t>Feb</t>
        </is>
      </c>
      <c r="H6" s="5" t="inlineStr">
        <is>
          <t>Mär</t>
        </is>
      </c>
      <c r="I6" s="5" t="inlineStr">
        <is>
          <t>Apr</t>
        </is>
      </c>
      <c r="J6" s="5" t="inlineStr">
        <is>
          <t>Mai</t>
        </is>
      </c>
      <c r="K6" s="5" t="inlineStr">
        <is>
          <t>Jun</t>
        </is>
      </c>
      <c r="L6" s="5" t="inlineStr">
        <is>
          <t>Jul</t>
        </is>
      </c>
      <c r="M6" s="5" t="inlineStr">
        <is>
          <t>Aug</t>
        </is>
      </c>
      <c r="N6" s="5" t="inlineStr">
        <is>
          <t>Sep</t>
        </is>
      </c>
      <c r="O6" s="5" t="inlineStr">
        <is>
          <t>Okt</t>
        </is>
      </c>
      <c r="P6" s="5" t="inlineStr">
        <is>
          <t>Nov</t>
        </is>
      </c>
      <c r="Q6" s="5" t="inlineStr">
        <is>
          <t>Dez</t>
        </is>
      </c>
      <c r="R6" s="1" t="n"/>
    </row>
    <row r="7">
      <c r="A7" s="1" t="n"/>
      <c r="B7" s="1" t="n"/>
      <c r="C7" s="1" t="inlineStr">
        <is>
          <t>Umsatzerlöse</t>
        </is>
      </c>
      <c r="D7" s="6">
        <f>SUMIFS(F7:Q7,$F$5:$Q$5,"&lt;="&amp;'[Steuerung.xlsx]Steuerung'!$F$7)</f>
        <v/>
      </c>
      <c r="E7" s="7">
        <f>IF($D$9=0,"n.a.",D7/$D$9)</f>
        <v/>
      </c>
      <c r="F7" s="6">
        <f>IF(COUNTIFS('[Import Monatsdaten.xlsx]Import Monatsdaten'!$C$7:$C$8,'[Steuerung.xlsx]Steuerung'!$F$6,'[Import Monatsdaten.xlsx]Import Monatsdaten'!$D$7:$D$8,1)&gt;0,SUMIFS('[Import Monatsdaten.xlsx]Import Monatsdaten'!$E$7:$E$8,'[Import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Finanzen'!$C$45:$C$115,10)))</f>
        <v/>
      </c>
      <c r="G7" s="6">
        <f>IF(COUNTIFS('[Import Monatsdaten.xlsx]Import Monatsdaten'!$C$7:$C$8,'[Steuerung.xlsx]Steuerung'!$F$6,'[Import Monatsdaten.xlsx]Import Monatsdaten'!$D$7:$D$8,2)&gt;0,SUMIFS('[Import Monatsdaten.xlsx]Import Monatsdaten'!$E$7:$E$8,'[Import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Finanzen'!$C$45:$C$115,10)))</f>
        <v/>
      </c>
      <c r="H7" s="6">
        <f>IF(COUNTIFS('[Import Monatsdaten.xlsx]Import Monatsdaten'!$C$7:$C$8,'[Steuerung.xlsx]Steuerung'!$F$6,'[Import Monatsdaten.xlsx]Import Monatsdaten'!$D$7:$D$8,3)&gt;0,SUMIFS('[Import Monatsdaten.xlsx]Import Monatsdaten'!$E$7:$E$8,'[Import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Finanzen'!$C$45:$C$115,10)))</f>
        <v/>
      </c>
      <c r="I7" s="6">
        <f>IF(COUNTIFS('[Import Monatsdaten.xlsx]Import Monatsdaten'!$C$7:$C$8,'[Steuerung.xlsx]Steuerung'!$F$6,'[Import Monatsdaten.xlsx]Import Monatsdaten'!$D$7:$D$8,4)&gt;0,SUMIFS('[Import Monatsdaten.xlsx]Import Monatsdaten'!$E$7:$E$8,'[Import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Finanzen'!$C$45:$C$115,10)))</f>
        <v/>
      </c>
      <c r="J7" s="6">
        <f>IF(COUNTIFS('[Import Monatsdaten.xlsx]Import Monatsdaten'!$C$7:$C$8,'[Steuerung.xlsx]Steuerung'!$F$6,'[Import Monatsdaten.xlsx]Import Monatsdaten'!$D$7:$D$8,5)&gt;0,SUMIFS('[Import Monatsdaten.xlsx]Import Monatsdaten'!$E$7:$E$8,'[Import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Finanzen'!$C$45:$C$115,10)))</f>
        <v/>
      </c>
      <c r="K7" s="6">
        <f>IF(COUNTIFS('[Import Monatsdaten.xlsx]Import Monatsdaten'!$C$7:$C$8,'[Steuerung.xlsx]Steuerung'!$F$6,'[Import Monatsdaten.xlsx]Import Monatsdaten'!$D$7:$D$8,6)&gt;0,SUMIFS('[Import Monatsdaten.xlsx]Import Monatsdaten'!$E$7:$E$8,'[Import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Finanzen'!$C$45:$C$115,10)))</f>
        <v/>
      </c>
      <c r="L7" s="6">
        <f>IF(COUNTIFS('[Import Monatsdaten.xlsx]Import Monatsdaten'!$C$7:$C$8,'[Steuerung.xlsx]Steuerung'!$F$6,'[Import Monatsdaten.xlsx]Import Monatsdaten'!$D$7:$D$8,7)&gt;0,SUMIFS('[Import Monatsdaten.xlsx]Import Monatsdaten'!$E$7:$E$8,'[Import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Finanzen'!$C$45:$C$115,10)))</f>
        <v/>
      </c>
      <c r="M7" s="6">
        <f>IF(COUNTIFS('[Import Monatsdaten.xlsx]Import Monatsdaten'!$C$7:$C$8,'[Steuerung.xlsx]Steuerung'!$F$6,'[Import Monatsdaten.xlsx]Import Monatsdaten'!$D$7:$D$8,8)&gt;0,SUMIFS('[Import Monatsdaten.xlsx]Import Monatsdaten'!$E$7:$E$8,'[Import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Finanzen'!$C$45:$C$115,10)))</f>
        <v/>
      </c>
      <c r="N7" s="6">
        <f>IF(COUNTIFS('[Import Monatsdaten.xlsx]Import Monatsdaten'!$C$7:$C$8,'[Steuerung.xlsx]Steuerung'!$F$6,'[Import Monatsdaten.xlsx]Import Monatsdaten'!$D$7:$D$8,9)&gt;0,SUMIFS('[Import Monatsdaten.xlsx]Import Monatsdaten'!$E$7:$E$8,'[Import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Finanzen'!$C$45:$C$115,10)))</f>
        <v/>
      </c>
      <c r="O7" s="6">
        <f>IF(COUNTIFS('[Import Monatsdaten.xlsx]Import Monatsdaten'!$C$7:$C$8,'[Steuerung.xlsx]Steuerung'!$F$6,'[Import Monatsdaten.xlsx]Import Monatsdaten'!$D$7:$D$8,10)&gt;0,SUMIFS('[Import Monatsdaten.xlsx]Import Monatsdaten'!$E$7:$E$8,'[Import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Finanzen'!$C$45:$C$115,10)))</f>
        <v/>
      </c>
      <c r="P7" s="6">
        <f>IF(COUNTIFS('[Import Monatsdaten.xlsx]Import Monatsdaten'!$C$7:$C$8,'[Steuerung.xlsx]Steuerung'!$F$6,'[Import Monatsdaten.xlsx]Import Monatsdaten'!$D$7:$D$8,11)&gt;0,SUMIFS('[Import Monatsdaten.xlsx]Import Monatsdaten'!$E$7:$E$8,'[Import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Finanzen'!$C$45:$C$115,10)))</f>
        <v/>
      </c>
      <c r="Q7" s="6">
        <f>IF(COUNTIFS('[Import Monatsdaten.xlsx]Import Monatsdaten'!$C$7:$C$8,'[Steuerung.xlsx]Steuerung'!$F$6,'[Import Monatsdaten.xlsx]Import Monatsdaten'!$D$7:$D$8,12)&gt;0,SUMIFS('[Import Monatsdaten.xlsx]Import Monatsdaten'!$E$7:$E$8,'[Import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Finanzen'!$C$45:$C$115,10)))</f>
        <v/>
      </c>
      <c r="R7" s="1" t="n"/>
    </row>
    <row r="8">
      <c r="A8" s="1" t="n"/>
      <c r="B8" s="1" t="n"/>
      <c r="C8" s="1" t="inlineStr">
        <is>
          <t>Bestandsveränderungen</t>
        </is>
      </c>
      <c r="D8" s="6">
        <f>SUMIFS(F8:Q8,$F$5:$Q$5,"&lt;="&amp;'[Steuerung.xlsx]Steuerung'!$F$7)</f>
        <v/>
      </c>
      <c r="E8" s="7">
        <f>IF($D$9=0,"n.a.",D8/$D$9)</f>
        <v/>
      </c>
      <c r="F8" s="6">
        <f>IF(COUNTIFS('[Import Monatsdaten.xlsx]Import Monatsdaten'!$C$7:$C$8,'[Steuerung.xlsx]Steuerung'!$F$6,'[Import Monatsdaten.xlsx]Import Monatsdaten'!$D$7:$D$8,1)&gt;0,SUMIFS('[Import Monatsdaten.xlsx]Import Monatsdaten'!$F$7:$F$8,'[Import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Finanzen'!$C$45:$C$115,20)))</f>
        <v/>
      </c>
      <c r="G8" s="6">
        <f>IF(COUNTIFS('[Import Monatsdaten.xlsx]Import Monatsdaten'!$C$7:$C$8,'[Steuerung.xlsx]Steuerung'!$F$6,'[Import Monatsdaten.xlsx]Import Monatsdaten'!$D$7:$D$8,2)&gt;0,SUMIFS('[Import Monatsdaten.xlsx]Import Monatsdaten'!$F$7:$F$8,'[Import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Finanzen'!$C$45:$C$115,20)))</f>
        <v/>
      </c>
      <c r="H8" s="6">
        <f>IF(COUNTIFS('[Import Monatsdaten.xlsx]Import Monatsdaten'!$C$7:$C$8,'[Steuerung.xlsx]Steuerung'!$F$6,'[Import Monatsdaten.xlsx]Import Monatsdaten'!$D$7:$D$8,3)&gt;0,SUMIFS('[Import Monatsdaten.xlsx]Import Monatsdaten'!$F$7:$F$8,'[Import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Finanzen'!$C$45:$C$115,20)))</f>
        <v/>
      </c>
      <c r="I8" s="6">
        <f>IF(COUNTIFS('[Import Monatsdaten.xlsx]Import Monatsdaten'!$C$7:$C$8,'[Steuerung.xlsx]Steuerung'!$F$6,'[Import Monatsdaten.xlsx]Import Monatsdaten'!$D$7:$D$8,4)&gt;0,SUMIFS('[Import Monatsdaten.xlsx]Import Monatsdaten'!$F$7:$F$8,'[Import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Finanzen'!$C$45:$C$115,20)))</f>
        <v/>
      </c>
      <c r="J8" s="6">
        <f>IF(COUNTIFS('[Import Monatsdaten.xlsx]Import Monatsdaten'!$C$7:$C$8,'[Steuerung.xlsx]Steuerung'!$F$6,'[Import Monatsdaten.xlsx]Import Monatsdaten'!$D$7:$D$8,5)&gt;0,SUMIFS('[Import Monatsdaten.xlsx]Import Monatsdaten'!$F$7:$F$8,'[Import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Finanzen'!$C$45:$C$115,20)))</f>
        <v/>
      </c>
      <c r="K8" s="6">
        <f>IF(COUNTIFS('[Import Monatsdaten.xlsx]Import Monatsdaten'!$C$7:$C$8,'[Steuerung.xlsx]Steuerung'!$F$6,'[Import Monatsdaten.xlsx]Import Monatsdaten'!$D$7:$D$8,6)&gt;0,SUMIFS('[Import Monatsdaten.xlsx]Import Monatsdaten'!$F$7:$F$8,'[Import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Finanzen'!$C$45:$C$115,20)))</f>
        <v/>
      </c>
      <c r="L8" s="6">
        <f>IF(COUNTIFS('[Import Monatsdaten.xlsx]Import Monatsdaten'!$C$7:$C$8,'[Steuerung.xlsx]Steuerung'!$F$6,'[Import Monatsdaten.xlsx]Import Monatsdaten'!$D$7:$D$8,7)&gt;0,SUMIFS('[Import Monatsdaten.xlsx]Import Monatsdaten'!$F$7:$F$8,'[Import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Finanzen'!$C$45:$C$115,20)))</f>
        <v/>
      </c>
      <c r="M8" s="6">
        <f>IF(COUNTIFS('[Import Monatsdaten.xlsx]Import Monatsdaten'!$C$7:$C$8,'[Steuerung.xlsx]Steuerung'!$F$6,'[Import Monatsdaten.xlsx]Import Monatsdaten'!$D$7:$D$8,8)&gt;0,SUMIFS('[Import Monatsdaten.xlsx]Import Monatsdaten'!$F$7:$F$8,'[Import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Finanzen'!$C$45:$C$115,20)))</f>
        <v/>
      </c>
      <c r="N8" s="6">
        <f>IF(COUNTIFS('[Import Monatsdaten.xlsx]Import Monatsdaten'!$C$7:$C$8,'[Steuerung.xlsx]Steuerung'!$F$6,'[Import Monatsdaten.xlsx]Import Monatsdaten'!$D$7:$D$8,9)&gt;0,SUMIFS('[Import Monatsdaten.xlsx]Import Monatsdaten'!$F$7:$F$8,'[Import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Finanzen'!$C$45:$C$115,20)))</f>
        <v/>
      </c>
      <c r="O8" s="6">
        <f>IF(COUNTIFS('[Import Monatsdaten.xlsx]Import Monatsdaten'!$C$7:$C$8,'[Steuerung.xlsx]Steuerung'!$F$6,'[Import Monatsdaten.xlsx]Import Monatsdaten'!$D$7:$D$8,10)&gt;0,SUMIFS('[Import Monatsdaten.xlsx]Import Monatsdaten'!$F$7:$F$8,'[Import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Finanzen'!$C$45:$C$115,20)))</f>
        <v/>
      </c>
      <c r="P8" s="6">
        <f>IF(COUNTIFS('[Import Monatsdaten.xlsx]Import Monatsdaten'!$C$7:$C$8,'[Steuerung.xlsx]Steuerung'!$F$6,'[Import Monatsdaten.xlsx]Import Monatsdaten'!$D$7:$D$8,11)&gt;0,SUMIFS('[Import Monatsdaten.xlsx]Import Monatsdaten'!$F$7:$F$8,'[Import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Finanzen'!$C$45:$C$115,20)))</f>
        <v/>
      </c>
      <c r="Q8" s="6">
        <f>IF(COUNTIFS('[Import Monatsdaten.xlsx]Import Monatsdaten'!$C$7:$C$8,'[Steuerung.xlsx]Steuerung'!$F$6,'[Import Monatsdaten.xlsx]Import Monatsdaten'!$D$7:$D$8,12)&gt;0,SUMIFS('[Import Monatsdaten.xlsx]Import Monatsdaten'!$F$7:$F$8,'[Import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Finanzen'!$C$45:$C$115,20)))</f>
        <v/>
      </c>
      <c r="R8" s="1" t="n"/>
    </row>
    <row r="9" ht="25" customHeight="1">
      <c r="A9" s="1" t="n"/>
      <c r="B9" s="1" t="n"/>
      <c r="C9" s="8" t="inlineStr">
        <is>
          <t>Gesamtleistung</t>
        </is>
      </c>
      <c r="D9" s="9">
        <f>SUMIFS(F9:Q9,$F$5:$Q$5,"&lt;="&amp;'[Steuerung.xlsx]Steuerung'!$F$7)</f>
        <v/>
      </c>
      <c r="E9" s="10">
        <f>IF($D$9=0,"n.a.",D9/$D$9)</f>
        <v/>
      </c>
      <c r="F9" s="9">
        <f>IF(F7="","",SUM(F7:F8))</f>
        <v/>
      </c>
      <c r="G9" s="9">
        <f>IF(G7="","",SUM(G7:G8))</f>
        <v/>
      </c>
      <c r="H9" s="9">
        <f>IF(H7="","",SUM(H7:H8))</f>
        <v/>
      </c>
      <c r="I9" s="9">
        <f>IF(I7="","",SUM(I7:I8))</f>
        <v/>
      </c>
      <c r="J9" s="9">
        <f>IF(J7="","",SUM(J7:J8))</f>
        <v/>
      </c>
      <c r="K9" s="9">
        <f>IF(K7="","",SUM(K7:K8))</f>
        <v/>
      </c>
      <c r="L9" s="9">
        <f>IF(L7="","",SUM(L7:L8))</f>
        <v/>
      </c>
      <c r="M9" s="9">
        <f>IF(M7="","",SUM(M7:M8))</f>
        <v/>
      </c>
      <c r="N9" s="9">
        <f>IF(N7="","",SUM(N7:N8))</f>
        <v/>
      </c>
      <c r="O9" s="9">
        <f>IF(O7="","",SUM(O7:O8))</f>
        <v/>
      </c>
      <c r="P9" s="9">
        <f>IF(P7="","",SUM(P7:P8))</f>
        <v/>
      </c>
      <c r="Q9" s="9">
        <f>IF(Q7="","",SUM(Q7:Q8))</f>
        <v/>
      </c>
      <c r="R9" s="1" t="n"/>
    </row>
    <row r="10">
      <c r="A10" s="1" t="n"/>
      <c r="B10" s="1" t="n"/>
      <c r="C10" s="1" t="inlineStr">
        <is>
          <t>Sonstige betriebliche Erträge</t>
        </is>
      </c>
      <c r="D10" s="6">
        <f>SUMIFS(F10:Q10,$F$5:$Q$5,"&lt;="&amp;'[Steuerung.xlsx]Steuerung'!$F$7)</f>
        <v/>
      </c>
      <c r="E10" s="7">
        <f>IF($D$9=0,"n.a.",D10/$D$9)</f>
        <v/>
      </c>
      <c r="F10" s="6">
        <f>IF(COUNTIFS('[Import Monatsdaten.xlsx]Import Monatsdaten'!$C$7:$C$8,'[Steuerung.xlsx]Steuerung'!$F$6,'[Import Monatsdaten.xlsx]Import Monatsdaten'!$D$7:$D$8,1)&gt;0,SUMIFS('[Import Monatsdaten.xlsx]Import Monatsdaten'!$G$7:$G$8,'[Import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Finanzen'!$C$45:$C$115,30)))</f>
        <v/>
      </c>
      <c r="G10" s="6">
        <f>IF(COUNTIFS('[Import Monatsdaten.xlsx]Import Monatsdaten'!$C$7:$C$8,'[Steuerung.xlsx]Steuerung'!$F$6,'[Import Monatsdaten.xlsx]Import Monatsdaten'!$D$7:$D$8,2)&gt;0,SUMIFS('[Import Monatsdaten.xlsx]Import Monatsdaten'!$G$7:$G$8,'[Import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Finanzen'!$C$45:$C$115,30)))</f>
        <v/>
      </c>
      <c r="H10" s="6">
        <f>IF(COUNTIFS('[Import Monatsdaten.xlsx]Import Monatsdaten'!$C$7:$C$8,'[Steuerung.xlsx]Steuerung'!$F$6,'[Import Monatsdaten.xlsx]Import Monatsdaten'!$D$7:$D$8,3)&gt;0,SUMIFS('[Import Monatsdaten.xlsx]Import Monatsdaten'!$G$7:$G$8,'[Import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Finanzen'!$C$45:$C$115,30)))</f>
        <v/>
      </c>
      <c r="I10" s="6">
        <f>IF(COUNTIFS('[Import Monatsdaten.xlsx]Import Monatsdaten'!$C$7:$C$8,'[Steuerung.xlsx]Steuerung'!$F$6,'[Import Monatsdaten.xlsx]Import Monatsdaten'!$D$7:$D$8,4)&gt;0,SUMIFS('[Import Monatsdaten.xlsx]Import Monatsdaten'!$G$7:$G$8,'[Import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Finanzen'!$C$45:$C$115,30)))</f>
        <v/>
      </c>
      <c r="J10" s="6">
        <f>IF(COUNTIFS('[Import Monatsdaten.xlsx]Import Monatsdaten'!$C$7:$C$8,'[Steuerung.xlsx]Steuerung'!$F$6,'[Import Monatsdaten.xlsx]Import Monatsdaten'!$D$7:$D$8,5)&gt;0,SUMIFS('[Import Monatsdaten.xlsx]Import Monatsdaten'!$G$7:$G$8,'[Import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Finanzen'!$C$45:$C$115,30)))</f>
        <v/>
      </c>
      <c r="K10" s="6">
        <f>IF(COUNTIFS('[Import Monatsdaten.xlsx]Import Monatsdaten'!$C$7:$C$8,'[Steuerung.xlsx]Steuerung'!$F$6,'[Import Monatsdaten.xlsx]Import Monatsdaten'!$D$7:$D$8,6)&gt;0,SUMIFS('[Import Monatsdaten.xlsx]Import Monatsdaten'!$G$7:$G$8,'[Import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Finanzen'!$C$45:$C$115,30)))</f>
        <v/>
      </c>
      <c r="L10" s="6">
        <f>IF(COUNTIFS('[Import Monatsdaten.xlsx]Import Monatsdaten'!$C$7:$C$8,'[Steuerung.xlsx]Steuerung'!$F$6,'[Import Monatsdaten.xlsx]Import Monatsdaten'!$D$7:$D$8,7)&gt;0,SUMIFS('[Import Monatsdaten.xlsx]Import Monatsdaten'!$G$7:$G$8,'[Import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Finanzen'!$C$45:$C$115,30)))</f>
        <v/>
      </c>
      <c r="M10" s="6">
        <f>IF(COUNTIFS('[Import Monatsdaten.xlsx]Import Monatsdaten'!$C$7:$C$8,'[Steuerung.xlsx]Steuerung'!$F$6,'[Import Monatsdaten.xlsx]Import Monatsdaten'!$D$7:$D$8,8)&gt;0,SUMIFS('[Import Monatsdaten.xlsx]Import Monatsdaten'!$G$7:$G$8,'[Import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Finanzen'!$C$45:$C$115,30)))</f>
        <v/>
      </c>
      <c r="N10" s="6">
        <f>IF(COUNTIFS('[Import Monatsdaten.xlsx]Import Monatsdaten'!$C$7:$C$8,'[Steuerung.xlsx]Steuerung'!$F$6,'[Import Monatsdaten.xlsx]Import Monatsdaten'!$D$7:$D$8,9)&gt;0,SUMIFS('[Import Monatsdaten.xlsx]Import Monatsdaten'!$G$7:$G$8,'[Import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Finanzen'!$C$45:$C$115,30)))</f>
        <v/>
      </c>
      <c r="O10" s="6">
        <f>IF(COUNTIFS('[Import Monatsdaten.xlsx]Import Monatsdaten'!$C$7:$C$8,'[Steuerung.xlsx]Steuerung'!$F$6,'[Import Monatsdaten.xlsx]Import Monatsdaten'!$D$7:$D$8,10)&gt;0,SUMIFS('[Import Monatsdaten.xlsx]Import Monatsdaten'!$G$7:$G$8,'[Import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Finanzen'!$C$45:$C$115,30)))</f>
        <v/>
      </c>
      <c r="P10" s="6">
        <f>IF(COUNTIFS('[Import Monatsdaten.xlsx]Import Monatsdaten'!$C$7:$C$8,'[Steuerung.xlsx]Steuerung'!$F$6,'[Import Monatsdaten.xlsx]Import Monatsdaten'!$D$7:$D$8,11)&gt;0,SUMIFS('[Import Monatsdaten.xlsx]Import Monatsdaten'!$G$7:$G$8,'[Import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Finanzen'!$C$45:$C$115,30)))</f>
        <v/>
      </c>
      <c r="Q10" s="6">
        <f>IF(COUNTIFS('[Import Monatsdaten.xlsx]Import Monatsdaten'!$C$7:$C$8,'[Steuerung.xlsx]Steuerung'!$F$6,'[Import Monatsdaten.xlsx]Import Monatsdaten'!$D$7:$D$8,12)&gt;0,SUMIFS('[Import Monatsdaten.xlsx]Import Monatsdaten'!$G$7:$G$8,'[Import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Finanzen'!$C$45:$C$115,30)))</f>
        <v/>
      </c>
      <c r="R10" s="1" t="n"/>
    </row>
    <row r="11">
      <c r="A11" s="1" t="n"/>
      <c r="B11" s="1" t="n"/>
      <c r="C11" s="1" t="inlineStr">
        <is>
          <t>Materialaufwand</t>
        </is>
      </c>
      <c r="D11" s="6">
        <f>SUMIFS(F11:Q11,$F$5:$Q$5,"&lt;="&amp;'[Steuerung.xlsx]Steuerung'!$F$7)</f>
        <v/>
      </c>
      <c r="E11" s="7">
        <f>IF($D$9=0,"n.a.",D11/$D$9)</f>
        <v/>
      </c>
      <c r="F11" s="6">
        <f>IF(COUNTIFS('[Import Monatsdaten.xlsx]Import Monatsdaten'!$C$7:$C$8,'[Steuerung.xlsx]Steuerung'!$F$6,'[Import Monatsdaten.xlsx]Import Monatsdaten'!$D$7:$D$8,1)&gt;0,SUMIFS('[Import Monatsdaten.xlsx]Import Monatsdaten'!$H$7:$H$8,'[Import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Finanzen'!$C$45:$C$115,40)))</f>
        <v/>
      </c>
      <c r="G11" s="6">
        <f>IF(COUNTIFS('[Import Monatsdaten.xlsx]Import Monatsdaten'!$C$7:$C$8,'[Steuerung.xlsx]Steuerung'!$F$6,'[Import Monatsdaten.xlsx]Import Monatsdaten'!$D$7:$D$8,2)&gt;0,SUMIFS('[Import Monatsdaten.xlsx]Import Monatsdaten'!$H$7:$H$8,'[Import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Finanzen'!$C$45:$C$115,40)))</f>
        <v/>
      </c>
      <c r="H11" s="6">
        <f>IF(COUNTIFS('[Import Monatsdaten.xlsx]Import Monatsdaten'!$C$7:$C$8,'[Steuerung.xlsx]Steuerung'!$F$6,'[Import Monatsdaten.xlsx]Import Monatsdaten'!$D$7:$D$8,3)&gt;0,SUMIFS('[Import Monatsdaten.xlsx]Import Monatsdaten'!$H$7:$H$8,'[Import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Finanzen'!$C$45:$C$115,40)))</f>
        <v/>
      </c>
      <c r="I11" s="6">
        <f>IF(COUNTIFS('[Import Monatsdaten.xlsx]Import Monatsdaten'!$C$7:$C$8,'[Steuerung.xlsx]Steuerung'!$F$6,'[Import Monatsdaten.xlsx]Import Monatsdaten'!$D$7:$D$8,4)&gt;0,SUMIFS('[Import Monatsdaten.xlsx]Import Monatsdaten'!$H$7:$H$8,'[Import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Finanzen'!$C$45:$C$115,40)))</f>
        <v/>
      </c>
      <c r="J11" s="6">
        <f>IF(COUNTIFS('[Import Monatsdaten.xlsx]Import Monatsdaten'!$C$7:$C$8,'[Steuerung.xlsx]Steuerung'!$F$6,'[Import Monatsdaten.xlsx]Import Monatsdaten'!$D$7:$D$8,5)&gt;0,SUMIFS('[Import Monatsdaten.xlsx]Import Monatsdaten'!$H$7:$H$8,'[Import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Finanzen'!$C$45:$C$115,40)))</f>
        <v/>
      </c>
      <c r="K11" s="6">
        <f>IF(COUNTIFS('[Import Monatsdaten.xlsx]Import Monatsdaten'!$C$7:$C$8,'[Steuerung.xlsx]Steuerung'!$F$6,'[Import Monatsdaten.xlsx]Import Monatsdaten'!$D$7:$D$8,6)&gt;0,SUMIFS('[Import Monatsdaten.xlsx]Import Monatsdaten'!$H$7:$H$8,'[Import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Finanzen'!$C$45:$C$115,40)))</f>
        <v/>
      </c>
      <c r="L11" s="6">
        <f>IF(COUNTIFS('[Import Monatsdaten.xlsx]Import Monatsdaten'!$C$7:$C$8,'[Steuerung.xlsx]Steuerung'!$F$6,'[Import Monatsdaten.xlsx]Import Monatsdaten'!$D$7:$D$8,7)&gt;0,SUMIFS('[Import Monatsdaten.xlsx]Import Monatsdaten'!$H$7:$H$8,'[Import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Finanzen'!$C$45:$C$115,40)))</f>
        <v/>
      </c>
      <c r="M11" s="6">
        <f>IF(COUNTIFS('[Import Monatsdaten.xlsx]Import Monatsdaten'!$C$7:$C$8,'[Steuerung.xlsx]Steuerung'!$F$6,'[Import Monatsdaten.xlsx]Import Monatsdaten'!$D$7:$D$8,8)&gt;0,SUMIFS('[Import Monatsdaten.xlsx]Import Monatsdaten'!$H$7:$H$8,'[Import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Finanzen'!$C$45:$C$115,40)))</f>
        <v/>
      </c>
      <c r="N11" s="6">
        <f>IF(COUNTIFS('[Import Monatsdaten.xlsx]Import Monatsdaten'!$C$7:$C$8,'[Steuerung.xlsx]Steuerung'!$F$6,'[Import Monatsdaten.xlsx]Import Monatsdaten'!$D$7:$D$8,9)&gt;0,SUMIFS('[Import Monatsdaten.xlsx]Import Monatsdaten'!$H$7:$H$8,'[Import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Finanzen'!$C$45:$C$115,40)))</f>
        <v/>
      </c>
      <c r="O11" s="6">
        <f>IF(COUNTIFS('[Import Monatsdaten.xlsx]Import Monatsdaten'!$C$7:$C$8,'[Steuerung.xlsx]Steuerung'!$F$6,'[Import Monatsdaten.xlsx]Import Monatsdaten'!$D$7:$D$8,10)&gt;0,SUMIFS('[Import Monatsdaten.xlsx]Import Monatsdaten'!$H$7:$H$8,'[Import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Finanzen'!$C$45:$C$115,40)))</f>
        <v/>
      </c>
      <c r="P11" s="6">
        <f>IF(COUNTIFS('[Import Monatsdaten.xlsx]Import Monatsdaten'!$C$7:$C$8,'[Steuerung.xlsx]Steuerung'!$F$6,'[Import Monatsdaten.xlsx]Import Monatsdaten'!$D$7:$D$8,11)&gt;0,SUMIFS('[Import Monatsdaten.xlsx]Import Monatsdaten'!$H$7:$H$8,'[Import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Finanzen'!$C$45:$C$115,40)))</f>
        <v/>
      </c>
      <c r="Q11" s="6">
        <f>IF(COUNTIFS('[Import Monatsdaten.xlsx]Import Monatsdaten'!$C$7:$C$8,'[Steuerung.xlsx]Steuerung'!$F$6,'[Import Monatsdaten.xlsx]Import Monatsdaten'!$D$7:$D$8,12)&gt;0,SUMIFS('[Import Monatsdaten.xlsx]Import Monatsdaten'!$H$7:$H$8,'[Import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Finanzen'!$C$45:$C$115,40)))</f>
        <v/>
      </c>
      <c r="R11" s="1" t="n"/>
    </row>
    <row r="12">
      <c r="A12" s="1" t="n"/>
      <c r="B12" s="1" t="n"/>
      <c r="C12" s="1" t="inlineStr">
        <is>
          <t>Personalaufwand</t>
        </is>
      </c>
      <c r="D12" s="6">
        <f>SUMIFS(F12:Q12,$F$5:$Q$5,"&lt;="&amp;'[Steuerung.xlsx]Steuerung'!$F$7)</f>
        <v/>
      </c>
      <c r="E12" s="7">
        <f>IF($D$9=0,"n.a.",D12/$D$9)</f>
        <v/>
      </c>
      <c r="F12" s="6">
        <f>IF(COUNTIFS('[Import Monatsdaten.xlsx]Import Monatsdaten'!$C$7:$C$8,'[Steuerung.xlsx]Steuerung'!$F$6,'[Import Monatsdaten.xlsx]Import Monatsdaten'!$D$7:$D$8,1)&gt;0,SUMIFS('[Import Monatsdaten.xlsx]Import Monatsdaten'!$I$7:$I$8,'[Import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Finanzen'!$C$45:$C$115,50)))</f>
        <v/>
      </c>
      <c r="G12" s="6">
        <f>IF(COUNTIFS('[Import Monatsdaten.xlsx]Import Monatsdaten'!$C$7:$C$8,'[Steuerung.xlsx]Steuerung'!$F$6,'[Import Monatsdaten.xlsx]Import Monatsdaten'!$D$7:$D$8,2)&gt;0,SUMIFS('[Import Monatsdaten.xlsx]Import Monatsdaten'!$I$7:$I$8,'[Import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Finanzen'!$C$45:$C$115,50)))</f>
        <v/>
      </c>
      <c r="H12" s="6">
        <f>IF(COUNTIFS('[Import Monatsdaten.xlsx]Import Monatsdaten'!$C$7:$C$8,'[Steuerung.xlsx]Steuerung'!$F$6,'[Import Monatsdaten.xlsx]Import Monatsdaten'!$D$7:$D$8,3)&gt;0,SUMIFS('[Import Monatsdaten.xlsx]Import Monatsdaten'!$I$7:$I$8,'[Import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Finanzen'!$C$45:$C$115,50)))</f>
        <v/>
      </c>
      <c r="I12" s="6">
        <f>IF(COUNTIFS('[Import Monatsdaten.xlsx]Import Monatsdaten'!$C$7:$C$8,'[Steuerung.xlsx]Steuerung'!$F$6,'[Import Monatsdaten.xlsx]Import Monatsdaten'!$D$7:$D$8,4)&gt;0,SUMIFS('[Import Monatsdaten.xlsx]Import Monatsdaten'!$I$7:$I$8,'[Import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Finanzen'!$C$45:$C$115,50)))</f>
        <v/>
      </c>
      <c r="J12" s="6">
        <f>IF(COUNTIFS('[Import Monatsdaten.xlsx]Import Monatsdaten'!$C$7:$C$8,'[Steuerung.xlsx]Steuerung'!$F$6,'[Import Monatsdaten.xlsx]Import Monatsdaten'!$D$7:$D$8,5)&gt;0,SUMIFS('[Import Monatsdaten.xlsx]Import Monatsdaten'!$I$7:$I$8,'[Import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Finanzen'!$C$45:$C$115,50)))</f>
        <v/>
      </c>
      <c r="K12" s="6">
        <f>IF(COUNTIFS('[Import Monatsdaten.xlsx]Import Monatsdaten'!$C$7:$C$8,'[Steuerung.xlsx]Steuerung'!$F$6,'[Import Monatsdaten.xlsx]Import Monatsdaten'!$D$7:$D$8,6)&gt;0,SUMIFS('[Import Monatsdaten.xlsx]Import Monatsdaten'!$I$7:$I$8,'[Import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Finanzen'!$C$45:$C$115,50)))</f>
        <v/>
      </c>
      <c r="L12" s="6">
        <f>IF(COUNTIFS('[Import Monatsdaten.xlsx]Import Monatsdaten'!$C$7:$C$8,'[Steuerung.xlsx]Steuerung'!$F$6,'[Import Monatsdaten.xlsx]Import Monatsdaten'!$D$7:$D$8,7)&gt;0,SUMIFS('[Import Monatsdaten.xlsx]Import Monatsdaten'!$I$7:$I$8,'[Import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Finanzen'!$C$45:$C$115,50)))</f>
        <v/>
      </c>
      <c r="M12" s="6">
        <f>IF(COUNTIFS('[Import Monatsdaten.xlsx]Import Monatsdaten'!$C$7:$C$8,'[Steuerung.xlsx]Steuerung'!$F$6,'[Import Monatsdaten.xlsx]Import Monatsdaten'!$D$7:$D$8,8)&gt;0,SUMIFS('[Import Monatsdaten.xlsx]Import Monatsdaten'!$I$7:$I$8,'[Import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Finanzen'!$C$45:$C$115,50)))</f>
        <v/>
      </c>
      <c r="N12" s="6">
        <f>IF(COUNTIFS('[Import Monatsdaten.xlsx]Import Monatsdaten'!$C$7:$C$8,'[Steuerung.xlsx]Steuerung'!$F$6,'[Import Monatsdaten.xlsx]Import Monatsdaten'!$D$7:$D$8,9)&gt;0,SUMIFS('[Import Monatsdaten.xlsx]Import Monatsdaten'!$I$7:$I$8,'[Import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Finanzen'!$C$45:$C$115,50)))</f>
        <v/>
      </c>
      <c r="O12" s="6">
        <f>IF(COUNTIFS('[Import Monatsdaten.xlsx]Import Monatsdaten'!$C$7:$C$8,'[Steuerung.xlsx]Steuerung'!$F$6,'[Import Monatsdaten.xlsx]Import Monatsdaten'!$D$7:$D$8,10)&gt;0,SUMIFS('[Import Monatsdaten.xlsx]Import Monatsdaten'!$I$7:$I$8,'[Import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Finanzen'!$C$45:$C$115,50)))</f>
        <v/>
      </c>
      <c r="P12" s="6">
        <f>IF(COUNTIFS('[Import Monatsdaten.xlsx]Import Monatsdaten'!$C$7:$C$8,'[Steuerung.xlsx]Steuerung'!$F$6,'[Import Monatsdaten.xlsx]Import Monatsdaten'!$D$7:$D$8,11)&gt;0,SUMIFS('[Import Monatsdaten.xlsx]Import Monatsdaten'!$I$7:$I$8,'[Import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Finanzen'!$C$45:$C$115,50)))</f>
        <v/>
      </c>
      <c r="Q12" s="6">
        <f>IF(COUNTIFS('[Import Monatsdaten.xlsx]Import Monatsdaten'!$C$7:$C$8,'[Steuerung.xlsx]Steuerung'!$F$6,'[Import Monatsdaten.xlsx]Import Monatsdaten'!$D$7:$D$8,12)&gt;0,SUMIFS('[Import Monatsdaten.xlsx]Import Monatsdaten'!$I$7:$I$8,'[Import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Finanzen'!$C$45:$C$115,50)))</f>
        <v/>
      </c>
      <c r="R12" s="1" t="n"/>
    </row>
    <row r="13">
      <c r="A13" s="1" t="n"/>
      <c r="B13" s="1" t="n"/>
      <c r="C13" s="1" t="inlineStr">
        <is>
          <t>Sonstige betriebliche Aufwendungen</t>
        </is>
      </c>
      <c r="D13" s="6">
        <f>SUMIFS(F13:Q13,$F$5:$Q$5,"&lt;="&amp;'[Steuerung.xlsx]Steuerung'!$F$7)</f>
        <v/>
      </c>
      <c r="E13" s="7">
        <f>IF($D$9=0,"n.a.",D13/$D$9)</f>
        <v/>
      </c>
      <c r="F13" s="6">
        <f>IF(COUNTIFS('[Import Monatsdaten.xlsx]Import Monatsdaten'!$C$7:$C$8,'[Steuerung.xlsx]Steuerung'!$F$6,'[Import Monatsdaten.xlsx]Import Monatsdaten'!$D$7:$D$8,1)&gt;0,SUMIFS('[Import Monatsdaten.xlsx]Import Monatsdaten'!$J$7:$J$8,'[Import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Finanzen'!$C$45:$C$115,70)))</f>
        <v/>
      </c>
      <c r="G13" s="6">
        <f>IF(COUNTIFS('[Import Monatsdaten.xlsx]Import Monatsdaten'!$C$7:$C$8,'[Steuerung.xlsx]Steuerung'!$F$6,'[Import Monatsdaten.xlsx]Import Monatsdaten'!$D$7:$D$8,2)&gt;0,SUMIFS('[Import Monatsdaten.xlsx]Import Monatsdaten'!$J$7:$J$8,'[Import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Finanzen'!$C$45:$C$115,70)))</f>
        <v/>
      </c>
      <c r="H13" s="6">
        <f>IF(COUNTIFS('[Import Monatsdaten.xlsx]Import Monatsdaten'!$C$7:$C$8,'[Steuerung.xlsx]Steuerung'!$F$6,'[Import Monatsdaten.xlsx]Import Monatsdaten'!$D$7:$D$8,3)&gt;0,SUMIFS('[Import Monatsdaten.xlsx]Import Monatsdaten'!$J$7:$J$8,'[Import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Finanzen'!$C$45:$C$115,70)))</f>
        <v/>
      </c>
      <c r="I13" s="6">
        <f>IF(COUNTIFS('[Import Monatsdaten.xlsx]Import Monatsdaten'!$C$7:$C$8,'[Steuerung.xlsx]Steuerung'!$F$6,'[Import Monatsdaten.xlsx]Import Monatsdaten'!$D$7:$D$8,4)&gt;0,SUMIFS('[Import Monatsdaten.xlsx]Import Monatsdaten'!$J$7:$J$8,'[Import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Finanzen'!$C$45:$C$115,70)))</f>
        <v/>
      </c>
      <c r="J13" s="6">
        <f>IF(COUNTIFS('[Import Monatsdaten.xlsx]Import Monatsdaten'!$C$7:$C$8,'[Steuerung.xlsx]Steuerung'!$F$6,'[Import Monatsdaten.xlsx]Import Monatsdaten'!$D$7:$D$8,5)&gt;0,SUMIFS('[Import Monatsdaten.xlsx]Import Monatsdaten'!$J$7:$J$8,'[Import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Finanzen'!$C$45:$C$115,70)))</f>
        <v/>
      </c>
      <c r="K13" s="6">
        <f>IF(COUNTIFS('[Import Monatsdaten.xlsx]Import Monatsdaten'!$C$7:$C$8,'[Steuerung.xlsx]Steuerung'!$F$6,'[Import Monatsdaten.xlsx]Import Monatsdaten'!$D$7:$D$8,6)&gt;0,SUMIFS('[Import Monatsdaten.xlsx]Import Monatsdaten'!$J$7:$J$8,'[Import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Finanzen'!$C$45:$C$115,70)))</f>
        <v/>
      </c>
      <c r="L13" s="6">
        <f>IF(COUNTIFS('[Import Monatsdaten.xlsx]Import Monatsdaten'!$C$7:$C$8,'[Steuerung.xlsx]Steuerung'!$F$6,'[Import Monatsdaten.xlsx]Import Monatsdaten'!$D$7:$D$8,7)&gt;0,SUMIFS('[Import Monatsdaten.xlsx]Import Monatsdaten'!$J$7:$J$8,'[Import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Finanzen'!$C$45:$C$115,70)))</f>
        <v/>
      </c>
      <c r="M13" s="6">
        <f>IF(COUNTIFS('[Import Monatsdaten.xlsx]Import Monatsdaten'!$C$7:$C$8,'[Steuerung.xlsx]Steuerung'!$F$6,'[Import Monatsdaten.xlsx]Import Monatsdaten'!$D$7:$D$8,8)&gt;0,SUMIFS('[Import Monatsdaten.xlsx]Import Monatsdaten'!$J$7:$J$8,'[Import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Finanzen'!$C$45:$C$115,70)))</f>
        <v/>
      </c>
      <c r="N13" s="6">
        <f>IF(COUNTIFS('[Import Monatsdaten.xlsx]Import Monatsdaten'!$C$7:$C$8,'[Steuerung.xlsx]Steuerung'!$F$6,'[Import Monatsdaten.xlsx]Import Monatsdaten'!$D$7:$D$8,9)&gt;0,SUMIFS('[Import Monatsdaten.xlsx]Import Monatsdaten'!$J$7:$J$8,'[Import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Finanzen'!$C$45:$C$115,70)))</f>
        <v/>
      </c>
      <c r="O13" s="6">
        <f>IF(COUNTIFS('[Import Monatsdaten.xlsx]Import Monatsdaten'!$C$7:$C$8,'[Steuerung.xlsx]Steuerung'!$F$6,'[Import Monatsdaten.xlsx]Import Monatsdaten'!$D$7:$D$8,10)&gt;0,SUMIFS('[Import Monatsdaten.xlsx]Import Monatsdaten'!$J$7:$J$8,'[Import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Finanzen'!$C$45:$C$115,70)))</f>
        <v/>
      </c>
      <c r="P13" s="6">
        <f>IF(COUNTIFS('[Import Monatsdaten.xlsx]Import Monatsdaten'!$C$7:$C$8,'[Steuerung.xlsx]Steuerung'!$F$6,'[Import Monatsdaten.xlsx]Import Monatsdaten'!$D$7:$D$8,11)&gt;0,SUMIFS('[Import Monatsdaten.xlsx]Import Monatsdaten'!$J$7:$J$8,'[Import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Finanzen'!$C$45:$C$115,70)))</f>
        <v/>
      </c>
      <c r="Q13" s="6">
        <f>IF(COUNTIFS('[Import Monatsdaten.xlsx]Import Monatsdaten'!$C$7:$C$8,'[Steuerung.xlsx]Steuerung'!$F$6,'[Import Monatsdaten.xlsx]Import Monatsdaten'!$D$7:$D$8,12)&gt;0,SUMIFS('[Import Monatsdaten.xlsx]Import Monatsdaten'!$J$7:$J$8,'[Import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Finanzen'!$C$45:$C$115,70)))</f>
        <v/>
      </c>
      <c r="R13" s="1" t="n"/>
    </row>
    <row r="14" ht="25" customHeight="1">
      <c r="A14" s="1" t="n"/>
      <c r="B14" s="1" t="n"/>
      <c r="C14" s="8" t="inlineStr">
        <is>
          <t>EBITDA aus Staffel</t>
        </is>
      </c>
      <c r="D14" s="9">
        <f>SUMIFS(F14:Q14,$F$5:$Q$5,"&lt;="&amp;'[Steuerung.xlsx]Steuerung'!$F$7)</f>
        <v/>
      </c>
      <c r="E14" s="10">
        <f>IF($D$9=0,"n.a.",D14/$D$9)</f>
        <v/>
      </c>
      <c r="F14" s="9">
        <f>IF(F7="","",SUM(F9:F13))</f>
        <v/>
      </c>
      <c r="G14" s="9">
        <f>IF(G7="","",SUM(G9:G13))</f>
        <v/>
      </c>
      <c r="H14" s="9">
        <f>IF(H7="","",SUM(H9:H13))</f>
        <v/>
      </c>
      <c r="I14" s="9">
        <f>IF(I7="","",SUM(I9:I13))</f>
        <v/>
      </c>
      <c r="J14" s="9">
        <f>IF(J7="","",SUM(J9:J13))</f>
        <v/>
      </c>
      <c r="K14" s="9">
        <f>IF(K7="","",SUM(K9:K13))</f>
        <v/>
      </c>
      <c r="L14" s="9">
        <f>IF(L7="","",SUM(L9:L13))</f>
        <v/>
      </c>
      <c r="M14" s="9">
        <f>IF(M7="","",SUM(M9:M13))</f>
        <v/>
      </c>
      <c r="N14" s="9">
        <f>IF(N7="","",SUM(N9:N13))</f>
        <v/>
      </c>
      <c r="O14" s="9">
        <f>IF(O7="","",SUM(O9:O13))</f>
        <v/>
      </c>
      <c r="P14" s="9">
        <f>IF(P7="","",SUM(P9:P13))</f>
        <v/>
      </c>
      <c r="Q14" s="9">
        <f>IF(Q7="","",SUM(Q9:Q13))</f>
        <v/>
      </c>
      <c r="R14" s="1" t="n"/>
    </row>
    <row r="15">
      <c r="A15" s="1" t="n"/>
      <c r="B15" s="1" t="n"/>
      <c r="C15" s="1" t="inlineStr">
        <is>
          <t>Abschreibungen</t>
        </is>
      </c>
      <c r="D15" s="6">
        <f>SUMIFS(F15:Q15,$F$5:$Q$5,"&lt;="&amp;'[Steuerung.xlsx]Steuerung'!$F$7)</f>
        <v/>
      </c>
      <c r="E15" s="7">
        <f>IF($D$9=0,"n.a.",D15/$D$9)</f>
        <v/>
      </c>
      <c r="F15" s="6">
        <f>IF(COUNTIFS('[Import Monatsdaten.xlsx]Import Monatsdaten'!$C$7:$C$8,'[Steuerung.xlsx]Steuerung'!$F$6,'[Import Monatsdaten.xlsx]Import Monatsdaten'!$D$7:$D$8,1)&gt;0,SUMIFS('[Import Monatsdaten.xlsx]Import Monatsdaten'!$K$7:$K$8,'[Import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Finanzen'!$C$45:$C$115,60)))</f>
        <v/>
      </c>
      <c r="G15" s="6">
        <f>IF(COUNTIFS('[Import Monatsdaten.xlsx]Import Monatsdaten'!$C$7:$C$8,'[Steuerung.xlsx]Steuerung'!$F$6,'[Import Monatsdaten.xlsx]Import Monatsdaten'!$D$7:$D$8,2)&gt;0,SUMIFS('[Import Monatsdaten.xlsx]Import Monatsdaten'!$K$7:$K$8,'[Import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Finanzen'!$C$45:$C$115,60)))</f>
        <v/>
      </c>
      <c r="H15" s="6">
        <f>IF(COUNTIFS('[Import Monatsdaten.xlsx]Import Monatsdaten'!$C$7:$C$8,'[Steuerung.xlsx]Steuerung'!$F$6,'[Import Monatsdaten.xlsx]Import Monatsdaten'!$D$7:$D$8,3)&gt;0,SUMIFS('[Import Monatsdaten.xlsx]Import Monatsdaten'!$K$7:$K$8,'[Import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Finanzen'!$C$45:$C$115,60)))</f>
        <v/>
      </c>
      <c r="I15" s="6">
        <f>IF(COUNTIFS('[Import Monatsdaten.xlsx]Import Monatsdaten'!$C$7:$C$8,'[Steuerung.xlsx]Steuerung'!$F$6,'[Import Monatsdaten.xlsx]Import Monatsdaten'!$D$7:$D$8,4)&gt;0,SUMIFS('[Import Monatsdaten.xlsx]Import Monatsdaten'!$K$7:$K$8,'[Import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Finanzen'!$C$45:$C$115,60)))</f>
        <v/>
      </c>
      <c r="J15" s="6">
        <f>IF(COUNTIFS('[Import Monatsdaten.xlsx]Import Monatsdaten'!$C$7:$C$8,'[Steuerung.xlsx]Steuerung'!$F$6,'[Import Monatsdaten.xlsx]Import Monatsdaten'!$D$7:$D$8,5)&gt;0,SUMIFS('[Import Monatsdaten.xlsx]Import Monatsdaten'!$K$7:$K$8,'[Import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Finanzen'!$C$45:$C$115,60)))</f>
        <v/>
      </c>
      <c r="K15" s="6">
        <f>IF(COUNTIFS('[Import Monatsdaten.xlsx]Import Monatsdaten'!$C$7:$C$8,'[Steuerung.xlsx]Steuerung'!$F$6,'[Import Monatsdaten.xlsx]Import Monatsdaten'!$D$7:$D$8,6)&gt;0,SUMIFS('[Import Monatsdaten.xlsx]Import Monatsdaten'!$K$7:$K$8,'[Import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Finanzen'!$C$45:$C$115,60)))</f>
        <v/>
      </c>
      <c r="L15" s="6">
        <f>IF(COUNTIFS('[Import Monatsdaten.xlsx]Import Monatsdaten'!$C$7:$C$8,'[Steuerung.xlsx]Steuerung'!$F$6,'[Import Monatsdaten.xlsx]Import Monatsdaten'!$D$7:$D$8,7)&gt;0,SUMIFS('[Import Monatsdaten.xlsx]Import Monatsdaten'!$K$7:$K$8,'[Import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Finanzen'!$C$45:$C$115,60)))</f>
        <v/>
      </c>
      <c r="M15" s="6">
        <f>IF(COUNTIFS('[Import Monatsdaten.xlsx]Import Monatsdaten'!$C$7:$C$8,'[Steuerung.xlsx]Steuerung'!$F$6,'[Import Monatsdaten.xlsx]Import Monatsdaten'!$D$7:$D$8,8)&gt;0,SUMIFS('[Import Monatsdaten.xlsx]Import Monatsdaten'!$K$7:$K$8,'[Import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Finanzen'!$C$45:$C$115,60)))</f>
        <v/>
      </c>
      <c r="N15" s="6">
        <f>IF(COUNTIFS('[Import Monatsdaten.xlsx]Import Monatsdaten'!$C$7:$C$8,'[Steuerung.xlsx]Steuerung'!$F$6,'[Import Monatsdaten.xlsx]Import Monatsdaten'!$D$7:$D$8,9)&gt;0,SUMIFS('[Import Monatsdaten.xlsx]Import Monatsdaten'!$K$7:$K$8,'[Import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Finanzen'!$C$45:$C$115,60)))</f>
        <v/>
      </c>
      <c r="O15" s="6">
        <f>IF(COUNTIFS('[Import Monatsdaten.xlsx]Import Monatsdaten'!$C$7:$C$8,'[Steuerung.xlsx]Steuerung'!$F$6,'[Import Monatsdaten.xlsx]Import Monatsdaten'!$D$7:$D$8,10)&gt;0,SUMIFS('[Import Monatsdaten.xlsx]Import Monatsdaten'!$K$7:$K$8,'[Import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Finanzen'!$C$45:$C$115,60)))</f>
        <v/>
      </c>
      <c r="P15" s="6">
        <f>IF(COUNTIFS('[Import Monatsdaten.xlsx]Import Monatsdaten'!$C$7:$C$8,'[Steuerung.xlsx]Steuerung'!$F$6,'[Import Monatsdaten.xlsx]Import Monatsdaten'!$D$7:$D$8,11)&gt;0,SUMIFS('[Import Monatsdaten.xlsx]Import Monatsdaten'!$K$7:$K$8,'[Import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Finanzen'!$C$45:$C$115,60)))</f>
        <v/>
      </c>
      <c r="Q15" s="6">
        <f>IF(COUNTIFS('[Import Monatsdaten.xlsx]Import Monatsdaten'!$C$7:$C$8,'[Steuerung.xlsx]Steuerung'!$F$6,'[Import Monatsdaten.xlsx]Import Monatsdaten'!$D$7:$D$8,12)&gt;0,SUMIFS('[Import Monatsdaten.xlsx]Import Monatsdaten'!$K$7:$K$8,'[Import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Finanzen'!$C$45:$C$115,60)))</f>
        <v/>
      </c>
      <c r="R15" s="1" t="n"/>
    </row>
    <row r="16" ht="25" customHeight="1">
      <c r="A16" s="1" t="n"/>
      <c r="B16" s="1" t="n"/>
      <c r="C16" s="8" t="inlineStr">
        <is>
          <t>EBIT</t>
        </is>
      </c>
      <c r="D16" s="9">
        <f>SUMIFS(F16:Q16,$F$5:$Q$5,"&lt;="&amp;'[Steuerung.xlsx]Steuerung'!$F$7)</f>
        <v/>
      </c>
      <c r="E16" s="10">
        <f>IF($D$9=0,"n.a.",D16/$D$9)</f>
        <v/>
      </c>
      <c r="F16" s="9">
        <f>IF(F7="","",SUM(F14:F15))</f>
        <v/>
      </c>
      <c r="G16" s="9">
        <f>IF(G7="","",SUM(G14:G15))</f>
        <v/>
      </c>
      <c r="H16" s="9">
        <f>IF(H7="","",SUM(H14:H15))</f>
        <v/>
      </c>
      <c r="I16" s="9">
        <f>IF(I7="","",SUM(I14:I15))</f>
        <v/>
      </c>
      <c r="J16" s="9">
        <f>IF(J7="","",SUM(J14:J15))</f>
        <v/>
      </c>
      <c r="K16" s="9">
        <f>IF(K7="","",SUM(K14:K15))</f>
        <v/>
      </c>
      <c r="L16" s="9">
        <f>IF(L7="","",SUM(L14:L15))</f>
        <v/>
      </c>
      <c r="M16" s="9">
        <f>IF(M7="","",SUM(M14:M15))</f>
        <v/>
      </c>
      <c r="N16" s="9">
        <f>IF(N7="","",SUM(N14:N15))</f>
        <v/>
      </c>
      <c r="O16" s="9">
        <f>IF(O7="","",SUM(O14:O15))</f>
        <v/>
      </c>
      <c r="P16" s="9">
        <f>IF(P7="","",SUM(P14:P15))</f>
        <v/>
      </c>
      <c r="Q16" s="9">
        <f>IF(Q7="","",SUM(Q14:Q15))</f>
        <v/>
      </c>
      <c r="R16" s="1" t="n"/>
    </row>
    <row r="17">
      <c r="A17" s="1" t="n"/>
      <c r="B17" s="1" t="n"/>
      <c r="C17" s="1" t="inlineStr">
        <is>
          <t>Finanzergebnis</t>
        </is>
      </c>
      <c r="D17" s="6">
        <f>SUMIFS(F17:Q17,$F$5:$Q$5,"&lt;="&amp;'[Steuerung.xlsx]Steuerung'!$F$7)</f>
        <v/>
      </c>
      <c r="E17" s="7">
        <f>IF($D$9=0,"n.a.",D17/$D$9)</f>
        <v/>
      </c>
      <c r="F17" s="6">
        <f>IF(COUNTIFS('[Import Monatsdaten.xlsx]Import Monatsdaten'!$C$7:$C$8,'[Steuerung.xlsx]Steuerung'!$F$6,'[Import Monatsdaten.xlsx]Import Monatsdaten'!$D$7:$D$8,1)&gt;0,SUMIFS('[Import Monatsdaten.xlsx]Import Monatsdaten'!$L$7:$L$8,'[Import Monatsdaten.xlsx]Import Monatsdaten'!$C$7:$C$8,'[Steuerung.xlsx]Steuerung'!$F$6,'[Import Monatsdaten.xlsx]Import Monatsdaten'!$D$7:$D$8,1),IF(COUNTIFS('[D Finanzen.xlsx]D Finanzen'!$A$45:$A$115,'[Steuerung.xlsx]Steuerung'!$F$6,'[D Finanzen.xlsx]D Finanzen'!$B$45:$B$115,F$5)=0,"",SUMIFS('[D Finanzen.xlsx]D Finanzen'!$E$45:$E$115,'[D Finanzen.xlsx]D Finanzen'!$A$45:$A$115,'[Steuerung.xlsx]Steuerung'!$F$6,'[D Finanzen.xlsx]D Finanzen'!$B$45:$B$115,F$5,'[D Finanzen.xlsx]D Finanzen'!$C$45:$C$115,80)))</f>
        <v/>
      </c>
      <c r="G17" s="6">
        <f>IF(COUNTIFS('[Import Monatsdaten.xlsx]Import Monatsdaten'!$C$7:$C$8,'[Steuerung.xlsx]Steuerung'!$F$6,'[Import Monatsdaten.xlsx]Import Monatsdaten'!$D$7:$D$8,2)&gt;0,SUMIFS('[Import Monatsdaten.xlsx]Import Monatsdaten'!$L$7:$L$8,'[Import Monatsdaten.xlsx]Import Monatsdaten'!$C$7:$C$8,'[Steuerung.xlsx]Steuerung'!$F$6,'[Import Monatsdaten.xlsx]Import Monatsdaten'!$D$7:$D$8,2),IF(COUNTIFS('[D Finanzen.xlsx]D Finanzen'!$A$45:$A$115,'[Steuerung.xlsx]Steuerung'!$F$6,'[D Finanzen.xlsx]D Finanzen'!$B$45:$B$115,G$5)=0,"",SUMIFS('[D Finanzen.xlsx]D Finanzen'!$E$45:$E$115,'[D Finanzen.xlsx]D Finanzen'!$A$45:$A$115,'[Steuerung.xlsx]Steuerung'!$F$6,'[D Finanzen.xlsx]D Finanzen'!$B$45:$B$115,G$5,'[D Finanzen.xlsx]D Finanzen'!$C$45:$C$115,80)))</f>
        <v/>
      </c>
      <c r="H17" s="6">
        <f>IF(COUNTIFS('[Import Monatsdaten.xlsx]Import Monatsdaten'!$C$7:$C$8,'[Steuerung.xlsx]Steuerung'!$F$6,'[Import Monatsdaten.xlsx]Import Monatsdaten'!$D$7:$D$8,3)&gt;0,SUMIFS('[Import Monatsdaten.xlsx]Import Monatsdaten'!$L$7:$L$8,'[Import Monatsdaten.xlsx]Import Monatsdaten'!$C$7:$C$8,'[Steuerung.xlsx]Steuerung'!$F$6,'[Import Monatsdaten.xlsx]Import Monatsdaten'!$D$7:$D$8,3),IF(COUNTIFS('[D Finanzen.xlsx]D Finanzen'!$A$45:$A$115,'[Steuerung.xlsx]Steuerung'!$F$6,'[D Finanzen.xlsx]D Finanzen'!$B$45:$B$115,H$5)=0,"",SUMIFS('[D Finanzen.xlsx]D Finanzen'!$E$45:$E$115,'[D Finanzen.xlsx]D Finanzen'!$A$45:$A$115,'[Steuerung.xlsx]Steuerung'!$F$6,'[D Finanzen.xlsx]D Finanzen'!$B$45:$B$115,H$5,'[D Finanzen.xlsx]D Finanzen'!$C$45:$C$115,80)))</f>
        <v/>
      </c>
      <c r="I17" s="6">
        <f>IF(COUNTIFS('[Import Monatsdaten.xlsx]Import Monatsdaten'!$C$7:$C$8,'[Steuerung.xlsx]Steuerung'!$F$6,'[Import Monatsdaten.xlsx]Import Monatsdaten'!$D$7:$D$8,4)&gt;0,SUMIFS('[Import Monatsdaten.xlsx]Import Monatsdaten'!$L$7:$L$8,'[Import Monatsdaten.xlsx]Import Monatsdaten'!$C$7:$C$8,'[Steuerung.xlsx]Steuerung'!$F$6,'[Import Monatsdaten.xlsx]Import Monatsdaten'!$D$7:$D$8,4),IF(COUNTIFS('[D Finanzen.xlsx]D Finanzen'!$A$45:$A$115,'[Steuerung.xlsx]Steuerung'!$F$6,'[D Finanzen.xlsx]D Finanzen'!$B$45:$B$115,I$5)=0,"",SUMIFS('[D Finanzen.xlsx]D Finanzen'!$E$45:$E$115,'[D Finanzen.xlsx]D Finanzen'!$A$45:$A$115,'[Steuerung.xlsx]Steuerung'!$F$6,'[D Finanzen.xlsx]D Finanzen'!$B$45:$B$115,I$5,'[D Finanzen.xlsx]D Finanzen'!$C$45:$C$115,80)))</f>
        <v/>
      </c>
      <c r="J17" s="6">
        <f>IF(COUNTIFS('[Import Monatsdaten.xlsx]Import Monatsdaten'!$C$7:$C$8,'[Steuerung.xlsx]Steuerung'!$F$6,'[Import Monatsdaten.xlsx]Import Monatsdaten'!$D$7:$D$8,5)&gt;0,SUMIFS('[Import Monatsdaten.xlsx]Import Monatsdaten'!$L$7:$L$8,'[Import Monatsdaten.xlsx]Import Monatsdaten'!$C$7:$C$8,'[Steuerung.xlsx]Steuerung'!$F$6,'[Import Monatsdaten.xlsx]Import Monatsdaten'!$D$7:$D$8,5),IF(COUNTIFS('[D Finanzen.xlsx]D Finanzen'!$A$45:$A$115,'[Steuerung.xlsx]Steuerung'!$F$6,'[D Finanzen.xlsx]D Finanzen'!$B$45:$B$115,J$5)=0,"",SUMIFS('[D Finanzen.xlsx]D Finanzen'!$E$45:$E$115,'[D Finanzen.xlsx]D Finanzen'!$A$45:$A$115,'[Steuerung.xlsx]Steuerung'!$F$6,'[D Finanzen.xlsx]D Finanzen'!$B$45:$B$115,J$5,'[D Finanzen.xlsx]D Finanzen'!$C$45:$C$115,80)))</f>
        <v/>
      </c>
      <c r="K17" s="6">
        <f>IF(COUNTIFS('[Import Monatsdaten.xlsx]Import Monatsdaten'!$C$7:$C$8,'[Steuerung.xlsx]Steuerung'!$F$6,'[Import Monatsdaten.xlsx]Import Monatsdaten'!$D$7:$D$8,6)&gt;0,SUMIFS('[Import Monatsdaten.xlsx]Import Monatsdaten'!$L$7:$L$8,'[Import Monatsdaten.xlsx]Import Monatsdaten'!$C$7:$C$8,'[Steuerung.xlsx]Steuerung'!$F$6,'[Import Monatsdaten.xlsx]Import Monatsdaten'!$D$7:$D$8,6),IF(COUNTIFS('[D Finanzen.xlsx]D Finanzen'!$A$45:$A$115,'[Steuerung.xlsx]Steuerung'!$F$6,'[D Finanzen.xlsx]D Finanzen'!$B$45:$B$115,K$5)=0,"",SUMIFS('[D Finanzen.xlsx]D Finanzen'!$E$45:$E$115,'[D Finanzen.xlsx]D Finanzen'!$A$45:$A$115,'[Steuerung.xlsx]Steuerung'!$F$6,'[D Finanzen.xlsx]D Finanzen'!$B$45:$B$115,K$5,'[D Finanzen.xlsx]D Finanzen'!$C$45:$C$115,80)))</f>
        <v/>
      </c>
      <c r="L17" s="6">
        <f>IF(COUNTIFS('[Import Monatsdaten.xlsx]Import Monatsdaten'!$C$7:$C$8,'[Steuerung.xlsx]Steuerung'!$F$6,'[Import Monatsdaten.xlsx]Import Monatsdaten'!$D$7:$D$8,7)&gt;0,SUMIFS('[Import Monatsdaten.xlsx]Import Monatsdaten'!$L$7:$L$8,'[Import Monatsdaten.xlsx]Import Monatsdaten'!$C$7:$C$8,'[Steuerung.xlsx]Steuerung'!$F$6,'[Import Monatsdaten.xlsx]Import Monatsdaten'!$D$7:$D$8,7),IF(COUNTIFS('[D Finanzen.xlsx]D Finanzen'!$A$45:$A$115,'[Steuerung.xlsx]Steuerung'!$F$6,'[D Finanzen.xlsx]D Finanzen'!$B$45:$B$115,L$5)=0,"",SUMIFS('[D Finanzen.xlsx]D Finanzen'!$E$45:$E$115,'[D Finanzen.xlsx]D Finanzen'!$A$45:$A$115,'[Steuerung.xlsx]Steuerung'!$F$6,'[D Finanzen.xlsx]D Finanzen'!$B$45:$B$115,L$5,'[D Finanzen.xlsx]D Finanzen'!$C$45:$C$115,80)))</f>
        <v/>
      </c>
      <c r="M17" s="6">
        <f>IF(COUNTIFS('[Import Monatsdaten.xlsx]Import Monatsdaten'!$C$7:$C$8,'[Steuerung.xlsx]Steuerung'!$F$6,'[Import Monatsdaten.xlsx]Import Monatsdaten'!$D$7:$D$8,8)&gt;0,SUMIFS('[Import Monatsdaten.xlsx]Import Monatsdaten'!$L$7:$L$8,'[Import Monatsdaten.xlsx]Import Monatsdaten'!$C$7:$C$8,'[Steuerung.xlsx]Steuerung'!$F$6,'[Import Monatsdaten.xlsx]Import Monatsdaten'!$D$7:$D$8,8),IF(COUNTIFS('[D Finanzen.xlsx]D Finanzen'!$A$45:$A$115,'[Steuerung.xlsx]Steuerung'!$F$6,'[D Finanzen.xlsx]D Finanzen'!$B$45:$B$115,M$5)=0,"",SUMIFS('[D Finanzen.xlsx]D Finanzen'!$E$45:$E$115,'[D Finanzen.xlsx]D Finanzen'!$A$45:$A$115,'[Steuerung.xlsx]Steuerung'!$F$6,'[D Finanzen.xlsx]D Finanzen'!$B$45:$B$115,M$5,'[D Finanzen.xlsx]D Finanzen'!$C$45:$C$115,80)))</f>
        <v/>
      </c>
      <c r="N17" s="6">
        <f>IF(COUNTIFS('[Import Monatsdaten.xlsx]Import Monatsdaten'!$C$7:$C$8,'[Steuerung.xlsx]Steuerung'!$F$6,'[Import Monatsdaten.xlsx]Import Monatsdaten'!$D$7:$D$8,9)&gt;0,SUMIFS('[Import Monatsdaten.xlsx]Import Monatsdaten'!$L$7:$L$8,'[Import Monatsdaten.xlsx]Import Monatsdaten'!$C$7:$C$8,'[Steuerung.xlsx]Steuerung'!$F$6,'[Import Monatsdaten.xlsx]Import Monatsdaten'!$D$7:$D$8,9),IF(COUNTIFS('[D Finanzen.xlsx]D Finanzen'!$A$45:$A$115,'[Steuerung.xlsx]Steuerung'!$F$6,'[D Finanzen.xlsx]D Finanzen'!$B$45:$B$115,N$5)=0,"",SUMIFS('[D Finanzen.xlsx]D Finanzen'!$E$45:$E$115,'[D Finanzen.xlsx]D Finanzen'!$A$45:$A$115,'[Steuerung.xlsx]Steuerung'!$F$6,'[D Finanzen.xlsx]D Finanzen'!$B$45:$B$115,N$5,'[D Finanzen.xlsx]D Finanzen'!$C$45:$C$115,80)))</f>
        <v/>
      </c>
      <c r="O17" s="6">
        <f>IF(COUNTIFS('[Import Monatsdaten.xlsx]Import Monatsdaten'!$C$7:$C$8,'[Steuerung.xlsx]Steuerung'!$F$6,'[Import Monatsdaten.xlsx]Import Monatsdaten'!$D$7:$D$8,10)&gt;0,SUMIFS('[Import Monatsdaten.xlsx]Import Monatsdaten'!$L$7:$L$8,'[Import Monatsdaten.xlsx]Import Monatsdaten'!$C$7:$C$8,'[Steuerung.xlsx]Steuerung'!$F$6,'[Import Monatsdaten.xlsx]Import Monatsdaten'!$D$7:$D$8,10),IF(COUNTIFS('[D Finanzen.xlsx]D Finanzen'!$A$45:$A$115,'[Steuerung.xlsx]Steuerung'!$F$6,'[D Finanzen.xlsx]D Finanzen'!$B$45:$B$115,O$5)=0,"",SUMIFS('[D Finanzen.xlsx]D Finanzen'!$E$45:$E$115,'[D Finanzen.xlsx]D Finanzen'!$A$45:$A$115,'[Steuerung.xlsx]Steuerung'!$F$6,'[D Finanzen.xlsx]D Finanzen'!$B$45:$B$115,O$5,'[D Finanzen.xlsx]D Finanzen'!$C$45:$C$115,80)))</f>
        <v/>
      </c>
      <c r="P17" s="6">
        <f>IF(COUNTIFS('[Import Monatsdaten.xlsx]Import Monatsdaten'!$C$7:$C$8,'[Steuerung.xlsx]Steuerung'!$F$6,'[Import Monatsdaten.xlsx]Import Monatsdaten'!$D$7:$D$8,11)&gt;0,SUMIFS('[Import Monatsdaten.xlsx]Import Monatsdaten'!$L$7:$L$8,'[Import Monatsdaten.xlsx]Import Monatsdaten'!$C$7:$C$8,'[Steuerung.xlsx]Steuerung'!$F$6,'[Import Monatsdaten.xlsx]Import Monatsdaten'!$D$7:$D$8,11),IF(COUNTIFS('[D Finanzen.xlsx]D Finanzen'!$A$45:$A$115,'[Steuerung.xlsx]Steuerung'!$F$6,'[D Finanzen.xlsx]D Finanzen'!$B$45:$B$115,P$5)=0,"",SUMIFS('[D Finanzen.xlsx]D Finanzen'!$E$45:$E$115,'[D Finanzen.xlsx]D Finanzen'!$A$45:$A$115,'[Steuerung.xlsx]Steuerung'!$F$6,'[D Finanzen.xlsx]D Finanzen'!$B$45:$B$115,P$5,'[D Finanzen.xlsx]D Finanzen'!$C$45:$C$115,80)))</f>
        <v/>
      </c>
      <c r="Q17" s="6">
        <f>IF(COUNTIFS('[Import Monatsdaten.xlsx]Import Monatsdaten'!$C$7:$C$8,'[Steuerung.xlsx]Steuerung'!$F$6,'[Import Monatsdaten.xlsx]Import Monatsdaten'!$D$7:$D$8,12)&gt;0,SUMIFS('[Import Monatsdaten.xlsx]Import Monatsdaten'!$L$7:$L$8,'[Import Monatsdaten.xlsx]Import Monatsdaten'!$C$7:$C$8,'[Steuerung.xlsx]Steuerung'!$F$6,'[Import Monatsdaten.xlsx]Import Monatsdaten'!$D$7:$D$8,12),IF(COUNTIFS('[D Finanzen.xlsx]D Finanzen'!$A$45:$A$115,'[Steuerung.xlsx]Steuerung'!$F$6,'[D Finanzen.xlsx]D Finanzen'!$B$45:$B$115,Q$5)=0,"",SUMIFS('[D Finanzen.xlsx]D Finanzen'!$E$45:$E$115,'[D Finanzen.xlsx]D Finanzen'!$A$45:$A$115,'[Steuerung.xlsx]Steuerung'!$F$6,'[D Finanzen.xlsx]D Finanzen'!$B$45:$B$115,Q$5,'[D Finanzen.xlsx]D Finanzen'!$C$45:$C$115,80)))</f>
        <v/>
      </c>
      <c r="R17" s="1" t="n"/>
    </row>
    <row r="18" ht="25" customHeight="1">
      <c r="A18" s="1" t="n"/>
      <c r="B18" s="1" t="n"/>
      <c r="C18" s="8" t="inlineStr">
        <is>
          <t>Ergebnis aus Staffel</t>
        </is>
      </c>
      <c r="D18" s="9">
        <f>SUMIFS(F18:Q18,$F$5:$Q$5,"&lt;="&amp;'[Steuerung.xlsx]Steuerung'!$F$7)</f>
        <v/>
      </c>
      <c r="E18" s="10">
        <f>IF($D$9=0,"n.a.",D18/$D$9)</f>
        <v/>
      </c>
      <c r="F18" s="9">
        <f>IF(F7="","",SUM(F16:F17))</f>
        <v/>
      </c>
      <c r="G18" s="9">
        <f>IF(G7="","",SUM(G16:G17))</f>
        <v/>
      </c>
      <c r="H18" s="9">
        <f>IF(H7="","",SUM(H16:H17))</f>
        <v/>
      </c>
      <c r="I18" s="9">
        <f>IF(I7="","",SUM(I16:I17))</f>
        <v/>
      </c>
      <c r="J18" s="9">
        <f>IF(J7="","",SUM(J16:J17))</f>
        <v/>
      </c>
      <c r="K18" s="9">
        <f>IF(K7="","",SUM(K16:K17))</f>
        <v/>
      </c>
      <c r="L18" s="9">
        <f>IF(L7="","",SUM(L16:L17))</f>
        <v/>
      </c>
      <c r="M18" s="9">
        <f>IF(M7="","",SUM(M16:M17))</f>
        <v/>
      </c>
      <c r="N18" s="9">
        <f>IF(N7="","",SUM(N16:N17))</f>
        <v/>
      </c>
      <c r="O18" s="9">
        <f>IF(O7="","",SUM(O16:O17))</f>
        <v/>
      </c>
      <c r="P18" s="9">
        <f>IF(P7="","",SUM(P16:P17))</f>
        <v/>
      </c>
      <c r="Q18" s="9">
        <f>IF(Q7="","",SUM(Q16:Q17))</f>
        <v/>
      </c>
      <c r="R18" s="1" t="n"/>
    </row>
    <row r="19">
      <c r="A19" s="1" t="n"/>
      <c r="B19" s="1" t="n"/>
      <c r="C19" s="1" t="n"/>
      <c r="D19" s="6" t="n"/>
      <c r="E19" s="7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1" t="n"/>
    </row>
    <row r="20" ht="25" customHeight="1">
      <c r="A20" s="1" t="n"/>
      <c r="B20" s="1" t="n"/>
      <c r="C20" s="8" t="inlineStr">
        <is>
          <t>EBITDA Cockpit-Definition</t>
        </is>
      </c>
      <c r="D20" s="9">
        <f>SUMIFS(F20:Q20,$F$5:$Q$5,"&lt;="&amp;'[Steuerung.xlsx]Steuerung'!$F$7)</f>
        <v/>
      </c>
      <c r="E20" s="10">
        <f>IF($D$9=0,"n.a.",D20/$D$9)</f>
        <v/>
      </c>
      <c r="F20" s="9">
        <f>IF(COUNTIFS('[Import Monatsdaten.xlsx]Import Monatsdaten'!$C$7:$C$8,'[Steuerung.xlsx]Steuerung'!$F$6,'[Import Monatsdaten.xlsx]Import Monatsdaten'!$D$7:$D$8,1)&gt;0,F14,IF(COUNTIFS('[D Finanzen.xlsx]D Finanzen'!$A$8:$A$16,'[Steuerung.xlsx]Steuerung'!$F$6,'[D Finanzen.xlsx]D Finanzen'!$B$8:$B$16,F$5)=0,"",SUMIFS('[D Finanzen.xlsx]D Finanzen'!$F$8:$F$16,'[D Finanzen.xlsx]D Finanzen'!$A$8:$A$16,'[Steuerung.xlsx]Steuerung'!$F$6,'[D Finanzen.xlsx]D Finanzen'!$B$8:$B$16,F$5)))</f>
        <v/>
      </c>
      <c r="G20" s="9">
        <f>IF(COUNTIFS('[Import Monatsdaten.xlsx]Import Monatsdaten'!$C$7:$C$8,'[Steuerung.xlsx]Steuerung'!$F$6,'[Import Monatsdaten.xlsx]Import Monatsdaten'!$D$7:$D$8,2)&gt;0,G14,IF(COUNTIFS('[D Finanzen.xlsx]D Finanzen'!$A$8:$A$16,'[Steuerung.xlsx]Steuerung'!$F$6,'[D Finanzen.xlsx]D Finanzen'!$B$8:$B$16,G$5)=0,"",SUMIFS('[D Finanzen.xlsx]D Finanzen'!$F$8:$F$16,'[D Finanzen.xlsx]D Finanzen'!$A$8:$A$16,'[Steuerung.xlsx]Steuerung'!$F$6,'[D Finanzen.xlsx]D Finanzen'!$B$8:$B$16,G$5)))</f>
        <v/>
      </c>
      <c r="H20" s="9">
        <f>IF(COUNTIFS('[Import Monatsdaten.xlsx]Import Monatsdaten'!$C$7:$C$8,'[Steuerung.xlsx]Steuerung'!$F$6,'[Import Monatsdaten.xlsx]Import Monatsdaten'!$D$7:$D$8,3)&gt;0,H14,IF(COUNTIFS('[D Finanzen.xlsx]D Finanzen'!$A$8:$A$16,'[Steuerung.xlsx]Steuerung'!$F$6,'[D Finanzen.xlsx]D Finanzen'!$B$8:$B$16,H$5)=0,"",SUMIFS('[D Finanzen.xlsx]D Finanzen'!$F$8:$F$16,'[D Finanzen.xlsx]D Finanzen'!$A$8:$A$16,'[Steuerung.xlsx]Steuerung'!$F$6,'[D Finanzen.xlsx]D Finanzen'!$B$8:$B$16,H$5)))</f>
        <v/>
      </c>
      <c r="I20" s="9">
        <f>IF(COUNTIFS('[Import Monatsdaten.xlsx]Import Monatsdaten'!$C$7:$C$8,'[Steuerung.xlsx]Steuerung'!$F$6,'[Import Monatsdaten.xlsx]Import Monatsdaten'!$D$7:$D$8,4)&gt;0,I14,IF(COUNTIFS('[D Finanzen.xlsx]D Finanzen'!$A$8:$A$16,'[Steuerung.xlsx]Steuerung'!$F$6,'[D Finanzen.xlsx]D Finanzen'!$B$8:$B$16,I$5)=0,"",SUMIFS('[D Finanzen.xlsx]D Finanzen'!$F$8:$F$16,'[D Finanzen.xlsx]D Finanzen'!$A$8:$A$16,'[Steuerung.xlsx]Steuerung'!$F$6,'[D Finanzen.xlsx]D Finanzen'!$B$8:$B$16,I$5)))</f>
        <v/>
      </c>
      <c r="J20" s="9">
        <f>IF(COUNTIFS('[Import Monatsdaten.xlsx]Import Monatsdaten'!$C$7:$C$8,'[Steuerung.xlsx]Steuerung'!$F$6,'[Import Monatsdaten.xlsx]Import Monatsdaten'!$D$7:$D$8,5)&gt;0,J14,IF(COUNTIFS('[D Finanzen.xlsx]D Finanzen'!$A$8:$A$16,'[Steuerung.xlsx]Steuerung'!$F$6,'[D Finanzen.xlsx]D Finanzen'!$B$8:$B$16,J$5)=0,"",SUMIFS('[D Finanzen.xlsx]D Finanzen'!$F$8:$F$16,'[D Finanzen.xlsx]D Finanzen'!$A$8:$A$16,'[Steuerung.xlsx]Steuerung'!$F$6,'[D Finanzen.xlsx]D Finanzen'!$B$8:$B$16,J$5)))</f>
        <v/>
      </c>
      <c r="K20" s="9">
        <f>IF(COUNTIFS('[Import Monatsdaten.xlsx]Import Monatsdaten'!$C$7:$C$8,'[Steuerung.xlsx]Steuerung'!$F$6,'[Import Monatsdaten.xlsx]Import Monatsdaten'!$D$7:$D$8,6)&gt;0,K14,IF(COUNTIFS('[D Finanzen.xlsx]D Finanzen'!$A$8:$A$16,'[Steuerung.xlsx]Steuerung'!$F$6,'[D Finanzen.xlsx]D Finanzen'!$B$8:$B$16,K$5)=0,"",SUMIFS('[D Finanzen.xlsx]D Finanzen'!$F$8:$F$16,'[D Finanzen.xlsx]D Finanzen'!$A$8:$A$16,'[Steuerung.xlsx]Steuerung'!$F$6,'[D Finanzen.xlsx]D Finanzen'!$B$8:$B$16,K$5)))</f>
        <v/>
      </c>
      <c r="L20" s="9">
        <f>IF(COUNTIFS('[Import Monatsdaten.xlsx]Import Monatsdaten'!$C$7:$C$8,'[Steuerung.xlsx]Steuerung'!$F$6,'[Import Monatsdaten.xlsx]Import Monatsdaten'!$D$7:$D$8,7)&gt;0,L14,IF(COUNTIFS('[D Finanzen.xlsx]D Finanzen'!$A$8:$A$16,'[Steuerung.xlsx]Steuerung'!$F$6,'[D Finanzen.xlsx]D Finanzen'!$B$8:$B$16,L$5)=0,"",SUMIFS('[D Finanzen.xlsx]D Finanzen'!$F$8:$F$16,'[D Finanzen.xlsx]D Finanzen'!$A$8:$A$16,'[Steuerung.xlsx]Steuerung'!$F$6,'[D Finanzen.xlsx]D Finanzen'!$B$8:$B$16,L$5)))</f>
        <v/>
      </c>
      <c r="M20" s="9">
        <f>IF(COUNTIFS('[Import Monatsdaten.xlsx]Import Monatsdaten'!$C$7:$C$8,'[Steuerung.xlsx]Steuerung'!$F$6,'[Import Monatsdaten.xlsx]Import Monatsdaten'!$D$7:$D$8,8)&gt;0,M14,IF(COUNTIFS('[D Finanzen.xlsx]D Finanzen'!$A$8:$A$16,'[Steuerung.xlsx]Steuerung'!$F$6,'[D Finanzen.xlsx]D Finanzen'!$B$8:$B$16,M$5)=0,"",SUMIFS('[D Finanzen.xlsx]D Finanzen'!$F$8:$F$16,'[D Finanzen.xlsx]D Finanzen'!$A$8:$A$16,'[Steuerung.xlsx]Steuerung'!$F$6,'[D Finanzen.xlsx]D Finanzen'!$B$8:$B$16,M$5)))</f>
        <v/>
      </c>
      <c r="N20" s="9">
        <f>IF(COUNTIFS('[Import Monatsdaten.xlsx]Import Monatsdaten'!$C$7:$C$8,'[Steuerung.xlsx]Steuerung'!$F$6,'[Import Monatsdaten.xlsx]Import Monatsdaten'!$D$7:$D$8,9)&gt;0,N14,IF(COUNTIFS('[D Finanzen.xlsx]D Finanzen'!$A$8:$A$16,'[Steuerung.xlsx]Steuerung'!$F$6,'[D Finanzen.xlsx]D Finanzen'!$B$8:$B$16,N$5)=0,"",SUMIFS('[D Finanzen.xlsx]D Finanzen'!$F$8:$F$16,'[D Finanzen.xlsx]D Finanzen'!$A$8:$A$16,'[Steuerung.xlsx]Steuerung'!$F$6,'[D Finanzen.xlsx]D Finanzen'!$B$8:$B$16,N$5)))</f>
        <v/>
      </c>
      <c r="O20" s="9">
        <f>IF(COUNTIFS('[Import Monatsdaten.xlsx]Import Monatsdaten'!$C$7:$C$8,'[Steuerung.xlsx]Steuerung'!$F$6,'[Import Monatsdaten.xlsx]Import Monatsdaten'!$D$7:$D$8,10)&gt;0,O14,IF(COUNTIFS('[D Finanzen.xlsx]D Finanzen'!$A$8:$A$16,'[Steuerung.xlsx]Steuerung'!$F$6,'[D Finanzen.xlsx]D Finanzen'!$B$8:$B$16,O$5)=0,"",SUMIFS('[D Finanzen.xlsx]D Finanzen'!$F$8:$F$16,'[D Finanzen.xlsx]D Finanzen'!$A$8:$A$16,'[Steuerung.xlsx]Steuerung'!$F$6,'[D Finanzen.xlsx]D Finanzen'!$B$8:$B$16,O$5)))</f>
        <v/>
      </c>
      <c r="P20" s="9">
        <f>IF(COUNTIFS('[Import Monatsdaten.xlsx]Import Monatsdaten'!$C$7:$C$8,'[Steuerung.xlsx]Steuerung'!$F$6,'[Import Monatsdaten.xlsx]Import Monatsdaten'!$D$7:$D$8,11)&gt;0,P14,IF(COUNTIFS('[D Finanzen.xlsx]D Finanzen'!$A$8:$A$16,'[Steuerung.xlsx]Steuerung'!$F$6,'[D Finanzen.xlsx]D Finanzen'!$B$8:$B$16,P$5)=0,"",SUMIFS('[D Finanzen.xlsx]D Finanzen'!$F$8:$F$16,'[D Finanzen.xlsx]D Finanzen'!$A$8:$A$16,'[Steuerung.xlsx]Steuerung'!$F$6,'[D Finanzen.xlsx]D Finanzen'!$B$8:$B$16,P$5)))</f>
        <v/>
      </c>
      <c r="Q20" s="9">
        <f>IF(COUNTIFS('[Import Monatsdaten.xlsx]Import Monatsdaten'!$C$7:$C$8,'[Steuerung.xlsx]Steuerung'!$F$6,'[Import Monatsdaten.xlsx]Import Monatsdaten'!$D$7:$D$8,12)&gt;0,Q14,IF(COUNTIFS('[D Finanzen.xlsx]D Finanzen'!$A$8:$A$16,'[Steuerung.xlsx]Steuerung'!$F$6,'[D Finanzen.xlsx]D Finanzen'!$B$8:$B$16,Q$5)=0,"",SUMIFS('[D Finanzen.xlsx]D Finanzen'!$F$8:$F$16,'[D Finanzen.xlsx]D Finanzen'!$A$8:$A$16,'[Steuerung.xlsx]Steuerung'!$F$6,'[D Finanzen.xlsx]D Finanzen'!$B$8:$B$16,Q$5)))</f>
        <v/>
      </c>
      <c r="R20" s="1" t="n"/>
    </row>
    <row r="21">
      <c r="A21" s="1" t="n"/>
      <c r="B21" s="1" t="n"/>
      <c r="C21" s="1" t="inlineStr">
        <is>
          <t>Differenz EBITDA-Definition</t>
        </is>
      </c>
      <c r="D21" s="6">
        <f>SUMIFS(F21:Q21,$F$5:$Q$5,"&lt;="&amp;'[Steuerung.xlsx]Steuerung'!$F$7)</f>
        <v/>
      </c>
      <c r="E21" s="7">
        <f>IF($D$9=0,"n.a.",D21/$D$9)</f>
        <v/>
      </c>
      <c r="F21" s="6">
        <f>IF(F7="","",ROUND(F14-F20,2))</f>
        <v/>
      </c>
      <c r="G21" s="6">
        <f>IF(G7="","",ROUND(G14-G20,2))</f>
        <v/>
      </c>
      <c r="H21" s="6">
        <f>IF(H7="","",ROUND(H14-H20,2))</f>
        <v/>
      </c>
      <c r="I21" s="6">
        <f>IF(I7="","",ROUND(I14-I20,2))</f>
        <v/>
      </c>
      <c r="J21" s="6">
        <f>IF(J7="","",ROUND(J14-J20,2))</f>
        <v/>
      </c>
      <c r="K21" s="6">
        <f>IF(K7="","",ROUND(K14-K20,2))</f>
        <v/>
      </c>
      <c r="L21" s="6">
        <f>IF(L7="","",ROUND(L14-L20,2))</f>
        <v/>
      </c>
      <c r="M21" s="6">
        <f>IF(M7="","",ROUND(M14-M20,2))</f>
        <v/>
      </c>
      <c r="N21" s="6">
        <f>IF(N7="","",ROUND(N14-N20,2))</f>
        <v/>
      </c>
      <c r="O21" s="6">
        <f>IF(O7="","",ROUND(O14-O20,2))</f>
        <v/>
      </c>
      <c r="P21" s="6">
        <f>IF(P7="","",ROUND(P14-P20,2))</f>
        <v/>
      </c>
      <c r="Q21" s="6">
        <f>IF(Q7="","",ROUND(Q14-Q20,2))</f>
        <v/>
      </c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inlineStr">
        <is>
          <t>Quelle je Monat</t>
        </is>
      </c>
      <c r="D23" s="1" t="n"/>
      <c r="E23" s="1" t="n"/>
      <c r="F23" s="1">
        <f>IF(COUNTIFS('[Import Monatsdaten.xlsx]Import Monatsdaten'!$C$7:$C$8,'[Steuerung.xlsx]Steuerung'!$F$6,'[Import Monatsdaten.xlsx]Import Monatsdaten'!$D$7:$D$8,1)&gt;0,"CSV-Import","Originalexport")</f>
        <v/>
      </c>
      <c r="G23" s="1">
        <f>IF(COUNTIFS('[Import Monatsdaten.xlsx]Import Monatsdaten'!$C$7:$C$8,'[Steuerung.xlsx]Steuerung'!$F$6,'[Import Monatsdaten.xlsx]Import Monatsdaten'!$D$7:$D$8,2)&gt;0,"CSV-Import","Originalexport")</f>
        <v/>
      </c>
      <c r="H23" s="1">
        <f>IF(COUNTIFS('[Import Monatsdaten.xlsx]Import Monatsdaten'!$C$7:$C$8,'[Steuerung.xlsx]Steuerung'!$F$6,'[Import Monatsdaten.xlsx]Import Monatsdaten'!$D$7:$D$8,3)&gt;0,"CSV-Import","Originalexport")</f>
        <v/>
      </c>
      <c r="I23" s="1">
        <f>IF(COUNTIFS('[Import Monatsdaten.xlsx]Import Monatsdaten'!$C$7:$C$8,'[Steuerung.xlsx]Steuerung'!$F$6,'[Import Monatsdaten.xlsx]Import Monatsdaten'!$D$7:$D$8,4)&gt;0,"CSV-Import","Originalexport")</f>
        <v/>
      </c>
      <c r="J23" s="1">
        <f>IF(COUNTIFS('[Import Monatsdaten.xlsx]Import Monatsdaten'!$C$7:$C$8,'[Steuerung.xlsx]Steuerung'!$F$6,'[Import Monatsdaten.xlsx]Import Monatsdaten'!$D$7:$D$8,5)&gt;0,"CSV-Import","Originalexport")</f>
        <v/>
      </c>
      <c r="K23" s="1">
        <f>IF(COUNTIFS('[Import Monatsdaten.xlsx]Import Monatsdaten'!$C$7:$C$8,'[Steuerung.xlsx]Steuerung'!$F$6,'[Import Monatsdaten.xlsx]Import Monatsdaten'!$D$7:$D$8,6)&gt;0,"CSV-Import","Originalexport")</f>
        <v/>
      </c>
      <c r="L23" s="1">
        <f>IF(COUNTIFS('[Import Monatsdaten.xlsx]Import Monatsdaten'!$C$7:$C$8,'[Steuerung.xlsx]Steuerung'!$F$6,'[Import Monatsdaten.xlsx]Import Monatsdaten'!$D$7:$D$8,7)&gt;0,"CSV-Import","Originalexport")</f>
        <v/>
      </c>
      <c r="M23" s="1">
        <f>IF(COUNTIFS('[Import Monatsdaten.xlsx]Import Monatsdaten'!$C$7:$C$8,'[Steuerung.xlsx]Steuerung'!$F$6,'[Import Monatsdaten.xlsx]Import Monatsdaten'!$D$7:$D$8,8)&gt;0,"CSV-Import","Originalexport")</f>
        <v/>
      </c>
      <c r="N23" s="1">
        <f>IF(COUNTIFS('[Import Monatsdaten.xlsx]Import Monatsdaten'!$C$7:$C$8,'[Steuerung.xlsx]Steuerung'!$F$6,'[Import Monatsdaten.xlsx]Import Monatsdaten'!$D$7:$D$8,9)&gt;0,"CSV-Import","Originalexport")</f>
        <v/>
      </c>
      <c r="O23" s="1">
        <f>IF(COUNTIFS('[Import Monatsdaten.xlsx]Import Monatsdaten'!$C$7:$C$8,'[Steuerung.xlsx]Steuerung'!$F$6,'[Import Monatsdaten.xlsx]Import Monatsdaten'!$D$7:$D$8,10)&gt;0,"CSV-Import","Originalexport")</f>
        <v/>
      </c>
      <c r="P23" s="1">
        <f>IF(COUNTIFS('[Import Monatsdaten.xlsx]Import Monatsdaten'!$C$7:$C$8,'[Steuerung.xlsx]Steuerung'!$F$6,'[Import Monatsdaten.xlsx]Import Monatsdaten'!$D$7:$D$8,11)&gt;0,"CSV-Import","Originalexport")</f>
        <v/>
      </c>
      <c r="Q23" s="1">
        <f>IF(COUNTIFS('[Import Monatsdaten.xlsx]Import Monatsdaten'!$C$7:$C$8,'[Steuerung.xlsx]Steuerung'!$F$6,'[Import Monatsdaten.xlsx]Import Monatsdaten'!$D$7:$D$8,12)&gt;0,"CSV-Import","Originalexport")</f>
        <v/>
      </c>
      <c r="R23" s="1" t="n"/>
    </row>
    <row r="24">
      <c r="A24" s="1" t="n"/>
      <c r="B24" s="1" t="n"/>
      <c r="C24" s="1" t="inlineStr">
        <is>
          <t>Neutrales Ergebnis</t>
        </is>
      </c>
      <c r="D24" s="6">
        <f>SUMIFS(F24:Q24,$F$5:$Q$5,"&lt;="&amp;'[Steuerung.xlsx]Steuerung'!$F$7)</f>
        <v/>
      </c>
      <c r="E24" s="6" t="n"/>
      <c r="F24" s="6">
        <f>IF(COUNTIFS('[Import Monatsdaten.xlsx]Import Monatsdaten'!$C$7:$C$8,'[Steuerung.xlsx]Steuerung'!$F$6,'[Import Monatsdaten.xlsx]Import Monatsdaten'!$D$7:$D$8,1)&gt;0,SUMIFS('[Import Monatsdaten.xlsx]Import Monatsdaten'!$M$7:$M$8,'[Import Monatsdaten.xlsx]Import Monatsdaten'!$C$7:$C$8,'[Steuerung.xlsx]Steuerung'!$F$6,'[Import Monatsdaten.xlsx]Import Monatsdaten'!$D$7:$D$8,1),SUMIFS('[D Finanzen.xlsx]D Finanzen'!$G$8:$G$16,'[D Finanzen.xlsx]D Finanzen'!$A$8:$A$16,'[Steuerung.xlsx]Steuerung'!$F$6,'[D Finanzen.xlsx]D Finanzen'!$B$8:$B$16,1))</f>
        <v/>
      </c>
      <c r="G24" s="6">
        <f>IF(COUNTIFS('[Import Monatsdaten.xlsx]Import Monatsdaten'!$C$7:$C$8,'[Steuerung.xlsx]Steuerung'!$F$6,'[Import Monatsdaten.xlsx]Import Monatsdaten'!$D$7:$D$8,2)&gt;0,SUMIFS('[Import Monatsdaten.xlsx]Import Monatsdaten'!$M$7:$M$8,'[Import Monatsdaten.xlsx]Import Monatsdaten'!$C$7:$C$8,'[Steuerung.xlsx]Steuerung'!$F$6,'[Import Monatsdaten.xlsx]Import Monatsdaten'!$D$7:$D$8,2),SUMIFS('[D Finanzen.xlsx]D Finanzen'!$G$8:$G$16,'[D Finanzen.xlsx]D Finanzen'!$A$8:$A$16,'[Steuerung.xlsx]Steuerung'!$F$6,'[D Finanzen.xlsx]D Finanzen'!$B$8:$B$16,2))</f>
        <v/>
      </c>
      <c r="H24" s="6">
        <f>IF(COUNTIFS('[Import Monatsdaten.xlsx]Import Monatsdaten'!$C$7:$C$8,'[Steuerung.xlsx]Steuerung'!$F$6,'[Import Monatsdaten.xlsx]Import Monatsdaten'!$D$7:$D$8,3)&gt;0,SUMIFS('[Import Monatsdaten.xlsx]Import Monatsdaten'!$M$7:$M$8,'[Import Monatsdaten.xlsx]Import Monatsdaten'!$C$7:$C$8,'[Steuerung.xlsx]Steuerung'!$F$6,'[Import Monatsdaten.xlsx]Import Monatsdaten'!$D$7:$D$8,3),SUMIFS('[D Finanzen.xlsx]D Finanzen'!$G$8:$G$16,'[D Finanzen.xlsx]D Finanzen'!$A$8:$A$16,'[Steuerung.xlsx]Steuerung'!$F$6,'[D Finanzen.xlsx]D Finanzen'!$B$8:$B$16,3))</f>
        <v/>
      </c>
      <c r="I24" s="6">
        <f>IF(COUNTIFS('[Import Monatsdaten.xlsx]Import Monatsdaten'!$C$7:$C$8,'[Steuerung.xlsx]Steuerung'!$F$6,'[Import Monatsdaten.xlsx]Import Monatsdaten'!$D$7:$D$8,4)&gt;0,SUMIFS('[Import Monatsdaten.xlsx]Import Monatsdaten'!$M$7:$M$8,'[Import Monatsdaten.xlsx]Import Monatsdaten'!$C$7:$C$8,'[Steuerung.xlsx]Steuerung'!$F$6,'[Import Monatsdaten.xlsx]Import Monatsdaten'!$D$7:$D$8,4),SUMIFS('[D Finanzen.xlsx]D Finanzen'!$G$8:$G$16,'[D Finanzen.xlsx]D Finanzen'!$A$8:$A$16,'[Steuerung.xlsx]Steuerung'!$F$6,'[D Finanzen.xlsx]D Finanzen'!$B$8:$B$16,4))</f>
        <v/>
      </c>
      <c r="J24" s="6">
        <f>IF(COUNTIFS('[Import Monatsdaten.xlsx]Import Monatsdaten'!$C$7:$C$8,'[Steuerung.xlsx]Steuerung'!$F$6,'[Import Monatsdaten.xlsx]Import Monatsdaten'!$D$7:$D$8,5)&gt;0,SUMIFS('[Import Monatsdaten.xlsx]Import Monatsdaten'!$M$7:$M$8,'[Import Monatsdaten.xlsx]Import Monatsdaten'!$C$7:$C$8,'[Steuerung.xlsx]Steuerung'!$F$6,'[Import Monatsdaten.xlsx]Import Monatsdaten'!$D$7:$D$8,5),SUMIFS('[D Finanzen.xlsx]D Finanzen'!$G$8:$G$16,'[D Finanzen.xlsx]D Finanzen'!$A$8:$A$16,'[Steuerung.xlsx]Steuerung'!$F$6,'[D Finanzen.xlsx]D Finanzen'!$B$8:$B$16,5))</f>
        <v/>
      </c>
      <c r="K24" s="6">
        <f>IF(COUNTIFS('[Import Monatsdaten.xlsx]Import Monatsdaten'!$C$7:$C$8,'[Steuerung.xlsx]Steuerung'!$F$6,'[Import Monatsdaten.xlsx]Import Monatsdaten'!$D$7:$D$8,6)&gt;0,SUMIFS('[Import Monatsdaten.xlsx]Import Monatsdaten'!$M$7:$M$8,'[Import Monatsdaten.xlsx]Import Monatsdaten'!$C$7:$C$8,'[Steuerung.xlsx]Steuerung'!$F$6,'[Import Monatsdaten.xlsx]Import Monatsdaten'!$D$7:$D$8,6),SUMIFS('[D Finanzen.xlsx]D Finanzen'!$G$8:$G$16,'[D Finanzen.xlsx]D Finanzen'!$A$8:$A$16,'[Steuerung.xlsx]Steuerung'!$F$6,'[D Finanzen.xlsx]D Finanzen'!$B$8:$B$16,6))</f>
        <v/>
      </c>
      <c r="L24" s="6">
        <f>IF(COUNTIFS('[Import Monatsdaten.xlsx]Import Monatsdaten'!$C$7:$C$8,'[Steuerung.xlsx]Steuerung'!$F$6,'[Import Monatsdaten.xlsx]Import Monatsdaten'!$D$7:$D$8,7)&gt;0,SUMIFS('[Import Monatsdaten.xlsx]Import Monatsdaten'!$M$7:$M$8,'[Import Monatsdaten.xlsx]Import Monatsdaten'!$C$7:$C$8,'[Steuerung.xlsx]Steuerung'!$F$6,'[Import Monatsdaten.xlsx]Import Monatsdaten'!$D$7:$D$8,7),SUMIFS('[D Finanzen.xlsx]D Finanzen'!$G$8:$G$16,'[D Finanzen.xlsx]D Finanzen'!$A$8:$A$16,'[Steuerung.xlsx]Steuerung'!$F$6,'[D Finanzen.xlsx]D Finanzen'!$B$8:$B$16,7))</f>
        <v/>
      </c>
      <c r="M24" s="6">
        <f>IF(COUNTIFS('[Import Monatsdaten.xlsx]Import Monatsdaten'!$C$7:$C$8,'[Steuerung.xlsx]Steuerung'!$F$6,'[Import Monatsdaten.xlsx]Import Monatsdaten'!$D$7:$D$8,8)&gt;0,SUMIFS('[Import Monatsdaten.xlsx]Import Monatsdaten'!$M$7:$M$8,'[Import Monatsdaten.xlsx]Import Monatsdaten'!$C$7:$C$8,'[Steuerung.xlsx]Steuerung'!$F$6,'[Import Monatsdaten.xlsx]Import Monatsdaten'!$D$7:$D$8,8),SUMIFS('[D Finanzen.xlsx]D Finanzen'!$G$8:$G$16,'[D Finanzen.xlsx]D Finanzen'!$A$8:$A$16,'[Steuerung.xlsx]Steuerung'!$F$6,'[D Finanzen.xlsx]D Finanzen'!$B$8:$B$16,8))</f>
        <v/>
      </c>
      <c r="N24" s="6">
        <f>IF(COUNTIFS('[Import Monatsdaten.xlsx]Import Monatsdaten'!$C$7:$C$8,'[Steuerung.xlsx]Steuerung'!$F$6,'[Import Monatsdaten.xlsx]Import Monatsdaten'!$D$7:$D$8,9)&gt;0,SUMIFS('[Import Monatsdaten.xlsx]Import Monatsdaten'!$M$7:$M$8,'[Import Monatsdaten.xlsx]Import Monatsdaten'!$C$7:$C$8,'[Steuerung.xlsx]Steuerung'!$F$6,'[Import Monatsdaten.xlsx]Import Monatsdaten'!$D$7:$D$8,9),SUMIFS('[D Finanzen.xlsx]D Finanzen'!$G$8:$G$16,'[D Finanzen.xlsx]D Finanzen'!$A$8:$A$16,'[Steuerung.xlsx]Steuerung'!$F$6,'[D Finanzen.xlsx]D Finanzen'!$B$8:$B$16,9))</f>
        <v/>
      </c>
      <c r="O24" s="6">
        <f>IF(COUNTIFS('[Import Monatsdaten.xlsx]Import Monatsdaten'!$C$7:$C$8,'[Steuerung.xlsx]Steuerung'!$F$6,'[Import Monatsdaten.xlsx]Import Monatsdaten'!$D$7:$D$8,10)&gt;0,SUMIFS('[Import Monatsdaten.xlsx]Import Monatsdaten'!$M$7:$M$8,'[Import Monatsdaten.xlsx]Import Monatsdaten'!$C$7:$C$8,'[Steuerung.xlsx]Steuerung'!$F$6,'[Import Monatsdaten.xlsx]Import Monatsdaten'!$D$7:$D$8,10),SUMIFS('[D Finanzen.xlsx]D Finanzen'!$G$8:$G$16,'[D Finanzen.xlsx]D Finanzen'!$A$8:$A$16,'[Steuerung.xlsx]Steuerung'!$F$6,'[D Finanzen.xlsx]D Finanzen'!$B$8:$B$16,10))</f>
        <v/>
      </c>
      <c r="P24" s="6">
        <f>IF(COUNTIFS('[Import Monatsdaten.xlsx]Import Monatsdaten'!$C$7:$C$8,'[Steuerung.xlsx]Steuerung'!$F$6,'[Import Monatsdaten.xlsx]Import Monatsdaten'!$D$7:$D$8,11)&gt;0,SUMIFS('[Import Monatsdaten.xlsx]Import Monatsdaten'!$M$7:$M$8,'[Import Monatsdaten.xlsx]Import Monatsdaten'!$C$7:$C$8,'[Steuerung.xlsx]Steuerung'!$F$6,'[Import Monatsdaten.xlsx]Import Monatsdaten'!$D$7:$D$8,11),SUMIFS('[D Finanzen.xlsx]D Finanzen'!$G$8:$G$16,'[D Finanzen.xlsx]D Finanzen'!$A$8:$A$16,'[Steuerung.xlsx]Steuerung'!$F$6,'[D Finanzen.xlsx]D Finanzen'!$B$8:$B$16,11))</f>
        <v/>
      </c>
      <c r="Q24" s="6">
        <f>IF(COUNTIFS('[Import Monatsdaten.xlsx]Import Monatsdaten'!$C$7:$C$8,'[Steuerung.xlsx]Steuerung'!$F$6,'[Import Monatsdaten.xlsx]Import Monatsdaten'!$D$7:$D$8,12)&gt;0,SUMIFS('[Import Monatsdaten.xlsx]Import Monatsdaten'!$M$7:$M$8,'[Import Monatsdaten.xlsx]Import Monatsdaten'!$C$7:$C$8,'[Steuerung.xlsx]Steuerung'!$F$6,'[Import Monatsdaten.xlsx]Import Monatsdaten'!$D$7:$D$8,12),SUMIFS('[D Finanzen.xlsx]D Finanzen'!$G$8:$G$16,'[D Finanzen.xlsx]D Finanzen'!$A$8:$A$16,'[Steuerung.xlsx]Steuerung'!$F$6,'[D Finanzen.xlsx]D Finanzen'!$B$8:$B$16,12))</f>
        <v/>
      </c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GuV.xlsx</t>
        </is>
      </c>
    </row>
    <row r="65">
      <c r="C65" t="inlineStr">
        <is>
          <t>Liest aus</t>
        </is>
      </c>
      <c r="D65" t="inlineStr">
        <is>
          <t>D Finanzen.xlsx</t>
        </is>
      </c>
      <c r="E65" t="inlineStr">
        <is>
          <t>D Finanzen</t>
        </is>
      </c>
    </row>
    <row r="66">
      <c r="C66" t="inlineStr">
        <is>
          <t>Liest aus</t>
        </is>
      </c>
      <c r="D66" t="inlineStr">
        <is>
          <t>Import Monatsdaten.xlsx</t>
        </is>
      </c>
      <c r="E66" t="inlineStr">
        <is>
          <t>Import Monatsdaten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2">
    <mergeCell ref="C2:R2"/>
    <mergeCell ref="C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2026-10-12T08:21:43Z</dcterms:created>
  <dcterms:modified xsi:type="dcterms:W3CDTF">2026-10-12T08:21:44Z</dcterms:modified>
</cp:coreProperties>
</file>