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\(#,##0\);&quot;–&quot;"/>
  </numFmts>
  <fonts count="9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color rgb="FF00804A"/>
      <sz val="10"/>
    </font>
    <font>
      <name val="Arial"/>
      <family val="2"/>
      <b val="1"/>
      <color rgb="FF1E293B"/>
      <sz val="10"/>
    </font>
    <font>
      <name val="Arial"/>
      <family val="2"/>
      <b val="1"/>
      <color rgb="FF00804A"/>
      <sz val="10"/>
    </font>
  </fonts>
  <fills count="5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EFF6FF"/>
      </patternFill>
    </fill>
    <fill>
      <patternFill patternType="solid">
        <fgColor rgb="FFF0F4F8"/>
      </patternFill>
    </fill>
  </fills>
  <borders count="3">
    <border>
      <left/>
      <right/>
      <top/>
      <bottom/>
      <diagonal/>
    </border>
    <border>
      <left/>
      <right/>
      <top/>
      <bottom style="thin">
        <color rgb="FF2563EB"/>
      </bottom>
      <diagonal/>
    </border>
    <border>
      <left/>
      <right/>
      <top style="thin">
        <color rgb="FFCBD5E1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right" vertical="center"/>
    </xf>
    <xf numFmtId="0" fontId="7" fillId="3" borderId="2" applyAlignment="1" pivotButton="0" quotePrefix="0" xfId="0">
      <alignment vertical="center"/>
    </xf>
    <xf numFmtId="164" fontId="8" fillId="3" borderId="2" applyAlignment="1" pivotButton="0" quotePrefix="0" xfId="0">
      <alignment horizontal="right" vertical="center"/>
    </xf>
    <xf numFmtId="0" fontId="7" fillId="4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" fillId="0" borderId="0" pivotButton="0" quotePrefix="0" xfId="0"/>
    <xf numFmtId="164" fontId="6" fillId="0" borderId="0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85" displayName="TVF_85" ref="C26:H188" headerRowCount="1">
  <tableColumns count="6">
    <tableColumn id="1" name="Kostenart"/>
    <tableColumn id="2" name="Bezeichnung"/>
    <tableColumn id="3" name="KLR-Gruppe"/>
    <tableColumn id="4" name="DB-Stufe"/>
    <tableColumn id="5" name="YTD-Wert"/>
    <tableColumn id="6" name="Bele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38" customWidth="1" min="3" max="3"/>
    <col width="44" customWidth="1" min="4" max="4"/>
    <col width="1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30" customHeight="1">
      <c r="A2" s="1" t="n"/>
      <c r="B2" s="1" t="n"/>
      <c r="C2" s="2" t="inlineStr">
        <is>
          <t>Kosten- und Leistungsrechnung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</row>
    <row r="3" ht="32" customHeight="1">
      <c r="A3" s="1" t="n"/>
      <c r="B3" s="1" t="n"/>
      <c r="C3" s="4" t="inlineStr">
        <is>
          <t>DB1 bis DB4 aus Leistung, direkten Kosten, Gemeinkosten und Entlastungen. Beträge in EUR.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 ht="34" customHeight="1">
      <c r="A6" s="1" t="n"/>
      <c r="B6" s="1" t="n"/>
      <c r="C6" s="5" t="inlineStr">
        <is>
          <t>Monat</t>
        </is>
      </c>
      <c r="D6" s="5" t="inlineStr">
        <is>
          <t>Leistung</t>
        </is>
      </c>
      <c r="E6" s="5" t="inlineStr">
        <is>
          <t>Variable Kosten</t>
        </is>
      </c>
      <c r="F6" s="5" t="inlineStr">
        <is>
          <t>Fixe Projektkosten</t>
        </is>
      </c>
      <c r="G6" s="5" t="inlineStr">
        <is>
          <t>Verrechnete GK</t>
        </is>
      </c>
      <c r="H6" s="5" t="inlineStr">
        <is>
          <t>DB1</t>
        </is>
      </c>
      <c r="I6" s="5" t="inlineStr">
        <is>
          <t>DB2</t>
        </is>
      </c>
      <c r="J6" s="5" t="inlineStr">
        <is>
          <t>DB3</t>
        </is>
      </c>
      <c r="K6" s="5" t="inlineStr">
        <is>
          <t>Bereichs-Differenz</t>
        </is>
      </c>
      <c r="L6" s="5" t="inlineStr">
        <is>
          <t>Zentral-Differenz</t>
        </is>
      </c>
      <c r="M6" s="5" t="inlineStr">
        <is>
          <t>DB4</t>
        </is>
      </c>
      <c r="N6" s="5" t="inlineStr">
        <is>
          <t>Neutral</t>
        </is>
      </c>
      <c r="O6" s="5" t="inlineStr">
        <is>
          <t>Ergebnis</t>
        </is>
      </c>
      <c r="P6" s="1" t="n"/>
      <c r="Q6" s="1" t="n"/>
      <c r="R6" s="1" t="n"/>
    </row>
    <row r="7">
      <c r="A7" s="1" t="n"/>
      <c r="B7" s="1" t="n"/>
      <c r="C7" s="1" t="n">
        <v>1</v>
      </c>
      <c r="D7" s="6">
        <f>IF(COUNTIFS('[D KLR.xlsx]D KLR'!$A$8:$A$16,'[Steuerung.xlsx]Steuerung'!$F$6,'[D KLR.xlsx]D KLR'!$B$8:$B$16,C7)=0,"",SUMIFS('[D KLR.xlsx]D KLR'!$C$8:$C$16,'[D KLR.xlsx]D KLR'!$A$8:$A$16,'[Steuerung.xlsx]Steuerung'!$F$6,'[D KLR.xlsx]D KLR'!$B$8:$B$16,C7))</f>
        <v/>
      </c>
      <c r="E7" s="6">
        <f>IF(COUNTIFS('[D KLR.xlsx]D KLR'!$A$8:$A$16,'[Steuerung.xlsx]Steuerung'!$F$6,'[D KLR.xlsx]D KLR'!$B$8:$B$16,C7)=0,"",SUMIFS('[D KLR.xlsx]D KLR'!$D$8:$D$16,'[D KLR.xlsx]D KLR'!$A$8:$A$16,'[Steuerung.xlsx]Steuerung'!$F$6,'[D KLR.xlsx]D KLR'!$B$8:$B$16,C7))</f>
        <v/>
      </c>
      <c r="F7" s="6">
        <f>IF(COUNTIFS('[D KLR.xlsx]D KLR'!$A$8:$A$16,'[Steuerung.xlsx]Steuerung'!$F$6,'[D KLR.xlsx]D KLR'!$B$8:$B$16,C7)=0,"",SUMIFS('[D KLR.xlsx]D KLR'!$E$8:$E$16,'[D KLR.xlsx]D KLR'!$A$8:$A$16,'[Steuerung.xlsx]Steuerung'!$F$6,'[D KLR.xlsx]D KLR'!$B$8:$B$16,C7))</f>
        <v/>
      </c>
      <c r="G7" s="6">
        <f>IF(COUNTIFS('[D KLR.xlsx]D KLR'!$A$8:$A$16,'[Steuerung.xlsx]Steuerung'!$F$6,'[D KLR.xlsx]D KLR'!$B$8:$B$16,C7)=0,"",SUMIFS('[D KLR.xlsx]D KLR'!$F$8:$F$16,'[D KLR.xlsx]D KLR'!$A$8:$A$16,'[Steuerung.xlsx]Steuerung'!$F$6,'[D KLR.xlsx]D KLR'!$B$8:$B$16,C7))</f>
        <v/>
      </c>
      <c r="H7" s="7">
        <f>IF(ISNUMBER(D7),D7-E7,"")</f>
        <v/>
      </c>
      <c r="I7" s="7">
        <f>IF(ISNUMBER(D7),H7-F7,"")</f>
        <v/>
      </c>
      <c r="J7" s="7">
        <f>IF(ISNUMBER(D7),I7-G7,"")</f>
        <v/>
      </c>
      <c r="K7" s="6">
        <f>IF(COUNTIFS('[D KLR.xlsx]D KLR'!$A$8:$A$16,'[Steuerung.xlsx]Steuerung'!$F$6,'[D KLR.xlsx]D KLR'!$B$8:$B$16,C7)=0,"",SUMIFS('[D KLR.xlsx]D KLR'!$I$8:$I$16,'[D KLR.xlsx]D KLR'!$A$8:$A$16,'[Steuerung.xlsx]Steuerung'!$F$6,'[D KLR.xlsx]D KLR'!$B$8:$B$16,C7))</f>
        <v/>
      </c>
      <c r="L7" s="6">
        <f>IF(COUNTIFS('[D KLR.xlsx]D KLR'!$A$8:$A$16,'[Steuerung.xlsx]Steuerung'!$F$6,'[D KLR.xlsx]D KLR'!$B$8:$B$16,C7)=0,"",SUMIFS('[D KLR.xlsx]D KLR'!$L$8:$L$16,'[D KLR.xlsx]D KLR'!$A$8:$A$16,'[Steuerung.xlsx]Steuerung'!$F$6,'[D KLR.xlsx]D KLR'!$B$8:$B$16,C7))</f>
        <v/>
      </c>
      <c r="M7" s="7">
        <f>IF(ISNUMBER(D7),J7-K7-L7,"")</f>
        <v/>
      </c>
      <c r="N7" s="6">
        <f>IF(COUNTIFS('[D KLR.xlsx]D KLR'!$A$8:$A$16,'[Steuerung.xlsx]Steuerung'!$F$6,'[D KLR.xlsx]D KLR'!$B$8:$B$16,C7)=0,"",SUMIFS('[D KLR.xlsx]D KLR'!$M$8:$M$16,'[D KLR.xlsx]D KLR'!$A$8:$A$16,'[Steuerung.xlsx]Steuerung'!$F$6,'[D KLR.xlsx]D KLR'!$B$8:$B$16,C7))</f>
        <v/>
      </c>
      <c r="O7" s="7">
        <f>IF(ISNUMBER(D7),M7-N7,"")</f>
        <v/>
      </c>
      <c r="P7" s="1" t="n"/>
      <c r="Q7" s="1" t="n"/>
      <c r="R7" s="1" t="n"/>
    </row>
    <row r="8">
      <c r="A8" s="1" t="n"/>
      <c r="B8" s="1" t="n"/>
      <c r="C8" s="1" t="n">
        <v>2</v>
      </c>
      <c r="D8" s="6">
        <f>IF(COUNTIFS('[D KLR.xlsx]D KLR'!$A$8:$A$16,'[Steuerung.xlsx]Steuerung'!$F$6,'[D KLR.xlsx]D KLR'!$B$8:$B$16,C8)=0,"",SUMIFS('[D KLR.xlsx]D KLR'!$C$8:$C$16,'[D KLR.xlsx]D KLR'!$A$8:$A$16,'[Steuerung.xlsx]Steuerung'!$F$6,'[D KLR.xlsx]D KLR'!$B$8:$B$16,C8))</f>
        <v/>
      </c>
      <c r="E8" s="6">
        <f>IF(COUNTIFS('[D KLR.xlsx]D KLR'!$A$8:$A$16,'[Steuerung.xlsx]Steuerung'!$F$6,'[D KLR.xlsx]D KLR'!$B$8:$B$16,C8)=0,"",SUMIFS('[D KLR.xlsx]D KLR'!$D$8:$D$16,'[D KLR.xlsx]D KLR'!$A$8:$A$16,'[Steuerung.xlsx]Steuerung'!$F$6,'[D KLR.xlsx]D KLR'!$B$8:$B$16,C8))</f>
        <v/>
      </c>
      <c r="F8" s="6">
        <f>IF(COUNTIFS('[D KLR.xlsx]D KLR'!$A$8:$A$16,'[Steuerung.xlsx]Steuerung'!$F$6,'[D KLR.xlsx]D KLR'!$B$8:$B$16,C8)=0,"",SUMIFS('[D KLR.xlsx]D KLR'!$E$8:$E$16,'[D KLR.xlsx]D KLR'!$A$8:$A$16,'[Steuerung.xlsx]Steuerung'!$F$6,'[D KLR.xlsx]D KLR'!$B$8:$B$16,C8))</f>
        <v/>
      </c>
      <c r="G8" s="6">
        <f>IF(COUNTIFS('[D KLR.xlsx]D KLR'!$A$8:$A$16,'[Steuerung.xlsx]Steuerung'!$F$6,'[D KLR.xlsx]D KLR'!$B$8:$B$16,C8)=0,"",SUMIFS('[D KLR.xlsx]D KLR'!$F$8:$F$16,'[D KLR.xlsx]D KLR'!$A$8:$A$16,'[Steuerung.xlsx]Steuerung'!$F$6,'[D KLR.xlsx]D KLR'!$B$8:$B$16,C8))</f>
        <v/>
      </c>
      <c r="H8" s="7">
        <f>IF(ISNUMBER(D8),D8-E8,"")</f>
        <v/>
      </c>
      <c r="I8" s="7">
        <f>IF(ISNUMBER(D8),H8-F8,"")</f>
        <v/>
      </c>
      <c r="J8" s="7">
        <f>IF(ISNUMBER(D8),I8-G8,"")</f>
        <v/>
      </c>
      <c r="K8" s="6">
        <f>IF(COUNTIFS('[D KLR.xlsx]D KLR'!$A$8:$A$16,'[Steuerung.xlsx]Steuerung'!$F$6,'[D KLR.xlsx]D KLR'!$B$8:$B$16,C8)=0,"",SUMIFS('[D KLR.xlsx]D KLR'!$I$8:$I$16,'[D KLR.xlsx]D KLR'!$A$8:$A$16,'[Steuerung.xlsx]Steuerung'!$F$6,'[D KLR.xlsx]D KLR'!$B$8:$B$16,C8))</f>
        <v/>
      </c>
      <c r="L8" s="6">
        <f>IF(COUNTIFS('[D KLR.xlsx]D KLR'!$A$8:$A$16,'[Steuerung.xlsx]Steuerung'!$F$6,'[D KLR.xlsx]D KLR'!$B$8:$B$16,C8)=0,"",SUMIFS('[D KLR.xlsx]D KLR'!$L$8:$L$16,'[D KLR.xlsx]D KLR'!$A$8:$A$16,'[Steuerung.xlsx]Steuerung'!$F$6,'[D KLR.xlsx]D KLR'!$B$8:$B$16,C8))</f>
        <v/>
      </c>
      <c r="M8" s="7">
        <f>IF(ISNUMBER(D8),J8-K8-L8,"")</f>
        <v/>
      </c>
      <c r="N8" s="6">
        <f>IF(COUNTIFS('[D KLR.xlsx]D KLR'!$A$8:$A$16,'[Steuerung.xlsx]Steuerung'!$F$6,'[D KLR.xlsx]D KLR'!$B$8:$B$16,C8)=0,"",SUMIFS('[D KLR.xlsx]D KLR'!$M$8:$M$16,'[D KLR.xlsx]D KLR'!$A$8:$A$16,'[Steuerung.xlsx]Steuerung'!$F$6,'[D KLR.xlsx]D KLR'!$B$8:$B$16,C8))</f>
        <v/>
      </c>
      <c r="O8" s="7">
        <f>IF(ISNUMBER(D8),M8-N8,"")</f>
        <v/>
      </c>
      <c r="P8" s="1" t="n"/>
      <c r="Q8" s="1" t="n"/>
      <c r="R8" s="1" t="n"/>
    </row>
    <row r="9">
      <c r="A9" s="1" t="n"/>
      <c r="B9" s="1" t="n"/>
      <c r="C9" s="1" t="n">
        <v>3</v>
      </c>
      <c r="D9" s="6">
        <f>IF(COUNTIFS('[D KLR.xlsx]D KLR'!$A$8:$A$16,'[Steuerung.xlsx]Steuerung'!$F$6,'[D KLR.xlsx]D KLR'!$B$8:$B$16,C9)=0,"",SUMIFS('[D KLR.xlsx]D KLR'!$C$8:$C$16,'[D KLR.xlsx]D KLR'!$A$8:$A$16,'[Steuerung.xlsx]Steuerung'!$F$6,'[D KLR.xlsx]D KLR'!$B$8:$B$16,C9))</f>
        <v/>
      </c>
      <c r="E9" s="6">
        <f>IF(COUNTIFS('[D KLR.xlsx]D KLR'!$A$8:$A$16,'[Steuerung.xlsx]Steuerung'!$F$6,'[D KLR.xlsx]D KLR'!$B$8:$B$16,C9)=0,"",SUMIFS('[D KLR.xlsx]D KLR'!$D$8:$D$16,'[D KLR.xlsx]D KLR'!$A$8:$A$16,'[Steuerung.xlsx]Steuerung'!$F$6,'[D KLR.xlsx]D KLR'!$B$8:$B$16,C9))</f>
        <v/>
      </c>
      <c r="F9" s="6">
        <f>IF(COUNTIFS('[D KLR.xlsx]D KLR'!$A$8:$A$16,'[Steuerung.xlsx]Steuerung'!$F$6,'[D KLR.xlsx]D KLR'!$B$8:$B$16,C9)=0,"",SUMIFS('[D KLR.xlsx]D KLR'!$E$8:$E$16,'[D KLR.xlsx]D KLR'!$A$8:$A$16,'[Steuerung.xlsx]Steuerung'!$F$6,'[D KLR.xlsx]D KLR'!$B$8:$B$16,C9))</f>
        <v/>
      </c>
      <c r="G9" s="6">
        <f>IF(COUNTIFS('[D KLR.xlsx]D KLR'!$A$8:$A$16,'[Steuerung.xlsx]Steuerung'!$F$6,'[D KLR.xlsx]D KLR'!$B$8:$B$16,C9)=0,"",SUMIFS('[D KLR.xlsx]D KLR'!$F$8:$F$16,'[D KLR.xlsx]D KLR'!$A$8:$A$16,'[Steuerung.xlsx]Steuerung'!$F$6,'[D KLR.xlsx]D KLR'!$B$8:$B$16,C9))</f>
        <v/>
      </c>
      <c r="H9" s="7">
        <f>IF(ISNUMBER(D9),D9-E9,"")</f>
        <v/>
      </c>
      <c r="I9" s="7">
        <f>IF(ISNUMBER(D9),H9-F9,"")</f>
        <v/>
      </c>
      <c r="J9" s="7">
        <f>IF(ISNUMBER(D9),I9-G9,"")</f>
        <v/>
      </c>
      <c r="K9" s="6">
        <f>IF(COUNTIFS('[D KLR.xlsx]D KLR'!$A$8:$A$16,'[Steuerung.xlsx]Steuerung'!$F$6,'[D KLR.xlsx]D KLR'!$B$8:$B$16,C9)=0,"",SUMIFS('[D KLR.xlsx]D KLR'!$I$8:$I$16,'[D KLR.xlsx]D KLR'!$A$8:$A$16,'[Steuerung.xlsx]Steuerung'!$F$6,'[D KLR.xlsx]D KLR'!$B$8:$B$16,C9))</f>
        <v/>
      </c>
      <c r="L9" s="6">
        <f>IF(COUNTIFS('[D KLR.xlsx]D KLR'!$A$8:$A$16,'[Steuerung.xlsx]Steuerung'!$F$6,'[D KLR.xlsx]D KLR'!$B$8:$B$16,C9)=0,"",SUMIFS('[D KLR.xlsx]D KLR'!$L$8:$L$16,'[D KLR.xlsx]D KLR'!$A$8:$A$16,'[Steuerung.xlsx]Steuerung'!$F$6,'[D KLR.xlsx]D KLR'!$B$8:$B$16,C9))</f>
        <v/>
      </c>
      <c r="M9" s="7">
        <f>IF(ISNUMBER(D9),J9-K9-L9,"")</f>
        <v/>
      </c>
      <c r="N9" s="6">
        <f>IF(COUNTIFS('[D KLR.xlsx]D KLR'!$A$8:$A$16,'[Steuerung.xlsx]Steuerung'!$F$6,'[D KLR.xlsx]D KLR'!$B$8:$B$16,C9)=0,"",SUMIFS('[D KLR.xlsx]D KLR'!$M$8:$M$16,'[D KLR.xlsx]D KLR'!$A$8:$A$16,'[Steuerung.xlsx]Steuerung'!$F$6,'[D KLR.xlsx]D KLR'!$B$8:$B$16,C9))</f>
        <v/>
      </c>
      <c r="O9" s="7">
        <f>IF(ISNUMBER(D9),M9-N9,"")</f>
        <v/>
      </c>
      <c r="P9" s="1" t="n"/>
      <c r="Q9" s="1" t="n"/>
      <c r="R9" s="1" t="n"/>
    </row>
    <row r="10">
      <c r="A10" s="1" t="n"/>
      <c r="B10" s="1" t="n"/>
      <c r="C10" s="1" t="n">
        <v>4</v>
      </c>
      <c r="D10" s="6">
        <f>IF(COUNTIFS('[D KLR.xlsx]D KLR'!$A$8:$A$16,'[Steuerung.xlsx]Steuerung'!$F$6,'[D KLR.xlsx]D KLR'!$B$8:$B$16,C10)=0,"",SUMIFS('[D KLR.xlsx]D KLR'!$C$8:$C$16,'[D KLR.xlsx]D KLR'!$A$8:$A$16,'[Steuerung.xlsx]Steuerung'!$F$6,'[D KLR.xlsx]D KLR'!$B$8:$B$16,C10))</f>
        <v/>
      </c>
      <c r="E10" s="6">
        <f>IF(COUNTIFS('[D KLR.xlsx]D KLR'!$A$8:$A$16,'[Steuerung.xlsx]Steuerung'!$F$6,'[D KLR.xlsx]D KLR'!$B$8:$B$16,C10)=0,"",SUMIFS('[D KLR.xlsx]D KLR'!$D$8:$D$16,'[D KLR.xlsx]D KLR'!$A$8:$A$16,'[Steuerung.xlsx]Steuerung'!$F$6,'[D KLR.xlsx]D KLR'!$B$8:$B$16,C10))</f>
        <v/>
      </c>
      <c r="F10" s="6">
        <f>IF(COUNTIFS('[D KLR.xlsx]D KLR'!$A$8:$A$16,'[Steuerung.xlsx]Steuerung'!$F$6,'[D KLR.xlsx]D KLR'!$B$8:$B$16,C10)=0,"",SUMIFS('[D KLR.xlsx]D KLR'!$E$8:$E$16,'[D KLR.xlsx]D KLR'!$A$8:$A$16,'[Steuerung.xlsx]Steuerung'!$F$6,'[D KLR.xlsx]D KLR'!$B$8:$B$16,C10))</f>
        <v/>
      </c>
      <c r="G10" s="6">
        <f>IF(COUNTIFS('[D KLR.xlsx]D KLR'!$A$8:$A$16,'[Steuerung.xlsx]Steuerung'!$F$6,'[D KLR.xlsx]D KLR'!$B$8:$B$16,C10)=0,"",SUMIFS('[D KLR.xlsx]D KLR'!$F$8:$F$16,'[D KLR.xlsx]D KLR'!$A$8:$A$16,'[Steuerung.xlsx]Steuerung'!$F$6,'[D KLR.xlsx]D KLR'!$B$8:$B$16,C10))</f>
        <v/>
      </c>
      <c r="H10" s="7">
        <f>IF(ISNUMBER(D10),D10-E10,"")</f>
        <v/>
      </c>
      <c r="I10" s="7">
        <f>IF(ISNUMBER(D10),H10-F10,"")</f>
        <v/>
      </c>
      <c r="J10" s="7">
        <f>IF(ISNUMBER(D10),I10-G10,"")</f>
        <v/>
      </c>
      <c r="K10" s="6">
        <f>IF(COUNTIFS('[D KLR.xlsx]D KLR'!$A$8:$A$16,'[Steuerung.xlsx]Steuerung'!$F$6,'[D KLR.xlsx]D KLR'!$B$8:$B$16,C10)=0,"",SUMIFS('[D KLR.xlsx]D KLR'!$I$8:$I$16,'[D KLR.xlsx]D KLR'!$A$8:$A$16,'[Steuerung.xlsx]Steuerung'!$F$6,'[D KLR.xlsx]D KLR'!$B$8:$B$16,C10))</f>
        <v/>
      </c>
      <c r="L10" s="6">
        <f>IF(COUNTIFS('[D KLR.xlsx]D KLR'!$A$8:$A$16,'[Steuerung.xlsx]Steuerung'!$F$6,'[D KLR.xlsx]D KLR'!$B$8:$B$16,C10)=0,"",SUMIFS('[D KLR.xlsx]D KLR'!$L$8:$L$16,'[D KLR.xlsx]D KLR'!$A$8:$A$16,'[Steuerung.xlsx]Steuerung'!$F$6,'[D KLR.xlsx]D KLR'!$B$8:$B$16,C10))</f>
        <v/>
      </c>
      <c r="M10" s="7">
        <f>IF(ISNUMBER(D10),J10-K10-L10,"")</f>
        <v/>
      </c>
      <c r="N10" s="6">
        <f>IF(COUNTIFS('[D KLR.xlsx]D KLR'!$A$8:$A$16,'[Steuerung.xlsx]Steuerung'!$F$6,'[D KLR.xlsx]D KLR'!$B$8:$B$16,C10)=0,"",SUMIFS('[D KLR.xlsx]D KLR'!$M$8:$M$16,'[D KLR.xlsx]D KLR'!$A$8:$A$16,'[Steuerung.xlsx]Steuerung'!$F$6,'[D KLR.xlsx]D KLR'!$B$8:$B$16,C10))</f>
        <v/>
      </c>
      <c r="O10" s="7">
        <f>IF(ISNUMBER(D10),M10-N10,"")</f>
        <v/>
      </c>
      <c r="P10" s="1" t="n"/>
      <c r="Q10" s="1" t="n"/>
      <c r="R10" s="1" t="n"/>
    </row>
    <row r="11">
      <c r="A11" s="1" t="n"/>
      <c r="B11" s="1" t="n"/>
      <c r="C11" s="1" t="n">
        <v>5</v>
      </c>
      <c r="D11" s="6">
        <f>IF(COUNTIFS('[D KLR.xlsx]D KLR'!$A$8:$A$16,'[Steuerung.xlsx]Steuerung'!$F$6,'[D KLR.xlsx]D KLR'!$B$8:$B$16,C11)=0,"",SUMIFS('[D KLR.xlsx]D KLR'!$C$8:$C$16,'[D KLR.xlsx]D KLR'!$A$8:$A$16,'[Steuerung.xlsx]Steuerung'!$F$6,'[D KLR.xlsx]D KLR'!$B$8:$B$16,C11))</f>
        <v/>
      </c>
      <c r="E11" s="6">
        <f>IF(COUNTIFS('[D KLR.xlsx]D KLR'!$A$8:$A$16,'[Steuerung.xlsx]Steuerung'!$F$6,'[D KLR.xlsx]D KLR'!$B$8:$B$16,C11)=0,"",SUMIFS('[D KLR.xlsx]D KLR'!$D$8:$D$16,'[D KLR.xlsx]D KLR'!$A$8:$A$16,'[Steuerung.xlsx]Steuerung'!$F$6,'[D KLR.xlsx]D KLR'!$B$8:$B$16,C11))</f>
        <v/>
      </c>
      <c r="F11" s="6">
        <f>IF(COUNTIFS('[D KLR.xlsx]D KLR'!$A$8:$A$16,'[Steuerung.xlsx]Steuerung'!$F$6,'[D KLR.xlsx]D KLR'!$B$8:$B$16,C11)=0,"",SUMIFS('[D KLR.xlsx]D KLR'!$E$8:$E$16,'[D KLR.xlsx]D KLR'!$A$8:$A$16,'[Steuerung.xlsx]Steuerung'!$F$6,'[D KLR.xlsx]D KLR'!$B$8:$B$16,C11))</f>
        <v/>
      </c>
      <c r="G11" s="6">
        <f>IF(COUNTIFS('[D KLR.xlsx]D KLR'!$A$8:$A$16,'[Steuerung.xlsx]Steuerung'!$F$6,'[D KLR.xlsx]D KLR'!$B$8:$B$16,C11)=0,"",SUMIFS('[D KLR.xlsx]D KLR'!$F$8:$F$16,'[D KLR.xlsx]D KLR'!$A$8:$A$16,'[Steuerung.xlsx]Steuerung'!$F$6,'[D KLR.xlsx]D KLR'!$B$8:$B$16,C11))</f>
        <v/>
      </c>
      <c r="H11" s="7">
        <f>IF(ISNUMBER(D11),D11-E11,"")</f>
        <v/>
      </c>
      <c r="I11" s="7">
        <f>IF(ISNUMBER(D11),H11-F11,"")</f>
        <v/>
      </c>
      <c r="J11" s="7">
        <f>IF(ISNUMBER(D11),I11-G11,"")</f>
        <v/>
      </c>
      <c r="K11" s="6">
        <f>IF(COUNTIFS('[D KLR.xlsx]D KLR'!$A$8:$A$16,'[Steuerung.xlsx]Steuerung'!$F$6,'[D KLR.xlsx]D KLR'!$B$8:$B$16,C11)=0,"",SUMIFS('[D KLR.xlsx]D KLR'!$I$8:$I$16,'[D KLR.xlsx]D KLR'!$A$8:$A$16,'[Steuerung.xlsx]Steuerung'!$F$6,'[D KLR.xlsx]D KLR'!$B$8:$B$16,C11))</f>
        <v/>
      </c>
      <c r="L11" s="6">
        <f>IF(COUNTIFS('[D KLR.xlsx]D KLR'!$A$8:$A$16,'[Steuerung.xlsx]Steuerung'!$F$6,'[D KLR.xlsx]D KLR'!$B$8:$B$16,C11)=0,"",SUMIFS('[D KLR.xlsx]D KLR'!$L$8:$L$16,'[D KLR.xlsx]D KLR'!$A$8:$A$16,'[Steuerung.xlsx]Steuerung'!$F$6,'[D KLR.xlsx]D KLR'!$B$8:$B$16,C11))</f>
        <v/>
      </c>
      <c r="M11" s="7">
        <f>IF(ISNUMBER(D11),J11-K11-L11,"")</f>
        <v/>
      </c>
      <c r="N11" s="6">
        <f>IF(COUNTIFS('[D KLR.xlsx]D KLR'!$A$8:$A$16,'[Steuerung.xlsx]Steuerung'!$F$6,'[D KLR.xlsx]D KLR'!$B$8:$B$16,C11)=0,"",SUMIFS('[D KLR.xlsx]D KLR'!$M$8:$M$16,'[D KLR.xlsx]D KLR'!$A$8:$A$16,'[Steuerung.xlsx]Steuerung'!$F$6,'[D KLR.xlsx]D KLR'!$B$8:$B$16,C11))</f>
        <v/>
      </c>
      <c r="O11" s="7">
        <f>IF(ISNUMBER(D11),M11-N11,"")</f>
        <v/>
      </c>
      <c r="P11" s="1" t="n"/>
      <c r="Q11" s="1" t="n"/>
      <c r="R11" s="1" t="n"/>
    </row>
    <row r="12">
      <c r="A12" s="1" t="n"/>
      <c r="B12" s="1" t="n"/>
      <c r="C12" s="1" t="n">
        <v>6</v>
      </c>
      <c r="D12" s="6">
        <f>IF(COUNTIFS('[D KLR.xlsx]D KLR'!$A$8:$A$16,'[Steuerung.xlsx]Steuerung'!$F$6,'[D KLR.xlsx]D KLR'!$B$8:$B$16,C12)=0,"",SUMIFS('[D KLR.xlsx]D KLR'!$C$8:$C$16,'[D KLR.xlsx]D KLR'!$A$8:$A$16,'[Steuerung.xlsx]Steuerung'!$F$6,'[D KLR.xlsx]D KLR'!$B$8:$B$16,C12))</f>
        <v/>
      </c>
      <c r="E12" s="6">
        <f>IF(COUNTIFS('[D KLR.xlsx]D KLR'!$A$8:$A$16,'[Steuerung.xlsx]Steuerung'!$F$6,'[D KLR.xlsx]D KLR'!$B$8:$B$16,C12)=0,"",SUMIFS('[D KLR.xlsx]D KLR'!$D$8:$D$16,'[D KLR.xlsx]D KLR'!$A$8:$A$16,'[Steuerung.xlsx]Steuerung'!$F$6,'[D KLR.xlsx]D KLR'!$B$8:$B$16,C12))</f>
        <v/>
      </c>
      <c r="F12" s="6">
        <f>IF(COUNTIFS('[D KLR.xlsx]D KLR'!$A$8:$A$16,'[Steuerung.xlsx]Steuerung'!$F$6,'[D KLR.xlsx]D KLR'!$B$8:$B$16,C12)=0,"",SUMIFS('[D KLR.xlsx]D KLR'!$E$8:$E$16,'[D KLR.xlsx]D KLR'!$A$8:$A$16,'[Steuerung.xlsx]Steuerung'!$F$6,'[D KLR.xlsx]D KLR'!$B$8:$B$16,C12))</f>
        <v/>
      </c>
      <c r="G12" s="6">
        <f>IF(COUNTIFS('[D KLR.xlsx]D KLR'!$A$8:$A$16,'[Steuerung.xlsx]Steuerung'!$F$6,'[D KLR.xlsx]D KLR'!$B$8:$B$16,C12)=0,"",SUMIFS('[D KLR.xlsx]D KLR'!$F$8:$F$16,'[D KLR.xlsx]D KLR'!$A$8:$A$16,'[Steuerung.xlsx]Steuerung'!$F$6,'[D KLR.xlsx]D KLR'!$B$8:$B$16,C12))</f>
        <v/>
      </c>
      <c r="H12" s="7">
        <f>IF(ISNUMBER(D12),D12-E12,"")</f>
        <v/>
      </c>
      <c r="I12" s="7">
        <f>IF(ISNUMBER(D12),H12-F12,"")</f>
        <v/>
      </c>
      <c r="J12" s="7">
        <f>IF(ISNUMBER(D12),I12-G12,"")</f>
        <v/>
      </c>
      <c r="K12" s="6">
        <f>IF(COUNTIFS('[D KLR.xlsx]D KLR'!$A$8:$A$16,'[Steuerung.xlsx]Steuerung'!$F$6,'[D KLR.xlsx]D KLR'!$B$8:$B$16,C12)=0,"",SUMIFS('[D KLR.xlsx]D KLR'!$I$8:$I$16,'[D KLR.xlsx]D KLR'!$A$8:$A$16,'[Steuerung.xlsx]Steuerung'!$F$6,'[D KLR.xlsx]D KLR'!$B$8:$B$16,C12))</f>
        <v/>
      </c>
      <c r="L12" s="6">
        <f>IF(COUNTIFS('[D KLR.xlsx]D KLR'!$A$8:$A$16,'[Steuerung.xlsx]Steuerung'!$F$6,'[D KLR.xlsx]D KLR'!$B$8:$B$16,C12)=0,"",SUMIFS('[D KLR.xlsx]D KLR'!$L$8:$L$16,'[D KLR.xlsx]D KLR'!$A$8:$A$16,'[Steuerung.xlsx]Steuerung'!$F$6,'[D KLR.xlsx]D KLR'!$B$8:$B$16,C12))</f>
        <v/>
      </c>
      <c r="M12" s="7">
        <f>IF(ISNUMBER(D12),J12-K12-L12,"")</f>
        <v/>
      </c>
      <c r="N12" s="6">
        <f>IF(COUNTIFS('[D KLR.xlsx]D KLR'!$A$8:$A$16,'[Steuerung.xlsx]Steuerung'!$F$6,'[D KLR.xlsx]D KLR'!$B$8:$B$16,C12)=0,"",SUMIFS('[D KLR.xlsx]D KLR'!$M$8:$M$16,'[D KLR.xlsx]D KLR'!$A$8:$A$16,'[Steuerung.xlsx]Steuerung'!$F$6,'[D KLR.xlsx]D KLR'!$B$8:$B$16,C12))</f>
        <v/>
      </c>
      <c r="O12" s="7">
        <f>IF(ISNUMBER(D12),M12-N12,"")</f>
        <v/>
      </c>
      <c r="P12" s="1" t="n"/>
      <c r="Q12" s="1" t="n"/>
      <c r="R12" s="1" t="n"/>
    </row>
    <row r="13">
      <c r="A13" s="1" t="n"/>
      <c r="B13" s="1" t="n"/>
      <c r="C13" s="1" t="n">
        <v>7</v>
      </c>
      <c r="D13" s="6">
        <f>IF(COUNTIFS('[D KLR.xlsx]D KLR'!$A$8:$A$16,'[Steuerung.xlsx]Steuerung'!$F$6,'[D KLR.xlsx]D KLR'!$B$8:$B$16,C13)=0,"",SUMIFS('[D KLR.xlsx]D KLR'!$C$8:$C$16,'[D KLR.xlsx]D KLR'!$A$8:$A$16,'[Steuerung.xlsx]Steuerung'!$F$6,'[D KLR.xlsx]D KLR'!$B$8:$B$16,C13))</f>
        <v/>
      </c>
      <c r="E13" s="6">
        <f>IF(COUNTIFS('[D KLR.xlsx]D KLR'!$A$8:$A$16,'[Steuerung.xlsx]Steuerung'!$F$6,'[D KLR.xlsx]D KLR'!$B$8:$B$16,C13)=0,"",SUMIFS('[D KLR.xlsx]D KLR'!$D$8:$D$16,'[D KLR.xlsx]D KLR'!$A$8:$A$16,'[Steuerung.xlsx]Steuerung'!$F$6,'[D KLR.xlsx]D KLR'!$B$8:$B$16,C13))</f>
        <v/>
      </c>
      <c r="F13" s="6">
        <f>IF(COUNTIFS('[D KLR.xlsx]D KLR'!$A$8:$A$16,'[Steuerung.xlsx]Steuerung'!$F$6,'[D KLR.xlsx]D KLR'!$B$8:$B$16,C13)=0,"",SUMIFS('[D KLR.xlsx]D KLR'!$E$8:$E$16,'[D KLR.xlsx]D KLR'!$A$8:$A$16,'[Steuerung.xlsx]Steuerung'!$F$6,'[D KLR.xlsx]D KLR'!$B$8:$B$16,C13))</f>
        <v/>
      </c>
      <c r="G13" s="6">
        <f>IF(COUNTIFS('[D KLR.xlsx]D KLR'!$A$8:$A$16,'[Steuerung.xlsx]Steuerung'!$F$6,'[D KLR.xlsx]D KLR'!$B$8:$B$16,C13)=0,"",SUMIFS('[D KLR.xlsx]D KLR'!$F$8:$F$16,'[D KLR.xlsx]D KLR'!$A$8:$A$16,'[Steuerung.xlsx]Steuerung'!$F$6,'[D KLR.xlsx]D KLR'!$B$8:$B$16,C13))</f>
        <v/>
      </c>
      <c r="H13" s="7">
        <f>IF(ISNUMBER(D13),D13-E13,"")</f>
        <v/>
      </c>
      <c r="I13" s="7">
        <f>IF(ISNUMBER(D13),H13-F13,"")</f>
        <v/>
      </c>
      <c r="J13" s="7">
        <f>IF(ISNUMBER(D13),I13-G13,"")</f>
        <v/>
      </c>
      <c r="K13" s="6">
        <f>IF(COUNTIFS('[D KLR.xlsx]D KLR'!$A$8:$A$16,'[Steuerung.xlsx]Steuerung'!$F$6,'[D KLR.xlsx]D KLR'!$B$8:$B$16,C13)=0,"",SUMIFS('[D KLR.xlsx]D KLR'!$I$8:$I$16,'[D KLR.xlsx]D KLR'!$A$8:$A$16,'[Steuerung.xlsx]Steuerung'!$F$6,'[D KLR.xlsx]D KLR'!$B$8:$B$16,C13))</f>
        <v/>
      </c>
      <c r="L13" s="6">
        <f>IF(COUNTIFS('[D KLR.xlsx]D KLR'!$A$8:$A$16,'[Steuerung.xlsx]Steuerung'!$F$6,'[D KLR.xlsx]D KLR'!$B$8:$B$16,C13)=0,"",SUMIFS('[D KLR.xlsx]D KLR'!$L$8:$L$16,'[D KLR.xlsx]D KLR'!$A$8:$A$16,'[Steuerung.xlsx]Steuerung'!$F$6,'[D KLR.xlsx]D KLR'!$B$8:$B$16,C13))</f>
        <v/>
      </c>
      <c r="M13" s="7">
        <f>IF(ISNUMBER(D13),J13-K13-L13,"")</f>
        <v/>
      </c>
      <c r="N13" s="6">
        <f>IF(COUNTIFS('[D KLR.xlsx]D KLR'!$A$8:$A$16,'[Steuerung.xlsx]Steuerung'!$F$6,'[D KLR.xlsx]D KLR'!$B$8:$B$16,C13)=0,"",SUMIFS('[D KLR.xlsx]D KLR'!$M$8:$M$16,'[D KLR.xlsx]D KLR'!$A$8:$A$16,'[Steuerung.xlsx]Steuerung'!$F$6,'[D KLR.xlsx]D KLR'!$B$8:$B$16,C13))</f>
        <v/>
      </c>
      <c r="O13" s="7">
        <f>IF(ISNUMBER(D13),M13-N13,"")</f>
        <v/>
      </c>
      <c r="P13" s="1" t="n"/>
      <c r="Q13" s="1" t="n"/>
      <c r="R13" s="1" t="n"/>
    </row>
    <row r="14">
      <c r="A14" s="1" t="n"/>
      <c r="B14" s="1" t="n"/>
      <c r="C14" s="1" t="n">
        <v>8</v>
      </c>
      <c r="D14" s="6">
        <f>IF(COUNTIFS('[D KLR.xlsx]D KLR'!$A$8:$A$16,'[Steuerung.xlsx]Steuerung'!$F$6,'[D KLR.xlsx]D KLR'!$B$8:$B$16,C14)=0,"",SUMIFS('[D KLR.xlsx]D KLR'!$C$8:$C$16,'[D KLR.xlsx]D KLR'!$A$8:$A$16,'[Steuerung.xlsx]Steuerung'!$F$6,'[D KLR.xlsx]D KLR'!$B$8:$B$16,C14))</f>
        <v/>
      </c>
      <c r="E14" s="6">
        <f>IF(COUNTIFS('[D KLR.xlsx]D KLR'!$A$8:$A$16,'[Steuerung.xlsx]Steuerung'!$F$6,'[D KLR.xlsx]D KLR'!$B$8:$B$16,C14)=0,"",SUMIFS('[D KLR.xlsx]D KLR'!$D$8:$D$16,'[D KLR.xlsx]D KLR'!$A$8:$A$16,'[Steuerung.xlsx]Steuerung'!$F$6,'[D KLR.xlsx]D KLR'!$B$8:$B$16,C14))</f>
        <v/>
      </c>
      <c r="F14" s="6">
        <f>IF(COUNTIFS('[D KLR.xlsx]D KLR'!$A$8:$A$16,'[Steuerung.xlsx]Steuerung'!$F$6,'[D KLR.xlsx]D KLR'!$B$8:$B$16,C14)=0,"",SUMIFS('[D KLR.xlsx]D KLR'!$E$8:$E$16,'[D KLR.xlsx]D KLR'!$A$8:$A$16,'[Steuerung.xlsx]Steuerung'!$F$6,'[D KLR.xlsx]D KLR'!$B$8:$B$16,C14))</f>
        <v/>
      </c>
      <c r="G14" s="6">
        <f>IF(COUNTIFS('[D KLR.xlsx]D KLR'!$A$8:$A$16,'[Steuerung.xlsx]Steuerung'!$F$6,'[D KLR.xlsx]D KLR'!$B$8:$B$16,C14)=0,"",SUMIFS('[D KLR.xlsx]D KLR'!$F$8:$F$16,'[D KLR.xlsx]D KLR'!$A$8:$A$16,'[Steuerung.xlsx]Steuerung'!$F$6,'[D KLR.xlsx]D KLR'!$B$8:$B$16,C14))</f>
        <v/>
      </c>
      <c r="H14" s="7">
        <f>IF(ISNUMBER(D14),D14-E14,"")</f>
        <v/>
      </c>
      <c r="I14" s="7">
        <f>IF(ISNUMBER(D14),H14-F14,"")</f>
        <v/>
      </c>
      <c r="J14" s="7">
        <f>IF(ISNUMBER(D14),I14-G14,"")</f>
        <v/>
      </c>
      <c r="K14" s="6">
        <f>IF(COUNTIFS('[D KLR.xlsx]D KLR'!$A$8:$A$16,'[Steuerung.xlsx]Steuerung'!$F$6,'[D KLR.xlsx]D KLR'!$B$8:$B$16,C14)=0,"",SUMIFS('[D KLR.xlsx]D KLR'!$I$8:$I$16,'[D KLR.xlsx]D KLR'!$A$8:$A$16,'[Steuerung.xlsx]Steuerung'!$F$6,'[D KLR.xlsx]D KLR'!$B$8:$B$16,C14))</f>
        <v/>
      </c>
      <c r="L14" s="6">
        <f>IF(COUNTIFS('[D KLR.xlsx]D KLR'!$A$8:$A$16,'[Steuerung.xlsx]Steuerung'!$F$6,'[D KLR.xlsx]D KLR'!$B$8:$B$16,C14)=0,"",SUMIFS('[D KLR.xlsx]D KLR'!$L$8:$L$16,'[D KLR.xlsx]D KLR'!$A$8:$A$16,'[Steuerung.xlsx]Steuerung'!$F$6,'[D KLR.xlsx]D KLR'!$B$8:$B$16,C14))</f>
        <v/>
      </c>
      <c r="M14" s="7">
        <f>IF(ISNUMBER(D14),J14-K14-L14,"")</f>
        <v/>
      </c>
      <c r="N14" s="6">
        <f>IF(COUNTIFS('[D KLR.xlsx]D KLR'!$A$8:$A$16,'[Steuerung.xlsx]Steuerung'!$F$6,'[D KLR.xlsx]D KLR'!$B$8:$B$16,C14)=0,"",SUMIFS('[D KLR.xlsx]D KLR'!$M$8:$M$16,'[D KLR.xlsx]D KLR'!$A$8:$A$16,'[Steuerung.xlsx]Steuerung'!$F$6,'[D KLR.xlsx]D KLR'!$B$8:$B$16,C14))</f>
        <v/>
      </c>
      <c r="O14" s="7">
        <f>IF(ISNUMBER(D14),M14-N14,"")</f>
        <v/>
      </c>
      <c r="P14" s="1" t="n"/>
      <c r="Q14" s="1" t="n"/>
      <c r="R14" s="1" t="n"/>
    </row>
    <row r="15">
      <c r="A15" s="1" t="n"/>
      <c r="B15" s="1" t="n"/>
      <c r="C15" s="1" t="n">
        <v>9</v>
      </c>
      <c r="D15" s="6">
        <f>IF(COUNTIFS('[D KLR.xlsx]D KLR'!$A$8:$A$16,'[Steuerung.xlsx]Steuerung'!$F$6,'[D KLR.xlsx]D KLR'!$B$8:$B$16,C15)=0,"",SUMIFS('[D KLR.xlsx]D KLR'!$C$8:$C$16,'[D KLR.xlsx]D KLR'!$A$8:$A$16,'[Steuerung.xlsx]Steuerung'!$F$6,'[D KLR.xlsx]D KLR'!$B$8:$B$16,C15))</f>
        <v/>
      </c>
      <c r="E15" s="6">
        <f>IF(COUNTIFS('[D KLR.xlsx]D KLR'!$A$8:$A$16,'[Steuerung.xlsx]Steuerung'!$F$6,'[D KLR.xlsx]D KLR'!$B$8:$B$16,C15)=0,"",SUMIFS('[D KLR.xlsx]D KLR'!$D$8:$D$16,'[D KLR.xlsx]D KLR'!$A$8:$A$16,'[Steuerung.xlsx]Steuerung'!$F$6,'[D KLR.xlsx]D KLR'!$B$8:$B$16,C15))</f>
        <v/>
      </c>
      <c r="F15" s="6">
        <f>IF(COUNTIFS('[D KLR.xlsx]D KLR'!$A$8:$A$16,'[Steuerung.xlsx]Steuerung'!$F$6,'[D KLR.xlsx]D KLR'!$B$8:$B$16,C15)=0,"",SUMIFS('[D KLR.xlsx]D KLR'!$E$8:$E$16,'[D KLR.xlsx]D KLR'!$A$8:$A$16,'[Steuerung.xlsx]Steuerung'!$F$6,'[D KLR.xlsx]D KLR'!$B$8:$B$16,C15))</f>
        <v/>
      </c>
      <c r="G15" s="6">
        <f>IF(COUNTIFS('[D KLR.xlsx]D KLR'!$A$8:$A$16,'[Steuerung.xlsx]Steuerung'!$F$6,'[D KLR.xlsx]D KLR'!$B$8:$B$16,C15)=0,"",SUMIFS('[D KLR.xlsx]D KLR'!$F$8:$F$16,'[D KLR.xlsx]D KLR'!$A$8:$A$16,'[Steuerung.xlsx]Steuerung'!$F$6,'[D KLR.xlsx]D KLR'!$B$8:$B$16,C15))</f>
        <v/>
      </c>
      <c r="H15" s="7">
        <f>IF(ISNUMBER(D15),D15-E15,"")</f>
        <v/>
      </c>
      <c r="I15" s="7">
        <f>IF(ISNUMBER(D15),H15-F15,"")</f>
        <v/>
      </c>
      <c r="J15" s="7">
        <f>IF(ISNUMBER(D15),I15-G15,"")</f>
        <v/>
      </c>
      <c r="K15" s="6">
        <f>IF(COUNTIFS('[D KLR.xlsx]D KLR'!$A$8:$A$16,'[Steuerung.xlsx]Steuerung'!$F$6,'[D KLR.xlsx]D KLR'!$B$8:$B$16,C15)=0,"",SUMIFS('[D KLR.xlsx]D KLR'!$I$8:$I$16,'[D KLR.xlsx]D KLR'!$A$8:$A$16,'[Steuerung.xlsx]Steuerung'!$F$6,'[D KLR.xlsx]D KLR'!$B$8:$B$16,C15))</f>
        <v/>
      </c>
      <c r="L15" s="6">
        <f>IF(COUNTIFS('[D KLR.xlsx]D KLR'!$A$8:$A$16,'[Steuerung.xlsx]Steuerung'!$F$6,'[D KLR.xlsx]D KLR'!$B$8:$B$16,C15)=0,"",SUMIFS('[D KLR.xlsx]D KLR'!$L$8:$L$16,'[D KLR.xlsx]D KLR'!$A$8:$A$16,'[Steuerung.xlsx]Steuerung'!$F$6,'[D KLR.xlsx]D KLR'!$B$8:$B$16,C15))</f>
        <v/>
      </c>
      <c r="M15" s="7">
        <f>IF(ISNUMBER(D15),J15-K15-L15,"")</f>
        <v/>
      </c>
      <c r="N15" s="6">
        <f>IF(COUNTIFS('[D KLR.xlsx]D KLR'!$A$8:$A$16,'[Steuerung.xlsx]Steuerung'!$F$6,'[D KLR.xlsx]D KLR'!$B$8:$B$16,C15)=0,"",SUMIFS('[D KLR.xlsx]D KLR'!$M$8:$M$16,'[D KLR.xlsx]D KLR'!$A$8:$A$16,'[Steuerung.xlsx]Steuerung'!$F$6,'[D KLR.xlsx]D KLR'!$B$8:$B$16,C15))</f>
        <v/>
      </c>
      <c r="O15" s="7">
        <f>IF(ISNUMBER(D15),M15-N15,"")</f>
        <v/>
      </c>
      <c r="P15" s="1" t="n"/>
      <c r="Q15" s="1" t="n"/>
      <c r="R15" s="1" t="n"/>
    </row>
    <row r="16">
      <c r="A16" s="1" t="n"/>
      <c r="B16" s="1" t="n"/>
      <c r="C16" s="1" t="n">
        <v>10</v>
      </c>
      <c r="D16" s="6">
        <f>IF(COUNTIFS('[D KLR.xlsx]D KLR'!$A$8:$A$16,'[Steuerung.xlsx]Steuerung'!$F$6,'[D KLR.xlsx]D KLR'!$B$8:$B$16,C16)=0,"",SUMIFS('[D KLR.xlsx]D KLR'!$C$8:$C$16,'[D KLR.xlsx]D KLR'!$A$8:$A$16,'[Steuerung.xlsx]Steuerung'!$F$6,'[D KLR.xlsx]D KLR'!$B$8:$B$16,C16))</f>
        <v/>
      </c>
      <c r="E16" s="6">
        <f>IF(COUNTIFS('[D KLR.xlsx]D KLR'!$A$8:$A$16,'[Steuerung.xlsx]Steuerung'!$F$6,'[D KLR.xlsx]D KLR'!$B$8:$B$16,C16)=0,"",SUMIFS('[D KLR.xlsx]D KLR'!$D$8:$D$16,'[D KLR.xlsx]D KLR'!$A$8:$A$16,'[Steuerung.xlsx]Steuerung'!$F$6,'[D KLR.xlsx]D KLR'!$B$8:$B$16,C16))</f>
        <v/>
      </c>
      <c r="F16" s="6">
        <f>IF(COUNTIFS('[D KLR.xlsx]D KLR'!$A$8:$A$16,'[Steuerung.xlsx]Steuerung'!$F$6,'[D KLR.xlsx]D KLR'!$B$8:$B$16,C16)=0,"",SUMIFS('[D KLR.xlsx]D KLR'!$E$8:$E$16,'[D KLR.xlsx]D KLR'!$A$8:$A$16,'[Steuerung.xlsx]Steuerung'!$F$6,'[D KLR.xlsx]D KLR'!$B$8:$B$16,C16))</f>
        <v/>
      </c>
      <c r="G16" s="6">
        <f>IF(COUNTIFS('[D KLR.xlsx]D KLR'!$A$8:$A$16,'[Steuerung.xlsx]Steuerung'!$F$6,'[D KLR.xlsx]D KLR'!$B$8:$B$16,C16)=0,"",SUMIFS('[D KLR.xlsx]D KLR'!$F$8:$F$16,'[D KLR.xlsx]D KLR'!$A$8:$A$16,'[Steuerung.xlsx]Steuerung'!$F$6,'[D KLR.xlsx]D KLR'!$B$8:$B$16,C16))</f>
        <v/>
      </c>
      <c r="H16" s="7">
        <f>IF(ISNUMBER(D16),D16-E16,"")</f>
        <v/>
      </c>
      <c r="I16" s="7">
        <f>IF(ISNUMBER(D16),H16-F16,"")</f>
        <v/>
      </c>
      <c r="J16" s="7">
        <f>IF(ISNUMBER(D16),I16-G16,"")</f>
        <v/>
      </c>
      <c r="K16" s="6">
        <f>IF(COUNTIFS('[D KLR.xlsx]D KLR'!$A$8:$A$16,'[Steuerung.xlsx]Steuerung'!$F$6,'[D KLR.xlsx]D KLR'!$B$8:$B$16,C16)=0,"",SUMIFS('[D KLR.xlsx]D KLR'!$I$8:$I$16,'[D KLR.xlsx]D KLR'!$A$8:$A$16,'[Steuerung.xlsx]Steuerung'!$F$6,'[D KLR.xlsx]D KLR'!$B$8:$B$16,C16))</f>
        <v/>
      </c>
      <c r="L16" s="6">
        <f>IF(COUNTIFS('[D KLR.xlsx]D KLR'!$A$8:$A$16,'[Steuerung.xlsx]Steuerung'!$F$6,'[D KLR.xlsx]D KLR'!$B$8:$B$16,C16)=0,"",SUMIFS('[D KLR.xlsx]D KLR'!$L$8:$L$16,'[D KLR.xlsx]D KLR'!$A$8:$A$16,'[Steuerung.xlsx]Steuerung'!$F$6,'[D KLR.xlsx]D KLR'!$B$8:$B$16,C16))</f>
        <v/>
      </c>
      <c r="M16" s="7">
        <f>IF(ISNUMBER(D16),J16-K16-L16,"")</f>
        <v/>
      </c>
      <c r="N16" s="6">
        <f>IF(COUNTIFS('[D KLR.xlsx]D KLR'!$A$8:$A$16,'[Steuerung.xlsx]Steuerung'!$F$6,'[D KLR.xlsx]D KLR'!$B$8:$B$16,C16)=0,"",SUMIFS('[D KLR.xlsx]D KLR'!$M$8:$M$16,'[D KLR.xlsx]D KLR'!$A$8:$A$16,'[Steuerung.xlsx]Steuerung'!$F$6,'[D KLR.xlsx]D KLR'!$B$8:$B$16,C16))</f>
        <v/>
      </c>
      <c r="O16" s="7">
        <f>IF(ISNUMBER(D16),M16-N16,"")</f>
        <v/>
      </c>
      <c r="P16" s="1" t="n"/>
      <c r="Q16" s="1" t="n"/>
      <c r="R16" s="1" t="n"/>
    </row>
    <row r="17">
      <c r="A17" s="1" t="n"/>
      <c r="B17" s="1" t="n"/>
      <c r="C17" s="1" t="n">
        <v>11</v>
      </c>
      <c r="D17" s="6">
        <f>IF(COUNTIFS('[D KLR.xlsx]D KLR'!$A$8:$A$16,'[Steuerung.xlsx]Steuerung'!$F$6,'[D KLR.xlsx]D KLR'!$B$8:$B$16,C17)=0,"",SUMIFS('[D KLR.xlsx]D KLR'!$C$8:$C$16,'[D KLR.xlsx]D KLR'!$A$8:$A$16,'[Steuerung.xlsx]Steuerung'!$F$6,'[D KLR.xlsx]D KLR'!$B$8:$B$16,C17))</f>
        <v/>
      </c>
      <c r="E17" s="6">
        <f>IF(COUNTIFS('[D KLR.xlsx]D KLR'!$A$8:$A$16,'[Steuerung.xlsx]Steuerung'!$F$6,'[D KLR.xlsx]D KLR'!$B$8:$B$16,C17)=0,"",SUMIFS('[D KLR.xlsx]D KLR'!$D$8:$D$16,'[D KLR.xlsx]D KLR'!$A$8:$A$16,'[Steuerung.xlsx]Steuerung'!$F$6,'[D KLR.xlsx]D KLR'!$B$8:$B$16,C17))</f>
        <v/>
      </c>
      <c r="F17" s="6">
        <f>IF(COUNTIFS('[D KLR.xlsx]D KLR'!$A$8:$A$16,'[Steuerung.xlsx]Steuerung'!$F$6,'[D KLR.xlsx]D KLR'!$B$8:$B$16,C17)=0,"",SUMIFS('[D KLR.xlsx]D KLR'!$E$8:$E$16,'[D KLR.xlsx]D KLR'!$A$8:$A$16,'[Steuerung.xlsx]Steuerung'!$F$6,'[D KLR.xlsx]D KLR'!$B$8:$B$16,C17))</f>
        <v/>
      </c>
      <c r="G17" s="6">
        <f>IF(COUNTIFS('[D KLR.xlsx]D KLR'!$A$8:$A$16,'[Steuerung.xlsx]Steuerung'!$F$6,'[D KLR.xlsx]D KLR'!$B$8:$B$16,C17)=0,"",SUMIFS('[D KLR.xlsx]D KLR'!$F$8:$F$16,'[D KLR.xlsx]D KLR'!$A$8:$A$16,'[Steuerung.xlsx]Steuerung'!$F$6,'[D KLR.xlsx]D KLR'!$B$8:$B$16,C17))</f>
        <v/>
      </c>
      <c r="H17" s="7">
        <f>IF(ISNUMBER(D17),D17-E17,"")</f>
        <v/>
      </c>
      <c r="I17" s="7">
        <f>IF(ISNUMBER(D17),H17-F17,"")</f>
        <v/>
      </c>
      <c r="J17" s="7">
        <f>IF(ISNUMBER(D17),I17-G17,"")</f>
        <v/>
      </c>
      <c r="K17" s="6">
        <f>IF(COUNTIFS('[D KLR.xlsx]D KLR'!$A$8:$A$16,'[Steuerung.xlsx]Steuerung'!$F$6,'[D KLR.xlsx]D KLR'!$B$8:$B$16,C17)=0,"",SUMIFS('[D KLR.xlsx]D KLR'!$I$8:$I$16,'[D KLR.xlsx]D KLR'!$A$8:$A$16,'[Steuerung.xlsx]Steuerung'!$F$6,'[D KLR.xlsx]D KLR'!$B$8:$B$16,C17))</f>
        <v/>
      </c>
      <c r="L17" s="6">
        <f>IF(COUNTIFS('[D KLR.xlsx]D KLR'!$A$8:$A$16,'[Steuerung.xlsx]Steuerung'!$F$6,'[D KLR.xlsx]D KLR'!$B$8:$B$16,C17)=0,"",SUMIFS('[D KLR.xlsx]D KLR'!$L$8:$L$16,'[D KLR.xlsx]D KLR'!$A$8:$A$16,'[Steuerung.xlsx]Steuerung'!$F$6,'[D KLR.xlsx]D KLR'!$B$8:$B$16,C17))</f>
        <v/>
      </c>
      <c r="M17" s="7">
        <f>IF(ISNUMBER(D17),J17-K17-L17,"")</f>
        <v/>
      </c>
      <c r="N17" s="6">
        <f>IF(COUNTIFS('[D KLR.xlsx]D KLR'!$A$8:$A$16,'[Steuerung.xlsx]Steuerung'!$F$6,'[D KLR.xlsx]D KLR'!$B$8:$B$16,C17)=0,"",SUMIFS('[D KLR.xlsx]D KLR'!$M$8:$M$16,'[D KLR.xlsx]D KLR'!$A$8:$A$16,'[Steuerung.xlsx]Steuerung'!$F$6,'[D KLR.xlsx]D KLR'!$B$8:$B$16,C17))</f>
        <v/>
      </c>
      <c r="O17" s="7">
        <f>IF(ISNUMBER(D17),M17-N17,"")</f>
        <v/>
      </c>
      <c r="P17" s="1" t="n"/>
      <c r="Q17" s="1" t="n"/>
      <c r="R17" s="1" t="n"/>
    </row>
    <row r="18">
      <c r="A18" s="1" t="n"/>
      <c r="B18" s="1" t="n"/>
      <c r="C18" s="1" t="n">
        <v>12</v>
      </c>
      <c r="D18" s="6">
        <f>IF(COUNTIFS('[D KLR.xlsx]D KLR'!$A$8:$A$16,'[Steuerung.xlsx]Steuerung'!$F$6,'[D KLR.xlsx]D KLR'!$B$8:$B$16,C18)=0,"",SUMIFS('[D KLR.xlsx]D KLR'!$C$8:$C$16,'[D KLR.xlsx]D KLR'!$A$8:$A$16,'[Steuerung.xlsx]Steuerung'!$F$6,'[D KLR.xlsx]D KLR'!$B$8:$B$16,C18))</f>
        <v/>
      </c>
      <c r="E18" s="6">
        <f>IF(COUNTIFS('[D KLR.xlsx]D KLR'!$A$8:$A$16,'[Steuerung.xlsx]Steuerung'!$F$6,'[D KLR.xlsx]D KLR'!$B$8:$B$16,C18)=0,"",SUMIFS('[D KLR.xlsx]D KLR'!$D$8:$D$16,'[D KLR.xlsx]D KLR'!$A$8:$A$16,'[Steuerung.xlsx]Steuerung'!$F$6,'[D KLR.xlsx]D KLR'!$B$8:$B$16,C18))</f>
        <v/>
      </c>
      <c r="F18" s="6">
        <f>IF(COUNTIFS('[D KLR.xlsx]D KLR'!$A$8:$A$16,'[Steuerung.xlsx]Steuerung'!$F$6,'[D KLR.xlsx]D KLR'!$B$8:$B$16,C18)=0,"",SUMIFS('[D KLR.xlsx]D KLR'!$E$8:$E$16,'[D KLR.xlsx]D KLR'!$A$8:$A$16,'[Steuerung.xlsx]Steuerung'!$F$6,'[D KLR.xlsx]D KLR'!$B$8:$B$16,C18))</f>
        <v/>
      </c>
      <c r="G18" s="6">
        <f>IF(COUNTIFS('[D KLR.xlsx]D KLR'!$A$8:$A$16,'[Steuerung.xlsx]Steuerung'!$F$6,'[D KLR.xlsx]D KLR'!$B$8:$B$16,C18)=0,"",SUMIFS('[D KLR.xlsx]D KLR'!$F$8:$F$16,'[D KLR.xlsx]D KLR'!$A$8:$A$16,'[Steuerung.xlsx]Steuerung'!$F$6,'[D KLR.xlsx]D KLR'!$B$8:$B$16,C18))</f>
        <v/>
      </c>
      <c r="H18" s="7">
        <f>IF(ISNUMBER(D18),D18-E18,"")</f>
        <v/>
      </c>
      <c r="I18" s="7">
        <f>IF(ISNUMBER(D18),H18-F18,"")</f>
        <v/>
      </c>
      <c r="J18" s="7">
        <f>IF(ISNUMBER(D18),I18-G18,"")</f>
        <v/>
      </c>
      <c r="K18" s="6">
        <f>IF(COUNTIFS('[D KLR.xlsx]D KLR'!$A$8:$A$16,'[Steuerung.xlsx]Steuerung'!$F$6,'[D KLR.xlsx]D KLR'!$B$8:$B$16,C18)=0,"",SUMIFS('[D KLR.xlsx]D KLR'!$I$8:$I$16,'[D KLR.xlsx]D KLR'!$A$8:$A$16,'[Steuerung.xlsx]Steuerung'!$F$6,'[D KLR.xlsx]D KLR'!$B$8:$B$16,C18))</f>
        <v/>
      </c>
      <c r="L18" s="6">
        <f>IF(COUNTIFS('[D KLR.xlsx]D KLR'!$A$8:$A$16,'[Steuerung.xlsx]Steuerung'!$F$6,'[D KLR.xlsx]D KLR'!$B$8:$B$16,C18)=0,"",SUMIFS('[D KLR.xlsx]D KLR'!$L$8:$L$16,'[D KLR.xlsx]D KLR'!$A$8:$A$16,'[Steuerung.xlsx]Steuerung'!$F$6,'[D KLR.xlsx]D KLR'!$B$8:$B$16,C18))</f>
        <v/>
      </c>
      <c r="M18" s="7">
        <f>IF(ISNUMBER(D18),J18-K18-L18,"")</f>
        <v/>
      </c>
      <c r="N18" s="6">
        <f>IF(COUNTIFS('[D KLR.xlsx]D KLR'!$A$8:$A$16,'[Steuerung.xlsx]Steuerung'!$F$6,'[D KLR.xlsx]D KLR'!$B$8:$B$16,C18)=0,"",SUMIFS('[D KLR.xlsx]D KLR'!$M$8:$M$16,'[D KLR.xlsx]D KLR'!$A$8:$A$16,'[Steuerung.xlsx]Steuerung'!$F$6,'[D KLR.xlsx]D KLR'!$B$8:$B$16,C18))</f>
        <v/>
      </c>
      <c r="O18" s="7">
        <f>IF(ISNUMBER(D18),M18-N18,"")</f>
        <v/>
      </c>
      <c r="P18" s="1" t="n"/>
      <c r="Q18" s="1" t="n"/>
      <c r="R18" s="1" t="n"/>
    </row>
    <row r="19">
      <c r="A19" s="1" t="n"/>
      <c r="B19" s="1" t="n"/>
      <c r="C19" s="1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1" t="n"/>
      <c r="Q19" s="1" t="n"/>
      <c r="R19" s="1" t="n"/>
    </row>
    <row r="20" ht="25" customHeight="1">
      <c r="A20" s="1" t="n"/>
      <c r="B20" s="1" t="n"/>
      <c r="C20" s="8" t="inlineStr">
        <is>
          <t>YTD</t>
        </is>
      </c>
      <c r="D20" s="9">
        <f>SUMIFS(D7:D18,$C$7:$C$18,"&lt;="&amp;'[Steuerung.xlsx]Steuerung'!$F$7)</f>
        <v/>
      </c>
      <c r="E20" s="9">
        <f>SUMIFS(E7:E18,$C$7:$C$18,"&lt;="&amp;'[Steuerung.xlsx]Steuerung'!$F$7)</f>
        <v/>
      </c>
      <c r="F20" s="9">
        <f>SUMIFS(F7:F18,$C$7:$C$18,"&lt;="&amp;'[Steuerung.xlsx]Steuerung'!$F$7)</f>
        <v/>
      </c>
      <c r="G20" s="9">
        <f>SUMIFS(G7:G18,$C$7:$C$18,"&lt;="&amp;'[Steuerung.xlsx]Steuerung'!$F$7)</f>
        <v/>
      </c>
      <c r="H20" s="9">
        <f>SUMIFS(H7:H18,$C$7:$C$18,"&lt;="&amp;'[Steuerung.xlsx]Steuerung'!$F$7)</f>
        <v/>
      </c>
      <c r="I20" s="9">
        <f>SUMIFS(I7:I18,$C$7:$C$18,"&lt;="&amp;'[Steuerung.xlsx]Steuerung'!$F$7)</f>
        <v/>
      </c>
      <c r="J20" s="9">
        <f>SUMIFS(J7:J18,$C$7:$C$18,"&lt;="&amp;'[Steuerung.xlsx]Steuerung'!$F$7)</f>
        <v/>
      </c>
      <c r="K20" s="9">
        <f>SUMIFS(K7:K18,$C$7:$C$18,"&lt;="&amp;'[Steuerung.xlsx]Steuerung'!$F$7)</f>
        <v/>
      </c>
      <c r="L20" s="9">
        <f>SUMIFS(L7:L18,$C$7:$C$18,"&lt;="&amp;'[Steuerung.xlsx]Steuerung'!$F$7)</f>
        <v/>
      </c>
      <c r="M20" s="9">
        <f>SUMIFS(M7:M18,$C$7:$C$18,"&lt;="&amp;'[Steuerung.xlsx]Steuerung'!$F$7)</f>
        <v/>
      </c>
      <c r="N20" s="9">
        <f>SUMIFS(N7:N18,$C$7:$C$18,"&lt;="&amp;'[Steuerung.xlsx]Steuerung'!$F$7)</f>
        <v/>
      </c>
      <c r="O20" s="9">
        <f>SUMIFS(O7:O18,$C$7:$C$18,"&lt;="&amp;'[Steuerung.xlsx]Steuerung'!$F$7)</f>
        <v/>
      </c>
      <c r="P20" s="1" t="n"/>
      <c r="Q20" s="1" t="n"/>
      <c r="R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 ht="26" customHeight="1">
      <c r="A24" s="1" t="n"/>
      <c r="B24" s="1" t="n"/>
      <c r="C24" s="10" t="inlineStr">
        <is>
          <t>Kostenarten nach YTD-Saldo</t>
        </is>
      </c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 ht="36" customHeight="1">
      <c r="A26" s="1" t="n"/>
      <c r="B26" s="1" t="n"/>
      <c r="C26" s="5" t="inlineStr">
        <is>
          <t>Kostenart</t>
        </is>
      </c>
      <c r="D26" s="5" t="inlineStr">
        <is>
          <t>Bezeichnung</t>
        </is>
      </c>
      <c r="E26" s="5" t="inlineStr">
        <is>
          <t>KLR-Gruppe</t>
        </is>
      </c>
      <c r="F26" s="5" t="inlineStr">
        <is>
          <t>DB-Stufe</t>
        </is>
      </c>
      <c r="G26" s="5" t="inlineStr">
        <is>
          <t>YTD-Wert</t>
        </is>
      </c>
      <c r="H26" s="5" t="inlineStr">
        <is>
          <t>Belege</t>
        </is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 ht="21" customHeight="1">
      <c r="A27" s="1" t="n"/>
      <c r="B27" s="1" t="n"/>
      <c r="C27" s="1" t="inlineStr">
        <is>
          <t>265900.0</t>
        </is>
      </c>
      <c r="D27" s="1" t="inlineStr">
        <is>
          <t>Sonstige Zinsen und ähnl. Erträge verb.U</t>
        </is>
      </c>
      <c r="E27" s="1" t="inlineStr">
        <is>
          <t>Zinsergebnis</t>
        </is>
      </c>
      <c r="F27" s="1" t="n">
        <v>9</v>
      </c>
      <c r="G27" s="6">
        <f>SUMIFS('[D KLR.xlsx]D KLR'!$H$80:$H$757,'[D KLR.xlsx]D KLR'!$A$80:$A$757,'[Steuerung.xlsx]Steuerung'!$F$6,'[D KLR.xlsx]D KLR'!$B$80:$B$757,"&lt;="&amp;'[Steuerung.xlsx]Steuerung'!$F$7,'[D KLR.xlsx]D KLR'!$C$80:$C$757,C27)</f>
        <v/>
      </c>
      <c r="H27" s="11">
        <f>SUMIFS('[D KLR.xlsx]D KLR'!$N$80:$N$757,'[D KLR.xlsx]D KLR'!$A$80:$A$757,'[Steuerung.xlsx]Steuerung'!$F$6,'[D KLR.xlsx]D KLR'!$B$80:$B$757,"&lt;="&amp;'[Steuerung.xlsx]Steuerung'!$F$7,'[D KLR.xlsx]D KLR'!$C$80:$C$757,C27)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 ht="21" customHeight="1">
      <c r="A28" s="1" t="n"/>
      <c r="B28" s="1" t="n"/>
      <c r="C28" s="1" t="inlineStr">
        <is>
          <t>440020.0</t>
        </is>
      </c>
      <c r="D28" s="1" t="inlineStr">
        <is>
          <t>Kosten d.Vermarktung</t>
        </is>
      </c>
      <c r="E28" s="1" t="inlineStr">
        <is>
          <t>Transport, Reise, Werbung</t>
        </is>
      </c>
      <c r="F28" s="1" t="n">
        <v>2</v>
      </c>
      <c r="G28" s="6">
        <f>SUMIFS('[D KLR.xlsx]D KLR'!$H$80:$H$757,'[D KLR.xlsx]D KLR'!$A$80:$A$757,'[Steuerung.xlsx]Steuerung'!$F$6,'[D KLR.xlsx]D KLR'!$B$80:$B$757,"&lt;="&amp;'[Steuerung.xlsx]Steuerung'!$F$7,'[D KLR.xlsx]D KLR'!$C$80:$C$757,C28)</f>
        <v/>
      </c>
      <c r="H28" s="11">
        <f>SUMIFS('[D KLR.xlsx]D KLR'!$N$80:$N$757,'[D KLR.xlsx]D KLR'!$A$80:$A$757,'[Steuerung.xlsx]Steuerung'!$F$6,'[D KLR.xlsx]D KLR'!$B$80:$B$757,"&lt;="&amp;'[Steuerung.xlsx]Steuerung'!$F$7,'[D KLR.xlsx]D KLR'!$C$80:$C$757,C28)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 ht="21" customHeight="1">
      <c r="A29" s="1" t="n"/>
      <c r="B29" s="1" t="n"/>
      <c r="C29" s="1" t="inlineStr">
        <is>
          <t>450010.0</t>
        </is>
      </c>
      <c r="D29" s="1" t="inlineStr">
        <is>
          <t>Reisekosten Betriebsangehörige</t>
        </is>
      </c>
      <c r="E29" s="1" t="inlineStr">
        <is>
          <t>Transport, Reise, Werbung</t>
        </is>
      </c>
      <c r="F29" s="1" t="n">
        <v>2</v>
      </c>
      <c r="G29" s="6">
        <f>SUMIFS('[D KLR.xlsx]D KLR'!$H$80:$H$757,'[D KLR.xlsx]D KLR'!$A$80:$A$757,'[Steuerung.xlsx]Steuerung'!$F$6,'[D KLR.xlsx]D KLR'!$B$80:$B$757,"&lt;="&amp;'[Steuerung.xlsx]Steuerung'!$F$7,'[D KLR.xlsx]D KLR'!$C$80:$C$757,C29)</f>
        <v/>
      </c>
      <c r="H29" s="11">
        <f>SUMIFS('[D KLR.xlsx]D KLR'!$N$80:$N$757,'[D KLR.xlsx]D KLR'!$A$80:$A$757,'[Steuerung.xlsx]Steuerung'!$F$6,'[D KLR.xlsx]D KLR'!$B$80:$B$757,"&lt;="&amp;'[Steuerung.xlsx]Steuerung'!$F$7,'[D KLR.xlsx]D KLR'!$C$80:$C$757,C29)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 ht="21" customHeight="1">
      <c r="A30" s="1" t="n"/>
      <c r="B30" s="1" t="n"/>
      <c r="C30" s="1" t="inlineStr">
        <is>
          <t>450080.0</t>
        </is>
      </c>
      <c r="D30" s="1" t="inlineStr">
        <is>
          <t>Werbung</t>
        </is>
      </c>
      <c r="E30" s="1" t="inlineStr">
        <is>
          <t>Transport, Reise, Werbung</t>
        </is>
      </c>
      <c r="F30" s="1" t="n">
        <v>2</v>
      </c>
      <c r="G30" s="6">
        <f>SUMIFS('[D KLR.xlsx]D KLR'!$H$80:$H$757,'[D KLR.xlsx]D KLR'!$A$80:$A$757,'[Steuerung.xlsx]Steuerung'!$F$6,'[D KLR.xlsx]D KLR'!$B$80:$B$757,"&lt;="&amp;'[Steuerung.xlsx]Steuerung'!$F$7,'[D KLR.xlsx]D KLR'!$C$80:$C$757,C30)</f>
        <v/>
      </c>
      <c r="H30" s="11">
        <f>SUMIFS('[D KLR.xlsx]D KLR'!$N$80:$N$757,'[D KLR.xlsx]D KLR'!$A$80:$A$757,'[Steuerung.xlsx]Steuerung'!$F$6,'[D KLR.xlsx]D KLR'!$B$80:$B$757,"&lt;="&amp;'[Steuerung.xlsx]Steuerung'!$F$7,'[D KLR.xlsx]D KLR'!$C$80:$C$757,C30)</f>
        <v/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 ht="21" customHeight="1">
      <c r="A31" s="1" t="n"/>
      <c r="B31" s="1" t="n"/>
      <c r="C31" s="1" t="inlineStr">
        <is>
          <t>411050.0</t>
        </is>
      </c>
      <c r="D31" s="1" t="inlineStr">
        <is>
          <t>Personalversicherung</t>
        </is>
      </c>
      <c r="E31" s="1" t="inlineStr">
        <is>
          <t>Personal</t>
        </is>
      </c>
      <c r="F31" s="1" t="n">
        <v>2</v>
      </c>
      <c r="G31" s="6">
        <f>SUMIFS('[D KLR.xlsx]D KLR'!$H$80:$H$757,'[D KLR.xlsx]D KLR'!$A$80:$A$757,'[Steuerung.xlsx]Steuerung'!$F$6,'[D KLR.xlsx]D KLR'!$B$80:$B$757,"&lt;="&amp;'[Steuerung.xlsx]Steuerung'!$F$7,'[D KLR.xlsx]D KLR'!$C$80:$C$757,C31)</f>
        <v/>
      </c>
      <c r="H31" s="11">
        <f>SUMIFS('[D KLR.xlsx]D KLR'!$N$80:$N$757,'[D KLR.xlsx]D KLR'!$A$80:$A$757,'[Steuerung.xlsx]Steuerung'!$F$6,'[D KLR.xlsx]D KLR'!$B$80:$B$757,"&lt;="&amp;'[Steuerung.xlsx]Steuerung'!$F$7,'[D KLR.xlsx]D KLR'!$C$80:$C$757,C31)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 ht="21" customHeight="1">
      <c r="A32" s="1" t="n"/>
      <c r="B32" s="1" t="n"/>
      <c r="C32" s="1" t="inlineStr">
        <is>
          <t>390000.0</t>
        </is>
      </c>
      <c r="D32" s="1" t="inlineStr">
        <is>
          <t>Bestandsveränderung.</t>
        </is>
      </c>
      <c r="E32" s="1" t="inlineStr">
        <is>
          <t>Bestandsveränderung</t>
        </is>
      </c>
      <c r="F32" s="1" t="n">
        <v>0</v>
      </c>
      <c r="G32" s="6">
        <f>SUMIFS('[D KLR.xlsx]D KLR'!$H$80:$H$757,'[D KLR.xlsx]D KLR'!$A$80:$A$757,'[Steuerung.xlsx]Steuerung'!$F$6,'[D KLR.xlsx]D KLR'!$B$80:$B$757,"&lt;="&amp;'[Steuerung.xlsx]Steuerung'!$F$7,'[D KLR.xlsx]D KLR'!$C$80:$C$757,C32)</f>
        <v/>
      </c>
      <c r="H32" s="11">
        <f>SUMIFS('[D KLR.xlsx]D KLR'!$N$80:$N$757,'[D KLR.xlsx]D KLR'!$A$80:$A$757,'[Steuerung.xlsx]Steuerung'!$F$6,'[D KLR.xlsx]D KLR'!$B$80:$B$757,"&lt;="&amp;'[Steuerung.xlsx]Steuerung'!$F$7,'[D KLR.xlsx]D KLR'!$C$80:$C$757,C32)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 ht="21" customHeight="1">
      <c r="A33" s="1" t="n"/>
      <c r="B33" s="1" t="n"/>
      <c r="C33" s="1" t="inlineStr">
        <is>
          <t>890300.0</t>
        </is>
      </c>
      <c r="D33" s="1" t="inlineStr">
        <is>
          <t>Sonst.Erlösschmälerg</t>
        </is>
      </c>
      <c r="E33" s="1" t="inlineStr">
        <is>
          <t>Umsatzerlöse</t>
        </is>
      </c>
      <c r="F33" s="1" t="n">
        <v>0</v>
      </c>
      <c r="G33" s="6">
        <f>SUMIFS('[D KLR.xlsx]D KLR'!$H$80:$H$757,'[D KLR.xlsx]D KLR'!$A$80:$A$757,'[Steuerung.xlsx]Steuerung'!$F$6,'[D KLR.xlsx]D KLR'!$B$80:$B$757,"&lt;="&amp;'[Steuerung.xlsx]Steuerung'!$F$7,'[D KLR.xlsx]D KLR'!$C$80:$C$757,C33)</f>
        <v/>
      </c>
      <c r="H33" s="11">
        <f>SUMIFS('[D KLR.xlsx]D KLR'!$N$80:$N$757,'[D KLR.xlsx]D KLR'!$A$80:$A$757,'[Steuerung.xlsx]Steuerung'!$F$6,'[D KLR.xlsx]D KLR'!$B$80:$B$757,"&lt;="&amp;'[Steuerung.xlsx]Steuerung'!$F$7,'[D KLR.xlsx]D KLR'!$C$80:$C$757,C33)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 ht="21" customHeight="1">
      <c r="A34" s="1" t="n"/>
      <c r="B34" s="1" t="n"/>
      <c r="C34" s="1" t="inlineStr">
        <is>
          <t>251300.0</t>
        </is>
      </c>
      <c r="D34" s="1" t="inlineStr">
        <is>
          <t>Übrige neutrale Ertr</t>
        </is>
      </c>
      <c r="E34" s="1" t="inlineStr">
        <is>
          <t>Sonstiges</t>
        </is>
      </c>
      <c r="F34" s="1" t="n">
        <v>9</v>
      </c>
      <c r="G34" s="6">
        <f>SUMIFS('[D KLR.xlsx]D KLR'!$H$80:$H$757,'[D KLR.xlsx]D KLR'!$A$80:$A$757,'[Steuerung.xlsx]Steuerung'!$F$6,'[D KLR.xlsx]D KLR'!$B$80:$B$757,"&lt;="&amp;'[Steuerung.xlsx]Steuerung'!$F$7,'[D KLR.xlsx]D KLR'!$C$80:$C$757,C34)</f>
        <v/>
      </c>
      <c r="H34" s="11">
        <f>SUMIFS('[D KLR.xlsx]D KLR'!$N$80:$N$757,'[D KLR.xlsx]D KLR'!$A$80:$A$757,'[Steuerung.xlsx]Steuerung'!$F$6,'[D KLR.xlsx]D KLR'!$B$80:$B$757,"&lt;="&amp;'[Steuerung.xlsx]Steuerung'!$F$7,'[D KLR.xlsx]D KLR'!$C$80:$C$757,C34)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 ht="21" customHeight="1">
      <c r="A35" s="1" t="n"/>
      <c r="B35" s="1" t="n"/>
      <c r="C35" s="1" t="inlineStr">
        <is>
          <t>560099</t>
        </is>
      </c>
      <c r="D35" s="1" t="inlineStr">
        <is>
          <t>Neu aus Import – Bezeichnung pflegen</t>
        </is>
      </c>
      <c r="E35" s="1" t="inlineStr">
        <is>
          <t>Sonstiges</t>
        </is>
      </c>
      <c r="F35" s="1" t="n">
        <v>2</v>
      </c>
      <c r="G35" s="6">
        <f>SUMIFS('[D KLR.xlsx]D KLR'!$H$80:$H$757,'[D KLR.xlsx]D KLR'!$A$80:$A$757,'[Steuerung.xlsx]Steuerung'!$F$6,'[D KLR.xlsx]D KLR'!$B$80:$B$757,"&lt;="&amp;'[Steuerung.xlsx]Steuerung'!$F$7,'[D KLR.xlsx]D KLR'!$C$80:$C$757,C35)</f>
        <v/>
      </c>
      <c r="H35" s="11">
        <f>SUMIFS('[D KLR.xlsx]D KLR'!$N$80:$N$757,'[D KLR.xlsx]D KLR'!$A$80:$A$757,'[Steuerung.xlsx]Steuerung'!$F$6,'[D KLR.xlsx]D KLR'!$B$80:$B$757,"&lt;="&amp;'[Steuerung.xlsx]Steuerung'!$F$7,'[D KLR.xlsx]D KLR'!$C$80:$C$757,C35)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 ht="21" customHeight="1">
      <c r="A36" s="1" t="n"/>
      <c r="B36" s="1" t="n"/>
      <c r="C36" s="1" t="inlineStr">
        <is>
          <t>231000.0</t>
        </is>
      </c>
      <c r="D36" s="1" t="inlineStr">
        <is>
          <t>Mindererl.b.Anlagenv</t>
        </is>
      </c>
      <c r="E36" s="1" t="inlineStr">
        <is>
          <t>Sonstiges</t>
        </is>
      </c>
      <c r="F36" s="1" t="n">
        <v>9</v>
      </c>
      <c r="G36" s="6">
        <f>SUMIFS('[D KLR.xlsx]D KLR'!$H$80:$H$757,'[D KLR.xlsx]D KLR'!$A$80:$A$757,'[Steuerung.xlsx]Steuerung'!$F$6,'[D KLR.xlsx]D KLR'!$B$80:$B$757,"&lt;="&amp;'[Steuerung.xlsx]Steuerung'!$F$7,'[D KLR.xlsx]D KLR'!$C$80:$C$757,C36)</f>
        <v/>
      </c>
      <c r="H36" s="11">
        <f>SUMIFS('[D KLR.xlsx]D KLR'!$N$80:$N$757,'[D KLR.xlsx]D KLR'!$A$80:$A$757,'[Steuerung.xlsx]Steuerung'!$F$6,'[D KLR.xlsx]D KLR'!$B$80:$B$757,"&lt;="&amp;'[Steuerung.xlsx]Steuerung'!$F$7,'[D KLR.xlsx]D KLR'!$C$80:$C$757,C36)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 ht="21" customHeight="1">
      <c r="A37" s="1" t="n"/>
      <c r="B37" s="1" t="n"/>
      <c r="C37" s="1" t="inlineStr">
        <is>
          <t>231500.0</t>
        </is>
      </c>
      <c r="D37" s="1" t="inlineStr">
        <is>
          <t>Mehrerlös b.Anlagena</t>
        </is>
      </c>
      <c r="E37" s="1" t="inlineStr">
        <is>
          <t>Sonstiges</t>
        </is>
      </c>
      <c r="F37" s="1" t="n">
        <v>9</v>
      </c>
      <c r="G37" s="6">
        <f>SUMIFS('[D KLR.xlsx]D KLR'!$H$80:$H$757,'[D KLR.xlsx]D KLR'!$A$80:$A$757,'[Steuerung.xlsx]Steuerung'!$F$6,'[D KLR.xlsx]D KLR'!$B$80:$B$757,"&lt;="&amp;'[Steuerung.xlsx]Steuerung'!$F$7,'[D KLR.xlsx]D KLR'!$C$80:$C$757,C37)</f>
        <v/>
      </c>
      <c r="H37" s="11">
        <f>SUMIFS('[D KLR.xlsx]D KLR'!$N$80:$N$757,'[D KLR.xlsx]D KLR'!$A$80:$A$757,'[Steuerung.xlsx]Steuerung'!$F$6,'[D KLR.xlsx]D KLR'!$B$80:$B$757,"&lt;="&amp;'[Steuerung.xlsx]Steuerung'!$F$7,'[D KLR.xlsx]D KLR'!$C$80:$C$757,C37)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 ht="21" customHeight="1">
      <c r="A38" s="1" t="n"/>
      <c r="B38" s="1" t="n"/>
      <c r="C38" s="1" t="inlineStr">
        <is>
          <t>240000.0</t>
        </is>
      </c>
      <c r="D38" s="1" t="inlineStr">
        <is>
          <t>uneinbringl.Forderun</t>
        </is>
      </c>
      <c r="E38" s="1" t="inlineStr">
        <is>
          <t>Sonstiges</t>
        </is>
      </c>
      <c r="F38" s="1" t="n">
        <v>9</v>
      </c>
      <c r="G38" s="6">
        <f>SUMIFS('[D KLR.xlsx]D KLR'!$H$80:$H$757,'[D KLR.xlsx]D KLR'!$A$80:$A$757,'[Steuerung.xlsx]Steuerung'!$F$6,'[D KLR.xlsx]D KLR'!$B$80:$B$757,"&lt;="&amp;'[Steuerung.xlsx]Steuerung'!$F$7,'[D KLR.xlsx]D KLR'!$C$80:$C$757,C38)</f>
        <v/>
      </c>
      <c r="H38" s="11">
        <f>SUMIFS('[D KLR.xlsx]D KLR'!$N$80:$N$757,'[D KLR.xlsx]D KLR'!$A$80:$A$757,'[Steuerung.xlsx]Steuerung'!$F$6,'[D KLR.xlsx]D KLR'!$B$80:$B$757,"&lt;="&amp;'[Steuerung.xlsx]Steuerung'!$F$7,'[D KLR.xlsx]D KLR'!$C$80:$C$757,C38)</f>
        <v/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 ht="21" customHeight="1">
      <c r="A39" s="1" t="n"/>
      <c r="B39" s="1" t="n"/>
      <c r="C39" s="1" t="inlineStr">
        <is>
          <t>243000.0</t>
        </is>
      </c>
      <c r="D39" s="1" t="inlineStr">
        <is>
          <t>Einst.EWB zu Ford.</t>
        </is>
      </c>
      <c r="E39" s="1" t="inlineStr">
        <is>
          <t>Sonstiges</t>
        </is>
      </c>
      <c r="F39" s="1" t="n">
        <v>9</v>
      </c>
      <c r="G39" s="6">
        <f>SUMIFS('[D KLR.xlsx]D KLR'!$H$80:$H$757,'[D KLR.xlsx]D KLR'!$A$80:$A$757,'[Steuerung.xlsx]Steuerung'!$F$6,'[D KLR.xlsx]D KLR'!$B$80:$B$757,"&lt;="&amp;'[Steuerung.xlsx]Steuerung'!$F$7,'[D KLR.xlsx]D KLR'!$C$80:$C$757,C39)</f>
        <v/>
      </c>
      <c r="H39" s="11">
        <f>SUMIFS('[D KLR.xlsx]D KLR'!$N$80:$N$757,'[D KLR.xlsx]D KLR'!$A$80:$A$757,'[Steuerung.xlsx]Steuerung'!$F$6,'[D KLR.xlsx]D KLR'!$B$80:$B$757,"&lt;="&amp;'[Steuerung.xlsx]Steuerung'!$F$7,'[D KLR.xlsx]D KLR'!$C$80:$C$757,C39)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 ht="21" customHeight="1">
      <c r="A40" s="1" t="n"/>
      <c r="B40" s="1" t="n"/>
      <c r="C40" s="1" t="inlineStr">
        <is>
          <t>251000.0</t>
        </is>
      </c>
      <c r="D40" s="1" t="inlineStr">
        <is>
          <t>Sonstige periodenfremde Erträge</t>
        </is>
      </c>
      <c r="E40" s="1" t="inlineStr">
        <is>
          <t>Sonstiges</t>
        </is>
      </c>
      <c r="F40" s="1" t="n">
        <v>9</v>
      </c>
      <c r="G40" s="6">
        <f>SUMIFS('[D KLR.xlsx]D KLR'!$H$80:$H$757,'[D KLR.xlsx]D KLR'!$A$80:$A$757,'[Steuerung.xlsx]Steuerung'!$F$6,'[D KLR.xlsx]D KLR'!$B$80:$B$757,"&lt;="&amp;'[Steuerung.xlsx]Steuerung'!$F$7,'[D KLR.xlsx]D KLR'!$C$80:$C$757,C40)</f>
        <v/>
      </c>
      <c r="H40" s="11">
        <f>SUMIFS('[D KLR.xlsx]D KLR'!$N$80:$N$757,'[D KLR.xlsx]D KLR'!$A$80:$A$757,'[Steuerung.xlsx]Steuerung'!$F$6,'[D KLR.xlsx]D KLR'!$B$80:$B$757,"&lt;="&amp;'[Steuerung.xlsx]Steuerung'!$F$7,'[D KLR.xlsx]D KLR'!$C$80:$C$757,C40)</f>
        <v/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 ht="21" customHeight="1">
      <c r="A41" s="1" t="n"/>
      <c r="B41" s="1" t="n"/>
      <c r="C41" s="1" t="inlineStr">
        <is>
          <t>265001.0</t>
        </is>
      </c>
      <c r="D41" s="1" t="inlineStr">
        <is>
          <t>Zinsen auf Steuerers</t>
        </is>
      </c>
      <c r="E41" s="1" t="inlineStr">
        <is>
          <t>Zinsergebnis</t>
        </is>
      </c>
      <c r="F41" s="1" t="n">
        <v>9</v>
      </c>
      <c r="G41" s="6">
        <f>SUMIFS('[D KLR.xlsx]D KLR'!$H$80:$H$757,'[D KLR.xlsx]D KLR'!$A$80:$A$757,'[Steuerung.xlsx]Steuerung'!$F$6,'[D KLR.xlsx]D KLR'!$B$80:$B$757,"&lt;="&amp;'[Steuerung.xlsx]Steuerung'!$F$7,'[D KLR.xlsx]D KLR'!$C$80:$C$757,C41)</f>
        <v/>
      </c>
      <c r="H41" s="11">
        <f>SUMIFS('[D KLR.xlsx]D KLR'!$N$80:$N$757,'[D KLR.xlsx]D KLR'!$A$80:$A$757,'[Steuerung.xlsx]Steuerung'!$F$6,'[D KLR.xlsx]D KLR'!$B$80:$B$757,"&lt;="&amp;'[Steuerung.xlsx]Steuerung'!$F$7,'[D KLR.xlsx]D KLR'!$C$80:$C$757,C41)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 ht="21" customHeight="1">
      <c r="A42" s="1" t="n"/>
      <c r="B42" s="1" t="n"/>
      <c r="C42" s="1" t="inlineStr">
        <is>
          <t>273000.0</t>
        </is>
      </c>
      <c r="D42" s="1" t="inlineStr">
        <is>
          <t>Ert.Herabsetz.Pau-WB</t>
        </is>
      </c>
      <c r="E42" s="1" t="inlineStr">
        <is>
          <t>Sonstiges</t>
        </is>
      </c>
      <c r="F42" s="1" t="n">
        <v>9</v>
      </c>
      <c r="G42" s="6">
        <f>SUMIFS('[D KLR.xlsx]D KLR'!$H$80:$H$757,'[D KLR.xlsx]D KLR'!$A$80:$A$757,'[Steuerung.xlsx]Steuerung'!$F$6,'[D KLR.xlsx]D KLR'!$B$80:$B$757,"&lt;="&amp;'[Steuerung.xlsx]Steuerung'!$F$7,'[D KLR.xlsx]D KLR'!$C$80:$C$757,C42)</f>
        <v/>
      </c>
      <c r="H42" s="11">
        <f>SUMIFS('[D KLR.xlsx]D KLR'!$N$80:$N$757,'[D KLR.xlsx]D KLR'!$A$80:$A$757,'[Steuerung.xlsx]Steuerung'!$F$6,'[D KLR.xlsx]D KLR'!$B$80:$B$757,"&lt;="&amp;'[Steuerung.xlsx]Steuerung'!$F$7,'[D KLR.xlsx]D KLR'!$C$80:$C$757,C42)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 ht="21" customHeight="1">
      <c r="A43" s="1" t="n"/>
      <c r="B43" s="1" t="n"/>
      <c r="C43" s="1" t="inlineStr">
        <is>
          <t>273200.0</t>
        </is>
      </c>
      <c r="D43" s="1" t="inlineStr">
        <is>
          <t>Ertr.ausgeb.Ford.</t>
        </is>
      </c>
      <c r="E43" s="1" t="inlineStr">
        <is>
          <t>Sonstiges</t>
        </is>
      </c>
      <c r="F43" s="1" t="n">
        <v>9</v>
      </c>
      <c r="G43" s="6">
        <f>SUMIFS('[D KLR.xlsx]D KLR'!$H$80:$H$757,'[D KLR.xlsx]D KLR'!$A$80:$A$757,'[Steuerung.xlsx]Steuerung'!$F$6,'[D KLR.xlsx]D KLR'!$B$80:$B$757,"&lt;="&amp;'[Steuerung.xlsx]Steuerung'!$F$7,'[D KLR.xlsx]D KLR'!$C$80:$C$757,C43)</f>
        <v/>
      </c>
      <c r="H43" s="11">
        <f>SUMIFS('[D KLR.xlsx]D KLR'!$N$80:$N$757,'[D KLR.xlsx]D KLR'!$A$80:$A$757,'[Steuerung.xlsx]Steuerung'!$F$6,'[D KLR.xlsx]D KLR'!$B$80:$B$757,"&lt;="&amp;'[Steuerung.xlsx]Steuerung'!$F$7,'[D KLR.xlsx]D KLR'!$C$80:$C$757,C43)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 ht="21" customHeight="1">
      <c r="A44" s="1" t="n"/>
      <c r="B44" s="1" t="n"/>
      <c r="C44" s="1" t="inlineStr">
        <is>
          <t>278000.0</t>
        </is>
      </c>
      <c r="D44" s="1" t="inlineStr">
        <is>
          <t>Steuererstat.VJ Eink</t>
        </is>
      </c>
      <c r="E44" s="1" t="inlineStr">
        <is>
          <t>Sonstiges</t>
        </is>
      </c>
      <c r="F44" s="1" t="n">
        <v>9</v>
      </c>
      <c r="G44" s="6">
        <f>SUMIFS('[D KLR.xlsx]D KLR'!$H$80:$H$757,'[D KLR.xlsx]D KLR'!$A$80:$A$757,'[Steuerung.xlsx]Steuerung'!$F$6,'[D KLR.xlsx]D KLR'!$B$80:$B$757,"&lt;="&amp;'[Steuerung.xlsx]Steuerung'!$F$7,'[D KLR.xlsx]D KLR'!$C$80:$C$757,C44)</f>
        <v/>
      </c>
      <c r="H44" s="11">
        <f>SUMIFS('[D KLR.xlsx]D KLR'!$N$80:$N$757,'[D KLR.xlsx]D KLR'!$A$80:$A$757,'[Steuerung.xlsx]Steuerung'!$F$6,'[D KLR.xlsx]D KLR'!$B$80:$B$757,"&lt;="&amp;'[Steuerung.xlsx]Steuerung'!$F$7,'[D KLR.xlsx]D KLR'!$C$80:$C$757,C44)</f>
        <v/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 ht="21" customHeight="1">
      <c r="A45" s="1" t="n"/>
      <c r="B45" s="1" t="n"/>
      <c r="C45" s="1" t="inlineStr">
        <is>
          <t>278100.0</t>
        </is>
      </c>
      <c r="D45" s="1" t="inlineStr">
        <is>
          <t>Steuererst. E+E Vj.</t>
        </is>
      </c>
      <c r="E45" s="1" t="inlineStr">
        <is>
          <t>Sonstiges</t>
        </is>
      </c>
      <c r="F45" s="1" t="n">
        <v>9</v>
      </c>
      <c r="G45" s="6">
        <f>SUMIFS('[D KLR.xlsx]D KLR'!$H$80:$H$757,'[D KLR.xlsx]D KLR'!$A$80:$A$757,'[Steuerung.xlsx]Steuerung'!$F$6,'[D KLR.xlsx]D KLR'!$B$80:$B$757,"&lt;="&amp;'[Steuerung.xlsx]Steuerung'!$F$7,'[D KLR.xlsx]D KLR'!$C$80:$C$757,C45)</f>
        <v/>
      </c>
      <c r="H45" s="11">
        <f>SUMIFS('[D KLR.xlsx]D KLR'!$N$80:$N$757,'[D KLR.xlsx]D KLR'!$A$80:$A$757,'[Steuerung.xlsx]Steuerung'!$F$6,'[D KLR.xlsx]D KLR'!$B$80:$B$757,"&lt;="&amp;'[Steuerung.xlsx]Steuerung'!$F$7,'[D KLR.xlsx]D KLR'!$C$80:$C$757,C45)</f>
        <v/>
      </c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 ht="21" customHeight="1">
      <c r="A46" s="1" t="n"/>
      <c r="B46" s="1" t="n"/>
      <c r="C46" s="1" t="inlineStr">
        <is>
          <t>287095.0</t>
        </is>
      </c>
      <c r="D46" s="1" t="inlineStr">
        <is>
          <t>Erträge Zinsen Debit</t>
        </is>
      </c>
      <c r="E46" s="1" t="inlineStr">
        <is>
          <t>Zinsergebnis</t>
        </is>
      </c>
      <c r="F46" s="1" t="n">
        <v>9</v>
      </c>
      <c r="G46" s="6">
        <f>SUMIFS('[D KLR.xlsx]D KLR'!$H$80:$H$757,'[D KLR.xlsx]D KLR'!$A$80:$A$757,'[Steuerung.xlsx]Steuerung'!$F$6,'[D KLR.xlsx]D KLR'!$B$80:$B$757,"&lt;="&amp;'[Steuerung.xlsx]Steuerung'!$F$7,'[D KLR.xlsx]D KLR'!$C$80:$C$757,C46)</f>
        <v/>
      </c>
      <c r="H46" s="11">
        <f>SUMIFS('[D KLR.xlsx]D KLR'!$N$80:$N$757,'[D KLR.xlsx]D KLR'!$A$80:$A$757,'[Steuerung.xlsx]Steuerung'!$F$6,'[D KLR.xlsx]D KLR'!$B$80:$B$757,"&lt;="&amp;'[Steuerung.xlsx]Steuerung'!$F$7,'[D KLR.xlsx]D KLR'!$C$80:$C$757,C46)</f>
        <v/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 ht="21" customHeight="1">
      <c r="A47" s="1" t="n"/>
      <c r="B47" s="1" t="n"/>
      <c r="C47" s="1" t="inlineStr">
        <is>
          <t>300060.0</t>
        </is>
      </c>
      <c r="D47" s="1" t="inlineStr">
        <is>
          <t>Ank.and.Recyc.Prod.</t>
        </is>
      </c>
      <c r="E47" s="1" t="inlineStr">
        <is>
          <t>Material und Fremdleistungen</t>
        </is>
      </c>
      <c r="F47" s="1" t="n">
        <v>1</v>
      </c>
      <c r="G47" s="6">
        <f>SUMIFS('[D KLR.xlsx]D KLR'!$H$80:$H$757,'[D KLR.xlsx]D KLR'!$A$80:$A$757,'[Steuerung.xlsx]Steuerung'!$F$6,'[D KLR.xlsx]D KLR'!$B$80:$B$757,"&lt;="&amp;'[Steuerung.xlsx]Steuerung'!$F$7,'[D KLR.xlsx]D KLR'!$C$80:$C$757,C47)</f>
        <v/>
      </c>
      <c r="H47" s="11">
        <f>SUMIFS('[D KLR.xlsx]D KLR'!$N$80:$N$757,'[D KLR.xlsx]D KLR'!$A$80:$A$757,'[Steuerung.xlsx]Steuerung'!$F$6,'[D KLR.xlsx]D KLR'!$B$80:$B$757,"&lt;="&amp;'[Steuerung.xlsx]Steuerung'!$F$7,'[D KLR.xlsx]D KLR'!$C$80:$C$757,C47)</f>
        <v/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 ht="21" customHeight="1">
      <c r="A48" s="1" t="n"/>
      <c r="B48" s="1" t="n"/>
      <c r="C48" s="1" t="inlineStr">
        <is>
          <t>310040.0</t>
        </is>
      </c>
      <c r="D48" s="1" t="inlineStr">
        <is>
          <t>Gas (vornehmlich industr. Anlagen)</t>
        </is>
      </c>
      <c r="E48" s="1" t="inlineStr">
        <is>
          <t>Material und Fremdleistungen</t>
        </is>
      </c>
      <c r="F48" s="1" t="n">
        <v>1</v>
      </c>
      <c r="G48" s="6">
        <f>SUMIFS('[D KLR.xlsx]D KLR'!$H$80:$H$757,'[D KLR.xlsx]D KLR'!$A$80:$A$757,'[Steuerung.xlsx]Steuerung'!$F$6,'[D KLR.xlsx]D KLR'!$B$80:$B$757,"&lt;="&amp;'[Steuerung.xlsx]Steuerung'!$F$7,'[D KLR.xlsx]D KLR'!$C$80:$C$757,C48)</f>
        <v/>
      </c>
      <c r="H48" s="11">
        <f>SUMIFS('[D KLR.xlsx]D KLR'!$N$80:$N$757,'[D KLR.xlsx]D KLR'!$A$80:$A$757,'[Steuerung.xlsx]Steuerung'!$F$6,'[D KLR.xlsx]D KLR'!$B$80:$B$757,"&lt;="&amp;'[Steuerung.xlsx]Steuerung'!$F$7,'[D KLR.xlsx]D KLR'!$C$80:$C$757,C48)</f>
        <v/>
      </c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 ht="21" customHeight="1">
      <c r="A49" s="1" t="n"/>
      <c r="B49" s="1" t="n"/>
      <c r="C49" s="1" t="inlineStr">
        <is>
          <t>411020.0</t>
        </is>
      </c>
      <c r="D49" s="1" t="inlineStr">
        <is>
          <t>Sozialabgaben</t>
        </is>
      </c>
      <c r="E49" s="1" t="inlineStr">
        <is>
          <t>Personal</t>
        </is>
      </c>
      <c r="F49" s="1" t="n">
        <v>2</v>
      </c>
      <c r="G49" s="6">
        <f>SUMIFS('[D KLR.xlsx]D KLR'!$H$80:$H$757,'[D KLR.xlsx]D KLR'!$A$80:$A$757,'[Steuerung.xlsx]Steuerung'!$F$6,'[D KLR.xlsx]D KLR'!$B$80:$B$757,"&lt;="&amp;'[Steuerung.xlsx]Steuerung'!$F$7,'[D KLR.xlsx]D KLR'!$C$80:$C$757,C49)</f>
        <v/>
      </c>
      <c r="H49" s="11">
        <f>SUMIFS('[D KLR.xlsx]D KLR'!$N$80:$N$757,'[D KLR.xlsx]D KLR'!$A$80:$A$757,'[Steuerung.xlsx]Steuerung'!$F$6,'[D KLR.xlsx]D KLR'!$B$80:$B$757,"&lt;="&amp;'[Steuerung.xlsx]Steuerung'!$F$7,'[D KLR.xlsx]D KLR'!$C$80:$C$757,C49)</f>
        <v/>
      </c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 ht="21" customHeight="1">
      <c r="A50" s="1" t="n"/>
      <c r="B50" s="1" t="n"/>
      <c r="C50" s="1" t="inlineStr">
        <is>
          <t>411030.0</t>
        </is>
      </c>
      <c r="D50" s="1" t="inlineStr">
        <is>
          <t>Arbeitgeberzusch.VWL</t>
        </is>
      </c>
      <c r="E50" s="1" t="inlineStr">
        <is>
          <t>Personal</t>
        </is>
      </c>
      <c r="F50" s="1" t="n">
        <v>2</v>
      </c>
      <c r="G50" s="6">
        <f>SUMIFS('[D KLR.xlsx]D KLR'!$H$80:$H$757,'[D KLR.xlsx]D KLR'!$A$80:$A$757,'[Steuerung.xlsx]Steuerung'!$F$6,'[D KLR.xlsx]D KLR'!$B$80:$B$757,"&lt;="&amp;'[Steuerung.xlsx]Steuerung'!$F$7,'[D KLR.xlsx]D KLR'!$C$80:$C$757,C50)</f>
        <v/>
      </c>
      <c r="H50" s="11">
        <f>SUMIFS('[D KLR.xlsx]D KLR'!$N$80:$N$757,'[D KLR.xlsx]D KLR'!$A$80:$A$757,'[Steuerung.xlsx]Steuerung'!$F$6,'[D KLR.xlsx]D KLR'!$B$80:$B$757,"&lt;="&amp;'[Steuerung.xlsx]Steuerung'!$F$7,'[D KLR.xlsx]D KLR'!$C$80:$C$757,C50)</f>
        <v/>
      </c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 ht="21" customHeight="1">
      <c r="A51" s="1" t="n"/>
      <c r="B51" s="1" t="n"/>
      <c r="C51" s="1" t="inlineStr">
        <is>
          <t>411070.0</t>
        </is>
      </c>
      <c r="D51" s="1" t="inlineStr">
        <is>
          <t>Personalwerbung</t>
        </is>
      </c>
      <c r="E51" s="1" t="inlineStr">
        <is>
          <t>Personal</t>
        </is>
      </c>
      <c r="F51" s="1" t="n">
        <v>2</v>
      </c>
      <c r="G51" s="6">
        <f>SUMIFS('[D KLR.xlsx]D KLR'!$H$80:$H$757,'[D KLR.xlsx]D KLR'!$A$80:$A$757,'[Steuerung.xlsx]Steuerung'!$F$6,'[D KLR.xlsx]D KLR'!$B$80:$B$757,"&lt;="&amp;'[Steuerung.xlsx]Steuerung'!$F$7,'[D KLR.xlsx]D KLR'!$C$80:$C$757,C51)</f>
        <v/>
      </c>
      <c r="H51" s="11">
        <f>SUMIFS('[D KLR.xlsx]D KLR'!$N$80:$N$757,'[D KLR.xlsx]D KLR'!$A$80:$A$757,'[Steuerung.xlsx]Steuerung'!$F$6,'[D KLR.xlsx]D KLR'!$B$80:$B$757,"&lt;="&amp;'[Steuerung.xlsx]Steuerung'!$F$7,'[D KLR.xlsx]D KLR'!$C$80:$C$757,C51)</f>
        <v/>
      </c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 ht="21" customHeight="1">
      <c r="A52" s="1" t="n"/>
      <c r="B52" s="1" t="n"/>
      <c r="C52" s="1" t="inlineStr">
        <is>
          <t>411090.0</t>
        </is>
      </c>
      <c r="D52" s="1" t="inlineStr">
        <is>
          <t>Schulung und Ausbildung</t>
        </is>
      </c>
      <c r="E52" s="1" t="inlineStr">
        <is>
          <t>Personal</t>
        </is>
      </c>
      <c r="F52" s="1" t="n">
        <v>2</v>
      </c>
      <c r="G52" s="6">
        <f>SUMIFS('[D KLR.xlsx]D KLR'!$H$80:$H$757,'[D KLR.xlsx]D KLR'!$A$80:$A$757,'[Steuerung.xlsx]Steuerung'!$F$6,'[D KLR.xlsx]D KLR'!$B$80:$B$757,"&lt;="&amp;'[Steuerung.xlsx]Steuerung'!$F$7,'[D KLR.xlsx]D KLR'!$C$80:$C$757,C52)</f>
        <v/>
      </c>
      <c r="H52" s="11">
        <f>SUMIFS('[D KLR.xlsx]D KLR'!$N$80:$N$757,'[D KLR.xlsx]D KLR'!$A$80:$A$757,'[Steuerung.xlsx]Steuerung'!$F$6,'[D KLR.xlsx]D KLR'!$B$80:$B$757,"&lt;="&amp;'[Steuerung.xlsx]Steuerung'!$F$7,'[D KLR.xlsx]D KLR'!$C$80:$C$757,C52)</f>
        <v/>
      </c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 ht="21" customHeight="1">
      <c r="A53" s="1" t="n"/>
      <c r="B53" s="1" t="n"/>
      <c r="C53" s="1" t="inlineStr">
        <is>
          <t>411100.0</t>
        </is>
      </c>
      <c r="D53" s="1" t="inlineStr">
        <is>
          <t>Arbeitskleidung und Arbeitschutzbedarf</t>
        </is>
      </c>
      <c r="E53" s="1" t="inlineStr">
        <is>
          <t>Personal</t>
        </is>
      </c>
      <c r="F53" s="1" t="n">
        <v>2</v>
      </c>
      <c r="G53" s="6">
        <f>SUMIFS('[D KLR.xlsx]D KLR'!$H$80:$H$757,'[D KLR.xlsx]D KLR'!$A$80:$A$757,'[Steuerung.xlsx]Steuerung'!$F$6,'[D KLR.xlsx]D KLR'!$B$80:$B$757,"&lt;="&amp;'[Steuerung.xlsx]Steuerung'!$F$7,'[D KLR.xlsx]D KLR'!$C$80:$C$757,C53)</f>
        <v/>
      </c>
      <c r="H53" s="11">
        <f>SUMIFS('[D KLR.xlsx]D KLR'!$N$80:$N$757,'[D KLR.xlsx]D KLR'!$A$80:$A$757,'[Steuerung.xlsx]Steuerung'!$F$6,'[D KLR.xlsx]D KLR'!$B$80:$B$757,"&lt;="&amp;'[Steuerung.xlsx]Steuerung'!$F$7,'[D KLR.xlsx]D KLR'!$C$80:$C$757,C53)</f>
        <v/>
      </c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 ht="21" customHeight="1">
      <c r="A54" s="1" t="n"/>
      <c r="B54" s="1" t="n"/>
      <c r="C54" s="1" t="inlineStr">
        <is>
          <t>411900.0</t>
        </is>
      </c>
      <c r="D54" s="1" t="inlineStr">
        <is>
          <t>Sonstige Personalkosten</t>
        </is>
      </c>
      <c r="E54" s="1" t="inlineStr">
        <is>
          <t>Personal</t>
        </is>
      </c>
      <c r="F54" s="1" t="n">
        <v>2</v>
      </c>
      <c r="G54" s="6">
        <f>SUMIFS('[D KLR.xlsx]D KLR'!$H$80:$H$757,'[D KLR.xlsx]D KLR'!$A$80:$A$757,'[Steuerung.xlsx]Steuerung'!$F$6,'[D KLR.xlsx]D KLR'!$B$80:$B$757,"&lt;="&amp;'[Steuerung.xlsx]Steuerung'!$F$7,'[D KLR.xlsx]D KLR'!$C$80:$C$757,C54)</f>
        <v/>
      </c>
      <c r="H54" s="11">
        <f>SUMIFS('[D KLR.xlsx]D KLR'!$N$80:$N$757,'[D KLR.xlsx]D KLR'!$A$80:$A$757,'[Steuerung.xlsx]Steuerung'!$F$6,'[D KLR.xlsx]D KLR'!$B$80:$B$757,"&lt;="&amp;'[Steuerung.xlsx]Steuerung'!$F$7,'[D KLR.xlsx]D KLR'!$C$80:$C$757,C54)</f>
        <v/>
      </c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 ht="21" customHeight="1">
      <c r="A55" s="1" t="n"/>
      <c r="B55" s="1" t="n"/>
      <c r="C55" s="1" t="inlineStr">
        <is>
          <t>411910.0</t>
        </is>
      </c>
      <c r="D55" s="1" t="inlineStr">
        <is>
          <t>Lohnzuschüsse(Lohnüb</t>
        </is>
      </c>
      <c r="E55" s="1" t="inlineStr">
        <is>
          <t>Personal</t>
        </is>
      </c>
      <c r="F55" s="1" t="n">
        <v>2</v>
      </c>
      <c r="G55" s="6">
        <f>SUMIFS('[D KLR.xlsx]D KLR'!$H$80:$H$757,'[D KLR.xlsx]D KLR'!$A$80:$A$757,'[Steuerung.xlsx]Steuerung'!$F$6,'[D KLR.xlsx]D KLR'!$B$80:$B$757,"&lt;="&amp;'[Steuerung.xlsx]Steuerung'!$F$7,'[D KLR.xlsx]D KLR'!$C$80:$C$757,C55)</f>
        <v/>
      </c>
      <c r="H55" s="11">
        <f>SUMIFS('[D KLR.xlsx]D KLR'!$N$80:$N$757,'[D KLR.xlsx]D KLR'!$A$80:$A$757,'[Steuerung.xlsx]Steuerung'!$F$6,'[D KLR.xlsx]D KLR'!$B$80:$B$757,"&lt;="&amp;'[Steuerung.xlsx]Steuerung'!$F$7,'[D KLR.xlsx]D KLR'!$C$80:$C$757,C55)</f>
        <v/>
      </c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 ht="21" customHeight="1">
      <c r="A56" s="1" t="n"/>
      <c r="B56" s="1" t="n"/>
      <c r="C56" s="1" t="inlineStr">
        <is>
          <t>420012.0</t>
        </is>
      </c>
      <c r="D56" s="1" t="inlineStr">
        <is>
          <t>Sonstige Kosten Grundstücke und Gebäude</t>
        </is>
      </c>
      <c r="E56" s="1" t="inlineStr">
        <is>
          <t>Raum, Energie, Instandhaltung</t>
        </is>
      </c>
      <c r="F56" s="1" t="n">
        <v>2</v>
      </c>
      <c r="G56" s="6">
        <f>SUMIFS('[D KLR.xlsx]D KLR'!$H$80:$H$757,'[D KLR.xlsx]D KLR'!$A$80:$A$757,'[Steuerung.xlsx]Steuerung'!$F$6,'[D KLR.xlsx]D KLR'!$B$80:$B$757,"&lt;="&amp;'[Steuerung.xlsx]Steuerung'!$F$7,'[D KLR.xlsx]D KLR'!$C$80:$C$757,C56)</f>
        <v/>
      </c>
      <c r="H56" s="11">
        <f>SUMIFS('[D KLR.xlsx]D KLR'!$N$80:$N$757,'[D KLR.xlsx]D KLR'!$A$80:$A$757,'[Steuerung.xlsx]Steuerung'!$F$6,'[D KLR.xlsx]D KLR'!$B$80:$B$757,"&lt;="&amp;'[Steuerung.xlsx]Steuerung'!$F$7,'[D KLR.xlsx]D KLR'!$C$80:$C$757,C56)</f>
        <v/>
      </c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 ht="21" customHeight="1">
      <c r="A57" s="1" t="n"/>
      <c r="B57" s="1" t="n"/>
      <c r="C57" s="1" t="inlineStr">
        <is>
          <t>420021.0</t>
        </is>
      </c>
      <c r="D57" s="1" t="inlineStr">
        <is>
          <t>Raumpflege eigene Gebäude</t>
        </is>
      </c>
      <c r="E57" s="1" t="inlineStr">
        <is>
          <t>Raum, Energie, Instandhaltung</t>
        </is>
      </c>
      <c r="F57" s="1" t="n">
        <v>2</v>
      </c>
      <c r="G57" s="6">
        <f>SUMIFS('[D KLR.xlsx]D KLR'!$H$80:$H$757,'[D KLR.xlsx]D KLR'!$A$80:$A$757,'[Steuerung.xlsx]Steuerung'!$F$6,'[D KLR.xlsx]D KLR'!$B$80:$B$757,"&lt;="&amp;'[Steuerung.xlsx]Steuerung'!$F$7,'[D KLR.xlsx]D KLR'!$C$80:$C$757,C57)</f>
        <v/>
      </c>
      <c r="H57" s="11">
        <f>SUMIFS('[D KLR.xlsx]D KLR'!$N$80:$N$757,'[D KLR.xlsx]D KLR'!$A$80:$A$757,'[Steuerung.xlsx]Steuerung'!$F$6,'[D KLR.xlsx]D KLR'!$B$80:$B$757,"&lt;="&amp;'[Steuerung.xlsx]Steuerung'!$F$7,'[D KLR.xlsx]D KLR'!$C$80:$C$757,C57)</f>
        <v/>
      </c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 ht="21" customHeight="1">
      <c r="A58" s="1" t="n"/>
      <c r="B58" s="1" t="n"/>
      <c r="C58" s="1" t="inlineStr">
        <is>
          <t>420022.0</t>
        </is>
      </c>
      <c r="D58" s="1" t="inlineStr">
        <is>
          <t>Raumpflege fremde Gebäude</t>
        </is>
      </c>
      <c r="E58" s="1" t="inlineStr">
        <is>
          <t>Raum, Energie, Instandhaltung</t>
        </is>
      </c>
      <c r="F58" s="1" t="n">
        <v>2</v>
      </c>
      <c r="G58" s="6">
        <f>SUMIFS('[D KLR.xlsx]D KLR'!$H$80:$H$757,'[D KLR.xlsx]D KLR'!$A$80:$A$757,'[Steuerung.xlsx]Steuerung'!$F$6,'[D KLR.xlsx]D KLR'!$B$80:$B$757,"&lt;="&amp;'[Steuerung.xlsx]Steuerung'!$F$7,'[D KLR.xlsx]D KLR'!$C$80:$C$757,C58)</f>
        <v/>
      </c>
      <c r="H58" s="11">
        <f>SUMIFS('[D KLR.xlsx]D KLR'!$N$80:$N$757,'[D KLR.xlsx]D KLR'!$A$80:$A$757,'[Steuerung.xlsx]Steuerung'!$F$6,'[D KLR.xlsx]D KLR'!$B$80:$B$757,"&lt;="&amp;'[Steuerung.xlsx]Steuerung'!$F$7,'[D KLR.xlsx]D KLR'!$C$80:$C$757,C58)</f>
        <v/>
      </c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 ht="21" customHeight="1">
      <c r="A59" s="1" t="n"/>
      <c r="B59" s="1" t="n"/>
      <c r="C59" s="1" t="inlineStr">
        <is>
          <t>480100.0</t>
        </is>
      </c>
      <c r="D59" s="1" t="inlineStr">
        <is>
          <t>Normalabschreibung auf Anlagen</t>
        </is>
      </c>
      <c r="E59" s="1" t="inlineStr">
        <is>
          <t>Abschreibungen</t>
        </is>
      </c>
      <c r="F59" s="1" t="n">
        <v>2</v>
      </c>
      <c r="G59" s="6">
        <f>SUMIFS('[D KLR.xlsx]D KLR'!$H$80:$H$757,'[D KLR.xlsx]D KLR'!$A$80:$A$757,'[Steuerung.xlsx]Steuerung'!$F$6,'[D KLR.xlsx]D KLR'!$B$80:$B$757,"&lt;="&amp;'[Steuerung.xlsx]Steuerung'!$F$7,'[D KLR.xlsx]D KLR'!$C$80:$C$757,C59)</f>
        <v/>
      </c>
      <c r="H59" s="11">
        <f>SUMIFS('[D KLR.xlsx]D KLR'!$N$80:$N$757,'[D KLR.xlsx]D KLR'!$A$80:$A$757,'[Steuerung.xlsx]Steuerung'!$F$6,'[D KLR.xlsx]D KLR'!$B$80:$B$757,"&lt;="&amp;'[Steuerung.xlsx]Steuerung'!$F$7,'[D KLR.xlsx]D KLR'!$C$80:$C$757,C59)</f>
        <v/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 ht="21" customHeight="1">
      <c r="A60" s="1" t="n"/>
      <c r="B60" s="1" t="n"/>
      <c r="C60" s="1" t="inlineStr">
        <is>
          <t>201000.0</t>
        </is>
      </c>
      <c r="D60" s="1" t="inlineStr">
        <is>
          <t>Sonstige periodenfremde Aufwendungen</t>
        </is>
      </c>
      <c r="E60" s="1" t="inlineStr">
        <is>
          <t>Sonstiges</t>
        </is>
      </c>
      <c r="F60" s="1" t="n">
        <v>9</v>
      </c>
      <c r="G60" s="6">
        <f>SUMIFS('[D KLR.xlsx]D KLR'!$H$80:$H$757,'[D KLR.xlsx]D KLR'!$A$80:$A$757,'[Steuerung.xlsx]Steuerung'!$F$6,'[D KLR.xlsx]D KLR'!$B$80:$B$757,"&lt;="&amp;'[Steuerung.xlsx]Steuerung'!$F$7,'[D KLR.xlsx]D KLR'!$C$80:$C$757,C60)</f>
        <v/>
      </c>
      <c r="H60" s="11">
        <f>SUMIFS('[D KLR.xlsx]D KLR'!$N$80:$N$757,'[D KLR.xlsx]D KLR'!$A$80:$A$757,'[Steuerung.xlsx]Steuerung'!$F$6,'[D KLR.xlsx]D KLR'!$B$80:$B$757,"&lt;="&amp;'[Steuerung.xlsx]Steuerung'!$F$7,'[D KLR.xlsx]D KLR'!$C$80:$C$757,C60)</f>
        <v/>
      </c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 ht="21" customHeight="1">
      <c r="C61" s="12" t="inlineStr">
        <is>
          <t>210000.0</t>
        </is>
      </c>
      <c r="D61" s="12" t="inlineStr">
        <is>
          <t>Übrige Zinsen und ähnliche Aufwendungen</t>
        </is>
      </c>
      <c r="E61" s="12" t="inlineStr">
        <is>
          <t>Zinsergebnis</t>
        </is>
      </c>
      <c r="F61" s="12" t="n">
        <v>9</v>
      </c>
      <c r="G61" s="13">
        <f>SUMIFS('[D KLR.xlsx]D KLR'!$H$80:$H$757,'[D KLR.xlsx]D KLR'!$A$80:$A$757,'[Steuerung.xlsx]Steuerung'!$F$6,'[D KLR.xlsx]D KLR'!$B$80:$B$757,"&lt;="&amp;'[Steuerung.xlsx]Steuerung'!$F$7,'[D KLR.xlsx]D KLR'!$C$80:$C$757,C61)</f>
        <v/>
      </c>
      <c r="H61" s="14">
        <f>SUMIFS('[D KLR.xlsx]D KLR'!$N$80:$N$757,'[D KLR.xlsx]D KLR'!$A$80:$A$757,'[Steuerung.xlsx]Steuerung'!$F$6,'[D KLR.xlsx]D KLR'!$B$80:$B$757,"&lt;="&amp;'[Steuerung.xlsx]Steuerung'!$F$7,'[D KLR.xlsx]D KLR'!$C$80:$C$757,C61)</f>
        <v/>
      </c>
    </row>
    <row r="62" ht="21" customHeight="1">
      <c r="C62" s="12" t="inlineStr">
        <is>
          <t>210001.0</t>
        </is>
      </c>
      <c r="D62" s="12" t="inlineStr">
        <is>
          <t>Zins+Nebenl.Steuerza</t>
        </is>
      </c>
      <c r="E62" s="12" t="inlineStr">
        <is>
          <t>Zinsergebnis</t>
        </is>
      </c>
      <c r="F62" s="12" t="n">
        <v>9</v>
      </c>
      <c r="G62" s="13">
        <f>SUMIFS('[D KLR.xlsx]D KLR'!$H$80:$H$757,'[D KLR.xlsx]D KLR'!$A$80:$A$757,'[Steuerung.xlsx]Steuerung'!$F$6,'[D KLR.xlsx]D KLR'!$B$80:$B$757,"&lt;="&amp;'[Steuerung.xlsx]Steuerung'!$F$7,'[D KLR.xlsx]D KLR'!$C$80:$C$757,C62)</f>
        <v/>
      </c>
      <c r="H62" s="14">
        <f>SUMIFS('[D KLR.xlsx]D KLR'!$N$80:$N$757,'[D KLR.xlsx]D KLR'!$A$80:$A$757,'[Steuerung.xlsx]Steuerung'!$F$6,'[D KLR.xlsx]D KLR'!$B$80:$B$757,"&lt;="&amp;'[Steuerung.xlsx]Steuerung'!$F$7,'[D KLR.xlsx]D KLR'!$C$80:$C$757,C62)</f>
        <v/>
      </c>
    </row>
    <row r="63" ht="21" customHeight="1">
      <c r="C63" s="12" t="inlineStr">
        <is>
          <t>210900.0</t>
        </is>
      </c>
      <c r="D63" s="12" t="inlineStr">
        <is>
          <t>Zinsaufwendungen an verbundene Unternehm</t>
        </is>
      </c>
      <c r="E63" s="12" t="inlineStr">
        <is>
          <t>Zinsergebnis</t>
        </is>
      </c>
      <c r="F63" s="12" t="n">
        <v>9</v>
      </c>
      <c r="G63" s="13">
        <f>SUMIFS('[D KLR.xlsx]D KLR'!$H$80:$H$757,'[D KLR.xlsx]D KLR'!$A$80:$A$757,'[Steuerung.xlsx]Steuerung'!$F$6,'[D KLR.xlsx]D KLR'!$B$80:$B$757,"&lt;="&amp;'[Steuerung.xlsx]Steuerung'!$F$7,'[D KLR.xlsx]D KLR'!$C$80:$C$757,C63)</f>
        <v/>
      </c>
      <c r="H63" s="14">
        <f>SUMIFS('[D KLR.xlsx]D KLR'!$N$80:$N$757,'[D KLR.xlsx]D KLR'!$A$80:$A$757,'[Steuerung.xlsx]Steuerung'!$F$6,'[D KLR.xlsx]D KLR'!$B$80:$B$757,"&lt;="&amp;'[Steuerung.xlsx]Steuerung'!$F$7,'[D KLR.xlsx]D KLR'!$C$80:$C$757,C63)</f>
        <v/>
      </c>
    </row>
    <row r="64" ht="21" customHeight="1">
      <c r="C64" s="12" t="inlineStr">
        <is>
          <t>213101.0</t>
        </is>
      </c>
      <c r="D64" s="12" t="inlineStr">
        <is>
          <t>Zinsen Factoring</t>
        </is>
      </c>
      <c r="E64" s="12" t="inlineStr">
        <is>
          <t>Zinsergebnis</t>
        </is>
      </c>
      <c r="F64" s="12" t="n">
        <v>9</v>
      </c>
      <c r="G64" s="13">
        <f>SUMIFS('[D KLR.xlsx]D KLR'!$H$80:$H$757,'[D KLR.xlsx]D KLR'!$A$80:$A$757,'[Steuerung.xlsx]Steuerung'!$F$6,'[D KLR.xlsx]D KLR'!$B$80:$B$757,"&lt;="&amp;'[Steuerung.xlsx]Steuerung'!$F$7,'[D KLR.xlsx]D KLR'!$C$80:$C$757,C64)</f>
        <v/>
      </c>
      <c r="H64" s="14">
        <f>SUMIFS('[D KLR.xlsx]D KLR'!$N$80:$N$757,'[D KLR.xlsx]D KLR'!$A$80:$A$757,'[Steuerung.xlsx]Steuerung'!$F$6,'[D KLR.xlsx]D KLR'!$B$80:$B$757,"&lt;="&amp;'[Steuerung.xlsx]Steuerung'!$F$7,'[D KLR.xlsx]D KLR'!$C$80:$C$757,C64)</f>
        <v/>
      </c>
    </row>
    <row r="65" ht="21" customHeight="1">
      <c r="C65" s="12" t="inlineStr">
        <is>
          <t>213200.0</t>
        </is>
      </c>
      <c r="D65" s="12" t="inlineStr">
        <is>
          <t>Avalgebühren und -provisionen</t>
        </is>
      </c>
      <c r="E65" s="12" t="inlineStr">
        <is>
          <t>Zinsergebnis</t>
        </is>
      </c>
      <c r="F65" s="12" t="n">
        <v>9</v>
      </c>
      <c r="G65" s="13">
        <f>SUMIFS('[D KLR.xlsx]D KLR'!$H$80:$H$757,'[D KLR.xlsx]D KLR'!$A$80:$A$757,'[Steuerung.xlsx]Steuerung'!$F$6,'[D KLR.xlsx]D KLR'!$B$80:$B$757,"&lt;="&amp;'[Steuerung.xlsx]Steuerung'!$F$7,'[D KLR.xlsx]D KLR'!$C$80:$C$757,C65)</f>
        <v/>
      </c>
      <c r="H65" s="14">
        <f>SUMIFS('[D KLR.xlsx]D KLR'!$N$80:$N$757,'[D KLR.xlsx]D KLR'!$A$80:$A$757,'[Steuerung.xlsx]Steuerung'!$F$6,'[D KLR.xlsx]D KLR'!$B$80:$B$757,"&lt;="&amp;'[Steuerung.xlsx]Steuerung'!$F$7,'[D KLR.xlsx]D KLR'!$C$80:$C$757,C65)</f>
        <v/>
      </c>
    </row>
    <row r="66" ht="21" customHeight="1">
      <c r="C66" s="12" t="inlineStr">
        <is>
          <t>220000.0</t>
        </is>
      </c>
      <c r="D66" s="12" t="inlineStr">
        <is>
          <t>Körperschaftsteuer</t>
        </is>
      </c>
      <c r="E66" s="12" t="inlineStr">
        <is>
          <t>Sonstiges</t>
        </is>
      </c>
      <c r="F66" s="12" t="n">
        <v>9</v>
      </c>
      <c r="G66" s="13">
        <f>SUMIFS('[D KLR.xlsx]D KLR'!$H$80:$H$757,'[D KLR.xlsx]D KLR'!$A$80:$A$757,'[Steuerung.xlsx]Steuerung'!$F$6,'[D KLR.xlsx]D KLR'!$B$80:$B$757,"&lt;="&amp;'[Steuerung.xlsx]Steuerung'!$F$7,'[D KLR.xlsx]D KLR'!$C$80:$C$757,C66)</f>
        <v/>
      </c>
      <c r="H66" s="14">
        <f>SUMIFS('[D KLR.xlsx]D KLR'!$N$80:$N$757,'[D KLR.xlsx]D KLR'!$A$80:$A$757,'[Steuerung.xlsx]Steuerung'!$F$6,'[D KLR.xlsx]D KLR'!$B$80:$B$757,"&lt;="&amp;'[Steuerung.xlsx]Steuerung'!$F$7,'[D KLR.xlsx]D KLR'!$C$80:$C$757,C66)</f>
        <v/>
      </c>
    </row>
    <row r="67" ht="21" customHeight="1">
      <c r="C67" s="12" t="inlineStr">
        <is>
          <t>840040.0</t>
        </is>
      </c>
      <c r="D67" s="12" t="inlineStr">
        <is>
          <t>Erlöse Verkauf HW Schrott</t>
        </is>
      </c>
      <c r="E67" s="12" t="inlineStr">
        <is>
          <t>Umsatzerlöse</t>
        </is>
      </c>
      <c r="F67" s="12" t="n">
        <v>0</v>
      </c>
      <c r="G67" s="13">
        <f>SUMIFS('[D KLR.xlsx]D KLR'!$H$80:$H$757,'[D KLR.xlsx]D KLR'!$A$80:$A$757,'[Steuerung.xlsx]Steuerung'!$F$6,'[D KLR.xlsx]D KLR'!$B$80:$B$757,"&lt;="&amp;'[Steuerung.xlsx]Steuerung'!$F$7,'[D KLR.xlsx]D KLR'!$C$80:$C$757,C67)</f>
        <v/>
      </c>
      <c r="H67" s="14">
        <f>SUMIFS('[D KLR.xlsx]D KLR'!$N$80:$N$757,'[D KLR.xlsx]D KLR'!$A$80:$A$757,'[Steuerung.xlsx]Steuerung'!$F$6,'[D KLR.xlsx]D KLR'!$B$80:$B$757,"&lt;="&amp;'[Steuerung.xlsx]Steuerung'!$F$7,'[D KLR.xlsx]D KLR'!$C$80:$C$757,C67)</f>
        <v/>
      </c>
    </row>
    <row r="68" ht="21" customHeight="1">
      <c r="C68" s="12" t="inlineStr">
        <is>
          <t>400030.0</t>
        </is>
      </c>
      <c r="D68" s="12" t="inlineStr">
        <is>
          <t>Instandhaltung selbstfahrende Arbeitsmas</t>
        </is>
      </c>
      <c r="E68" s="12" t="inlineStr">
        <is>
          <t>Fuhrpark</t>
        </is>
      </c>
      <c r="F68" s="12" t="n">
        <v>2</v>
      </c>
      <c r="G68" s="13">
        <f>SUMIFS('[D KLR.xlsx]D KLR'!$H$80:$H$757,'[D KLR.xlsx]D KLR'!$A$80:$A$757,'[Steuerung.xlsx]Steuerung'!$F$6,'[D KLR.xlsx]D KLR'!$B$80:$B$757,"&lt;="&amp;'[Steuerung.xlsx]Steuerung'!$F$7,'[D KLR.xlsx]D KLR'!$C$80:$C$757,C68)</f>
        <v/>
      </c>
      <c r="H68" s="14">
        <f>SUMIFS('[D KLR.xlsx]D KLR'!$N$80:$N$757,'[D KLR.xlsx]D KLR'!$A$80:$A$757,'[Steuerung.xlsx]Steuerung'!$F$6,'[D KLR.xlsx]D KLR'!$B$80:$B$757,"&lt;="&amp;'[Steuerung.xlsx]Steuerung'!$F$7,'[D KLR.xlsx]D KLR'!$C$80:$C$757,C68)</f>
        <v/>
      </c>
    </row>
    <row r="69" ht="21" customHeight="1">
      <c r="C69" s="12" t="inlineStr">
        <is>
          <t>400035.0</t>
        </is>
      </c>
      <c r="D69" s="12" t="inlineStr">
        <is>
          <t>Instandhaltung Miet-und Leasingfahrzeuge</t>
        </is>
      </c>
      <c r="E69" s="12" t="inlineStr">
        <is>
          <t>Fuhrpark</t>
        </is>
      </c>
      <c r="F69" s="12" t="n">
        <v>2</v>
      </c>
      <c r="G69" s="13">
        <f>SUMIFS('[D KLR.xlsx]D KLR'!$H$80:$H$757,'[D KLR.xlsx]D KLR'!$A$80:$A$757,'[Steuerung.xlsx]Steuerung'!$F$6,'[D KLR.xlsx]D KLR'!$B$80:$B$757,"&lt;="&amp;'[Steuerung.xlsx]Steuerung'!$F$7,'[D KLR.xlsx]D KLR'!$C$80:$C$757,C69)</f>
        <v/>
      </c>
      <c r="H69" s="14">
        <f>SUMIFS('[D KLR.xlsx]D KLR'!$N$80:$N$757,'[D KLR.xlsx]D KLR'!$A$80:$A$757,'[Steuerung.xlsx]Steuerung'!$F$6,'[D KLR.xlsx]D KLR'!$B$80:$B$757,"&lt;="&amp;'[Steuerung.xlsx]Steuerung'!$F$7,'[D KLR.xlsx]D KLR'!$C$80:$C$757,C69)</f>
        <v/>
      </c>
    </row>
    <row r="70" ht="21" customHeight="1">
      <c r="C70" s="12" t="inlineStr">
        <is>
          <t>411040</t>
        </is>
      </c>
      <c r="D70" s="12" t="inlineStr">
        <is>
          <t>Neu aus Import – Bezeichnung pflegen</t>
        </is>
      </c>
      <c r="E70" s="12" t="inlineStr">
        <is>
          <t>Personal</t>
        </is>
      </c>
      <c r="F70" s="12" t="n">
        <v>2</v>
      </c>
      <c r="G70" s="13">
        <f>SUMIFS('[D KLR.xlsx]D KLR'!$H$80:$H$757,'[D KLR.xlsx]D KLR'!$A$80:$A$757,'[Steuerung.xlsx]Steuerung'!$F$6,'[D KLR.xlsx]D KLR'!$B$80:$B$757,"&lt;="&amp;'[Steuerung.xlsx]Steuerung'!$F$7,'[D KLR.xlsx]D KLR'!$C$80:$C$757,C70)</f>
        <v/>
      </c>
      <c r="H70" s="14">
        <f>SUMIFS('[D KLR.xlsx]D KLR'!$N$80:$N$757,'[D KLR.xlsx]D KLR'!$A$80:$A$757,'[Steuerung.xlsx]Steuerung'!$F$6,'[D KLR.xlsx]D KLR'!$B$80:$B$757,"&lt;="&amp;'[Steuerung.xlsx]Steuerung'!$F$7,'[D KLR.xlsx]D KLR'!$C$80:$C$757,C70)</f>
        <v/>
      </c>
    </row>
    <row r="71" ht="21" customHeight="1">
      <c r="C71" s="12" t="inlineStr">
        <is>
          <t>310900.0</t>
        </is>
      </c>
      <c r="D71" s="12" t="inlineStr">
        <is>
          <t>Sonstige Hilfs- und Betriebsstoffe</t>
        </is>
      </c>
      <c r="E71" s="12" t="inlineStr">
        <is>
          <t>Material und Fremdleistungen</t>
        </is>
      </c>
      <c r="F71" s="12" t="n">
        <v>1</v>
      </c>
      <c r="G71" s="13">
        <f>SUMIFS('[D KLR.xlsx]D KLR'!$H$80:$H$757,'[D KLR.xlsx]D KLR'!$A$80:$A$757,'[Steuerung.xlsx]Steuerung'!$F$6,'[D KLR.xlsx]D KLR'!$B$80:$B$757,"&lt;="&amp;'[Steuerung.xlsx]Steuerung'!$F$7,'[D KLR.xlsx]D KLR'!$C$80:$C$757,C71)</f>
        <v/>
      </c>
      <c r="H71" s="14">
        <f>SUMIFS('[D KLR.xlsx]D KLR'!$N$80:$N$757,'[D KLR.xlsx]D KLR'!$A$80:$A$757,'[Steuerung.xlsx]Steuerung'!$F$6,'[D KLR.xlsx]D KLR'!$B$80:$B$757,"&lt;="&amp;'[Steuerung.xlsx]Steuerung'!$F$7,'[D KLR.xlsx]D KLR'!$C$80:$C$757,C71)</f>
        <v/>
      </c>
    </row>
    <row r="72" ht="21" customHeight="1">
      <c r="C72" s="12" t="inlineStr">
        <is>
          <t>330900.0</t>
        </is>
      </c>
      <c r="D72" s="12" t="inlineStr">
        <is>
          <t>Erhaltene Skonti</t>
        </is>
      </c>
      <c r="E72" s="12" t="inlineStr">
        <is>
          <t>Material und Fremdleistungen</t>
        </is>
      </c>
      <c r="F72" s="12" t="n">
        <v>1</v>
      </c>
      <c r="G72" s="13">
        <f>SUMIFS('[D KLR.xlsx]D KLR'!$H$80:$H$757,'[D KLR.xlsx]D KLR'!$A$80:$A$757,'[Steuerung.xlsx]Steuerung'!$F$6,'[D KLR.xlsx]D KLR'!$B$80:$B$757,"&lt;="&amp;'[Steuerung.xlsx]Steuerung'!$F$7,'[D KLR.xlsx]D KLR'!$C$80:$C$757,C72)</f>
        <v/>
      </c>
      <c r="H72" s="14">
        <f>SUMIFS('[D KLR.xlsx]D KLR'!$N$80:$N$757,'[D KLR.xlsx]D KLR'!$A$80:$A$757,'[Steuerung.xlsx]Steuerung'!$F$6,'[D KLR.xlsx]D KLR'!$B$80:$B$757,"&lt;="&amp;'[Steuerung.xlsx]Steuerung'!$F$7,'[D KLR.xlsx]D KLR'!$C$80:$C$757,C72)</f>
        <v/>
      </c>
    </row>
    <row r="73" ht="21" customHeight="1">
      <c r="C73" s="12" t="inlineStr">
        <is>
          <t>340030.0</t>
        </is>
      </c>
      <c r="D73" s="12" t="inlineStr">
        <is>
          <t>Fremdleistungen Personal</t>
        </is>
      </c>
      <c r="E73" s="12" t="inlineStr">
        <is>
          <t>Material und Fremdleistungen</t>
        </is>
      </c>
      <c r="F73" s="12" t="n">
        <v>1</v>
      </c>
      <c r="G73" s="13">
        <f>SUMIFS('[D KLR.xlsx]D KLR'!$H$80:$H$757,'[D KLR.xlsx]D KLR'!$A$80:$A$757,'[Steuerung.xlsx]Steuerung'!$F$6,'[D KLR.xlsx]D KLR'!$B$80:$B$757,"&lt;="&amp;'[Steuerung.xlsx]Steuerung'!$F$7,'[D KLR.xlsx]D KLR'!$C$80:$C$757,C73)</f>
        <v/>
      </c>
      <c r="H73" s="14">
        <f>SUMIFS('[D KLR.xlsx]D KLR'!$N$80:$N$757,'[D KLR.xlsx]D KLR'!$A$80:$A$757,'[Steuerung.xlsx]Steuerung'!$F$6,'[D KLR.xlsx]D KLR'!$B$80:$B$757,"&lt;="&amp;'[Steuerung.xlsx]Steuerung'!$F$7,'[D KLR.xlsx]D KLR'!$C$80:$C$757,C73)</f>
        <v/>
      </c>
    </row>
    <row r="74" ht="21" customHeight="1">
      <c r="C74" s="12" t="inlineStr">
        <is>
          <t>340050.0</t>
        </is>
      </c>
      <c r="D74" s="12" t="inlineStr">
        <is>
          <t>Fremdleistungen Wartung/Pflege</t>
        </is>
      </c>
      <c r="E74" s="12" t="inlineStr">
        <is>
          <t>Material und Fremdleistungen</t>
        </is>
      </c>
      <c r="F74" s="12" t="n">
        <v>1</v>
      </c>
      <c r="G74" s="13">
        <f>SUMIFS('[D KLR.xlsx]D KLR'!$H$80:$H$757,'[D KLR.xlsx]D KLR'!$A$80:$A$757,'[Steuerung.xlsx]Steuerung'!$F$6,'[D KLR.xlsx]D KLR'!$B$80:$B$757,"&lt;="&amp;'[Steuerung.xlsx]Steuerung'!$F$7,'[D KLR.xlsx]D KLR'!$C$80:$C$757,C74)</f>
        <v/>
      </c>
      <c r="H74" s="14">
        <f>SUMIFS('[D KLR.xlsx]D KLR'!$N$80:$N$757,'[D KLR.xlsx]D KLR'!$A$80:$A$757,'[Steuerung.xlsx]Steuerung'!$F$6,'[D KLR.xlsx]D KLR'!$B$80:$B$757,"&lt;="&amp;'[Steuerung.xlsx]Steuerung'!$F$7,'[D KLR.xlsx]D KLR'!$C$80:$C$757,C74)</f>
        <v/>
      </c>
    </row>
    <row r="75" ht="21" customHeight="1">
      <c r="C75" s="12" t="inlineStr">
        <is>
          <t>340100.0</t>
        </is>
      </c>
      <c r="D75" s="12" t="inlineStr">
        <is>
          <t>Fremdl.Fuhrl.+Kippgb</t>
        </is>
      </c>
      <c r="E75" s="12" t="inlineStr">
        <is>
          <t>Material und Fremdleistungen</t>
        </is>
      </c>
      <c r="F75" s="12" t="n">
        <v>1</v>
      </c>
      <c r="G75" s="13">
        <f>SUMIFS('[D KLR.xlsx]D KLR'!$H$80:$H$757,'[D KLR.xlsx]D KLR'!$A$80:$A$757,'[Steuerung.xlsx]Steuerung'!$F$6,'[D KLR.xlsx]D KLR'!$B$80:$B$757,"&lt;="&amp;'[Steuerung.xlsx]Steuerung'!$F$7,'[D KLR.xlsx]D KLR'!$C$80:$C$757,C75)</f>
        <v/>
      </c>
      <c r="H75" s="14">
        <f>SUMIFS('[D KLR.xlsx]D KLR'!$N$80:$N$757,'[D KLR.xlsx]D KLR'!$A$80:$A$757,'[Steuerung.xlsx]Steuerung'!$F$6,'[D KLR.xlsx]D KLR'!$B$80:$B$757,"&lt;="&amp;'[Steuerung.xlsx]Steuerung'!$F$7,'[D KLR.xlsx]D KLR'!$C$80:$C$757,C75)</f>
        <v/>
      </c>
    </row>
    <row r="76" ht="21" customHeight="1">
      <c r="C76" s="12" t="inlineStr">
        <is>
          <t>350500.0</t>
        </is>
      </c>
      <c r="D76" s="12" t="inlineStr">
        <is>
          <t>Weiterb.Fremdkosten</t>
        </is>
      </c>
      <c r="E76" s="12" t="inlineStr">
        <is>
          <t>Material und Fremdleistungen</t>
        </is>
      </c>
      <c r="F76" s="12" t="n">
        <v>1</v>
      </c>
      <c r="G76" s="13">
        <f>SUMIFS('[D KLR.xlsx]D KLR'!$H$80:$H$757,'[D KLR.xlsx]D KLR'!$A$80:$A$757,'[Steuerung.xlsx]Steuerung'!$F$6,'[D KLR.xlsx]D KLR'!$B$80:$B$757,"&lt;="&amp;'[Steuerung.xlsx]Steuerung'!$F$7,'[D KLR.xlsx]D KLR'!$C$80:$C$757,C76)</f>
        <v/>
      </c>
      <c r="H76" s="14">
        <f>SUMIFS('[D KLR.xlsx]D KLR'!$N$80:$N$757,'[D KLR.xlsx]D KLR'!$A$80:$A$757,'[Steuerung.xlsx]Steuerung'!$F$6,'[D KLR.xlsx]D KLR'!$B$80:$B$757,"&lt;="&amp;'[Steuerung.xlsx]Steuerung'!$F$7,'[D KLR.xlsx]D KLR'!$C$80:$C$757,C76)</f>
        <v/>
      </c>
    </row>
    <row r="77" ht="21" customHeight="1">
      <c r="C77" s="12" t="inlineStr">
        <is>
          <t>400010.0</t>
        </is>
      </c>
      <c r="D77" s="12" t="inlineStr">
        <is>
          <t>Instandhaltung Lastkraftwagen</t>
        </is>
      </c>
      <c r="E77" s="12" t="inlineStr">
        <is>
          <t>Fuhrpark</t>
        </is>
      </c>
      <c r="F77" s="12" t="n">
        <v>2</v>
      </c>
      <c r="G77" s="13">
        <f>SUMIFS('[D KLR.xlsx]D KLR'!$H$80:$H$757,'[D KLR.xlsx]D KLR'!$A$80:$A$757,'[Steuerung.xlsx]Steuerung'!$F$6,'[D KLR.xlsx]D KLR'!$B$80:$B$757,"&lt;="&amp;'[Steuerung.xlsx]Steuerung'!$F$7,'[D KLR.xlsx]D KLR'!$C$80:$C$757,C77)</f>
        <v/>
      </c>
      <c r="H77" s="14">
        <f>SUMIFS('[D KLR.xlsx]D KLR'!$N$80:$N$757,'[D KLR.xlsx]D KLR'!$A$80:$A$757,'[Steuerung.xlsx]Steuerung'!$F$6,'[D KLR.xlsx]D KLR'!$B$80:$B$757,"&lt;="&amp;'[Steuerung.xlsx]Steuerung'!$F$7,'[D KLR.xlsx]D KLR'!$C$80:$C$757,C77)</f>
        <v/>
      </c>
    </row>
    <row r="78" ht="21" customHeight="1">
      <c r="C78" s="12" t="inlineStr">
        <is>
          <t>400011.0</t>
        </is>
      </c>
      <c r="D78" s="12" t="inlineStr">
        <is>
          <t>Reifenkosten</t>
        </is>
      </c>
      <c r="E78" s="12" t="inlineStr">
        <is>
          <t>Fuhrpark</t>
        </is>
      </c>
      <c r="F78" s="12" t="n">
        <v>2</v>
      </c>
      <c r="G78" s="13">
        <f>SUMIFS('[D KLR.xlsx]D KLR'!$H$80:$H$757,'[D KLR.xlsx]D KLR'!$A$80:$A$757,'[Steuerung.xlsx]Steuerung'!$F$6,'[D KLR.xlsx]D KLR'!$B$80:$B$757,"&lt;="&amp;'[Steuerung.xlsx]Steuerung'!$F$7,'[D KLR.xlsx]D KLR'!$C$80:$C$757,C78)</f>
        <v/>
      </c>
      <c r="H78" s="14">
        <f>SUMIFS('[D KLR.xlsx]D KLR'!$N$80:$N$757,'[D KLR.xlsx]D KLR'!$A$80:$A$757,'[Steuerung.xlsx]Steuerung'!$F$6,'[D KLR.xlsx]D KLR'!$B$80:$B$757,"&lt;="&amp;'[Steuerung.xlsx]Steuerung'!$F$7,'[D KLR.xlsx]D KLR'!$C$80:$C$757,C78)</f>
        <v/>
      </c>
    </row>
    <row r="79" ht="21" customHeight="1">
      <c r="C79" s="12" t="inlineStr">
        <is>
          <t>400020.0</t>
        </is>
      </c>
      <c r="D79" s="12" t="inlineStr">
        <is>
          <t>Instandhaltung Personenkraftwagen</t>
        </is>
      </c>
      <c r="E79" s="12" t="inlineStr">
        <is>
          <t>Fuhrpark</t>
        </is>
      </c>
      <c r="F79" s="12" t="n">
        <v>2</v>
      </c>
      <c r="G79" s="13">
        <f>SUMIFS('[D KLR.xlsx]D KLR'!$H$80:$H$757,'[D KLR.xlsx]D KLR'!$A$80:$A$757,'[Steuerung.xlsx]Steuerung'!$F$6,'[D KLR.xlsx]D KLR'!$B$80:$B$757,"&lt;="&amp;'[Steuerung.xlsx]Steuerung'!$F$7,'[D KLR.xlsx]D KLR'!$C$80:$C$757,C79)</f>
        <v/>
      </c>
      <c r="H79" s="14">
        <f>SUMIFS('[D KLR.xlsx]D KLR'!$N$80:$N$757,'[D KLR.xlsx]D KLR'!$A$80:$A$757,'[Steuerung.xlsx]Steuerung'!$F$6,'[D KLR.xlsx]D KLR'!$B$80:$B$757,"&lt;="&amp;'[Steuerung.xlsx]Steuerung'!$F$7,'[D KLR.xlsx]D KLR'!$C$80:$C$757,C79)</f>
        <v/>
      </c>
    </row>
    <row r="80" ht="21" customHeight="1">
      <c r="C80" s="12" t="inlineStr">
        <is>
          <t>400040.0</t>
        </is>
      </c>
      <c r="D80" s="12" t="inlineStr">
        <is>
          <t>DEKRA / TÜV / sonstige Gebühren Fuhrpark</t>
        </is>
      </c>
      <c r="E80" s="12" t="inlineStr">
        <is>
          <t>Fuhrpark</t>
        </is>
      </c>
      <c r="F80" s="12" t="n">
        <v>2</v>
      </c>
      <c r="G80" s="13">
        <f>SUMIFS('[D KLR.xlsx]D KLR'!$H$80:$H$757,'[D KLR.xlsx]D KLR'!$A$80:$A$757,'[Steuerung.xlsx]Steuerung'!$F$6,'[D KLR.xlsx]D KLR'!$B$80:$B$757,"&lt;="&amp;'[Steuerung.xlsx]Steuerung'!$F$7,'[D KLR.xlsx]D KLR'!$C$80:$C$757,C80)</f>
        <v/>
      </c>
      <c r="H80" s="14">
        <f>SUMIFS('[D KLR.xlsx]D KLR'!$N$80:$N$757,'[D KLR.xlsx]D KLR'!$A$80:$A$757,'[Steuerung.xlsx]Steuerung'!$F$6,'[D KLR.xlsx]D KLR'!$B$80:$B$757,"&lt;="&amp;'[Steuerung.xlsx]Steuerung'!$F$7,'[D KLR.xlsx]D KLR'!$C$80:$C$757,C80)</f>
        <v/>
      </c>
    </row>
    <row r="81" ht="21" customHeight="1">
      <c r="C81" s="12" t="inlineStr">
        <is>
          <t>420030.0</t>
        </is>
      </c>
      <c r="D81" s="12" t="inlineStr">
        <is>
          <t>Aufwand Energie</t>
        </is>
      </c>
      <c r="E81" s="12" t="inlineStr">
        <is>
          <t>Raum, Energie, Instandhaltung</t>
        </is>
      </c>
      <c r="F81" s="12" t="n">
        <v>2</v>
      </c>
      <c r="G81" s="13">
        <f>SUMIFS('[D KLR.xlsx]D KLR'!$H$80:$H$757,'[D KLR.xlsx]D KLR'!$A$80:$A$757,'[Steuerung.xlsx]Steuerung'!$F$6,'[D KLR.xlsx]D KLR'!$B$80:$B$757,"&lt;="&amp;'[Steuerung.xlsx]Steuerung'!$F$7,'[D KLR.xlsx]D KLR'!$C$80:$C$757,C81)</f>
        <v/>
      </c>
      <c r="H81" s="14">
        <f>SUMIFS('[D KLR.xlsx]D KLR'!$N$80:$N$757,'[D KLR.xlsx]D KLR'!$A$80:$A$757,'[Steuerung.xlsx]Steuerung'!$F$6,'[D KLR.xlsx]D KLR'!$B$80:$B$757,"&lt;="&amp;'[Steuerung.xlsx]Steuerung'!$F$7,'[D KLR.xlsx]D KLR'!$C$80:$C$757,C81)</f>
        <v/>
      </c>
    </row>
    <row r="82" ht="21" customHeight="1">
      <c r="C82" s="12" t="inlineStr">
        <is>
          <t>420040.0</t>
        </is>
      </c>
      <c r="D82" s="12" t="inlineStr">
        <is>
          <t>Aufwand Wasser</t>
        </is>
      </c>
      <c r="E82" s="12" t="inlineStr">
        <is>
          <t>Raum, Energie, Instandhaltung</t>
        </is>
      </c>
      <c r="F82" s="12" t="n">
        <v>2</v>
      </c>
      <c r="G82" s="13">
        <f>SUMIFS('[D KLR.xlsx]D KLR'!$H$80:$H$757,'[D KLR.xlsx]D KLR'!$A$80:$A$757,'[Steuerung.xlsx]Steuerung'!$F$6,'[D KLR.xlsx]D KLR'!$B$80:$B$757,"&lt;="&amp;'[Steuerung.xlsx]Steuerung'!$F$7,'[D KLR.xlsx]D KLR'!$C$80:$C$757,C82)</f>
        <v/>
      </c>
      <c r="H82" s="14">
        <f>SUMIFS('[D KLR.xlsx]D KLR'!$N$80:$N$757,'[D KLR.xlsx]D KLR'!$A$80:$A$757,'[Steuerung.xlsx]Steuerung'!$F$6,'[D KLR.xlsx]D KLR'!$B$80:$B$757,"&lt;="&amp;'[Steuerung.xlsx]Steuerung'!$F$7,'[D KLR.xlsx]D KLR'!$C$80:$C$757,C82)</f>
        <v/>
      </c>
    </row>
    <row r="83" ht="21" customHeight="1">
      <c r="C83" s="12" t="inlineStr">
        <is>
          <t>431090.0</t>
        </is>
      </c>
      <c r="D83" s="12" t="inlineStr">
        <is>
          <t>Sonstige Mieten</t>
        </is>
      </c>
      <c r="E83" s="12" t="inlineStr">
        <is>
          <t>Versicherungen, Mieten, Steuern</t>
        </is>
      </c>
      <c r="F83" s="12" t="n">
        <v>2</v>
      </c>
      <c r="G83" s="13">
        <f>SUMIFS('[D KLR.xlsx]D KLR'!$H$80:$H$757,'[D KLR.xlsx]D KLR'!$A$80:$A$757,'[Steuerung.xlsx]Steuerung'!$F$6,'[D KLR.xlsx]D KLR'!$B$80:$B$757,"&lt;="&amp;'[Steuerung.xlsx]Steuerung'!$F$7,'[D KLR.xlsx]D KLR'!$C$80:$C$757,C83)</f>
        <v/>
      </c>
      <c r="H83" s="14">
        <f>SUMIFS('[D KLR.xlsx]D KLR'!$N$80:$N$757,'[D KLR.xlsx]D KLR'!$A$80:$A$757,'[Steuerung.xlsx]Steuerung'!$F$6,'[D KLR.xlsx]D KLR'!$B$80:$B$757,"&lt;="&amp;'[Steuerung.xlsx]Steuerung'!$F$7,'[D KLR.xlsx]D KLR'!$C$80:$C$757,C83)</f>
        <v/>
      </c>
    </row>
    <row r="84" ht="21" customHeight="1">
      <c r="C84" s="12" t="inlineStr">
        <is>
          <t>221200.0</t>
        </is>
      </c>
      <c r="D84" s="12" t="inlineStr">
        <is>
          <t>Solidaritätszuschlag</t>
        </is>
      </c>
      <c r="E84" s="12" t="inlineStr">
        <is>
          <t>Sonstiges</t>
        </is>
      </c>
      <c r="F84" s="12" t="n">
        <v>9</v>
      </c>
      <c r="G84" s="13">
        <f>SUMIFS('[D KLR.xlsx]D KLR'!$H$80:$H$757,'[D KLR.xlsx]D KLR'!$A$80:$A$757,'[Steuerung.xlsx]Steuerung'!$F$6,'[D KLR.xlsx]D KLR'!$B$80:$B$757,"&lt;="&amp;'[Steuerung.xlsx]Steuerung'!$F$7,'[D KLR.xlsx]D KLR'!$C$80:$C$757,C84)</f>
        <v/>
      </c>
      <c r="H84" s="14">
        <f>SUMIFS('[D KLR.xlsx]D KLR'!$N$80:$N$757,'[D KLR.xlsx]D KLR'!$A$80:$A$757,'[Steuerung.xlsx]Steuerung'!$F$6,'[D KLR.xlsx]D KLR'!$B$80:$B$757,"&lt;="&amp;'[Steuerung.xlsx]Steuerung'!$F$7,'[D KLR.xlsx]D KLR'!$C$80:$C$757,C84)</f>
        <v/>
      </c>
    </row>
    <row r="85" ht="21" customHeight="1">
      <c r="C85" s="12" t="inlineStr">
        <is>
          <t>420060.0</t>
        </is>
      </c>
      <c r="D85" s="12" t="inlineStr">
        <is>
          <t>Aufwand eigene Entsorgung</t>
        </is>
      </c>
      <c r="E85" s="12" t="inlineStr">
        <is>
          <t>Raum, Energie, Instandhaltung</t>
        </is>
      </c>
      <c r="F85" s="12" t="n">
        <v>1</v>
      </c>
      <c r="G85" s="13">
        <f>SUMIFS('[D KLR.xlsx]D KLR'!$H$80:$H$757,'[D KLR.xlsx]D KLR'!$A$80:$A$757,'[Steuerung.xlsx]Steuerung'!$F$6,'[D KLR.xlsx]D KLR'!$B$80:$B$757,"&lt;="&amp;'[Steuerung.xlsx]Steuerung'!$F$7,'[D KLR.xlsx]D KLR'!$C$80:$C$757,C85)</f>
        <v/>
      </c>
      <c r="H85" s="14">
        <f>SUMIFS('[D KLR.xlsx]D KLR'!$N$80:$N$757,'[D KLR.xlsx]D KLR'!$A$80:$A$757,'[Steuerung.xlsx]Steuerung'!$F$6,'[D KLR.xlsx]D KLR'!$B$80:$B$757,"&lt;="&amp;'[Steuerung.xlsx]Steuerung'!$F$7,'[D KLR.xlsx]D KLR'!$C$80:$C$757,C85)</f>
        <v/>
      </c>
    </row>
    <row r="86" ht="21" customHeight="1">
      <c r="C86" s="12" t="inlineStr">
        <is>
          <t>420100.0</t>
        </is>
      </c>
      <c r="D86" s="12" t="inlineStr">
        <is>
          <t>Instandhaltung Betriebsausstattung</t>
        </is>
      </c>
      <c r="E86" s="12" t="inlineStr">
        <is>
          <t>Raum, Energie, Instandhaltung</t>
        </is>
      </c>
      <c r="F86" s="12" t="n">
        <v>2</v>
      </c>
      <c r="G86" s="13">
        <f>SUMIFS('[D KLR.xlsx]D KLR'!$H$80:$H$757,'[D KLR.xlsx]D KLR'!$A$80:$A$757,'[Steuerung.xlsx]Steuerung'!$F$6,'[D KLR.xlsx]D KLR'!$B$80:$B$757,"&lt;="&amp;'[Steuerung.xlsx]Steuerung'!$F$7,'[D KLR.xlsx]D KLR'!$C$80:$C$757,C86)</f>
        <v/>
      </c>
      <c r="H86" s="14">
        <f>SUMIFS('[D KLR.xlsx]D KLR'!$N$80:$N$757,'[D KLR.xlsx]D KLR'!$A$80:$A$757,'[Steuerung.xlsx]Steuerung'!$F$6,'[D KLR.xlsx]D KLR'!$B$80:$B$757,"&lt;="&amp;'[Steuerung.xlsx]Steuerung'!$F$7,'[D KLR.xlsx]D KLR'!$C$80:$C$757,C86)</f>
        <v/>
      </c>
    </row>
    <row r="87" ht="21" customHeight="1">
      <c r="C87" s="12" t="inlineStr">
        <is>
          <t>420300.0</t>
        </is>
      </c>
      <c r="D87" s="12" t="inlineStr">
        <is>
          <t>Instand.masch.Anlag.</t>
        </is>
      </c>
      <c r="E87" s="12" t="inlineStr">
        <is>
          <t>Raum, Energie, Instandhaltung</t>
        </is>
      </c>
      <c r="F87" s="12" t="n">
        <v>2</v>
      </c>
      <c r="G87" s="13">
        <f>SUMIFS('[D KLR.xlsx]D KLR'!$H$80:$H$757,'[D KLR.xlsx]D KLR'!$A$80:$A$757,'[Steuerung.xlsx]Steuerung'!$F$6,'[D KLR.xlsx]D KLR'!$B$80:$B$757,"&lt;="&amp;'[Steuerung.xlsx]Steuerung'!$F$7,'[D KLR.xlsx]D KLR'!$C$80:$C$757,C87)</f>
        <v/>
      </c>
      <c r="H87" s="14">
        <f>SUMIFS('[D KLR.xlsx]D KLR'!$N$80:$N$757,'[D KLR.xlsx]D KLR'!$A$80:$A$757,'[Steuerung.xlsx]Steuerung'!$F$6,'[D KLR.xlsx]D KLR'!$B$80:$B$757,"&lt;="&amp;'[Steuerung.xlsx]Steuerung'!$F$7,'[D KLR.xlsx]D KLR'!$C$80:$C$757,C87)</f>
        <v/>
      </c>
    </row>
    <row r="88" ht="21" customHeight="1">
      <c r="C88" s="12" t="inlineStr">
        <is>
          <t>420400.0</t>
        </is>
      </c>
      <c r="D88" s="12" t="inlineStr">
        <is>
          <t>Instandhaltung Geschäftsausstattung</t>
        </is>
      </c>
      <c r="E88" s="12" t="inlineStr">
        <is>
          <t>Raum, Energie, Instandhaltung</t>
        </is>
      </c>
      <c r="F88" s="12" t="n">
        <v>2</v>
      </c>
      <c r="G88" s="13">
        <f>SUMIFS('[D KLR.xlsx]D KLR'!$H$80:$H$757,'[D KLR.xlsx]D KLR'!$A$80:$A$757,'[Steuerung.xlsx]Steuerung'!$F$6,'[D KLR.xlsx]D KLR'!$B$80:$B$757,"&lt;="&amp;'[Steuerung.xlsx]Steuerung'!$F$7,'[D KLR.xlsx]D KLR'!$C$80:$C$757,C88)</f>
        <v/>
      </c>
      <c r="H88" s="14">
        <f>SUMIFS('[D KLR.xlsx]D KLR'!$N$80:$N$757,'[D KLR.xlsx]D KLR'!$A$80:$A$757,'[Steuerung.xlsx]Steuerung'!$F$6,'[D KLR.xlsx]D KLR'!$B$80:$B$757,"&lt;="&amp;'[Steuerung.xlsx]Steuerung'!$F$7,'[D KLR.xlsx]D KLR'!$C$80:$C$757,C88)</f>
        <v/>
      </c>
    </row>
    <row r="89" ht="21" customHeight="1">
      <c r="C89" s="12" t="inlineStr">
        <is>
          <t>420450.0</t>
        </is>
      </c>
      <c r="D89" s="12" t="inlineStr">
        <is>
          <t>Instandh./Reparatur/Wartung Miet- u. Lea</t>
        </is>
      </c>
      <c r="E89" s="12" t="inlineStr">
        <is>
          <t>Raum, Energie, Instandhaltung</t>
        </is>
      </c>
      <c r="F89" s="12" t="n">
        <v>2</v>
      </c>
      <c r="G89" s="13">
        <f>SUMIFS('[D KLR.xlsx]D KLR'!$H$80:$H$757,'[D KLR.xlsx]D KLR'!$A$80:$A$757,'[Steuerung.xlsx]Steuerung'!$F$6,'[D KLR.xlsx]D KLR'!$B$80:$B$757,"&lt;="&amp;'[Steuerung.xlsx]Steuerung'!$F$7,'[D KLR.xlsx]D KLR'!$C$80:$C$757,C89)</f>
        <v/>
      </c>
      <c r="H89" s="14">
        <f>SUMIFS('[D KLR.xlsx]D KLR'!$N$80:$N$757,'[D KLR.xlsx]D KLR'!$A$80:$A$757,'[Steuerung.xlsx]Steuerung'!$F$6,'[D KLR.xlsx]D KLR'!$B$80:$B$757,"&lt;="&amp;'[Steuerung.xlsx]Steuerung'!$F$7,'[D KLR.xlsx]D KLR'!$C$80:$C$757,C89)</f>
        <v/>
      </c>
    </row>
    <row r="90" ht="21" customHeight="1">
      <c r="C90" s="12" t="inlineStr">
        <is>
          <t>420500.0</t>
        </is>
      </c>
      <c r="D90" s="12" t="inlineStr">
        <is>
          <t>Instandhaltung Behälter</t>
        </is>
      </c>
      <c r="E90" s="12" t="inlineStr">
        <is>
          <t>Raum, Energie, Instandhaltung</t>
        </is>
      </c>
      <c r="F90" s="12" t="n">
        <v>2</v>
      </c>
      <c r="G90" s="13">
        <f>SUMIFS('[D KLR.xlsx]D KLR'!$H$80:$H$757,'[D KLR.xlsx]D KLR'!$A$80:$A$757,'[Steuerung.xlsx]Steuerung'!$F$6,'[D KLR.xlsx]D KLR'!$B$80:$B$757,"&lt;="&amp;'[Steuerung.xlsx]Steuerung'!$F$7,'[D KLR.xlsx]D KLR'!$C$80:$C$757,C90)</f>
        <v/>
      </c>
      <c r="H90" s="14">
        <f>SUMIFS('[D KLR.xlsx]D KLR'!$N$80:$N$757,'[D KLR.xlsx]D KLR'!$A$80:$A$757,'[Steuerung.xlsx]Steuerung'!$F$6,'[D KLR.xlsx]D KLR'!$B$80:$B$757,"&lt;="&amp;'[Steuerung.xlsx]Steuerung'!$F$7,'[D KLR.xlsx]D KLR'!$C$80:$C$757,C90)</f>
        <v/>
      </c>
    </row>
    <row r="91" ht="21" customHeight="1">
      <c r="C91" s="12" t="inlineStr">
        <is>
          <t>430020.0</t>
        </is>
      </c>
      <c r="D91" s="12" t="inlineStr">
        <is>
          <t>Gewerbeertragsteuer</t>
        </is>
      </c>
      <c r="E91" s="12" t="inlineStr">
        <is>
          <t>Versicherungen, Mieten, Steuern</t>
        </is>
      </c>
      <c r="F91" s="12" t="n">
        <v>9</v>
      </c>
      <c r="G91" s="13">
        <f>SUMIFS('[D KLR.xlsx]D KLR'!$H$80:$H$757,'[D KLR.xlsx]D KLR'!$A$80:$A$757,'[Steuerung.xlsx]Steuerung'!$F$6,'[D KLR.xlsx]D KLR'!$B$80:$B$757,"&lt;="&amp;'[Steuerung.xlsx]Steuerung'!$F$7,'[D KLR.xlsx]D KLR'!$C$80:$C$757,C91)</f>
        <v/>
      </c>
      <c r="H91" s="14">
        <f>SUMIFS('[D KLR.xlsx]D KLR'!$N$80:$N$757,'[D KLR.xlsx]D KLR'!$A$80:$A$757,'[Steuerung.xlsx]Steuerung'!$F$6,'[D KLR.xlsx]D KLR'!$B$80:$B$757,"&lt;="&amp;'[Steuerung.xlsx]Steuerung'!$F$7,'[D KLR.xlsx]D KLR'!$C$80:$C$757,C91)</f>
        <v/>
      </c>
    </row>
    <row r="92" ht="21" customHeight="1">
      <c r="C92" s="12" t="inlineStr">
        <is>
          <t>430040.0</t>
        </is>
      </c>
      <c r="D92" s="12" t="inlineStr">
        <is>
          <t>Sonstige Steuern</t>
        </is>
      </c>
      <c r="E92" s="12" t="inlineStr">
        <is>
          <t>Versicherungen, Mieten, Steuern</t>
        </is>
      </c>
      <c r="F92" s="12" t="n">
        <v>9</v>
      </c>
      <c r="G92" s="13">
        <f>SUMIFS('[D KLR.xlsx]D KLR'!$H$80:$H$757,'[D KLR.xlsx]D KLR'!$A$80:$A$757,'[Steuerung.xlsx]Steuerung'!$F$6,'[D KLR.xlsx]D KLR'!$B$80:$B$757,"&lt;="&amp;'[Steuerung.xlsx]Steuerung'!$F$7,'[D KLR.xlsx]D KLR'!$C$80:$C$757,C92)</f>
        <v/>
      </c>
      <c r="H92" s="14">
        <f>SUMIFS('[D KLR.xlsx]D KLR'!$N$80:$N$757,'[D KLR.xlsx]D KLR'!$A$80:$A$757,'[Steuerung.xlsx]Steuerung'!$F$6,'[D KLR.xlsx]D KLR'!$B$80:$B$757,"&lt;="&amp;'[Steuerung.xlsx]Steuerung'!$F$7,'[D KLR.xlsx]D KLR'!$C$80:$C$757,C92)</f>
        <v/>
      </c>
    </row>
    <row r="93" ht="21" customHeight="1">
      <c r="C93" s="12" t="inlineStr">
        <is>
          <t>430110.0</t>
        </is>
      </c>
      <c r="D93" s="12" t="inlineStr">
        <is>
          <t>Aufwendungen für Versicherungsschäden</t>
        </is>
      </c>
      <c r="E93" s="12" t="inlineStr">
        <is>
          <t>Versicherungen, Mieten, Steuern</t>
        </is>
      </c>
      <c r="F93" s="12" t="n">
        <v>2</v>
      </c>
      <c r="G93" s="13">
        <f>SUMIFS('[D KLR.xlsx]D KLR'!$H$80:$H$757,'[D KLR.xlsx]D KLR'!$A$80:$A$757,'[Steuerung.xlsx]Steuerung'!$F$6,'[D KLR.xlsx]D KLR'!$B$80:$B$757,"&lt;="&amp;'[Steuerung.xlsx]Steuerung'!$F$7,'[D KLR.xlsx]D KLR'!$C$80:$C$757,C93)</f>
        <v/>
      </c>
      <c r="H93" s="14">
        <f>SUMIFS('[D KLR.xlsx]D KLR'!$N$80:$N$757,'[D KLR.xlsx]D KLR'!$A$80:$A$757,'[Steuerung.xlsx]Steuerung'!$F$6,'[D KLR.xlsx]D KLR'!$B$80:$B$757,"&lt;="&amp;'[Steuerung.xlsx]Steuerung'!$F$7,'[D KLR.xlsx]D KLR'!$C$80:$C$757,C93)</f>
        <v/>
      </c>
    </row>
    <row r="94" ht="21" customHeight="1">
      <c r="C94" s="12" t="inlineStr">
        <is>
          <t>430120.0</t>
        </is>
      </c>
      <c r="D94" s="12" t="inlineStr">
        <is>
          <t>Sonstige Versicherungen</t>
        </is>
      </c>
      <c r="E94" s="12" t="inlineStr">
        <is>
          <t>Versicherungen, Mieten, Steuern</t>
        </is>
      </c>
      <c r="F94" s="12" t="n">
        <v>2</v>
      </c>
      <c r="G94" s="13">
        <f>SUMIFS('[D KLR.xlsx]D KLR'!$H$80:$H$757,'[D KLR.xlsx]D KLR'!$A$80:$A$757,'[Steuerung.xlsx]Steuerung'!$F$6,'[D KLR.xlsx]D KLR'!$B$80:$B$757,"&lt;="&amp;'[Steuerung.xlsx]Steuerung'!$F$7,'[D KLR.xlsx]D KLR'!$C$80:$C$757,C94)</f>
        <v/>
      </c>
      <c r="H94" s="14">
        <f>SUMIFS('[D KLR.xlsx]D KLR'!$N$80:$N$757,'[D KLR.xlsx]D KLR'!$A$80:$A$757,'[Steuerung.xlsx]Steuerung'!$F$6,'[D KLR.xlsx]D KLR'!$B$80:$B$757,"&lt;="&amp;'[Steuerung.xlsx]Steuerung'!$F$7,'[D KLR.xlsx]D KLR'!$C$80:$C$757,C94)</f>
        <v/>
      </c>
    </row>
    <row r="95" ht="21" customHeight="1">
      <c r="C95" s="12" t="inlineStr">
        <is>
          <t>431010.0</t>
        </is>
      </c>
      <c r="D95" s="12" t="inlineStr">
        <is>
          <t>Mieten Räume</t>
        </is>
      </c>
      <c r="E95" s="12" t="inlineStr">
        <is>
          <t>Versicherungen, Mieten, Steuern</t>
        </is>
      </c>
      <c r="F95" s="12" t="n">
        <v>2</v>
      </c>
      <c r="G95" s="13">
        <f>SUMIFS('[D KLR.xlsx]D KLR'!$H$80:$H$757,'[D KLR.xlsx]D KLR'!$A$80:$A$757,'[Steuerung.xlsx]Steuerung'!$F$6,'[D KLR.xlsx]D KLR'!$B$80:$B$757,"&lt;="&amp;'[Steuerung.xlsx]Steuerung'!$F$7,'[D KLR.xlsx]D KLR'!$C$80:$C$757,C95)</f>
        <v/>
      </c>
      <c r="H95" s="14">
        <f>SUMIFS('[D KLR.xlsx]D KLR'!$N$80:$N$757,'[D KLR.xlsx]D KLR'!$A$80:$A$757,'[Steuerung.xlsx]Steuerung'!$F$6,'[D KLR.xlsx]D KLR'!$B$80:$B$757,"&lt;="&amp;'[Steuerung.xlsx]Steuerung'!$F$7,'[D KLR.xlsx]D KLR'!$C$80:$C$757,C95)</f>
        <v/>
      </c>
    </row>
    <row r="96" ht="21" customHeight="1">
      <c r="C96" s="12" t="inlineStr">
        <is>
          <t>431020.0</t>
        </is>
      </c>
      <c r="D96" s="12" t="inlineStr">
        <is>
          <t>Mieten Plätze</t>
        </is>
      </c>
      <c r="E96" s="12" t="inlineStr">
        <is>
          <t>Versicherungen, Mieten, Steuern</t>
        </is>
      </c>
      <c r="F96" s="12" t="n">
        <v>2</v>
      </c>
      <c r="G96" s="13">
        <f>SUMIFS('[D KLR.xlsx]D KLR'!$H$80:$H$757,'[D KLR.xlsx]D KLR'!$A$80:$A$757,'[Steuerung.xlsx]Steuerung'!$F$6,'[D KLR.xlsx]D KLR'!$B$80:$B$757,"&lt;="&amp;'[Steuerung.xlsx]Steuerung'!$F$7,'[D KLR.xlsx]D KLR'!$C$80:$C$757,C96)</f>
        <v/>
      </c>
      <c r="H96" s="14">
        <f>SUMIFS('[D KLR.xlsx]D KLR'!$N$80:$N$757,'[D KLR.xlsx]D KLR'!$A$80:$A$757,'[Steuerung.xlsx]Steuerung'!$F$6,'[D KLR.xlsx]D KLR'!$B$80:$B$757,"&lt;="&amp;'[Steuerung.xlsx]Steuerung'!$F$7,'[D KLR.xlsx]D KLR'!$C$80:$C$757,C96)</f>
        <v/>
      </c>
    </row>
    <row r="97" ht="21" customHeight="1">
      <c r="C97" s="12" t="inlineStr">
        <is>
          <t>431041.0</t>
        </is>
      </c>
      <c r="D97" s="12" t="inlineStr">
        <is>
          <t>Miete Behälter</t>
        </is>
      </c>
      <c r="E97" s="12" t="inlineStr">
        <is>
          <t>Versicherungen, Mieten, Steuern</t>
        </is>
      </c>
      <c r="F97" s="12" t="n">
        <v>2</v>
      </c>
      <c r="G97" s="13">
        <f>SUMIFS('[D KLR.xlsx]D KLR'!$H$80:$H$757,'[D KLR.xlsx]D KLR'!$A$80:$A$757,'[Steuerung.xlsx]Steuerung'!$F$6,'[D KLR.xlsx]D KLR'!$B$80:$B$757,"&lt;="&amp;'[Steuerung.xlsx]Steuerung'!$F$7,'[D KLR.xlsx]D KLR'!$C$80:$C$757,C97)</f>
        <v/>
      </c>
      <c r="H97" s="14">
        <f>SUMIFS('[D KLR.xlsx]D KLR'!$N$80:$N$757,'[D KLR.xlsx]D KLR'!$A$80:$A$757,'[Steuerung.xlsx]Steuerung'!$F$6,'[D KLR.xlsx]D KLR'!$B$80:$B$757,"&lt;="&amp;'[Steuerung.xlsx]Steuerung'!$F$7,'[D KLR.xlsx]D KLR'!$C$80:$C$757,C97)</f>
        <v/>
      </c>
    </row>
    <row r="98" ht="21" customHeight="1">
      <c r="C98" s="12" t="inlineStr">
        <is>
          <t>450120.0</t>
        </is>
      </c>
      <c r="D98" s="12" t="inlineStr">
        <is>
          <t>Spesen (ohne VSt.)</t>
        </is>
      </c>
      <c r="E98" s="12" t="inlineStr">
        <is>
          <t>Transport, Reise, Werbung</t>
        </is>
      </c>
      <c r="F98" s="12" t="n">
        <v>2</v>
      </c>
      <c r="G98" s="13">
        <f>SUMIFS('[D KLR.xlsx]D KLR'!$H$80:$H$757,'[D KLR.xlsx]D KLR'!$A$80:$A$757,'[Steuerung.xlsx]Steuerung'!$F$6,'[D KLR.xlsx]D KLR'!$B$80:$B$757,"&lt;="&amp;'[Steuerung.xlsx]Steuerung'!$F$7,'[D KLR.xlsx]D KLR'!$C$80:$C$757,C98)</f>
        <v/>
      </c>
      <c r="H98" s="14">
        <f>SUMIFS('[D KLR.xlsx]D KLR'!$N$80:$N$757,'[D KLR.xlsx]D KLR'!$A$80:$A$757,'[Steuerung.xlsx]Steuerung'!$F$6,'[D KLR.xlsx]D KLR'!$B$80:$B$757,"&lt;="&amp;'[Steuerung.xlsx]Steuerung'!$F$7,'[D KLR.xlsx]D KLR'!$C$80:$C$757,C98)</f>
        <v/>
      </c>
    </row>
    <row r="99" ht="21" customHeight="1">
      <c r="C99" s="12" t="inlineStr">
        <is>
          <t>400111.0</t>
        </is>
      </c>
      <c r="D99" s="12" t="inlineStr">
        <is>
          <t>Anmietung LKW</t>
        </is>
      </c>
      <c r="E99" s="12" t="inlineStr">
        <is>
          <t>Fuhrpark</t>
        </is>
      </c>
      <c r="F99" s="12" t="n">
        <v>2</v>
      </c>
      <c r="G99" s="13">
        <f>SUMIFS('[D KLR.xlsx]D KLR'!$H$80:$H$757,'[D KLR.xlsx]D KLR'!$A$80:$A$757,'[Steuerung.xlsx]Steuerung'!$F$6,'[D KLR.xlsx]D KLR'!$B$80:$B$757,"&lt;="&amp;'[Steuerung.xlsx]Steuerung'!$F$7,'[D KLR.xlsx]D KLR'!$C$80:$C$757,C99)</f>
        <v/>
      </c>
      <c r="H99" s="14">
        <f>SUMIFS('[D KLR.xlsx]D KLR'!$N$80:$N$757,'[D KLR.xlsx]D KLR'!$A$80:$A$757,'[Steuerung.xlsx]Steuerung'!$F$6,'[D KLR.xlsx]D KLR'!$B$80:$B$757,"&lt;="&amp;'[Steuerung.xlsx]Steuerung'!$F$7,'[D KLR.xlsx]D KLR'!$C$80:$C$757,C99)</f>
        <v/>
      </c>
    </row>
    <row r="100" ht="21" customHeight="1">
      <c r="C100" s="12" t="inlineStr">
        <is>
          <t>400112.0</t>
        </is>
      </c>
      <c r="D100" s="12" t="inlineStr">
        <is>
          <t>Leasing LKW</t>
        </is>
      </c>
      <c r="E100" s="12" t="inlineStr">
        <is>
          <t>Fuhrpark</t>
        </is>
      </c>
      <c r="F100" s="12" t="n">
        <v>2</v>
      </c>
      <c r="G100" s="13">
        <f>SUMIFS('[D KLR.xlsx]D KLR'!$H$80:$H$757,'[D KLR.xlsx]D KLR'!$A$80:$A$757,'[Steuerung.xlsx]Steuerung'!$F$6,'[D KLR.xlsx]D KLR'!$B$80:$B$757,"&lt;="&amp;'[Steuerung.xlsx]Steuerung'!$F$7,'[D KLR.xlsx]D KLR'!$C$80:$C$757,C100)</f>
        <v/>
      </c>
      <c r="H100" s="14">
        <f>SUMIFS('[D KLR.xlsx]D KLR'!$N$80:$N$757,'[D KLR.xlsx]D KLR'!$A$80:$A$757,'[Steuerung.xlsx]Steuerung'!$F$6,'[D KLR.xlsx]D KLR'!$B$80:$B$757,"&lt;="&amp;'[Steuerung.xlsx]Steuerung'!$F$7,'[D KLR.xlsx]D KLR'!$C$80:$C$757,C100)</f>
        <v/>
      </c>
    </row>
    <row r="101" ht="21" customHeight="1">
      <c r="C101" s="12" t="inlineStr">
        <is>
          <t>400121.0</t>
        </is>
      </c>
      <c r="D101" s="12" t="inlineStr">
        <is>
          <t>Anmietung PKW</t>
        </is>
      </c>
      <c r="E101" s="12" t="inlineStr">
        <is>
          <t>Fuhrpark</t>
        </is>
      </c>
      <c r="F101" s="12" t="n">
        <v>2</v>
      </c>
      <c r="G101" s="13">
        <f>SUMIFS('[D KLR.xlsx]D KLR'!$H$80:$H$757,'[D KLR.xlsx]D KLR'!$A$80:$A$757,'[Steuerung.xlsx]Steuerung'!$F$6,'[D KLR.xlsx]D KLR'!$B$80:$B$757,"&lt;="&amp;'[Steuerung.xlsx]Steuerung'!$F$7,'[D KLR.xlsx]D KLR'!$C$80:$C$757,C101)</f>
        <v/>
      </c>
      <c r="H101" s="14">
        <f>SUMIFS('[D KLR.xlsx]D KLR'!$N$80:$N$757,'[D KLR.xlsx]D KLR'!$A$80:$A$757,'[Steuerung.xlsx]Steuerung'!$F$6,'[D KLR.xlsx]D KLR'!$B$80:$B$757,"&lt;="&amp;'[Steuerung.xlsx]Steuerung'!$F$7,'[D KLR.xlsx]D KLR'!$C$80:$C$757,C101)</f>
        <v/>
      </c>
    </row>
    <row r="102" ht="21" customHeight="1">
      <c r="C102" s="12" t="inlineStr">
        <is>
          <t>400122.0</t>
        </is>
      </c>
      <c r="D102" s="12" t="inlineStr">
        <is>
          <t>Leasing PKW</t>
        </is>
      </c>
      <c r="E102" s="12" t="inlineStr">
        <is>
          <t>Fuhrpark</t>
        </is>
      </c>
      <c r="F102" s="12" t="n">
        <v>2</v>
      </c>
      <c r="G102" s="13">
        <f>SUMIFS('[D KLR.xlsx]D KLR'!$H$80:$H$757,'[D KLR.xlsx]D KLR'!$A$80:$A$757,'[Steuerung.xlsx]Steuerung'!$F$6,'[D KLR.xlsx]D KLR'!$B$80:$B$757,"&lt;="&amp;'[Steuerung.xlsx]Steuerung'!$F$7,'[D KLR.xlsx]D KLR'!$C$80:$C$757,C102)</f>
        <v/>
      </c>
      <c r="H102" s="14">
        <f>SUMIFS('[D KLR.xlsx]D KLR'!$N$80:$N$757,'[D KLR.xlsx]D KLR'!$A$80:$A$757,'[Steuerung.xlsx]Steuerung'!$F$6,'[D KLR.xlsx]D KLR'!$B$80:$B$757,"&lt;="&amp;'[Steuerung.xlsx]Steuerung'!$F$7,'[D KLR.xlsx]D KLR'!$C$80:$C$757,C102)</f>
        <v/>
      </c>
    </row>
    <row r="103" ht="21" customHeight="1">
      <c r="C103" s="12" t="inlineStr">
        <is>
          <t>400131.0</t>
        </is>
      </c>
      <c r="D103" s="12" t="inlineStr">
        <is>
          <t>Anmietung selbstf. A</t>
        </is>
      </c>
      <c r="E103" s="12" t="inlineStr">
        <is>
          <t>Fuhrpark</t>
        </is>
      </c>
      <c r="F103" s="12" t="n">
        <v>2</v>
      </c>
      <c r="G103" s="13">
        <f>SUMIFS('[D KLR.xlsx]D KLR'!$H$80:$H$757,'[D KLR.xlsx]D KLR'!$A$80:$A$757,'[Steuerung.xlsx]Steuerung'!$F$6,'[D KLR.xlsx]D KLR'!$B$80:$B$757,"&lt;="&amp;'[Steuerung.xlsx]Steuerung'!$F$7,'[D KLR.xlsx]D KLR'!$C$80:$C$757,C103)</f>
        <v/>
      </c>
      <c r="H103" s="14">
        <f>SUMIFS('[D KLR.xlsx]D KLR'!$N$80:$N$757,'[D KLR.xlsx]D KLR'!$A$80:$A$757,'[Steuerung.xlsx]Steuerung'!$F$6,'[D KLR.xlsx]D KLR'!$B$80:$B$757,"&lt;="&amp;'[Steuerung.xlsx]Steuerung'!$F$7,'[D KLR.xlsx]D KLR'!$C$80:$C$757,C103)</f>
        <v/>
      </c>
    </row>
    <row r="104" ht="21" customHeight="1">
      <c r="C104" s="12" t="inlineStr">
        <is>
          <t>400132.0</t>
        </is>
      </c>
      <c r="D104" s="12" t="inlineStr">
        <is>
          <t>Leasing selbstf. Arb</t>
        </is>
      </c>
      <c r="E104" s="12" t="inlineStr">
        <is>
          <t>Fuhrpark</t>
        </is>
      </c>
      <c r="F104" s="12" t="n">
        <v>2</v>
      </c>
      <c r="G104" s="13">
        <f>SUMIFS('[D KLR.xlsx]D KLR'!$H$80:$H$757,'[D KLR.xlsx]D KLR'!$A$80:$A$757,'[Steuerung.xlsx]Steuerung'!$F$6,'[D KLR.xlsx]D KLR'!$B$80:$B$757,"&lt;="&amp;'[Steuerung.xlsx]Steuerung'!$F$7,'[D KLR.xlsx]D KLR'!$C$80:$C$757,C104)</f>
        <v/>
      </c>
      <c r="H104" s="14">
        <f>SUMIFS('[D KLR.xlsx]D KLR'!$N$80:$N$757,'[D KLR.xlsx]D KLR'!$A$80:$A$757,'[Steuerung.xlsx]Steuerung'!$F$6,'[D KLR.xlsx]D KLR'!$B$80:$B$757,"&lt;="&amp;'[Steuerung.xlsx]Steuerung'!$F$7,'[D KLR.xlsx]D KLR'!$C$80:$C$757,C104)</f>
        <v/>
      </c>
    </row>
    <row r="105" ht="21" customHeight="1">
      <c r="C105" s="12" t="inlineStr">
        <is>
          <t>401000.0</t>
        </is>
      </c>
      <c r="D105" s="12" t="inlineStr">
        <is>
          <t>Aufwand Diesel</t>
        </is>
      </c>
      <c r="E105" s="12" t="inlineStr">
        <is>
          <t>Fuhrpark</t>
        </is>
      </c>
      <c r="F105" s="12" t="n">
        <v>1</v>
      </c>
      <c r="G105" s="13">
        <f>SUMIFS('[D KLR.xlsx]D KLR'!$H$80:$H$757,'[D KLR.xlsx]D KLR'!$A$80:$A$757,'[Steuerung.xlsx]Steuerung'!$F$6,'[D KLR.xlsx]D KLR'!$B$80:$B$757,"&lt;="&amp;'[Steuerung.xlsx]Steuerung'!$F$7,'[D KLR.xlsx]D KLR'!$C$80:$C$757,C105)</f>
        <v/>
      </c>
      <c r="H105" s="14">
        <f>SUMIFS('[D KLR.xlsx]D KLR'!$N$80:$N$757,'[D KLR.xlsx]D KLR'!$A$80:$A$757,'[Steuerung.xlsx]Steuerung'!$F$6,'[D KLR.xlsx]D KLR'!$B$80:$B$757,"&lt;="&amp;'[Steuerung.xlsx]Steuerung'!$F$7,'[D KLR.xlsx]D KLR'!$C$80:$C$757,C105)</f>
        <v/>
      </c>
    </row>
    <row r="106" ht="21" customHeight="1">
      <c r="C106" s="12" t="inlineStr">
        <is>
          <t>401010.0</t>
        </is>
      </c>
      <c r="D106" s="12" t="inlineStr">
        <is>
          <t>Benzin/Super</t>
        </is>
      </c>
      <c r="E106" s="12" t="inlineStr">
        <is>
          <t>Fuhrpark</t>
        </is>
      </c>
      <c r="F106" s="12" t="n">
        <v>2</v>
      </c>
      <c r="G106" s="13">
        <f>SUMIFS('[D KLR.xlsx]D KLR'!$H$80:$H$757,'[D KLR.xlsx]D KLR'!$A$80:$A$757,'[Steuerung.xlsx]Steuerung'!$F$6,'[D KLR.xlsx]D KLR'!$B$80:$B$757,"&lt;="&amp;'[Steuerung.xlsx]Steuerung'!$F$7,'[D KLR.xlsx]D KLR'!$C$80:$C$757,C106)</f>
        <v/>
      </c>
      <c r="H106" s="14">
        <f>SUMIFS('[D KLR.xlsx]D KLR'!$N$80:$N$757,'[D KLR.xlsx]D KLR'!$A$80:$A$757,'[Steuerung.xlsx]Steuerung'!$F$6,'[D KLR.xlsx]D KLR'!$B$80:$B$757,"&lt;="&amp;'[Steuerung.xlsx]Steuerung'!$F$7,'[D KLR.xlsx]D KLR'!$C$80:$C$757,C106)</f>
        <v/>
      </c>
    </row>
    <row r="107" ht="21" customHeight="1">
      <c r="C107" s="12" t="inlineStr">
        <is>
          <t>401015.0</t>
        </is>
      </c>
      <c r="D107" s="12" t="inlineStr">
        <is>
          <t>Alternative Antriebe (u.a. Strom, Wasser</t>
        </is>
      </c>
      <c r="E107" s="12" t="inlineStr">
        <is>
          <t>Fuhrpark</t>
        </is>
      </c>
      <c r="F107" s="12" t="n">
        <v>2</v>
      </c>
      <c r="G107" s="13">
        <f>SUMIFS('[D KLR.xlsx]D KLR'!$H$80:$H$757,'[D KLR.xlsx]D KLR'!$A$80:$A$757,'[Steuerung.xlsx]Steuerung'!$F$6,'[D KLR.xlsx]D KLR'!$B$80:$B$757,"&lt;="&amp;'[Steuerung.xlsx]Steuerung'!$F$7,'[D KLR.xlsx]D KLR'!$C$80:$C$757,C107)</f>
        <v/>
      </c>
      <c r="H107" s="14">
        <f>SUMIFS('[D KLR.xlsx]D KLR'!$N$80:$N$757,'[D KLR.xlsx]D KLR'!$A$80:$A$757,'[Steuerung.xlsx]Steuerung'!$F$6,'[D KLR.xlsx]D KLR'!$B$80:$B$757,"&lt;="&amp;'[Steuerung.xlsx]Steuerung'!$F$7,'[D KLR.xlsx]D KLR'!$C$80:$C$757,C107)</f>
        <v/>
      </c>
    </row>
    <row r="108" ht="21" customHeight="1">
      <c r="C108" s="12" t="inlineStr">
        <is>
          <t>401020.0</t>
        </is>
      </c>
      <c r="D108" s="12" t="inlineStr">
        <is>
          <t>Öle und Fette</t>
        </is>
      </c>
      <c r="E108" s="12" t="inlineStr">
        <is>
          <t>Fuhrpark</t>
        </is>
      </c>
      <c r="F108" s="12" t="n">
        <v>2</v>
      </c>
      <c r="G108" s="13">
        <f>SUMIFS('[D KLR.xlsx]D KLR'!$H$80:$H$757,'[D KLR.xlsx]D KLR'!$A$80:$A$757,'[Steuerung.xlsx]Steuerung'!$F$6,'[D KLR.xlsx]D KLR'!$B$80:$B$757,"&lt;="&amp;'[Steuerung.xlsx]Steuerung'!$F$7,'[D KLR.xlsx]D KLR'!$C$80:$C$757,C108)</f>
        <v/>
      </c>
      <c r="H108" s="14">
        <f>SUMIFS('[D KLR.xlsx]D KLR'!$N$80:$N$757,'[D KLR.xlsx]D KLR'!$A$80:$A$757,'[Steuerung.xlsx]Steuerung'!$F$6,'[D KLR.xlsx]D KLR'!$B$80:$B$757,"&lt;="&amp;'[Steuerung.xlsx]Steuerung'!$F$7,'[D KLR.xlsx]D KLR'!$C$80:$C$757,C108)</f>
        <v/>
      </c>
    </row>
    <row r="109" ht="21" customHeight="1">
      <c r="C109" s="12" t="inlineStr">
        <is>
          <t>401040.0</t>
        </is>
      </c>
      <c r="D109" s="12" t="inlineStr">
        <is>
          <t>Kfz-Versicherungen</t>
        </is>
      </c>
      <c r="E109" s="12" t="inlineStr">
        <is>
          <t>Fuhrpark</t>
        </is>
      </c>
      <c r="F109" s="12" t="n">
        <v>2</v>
      </c>
      <c r="G109" s="13">
        <f>SUMIFS('[D KLR.xlsx]D KLR'!$H$80:$H$757,'[D KLR.xlsx]D KLR'!$A$80:$A$757,'[Steuerung.xlsx]Steuerung'!$F$6,'[D KLR.xlsx]D KLR'!$B$80:$B$757,"&lt;="&amp;'[Steuerung.xlsx]Steuerung'!$F$7,'[D KLR.xlsx]D KLR'!$C$80:$C$757,C109)</f>
        <v/>
      </c>
      <c r="H109" s="14">
        <f>SUMIFS('[D KLR.xlsx]D KLR'!$N$80:$N$757,'[D KLR.xlsx]D KLR'!$A$80:$A$757,'[Steuerung.xlsx]Steuerung'!$F$6,'[D KLR.xlsx]D KLR'!$B$80:$B$757,"&lt;="&amp;'[Steuerung.xlsx]Steuerung'!$F$7,'[D KLR.xlsx]D KLR'!$C$80:$C$757,C109)</f>
        <v/>
      </c>
    </row>
    <row r="110" ht="21" customHeight="1">
      <c r="C110" s="12" t="inlineStr">
        <is>
          <t>401050.0</t>
        </is>
      </c>
      <c r="D110" s="12" t="inlineStr">
        <is>
          <t>Autobahngebühren LKW</t>
        </is>
      </c>
      <c r="E110" s="12" t="inlineStr">
        <is>
          <t>Fuhrpark</t>
        </is>
      </c>
      <c r="F110" s="12" t="n">
        <v>2</v>
      </c>
      <c r="G110" s="13">
        <f>SUMIFS('[D KLR.xlsx]D KLR'!$H$80:$H$757,'[D KLR.xlsx]D KLR'!$A$80:$A$757,'[Steuerung.xlsx]Steuerung'!$F$6,'[D KLR.xlsx]D KLR'!$B$80:$B$757,"&lt;="&amp;'[Steuerung.xlsx]Steuerung'!$F$7,'[D KLR.xlsx]D KLR'!$C$80:$C$757,C110)</f>
        <v/>
      </c>
      <c r="H110" s="14">
        <f>SUMIFS('[D KLR.xlsx]D KLR'!$N$80:$N$757,'[D KLR.xlsx]D KLR'!$A$80:$A$757,'[Steuerung.xlsx]Steuerung'!$F$6,'[D KLR.xlsx]D KLR'!$B$80:$B$757,"&lt;="&amp;'[Steuerung.xlsx]Steuerung'!$F$7,'[D KLR.xlsx]D KLR'!$C$80:$C$757,C110)</f>
        <v/>
      </c>
    </row>
    <row r="111" ht="21" customHeight="1">
      <c r="C111" s="12" t="inlineStr">
        <is>
          <t>410000.0</t>
        </is>
      </c>
      <c r="D111" s="12" t="inlineStr">
        <is>
          <t>Löhne</t>
        </is>
      </c>
      <c r="E111" s="12" t="inlineStr">
        <is>
          <t>Personal</t>
        </is>
      </c>
      <c r="F111" s="12" t="n">
        <v>2</v>
      </c>
      <c r="G111" s="13">
        <f>SUMIFS('[D KLR.xlsx]D KLR'!$H$80:$H$757,'[D KLR.xlsx]D KLR'!$A$80:$A$757,'[Steuerung.xlsx]Steuerung'!$F$6,'[D KLR.xlsx]D KLR'!$B$80:$B$757,"&lt;="&amp;'[Steuerung.xlsx]Steuerung'!$F$7,'[D KLR.xlsx]D KLR'!$C$80:$C$757,C111)</f>
        <v/>
      </c>
      <c r="H111" s="14">
        <f>SUMIFS('[D KLR.xlsx]D KLR'!$N$80:$N$757,'[D KLR.xlsx]D KLR'!$A$80:$A$757,'[Steuerung.xlsx]Steuerung'!$F$6,'[D KLR.xlsx]D KLR'!$B$80:$B$757,"&lt;="&amp;'[Steuerung.xlsx]Steuerung'!$F$7,'[D KLR.xlsx]D KLR'!$C$80:$C$757,C111)</f>
        <v/>
      </c>
    </row>
    <row r="112" ht="21" customHeight="1">
      <c r="C112" s="12" t="inlineStr">
        <is>
          <t>410030.0</t>
        </is>
      </c>
      <c r="D112" s="12" t="inlineStr">
        <is>
          <t>Sonderzahl./Prämien</t>
        </is>
      </c>
      <c r="E112" s="12" t="inlineStr">
        <is>
          <t>Personal</t>
        </is>
      </c>
      <c r="F112" s="12" t="n">
        <v>2</v>
      </c>
      <c r="G112" s="13">
        <f>SUMIFS('[D KLR.xlsx]D KLR'!$H$80:$H$757,'[D KLR.xlsx]D KLR'!$A$80:$A$757,'[Steuerung.xlsx]Steuerung'!$F$6,'[D KLR.xlsx]D KLR'!$B$80:$B$757,"&lt;="&amp;'[Steuerung.xlsx]Steuerung'!$F$7,'[D KLR.xlsx]D KLR'!$C$80:$C$757,C112)</f>
        <v/>
      </c>
      <c r="H112" s="14">
        <f>SUMIFS('[D KLR.xlsx]D KLR'!$N$80:$N$757,'[D KLR.xlsx]D KLR'!$A$80:$A$757,'[Steuerung.xlsx]Steuerung'!$F$6,'[D KLR.xlsx]D KLR'!$B$80:$B$757,"&lt;="&amp;'[Steuerung.xlsx]Steuerung'!$F$7,'[D KLR.xlsx]D KLR'!$C$80:$C$757,C112)</f>
        <v/>
      </c>
    </row>
    <row r="113" ht="21" customHeight="1">
      <c r="C113" s="12" t="inlineStr">
        <is>
          <t>410050.0</t>
        </is>
      </c>
      <c r="D113" s="12" t="inlineStr">
        <is>
          <t>Überstunden Lohnempf</t>
        </is>
      </c>
      <c r="E113" s="12" t="inlineStr">
        <is>
          <t>Personal</t>
        </is>
      </c>
      <c r="F113" s="12" t="n">
        <v>2</v>
      </c>
      <c r="G113" s="13">
        <f>SUMIFS('[D KLR.xlsx]D KLR'!$H$80:$H$757,'[D KLR.xlsx]D KLR'!$A$80:$A$757,'[Steuerung.xlsx]Steuerung'!$F$6,'[D KLR.xlsx]D KLR'!$B$80:$B$757,"&lt;="&amp;'[Steuerung.xlsx]Steuerung'!$F$7,'[D KLR.xlsx]D KLR'!$C$80:$C$757,C113)</f>
        <v/>
      </c>
      <c r="H113" s="14">
        <f>SUMIFS('[D KLR.xlsx]D KLR'!$N$80:$N$757,'[D KLR.xlsx]D KLR'!$A$80:$A$757,'[Steuerung.xlsx]Steuerung'!$F$6,'[D KLR.xlsx]D KLR'!$B$80:$B$757,"&lt;="&amp;'[Steuerung.xlsx]Steuerung'!$F$7,'[D KLR.xlsx]D KLR'!$C$80:$C$757,C113)</f>
        <v/>
      </c>
    </row>
    <row r="114" ht="21" customHeight="1">
      <c r="C114" s="12" t="inlineStr">
        <is>
          <t>410100.0</t>
        </is>
      </c>
      <c r="D114" s="12" t="inlineStr">
        <is>
          <t>Gehalt</t>
        </is>
      </c>
      <c r="E114" s="12" t="inlineStr">
        <is>
          <t>Personal</t>
        </is>
      </c>
      <c r="F114" s="12" t="n">
        <v>2</v>
      </c>
      <c r="G114" s="13">
        <f>SUMIFS('[D KLR.xlsx]D KLR'!$H$80:$H$757,'[D KLR.xlsx]D KLR'!$A$80:$A$757,'[Steuerung.xlsx]Steuerung'!$F$6,'[D KLR.xlsx]D KLR'!$B$80:$B$757,"&lt;="&amp;'[Steuerung.xlsx]Steuerung'!$F$7,'[D KLR.xlsx]D KLR'!$C$80:$C$757,C114)</f>
        <v/>
      </c>
      <c r="H114" s="14">
        <f>SUMIFS('[D KLR.xlsx]D KLR'!$N$80:$N$757,'[D KLR.xlsx]D KLR'!$A$80:$A$757,'[Steuerung.xlsx]Steuerung'!$F$6,'[D KLR.xlsx]D KLR'!$B$80:$B$757,"&lt;="&amp;'[Steuerung.xlsx]Steuerung'!$F$7,'[D KLR.xlsx]D KLR'!$C$80:$C$757,C114)</f>
        <v/>
      </c>
    </row>
    <row r="115" ht="21" customHeight="1">
      <c r="C115" s="12" t="inlineStr">
        <is>
          <t>411000.0</t>
        </is>
      </c>
      <c r="D115" s="12" t="inlineStr">
        <is>
          <t>Altersversorgung</t>
        </is>
      </c>
      <c r="E115" s="12" t="inlineStr">
        <is>
          <t>Personal</t>
        </is>
      </c>
      <c r="F115" s="12" t="n">
        <v>2</v>
      </c>
      <c r="G115" s="13">
        <f>SUMIFS('[D KLR.xlsx]D KLR'!$H$80:$H$757,'[D KLR.xlsx]D KLR'!$A$80:$A$757,'[Steuerung.xlsx]Steuerung'!$F$6,'[D KLR.xlsx]D KLR'!$B$80:$B$757,"&lt;="&amp;'[Steuerung.xlsx]Steuerung'!$F$7,'[D KLR.xlsx]D KLR'!$C$80:$C$757,C115)</f>
        <v/>
      </c>
      <c r="H115" s="14">
        <f>SUMIFS('[D KLR.xlsx]D KLR'!$N$80:$N$757,'[D KLR.xlsx]D KLR'!$A$80:$A$757,'[Steuerung.xlsx]Steuerung'!$F$6,'[D KLR.xlsx]D KLR'!$B$80:$B$757,"&lt;="&amp;'[Steuerung.xlsx]Steuerung'!$F$7,'[D KLR.xlsx]D KLR'!$C$80:$C$757,C115)</f>
        <v/>
      </c>
    </row>
    <row r="116" ht="21" customHeight="1">
      <c r="C116" s="12" t="inlineStr">
        <is>
          <t>411010.0</t>
        </is>
      </c>
      <c r="D116" s="12" t="inlineStr">
        <is>
          <t>Beiträge Berufsgen.</t>
        </is>
      </c>
      <c r="E116" s="12" t="inlineStr">
        <is>
          <t>Personal</t>
        </is>
      </c>
      <c r="F116" s="12" t="n">
        <v>2</v>
      </c>
      <c r="G116" s="13">
        <f>SUMIFS('[D KLR.xlsx]D KLR'!$H$80:$H$757,'[D KLR.xlsx]D KLR'!$A$80:$A$757,'[Steuerung.xlsx]Steuerung'!$F$6,'[D KLR.xlsx]D KLR'!$B$80:$B$757,"&lt;="&amp;'[Steuerung.xlsx]Steuerung'!$F$7,'[D KLR.xlsx]D KLR'!$C$80:$C$757,C116)</f>
        <v/>
      </c>
      <c r="H116" s="14">
        <f>SUMIFS('[D KLR.xlsx]D KLR'!$N$80:$N$757,'[D KLR.xlsx]D KLR'!$A$80:$A$757,'[Steuerung.xlsx]Steuerung'!$F$6,'[D KLR.xlsx]D KLR'!$B$80:$B$757,"&lt;="&amp;'[Steuerung.xlsx]Steuerung'!$F$7,'[D KLR.xlsx]D KLR'!$C$80:$C$757,C116)</f>
        <v/>
      </c>
    </row>
    <row r="117" ht="21" customHeight="1">
      <c r="C117" s="12" t="inlineStr">
        <is>
          <t>460010.0</t>
        </is>
      </c>
      <c r="D117" s="12" t="inlineStr">
        <is>
          <t>Büromaterial</t>
        </is>
      </c>
      <c r="E117" s="12" t="inlineStr">
        <is>
          <t>Verwaltung und Beratung</t>
        </is>
      </c>
      <c r="F117" s="12" t="n">
        <v>2</v>
      </c>
      <c r="G117" s="13">
        <f>SUMIFS('[D KLR.xlsx]D KLR'!$H$80:$H$757,'[D KLR.xlsx]D KLR'!$A$80:$A$757,'[Steuerung.xlsx]Steuerung'!$F$6,'[D KLR.xlsx]D KLR'!$B$80:$B$757,"&lt;="&amp;'[Steuerung.xlsx]Steuerung'!$F$7,'[D KLR.xlsx]D KLR'!$C$80:$C$757,C117)</f>
        <v/>
      </c>
      <c r="H117" s="14">
        <f>SUMIFS('[D KLR.xlsx]D KLR'!$N$80:$N$757,'[D KLR.xlsx]D KLR'!$A$80:$A$757,'[Steuerung.xlsx]Steuerung'!$F$6,'[D KLR.xlsx]D KLR'!$B$80:$B$757,"&lt;="&amp;'[Steuerung.xlsx]Steuerung'!$F$7,'[D KLR.xlsx]D KLR'!$C$80:$C$757,C117)</f>
        <v/>
      </c>
    </row>
    <row r="118" ht="21" customHeight="1">
      <c r="C118" s="12" t="inlineStr">
        <is>
          <t>460030.0</t>
        </is>
      </c>
      <c r="D118" s="12" t="inlineStr">
        <is>
          <t>Telekommunikation</t>
        </is>
      </c>
      <c r="E118" s="12" t="inlineStr">
        <is>
          <t>Verwaltung und Beratung</t>
        </is>
      </c>
      <c r="F118" s="12" t="n">
        <v>2</v>
      </c>
      <c r="G118" s="13">
        <f>SUMIFS('[D KLR.xlsx]D KLR'!$H$80:$H$757,'[D KLR.xlsx]D KLR'!$A$80:$A$757,'[Steuerung.xlsx]Steuerung'!$F$6,'[D KLR.xlsx]D KLR'!$B$80:$B$757,"&lt;="&amp;'[Steuerung.xlsx]Steuerung'!$F$7,'[D KLR.xlsx]D KLR'!$C$80:$C$757,C118)</f>
        <v/>
      </c>
      <c r="H118" s="14">
        <f>SUMIFS('[D KLR.xlsx]D KLR'!$N$80:$N$757,'[D KLR.xlsx]D KLR'!$A$80:$A$757,'[Steuerung.xlsx]Steuerung'!$F$6,'[D KLR.xlsx]D KLR'!$B$80:$B$757,"&lt;="&amp;'[Steuerung.xlsx]Steuerung'!$F$7,'[D KLR.xlsx]D KLR'!$C$80:$C$757,C118)</f>
        <v/>
      </c>
    </row>
    <row r="119" ht="21" customHeight="1">
      <c r="C119" s="12" t="inlineStr">
        <is>
          <t>460040.0</t>
        </is>
      </c>
      <c r="D119" s="12" t="inlineStr">
        <is>
          <t>Portogebühren</t>
        </is>
      </c>
      <c r="E119" s="12" t="inlineStr">
        <is>
          <t>Verwaltung und Beratung</t>
        </is>
      </c>
      <c r="F119" s="12" t="n">
        <v>2</v>
      </c>
      <c r="G119" s="13">
        <f>SUMIFS('[D KLR.xlsx]D KLR'!$H$80:$H$757,'[D KLR.xlsx]D KLR'!$A$80:$A$757,'[Steuerung.xlsx]Steuerung'!$F$6,'[D KLR.xlsx]D KLR'!$B$80:$B$757,"&lt;="&amp;'[Steuerung.xlsx]Steuerung'!$F$7,'[D KLR.xlsx]D KLR'!$C$80:$C$757,C119)</f>
        <v/>
      </c>
      <c r="H119" s="14">
        <f>SUMIFS('[D KLR.xlsx]D KLR'!$N$80:$N$757,'[D KLR.xlsx]D KLR'!$A$80:$A$757,'[Steuerung.xlsx]Steuerung'!$F$6,'[D KLR.xlsx]D KLR'!$B$80:$B$757,"&lt;="&amp;'[Steuerung.xlsx]Steuerung'!$F$7,'[D KLR.xlsx]D KLR'!$C$80:$C$757,C119)</f>
        <v/>
      </c>
    </row>
    <row r="120" ht="21" customHeight="1">
      <c r="C120" s="12" t="inlineStr">
        <is>
          <t>460060.0</t>
        </is>
      </c>
      <c r="D120" s="12" t="inlineStr">
        <is>
          <t>Kosten EDV</t>
        </is>
      </c>
      <c r="E120" s="12" t="inlineStr">
        <is>
          <t>Verwaltung und Beratung</t>
        </is>
      </c>
      <c r="F120" s="12" t="n">
        <v>2</v>
      </c>
      <c r="G120" s="13">
        <f>SUMIFS('[D KLR.xlsx]D KLR'!$H$80:$H$757,'[D KLR.xlsx]D KLR'!$A$80:$A$757,'[Steuerung.xlsx]Steuerung'!$F$6,'[D KLR.xlsx]D KLR'!$B$80:$B$757,"&lt;="&amp;'[Steuerung.xlsx]Steuerung'!$F$7,'[D KLR.xlsx]D KLR'!$C$80:$C$757,C120)</f>
        <v/>
      </c>
      <c r="H120" s="14">
        <f>SUMIFS('[D KLR.xlsx]D KLR'!$N$80:$N$757,'[D KLR.xlsx]D KLR'!$A$80:$A$757,'[Steuerung.xlsx]Steuerung'!$F$6,'[D KLR.xlsx]D KLR'!$B$80:$B$757,"&lt;="&amp;'[Steuerung.xlsx]Steuerung'!$F$7,'[D KLR.xlsx]D KLR'!$C$80:$C$757,C120)</f>
        <v/>
      </c>
    </row>
    <row r="121" ht="21" customHeight="1">
      <c r="C121" s="12" t="inlineStr">
        <is>
          <t>460065.0</t>
        </is>
      </c>
      <c r="D121" s="12" t="inlineStr">
        <is>
          <t>IT Lizenzgebühren</t>
        </is>
      </c>
      <c r="E121" s="12" t="inlineStr">
        <is>
          <t>Verwaltung und Beratung</t>
        </is>
      </c>
      <c r="F121" s="12" t="n">
        <v>2</v>
      </c>
      <c r="G121" s="13">
        <f>SUMIFS('[D KLR.xlsx]D KLR'!$H$80:$H$757,'[D KLR.xlsx]D KLR'!$A$80:$A$757,'[Steuerung.xlsx]Steuerung'!$F$6,'[D KLR.xlsx]D KLR'!$B$80:$B$757,"&lt;="&amp;'[Steuerung.xlsx]Steuerung'!$F$7,'[D KLR.xlsx]D KLR'!$C$80:$C$757,C121)</f>
        <v/>
      </c>
      <c r="H121" s="14">
        <f>SUMIFS('[D KLR.xlsx]D KLR'!$N$80:$N$757,'[D KLR.xlsx]D KLR'!$A$80:$A$757,'[Steuerung.xlsx]Steuerung'!$F$6,'[D KLR.xlsx]D KLR'!$B$80:$B$757,"&lt;="&amp;'[Steuerung.xlsx]Steuerung'!$F$7,'[D KLR.xlsx]D KLR'!$C$80:$C$757,C121)</f>
        <v/>
      </c>
    </row>
    <row r="122" ht="21" customHeight="1">
      <c r="C122" s="12" t="inlineStr">
        <is>
          <t>460900.0</t>
        </is>
      </c>
      <c r="D122" s="12" t="inlineStr">
        <is>
          <t>Sonstige Verwaltungskosten</t>
        </is>
      </c>
      <c r="E122" s="12" t="inlineStr">
        <is>
          <t>Verwaltung und Beratung</t>
        </is>
      </c>
      <c r="F122" s="12" t="n">
        <v>2</v>
      </c>
      <c r="G122" s="13">
        <f>SUMIFS('[D KLR.xlsx]D KLR'!$H$80:$H$757,'[D KLR.xlsx]D KLR'!$A$80:$A$757,'[Steuerung.xlsx]Steuerung'!$F$6,'[D KLR.xlsx]D KLR'!$B$80:$B$757,"&lt;="&amp;'[Steuerung.xlsx]Steuerung'!$F$7,'[D KLR.xlsx]D KLR'!$C$80:$C$757,C122)</f>
        <v/>
      </c>
      <c r="H122" s="14">
        <f>SUMIFS('[D KLR.xlsx]D KLR'!$N$80:$N$757,'[D KLR.xlsx]D KLR'!$A$80:$A$757,'[Steuerung.xlsx]Steuerung'!$F$6,'[D KLR.xlsx]D KLR'!$B$80:$B$757,"&lt;="&amp;'[Steuerung.xlsx]Steuerung'!$F$7,'[D KLR.xlsx]D KLR'!$C$80:$C$757,C122)</f>
        <v/>
      </c>
    </row>
    <row r="123" ht="21" customHeight="1">
      <c r="C123" s="12" t="inlineStr">
        <is>
          <t>470010.0</t>
        </is>
      </c>
      <c r="D123" s="12" t="inlineStr">
        <is>
          <t>Anwalts- und Gerichtskosten</t>
        </is>
      </c>
      <c r="E123" s="12" t="inlineStr">
        <is>
          <t>Verwaltung und Beratung</t>
        </is>
      </c>
      <c r="F123" s="12" t="n">
        <v>2</v>
      </c>
      <c r="G123" s="13">
        <f>SUMIFS('[D KLR.xlsx]D KLR'!$H$80:$H$757,'[D KLR.xlsx]D KLR'!$A$80:$A$757,'[Steuerung.xlsx]Steuerung'!$F$6,'[D KLR.xlsx]D KLR'!$B$80:$B$757,"&lt;="&amp;'[Steuerung.xlsx]Steuerung'!$F$7,'[D KLR.xlsx]D KLR'!$C$80:$C$757,C123)</f>
        <v/>
      </c>
      <c r="H123" s="14">
        <f>SUMIFS('[D KLR.xlsx]D KLR'!$N$80:$N$757,'[D KLR.xlsx]D KLR'!$A$80:$A$757,'[Steuerung.xlsx]Steuerung'!$F$6,'[D KLR.xlsx]D KLR'!$B$80:$B$757,"&lt;="&amp;'[Steuerung.xlsx]Steuerung'!$F$7,'[D KLR.xlsx]D KLR'!$C$80:$C$757,C123)</f>
        <v/>
      </c>
    </row>
    <row r="124" ht="21" customHeight="1">
      <c r="C124" s="12" t="inlineStr">
        <is>
          <t>470020.0</t>
        </is>
      </c>
      <c r="D124" s="12" t="inlineStr">
        <is>
          <t>kaufm. Beratung und Buchführung</t>
        </is>
      </c>
      <c r="E124" s="12" t="inlineStr">
        <is>
          <t>Verwaltung und Beratung</t>
        </is>
      </c>
      <c r="F124" s="12" t="n">
        <v>2</v>
      </c>
      <c r="G124" s="13">
        <f>SUMIFS('[D KLR.xlsx]D KLR'!$H$80:$H$757,'[D KLR.xlsx]D KLR'!$A$80:$A$757,'[Steuerung.xlsx]Steuerung'!$F$6,'[D KLR.xlsx]D KLR'!$B$80:$B$757,"&lt;="&amp;'[Steuerung.xlsx]Steuerung'!$F$7,'[D KLR.xlsx]D KLR'!$C$80:$C$757,C124)</f>
        <v/>
      </c>
      <c r="H124" s="14">
        <f>SUMIFS('[D KLR.xlsx]D KLR'!$N$80:$N$757,'[D KLR.xlsx]D KLR'!$A$80:$A$757,'[Steuerung.xlsx]Steuerung'!$F$6,'[D KLR.xlsx]D KLR'!$B$80:$B$757,"&lt;="&amp;'[Steuerung.xlsx]Steuerung'!$F$7,'[D KLR.xlsx]D KLR'!$C$80:$C$757,C124)</f>
        <v/>
      </c>
    </row>
    <row r="125" ht="21" customHeight="1">
      <c r="C125" s="12" t="inlineStr">
        <is>
          <t>470030.0</t>
        </is>
      </c>
      <c r="D125" s="12" t="inlineStr">
        <is>
          <t>Beratungskosten Allgemeine Verwaltung</t>
        </is>
      </c>
      <c r="E125" s="12" t="inlineStr">
        <is>
          <t>Verwaltung und Beratung</t>
        </is>
      </c>
      <c r="F125" s="12" t="n">
        <v>2</v>
      </c>
      <c r="G125" s="13">
        <f>SUMIFS('[D KLR.xlsx]D KLR'!$H$80:$H$757,'[D KLR.xlsx]D KLR'!$A$80:$A$757,'[Steuerung.xlsx]Steuerung'!$F$6,'[D KLR.xlsx]D KLR'!$B$80:$B$757,"&lt;="&amp;'[Steuerung.xlsx]Steuerung'!$F$7,'[D KLR.xlsx]D KLR'!$C$80:$C$757,C125)</f>
        <v/>
      </c>
      <c r="H125" s="14">
        <f>SUMIFS('[D KLR.xlsx]D KLR'!$N$80:$N$757,'[D KLR.xlsx]D KLR'!$A$80:$A$757,'[Steuerung.xlsx]Steuerung'!$F$6,'[D KLR.xlsx]D KLR'!$B$80:$B$757,"&lt;="&amp;'[Steuerung.xlsx]Steuerung'!$F$7,'[D KLR.xlsx]D KLR'!$C$80:$C$757,C125)</f>
        <v/>
      </c>
    </row>
    <row r="126" ht="21" customHeight="1">
      <c r="C126" s="12" t="inlineStr">
        <is>
          <t>470036.0</t>
        </is>
      </c>
      <c r="D126" s="12" t="inlineStr">
        <is>
          <t>Aufwendungen Umlage zentrale Verwaltung</t>
        </is>
      </c>
      <c r="E126" s="12" t="inlineStr">
        <is>
          <t>Verwaltung und Beratung</t>
        </is>
      </c>
      <c r="F126" s="12" t="n">
        <v>2</v>
      </c>
      <c r="G126" s="13">
        <f>SUMIFS('[D KLR.xlsx]D KLR'!$H$80:$H$757,'[D KLR.xlsx]D KLR'!$A$80:$A$757,'[Steuerung.xlsx]Steuerung'!$F$6,'[D KLR.xlsx]D KLR'!$B$80:$B$757,"&lt;="&amp;'[Steuerung.xlsx]Steuerung'!$F$7,'[D KLR.xlsx]D KLR'!$C$80:$C$757,C126)</f>
        <v/>
      </c>
      <c r="H126" s="14">
        <f>SUMIFS('[D KLR.xlsx]D KLR'!$N$80:$N$757,'[D KLR.xlsx]D KLR'!$A$80:$A$757,'[Steuerung.xlsx]Steuerung'!$F$6,'[D KLR.xlsx]D KLR'!$B$80:$B$757,"&lt;="&amp;'[Steuerung.xlsx]Steuerung'!$F$7,'[D KLR.xlsx]D KLR'!$C$80:$C$757,C126)</f>
        <v/>
      </c>
    </row>
    <row r="127" ht="21" customHeight="1">
      <c r="C127" s="12" t="inlineStr">
        <is>
          <t>830510.0</t>
        </is>
      </c>
      <c r="D127" s="12" t="inlineStr">
        <is>
          <t>Erlöse Abrisse/Demontagen</t>
        </is>
      </c>
      <c r="E127" s="12" t="inlineStr">
        <is>
          <t>Umsatzerlöse</t>
        </is>
      </c>
      <c r="F127" s="12" t="n">
        <v>0</v>
      </c>
      <c r="G127" s="13">
        <f>SUMIFS('[D KLR.xlsx]D KLR'!$H$80:$H$757,'[D KLR.xlsx]D KLR'!$A$80:$A$757,'[Steuerung.xlsx]Steuerung'!$F$6,'[D KLR.xlsx]D KLR'!$B$80:$B$757,"&lt;="&amp;'[Steuerung.xlsx]Steuerung'!$F$7,'[D KLR.xlsx]D KLR'!$C$80:$C$757,C127)</f>
        <v/>
      </c>
      <c r="H127" s="14">
        <f>SUMIFS('[D KLR.xlsx]D KLR'!$N$80:$N$757,'[D KLR.xlsx]D KLR'!$A$80:$A$757,'[Steuerung.xlsx]Steuerung'!$F$6,'[D KLR.xlsx]D KLR'!$B$80:$B$757,"&lt;="&amp;'[Steuerung.xlsx]Steuerung'!$F$7,'[D KLR.xlsx]D KLR'!$C$80:$C$757,C127)</f>
        <v/>
      </c>
    </row>
    <row r="128" ht="21" customHeight="1">
      <c r="C128" s="12" t="inlineStr">
        <is>
          <t>860000.0</t>
        </is>
      </c>
      <c r="D128" s="12" t="inlineStr">
        <is>
          <t>Erlöse weiterberechnete Fremdkosten</t>
        </is>
      </c>
      <c r="E128" s="12" t="inlineStr">
        <is>
          <t>Umsatzerlöse</t>
        </is>
      </c>
      <c r="F128" s="12" t="n">
        <v>0</v>
      </c>
      <c r="G128" s="13">
        <f>SUMIFS('[D KLR.xlsx]D KLR'!$H$80:$H$757,'[D KLR.xlsx]D KLR'!$A$80:$A$757,'[Steuerung.xlsx]Steuerung'!$F$6,'[D KLR.xlsx]D KLR'!$B$80:$B$757,"&lt;="&amp;'[Steuerung.xlsx]Steuerung'!$F$7,'[D KLR.xlsx]D KLR'!$C$80:$C$757,C128)</f>
        <v/>
      </c>
      <c r="H128" s="14">
        <f>SUMIFS('[D KLR.xlsx]D KLR'!$N$80:$N$757,'[D KLR.xlsx]D KLR'!$A$80:$A$757,'[Steuerung.xlsx]Steuerung'!$F$6,'[D KLR.xlsx]D KLR'!$B$80:$B$757,"&lt;="&amp;'[Steuerung.xlsx]Steuerung'!$F$7,'[D KLR.xlsx]D KLR'!$C$80:$C$757,C128)</f>
        <v/>
      </c>
    </row>
    <row r="129" ht="21" customHeight="1">
      <c r="C129" s="12" t="inlineStr">
        <is>
          <t>890200.0</t>
        </is>
      </c>
      <c r="D129" s="12" t="inlineStr">
        <is>
          <t>Erl.selbstgen.Fahrz</t>
        </is>
      </c>
      <c r="E129" s="12" t="inlineStr">
        <is>
          <t>Umsatzerlöse</t>
        </is>
      </c>
      <c r="F129" s="12" t="n">
        <v>0</v>
      </c>
      <c r="G129" s="13">
        <f>SUMIFS('[D KLR.xlsx]D KLR'!$H$80:$H$757,'[D KLR.xlsx]D KLR'!$A$80:$A$757,'[Steuerung.xlsx]Steuerung'!$F$6,'[D KLR.xlsx]D KLR'!$B$80:$B$757,"&lt;="&amp;'[Steuerung.xlsx]Steuerung'!$F$7,'[D KLR.xlsx]D KLR'!$C$80:$C$757,C129)</f>
        <v/>
      </c>
      <c r="H129" s="14">
        <f>SUMIFS('[D KLR.xlsx]D KLR'!$N$80:$N$757,'[D KLR.xlsx]D KLR'!$A$80:$A$757,'[Steuerung.xlsx]Steuerung'!$F$6,'[D KLR.xlsx]D KLR'!$B$80:$B$757,"&lt;="&amp;'[Steuerung.xlsx]Steuerung'!$F$7,'[D KLR.xlsx]D KLR'!$C$80:$C$757,C129)</f>
        <v/>
      </c>
    </row>
    <row r="130" ht="21" customHeight="1">
      <c r="C130" s="12" t="inlineStr">
        <is>
          <t>890800.0</t>
        </is>
      </c>
      <c r="D130" s="12" t="inlineStr">
        <is>
          <t>Erlöse Zahlungsdifferenzen Debitoren</t>
        </is>
      </c>
      <c r="E130" s="12" t="inlineStr">
        <is>
          <t>Umsatzerlöse</t>
        </is>
      </c>
      <c r="F130" s="12" t="n">
        <v>0</v>
      </c>
      <c r="G130" s="13">
        <f>SUMIFS('[D KLR.xlsx]D KLR'!$H$80:$H$757,'[D KLR.xlsx]D KLR'!$A$80:$A$757,'[Steuerung.xlsx]Steuerung'!$F$6,'[D KLR.xlsx]D KLR'!$B$80:$B$757,"&lt;="&amp;'[Steuerung.xlsx]Steuerung'!$F$7,'[D KLR.xlsx]D KLR'!$C$80:$C$757,C130)</f>
        <v/>
      </c>
      <c r="H130" s="14">
        <f>SUMIFS('[D KLR.xlsx]D KLR'!$N$80:$N$757,'[D KLR.xlsx]D KLR'!$A$80:$A$757,'[Steuerung.xlsx]Steuerung'!$F$6,'[D KLR.xlsx]D KLR'!$B$80:$B$757,"&lt;="&amp;'[Steuerung.xlsx]Steuerung'!$F$7,'[D KLR.xlsx]D KLR'!$C$80:$C$757,C130)</f>
        <v/>
      </c>
    </row>
    <row r="131" ht="21" customHeight="1">
      <c r="C131" s="12" t="inlineStr">
        <is>
          <t>410130.0</t>
        </is>
      </c>
      <c r="D131" s="12" t="inlineStr">
        <is>
          <t>Sonderzahlungen und Prämien Gehaltsempfä</t>
        </is>
      </c>
      <c r="E131" s="12" t="inlineStr">
        <is>
          <t>Personal</t>
        </is>
      </c>
      <c r="F131" s="12" t="n">
        <v>2</v>
      </c>
      <c r="G131" s="13">
        <f>SUMIFS('[D KLR.xlsx]D KLR'!$H$80:$H$757,'[D KLR.xlsx]D KLR'!$A$80:$A$757,'[Steuerung.xlsx]Steuerung'!$F$6,'[D KLR.xlsx]D KLR'!$B$80:$B$757,"&lt;="&amp;'[Steuerung.xlsx]Steuerung'!$F$7,'[D KLR.xlsx]D KLR'!$C$80:$C$757,C131)</f>
        <v/>
      </c>
      <c r="H131" s="14">
        <f>SUMIFS('[D KLR.xlsx]D KLR'!$N$80:$N$757,'[D KLR.xlsx]D KLR'!$A$80:$A$757,'[Steuerung.xlsx]Steuerung'!$F$6,'[D KLR.xlsx]D KLR'!$B$80:$B$757,"&lt;="&amp;'[Steuerung.xlsx]Steuerung'!$F$7,'[D KLR.xlsx]D KLR'!$C$80:$C$757,C131)</f>
        <v/>
      </c>
    </row>
    <row r="132" ht="21" customHeight="1">
      <c r="C132" s="12" t="inlineStr">
        <is>
          <t>411890</t>
        </is>
      </c>
      <c r="D132" s="12" t="inlineStr">
        <is>
          <t>Neu aus Import – Bezeichnung pflegen</t>
        </is>
      </c>
      <c r="E132" s="12" t="inlineStr">
        <is>
          <t>Personal</t>
        </is>
      </c>
      <c r="F132" s="12" t="n">
        <v>2</v>
      </c>
      <c r="G132" s="13">
        <f>SUMIFS('[D KLR.xlsx]D KLR'!$H$80:$H$757,'[D KLR.xlsx]D KLR'!$A$80:$A$757,'[Steuerung.xlsx]Steuerung'!$F$6,'[D KLR.xlsx]D KLR'!$B$80:$B$757,"&lt;="&amp;'[Steuerung.xlsx]Steuerung'!$F$7,'[D KLR.xlsx]D KLR'!$C$80:$C$757,C132)</f>
        <v/>
      </c>
      <c r="H132" s="14">
        <f>SUMIFS('[D KLR.xlsx]D KLR'!$N$80:$N$757,'[D KLR.xlsx]D KLR'!$A$80:$A$757,'[Steuerung.xlsx]Steuerung'!$F$6,'[D KLR.xlsx]D KLR'!$B$80:$B$757,"&lt;="&amp;'[Steuerung.xlsx]Steuerung'!$F$7,'[D KLR.xlsx]D KLR'!$C$80:$C$757,C132)</f>
        <v/>
      </c>
    </row>
    <row r="133" ht="21" customHeight="1">
      <c r="C133" s="12" t="inlineStr">
        <is>
          <t>420015.0</t>
        </is>
      </c>
      <c r="D133" s="12" t="inlineStr">
        <is>
          <t>Instandhaltungskosten fremde  Gebäude</t>
        </is>
      </c>
      <c r="E133" s="12" t="inlineStr">
        <is>
          <t>Raum, Energie, Instandhaltung</t>
        </is>
      </c>
      <c r="F133" s="12" t="n">
        <v>2</v>
      </c>
      <c r="G133" s="13">
        <f>SUMIFS('[D KLR.xlsx]D KLR'!$H$80:$H$757,'[D KLR.xlsx]D KLR'!$A$80:$A$757,'[Steuerung.xlsx]Steuerung'!$F$6,'[D KLR.xlsx]D KLR'!$B$80:$B$757,"&lt;="&amp;'[Steuerung.xlsx]Steuerung'!$F$7,'[D KLR.xlsx]D KLR'!$C$80:$C$757,C133)</f>
        <v/>
      </c>
      <c r="H133" s="14">
        <f>SUMIFS('[D KLR.xlsx]D KLR'!$N$80:$N$757,'[D KLR.xlsx]D KLR'!$A$80:$A$757,'[Steuerung.xlsx]Steuerung'!$F$6,'[D KLR.xlsx]D KLR'!$B$80:$B$757,"&lt;="&amp;'[Steuerung.xlsx]Steuerung'!$F$7,'[D KLR.xlsx]D KLR'!$C$80:$C$757,C133)</f>
        <v/>
      </c>
    </row>
    <row r="134" ht="21" customHeight="1">
      <c r="C134" s="12" t="inlineStr">
        <is>
          <t>420600.0</t>
        </is>
      </c>
      <c r="D134" s="12" t="inlineStr">
        <is>
          <t>Werkstattbedarf (Kleinwerkzeuge b.100,-D</t>
        </is>
      </c>
      <c r="E134" s="12" t="inlineStr">
        <is>
          <t>Raum, Energie, Instandhaltung</t>
        </is>
      </c>
      <c r="F134" s="12" t="n">
        <v>2</v>
      </c>
      <c r="G134" s="13">
        <f>SUMIFS('[D KLR.xlsx]D KLR'!$H$80:$H$757,'[D KLR.xlsx]D KLR'!$A$80:$A$757,'[Steuerung.xlsx]Steuerung'!$F$6,'[D KLR.xlsx]D KLR'!$B$80:$B$757,"&lt;="&amp;'[Steuerung.xlsx]Steuerung'!$F$7,'[D KLR.xlsx]D KLR'!$C$80:$C$757,C134)</f>
        <v/>
      </c>
      <c r="H134" s="14">
        <f>SUMIFS('[D KLR.xlsx]D KLR'!$N$80:$N$757,'[D KLR.xlsx]D KLR'!$A$80:$A$757,'[Steuerung.xlsx]Steuerung'!$F$6,'[D KLR.xlsx]D KLR'!$B$80:$B$757,"&lt;="&amp;'[Steuerung.xlsx]Steuerung'!$F$7,'[D KLR.xlsx]D KLR'!$C$80:$C$757,C134)</f>
        <v/>
      </c>
    </row>
    <row r="135" ht="21" customHeight="1">
      <c r="C135" s="12" t="inlineStr">
        <is>
          <t>420700.0</t>
        </is>
      </c>
      <c r="D135" s="12" t="inlineStr">
        <is>
          <t>Verbrauch Hilfs- u. Betriebsstoffe</t>
        </is>
      </c>
      <c r="E135" s="12" t="inlineStr">
        <is>
          <t>Raum, Energie, Instandhaltung</t>
        </is>
      </c>
      <c r="F135" s="12" t="n">
        <v>2</v>
      </c>
      <c r="G135" s="13">
        <f>SUMIFS('[D KLR.xlsx]D KLR'!$H$80:$H$757,'[D KLR.xlsx]D KLR'!$A$80:$A$757,'[Steuerung.xlsx]Steuerung'!$F$6,'[D KLR.xlsx]D KLR'!$B$80:$B$757,"&lt;="&amp;'[Steuerung.xlsx]Steuerung'!$F$7,'[D KLR.xlsx]D KLR'!$C$80:$C$757,C135)</f>
        <v/>
      </c>
      <c r="H135" s="14">
        <f>SUMIFS('[D KLR.xlsx]D KLR'!$N$80:$N$757,'[D KLR.xlsx]D KLR'!$A$80:$A$757,'[Steuerung.xlsx]Steuerung'!$F$6,'[D KLR.xlsx]D KLR'!$B$80:$B$757,"&lt;="&amp;'[Steuerung.xlsx]Steuerung'!$F$7,'[D KLR.xlsx]D KLR'!$C$80:$C$757,C135)</f>
        <v/>
      </c>
    </row>
    <row r="136" ht="21" customHeight="1">
      <c r="C136" s="12" t="inlineStr">
        <is>
          <t>430010.0</t>
        </is>
      </c>
      <c r="D136" s="12" t="inlineStr">
        <is>
          <t>Vermögensteuer, Grundsteuer u.a.</t>
        </is>
      </c>
      <c r="E136" s="12" t="inlineStr">
        <is>
          <t>Versicherungen, Mieten, Steuern</t>
        </is>
      </c>
      <c r="F136" s="12" t="n">
        <v>9</v>
      </c>
      <c r="G136" s="13">
        <f>SUMIFS('[D KLR.xlsx]D KLR'!$H$80:$H$757,'[D KLR.xlsx]D KLR'!$A$80:$A$757,'[Steuerung.xlsx]Steuerung'!$F$6,'[D KLR.xlsx]D KLR'!$B$80:$B$757,"&lt;="&amp;'[Steuerung.xlsx]Steuerung'!$F$7,'[D KLR.xlsx]D KLR'!$C$80:$C$757,C136)</f>
        <v/>
      </c>
      <c r="H136" s="14">
        <f>SUMIFS('[D KLR.xlsx]D KLR'!$N$80:$N$757,'[D KLR.xlsx]D KLR'!$A$80:$A$757,'[Steuerung.xlsx]Steuerung'!$F$6,'[D KLR.xlsx]D KLR'!$B$80:$B$757,"&lt;="&amp;'[Steuerung.xlsx]Steuerung'!$F$7,'[D KLR.xlsx]D KLR'!$C$80:$C$757,C136)</f>
        <v/>
      </c>
    </row>
    <row r="137" ht="21" customHeight="1">
      <c r="C137" s="12" t="inlineStr">
        <is>
          <t>430121.0</t>
        </is>
      </c>
      <c r="D137" s="12" t="inlineStr">
        <is>
          <t>Warenkreditversicherung</t>
        </is>
      </c>
      <c r="E137" s="12" t="inlineStr">
        <is>
          <t>Versicherungen, Mieten, Steuern</t>
        </is>
      </c>
      <c r="F137" s="12" t="n">
        <v>2</v>
      </c>
      <c r="G137" s="13">
        <f>SUMIFS('[D KLR.xlsx]D KLR'!$H$80:$H$757,'[D KLR.xlsx]D KLR'!$A$80:$A$757,'[Steuerung.xlsx]Steuerung'!$F$6,'[D KLR.xlsx]D KLR'!$B$80:$B$757,"&lt;="&amp;'[Steuerung.xlsx]Steuerung'!$F$7,'[D KLR.xlsx]D KLR'!$C$80:$C$757,C137)</f>
        <v/>
      </c>
      <c r="H137" s="14">
        <f>SUMIFS('[D KLR.xlsx]D KLR'!$N$80:$N$757,'[D KLR.xlsx]D KLR'!$A$80:$A$757,'[Steuerung.xlsx]Steuerung'!$F$6,'[D KLR.xlsx]D KLR'!$B$80:$B$757,"&lt;="&amp;'[Steuerung.xlsx]Steuerung'!$F$7,'[D KLR.xlsx]D KLR'!$C$80:$C$757,C137)</f>
        <v/>
      </c>
    </row>
    <row r="138" ht="21" customHeight="1">
      <c r="C138" s="12" t="inlineStr">
        <is>
          <t>440050.0</t>
        </is>
      </c>
      <c r="D138" s="12" t="inlineStr">
        <is>
          <t>Transportkosten (außerhalb Recy)</t>
        </is>
      </c>
      <c r="E138" s="12" t="inlineStr">
        <is>
          <t>Transport, Reise, Werbung</t>
        </is>
      </c>
      <c r="F138" s="12" t="n">
        <v>1</v>
      </c>
      <c r="G138" s="13">
        <f>SUMIFS('[D KLR.xlsx]D KLR'!$H$80:$H$757,'[D KLR.xlsx]D KLR'!$A$80:$A$757,'[Steuerung.xlsx]Steuerung'!$F$6,'[D KLR.xlsx]D KLR'!$B$80:$B$757,"&lt;="&amp;'[Steuerung.xlsx]Steuerung'!$F$7,'[D KLR.xlsx]D KLR'!$C$80:$C$757,C138)</f>
        <v/>
      </c>
      <c r="H138" s="14">
        <f>SUMIFS('[D KLR.xlsx]D KLR'!$N$80:$N$757,'[D KLR.xlsx]D KLR'!$A$80:$A$757,'[Steuerung.xlsx]Steuerung'!$F$6,'[D KLR.xlsx]D KLR'!$B$80:$B$757,"&lt;="&amp;'[Steuerung.xlsx]Steuerung'!$F$7,'[D KLR.xlsx]D KLR'!$C$80:$C$757,C138)</f>
        <v/>
      </c>
    </row>
    <row r="139" ht="21" customHeight="1">
      <c r="C139" s="12" t="inlineStr">
        <is>
          <t>450011.0</t>
        </is>
      </c>
      <c r="D139" s="12" t="inlineStr">
        <is>
          <t>Verpfl.mehraufwand (pauschal)</t>
        </is>
      </c>
      <c r="E139" s="12" t="inlineStr">
        <is>
          <t>Transport, Reise, Werbung</t>
        </is>
      </c>
      <c r="F139" s="12" t="n">
        <v>2</v>
      </c>
      <c r="G139" s="13">
        <f>SUMIFS('[D KLR.xlsx]D KLR'!$H$80:$H$757,'[D KLR.xlsx]D KLR'!$A$80:$A$757,'[Steuerung.xlsx]Steuerung'!$F$6,'[D KLR.xlsx]D KLR'!$B$80:$B$757,"&lt;="&amp;'[Steuerung.xlsx]Steuerung'!$F$7,'[D KLR.xlsx]D KLR'!$C$80:$C$757,C139)</f>
        <v/>
      </c>
      <c r="H139" s="14">
        <f>SUMIFS('[D KLR.xlsx]D KLR'!$N$80:$N$757,'[D KLR.xlsx]D KLR'!$A$80:$A$757,'[Steuerung.xlsx]Steuerung'!$F$6,'[D KLR.xlsx]D KLR'!$B$80:$B$757,"&lt;="&amp;'[Steuerung.xlsx]Steuerung'!$F$7,'[D KLR.xlsx]D KLR'!$C$80:$C$757,C139)</f>
        <v/>
      </c>
    </row>
    <row r="140" ht="21" customHeight="1">
      <c r="C140" s="12" t="inlineStr">
        <is>
          <t>450012.0</t>
        </is>
      </c>
      <c r="D140" s="12" t="inlineStr">
        <is>
          <t>Kilometergeld (pauschal)</t>
        </is>
      </c>
      <c r="E140" s="12" t="inlineStr">
        <is>
          <t>Transport, Reise, Werbung</t>
        </is>
      </c>
      <c r="F140" s="12" t="n">
        <v>2</v>
      </c>
      <c r="G140" s="13">
        <f>SUMIFS('[D KLR.xlsx]D KLR'!$H$80:$H$757,'[D KLR.xlsx]D KLR'!$A$80:$A$757,'[Steuerung.xlsx]Steuerung'!$F$6,'[D KLR.xlsx]D KLR'!$B$80:$B$757,"&lt;="&amp;'[Steuerung.xlsx]Steuerung'!$F$7,'[D KLR.xlsx]D KLR'!$C$80:$C$757,C140)</f>
        <v/>
      </c>
      <c r="H140" s="14">
        <f>SUMIFS('[D KLR.xlsx]D KLR'!$N$80:$N$757,'[D KLR.xlsx]D KLR'!$A$80:$A$757,'[Steuerung.xlsx]Steuerung'!$F$6,'[D KLR.xlsx]D KLR'!$B$80:$B$757,"&lt;="&amp;'[Steuerung.xlsx]Steuerung'!$F$7,'[D KLR.xlsx]D KLR'!$C$80:$C$757,C140)</f>
        <v/>
      </c>
    </row>
    <row r="141" ht="21" customHeight="1">
      <c r="C141" s="12" t="inlineStr">
        <is>
          <t>450013.0</t>
        </is>
      </c>
      <c r="D141" s="12" t="inlineStr">
        <is>
          <t>Kürzung Verpfleg.mehraufwand</t>
        </is>
      </c>
      <c r="E141" s="12" t="inlineStr">
        <is>
          <t>Transport, Reise, Werbung</t>
        </is>
      </c>
      <c r="F141" s="12" t="n">
        <v>2</v>
      </c>
      <c r="G141" s="13">
        <f>SUMIFS('[D KLR.xlsx]D KLR'!$H$80:$H$757,'[D KLR.xlsx]D KLR'!$A$80:$A$757,'[Steuerung.xlsx]Steuerung'!$F$6,'[D KLR.xlsx]D KLR'!$B$80:$B$757,"&lt;="&amp;'[Steuerung.xlsx]Steuerung'!$F$7,'[D KLR.xlsx]D KLR'!$C$80:$C$757,C141)</f>
        <v/>
      </c>
      <c r="H141" s="14">
        <f>SUMIFS('[D KLR.xlsx]D KLR'!$N$80:$N$757,'[D KLR.xlsx]D KLR'!$A$80:$A$757,'[Steuerung.xlsx]Steuerung'!$F$6,'[D KLR.xlsx]D KLR'!$B$80:$B$757,"&lt;="&amp;'[Steuerung.xlsx]Steuerung'!$F$7,'[D KLR.xlsx]D KLR'!$C$80:$C$757,C141)</f>
        <v/>
      </c>
    </row>
    <row r="142" ht="21" customHeight="1">
      <c r="C142" s="12" t="inlineStr">
        <is>
          <t>450020.0</t>
        </is>
      </c>
      <c r="D142" s="12" t="inlineStr">
        <is>
          <t>Reisekosten Betriebsfremde</t>
        </is>
      </c>
      <c r="E142" s="12" t="inlineStr">
        <is>
          <t>Transport, Reise, Werbung</t>
        </is>
      </c>
      <c r="F142" s="12" t="n">
        <v>2</v>
      </c>
      <c r="G142" s="13">
        <f>SUMIFS('[D KLR.xlsx]D KLR'!$H$80:$H$757,'[D KLR.xlsx]D KLR'!$A$80:$A$757,'[Steuerung.xlsx]Steuerung'!$F$6,'[D KLR.xlsx]D KLR'!$B$80:$B$757,"&lt;="&amp;'[Steuerung.xlsx]Steuerung'!$F$7,'[D KLR.xlsx]D KLR'!$C$80:$C$757,C142)</f>
        <v/>
      </c>
      <c r="H142" s="14">
        <f>SUMIFS('[D KLR.xlsx]D KLR'!$N$80:$N$757,'[D KLR.xlsx]D KLR'!$A$80:$A$757,'[Steuerung.xlsx]Steuerung'!$F$6,'[D KLR.xlsx]D KLR'!$B$80:$B$757,"&lt;="&amp;'[Steuerung.xlsx]Steuerung'!$F$7,'[D KLR.xlsx]D KLR'!$C$80:$C$757,C142)</f>
        <v/>
      </c>
    </row>
    <row r="143" ht="21" customHeight="1">
      <c r="C143" s="12" t="inlineStr">
        <is>
          <t>450030.0</t>
        </is>
      </c>
      <c r="D143" s="12" t="inlineStr">
        <is>
          <t>Bewirtung zu 100 % abzugsfähig</t>
        </is>
      </c>
      <c r="E143" s="12" t="inlineStr">
        <is>
          <t>Transport, Reise, Werbung</t>
        </is>
      </c>
      <c r="F143" s="12" t="n">
        <v>2</v>
      </c>
      <c r="G143" s="13">
        <f>SUMIFS('[D KLR.xlsx]D KLR'!$H$80:$H$757,'[D KLR.xlsx]D KLR'!$A$80:$A$757,'[Steuerung.xlsx]Steuerung'!$F$6,'[D KLR.xlsx]D KLR'!$B$80:$B$757,"&lt;="&amp;'[Steuerung.xlsx]Steuerung'!$F$7,'[D KLR.xlsx]D KLR'!$C$80:$C$757,C143)</f>
        <v/>
      </c>
      <c r="H143" s="14">
        <f>SUMIFS('[D KLR.xlsx]D KLR'!$N$80:$N$757,'[D KLR.xlsx]D KLR'!$A$80:$A$757,'[Steuerung.xlsx]Steuerung'!$F$6,'[D KLR.xlsx]D KLR'!$B$80:$B$757,"&lt;="&amp;'[Steuerung.xlsx]Steuerung'!$F$7,'[D KLR.xlsx]D KLR'!$C$80:$C$757,C143)</f>
        <v/>
      </c>
    </row>
    <row r="144" ht="21" customHeight="1">
      <c r="C144" s="12" t="inlineStr">
        <is>
          <t>450039.0</t>
        </is>
      </c>
      <c r="D144" s="12" t="inlineStr">
        <is>
          <t>Bewirtung zu 70 % abzugsfähig</t>
        </is>
      </c>
      <c r="E144" s="12" t="inlineStr">
        <is>
          <t>Transport, Reise, Werbung</t>
        </is>
      </c>
      <c r="F144" s="12" t="n">
        <v>2</v>
      </c>
      <c r="G144" s="13">
        <f>SUMIFS('[D KLR.xlsx]D KLR'!$H$80:$H$757,'[D KLR.xlsx]D KLR'!$A$80:$A$757,'[Steuerung.xlsx]Steuerung'!$F$6,'[D KLR.xlsx]D KLR'!$B$80:$B$757,"&lt;="&amp;'[Steuerung.xlsx]Steuerung'!$F$7,'[D KLR.xlsx]D KLR'!$C$80:$C$757,C144)</f>
        <v/>
      </c>
      <c r="H144" s="14">
        <f>SUMIFS('[D KLR.xlsx]D KLR'!$N$80:$N$757,'[D KLR.xlsx]D KLR'!$A$80:$A$757,'[Steuerung.xlsx]Steuerung'!$F$6,'[D KLR.xlsx]D KLR'!$B$80:$B$757,"&lt;="&amp;'[Steuerung.xlsx]Steuerung'!$F$7,'[D KLR.xlsx]D KLR'!$C$80:$C$757,C144)</f>
        <v/>
      </c>
    </row>
    <row r="145" ht="21" customHeight="1">
      <c r="C145" s="12" t="inlineStr">
        <is>
          <t>450050.0</t>
        </is>
      </c>
      <c r="D145" s="12" t="inlineStr">
        <is>
          <t>Allgemeine Repräsentationskosten</t>
        </is>
      </c>
      <c r="E145" s="12" t="inlineStr">
        <is>
          <t>Transport, Reise, Werbung</t>
        </is>
      </c>
      <c r="F145" s="12" t="n">
        <v>2</v>
      </c>
      <c r="G145" s="13">
        <f>SUMIFS('[D KLR.xlsx]D KLR'!$H$80:$H$757,'[D KLR.xlsx]D KLR'!$A$80:$A$757,'[Steuerung.xlsx]Steuerung'!$F$6,'[D KLR.xlsx]D KLR'!$B$80:$B$757,"&lt;="&amp;'[Steuerung.xlsx]Steuerung'!$F$7,'[D KLR.xlsx]D KLR'!$C$80:$C$757,C145)</f>
        <v/>
      </c>
      <c r="H145" s="14">
        <f>SUMIFS('[D KLR.xlsx]D KLR'!$N$80:$N$757,'[D KLR.xlsx]D KLR'!$A$80:$A$757,'[Steuerung.xlsx]Steuerung'!$F$6,'[D KLR.xlsx]D KLR'!$B$80:$B$757,"&lt;="&amp;'[Steuerung.xlsx]Steuerung'!$F$7,'[D KLR.xlsx]D KLR'!$C$80:$C$757,C145)</f>
        <v/>
      </c>
    </row>
    <row r="146" ht="21" customHeight="1">
      <c r="C146" s="12" t="inlineStr">
        <is>
          <t>450061.0</t>
        </is>
      </c>
      <c r="D146" s="12" t="inlineStr">
        <is>
          <t>Geschenke Zuwend. &lt; Wertgrenze Dritte/Ar</t>
        </is>
      </c>
      <c r="E146" s="12" t="inlineStr">
        <is>
          <t>Transport, Reise, Werbung</t>
        </is>
      </c>
      <c r="F146" s="12" t="n">
        <v>2</v>
      </c>
      <c r="G146" s="13">
        <f>SUMIFS('[D KLR.xlsx]D KLR'!$H$80:$H$757,'[D KLR.xlsx]D KLR'!$A$80:$A$757,'[Steuerung.xlsx]Steuerung'!$F$6,'[D KLR.xlsx]D KLR'!$B$80:$B$757,"&lt;="&amp;'[Steuerung.xlsx]Steuerung'!$F$7,'[D KLR.xlsx]D KLR'!$C$80:$C$757,C146)</f>
        <v/>
      </c>
      <c r="H146" s="14">
        <f>SUMIFS('[D KLR.xlsx]D KLR'!$N$80:$N$757,'[D KLR.xlsx]D KLR'!$A$80:$A$757,'[Steuerung.xlsx]Steuerung'!$F$6,'[D KLR.xlsx]D KLR'!$B$80:$B$757,"&lt;="&amp;'[Steuerung.xlsx]Steuerung'!$F$7,'[D KLR.xlsx]D KLR'!$C$80:$C$757,C146)</f>
        <v/>
      </c>
    </row>
    <row r="147" ht="21" customHeight="1">
      <c r="C147" s="12" t="inlineStr">
        <is>
          <t>450081.0</t>
        </is>
      </c>
      <c r="D147" s="12" t="inlineStr">
        <is>
          <t>Sponsoring</t>
        </is>
      </c>
      <c r="E147" s="12" t="inlineStr">
        <is>
          <t>Transport, Reise, Werbung</t>
        </is>
      </c>
      <c r="F147" s="12" t="n">
        <v>2</v>
      </c>
      <c r="G147" s="13">
        <f>SUMIFS('[D KLR.xlsx]D KLR'!$H$80:$H$757,'[D KLR.xlsx]D KLR'!$A$80:$A$757,'[Steuerung.xlsx]Steuerung'!$F$6,'[D KLR.xlsx]D KLR'!$B$80:$B$757,"&lt;="&amp;'[Steuerung.xlsx]Steuerung'!$F$7,'[D KLR.xlsx]D KLR'!$C$80:$C$757,C147)</f>
        <v/>
      </c>
      <c r="H147" s="14">
        <f>SUMIFS('[D KLR.xlsx]D KLR'!$N$80:$N$757,'[D KLR.xlsx]D KLR'!$A$80:$A$757,'[Steuerung.xlsx]Steuerung'!$F$6,'[D KLR.xlsx]D KLR'!$B$80:$B$757,"&lt;="&amp;'[Steuerung.xlsx]Steuerung'!$F$7,'[D KLR.xlsx]D KLR'!$C$80:$C$757,C147)</f>
        <v/>
      </c>
    </row>
    <row r="148" ht="21" customHeight="1">
      <c r="C148" s="12" t="inlineStr">
        <is>
          <t>460020.0</t>
        </is>
      </c>
      <c r="D148" s="12" t="inlineStr">
        <is>
          <t>Zeitungen, Zeitschrift.und Bücher</t>
        </is>
      </c>
      <c r="E148" s="12" t="inlineStr">
        <is>
          <t>Verwaltung und Beratung</t>
        </is>
      </c>
      <c r="F148" s="12" t="n">
        <v>2</v>
      </c>
      <c r="G148" s="13">
        <f>SUMIFS('[D KLR.xlsx]D KLR'!$H$80:$H$757,'[D KLR.xlsx]D KLR'!$A$80:$A$757,'[Steuerung.xlsx]Steuerung'!$F$6,'[D KLR.xlsx]D KLR'!$B$80:$B$757,"&lt;="&amp;'[Steuerung.xlsx]Steuerung'!$F$7,'[D KLR.xlsx]D KLR'!$C$80:$C$757,C148)</f>
        <v/>
      </c>
      <c r="H148" s="14">
        <f>SUMIFS('[D KLR.xlsx]D KLR'!$N$80:$N$757,'[D KLR.xlsx]D KLR'!$A$80:$A$757,'[Steuerung.xlsx]Steuerung'!$F$6,'[D KLR.xlsx]D KLR'!$B$80:$B$757,"&lt;="&amp;'[Steuerung.xlsx]Steuerung'!$F$7,'[D KLR.xlsx]D KLR'!$C$80:$C$757,C148)</f>
        <v/>
      </c>
    </row>
    <row r="149" ht="21" customHeight="1">
      <c r="C149" s="12" t="inlineStr">
        <is>
          <t>460080.0</t>
        </is>
      </c>
      <c r="D149" s="12" t="inlineStr">
        <is>
          <t>Pflichtbeiträge zu Verbänden</t>
        </is>
      </c>
      <c r="E149" s="12" t="inlineStr">
        <is>
          <t>Verwaltung und Beratung</t>
        </is>
      </c>
      <c r="F149" s="12" t="n">
        <v>2</v>
      </c>
      <c r="G149" s="13">
        <f>SUMIFS('[D KLR.xlsx]D KLR'!$H$80:$H$757,'[D KLR.xlsx]D KLR'!$A$80:$A$757,'[Steuerung.xlsx]Steuerung'!$F$6,'[D KLR.xlsx]D KLR'!$B$80:$B$757,"&lt;="&amp;'[Steuerung.xlsx]Steuerung'!$F$7,'[D KLR.xlsx]D KLR'!$C$80:$C$757,C149)</f>
        <v/>
      </c>
      <c r="H149" s="14">
        <f>SUMIFS('[D KLR.xlsx]D KLR'!$N$80:$N$757,'[D KLR.xlsx]D KLR'!$A$80:$A$757,'[Steuerung.xlsx]Steuerung'!$F$6,'[D KLR.xlsx]D KLR'!$B$80:$B$757,"&lt;="&amp;'[Steuerung.xlsx]Steuerung'!$F$7,'[D KLR.xlsx]D KLR'!$C$80:$C$757,C149)</f>
        <v/>
      </c>
    </row>
    <row r="150" ht="21" customHeight="1">
      <c r="C150" s="12" t="inlineStr">
        <is>
          <t>460081.0</t>
        </is>
      </c>
      <c r="D150" s="12" t="inlineStr">
        <is>
          <t>Beiträge zu sonstigen Vereinigungen</t>
        </is>
      </c>
      <c r="E150" s="12" t="inlineStr">
        <is>
          <t>Verwaltung und Beratung</t>
        </is>
      </c>
      <c r="F150" s="12" t="n">
        <v>2</v>
      </c>
      <c r="G150" s="13">
        <f>SUMIFS('[D KLR.xlsx]D KLR'!$H$80:$H$757,'[D KLR.xlsx]D KLR'!$A$80:$A$757,'[Steuerung.xlsx]Steuerung'!$F$6,'[D KLR.xlsx]D KLR'!$B$80:$B$757,"&lt;="&amp;'[Steuerung.xlsx]Steuerung'!$F$7,'[D KLR.xlsx]D KLR'!$C$80:$C$757,C150)</f>
        <v/>
      </c>
      <c r="H150" s="14">
        <f>SUMIFS('[D KLR.xlsx]D KLR'!$N$80:$N$757,'[D KLR.xlsx]D KLR'!$A$80:$A$757,'[Steuerung.xlsx]Steuerung'!$F$6,'[D KLR.xlsx]D KLR'!$B$80:$B$757,"&lt;="&amp;'[Steuerung.xlsx]Steuerung'!$F$7,'[D KLR.xlsx]D KLR'!$C$80:$C$757,C150)</f>
        <v/>
      </c>
    </row>
    <row r="151" ht="21" customHeight="1">
      <c r="C151" s="12" t="inlineStr">
        <is>
          <t>7612000.0</t>
        </is>
      </c>
      <c r="D151" s="12" t="inlineStr">
        <is>
          <t>Verrechnung Geräte</t>
        </is>
      </c>
      <c r="E151" s="12" t="inlineStr">
        <is>
          <t>Innerbetriebliche Verrechnung</t>
        </is>
      </c>
      <c r="F151" s="12" t="n">
        <v>1</v>
      </c>
      <c r="G151" s="13">
        <f>SUMIFS('[D KLR.xlsx]D KLR'!$H$80:$H$757,'[D KLR.xlsx]D KLR'!$A$80:$A$757,'[Steuerung.xlsx]Steuerung'!$F$6,'[D KLR.xlsx]D KLR'!$B$80:$B$757,"&lt;="&amp;'[Steuerung.xlsx]Steuerung'!$F$7,'[D KLR.xlsx]D KLR'!$C$80:$C$757,C151)</f>
        <v/>
      </c>
      <c r="H151" s="14">
        <f>SUMIFS('[D KLR.xlsx]D KLR'!$N$80:$N$757,'[D KLR.xlsx]D KLR'!$A$80:$A$757,'[Steuerung.xlsx]Steuerung'!$F$6,'[D KLR.xlsx]D KLR'!$B$80:$B$757,"&lt;="&amp;'[Steuerung.xlsx]Steuerung'!$F$7,'[D KLR.xlsx]D KLR'!$C$80:$C$757,C151)</f>
        <v/>
      </c>
    </row>
    <row r="152" ht="21" customHeight="1">
      <c r="C152" s="12" t="inlineStr">
        <is>
          <t>7801020.0</t>
        </is>
      </c>
      <c r="D152" s="12" t="inlineStr">
        <is>
          <t>Gemeinkostenzuschläge 12 % TVF Altwert</t>
        </is>
      </c>
      <c r="E152" s="12" t="inlineStr">
        <is>
          <t>Innerbetriebliche Verrechnung</t>
        </is>
      </c>
      <c r="F152" s="12" t="n">
        <v>2</v>
      </c>
      <c r="G152" s="13">
        <f>SUMIFS('[D KLR.xlsx]D KLR'!$H$80:$H$757,'[D KLR.xlsx]D KLR'!$A$80:$A$757,'[Steuerung.xlsx]Steuerung'!$F$6,'[D KLR.xlsx]D KLR'!$B$80:$B$757,"&lt;="&amp;'[Steuerung.xlsx]Steuerung'!$F$7,'[D KLR.xlsx]D KLR'!$C$80:$C$757,C152)</f>
        <v/>
      </c>
      <c r="H152" s="14">
        <f>SUMIFS('[D KLR.xlsx]D KLR'!$N$80:$N$757,'[D KLR.xlsx]D KLR'!$A$80:$A$757,'[Steuerung.xlsx]Steuerung'!$F$6,'[D KLR.xlsx]D KLR'!$B$80:$B$757,"&lt;="&amp;'[Steuerung.xlsx]Steuerung'!$F$7,'[D KLR.xlsx]D KLR'!$C$80:$C$757,C152)</f>
        <v/>
      </c>
    </row>
    <row r="153" ht="21" customHeight="1">
      <c r="C153" s="12" t="inlineStr">
        <is>
          <t>560006</t>
        </is>
      </c>
      <c r="D153" s="12" t="inlineStr">
        <is>
          <t>ERP-Systeme</t>
        </is>
      </c>
      <c r="E153" s="12" t="inlineStr">
        <is>
          <t>Sonstiges</t>
        </is>
      </c>
      <c r="F153" s="12" t="n">
        <v>2</v>
      </c>
      <c r="G153" s="13">
        <f>SUMIFS('[D KLR.xlsx]D KLR'!$H$80:$H$757,'[D KLR.xlsx]D KLR'!$A$80:$A$757,'[Steuerung.xlsx]Steuerung'!$F$6,'[D KLR.xlsx]D KLR'!$B$80:$B$757,"&lt;="&amp;'[Steuerung.xlsx]Steuerung'!$F$7,'[D KLR.xlsx]D KLR'!$C$80:$C$757,C153)</f>
        <v/>
      </c>
      <c r="H153" s="14">
        <f>SUMIFS('[D KLR.xlsx]D KLR'!$N$80:$N$757,'[D KLR.xlsx]D KLR'!$A$80:$A$757,'[Steuerung.xlsx]Steuerung'!$F$6,'[D KLR.xlsx]D KLR'!$B$80:$B$757,"&lt;="&amp;'[Steuerung.xlsx]Steuerung'!$F$7,'[D KLR.xlsx]D KLR'!$C$80:$C$757,C153)</f>
        <v/>
      </c>
    </row>
    <row r="154" ht="21" customHeight="1">
      <c r="C154" s="12" t="inlineStr">
        <is>
          <t>460050</t>
        </is>
      </c>
      <c r="D154" s="12" t="inlineStr">
        <is>
          <t>Neu aus Import – Bezeichnung pflegen</t>
        </is>
      </c>
      <c r="E154" s="12" t="inlineStr">
        <is>
          <t>Verwaltung und Beratung</t>
        </is>
      </c>
      <c r="F154" s="12" t="n">
        <v>2</v>
      </c>
      <c r="G154" s="13">
        <f>SUMIFS('[D KLR.xlsx]D KLR'!$H$80:$H$757,'[D KLR.xlsx]D KLR'!$A$80:$A$757,'[Steuerung.xlsx]Steuerung'!$F$6,'[D KLR.xlsx]D KLR'!$B$80:$B$757,"&lt;="&amp;'[Steuerung.xlsx]Steuerung'!$F$7,'[D KLR.xlsx]D KLR'!$C$80:$C$757,C154)</f>
        <v/>
      </c>
      <c r="H154" s="14">
        <f>SUMIFS('[D KLR.xlsx]D KLR'!$N$80:$N$757,'[D KLR.xlsx]D KLR'!$A$80:$A$757,'[Steuerung.xlsx]Steuerung'!$F$6,'[D KLR.xlsx]D KLR'!$B$80:$B$757,"&lt;="&amp;'[Steuerung.xlsx]Steuerung'!$F$7,'[D KLR.xlsx]D KLR'!$C$80:$C$757,C154)</f>
        <v/>
      </c>
    </row>
    <row r="155" ht="21" customHeight="1">
      <c r="C155" s="12" t="inlineStr">
        <is>
          <t>410010</t>
        </is>
      </c>
      <c r="D155" s="12" t="inlineStr">
        <is>
          <t>Neu aus Import – Bezeichnung pflegen</t>
        </is>
      </c>
      <c r="E155" s="12" t="inlineStr">
        <is>
          <t>Personal</t>
        </is>
      </c>
      <c r="F155" s="12" t="n">
        <v>2</v>
      </c>
      <c r="G155" s="13">
        <f>SUMIFS('[D KLR.xlsx]D KLR'!$H$80:$H$757,'[D KLR.xlsx]D KLR'!$A$80:$A$757,'[Steuerung.xlsx]Steuerung'!$F$6,'[D KLR.xlsx]D KLR'!$B$80:$B$757,"&lt;="&amp;'[Steuerung.xlsx]Steuerung'!$F$7,'[D KLR.xlsx]D KLR'!$C$80:$C$757,C155)</f>
        <v/>
      </c>
      <c r="H155" s="14">
        <f>SUMIFS('[D KLR.xlsx]D KLR'!$N$80:$N$757,'[D KLR.xlsx]D KLR'!$A$80:$A$757,'[Steuerung.xlsx]Steuerung'!$F$6,'[D KLR.xlsx]D KLR'!$B$80:$B$757,"&lt;="&amp;'[Steuerung.xlsx]Steuerung'!$F$7,'[D KLR.xlsx]D KLR'!$C$80:$C$757,C155)</f>
        <v/>
      </c>
    </row>
    <row r="156" ht="21" customHeight="1">
      <c r="C156" s="12" t="inlineStr">
        <is>
          <t>411021</t>
        </is>
      </c>
      <c r="D156" s="12" t="inlineStr">
        <is>
          <t>Neu aus Import – Bezeichnung pflegen</t>
        </is>
      </c>
      <c r="E156" s="12" t="inlineStr">
        <is>
          <t>Personal</t>
        </is>
      </c>
      <c r="F156" s="12" t="n">
        <v>2</v>
      </c>
      <c r="G156" s="13">
        <f>SUMIFS('[D KLR.xlsx]D KLR'!$H$80:$H$757,'[D KLR.xlsx]D KLR'!$A$80:$A$757,'[Steuerung.xlsx]Steuerung'!$F$6,'[D KLR.xlsx]D KLR'!$B$80:$B$757,"&lt;="&amp;'[Steuerung.xlsx]Steuerung'!$F$7,'[D KLR.xlsx]D KLR'!$C$80:$C$757,C156)</f>
        <v/>
      </c>
      <c r="H156" s="14">
        <f>SUMIFS('[D KLR.xlsx]D KLR'!$N$80:$N$757,'[D KLR.xlsx]D KLR'!$A$80:$A$757,'[Steuerung.xlsx]Steuerung'!$F$6,'[D KLR.xlsx]D KLR'!$B$80:$B$757,"&lt;="&amp;'[Steuerung.xlsx]Steuerung'!$F$7,'[D KLR.xlsx]D KLR'!$C$80:$C$757,C156)</f>
        <v/>
      </c>
    </row>
    <row r="157" ht="21" customHeight="1">
      <c r="C157" s="12" t="inlineStr">
        <is>
          <t>410060</t>
        </is>
      </c>
      <c r="D157" s="12" t="inlineStr">
        <is>
          <t>Neu aus Import – Bezeichnung pflegen</t>
        </is>
      </c>
      <c r="E157" s="12" t="inlineStr">
        <is>
          <t>Personal</t>
        </is>
      </c>
      <c r="F157" s="12" t="n">
        <v>2</v>
      </c>
      <c r="G157" s="13">
        <f>SUMIFS('[D KLR.xlsx]D KLR'!$H$80:$H$757,'[D KLR.xlsx]D KLR'!$A$80:$A$757,'[Steuerung.xlsx]Steuerung'!$F$6,'[D KLR.xlsx]D KLR'!$B$80:$B$757,"&lt;="&amp;'[Steuerung.xlsx]Steuerung'!$F$7,'[D KLR.xlsx]D KLR'!$C$80:$C$757,C157)</f>
        <v/>
      </c>
      <c r="H157" s="14">
        <f>SUMIFS('[D KLR.xlsx]D KLR'!$N$80:$N$757,'[D KLR.xlsx]D KLR'!$A$80:$A$757,'[Steuerung.xlsx]Steuerung'!$F$6,'[D KLR.xlsx]D KLR'!$B$80:$B$757,"&lt;="&amp;'[Steuerung.xlsx]Steuerung'!$F$7,'[D KLR.xlsx]D KLR'!$C$80:$C$757,C157)</f>
        <v/>
      </c>
    </row>
    <row r="158" ht="21" customHeight="1">
      <c r="C158" s="12" t="inlineStr">
        <is>
          <t>410160</t>
        </is>
      </c>
      <c r="D158" s="12" t="inlineStr">
        <is>
          <t>Neu aus Import – Bezeichnung pflegen</t>
        </is>
      </c>
      <c r="E158" s="12" t="inlineStr">
        <is>
          <t>Personal</t>
        </is>
      </c>
      <c r="F158" s="12" t="n">
        <v>2</v>
      </c>
      <c r="G158" s="13">
        <f>SUMIFS('[D KLR.xlsx]D KLR'!$H$80:$H$757,'[D KLR.xlsx]D KLR'!$A$80:$A$757,'[Steuerung.xlsx]Steuerung'!$F$6,'[D KLR.xlsx]D KLR'!$B$80:$B$757,"&lt;="&amp;'[Steuerung.xlsx]Steuerung'!$F$7,'[D KLR.xlsx]D KLR'!$C$80:$C$757,C158)</f>
        <v/>
      </c>
      <c r="H158" s="14">
        <f>SUMIFS('[D KLR.xlsx]D KLR'!$N$80:$N$757,'[D KLR.xlsx]D KLR'!$A$80:$A$757,'[Steuerung.xlsx]Steuerung'!$F$6,'[D KLR.xlsx]D KLR'!$B$80:$B$757,"&lt;="&amp;'[Steuerung.xlsx]Steuerung'!$F$7,'[D KLR.xlsx]D KLR'!$C$80:$C$757,C158)</f>
        <v/>
      </c>
    </row>
    <row r="159" ht="21" customHeight="1">
      <c r="C159" s="12" t="inlineStr">
        <is>
          <t>410110</t>
        </is>
      </c>
      <c r="D159" s="12" t="inlineStr">
        <is>
          <t>Neu aus Import – Bezeichnung pflegen</t>
        </is>
      </c>
      <c r="E159" s="12" t="inlineStr">
        <is>
          <t>Personal</t>
        </is>
      </c>
      <c r="F159" s="12" t="n">
        <v>2</v>
      </c>
      <c r="G159" s="13">
        <f>SUMIFS('[D KLR.xlsx]D KLR'!$H$80:$H$757,'[D KLR.xlsx]D KLR'!$A$80:$A$757,'[Steuerung.xlsx]Steuerung'!$F$6,'[D KLR.xlsx]D KLR'!$B$80:$B$757,"&lt;="&amp;'[Steuerung.xlsx]Steuerung'!$F$7,'[D KLR.xlsx]D KLR'!$C$80:$C$757,C159)</f>
        <v/>
      </c>
      <c r="H159" s="14">
        <f>SUMIFS('[D KLR.xlsx]D KLR'!$N$80:$N$757,'[D KLR.xlsx]D KLR'!$A$80:$A$757,'[Steuerung.xlsx]Steuerung'!$F$6,'[D KLR.xlsx]D KLR'!$B$80:$B$757,"&lt;="&amp;'[Steuerung.xlsx]Steuerung'!$F$7,'[D KLR.xlsx]D KLR'!$C$80:$C$757,C159)</f>
        <v/>
      </c>
    </row>
    <row r="160" ht="21" customHeight="1">
      <c r="C160" s="12" t="inlineStr">
        <is>
          <t>289200.0</t>
        </is>
      </c>
      <c r="D160" s="12" t="inlineStr">
        <is>
          <t>Verr. kalk. Zinsen</t>
        </is>
      </c>
      <c r="E160" s="12" t="inlineStr">
        <is>
          <t>Kalkulatorische Kosten</t>
        </is>
      </c>
      <c r="F160" s="12" t="n">
        <v>9</v>
      </c>
      <c r="G160" s="13">
        <f>SUMIFS('[D KLR.xlsx]D KLR'!$H$80:$H$757,'[D KLR.xlsx]D KLR'!$A$80:$A$757,'[Steuerung.xlsx]Steuerung'!$F$6,'[D KLR.xlsx]D KLR'!$B$80:$B$757,"&lt;="&amp;'[Steuerung.xlsx]Steuerung'!$F$7,'[D KLR.xlsx]D KLR'!$C$80:$C$757,C160)</f>
        <v/>
      </c>
      <c r="H160" s="14">
        <f>SUMIFS('[D KLR.xlsx]D KLR'!$N$80:$N$757,'[D KLR.xlsx]D KLR'!$A$80:$A$757,'[Steuerung.xlsx]Steuerung'!$F$6,'[D KLR.xlsx]D KLR'!$B$80:$B$757,"&lt;="&amp;'[Steuerung.xlsx]Steuerung'!$F$7,'[D KLR.xlsx]D KLR'!$C$80:$C$757,C160)</f>
        <v/>
      </c>
    </row>
    <row r="161" ht="21" customHeight="1">
      <c r="C161" s="12" t="inlineStr">
        <is>
          <t>289300.0</t>
        </is>
      </c>
      <c r="D161" s="12" t="inlineStr">
        <is>
          <t>Verr. kalk. Abschreibungen</t>
        </is>
      </c>
      <c r="E161" s="12" t="inlineStr">
        <is>
          <t>Kalkulatorische Kosten</t>
        </is>
      </c>
      <c r="F161" s="12" t="n">
        <v>9</v>
      </c>
      <c r="G161" s="13">
        <f>SUMIFS('[D KLR.xlsx]D KLR'!$H$80:$H$757,'[D KLR.xlsx]D KLR'!$A$80:$A$757,'[Steuerung.xlsx]Steuerung'!$F$6,'[D KLR.xlsx]D KLR'!$B$80:$B$757,"&lt;="&amp;'[Steuerung.xlsx]Steuerung'!$F$7,'[D KLR.xlsx]D KLR'!$C$80:$C$757,C161)</f>
        <v/>
      </c>
      <c r="H161" s="14">
        <f>SUMIFS('[D KLR.xlsx]D KLR'!$N$80:$N$757,'[D KLR.xlsx]D KLR'!$A$80:$A$757,'[Steuerung.xlsx]Steuerung'!$F$6,'[D KLR.xlsx]D KLR'!$B$80:$B$757,"&lt;="&amp;'[Steuerung.xlsx]Steuerung'!$F$7,'[D KLR.xlsx]D KLR'!$C$80:$C$757,C161)</f>
        <v/>
      </c>
    </row>
    <row r="162" ht="21" customHeight="1">
      <c r="C162" s="12" t="inlineStr">
        <is>
          <t>300075.0</t>
        </is>
      </c>
      <c r="D162" s="12" t="inlineStr">
        <is>
          <t>Materialaufwand Abbruch u. Rückbau</t>
        </is>
      </c>
      <c r="E162" s="12" t="inlineStr">
        <is>
          <t>Material und Fremdleistungen</t>
        </is>
      </c>
      <c r="F162" s="12" t="n">
        <v>1</v>
      </c>
      <c r="G162" s="13">
        <f>SUMIFS('[D KLR.xlsx]D KLR'!$H$80:$H$757,'[D KLR.xlsx]D KLR'!$A$80:$A$757,'[Steuerung.xlsx]Steuerung'!$F$6,'[D KLR.xlsx]D KLR'!$B$80:$B$757,"&lt;="&amp;'[Steuerung.xlsx]Steuerung'!$F$7,'[D KLR.xlsx]D KLR'!$C$80:$C$757,C162)</f>
        <v/>
      </c>
      <c r="H162" s="14">
        <f>SUMIFS('[D KLR.xlsx]D KLR'!$N$80:$N$757,'[D KLR.xlsx]D KLR'!$A$80:$A$757,'[Steuerung.xlsx]Steuerung'!$F$6,'[D KLR.xlsx]D KLR'!$B$80:$B$757,"&lt;="&amp;'[Steuerung.xlsx]Steuerung'!$F$7,'[D KLR.xlsx]D KLR'!$C$80:$C$757,C162)</f>
        <v/>
      </c>
    </row>
    <row r="163" ht="21" customHeight="1">
      <c r="C163" s="12" t="inlineStr">
        <is>
          <t>310010.0</t>
        </is>
      </c>
      <c r="D163" s="12" t="inlineStr">
        <is>
          <t>Reinigungsmaterial</t>
        </is>
      </c>
      <c r="E163" s="12" t="inlineStr">
        <is>
          <t>Material und Fremdleistungen</t>
        </is>
      </c>
      <c r="F163" s="12" t="n">
        <v>1</v>
      </c>
      <c r="G163" s="13">
        <f>SUMIFS('[D KLR.xlsx]D KLR'!$H$80:$H$757,'[D KLR.xlsx]D KLR'!$A$80:$A$757,'[Steuerung.xlsx]Steuerung'!$F$6,'[D KLR.xlsx]D KLR'!$B$80:$B$757,"&lt;="&amp;'[Steuerung.xlsx]Steuerung'!$F$7,'[D KLR.xlsx]D KLR'!$C$80:$C$757,C163)</f>
        <v/>
      </c>
      <c r="H163" s="14">
        <f>SUMIFS('[D KLR.xlsx]D KLR'!$N$80:$N$757,'[D KLR.xlsx]D KLR'!$A$80:$A$757,'[Steuerung.xlsx]Steuerung'!$F$6,'[D KLR.xlsx]D KLR'!$B$80:$B$757,"&lt;="&amp;'[Steuerung.xlsx]Steuerung'!$F$7,'[D KLR.xlsx]D KLR'!$C$80:$C$757,C163)</f>
        <v/>
      </c>
    </row>
    <row r="164" ht="21" customHeight="1">
      <c r="C164" s="12" t="inlineStr">
        <is>
          <t>310080.0</t>
        </is>
      </c>
      <c r="D164" s="12" t="inlineStr">
        <is>
          <t>Technische Gase</t>
        </is>
      </c>
      <c r="E164" s="12" t="inlineStr">
        <is>
          <t>Material und Fremdleistungen</t>
        </is>
      </c>
      <c r="F164" s="12" t="n">
        <v>1</v>
      </c>
      <c r="G164" s="13">
        <f>SUMIFS('[D KLR.xlsx]D KLR'!$H$80:$H$757,'[D KLR.xlsx]D KLR'!$A$80:$A$757,'[Steuerung.xlsx]Steuerung'!$F$6,'[D KLR.xlsx]D KLR'!$B$80:$B$757,"&lt;="&amp;'[Steuerung.xlsx]Steuerung'!$F$7,'[D KLR.xlsx]D KLR'!$C$80:$C$757,C164)</f>
        <v/>
      </c>
      <c r="H164" s="14">
        <f>SUMIFS('[D KLR.xlsx]D KLR'!$N$80:$N$757,'[D KLR.xlsx]D KLR'!$A$80:$A$757,'[Steuerung.xlsx]Steuerung'!$F$6,'[D KLR.xlsx]D KLR'!$B$80:$B$757,"&lt;="&amp;'[Steuerung.xlsx]Steuerung'!$F$7,'[D KLR.xlsx]D KLR'!$C$80:$C$757,C164)</f>
        <v/>
      </c>
    </row>
    <row r="165" ht="21" customHeight="1">
      <c r="C165" s="12" t="inlineStr">
        <is>
          <t>340600.0</t>
        </is>
      </c>
      <c r="D165" s="12" t="inlineStr">
        <is>
          <t>Bezogene Leistung periodenfremd</t>
        </is>
      </c>
      <c r="E165" s="12" t="inlineStr">
        <is>
          <t>Material und Fremdleistungen</t>
        </is>
      </c>
      <c r="F165" s="12" t="n">
        <v>1</v>
      </c>
      <c r="G165" s="13">
        <f>SUMIFS('[D KLR.xlsx]D KLR'!$H$80:$H$757,'[D KLR.xlsx]D KLR'!$A$80:$A$757,'[Steuerung.xlsx]Steuerung'!$F$6,'[D KLR.xlsx]D KLR'!$B$80:$B$757,"&lt;="&amp;'[Steuerung.xlsx]Steuerung'!$F$7,'[D KLR.xlsx]D KLR'!$C$80:$C$757,C165)</f>
        <v/>
      </c>
      <c r="H165" s="14">
        <f>SUMIFS('[D KLR.xlsx]D KLR'!$N$80:$N$757,'[D KLR.xlsx]D KLR'!$A$80:$A$757,'[Steuerung.xlsx]Steuerung'!$F$6,'[D KLR.xlsx]D KLR'!$B$80:$B$757,"&lt;="&amp;'[Steuerung.xlsx]Steuerung'!$F$7,'[D KLR.xlsx]D KLR'!$C$80:$C$757,C165)</f>
        <v/>
      </c>
    </row>
    <row r="166" ht="21" customHeight="1">
      <c r="C166" s="12" t="inlineStr">
        <is>
          <t>392000.0</t>
        </is>
      </c>
      <c r="D166" s="12" t="inlineStr">
        <is>
          <t>Bestandsveränderungen unfertige Erzeugni</t>
        </is>
      </c>
      <c r="E166" s="12" t="inlineStr">
        <is>
          <t>Bestandsveränderung</t>
        </is>
      </c>
      <c r="F166" s="12" t="n">
        <v>0</v>
      </c>
      <c r="G166" s="13">
        <f>SUMIFS('[D KLR.xlsx]D KLR'!$H$80:$H$757,'[D KLR.xlsx]D KLR'!$A$80:$A$757,'[Steuerung.xlsx]Steuerung'!$F$6,'[D KLR.xlsx]D KLR'!$B$80:$B$757,"&lt;="&amp;'[Steuerung.xlsx]Steuerung'!$F$7,'[D KLR.xlsx]D KLR'!$C$80:$C$757,C166)</f>
        <v/>
      </c>
      <c r="H166" s="14">
        <f>SUMIFS('[D KLR.xlsx]D KLR'!$N$80:$N$757,'[D KLR.xlsx]D KLR'!$A$80:$A$757,'[Steuerung.xlsx]Steuerung'!$F$6,'[D KLR.xlsx]D KLR'!$B$80:$B$757,"&lt;="&amp;'[Steuerung.xlsx]Steuerung'!$F$7,'[D KLR.xlsx]D KLR'!$C$80:$C$757,C166)</f>
        <v/>
      </c>
    </row>
    <row r="167" ht="21" customHeight="1">
      <c r="C167" s="12" t="inlineStr">
        <is>
          <t>460090.0</t>
        </is>
      </c>
      <c r="D167" s="12" t="inlineStr">
        <is>
          <t>Schreib- und Verwaltungsgebühren an Behö</t>
        </is>
      </c>
      <c r="E167" s="12" t="inlineStr">
        <is>
          <t>Verwaltung und Beratung</t>
        </is>
      </c>
      <c r="F167" s="12" t="n">
        <v>2</v>
      </c>
      <c r="G167" s="13">
        <f>SUMIFS('[D KLR.xlsx]D KLR'!$H$80:$H$757,'[D KLR.xlsx]D KLR'!$A$80:$A$757,'[Steuerung.xlsx]Steuerung'!$F$6,'[D KLR.xlsx]D KLR'!$B$80:$B$757,"&lt;="&amp;'[Steuerung.xlsx]Steuerung'!$F$7,'[D KLR.xlsx]D KLR'!$C$80:$C$757,C167)</f>
        <v/>
      </c>
      <c r="H167" s="14">
        <f>SUMIFS('[D KLR.xlsx]D KLR'!$N$80:$N$757,'[D KLR.xlsx]D KLR'!$A$80:$A$757,'[Steuerung.xlsx]Steuerung'!$F$6,'[D KLR.xlsx]D KLR'!$B$80:$B$757,"&lt;="&amp;'[Steuerung.xlsx]Steuerung'!$F$7,'[D KLR.xlsx]D KLR'!$C$80:$C$757,C167)</f>
        <v/>
      </c>
    </row>
    <row r="168" ht="21" customHeight="1">
      <c r="C168" s="12" t="inlineStr">
        <is>
          <t>460200.0</t>
        </is>
      </c>
      <c r="D168" s="12" t="inlineStr">
        <is>
          <t>Beiträge Fachtagungen</t>
        </is>
      </c>
      <c r="E168" s="12" t="inlineStr">
        <is>
          <t>Verwaltung und Beratung</t>
        </is>
      </c>
      <c r="F168" s="12" t="n">
        <v>2</v>
      </c>
      <c r="G168" s="13">
        <f>SUMIFS('[D KLR.xlsx]D KLR'!$H$80:$H$757,'[D KLR.xlsx]D KLR'!$A$80:$A$757,'[Steuerung.xlsx]Steuerung'!$F$6,'[D KLR.xlsx]D KLR'!$B$80:$B$757,"&lt;="&amp;'[Steuerung.xlsx]Steuerung'!$F$7,'[D KLR.xlsx]D KLR'!$C$80:$C$757,C168)</f>
        <v/>
      </c>
      <c r="H168" s="14">
        <f>SUMIFS('[D KLR.xlsx]D KLR'!$N$80:$N$757,'[D KLR.xlsx]D KLR'!$A$80:$A$757,'[Steuerung.xlsx]Steuerung'!$F$6,'[D KLR.xlsx]D KLR'!$B$80:$B$757,"&lt;="&amp;'[Steuerung.xlsx]Steuerung'!$F$7,'[D KLR.xlsx]D KLR'!$C$80:$C$757,C168)</f>
        <v/>
      </c>
    </row>
    <row r="169" ht="21" customHeight="1">
      <c r="C169" s="12" t="inlineStr">
        <is>
          <t>470025.0</t>
        </is>
      </c>
      <c r="D169" s="12" t="inlineStr">
        <is>
          <t>Steuerberatungskosten</t>
        </is>
      </c>
      <c r="E169" s="12" t="inlineStr">
        <is>
          <t>Verwaltung und Beratung</t>
        </is>
      </c>
      <c r="F169" s="12" t="n">
        <v>2</v>
      </c>
      <c r="G169" s="13">
        <f>SUMIFS('[D KLR.xlsx]D KLR'!$H$80:$H$757,'[D KLR.xlsx]D KLR'!$A$80:$A$757,'[Steuerung.xlsx]Steuerung'!$F$6,'[D KLR.xlsx]D KLR'!$B$80:$B$757,"&lt;="&amp;'[Steuerung.xlsx]Steuerung'!$F$7,'[D KLR.xlsx]D KLR'!$C$80:$C$757,C169)</f>
        <v/>
      </c>
      <c r="H169" s="14">
        <f>SUMIFS('[D KLR.xlsx]D KLR'!$N$80:$N$757,'[D KLR.xlsx]D KLR'!$A$80:$A$757,'[Steuerung.xlsx]Steuerung'!$F$6,'[D KLR.xlsx]D KLR'!$B$80:$B$757,"&lt;="&amp;'[Steuerung.xlsx]Steuerung'!$F$7,'[D KLR.xlsx]D KLR'!$C$80:$C$757,C169)</f>
        <v/>
      </c>
    </row>
    <row r="170" ht="21" customHeight="1">
      <c r="C170" s="12" t="inlineStr">
        <is>
          <t>480110.0</t>
        </is>
      </c>
      <c r="D170" s="12" t="inlineStr">
        <is>
          <t>Abschreibungen auf Anlagen (GWG)</t>
        </is>
      </c>
      <c r="E170" s="12" t="inlineStr">
        <is>
          <t>Abschreibungen</t>
        </is>
      </c>
      <c r="F170" s="12" t="n">
        <v>2</v>
      </c>
      <c r="G170" s="13">
        <f>SUMIFS('[D KLR.xlsx]D KLR'!$H$80:$H$757,'[D KLR.xlsx]D KLR'!$A$80:$A$757,'[Steuerung.xlsx]Steuerung'!$F$6,'[D KLR.xlsx]D KLR'!$B$80:$B$757,"&lt;="&amp;'[Steuerung.xlsx]Steuerung'!$F$7,'[D KLR.xlsx]D KLR'!$C$80:$C$757,C170)</f>
        <v/>
      </c>
      <c r="H170" s="14">
        <f>SUMIFS('[D KLR.xlsx]D KLR'!$N$80:$N$757,'[D KLR.xlsx]D KLR'!$A$80:$A$757,'[Steuerung.xlsx]Steuerung'!$F$6,'[D KLR.xlsx]D KLR'!$B$80:$B$757,"&lt;="&amp;'[Steuerung.xlsx]Steuerung'!$F$7,'[D KLR.xlsx]D KLR'!$C$80:$C$757,C170)</f>
        <v/>
      </c>
    </row>
    <row r="171" ht="21" customHeight="1">
      <c r="C171" s="12" t="inlineStr">
        <is>
          <t>499200.0</t>
        </is>
      </c>
      <c r="D171" s="12" t="inlineStr">
        <is>
          <t>Kalk. Zinsen</t>
        </is>
      </c>
      <c r="E171" s="12" t="inlineStr">
        <is>
          <t>Kalkulatorische Kosten</t>
        </is>
      </c>
      <c r="F171" s="12" t="n">
        <v>9</v>
      </c>
      <c r="G171" s="13">
        <f>SUMIFS('[D KLR.xlsx]D KLR'!$H$80:$H$757,'[D KLR.xlsx]D KLR'!$A$80:$A$757,'[Steuerung.xlsx]Steuerung'!$F$6,'[D KLR.xlsx]D KLR'!$B$80:$B$757,"&lt;="&amp;'[Steuerung.xlsx]Steuerung'!$F$7,'[D KLR.xlsx]D KLR'!$C$80:$C$757,C171)</f>
        <v/>
      </c>
      <c r="H171" s="14">
        <f>SUMIFS('[D KLR.xlsx]D KLR'!$N$80:$N$757,'[D KLR.xlsx]D KLR'!$A$80:$A$757,'[Steuerung.xlsx]Steuerung'!$F$6,'[D KLR.xlsx]D KLR'!$B$80:$B$757,"&lt;="&amp;'[Steuerung.xlsx]Steuerung'!$F$7,'[D KLR.xlsx]D KLR'!$C$80:$C$757,C171)</f>
        <v/>
      </c>
    </row>
    <row r="172" ht="21" customHeight="1">
      <c r="C172" s="12" t="inlineStr">
        <is>
          <t>499300.0</t>
        </is>
      </c>
      <c r="D172" s="12" t="inlineStr">
        <is>
          <t>Kalk. Abschreibungen</t>
        </is>
      </c>
      <c r="E172" s="12" t="inlineStr">
        <is>
          <t>Kalkulatorische Kosten</t>
        </is>
      </c>
      <c r="F172" s="12" t="n">
        <v>9</v>
      </c>
      <c r="G172" s="13">
        <f>SUMIFS('[D KLR.xlsx]D KLR'!$H$80:$H$757,'[D KLR.xlsx]D KLR'!$A$80:$A$757,'[Steuerung.xlsx]Steuerung'!$F$6,'[D KLR.xlsx]D KLR'!$B$80:$B$757,"&lt;="&amp;'[Steuerung.xlsx]Steuerung'!$F$7,'[D KLR.xlsx]D KLR'!$C$80:$C$757,C172)</f>
        <v/>
      </c>
      <c r="H172" s="14">
        <f>SUMIFS('[D KLR.xlsx]D KLR'!$N$80:$N$757,'[D KLR.xlsx]D KLR'!$A$80:$A$757,'[Steuerung.xlsx]Steuerung'!$F$6,'[D KLR.xlsx]D KLR'!$B$80:$B$757,"&lt;="&amp;'[Steuerung.xlsx]Steuerung'!$F$7,'[D KLR.xlsx]D KLR'!$C$80:$C$757,C172)</f>
        <v/>
      </c>
    </row>
    <row r="173" ht="21" customHeight="1">
      <c r="C173" s="12" t="inlineStr">
        <is>
          <t>7611100.0</t>
        </is>
      </c>
      <c r="D173" s="12" t="inlineStr">
        <is>
          <t>Lohnverr. Gruppe1</t>
        </is>
      </c>
      <c r="E173" s="12" t="inlineStr">
        <is>
          <t>Innerbetriebliche Verrechnung</t>
        </is>
      </c>
      <c r="F173" s="12" t="n">
        <v>1</v>
      </c>
      <c r="G173" s="13">
        <f>SUMIFS('[D KLR.xlsx]D KLR'!$H$80:$H$757,'[D KLR.xlsx]D KLR'!$A$80:$A$757,'[Steuerung.xlsx]Steuerung'!$F$6,'[D KLR.xlsx]D KLR'!$B$80:$B$757,"&lt;="&amp;'[Steuerung.xlsx]Steuerung'!$F$7,'[D KLR.xlsx]D KLR'!$C$80:$C$757,C173)</f>
        <v/>
      </c>
      <c r="H173" s="14">
        <f>SUMIFS('[D KLR.xlsx]D KLR'!$N$80:$N$757,'[D KLR.xlsx]D KLR'!$A$80:$A$757,'[Steuerung.xlsx]Steuerung'!$F$6,'[D KLR.xlsx]D KLR'!$B$80:$B$757,"&lt;="&amp;'[Steuerung.xlsx]Steuerung'!$F$7,'[D KLR.xlsx]D KLR'!$C$80:$C$757,C173)</f>
        <v/>
      </c>
    </row>
    <row r="174" ht="21" customHeight="1">
      <c r="C174" s="12" t="inlineStr">
        <is>
          <t>7611200.0</t>
        </is>
      </c>
      <c r="D174" s="12" t="inlineStr">
        <is>
          <t>Lohnverr. Gruppe 2</t>
        </is>
      </c>
      <c r="E174" s="12" t="inlineStr">
        <is>
          <t>Innerbetriebliche Verrechnung</t>
        </is>
      </c>
      <c r="F174" s="12" t="n">
        <v>1</v>
      </c>
      <c r="G174" s="13">
        <f>SUMIFS('[D KLR.xlsx]D KLR'!$H$80:$H$757,'[D KLR.xlsx]D KLR'!$A$80:$A$757,'[Steuerung.xlsx]Steuerung'!$F$6,'[D KLR.xlsx]D KLR'!$B$80:$B$757,"&lt;="&amp;'[Steuerung.xlsx]Steuerung'!$F$7,'[D KLR.xlsx]D KLR'!$C$80:$C$757,C174)</f>
        <v/>
      </c>
      <c r="H174" s="14">
        <f>SUMIFS('[D KLR.xlsx]D KLR'!$N$80:$N$757,'[D KLR.xlsx]D KLR'!$A$80:$A$757,'[Steuerung.xlsx]Steuerung'!$F$6,'[D KLR.xlsx]D KLR'!$B$80:$B$757,"&lt;="&amp;'[Steuerung.xlsx]Steuerung'!$F$7,'[D KLR.xlsx]D KLR'!$C$80:$C$757,C174)</f>
        <v/>
      </c>
    </row>
    <row r="175" ht="21" customHeight="1">
      <c r="C175" s="12" t="inlineStr">
        <is>
          <t>890100.0</t>
        </is>
      </c>
      <c r="D175" s="12" t="inlineStr">
        <is>
          <t>Gewährte Skonti</t>
        </is>
      </c>
      <c r="E175" s="12" t="inlineStr">
        <is>
          <t>Umsatzerlöse</t>
        </is>
      </c>
      <c r="F175" s="12" t="n">
        <v>0</v>
      </c>
      <c r="G175" s="13">
        <f>SUMIFS('[D KLR.xlsx]D KLR'!$H$80:$H$757,'[D KLR.xlsx]D KLR'!$A$80:$A$757,'[Steuerung.xlsx]Steuerung'!$F$6,'[D KLR.xlsx]D KLR'!$B$80:$B$757,"&lt;="&amp;'[Steuerung.xlsx]Steuerung'!$F$7,'[D KLR.xlsx]D KLR'!$C$80:$C$757,C175)</f>
        <v/>
      </c>
      <c r="H175" s="14">
        <f>SUMIFS('[D KLR.xlsx]D KLR'!$N$80:$N$757,'[D KLR.xlsx]D KLR'!$A$80:$A$757,'[Steuerung.xlsx]Steuerung'!$F$6,'[D KLR.xlsx]D KLR'!$B$80:$B$757,"&lt;="&amp;'[Steuerung.xlsx]Steuerung'!$F$7,'[D KLR.xlsx]D KLR'!$C$80:$C$757,C175)</f>
        <v/>
      </c>
    </row>
    <row r="176" ht="21" customHeight="1">
      <c r="C176" s="12" t="inlineStr">
        <is>
          <t>286900.0</t>
        </is>
      </c>
      <c r="D176" s="12" t="inlineStr">
        <is>
          <t>and.sonst.betr.Aufw.</t>
        </is>
      </c>
      <c r="E176" s="12" t="inlineStr">
        <is>
          <t>Sonstiges</t>
        </is>
      </c>
      <c r="F176" s="12" t="n">
        <v>2</v>
      </c>
      <c r="G176" s="13">
        <f>SUMIFS('[D KLR.xlsx]D KLR'!$H$80:$H$757,'[D KLR.xlsx]D KLR'!$A$80:$A$757,'[Steuerung.xlsx]Steuerung'!$F$6,'[D KLR.xlsx]D KLR'!$B$80:$B$757,"&lt;="&amp;'[Steuerung.xlsx]Steuerung'!$F$7,'[D KLR.xlsx]D KLR'!$C$80:$C$757,C176)</f>
        <v/>
      </c>
      <c r="H176" s="14">
        <f>SUMIFS('[D KLR.xlsx]D KLR'!$N$80:$N$757,'[D KLR.xlsx]D KLR'!$A$80:$A$757,'[Steuerung.xlsx]Steuerung'!$F$6,'[D KLR.xlsx]D KLR'!$B$80:$B$757,"&lt;="&amp;'[Steuerung.xlsx]Steuerung'!$F$7,'[D KLR.xlsx]D KLR'!$C$80:$C$757,C176)</f>
        <v/>
      </c>
    </row>
    <row r="177" ht="21" customHeight="1">
      <c r="C177" s="12" t="inlineStr">
        <is>
          <t>287090</t>
        </is>
      </c>
      <c r="D177" s="12" t="inlineStr">
        <is>
          <t>Erträge Mahngebühren</t>
        </is>
      </c>
      <c r="E177" s="12" t="inlineStr">
        <is>
          <t>Sonstige betriebliche Erträge</t>
        </is>
      </c>
      <c r="F177" s="12" t="n">
        <v>9</v>
      </c>
      <c r="G177" s="13">
        <f>SUMIFS('[D KLR.xlsx]D KLR'!$H$80:$H$757,'[D KLR.xlsx]D KLR'!$A$80:$A$757,'[Steuerung.xlsx]Steuerung'!$F$6,'[D KLR.xlsx]D KLR'!$B$80:$B$757,"&lt;="&amp;'[Steuerung.xlsx]Steuerung'!$F$7,'[D KLR.xlsx]D KLR'!$C$80:$C$757,C177)</f>
        <v/>
      </c>
      <c r="H177" s="14">
        <f>SUMIFS('[D KLR.xlsx]D KLR'!$N$80:$N$757,'[D KLR.xlsx]D KLR'!$A$80:$A$757,'[Steuerung.xlsx]Steuerung'!$F$6,'[D KLR.xlsx]D KLR'!$B$80:$B$757,"&lt;="&amp;'[Steuerung.xlsx]Steuerung'!$F$7,'[D KLR.xlsx]D KLR'!$C$80:$C$757,C177)</f>
        <v/>
      </c>
    </row>
    <row r="178" ht="21" customHeight="1">
      <c r="C178" s="12" t="inlineStr">
        <is>
          <t>252000.0</t>
        </is>
      </c>
      <c r="D178" s="12" t="inlineStr">
        <is>
          <t>andere sonst.betriebl. Erträge</t>
        </is>
      </c>
      <c r="E178" s="12" t="inlineStr">
        <is>
          <t>Sonstige betriebliche Erträge</t>
        </is>
      </c>
      <c r="F178" s="12" t="n">
        <v>9</v>
      </c>
      <c r="G178" s="13">
        <f>SUMIFS('[D KLR.xlsx]D KLR'!$H$80:$H$757,'[D KLR.xlsx]D KLR'!$A$80:$A$757,'[Steuerung.xlsx]Steuerung'!$F$6,'[D KLR.xlsx]D KLR'!$B$80:$B$757,"&lt;="&amp;'[Steuerung.xlsx]Steuerung'!$F$7,'[D KLR.xlsx]D KLR'!$C$80:$C$757,C178)</f>
        <v/>
      </c>
      <c r="H178" s="14">
        <f>SUMIFS('[D KLR.xlsx]D KLR'!$N$80:$N$757,'[D KLR.xlsx]D KLR'!$A$80:$A$757,'[Steuerung.xlsx]Steuerung'!$F$6,'[D KLR.xlsx]D KLR'!$B$80:$B$757,"&lt;="&amp;'[Steuerung.xlsx]Steuerung'!$F$7,'[D KLR.xlsx]D KLR'!$C$80:$C$757,C178)</f>
        <v/>
      </c>
    </row>
    <row r="179" ht="21" customHeight="1">
      <c r="C179" s="12" t="inlineStr">
        <is>
          <t>274200.0</t>
        </is>
      </c>
      <c r="D179" s="12" t="inlineStr">
        <is>
          <t>Versicherungsentschädigungen</t>
        </is>
      </c>
      <c r="E179" s="12" t="inlineStr">
        <is>
          <t>Sonstige betriebliche Erträge</t>
        </is>
      </c>
      <c r="F179" s="12" t="n">
        <v>9</v>
      </c>
      <c r="G179" s="13">
        <f>SUMIFS('[D KLR.xlsx]D KLR'!$H$80:$H$757,'[D KLR.xlsx]D KLR'!$A$80:$A$757,'[Steuerung.xlsx]Steuerung'!$F$6,'[D KLR.xlsx]D KLR'!$B$80:$B$757,"&lt;="&amp;'[Steuerung.xlsx]Steuerung'!$F$7,'[D KLR.xlsx]D KLR'!$C$80:$C$757,C179)</f>
        <v/>
      </c>
      <c r="H179" s="14">
        <f>SUMIFS('[D KLR.xlsx]D KLR'!$N$80:$N$757,'[D KLR.xlsx]D KLR'!$A$80:$A$757,'[Steuerung.xlsx]Steuerung'!$F$6,'[D KLR.xlsx]D KLR'!$B$80:$B$757,"&lt;="&amp;'[Steuerung.xlsx]Steuerung'!$F$7,'[D KLR.xlsx]D KLR'!$C$80:$C$757,C179)</f>
        <v/>
      </c>
    </row>
    <row r="180" ht="21" customHeight="1">
      <c r="C180" s="12" t="inlineStr">
        <is>
          <t>560008</t>
        </is>
      </c>
      <c r="D180" s="12" t="inlineStr">
        <is>
          <t>Mobile Communications</t>
        </is>
      </c>
      <c r="E180" s="12" t="inlineStr">
        <is>
          <t>Sonstiges</t>
        </is>
      </c>
      <c r="F180" s="12" t="n">
        <v>2</v>
      </c>
      <c r="G180" s="13">
        <f>SUMIFS('[D KLR.xlsx]D KLR'!$H$80:$H$757,'[D KLR.xlsx]D KLR'!$A$80:$A$757,'[Steuerung.xlsx]Steuerung'!$F$6,'[D KLR.xlsx]D KLR'!$B$80:$B$757,"&lt;="&amp;'[Steuerung.xlsx]Steuerung'!$F$7,'[D KLR.xlsx]D KLR'!$C$80:$C$757,C180)</f>
        <v/>
      </c>
      <c r="H180" s="14">
        <f>SUMIFS('[D KLR.xlsx]D KLR'!$N$80:$N$757,'[D KLR.xlsx]D KLR'!$A$80:$A$757,'[Steuerung.xlsx]Steuerung'!$F$6,'[D KLR.xlsx]D KLR'!$B$80:$B$757,"&lt;="&amp;'[Steuerung.xlsx]Steuerung'!$F$7,'[D KLR.xlsx]D KLR'!$C$80:$C$757,C180)</f>
        <v/>
      </c>
    </row>
    <row r="181" ht="21" customHeight="1">
      <c r="C181" s="12" t="inlineStr">
        <is>
          <t>272000</t>
        </is>
      </c>
      <c r="D181" s="12" t="inlineStr">
        <is>
          <t>Verrechnete Erlöse aus Anlagenverkauf</t>
        </is>
      </c>
      <c r="E181" s="12" t="inlineStr">
        <is>
          <t>Sonstiges</t>
        </is>
      </c>
      <c r="F181" s="12" t="n">
        <v>9</v>
      </c>
      <c r="G181" s="13">
        <f>SUMIFS('[D KLR.xlsx]D KLR'!$H$80:$H$757,'[D KLR.xlsx]D KLR'!$A$80:$A$757,'[Steuerung.xlsx]Steuerung'!$F$6,'[D KLR.xlsx]D KLR'!$B$80:$B$757,"&lt;="&amp;'[Steuerung.xlsx]Steuerung'!$F$7,'[D KLR.xlsx]D KLR'!$C$80:$C$757,C181)</f>
        <v/>
      </c>
      <c r="H181" s="14">
        <f>SUMIFS('[D KLR.xlsx]D KLR'!$N$80:$N$757,'[D KLR.xlsx]D KLR'!$A$80:$A$757,'[Steuerung.xlsx]Steuerung'!$F$6,'[D KLR.xlsx]D KLR'!$B$80:$B$757,"&lt;="&amp;'[Steuerung.xlsx]Steuerung'!$F$7,'[D KLR.xlsx]D KLR'!$C$80:$C$757,C181)</f>
        <v/>
      </c>
    </row>
    <row r="182" ht="21" customHeight="1">
      <c r="C182" s="12" t="inlineStr">
        <is>
          <t>273500.0</t>
        </is>
      </c>
      <c r="D182" s="12" t="inlineStr">
        <is>
          <t>Erträge Auflösung von Rückstellungen (ac</t>
        </is>
      </c>
      <c r="E182" s="12" t="inlineStr">
        <is>
          <t>Sonstiges</t>
        </is>
      </c>
      <c r="F182" s="12" t="n">
        <v>9</v>
      </c>
      <c r="G182" s="13">
        <f>SUMIFS('[D KLR.xlsx]D KLR'!$H$80:$H$757,'[D KLR.xlsx]D KLR'!$A$80:$A$757,'[Steuerung.xlsx]Steuerung'!$F$6,'[D KLR.xlsx]D KLR'!$B$80:$B$757,"&lt;="&amp;'[Steuerung.xlsx]Steuerung'!$F$7,'[D KLR.xlsx]D KLR'!$C$80:$C$757,C182)</f>
        <v/>
      </c>
      <c r="H182" s="14">
        <f>SUMIFS('[D KLR.xlsx]D KLR'!$N$80:$N$757,'[D KLR.xlsx]D KLR'!$A$80:$A$757,'[Steuerung.xlsx]Steuerung'!$F$6,'[D KLR.xlsx]D KLR'!$B$80:$B$757,"&lt;="&amp;'[Steuerung.xlsx]Steuerung'!$F$7,'[D KLR.xlsx]D KLR'!$C$80:$C$757,C182)</f>
        <v/>
      </c>
    </row>
    <row r="183" ht="21" customHeight="1">
      <c r="C183" s="12" t="inlineStr">
        <is>
          <t>890010.0</t>
        </is>
      </c>
      <c r="D183" s="12" t="inlineStr">
        <is>
          <t>Erl.Anlagenverkäufe</t>
        </is>
      </c>
      <c r="E183" s="12" t="inlineStr">
        <is>
          <t>Sonstiges</t>
        </is>
      </c>
      <c r="F183" s="12" t="n">
        <v>9</v>
      </c>
      <c r="G183" s="13">
        <f>SUMIFS('[D KLR.xlsx]D KLR'!$H$80:$H$757,'[D KLR.xlsx]D KLR'!$A$80:$A$757,'[Steuerung.xlsx]Steuerung'!$F$6,'[D KLR.xlsx]D KLR'!$B$80:$B$757,"&lt;="&amp;'[Steuerung.xlsx]Steuerung'!$F$7,'[D KLR.xlsx]D KLR'!$C$80:$C$757,C183)</f>
        <v/>
      </c>
      <c r="H183" s="14">
        <f>SUMIFS('[D KLR.xlsx]D KLR'!$N$80:$N$757,'[D KLR.xlsx]D KLR'!$A$80:$A$757,'[Steuerung.xlsx]Steuerung'!$F$6,'[D KLR.xlsx]D KLR'!$B$80:$B$757,"&lt;="&amp;'[Steuerung.xlsx]Steuerung'!$F$7,'[D KLR.xlsx]D KLR'!$C$80:$C$757,C183)</f>
        <v/>
      </c>
    </row>
    <row r="184" ht="21" customHeight="1">
      <c r="C184" s="12" t="inlineStr">
        <is>
          <t>401030.0</t>
        </is>
      </c>
      <c r="D184" s="12" t="inlineStr">
        <is>
          <t>Kfz-Steuern</t>
        </is>
      </c>
      <c r="E184" s="12" t="inlineStr">
        <is>
          <t>Versicherungen, Mieten, Steuern</t>
        </is>
      </c>
      <c r="F184" s="12" t="n">
        <v>9</v>
      </c>
      <c r="G184" s="13">
        <f>SUMIFS('[D KLR.xlsx]D KLR'!$H$80:$H$757,'[D KLR.xlsx]D KLR'!$A$80:$A$757,'[Steuerung.xlsx]Steuerung'!$F$6,'[D KLR.xlsx]D KLR'!$B$80:$B$757,"&lt;="&amp;'[Steuerung.xlsx]Steuerung'!$F$7,'[D KLR.xlsx]D KLR'!$C$80:$C$757,C184)</f>
        <v/>
      </c>
      <c r="H184" s="14">
        <f>SUMIFS('[D KLR.xlsx]D KLR'!$N$80:$N$757,'[D KLR.xlsx]D KLR'!$A$80:$A$757,'[Steuerung.xlsx]Steuerung'!$F$6,'[D KLR.xlsx]D KLR'!$B$80:$B$757,"&lt;="&amp;'[Steuerung.xlsx]Steuerung'!$F$7,'[D KLR.xlsx]D KLR'!$C$80:$C$757,C184)</f>
        <v/>
      </c>
    </row>
    <row r="185" ht="21" customHeight="1">
      <c r="C185" s="12" t="inlineStr">
        <is>
          <t>560007</t>
        </is>
      </c>
      <c r="D185" s="12" t="inlineStr">
        <is>
          <t>HR-Systeme</t>
        </is>
      </c>
      <c r="E185" s="12" t="inlineStr">
        <is>
          <t>Sonstiges</t>
        </is>
      </c>
      <c r="F185" s="12" t="n">
        <v>2</v>
      </c>
      <c r="G185" s="13">
        <f>SUMIFS('[D KLR.xlsx]D KLR'!$H$80:$H$757,'[D KLR.xlsx]D KLR'!$A$80:$A$757,'[Steuerung.xlsx]Steuerung'!$F$6,'[D KLR.xlsx]D KLR'!$B$80:$B$757,"&lt;="&amp;'[Steuerung.xlsx]Steuerung'!$F$7,'[D KLR.xlsx]D KLR'!$C$80:$C$757,C185)</f>
        <v/>
      </c>
      <c r="H185" s="14">
        <f>SUMIFS('[D KLR.xlsx]D KLR'!$N$80:$N$757,'[D KLR.xlsx]D KLR'!$A$80:$A$757,'[Steuerung.xlsx]Steuerung'!$F$6,'[D KLR.xlsx]D KLR'!$B$80:$B$757,"&lt;="&amp;'[Steuerung.xlsx]Steuerung'!$F$7,'[D KLR.xlsx]D KLR'!$C$80:$C$757,C185)</f>
        <v/>
      </c>
    </row>
    <row r="186" ht="21" customHeight="1">
      <c r="C186" s="12" t="inlineStr">
        <is>
          <t>560004</t>
        </is>
      </c>
      <c r="D186" s="12" t="inlineStr">
        <is>
          <t>Druck &amp; Scanservices</t>
        </is>
      </c>
      <c r="E186" s="12" t="inlineStr">
        <is>
          <t>Sonstiges</t>
        </is>
      </c>
      <c r="F186" s="12" t="n">
        <v>2</v>
      </c>
      <c r="G186" s="13">
        <f>SUMIFS('[D KLR.xlsx]D KLR'!$H$80:$H$757,'[D KLR.xlsx]D KLR'!$A$80:$A$757,'[Steuerung.xlsx]Steuerung'!$F$6,'[D KLR.xlsx]D KLR'!$B$80:$B$757,"&lt;="&amp;'[Steuerung.xlsx]Steuerung'!$F$7,'[D KLR.xlsx]D KLR'!$C$80:$C$757,C186)</f>
        <v/>
      </c>
      <c r="H186" s="14">
        <f>SUMIFS('[D KLR.xlsx]D KLR'!$N$80:$N$757,'[D KLR.xlsx]D KLR'!$A$80:$A$757,'[Steuerung.xlsx]Steuerung'!$F$6,'[D KLR.xlsx]D KLR'!$B$80:$B$757,"&lt;="&amp;'[Steuerung.xlsx]Steuerung'!$F$7,'[D KLR.xlsx]D KLR'!$C$80:$C$757,C186)</f>
        <v/>
      </c>
    </row>
    <row r="187" ht="21" customHeight="1">
      <c r="C187" s="12" t="inlineStr">
        <is>
          <t>560002</t>
        </is>
      </c>
      <c r="D187" s="12" t="inlineStr">
        <is>
          <t>Arbeitsplatz</t>
        </is>
      </c>
      <c r="E187" s="12" t="inlineStr">
        <is>
          <t>Sonstiges</t>
        </is>
      </c>
      <c r="F187" s="12" t="n">
        <v>2</v>
      </c>
      <c r="G187" s="13">
        <f>SUMIFS('[D KLR.xlsx]D KLR'!$H$80:$H$757,'[D KLR.xlsx]D KLR'!$A$80:$A$757,'[Steuerung.xlsx]Steuerung'!$F$6,'[D KLR.xlsx]D KLR'!$B$80:$B$757,"&lt;="&amp;'[Steuerung.xlsx]Steuerung'!$F$7,'[D KLR.xlsx]D KLR'!$C$80:$C$757,C187)</f>
        <v/>
      </c>
      <c r="H187" s="14">
        <f>SUMIFS('[D KLR.xlsx]D KLR'!$N$80:$N$757,'[D KLR.xlsx]D KLR'!$A$80:$A$757,'[Steuerung.xlsx]Steuerung'!$F$6,'[D KLR.xlsx]D KLR'!$B$80:$B$757,"&lt;="&amp;'[Steuerung.xlsx]Steuerung'!$F$7,'[D KLR.xlsx]D KLR'!$C$80:$C$757,C187)</f>
        <v/>
      </c>
    </row>
    <row r="188" ht="21" customHeight="1">
      <c r="C188" s="12" t="inlineStr">
        <is>
          <t>560009</t>
        </is>
      </c>
      <c r="D188" s="12" t="inlineStr">
        <is>
          <t>Sonstige Software</t>
        </is>
      </c>
      <c r="E188" s="12" t="inlineStr">
        <is>
          <t>Sonstiges</t>
        </is>
      </c>
      <c r="F188" s="12" t="n">
        <v>2</v>
      </c>
      <c r="G188" s="13">
        <f>SUMIFS('[D KLR.xlsx]D KLR'!$H$80:$H$757,'[D KLR.xlsx]D KLR'!$A$80:$A$757,'[Steuerung.xlsx]Steuerung'!$F$6,'[D KLR.xlsx]D KLR'!$B$80:$B$757,"&lt;="&amp;'[Steuerung.xlsx]Steuerung'!$F$7,'[D KLR.xlsx]D KLR'!$C$80:$C$757,C188)</f>
        <v/>
      </c>
      <c r="H188" s="14">
        <f>SUMIFS('[D KLR.xlsx]D KLR'!$N$80:$N$757,'[D KLR.xlsx]D KLR'!$A$80:$A$757,'[Steuerung.xlsx]Steuerung'!$F$6,'[D KLR.xlsx]D KLR'!$B$80:$B$757,"&lt;="&amp;'[Steuerung.xlsx]Steuerung'!$F$7,'[D KLR.xlsx]D KLR'!$C$80:$C$757,C188)</f>
        <v/>
      </c>
    </row>
    <row r="191">
      <c r="C191" t="inlineStr">
        <is>
          <t>SharePoint-Verknüpfungen (Dateien im selben Ordner)</t>
        </is>
      </c>
    </row>
    <row r="192">
      <c r="C192" t="inlineStr">
        <is>
          <t>Diese Datei</t>
        </is>
      </c>
      <c r="D192" t="inlineStr">
        <is>
          <t>KLR.xlsx</t>
        </is>
      </c>
    </row>
    <row r="193">
      <c r="C193" t="inlineStr">
        <is>
          <t>Liest aus</t>
        </is>
      </c>
      <c r="D193" t="inlineStr">
        <is>
          <t>D KLR.xlsx</t>
        </is>
      </c>
      <c r="E193" t="inlineStr">
        <is>
          <t>D KLR</t>
        </is>
      </c>
    </row>
    <row r="194">
      <c r="C194" t="inlineStr">
        <is>
          <t>Liest aus</t>
        </is>
      </c>
      <c r="D194" t="inlineStr">
        <is>
          <t>Steuerung.xlsx</t>
        </is>
      </c>
      <c r="E194" t="inlineStr">
        <is>
          <t>Steuerung</t>
        </is>
      </c>
    </row>
  </sheetData>
  <mergeCells count="3">
    <mergeCell ref="C24:L24"/>
    <mergeCell ref="C2:R2"/>
    <mergeCell ref="C3:R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2026-10-12T08:21:51Z</dcterms:created>
  <dcterms:modified xsi:type="dcterms:W3CDTF">2026-10-12T08:21:51Z</dcterms:modified>
</cp:coreProperties>
</file>