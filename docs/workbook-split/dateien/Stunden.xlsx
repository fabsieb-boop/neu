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unde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[Red]\(#,##0.00\);&quot;–&quot;"/>
    <numFmt numFmtId="165" formatCode="0.0%;[Red]\(0.0%\);&quot;–&quot;"/>
  </numFmts>
  <fonts count="7">
    <font>
      <name val="Calibri"/>
      <family val="2"/>
      <color theme="1"/>
      <sz val="11"/>
      <scheme val="minor"/>
    </font>
    <font>
      <name val="Arial"/>
      <family val="2"/>
      <color rgb="FF1E293B"/>
      <sz val="10"/>
    </font>
    <font>
      <name val="Arial"/>
      <family val="2"/>
      <b val="1"/>
      <color rgb="FF1E293B"/>
      <sz val="16"/>
    </font>
    <font>
      <name val="Carlito"/>
      <sz val="11"/>
    </font>
    <font>
      <name val="Arial"/>
      <family val="2"/>
      <color rgb="FF64748B"/>
      <sz val="10"/>
    </font>
    <font>
      <name val="Arial"/>
      <family val="2"/>
      <b val="1"/>
      <color rgb="FFFFFFFF"/>
      <sz val="10"/>
    </font>
    <font>
      <name val="Arial"/>
      <family val="2"/>
      <b val="1"/>
      <color rgb="FF1E293B"/>
      <sz val="10"/>
    </font>
  </fonts>
  <fills count="5">
    <fill>
      <patternFill/>
    </fill>
    <fill>
      <patternFill patternType="gray125"/>
    </fill>
    <fill>
      <patternFill patternType="solid">
        <fgColor rgb="FF1E293B"/>
      </patternFill>
    </fill>
    <fill>
      <patternFill patternType="solid">
        <fgColor rgb="FFEFF6FF"/>
      </patternFill>
    </fill>
    <fill>
      <patternFill patternType="solid">
        <fgColor rgb="FFF0F4F8"/>
      </patternFill>
    </fill>
  </fills>
  <borders count="3">
    <border>
      <left/>
      <right/>
      <top/>
      <bottom/>
      <diagonal/>
    </border>
    <border>
      <left/>
      <right/>
      <top/>
      <bottom style="thin">
        <color rgb="FF2563EB"/>
      </bottom>
      <diagonal/>
    </border>
    <border>
      <left/>
      <right/>
      <top style="thin">
        <color rgb="FFCBD5E1"/>
      </top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1" applyAlignment="1" pivotButton="0" quotePrefix="0" xfId="0">
      <alignment vertical="center"/>
    </xf>
    <xf numFmtId="0" fontId="0" fillId="0" borderId="1" pivotButton="0" quotePrefix="0" xfId="0"/>
    <xf numFmtId="0" fontId="4" fillId="0" borderId="0" applyAlignment="1" pivotButton="0" quotePrefix="0" xfId="0">
      <alignment vertical="center" wrapText="1"/>
    </xf>
    <xf numFmtId="0" fontId="5" fillId="2" borderId="0" applyAlignment="1" pivotButton="0" quotePrefix="0" xfId="0">
      <alignment horizontal="center" vertical="center" wrapText="1"/>
    </xf>
    <xf numFmtId="164" fontId="1" fillId="0" borderId="0" applyAlignment="1" pivotButton="0" quotePrefix="0" xfId="0">
      <alignment horizontal="right" vertical="center"/>
    </xf>
    <xf numFmtId="165" fontId="1" fillId="0" borderId="0" applyAlignment="1" pivotButton="0" quotePrefix="0" xfId="0">
      <alignment horizontal="right" vertical="center"/>
    </xf>
    <xf numFmtId="0" fontId="6" fillId="3" borderId="2" applyAlignment="1" pivotButton="0" quotePrefix="0" xfId="0">
      <alignment vertical="center"/>
    </xf>
    <xf numFmtId="164" fontId="6" fillId="3" borderId="2" applyAlignment="1" pivotButton="0" quotePrefix="0" xfId="0">
      <alignment horizontal="right" vertical="center"/>
    </xf>
    <xf numFmtId="165" fontId="6" fillId="3" borderId="2" applyAlignment="1" pivotButton="0" quotePrefix="0" xfId="0">
      <alignment horizontal="right" vertical="center"/>
    </xf>
    <xf numFmtId="0" fontId="6" fillId="4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67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38" customWidth="1" min="3" max="3"/>
    <col width="15" customWidth="1" min="4" max="4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 ht="30" customHeight="1">
      <c r="A2" s="1" t="n"/>
      <c r="B2" s="1" t="n"/>
      <c r="C2" s="2" t="inlineStr">
        <is>
          <t>Stunden und Produktivität</t>
        </is>
      </c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</row>
    <row r="3" ht="32" customHeight="1">
      <c r="A3" s="1" t="n"/>
      <c r="B3" s="1" t="n"/>
      <c r="C3" s="4" t="inlineStr">
        <is>
          <t>Importierte Monatsstunden ersetzen die jeweiligen Originalmonate. Die Jahresübersicht weiter unten bleibt als gesonderter Originalstand erhalten.</t>
        </is>
      </c>
    </row>
    <row r="4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</row>
    <row r="5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</row>
    <row r="6" ht="34" customHeight="1">
      <c r="A6" s="1" t="n"/>
      <c r="B6" s="1" t="n"/>
      <c r="C6" s="5" t="inlineStr">
        <is>
          <t>Monat</t>
        </is>
      </c>
      <c r="D6" s="5" t="inlineStr">
        <is>
          <t>Produktiv</t>
        </is>
      </c>
      <c r="E6" s="5" t="inlineStr">
        <is>
          <t>Unproduktiv</t>
        </is>
      </c>
      <c r="F6" s="5" t="inlineStr">
        <is>
          <t>Urlaub</t>
        </is>
      </c>
      <c r="G6" s="5" t="inlineStr">
        <is>
          <t>Krankheit</t>
        </is>
      </c>
      <c r="H6" s="5" t="inlineStr">
        <is>
          <t>Feiertag</t>
        </is>
      </c>
      <c r="I6" s="5" t="inlineStr">
        <is>
          <t>Gesamt</t>
        </is>
      </c>
      <c r="J6" s="5" t="inlineStr">
        <is>
          <t>Auslastung</t>
        </is>
      </c>
      <c r="K6" s="5" t="inlineStr">
        <is>
          <t>Produktivquote</t>
        </is>
      </c>
      <c r="L6" s="5" t="inlineStr">
        <is>
          <t>Mitarbeiter</t>
        </is>
      </c>
      <c r="M6" s="1" t="inlineStr">
        <is>
          <t>Nicht aufgegliedert</t>
        </is>
      </c>
      <c r="N6" s="1" t="n"/>
      <c r="O6" s="1" t="n"/>
    </row>
    <row r="7">
      <c r="A7" s="1" t="n"/>
      <c r="B7" s="1" t="n"/>
      <c r="C7" s="1" t="n">
        <v>1</v>
      </c>
      <c r="D7" s="6">
        <f>IF(COUNTIFS('[Import Stunden.xlsx]Import Stunden'!$C$7:$C$8,'[Steuerung.xlsx]Steuerung'!$F$6,'[Import Stunden.xlsx]Import Stunden'!$D$7:$D$8,1)&gt;0,SUMIFS('[Import Stunden.xlsx]Import Stunden'!$E$7:$E$8,'[Import Stunden.xlsx]Import Stunden'!$C$7:$C$8,'[Steuerung.xlsx]Steuerung'!$F$6,'[Import Stunden.xlsx]Import Stunden'!$D$7:$D$8,1),IF(COUNTIFS('[D KLR.xlsx]D KLR'!$A$1142:$A$1146,C7)=0,"",SUMIFS('[D KLR.xlsx]D KLR'!$B$1142:$B$1146,'[D KLR.xlsx]D KLR'!$A$1142:$A$1146,C7)))</f>
        <v/>
      </c>
      <c r="E7" s="6">
        <f>IF(COUNTIFS('[Import Stunden.xlsx]Import Stunden'!$C$7:$C$8,'[Steuerung.xlsx]Steuerung'!$F$6,'[Import Stunden.xlsx]Import Stunden'!$D$7:$D$8,1)&gt;0,SUMIFS('[Import Stunden.xlsx]Import Stunden'!$F$7:$F$8,'[Import Stunden.xlsx]Import Stunden'!$C$7:$C$8,'[Steuerung.xlsx]Steuerung'!$F$6,'[Import Stunden.xlsx]Import Stunden'!$D$7:$D$8,1),IF(COUNTIFS('[D KLR.xlsx]D KLR'!$A$1142:$A$1146,C7)=0,"",SUMIFS('[D KLR.xlsx]D KLR'!$C$1142:$C$1146,'[D KLR.xlsx]D KLR'!$A$1142:$A$1146,C7)))</f>
        <v/>
      </c>
      <c r="F7" s="6">
        <f>IF(COUNTIFS('[Import Stunden.xlsx]Import Stunden'!$C$7:$C$8,'[Steuerung.xlsx]Steuerung'!$F$6,'[Import Stunden.xlsx]Import Stunden'!$D$7:$D$8,1)&gt;0,SUMIFS('[Import Stunden.xlsx]Import Stunden'!$G$7:$G$8,'[Import Stunden.xlsx]Import Stunden'!$C$7:$C$8,'[Steuerung.xlsx]Steuerung'!$F$6,'[Import Stunden.xlsx]Import Stunden'!$D$7:$D$8,1),IF(COUNTIFS('[D KLR.xlsx]D KLR'!$A$1142:$A$1146,C7)=0,"",SUMIFS('[D KLR.xlsx]D KLR'!$D$1142:$D$1146,'[D KLR.xlsx]D KLR'!$A$1142:$A$1146,C7)))</f>
        <v/>
      </c>
      <c r="G7" s="6">
        <f>IF(COUNTIFS('[Import Stunden.xlsx]Import Stunden'!$C$7:$C$8,'[Steuerung.xlsx]Steuerung'!$F$6,'[Import Stunden.xlsx]Import Stunden'!$D$7:$D$8,1)&gt;0,SUMIFS('[Import Stunden.xlsx]Import Stunden'!$H$7:$H$8,'[Import Stunden.xlsx]Import Stunden'!$C$7:$C$8,'[Steuerung.xlsx]Steuerung'!$F$6,'[Import Stunden.xlsx]Import Stunden'!$D$7:$D$8,1),IF(COUNTIFS('[D KLR.xlsx]D KLR'!$A$1142:$A$1146,C7)=0,"",SUMIFS('[D KLR.xlsx]D KLR'!$E$1142:$E$1146,'[D KLR.xlsx]D KLR'!$A$1142:$A$1146,C7)))</f>
        <v/>
      </c>
      <c r="H7" s="6">
        <f>IF(COUNTIFS('[Import Stunden.xlsx]Import Stunden'!$C$7:$C$8,'[Steuerung.xlsx]Steuerung'!$F$6,'[Import Stunden.xlsx]Import Stunden'!$D$7:$D$8,1)&gt;0,SUMIFS('[Import Stunden.xlsx]Import Stunden'!$I$7:$I$8,'[Import Stunden.xlsx]Import Stunden'!$C$7:$C$8,'[Steuerung.xlsx]Steuerung'!$F$6,'[Import Stunden.xlsx]Import Stunden'!$D$7:$D$8,1),IF(COUNTIFS('[D KLR.xlsx]D KLR'!$A$1142:$A$1146,C7)=0,"",SUMIFS('[D KLR.xlsx]D KLR'!$F$1142:$F$1146,'[D KLR.xlsx]D KLR'!$A$1142:$A$1146,C7)))</f>
        <v/>
      </c>
      <c r="I7" s="6">
        <f>IF(COUNTIFS('[Import Stunden.xlsx]Import Stunden'!$C$7:$C$8,'[Steuerung.xlsx]Steuerung'!$F$6,'[Import Stunden.xlsx]Import Stunden'!$D$7:$D$8,1)&gt;0,SUMIFS('[Import Stunden.xlsx]Import Stunden'!$J$7:$J$8,'[Import Stunden.xlsx]Import Stunden'!$C$7:$C$8,'[Steuerung.xlsx]Steuerung'!$F$6,'[Import Stunden.xlsx]Import Stunden'!$D$7:$D$8,1),IF(COUNTIFS('[D KLR.xlsx]D KLR'!$A$1142:$A$1146,C7)=0,"",SUMIFS('[D KLR.xlsx]D KLR'!$G$1142:$G$1146,'[D KLR.xlsx]D KLR'!$A$1142:$A$1146,C7)))</f>
        <v/>
      </c>
      <c r="J7" s="7">
        <f>IF(ISNUMBER(D7),IF(SUM(D7:E7)=0,"n.a.",D7/SUM(D7:E7)),"")</f>
        <v/>
      </c>
      <c r="K7" s="7">
        <f>IF(ISNUMBER(I7),IF(I7=0,"n.a.",D7/I7),"")</f>
        <v/>
      </c>
      <c r="L7" s="1">
        <f>IF(COUNTIFS('[D KLR.xlsx]D KLR'!$A$1142:$A$1146,C7)=0,"",SUMIFS('[D KLR.xlsx]D KLR'!$M$1142:$M$1146,'[D KLR.xlsx]D KLR'!$A$1142:$A$1146,C7))</f>
        <v/>
      </c>
      <c r="M7" s="6">
        <f>IF(ISNUMBER(I7),I7-SUM(D7:H7),"")</f>
        <v/>
      </c>
      <c r="N7" s="1" t="n"/>
      <c r="O7" s="1" t="n"/>
    </row>
    <row r="8">
      <c r="A8" s="1" t="n"/>
      <c r="B8" s="1" t="n"/>
      <c r="C8" s="1" t="n">
        <v>2</v>
      </c>
      <c r="D8" s="6">
        <f>IF(COUNTIFS('[Import Stunden.xlsx]Import Stunden'!$C$7:$C$8,'[Steuerung.xlsx]Steuerung'!$F$6,'[Import Stunden.xlsx]Import Stunden'!$D$7:$D$8,2)&gt;0,SUMIFS('[Import Stunden.xlsx]Import Stunden'!$E$7:$E$8,'[Import Stunden.xlsx]Import Stunden'!$C$7:$C$8,'[Steuerung.xlsx]Steuerung'!$F$6,'[Import Stunden.xlsx]Import Stunden'!$D$7:$D$8,2),IF(COUNTIFS('[D KLR.xlsx]D KLR'!$A$1142:$A$1146,C8)=0,"",SUMIFS('[D KLR.xlsx]D KLR'!$B$1142:$B$1146,'[D KLR.xlsx]D KLR'!$A$1142:$A$1146,C8)))</f>
        <v/>
      </c>
      <c r="E8" s="6">
        <f>IF(COUNTIFS('[Import Stunden.xlsx]Import Stunden'!$C$7:$C$8,'[Steuerung.xlsx]Steuerung'!$F$6,'[Import Stunden.xlsx]Import Stunden'!$D$7:$D$8,2)&gt;0,SUMIFS('[Import Stunden.xlsx]Import Stunden'!$F$7:$F$8,'[Import Stunden.xlsx]Import Stunden'!$C$7:$C$8,'[Steuerung.xlsx]Steuerung'!$F$6,'[Import Stunden.xlsx]Import Stunden'!$D$7:$D$8,2),IF(COUNTIFS('[D KLR.xlsx]D KLR'!$A$1142:$A$1146,C8)=0,"",SUMIFS('[D KLR.xlsx]D KLR'!$C$1142:$C$1146,'[D KLR.xlsx]D KLR'!$A$1142:$A$1146,C8)))</f>
        <v/>
      </c>
      <c r="F8" s="6">
        <f>IF(COUNTIFS('[Import Stunden.xlsx]Import Stunden'!$C$7:$C$8,'[Steuerung.xlsx]Steuerung'!$F$6,'[Import Stunden.xlsx]Import Stunden'!$D$7:$D$8,2)&gt;0,SUMIFS('[Import Stunden.xlsx]Import Stunden'!$G$7:$G$8,'[Import Stunden.xlsx]Import Stunden'!$C$7:$C$8,'[Steuerung.xlsx]Steuerung'!$F$6,'[Import Stunden.xlsx]Import Stunden'!$D$7:$D$8,2),IF(COUNTIFS('[D KLR.xlsx]D KLR'!$A$1142:$A$1146,C8)=0,"",SUMIFS('[D KLR.xlsx]D KLR'!$D$1142:$D$1146,'[D KLR.xlsx]D KLR'!$A$1142:$A$1146,C8)))</f>
        <v/>
      </c>
      <c r="G8" s="6">
        <f>IF(COUNTIFS('[Import Stunden.xlsx]Import Stunden'!$C$7:$C$8,'[Steuerung.xlsx]Steuerung'!$F$6,'[Import Stunden.xlsx]Import Stunden'!$D$7:$D$8,2)&gt;0,SUMIFS('[Import Stunden.xlsx]Import Stunden'!$H$7:$H$8,'[Import Stunden.xlsx]Import Stunden'!$C$7:$C$8,'[Steuerung.xlsx]Steuerung'!$F$6,'[Import Stunden.xlsx]Import Stunden'!$D$7:$D$8,2),IF(COUNTIFS('[D KLR.xlsx]D KLR'!$A$1142:$A$1146,C8)=0,"",SUMIFS('[D KLR.xlsx]D KLR'!$E$1142:$E$1146,'[D KLR.xlsx]D KLR'!$A$1142:$A$1146,C8)))</f>
        <v/>
      </c>
      <c r="H8" s="6">
        <f>IF(COUNTIFS('[Import Stunden.xlsx]Import Stunden'!$C$7:$C$8,'[Steuerung.xlsx]Steuerung'!$F$6,'[Import Stunden.xlsx]Import Stunden'!$D$7:$D$8,2)&gt;0,SUMIFS('[Import Stunden.xlsx]Import Stunden'!$I$7:$I$8,'[Import Stunden.xlsx]Import Stunden'!$C$7:$C$8,'[Steuerung.xlsx]Steuerung'!$F$6,'[Import Stunden.xlsx]Import Stunden'!$D$7:$D$8,2),IF(COUNTIFS('[D KLR.xlsx]D KLR'!$A$1142:$A$1146,C8)=0,"",SUMIFS('[D KLR.xlsx]D KLR'!$F$1142:$F$1146,'[D KLR.xlsx]D KLR'!$A$1142:$A$1146,C8)))</f>
        <v/>
      </c>
      <c r="I8" s="6">
        <f>IF(COUNTIFS('[Import Stunden.xlsx]Import Stunden'!$C$7:$C$8,'[Steuerung.xlsx]Steuerung'!$F$6,'[Import Stunden.xlsx]Import Stunden'!$D$7:$D$8,2)&gt;0,SUMIFS('[Import Stunden.xlsx]Import Stunden'!$J$7:$J$8,'[Import Stunden.xlsx]Import Stunden'!$C$7:$C$8,'[Steuerung.xlsx]Steuerung'!$F$6,'[Import Stunden.xlsx]Import Stunden'!$D$7:$D$8,2),IF(COUNTIFS('[D KLR.xlsx]D KLR'!$A$1142:$A$1146,C8)=0,"",SUMIFS('[D KLR.xlsx]D KLR'!$G$1142:$G$1146,'[D KLR.xlsx]D KLR'!$A$1142:$A$1146,C8)))</f>
        <v/>
      </c>
      <c r="J8" s="7">
        <f>IF(ISNUMBER(D8),IF(SUM(D8:E8)=0,"n.a.",D8/SUM(D8:E8)),"")</f>
        <v/>
      </c>
      <c r="K8" s="7">
        <f>IF(ISNUMBER(I8),IF(I8=0,"n.a.",D8/I8),"")</f>
        <v/>
      </c>
      <c r="L8" s="1">
        <f>IF(COUNTIFS('[D KLR.xlsx]D KLR'!$A$1142:$A$1146,C8)=0,"",SUMIFS('[D KLR.xlsx]D KLR'!$M$1142:$M$1146,'[D KLR.xlsx]D KLR'!$A$1142:$A$1146,C8))</f>
        <v/>
      </c>
      <c r="M8" s="6">
        <f>IF(ISNUMBER(I8),I8-SUM(D8:H8),"")</f>
        <v/>
      </c>
      <c r="N8" s="1" t="n"/>
      <c r="O8" s="1" t="n"/>
    </row>
    <row r="9">
      <c r="A9" s="1" t="n"/>
      <c r="B9" s="1" t="n"/>
      <c r="C9" s="1" t="n">
        <v>3</v>
      </c>
      <c r="D9" s="6">
        <f>IF(COUNTIFS('[Import Stunden.xlsx]Import Stunden'!$C$7:$C$8,'[Steuerung.xlsx]Steuerung'!$F$6,'[Import Stunden.xlsx]Import Stunden'!$D$7:$D$8,3)&gt;0,SUMIFS('[Import Stunden.xlsx]Import Stunden'!$E$7:$E$8,'[Import Stunden.xlsx]Import Stunden'!$C$7:$C$8,'[Steuerung.xlsx]Steuerung'!$F$6,'[Import Stunden.xlsx]Import Stunden'!$D$7:$D$8,3),IF(COUNTIFS('[D KLR.xlsx]D KLR'!$A$1142:$A$1146,C9)=0,"",SUMIFS('[D KLR.xlsx]D KLR'!$B$1142:$B$1146,'[D KLR.xlsx]D KLR'!$A$1142:$A$1146,C9)))</f>
        <v/>
      </c>
      <c r="E9" s="6">
        <f>IF(COUNTIFS('[Import Stunden.xlsx]Import Stunden'!$C$7:$C$8,'[Steuerung.xlsx]Steuerung'!$F$6,'[Import Stunden.xlsx]Import Stunden'!$D$7:$D$8,3)&gt;0,SUMIFS('[Import Stunden.xlsx]Import Stunden'!$F$7:$F$8,'[Import Stunden.xlsx]Import Stunden'!$C$7:$C$8,'[Steuerung.xlsx]Steuerung'!$F$6,'[Import Stunden.xlsx]Import Stunden'!$D$7:$D$8,3),IF(COUNTIFS('[D KLR.xlsx]D KLR'!$A$1142:$A$1146,C9)=0,"",SUMIFS('[D KLR.xlsx]D KLR'!$C$1142:$C$1146,'[D KLR.xlsx]D KLR'!$A$1142:$A$1146,C9)))</f>
        <v/>
      </c>
      <c r="F9" s="6">
        <f>IF(COUNTIFS('[Import Stunden.xlsx]Import Stunden'!$C$7:$C$8,'[Steuerung.xlsx]Steuerung'!$F$6,'[Import Stunden.xlsx]Import Stunden'!$D$7:$D$8,3)&gt;0,SUMIFS('[Import Stunden.xlsx]Import Stunden'!$G$7:$G$8,'[Import Stunden.xlsx]Import Stunden'!$C$7:$C$8,'[Steuerung.xlsx]Steuerung'!$F$6,'[Import Stunden.xlsx]Import Stunden'!$D$7:$D$8,3),IF(COUNTIFS('[D KLR.xlsx]D KLR'!$A$1142:$A$1146,C9)=0,"",SUMIFS('[D KLR.xlsx]D KLR'!$D$1142:$D$1146,'[D KLR.xlsx]D KLR'!$A$1142:$A$1146,C9)))</f>
        <v/>
      </c>
      <c r="G9" s="6">
        <f>IF(COUNTIFS('[Import Stunden.xlsx]Import Stunden'!$C$7:$C$8,'[Steuerung.xlsx]Steuerung'!$F$6,'[Import Stunden.xlsx]Import Stunden'!$D$7:$D$8,3)&gt;0,SUMIFS('[Import Stunden.xlsx]Import Stunden'!$H$7:$H$8,'[Import Stunden.xlsx]Import Stunden'!$C$7:$C$8,'[Steuerung.xlsx]Steuerung'!$F$6,'[Import Stunden.xlsx]Import Stunden'!$D$7:$D$8,3),IF(COUNTIFS('[D KLR.xlsx]D KLR'!$A$1142:$A$1146,C9)=0,"",SUMIFS('[D KLR.xlsx]D KLR'!$E$1142:$E$1146,'[D KLR.xlsx]D KLR'!$A$1142:$A$1146,C9)))</f>
        <v/>
      </c>
      <c r="H9" s="6">
        <f>IF(COUNTIFS('[Import Stunden.xlsx]Import Stunden'!$C$7:$C$8,'[Steuerung.xlsx]Steuerung'!$F$6,'[Import Stunden.xlsx]Import Stunden'!$D$7:$D$8,3)&gt;0,SUMIFS('[Import Stunden.xlsx]Import Stunden'!$I$7:$I$8,'[Import Stunden.xlsx]Import Stunden'!$C$7:$C$8,'[Steuerung.xlsx]Steuerung'!$F$6,'[Import Stunden.xlsx]Import Stunden'!$D$7:$D$8,3),IF(COUNTIFS('[D KLR.xlsx]D KLR'!$A$1142:$A$1146,C9)=0,"",SUMIFS('[D KLR.xlsx]D KLR'!$F$1142:$F$1146,'[D KLR.xlsx]D KLR'!$A$1142:$A$1146,C9)))</f>
        <v/>
      </c>
      <c r="I9" s="6">
        <f>IF(COUNTIFS('[Import Stunden.xlsx]Import Stunden'!$C$7:$C$8,'[Steuerung.xlsx]Steuerung'!$F$6,'[Import Stunden.xlsx]Import Stunden'!$D$7:$D$8,3)&gt;0,SUMIFS('[Import Stunden.xlsx]Import Stunden'!$J$7:$J$8,'[Import Stunden.xlsx]Import Stunden'!$C$7:$C$8,'[Steuerung.xlsx]Steuerung'!$F$6,'[Import Stunden.xlsx]Import Stunden'!$D$7:$D$8,3),IF(COUNTIFS('[D KLR.xlsx]D KLR'!$A$1142:$A$1146,C9)=0,"",SUMIFS('[D KLR.xlsx]D KLR'!$G$1142:$G$1146,'[D KLR.xlsx]D KLR'!$A$1142:$A$1146,C9)))</f>
        <v/>
      </c>
      <c r="J9" s="7">
        <f>IF(ISNUMBER(D9),IF(SUM(D9:E9)=0,"n.a.",D9/SUM(D9:E9)),"")</f>
        <v/>
      </c>
      <c r="K9" s="7">
        <f>IF(ISNUMBER(I9),IF(I9=0,"n.a.",D9/I9),"")</f>
        <v/>
      </c>
      <c r="L9" s="1">
        <f>IF(COUNTIFS('[D KLR.xlsx]D KLR'!$A$1142:$A$1146,C9)=0,"",SUMIFS('[D KLR.xlsx]D KLR'!$M$1142:$M$1146,'[D KLR.xlsx]D KLR'!$A$1142:$A$1146,C9))</f>
        <v/>
      </c>
      <c r="M9" s="6">
        <f>IF(ISNUMBER(I9),I9-SUM(D9:H9),"")</f>
        <v/>
      </c>
      <c r="N9" s="1" t="n"/>
      <c r="O9" s="1" t="n"/>
    </row>
    <row r="10">
      <c r="A10" s="1" t="n"/>
      <c r="B10" s="1" t="n"/>
      <c r="C10" s="1" t="n">
        <v>4</v>
      </c>
      <c r="D10" s="6">
        <f>IF(COUNTIFS('[Import Stunden.xlsx]Import Stunden'!$C$7:$C$8,'[Steuerung.xlsx]Steuerung'!$F$6,'[Import Stunden.xlsx]Import Stunden'!$D$7:$D$8,4)&gt;0,SUMIFS('[Import Stunden.xlsx]Import Stunden'!$E$7:$E$8,'[Import Stunden.xlsx]Import Stunden'!$C$7:$C$8,'[Steuerung.xlsx]Steuerung'!$F$6,'[Import Stunden.xlsx]Import Stunden'!$D$7:$D$8,4),IF(COUNTIFS('[D KLR.xlsx]D KLR'!$A$1142:$A$1146,C10)=0,"",SUMIFS('[D KLR.xlsx]D KLR'!$B$1142:$B$1146,'[D KLR.xlsx]D KLR'!$A$1142:$A$1146,C10)))</f>
        <v/>
      </c>
      <c r="E10" s="6">
        <f>IF(COUNTIFS('[Import Stunden.xlsx]Import Stunden'!$C$7:$C$8,'[Steuerung.xlsx]Steuerung'!$F$6,'[Import Stunden.xlsx]Import Stunden'!$D$7:$D$8,4)&gt;0,SUMIFS('[Import Stunden.xlsx]Import Stunden'!$F$7:$F$8,'[Import Stunden.xlsx]Import Stunden'!$C$7:$C$8,'[Steuerung.xlsx]Steuerung'!$F$6,'[Import Stunden.xlsx]Import Stunden'!$D$7:$D$8,4),IF(COUNTIFS('[D KLR.xlsx]D KLR'!$A$1142:$A$1146,C10)=0,"",SUMIFS('[D KLR.xlsx]D KLR'!$C$1142:$C$1146,'[D KLR.xlsx]D KLR'!$A$1142:$A$1146,C10)))</f>
        <v/>
      </c>
      <c r="F10" s="6">
        <f>IF(COUNTIFS('[Import Stunden.xlsx]Import Stunden'!$C$7:$C$8,'[Steuerung.xlsx]Steuerung'!$F$6,'[Import Stunden.xlsx]Import Stunden'!$D$7:$D$8,4)&gt;0,SUMIFS('[Import Stunden.xlsx]Import Stunden'!$G$7:$G$8,'[Import Stunden.xlsx]Import Stunden'!$C$7:$C$8,'[Steuerung.xlsx]Steuerung'!$F$6,'[Import Stunden.xlsx]Import Stunden'!$D$7:$D$8,4),IF(COUNTIFS('[D KLR.xlsx]D KLR'!$A$1142:$A$1146,C10)=0,"",SUMIFS('[D KLR.xlsx]D KLR'!$D$1142:$D$1146,'[D KLR.xlsx]D KLR'!$A$1142:$A$1146,C10)))</f>
        <v/>
      </c>
      <c r="G10" s="6">
        <f>IF(COUNTIFS('[Import Stunden.xlsx]Import Stunden'!$C$7:$C$8,'[Steuerung.xlsx]Steuerung'!$F$6,'[Import Stunden.xlsx]Import Stunden'!$D$7:$D$8,4)&gt;0,SUMIFS('[Import Stunden.xlsx]Import Stunden'!$H$7:$H$8,'[Import Stunden.xlsx]Import Stunden'!$C$7:$C$8,'[Steuerung.xlsx]Steuerung'!$F$6,'[Import Stunden.xlsx]Import Stunden'!$D$7:$D$8,4),IF(COUNTIFS('[D KLR.xlsx]D KLR'!$A$1142:$A$1146,C10)=0,"",SUMIFS('[D KLR.xlsx]D KLR'!$E$1142:$E$1146,'[D KLR.xlsx]D KLR'!$A$1142:$A$1146,C10)))</f>
        <v/>
      </c>
      <c r="H10" s="6">
        <f>IF(COUNTIFS('[Import Stunden.xlsx]Import Stunden'!$C$7:$C$8,'[Steuerung.xlsx]Steuerung'!$F$6,'[Import Stunden.xlsx]Import Stunden'!$D$7:$D$8,4)&gt;0,SUMIFS('[Import Stunden.xlsx]Import Stunden'!$I$7:$I$8,'[Import Stunden.xlsx]Import Stunden'!$C$7:$C$8,'[Steuerung.xlsx]Steuerung'!$F$6,'[Import Stunden.xlsx]Import Stunden'!$D$7:$D$8,4),IF(COUNTIFS('[D KLR.xlsx]D KLR'!$A$1142:$A$1146,C10)=0,"",SUMIFS('[D KLR.xlsx]D KLR'!$F$1142:$F$1146,'[D KLR.xlsx]D KLR'!$A$1142:$A$1146,C10)))</f>
        <v/>
      </c>
      <c r="I10" s="6">
        <f>IF(COUNTIFS('[Import Stunden.xlsx]Import Stunden'!$C$7:$C$8,'[Steuerung.xlsx]Steuerung'!$F$6,'[Import Stunden.xlsx]Import Stunden'!$D$7:$D$8,4)&gt;0,SUMIFS('[Import Stunden.xlsx]Import Stunden'!$J$7:$J$8,'[Import Stunden.xlsx]Import Stunden'!$C$7:$C$8,'[Steuerung.xlsx]Steuerung'!$F$6,'[Import Stunden.xlsx]Import Stunden'!$D$7:$D$8,4),IF(COUNTIFS('[D KLR.xlsx]D KLR'!$A$1142:$A$1146,C10)=0,"",SUMIFS('[D KLR.xlsx]D KLR'!$G$1142:$G$1146,'[D KLR.xlsx]D KLR'!$A$1142:$A$1146,C10)))</f>
        <v/>
      </c>
      <c r="J10" s="7">
        <f>IF(ISNUMBER(D10),IF(SUM(D10:E10)=0,"n.a.",D10/SUM(D10:E10)),"")</f>
        <v/>
      </c>
      <c r="K10" s="7">
        <f>IF(ISNUMBER(I10),IF(I10=0,"n.a.",D10/I10),"")</f>
        <v/>
      </c>
      <c r="L10" s="1">
        <f>IF(COUNTIFS('[D KLR.xlsx]D KLR'!$A$1142:$A$1146,C10)=0,"",SUMIFS('[D KLR.xlsx]D KLR'!$M$1142:$M$1146,'[D KLR.xlsx]D KLR'!$A$1142:$A$1146,C10))</f>
        <v/>
      </c>
      <c r="M10" s="6">
        <f>IF(ISNUMBER(I10),I10-SUM(D10:H10),"")</f>
        <v/>
      </c>
      <c r="N10" s="1" t="n"/>
      <c r="O10" s="1" t="n"/>
    </row>
    <row r="11">
      <c r="A11" s="1" t="n"/>
      <c r="B11" s="1" t="n"/>
      <c r="C11" s="1" t="n">
        <v>5</v>
      </c>
      <c r="D11" s="6">
        <f>IF(COUNTIFS('[Import Stunden.xlsx]Import Stunden'!$C$7:$C$8,'[Steuerung.xlsx]Steuerung'!$F$6,'[Import Stunden.xlsx]Import Stunden'!$D$7:$D$8,5)&gt;0,SUMIFS('[Import Stunden.xlsx]Import Stunden'!$E$7:$E$8,'[Import Stunden.xlsx]Import Stunden'!$C$7:$C$8,'[Steuerung.xlsx]Steuerung'!$F$6,'[Import Stunden.xlsx]Import Stunden'!$D$7:$D$8,5),IF(COUNTIFS('[D KLR.xlsx]D KLR'!$A$1142:$A$1146,C11)=0,"",SUMIFS('[D KLR.xlsx]D KLR'!$B$1142:$B$1146,'[D KLR.xlsx]D KLR'!$A$1142:$A$1146,C11)))</f>
        <v/>
      </c>
      <c r="E11" s="6">
        <f>IF(COUNTIFS('[Import Stunden.xlsx]Import Stunden'!$C$7:$C$8,'[Steuerung.xlsx]Steuerung'!$F$6,'[Import Stunden.xlsx]Import Stunden'!$D$7:$D$8,5)&gt;0,SUMIFS('[Import Stunden.xlsx]Import Stunden'!$F$7:$F$8,'[Import Stunden.xlsx]Import Stunden'!$C$7:$C$8,'[Steuerung.xlsx]Steuerung'!$F$6,'[Import Stunden.xlsx]Import Stunden'!$D$7:$D$8,5),IF(COUNTIFS('[D KLR.xlsx]D KLR'!$A$1142:$A$1146,C11)=0,"",SUMIFS('[D KLR.xlsx]D KLR'!$C$1142:$C$1146,'[D KLR.xlsx]D KLR'!$A$1142:$A$1146,C11)))</f>
        <v/>
      </c>
      <c r="F11" s="6">
        <f>IF(COUNTIFS('[Import Stunden.xlsx]Import Stunden'!$C$7:$C$8,'[Steuerung.xlsx]Steuerung'!$F$6,'[Import Stunden.xlsx]Import Stunden'!$D$7:$D$8,5)&gt;0,SUMIFS('[Import Stunden.xlsx]Import Stunden'!$G$7:$G$8,'[Import Stunden.xlsx]Import Stunden'!$C$7:$C$8,'[Steuerung.xlsx]Steuerung'!$F$6,'[Import Stunden.xlsx]Import Stunden'!$D$7:$D$8,5),IF(COUNTIFS('[D KLR.xlsx]D KLR'!$A$1142:$A$1146,C11)=0,"",SUMIFS('[D KLR.xlsx]D KLR'!$D$1142:$D$1146,'[D KLR.xlsx]D KLR'!$A$1142:$A$1146,C11)))</f>
        <v/>
      </c>
      <c r="G11" s="6">
        <f>IF(COUNTIFS('[Import Stunden.xlsx]Import Stunden'!$C$7:$C$8,'[Steuerung.xlsx]Steuerung'!$F$6,'[Import Stunden.xlsx]Import Stunden'!$D$7:$D$8,5)&gt;0,SUMIFS('[Import Stunden.xlsx]Import Stunden'!$H$7:$H$8,'[Import Stunden.xlsx]Import Stunden'!$C$7:$C$8,'[Steuerung.xlsx]Steuerung'!$F$6,'[Import Stunden.xlsx]Import Stunden'!$D$7:$D$8,5),IF(COUNTIFS('[D KLR.xlsx]D KLR'!$A$1142:$A$1146,C11)=0,"",SUMIFS('[D KLR.xlsx]D KLR'!$E$1142:$E$1146,'[D KLR.xlsx]D KLR'!$A$1142:$A$1146,C11)))</f>
        <v/>
      </c>
      <c r="H11" s="6">
        <f>IF(COUNTIFS('[Import Stunden.xlsx]Import Stunden'!$C$7:$C$8,'[Steuerung.xlsx]Steuerung'!$F$6,'[Import Stunden.xlsx]Import Stunden'!$D$7:$D$8,5)&gt;0,SUMIFS('[Import Stunden.xlsx]Import Stunden'!$I$7:$I$8,'[Import Stunden.xlsx]Import Stunden'!$C$7:$C$8,'[Steuerung.xlsx]Steuerung'!$F$6,'[Import Stunden.xlsx]Import Stunden'!$D$7:$D$8,5),IF(COUNTIFS('[D KLR.xlsx]D KLR'!$A$1142:$A$1146,C11)=0,"",SUMIFS('[D KLR.xlsx]D KLR'!$F$1142:$F$1146,'[D KLR.xlsx]D KLR'!$A$1142:$A$1146,C11)))</f>
        <v/>
      </c>
      <c r="I11" s="6">
        <f>IF(COUNTIFS('[Import Stunden.xlsx]Import Stunden'!$C$7:$C$8,'[Steuerung.xlsx]Steuerung'!$F$6,'[Import Stunden.xlsx]Import Stunden'!$D$7:$D$8,5)&gt;0,SUMIFS('[Import Stunden.xlsx]Import Stunden'!$J$7:$J$8,'[Import Stunden.xlsx]Import Stunden'!$C$7:$C$8,'[Steuerung.xlsx]Steuerung'!$F$6,'[Import Stunden.xlsx]Import Stunden'!$D$7:$D$8,5),IF(COUNTIFS('[D KLR.xlsx]D KLR'!$A$1142:$A$1146,C11)=0,"",SUMIFS('[D KLR.xlsx]D KLR'!$G$1142:$G$1146,'[D KLR.xlsx]D KLR'!$A$1142:$A$1146,C11)))</f>
        <v/>
      </c>
      <c r="J11" s="7">
        <f>IF(ISNUMBER(D11),IF(SUM(D11:E11)=0,"n.a.",D11/SUM(D11:E11)),"")</f>
        <v/>
      </c>
      <c r="K11" s="7">
        <f>IF(ISNUMBER(I11),IF(I11=0,"n.a.",D11/I11),"")</f>
        <v/>
      </c>
      <c r="L11" s="1">
        <f>IF(COUNTIFS('[D KLR.xlsx]D KLR'!$A$1142:$A$1146,C11)=0,"",SUMIFS('[D KLR.xlsx]D KLR'!$M$1142:$M$1146,'[D KLR.xlsx]D KLR'!$A$1142:$A$1146,C11))</f>
        <v/>
      </c>
      <c r="M11" s="6">
        <f>IF(ISNUMBER(I11),I11-SUM(D11:H11),"")</f>
        <v/>
      </c>
      <c r="N11" s="1" t="n"/>
      <c r="O11" s="1" t="n"/>
    </row>
    <row r="12">
      <c r="A12" s="1" t="n"/>
      <c r="B12" s="1" t="n"/>
      <c r="C12" s="1" t="n">
        <v>6</v>
      </c>
      <c r="D12" s="6">
        <f>IF(COUNTIFS('[Import Stunden.xlsx]Import Stunden'!$C$7:$C$8,'[Steuerung.xlsx]Steuerung'!$F$6,'[Import Stunden.xlsx]Import Stunden'!$D$7:$D$8,6)&gt;0,SUMIFS('[Import Stunden.xlsx]Import Stunden'!$E$7:$E$8,'[Import Stunden.xlsx]Import Stunden'!$C$7:$C$8,'[Steuerung.xlsx]Steuerung'!$F$6,'[Import Stunden.xlsx]Import Stunden'!$D$7:$D$8,6),IF(COUNTIFS('[D KLR.xlsx]D KLR'!$A$1142:$A$1146,C12)=0,"",SUMIFS('[D KLR.xlsx]D KLR'!$B$1142:$B$1146,'[D KLR.xlsx]D KLR'!$A$1142:$A$1146,C12)))</f>
        <v/>
      </c>
      <c r="E12" s="6">
        <f>IF(COUNTIFS('[Import Stunden.xlsx]Import Stunden'!$C$7:$C$8,'[Steuerung.xlsx]Steuerung'!$F$6,'[Import Stunden.xlsx]Import Stunden'!$D$7:$D$8,6)&gt;0,SUMIFS('[Import Stunden.xlsx]Import Stunden'!$F$7:$F$8,'[Import Stunden.xlsx]Import Stunden'!$C$7:$C$8,'[Steuerung.xlsx]Steuerung'!$F$6,'[Import Stunden.xlsx]Import Stunden'!$D$7:$D$8,6),IF(COUNTIFS('[D KLR.xlsx]D KLR'!$A$1142:$A$1146,C12)=0,"",SUMIFS('[D KLR.xlsx]D KLR'!$C$1142:$C$1146,'[D KLR.xlsx]D KLR'!$A$1142:$A$1146,C12)))</f>
        <v/>
      </c>
      <c r="F12" s="6">
        <f>IF(COUNTIFS('[Import Stunden.xlsx]Import Stunden'!$C$7:$C$8,'[Steuerung.xlsx]Steuerung'!$F$6,'[Import Stunden.xlsx]Import Stunden'!$D$7:$D$8,6)&gt;0,SUMIFS('[Import Stunden.xlsx]Import Stunden'!$G$7:$G$8,'[Import Stunden.xlsx]Import Stunden'!$C$7:$C$8,'[Steuerung.xlsx]Steuerung'!$F$6,'[Import Stunden.xlsx]Import Stunden'!$D$7:$D$8,6),IF(COUNTIFS('[D KLR.xlsx]D KLR'!$A$1142:$A$1146,C12)=0,"",SUMIFS('[D KLR.xlsx]D KLR'!$D$1142:$D$1146,'[D KLR.xlsx]D KLR'!$A$1142:$A$1146,C12)))</f>
        <v/>
      </c>
      <c r="G12" s="6">
        <f>IF(COUNTIFS('[Import Stunden.xlsx]Import Stunden'!$C$7:$C$8,'[Steuerung.xlsx]Steuerung'!$F$6,'[Import Stunden.xlsx]Import Stunden'!$D$7:$D$8,6)&gt;0,SUMIFS('[Import Stunden.xlsx]Import Stunden'!$H$7:$H$8,'[Import Stunden.xlsx]Import Stunden'!$C$7:$C$8,'[Steuerung.xlsx]Steuerung'!$F$6,'[Import Stunden.xlsx]Import Stunden'!$D$7:$D$8,6),IF(COUNTIFS('[D KLR.xlsx]D KLR'!$A$1142:$A$1146,C12)=0,"",SUMIFS('[D KLR.xlsx]D KLR'!$E$1142:$E$1146,'[D KLR.xlsx]D KLR'!$A$1142:$A$1146,C12)))</f>
        <v/>
      </c>
      <c r="H12" s="6">
        <f>IF(COUNTIFS('[Import Stunden.xlsx]Import Stunden'!$C$7:$C$8,'[Steuerung.xlsx]Steuerung'!$F$6,'[Import Stunden.xlsx]Import Stunden'!$D$7:$D$8,6)&gt;0,SUMIFS('[Import Stunden.xlsx]Import Stunden'!$I$7:$I$8,'[Import Stunden.xlsx]Import Stunden'!$C$7:$C$8,'[Steuerung.xlsx]Steuerung'!$F$6,'[Import Stunden.xlsx]Import Stunden'!$D$7:$D$8,6),IF(COUNTIFS('[D KLR.xlsx]D KLR'!$A$1142:$A$1146,C12)=0,"",SUMIFS('[D KLR.xlsx]D KLR'!$F$1142:$F$1146,'[D KLR.xlsx]D KLR'!$A$1142:$A$1146,C12)))</f>
        <v/>
      </c>
      <c r="I12" s="6">
        <f>IF(COUNTIFS('[Import Stunden.xlsx]Import Stunden'!$C$7:$C$8,'[Steuerung.xlsx]Steuerung'!$F$6,'[Import Stunden.xlsx]Import Stunden'!$D$7:$D$8,6)&gt;0,SUMIFS('[Import Stunden.xlsx]Import Stunden'!$J$7:$J$8,'[Import Stunden.xlsx]Import Stunden'!$C$7:$C$8,'[Steuerung.xlsx]Steuerung'!$F$6,'[Import Stunden.xlsx]Import Stunden'!$D$7:$D$8,6),IF(COUNTIFS('[D KLR.xlsx]D KLR'!$A$1142:$A$1146,C12)=0,"",SUMIFS('[D KLR.xlsx]D KLR'!$G$1142:$G$1146,'[D KLR.xlsx]D KLR'!$A$1142:$A$1146,C12)))</f>
        <v/>
      </c>
      <c r="J12" s="7">
        <f>IF(ISNUMBER(D12),IF(SUM(D12:E12)=0,"n.a.",D12/SUM(D12:E12)),"")</f>
        <v/>
      </c>
      <c r="K12" s="7">
        <f>IF(ISNUMBER(I12),IF(I12=0,"n.a.",D12/I12),"")</f>
        <v/>
      </c>
      <c r="L12" s="1">
        <f>IF(COUNTIFS('[D KLR.xlsx]D KLR'!$A$1142:$A$1146,C12)=0,"",SUMIFS('[D KLR.xlsx]D KLR'!$M$1142:$M$1146,'[D KLR.xlsx]D KLR'!$A$1142:$A$1146,C12))</f>
        <v/>
      </c>
      <c r="M12" s="6">
        <f>IF(ISNUMBER(I12),I12-SUM(D12:H12),"")</f>
        <v/>
      </c>
      <c r="N12" s="1" t="n"/>
      <c r="O12" s="1" t="n"/>
    </row>
    <row r="13">
      <c r="A13" s="1" t="n"/>
      <c r="B13" s="1" t="n"/>
      <c r="C13" s="1" t="n">
        <v>7</v>
      </c>
      <c r="D13" s="6">
        <f>IF(COUNTIFS('[Import Stunden.xlsx]Import Stunden'!$C$7:$C$8,'[Steuerung.xlsx]Steuerung'!$F$6,'[Import Stunden.xlsx]Import Stunden'!$D$7:$D$8,7)&gt;0,SUMIFS('[Import Stunden.xlsx]Import Stunden'!$E$7:$E$8,'[Import Stunden.xlsx]Import Stunden'!$C$7:$C$8,'[Steuerung.xlsx]Steuerung'!$F$6,'[Import Stunden.xlsx]Import Stunden'!$D$7:$D$8,7),IF(COUNTIFS('[D KLR.xlsx]D KLR'!$A$1142:$A$1146,C13)=0,"",SUMIFS('[D KLR.xlsx]D KLR'!$B$1142:$B$1146,'[D KLR.xlsx]D KLR'!$A$1142:$A$1146,C13)))</f>
        <v/>
      </c>
      <c r="E13" s="6">
        <f>IF(COUNTIFS('[Import Stunden.xlsx]Import Stunden'!$C$7:$C$8,'[Steuerung.xlsx]Steuerung'!$F$6,'[Import Stunden.xlsx]Import Stunden'!$D$7:$D$8,7)&gt;0,SUMIFS('[Import Stunden.xlsx]Import Stunden'!$F$7:$F$8,'[Import Stunden.xlsx]Import Stunden'!$C$7:$C$8,'[Steuerung.xlsx]Steuerung'!$F$6,'[Import Stunden.xlsx]Import Stunden'!$D$7:$D$8,7),IF(COUNTIFS('[D KLR.xlsx]D KLR'!$A$1142:$A$1146,C13)=0,"",SUMIFS('[D KLR.xlsx]D KLR'!$C$1142:$C$1146,'[D KLR.xlsx]D KLR'!$A$1142:$A$1146,C13)))</f>
        <v/>
      </c>
      <c r="F13" s="6">
        <f>IF(COUNTIFS('[Import Stunden.xlsx]Import Stunden'!$C$7:$C$8,'[Steuerung.xlsx]Steuerung'!$F$6,'[Import Stunden.xlsx]Import Stunden'!$D$7:$D$8,7)&gt;0,SUMIFS('[Import Stunden.xlsx]Import Stunden'!$G$7:$G$8,'[Import Stunden.xlsx]Import Stunden'!$C$7:$C$8,'[Steuerung.xlsx]Steuerung'!$F$6,'[Import Stunden.xlsx]Import Stunden'!$D$7:$D$8,7),IF(COUNTIFS('[D KLR.xlsx]D KLR'!$A$1142:$A$1146,C13)=0,"",SUMIFS('[D KLR.xlsx]D KLR'!$D$1142:$D$1146,'[D KLR.xlsx]D KLR'!$A$1142:$A$1146,C13)))</f>
        <v/>
      </c>
      <c r="G13" s="6">
        <f>IF(COUNTIFS('[Import Stunden.xlsx]Import Stunden'!$C$7:$C$8,'[Steuerung.xlsx]Steuerung'!$F$6,'[Import Stunden.xlsx]Import Stunden'!$D$7:$D$8,7)&gt;0,SUMIFS('[Import Stunden.xlsx]Import Stunden'!$H$7:$H$8,'[Import Stunden.xlsx]Import Stunden'!$C$7:$C$8,'[Steuerung.xlsx]Steuerung'!$F$6,'[Import Stunden.xlsx]Import Stunden'!$D$7:$D$8,7),IF(COUNTIFS('[D KLR.xlsx]D KLR'!$A$1142:$A$1146,C13)=0,"",SUMIFS('[D KLR.xlsx]D KLR'!$E$1142:$E$1146,'[D KLR.xlsx]D KLR'!$A$1142:$A$1146,C13)))</f>
        <v/>
      </c>
      <c r="H13" s="6">
        <f>IF(COUNTIFS('[Import Stunden.xlsx]Import Stunden'!$C$7:$C$8,'[Steuerung.xlsx]Steuerung'!$F$6,'[Import Stunden.xlsx]Import Stunden'!$D$7:$D$8,7)&gt;0,SUMIFS('[Import Stunden.xlsx]Import Stunden'!$I$7:$I$8,'[Import Stunden.xlsx]Import Stunden'!$C$7:$C$8,'[Steuerung.xlsx]Steuerung'!$F$6,'[Import Stunden.xlsx]Import Stunden'!$D$7:$D$8,7),IF(COUNTIFS('[D KLR.xlsx]D KLR'!$A$1142:$A$1146,C13)=0,"",SUMIFS('[D KLR.xlsx]D KLR'!$F$1142:$F$1146,'[D KLR.xlsx]D KLR'!$A$1142:$A$1146,C13)))</f>
        <v/>
      </c>
      <c r="I13" s="6">
        <f>IF(COUNTIFS('[Import Stunden.xlsx]Import Stunden'!$C$7:$C$8,'[Steuerung.xlsx]Steuerung'!$F$6,'[Import Stunden.xlsx]Import Stunden'!$D$7:$D$8,7)&gt;0,SUMIFS('[Import Stunden.xlsx]Import Stunden'!$J$7:$J$8,'[Import Stunden.xlsx]Import Stunden'!$C$7:$C$8,'[Steuerung.xlsx]Steuerung'!$F$6,'[Import Stunden.xlsx]Import Stunden'!$D$7:$D$8,7),IF(COUNTIFS('[D KLR.xlsx]D KLR'!$A$1142:$A$1146,C13)=0,"",SUMIFS('[D KLR.xlsx]D KLR'!$G$1142:$G$1146,'[D KLR.xlsx]D KLR'!$A$1142:$A$1146,C13)))</f>
        <v/>
      </c>
      <c r="J13" s="7">
        <f>IF(ISNUMBER(D13),IF(SUM(D13:E13)=0,"n.a.",D13/SUM(D13:E13)),"")</f>
        <v/>
      </c>
      <c r="K13" s="7">
        <f>IF(ISNUMBER(I13),IF(I13=0,"n.a.",D13/I13),"")</f>
        <v/>
      </c>
      <c r="L13" s="1">
        <f>IF(COUNTIFS('[D KLR.xlsx]D KLR'!$A$1142:$A$1146,C13)=0,"",SUMIFS('[D KLR.xlsx]D KLR'!$M$1142:$M$1146,'[D KLR.xlsx]D KLR'!$A$1142:$A$1146,C13))</f>
        <v/>
      </c>
      <c r="M13" s="6">
        <f>IF(ISNUMBER(I13),I13-SUM(D13:H13),"")</f>
        <v/>
      </c>
      <c r="N13" s="1" t="n"/>
      <c r="O13" s="1" t="n"/>
    </row>
    <row r="14">
      <c r="A14" s="1" t="n"/>
      <c r="B14" s="1" t="n"/>
      <c r="C14" s="1" t="n">
        <v>8</v>
      </c>
      <c r="D14" s="6">
        <f>IF(COUNTIFS('[Import Stunden.xlsx]Import Stunden'!$C$7:$C$8,'[Steuerung.xlsx]Steuerung'!$F$6,'[Import Stunden.xlsx]Import Stunden'!$D$7:$D$8,8)&gt;0,SUMIFS('[Import Stunden.xlsx]Import Stunden'!$E$7:$E$8,'[Import Stunden.xlsx]Import Stunden'!$C$7:$C$8,'[Steuerung.xlsx]Steuerung'!$F$6,'[Import Stunden.xlsx]Import Stunden'!$D$7:$D$8,8),IF(COUNTIFS('[D KLR.xlsx]D KLR'!$A$1142:$A$1146,C14)=0,"",SUMIFS('[D KLR.xlsx]D KLR'!$B$1142:$B$1146,'[D KLR.xlsx]D KLR'!$A$1142:$A$1146,C14)))</f>
        <v/>
      </c>
      <c r="E14" s="6">
        <f>IF(COUNTIFS('[Import Stunden.xlsx]Import Stunden'!$C$7:$C$8,'[Steuerung.xlsx]Steuerung'!$F$6,'[Import Stunden.xlsx]Import Stunden'!$D$7:$D$8,8)&gt;0,SUMIFS('[Import Stunden.xlsx]Import Stunden'!$F$7:$F$8,'[Import Stunden.xlsx]Import Stunden'!$C$7:$C$8,'[Steuerung.xlsx]Steuerung'!$F$6,'[Import Stunden.xlsx]Import Stunden'!$D$7:$D$8,8),IF(COUNTIFS('[D KLR.xlsx]D KLR'!$A$1142:$A$1146,C14)=0,"",SUMIFS('[D KLR.xlsx]D KLR'!$C$1142:$C$1146,'[D KLR.xlsx]D KLR'!$A$1142:$A$1146,C14)))</f>
        <v/>
      </c>
      <c r="F14" s="6">
        <f>IF(COUNTIFS('[Import Stunden.xlsx]Import Stunden'!$C$7:$C$8,'[Steuerung.xlsx]Steuerung'!$F$6,'[Import Stunden.xlsx]Import Stunden'!$D$7:$D$8,8)&gt;0,SUMIFS('[Import Stunden.xlsx]Import Stunden'!$G$7:$G$8,'[Import Stunden.xlsx]Import Stunden'!$C$7:$C$8,'[Steuerung.xlsx]Steuerung'!$F$6,'[Import Stunden.xlsx]Import Stunden'!$D$7:$D$8,8),IF(COUNTIFS('[D KLR.xlsx]D KLR'!$A$1142:$A$1146,C14)=0,"",SUMIFS('[D KLR.xlsx]D KLR'!$D$1142:$D$1146,'[D KLR.xlsx]D KLR'!$A$1142:$A$1146,C14)))</f>
        <v/>
      </c>
      <c r="G14" s="6">
        <f>IF(COUNTIFS('[Import Stunden.xlsx]Import Stunden'!$C$7:$C$8,'[Steuerung.xlsx]Steuerung'!$F$6,'[Import Stunden.xlsx]Import Stunden'!$D$7:$D$8,8)&gt;0,SUMIFS('[Import Stunden.xlsx]Import Stunden'!$H$7:$H$8,'[Import Stunden.xlsx]Import Stunden'!$C$7:$C$8,'[Steuerung.xlsx]Steuerung'!$F$6,'[Import Stunden.xlsx]Import Stunden'!$D$7:$D$8,8),IF(COUNTIFS('[D KLR.xlsx]D KLR'!$A$1142:$A$1146,C14)=0,"",SUMIFS('[D KLR.xlsx]D KLR'!$E$1142:$E$1146,'[D KLR.xlsx]D KLR'!$A$1142:$A$1146,C14)))</f>
        <v/>
      </c>
      <c r="H14" s="6">
        <f>IF(COUNTIFS('[Import Stunden.xlsx]Import Stunden'!$C$7:$C$8,'[Steuerung.xlsx]Steuerung'!$F$6,'[Import Stunden.xlsx]Import Stunden'!$D$7:$D$8,8)&gt;0,SUMIFS('[Import Stunden.xlsx]Import Stunden'!$I$7:$I$8,'[Import Stunden.xlsx]Import Stunden'!$C$7:$C$8,'[Steuerung.xlsx]Steuerung'!$F$6,'[Import Stunden.xlsx]Import Stunden'!$D$7:$D$8,8),IF(COUNTIFS('[D KLR.xlsx]D KLR'!$A$1142:$A$1146,C14)=0,"",SUMIFS('[D KLR.xlsx]D KLR'!$F$1142:$F$1146,'[D KLR.xlsx]D KLR'!$A$1142:$A$1146,C14)))</f>
        <v/>
      </c>
      <c r="I14" s="6">
        <f>IF(COUNTIFS('[Import Stunden.xlsx]Import Stunden'!$C$7:$C$8,'[Steuerung.xlsx]Steuerung'!$F$6,'[Import Stunden.xlsx]Import Stunden'!$D$7:$D$8,8)&gt;0,SUMIFS('[Import Stunden.xlsx]Import Stunden'!$J$7:$J$8,'[Import Stunden.xlsx]Import Stunden'!$C$7:$C$8,'[Steuerung.xlsx]Steuerung'!$F$6,'[Import Stunden.xlsx]Import Stunden'!$D$7:$D$8,8),IF(COUNTIFS('[D KLR.xlsx]D KLR'!$A$1142:$A$1146,C14)=0,"",SUMIFS('[D KLR.xlsx]D KLR'!$G$1142:$G$1146,'[D KLR.xlsx]D KLR'!$A$1142:$A$1146,C14)))</f>
        <v/>
      </c>
      <c r="J14" s="7">
        <f>IF(ISNUMBER(D14),IF(SUM(D14:E14)=0,"n.a.",D14/SUM(D14:E14)),"")</f>
        <v/>
      </c>
      <c r="K14" s="7">
        <f>IF(ISNUMBER(I14),IF(I14=0,"n.a.",D14/I14),"")</f>
        <v/>
      </c>
      <c r="L14" s="1">
        <f>IF(COUNTIFS('[D KLR.xlsx]D KLR'!$A$1142:$A$1146,C14)=0,"",SUMIFS('[D KLR.xlsx]D KLR'!$M$1142:$M$1146,'[D KLR.xlsx]D KLR'!$A$1142:$A$1146,C14))</f>
        <v/>
      </c>
      <c r="M14" s="6">
        <f>IF(ISNUMBER(I14),I14-SUM(D14:H14),"")</f>
        <v/>
      </c>
      <c r="N14" s="1" t="n"/>
      <c r="O14" s="1" t="n"/>
    </row>
    <row r="15">
      <c r="A15" s="1" t="n"/>
      <c r="B15" s="1" t="n"/>
      <c r="C15" s="1" t="n">
        <v>9</v>
      </c>
      <c r="D15" s="6">
        <f>IF(COUNTIFS('[Import Stunden.xlsx]Import Stunden'!$C$7:$C$8,'[Steuerung.xlsx]Steuerung'!$F$6,'[Import Stunden.xlsx]Import Stunden'!$D$7:$D$8,9)&gt;0,SUMIFS('[Import Stunden.xlsx]Import Stunden'!$E$7:$E$8,'[Import Stunden.xlsx]Import Stunden'!$C$7:$C$8,'[Steuerung.xlsx]Steuerung'!$F$6,'[Import Stunden.xlsx]Import Stunden'!$D$7:$D$8,9),IF(COUNTIFS('[D KLR.xlsx]D KLR'!$A$1142:$A$1146,C15)=0,"",SUMIFS('[D KLR.xlsx]D KLR'!$B$1142:$B$1146,'[D KLR.xlsx]D KLR'!$A$1142:$A$1146,C15)))</f>
        <v/>
      </c>
      <c r="E15" s="6">
        <f>IF(COUNTIFS('[Import Stunden.xlsx]Import Stunden'!$C$7:$C$8,'[Steuerung.xlsx]Steuerung'!$F$6,'[Import Stunden.xlsx]Import Stunden'!$D$7:$D$8,9)&gt;0,SUMIFS('[Import Stunden.xlsx]Import Stunden'!$F$7:$F$8,'[Import Stunden.xlsx]Import Stunden'!$C$7:$C$8,'[Steuerung.xlsx]Steuerung'!$F$6,'[Import Stunden.xlsx]Import Stunden'!$D$7:$D$8,9),IF(COUNTIFS('[D KLR.xlsx]D KLR'!$A$1142:$A$1146,C15)=0,"",SUMIFS('[D KLR.xlsx]D KLR'!$C$1142:$C$1146,'[D KLR.xlsx]D KLR'!$A$1142:$A$1146,C15)))</f>
        <v/>
      </c>
      <c r="F15" s="6">
        <f>IF(COUNTIFS('[Import Stunden.xlsx]Import Stunden'!$C$7:$C$8,'[Steuerung.xlsx]Steuerung'!$F$6,'[Import Stunden.xlsx]Import Stunden'!$D$7:$D$8,9)&gt;0,SUMIFS('[Import Stunden.xlsx]Import Stunden'!$G$7:$G$8,'[Import Stunden.xlsx]Import Stunden'!$C$7:$C$8,'[Steuerung.xlsx]Steuerung'!$F$6,'[Import Stunden.xlsx]Import Stunden'!$D$7:$D$8,9),IF(COUNTIFS('[D KLR.xlsx]D KLR'!$A$1142:$A$1146,C15)=0,"",SUMIFS('[D KLR.xlsx]D KLR'!$D$1142:$D$1146,'[D KLR.xlsx]D KLR'!$A$1142:$A$1146,C15)))</f>
        <v/>
      </c>
      <c r="G15" s="6">
        <f>IF(COUNTIFS('[Import Stunden.xlsx]Import Stunden'!$C$7:$C$8,'[Steuerung.xlsx]Steuerung'!$F$6,'[Import Stunden.xlsx]Import Stunden'!$D$7:$D$8,9)&gt;0,SUMIFS('[Import Stunden.xlsx]Import Stunden'!$H$7:$H$8,'[Import Stunden.xlsx]Import Stunden'!$C$7:$C$8,'[Steuerung.xlsx]Steuerung'!$F$6,'[Import Stunden.xlsx]Import Stunden'!$D$7:$D$8,9),IF(COUNTIFS('[D KLR.xlsx]D KLR'!$A$1142:$A$1146,C15)=0,"",SUMIFS('[D KLR.xlsx]D KLR'!$E$1142:$E$1146,'[D KLR.xlsx]D KLR'!$A$1142:$A$1146,C15)))</f>
        <v/>
      </c>
      <c r="H15" s="6">
        <f>IF(COUNTIFS('[Import Stunden.xlsx]Import Stunden'!$C$7:$C$8,'[Steuerung.xlsx]Steuerung'!$F$6,'[Import Stunden.xlsx]Import Stunden'!$D$7:$D$8,9)&gt;0,SUMIFS('[Import Stunden.xlsx]Import Stunden'!$I$7:$I$8,'[Import Stunden.xlsx]Import Stunden'!$C$7:$C$8,'[Steuerung.xlsx]Steuerung'!$F$6,'[Import Stunden.xlsx]Import Stunden'!$D$7:$D$8,9),IF(COUNTIFS('[D KLR.xlsx]D KLR'!$A$1142:$A$1146,C15)=0,"",SUMIFS('[D KLR.xlsx]D KLR'!$F$1142:$F$1146,'[D KLR.xlsx]D KLR'!$A$1142:$A$1146,C15)))</f>
        <v/>
      </c>
      <c r="I15" s="6">
        <f>IF(COUNTIFS('[Import Stunden.xlsx]Import Stunden'!$C$7:$C$8,'[Steuerung.xlsx]Steuerung'!$F$6,'[Import Stunden.xlsx]Import Stunden'!$D$7:$D$8,9)&gt;0,SUMIFS('[Import Stunden.xlsx]Import Stunden'!$J$7:$J$8,'[Import Stunden.xlsx]Import Stunden'!$C$7:$C$8,'[Steuerung.xlsx]Steuerung'!$F$6,'[Import Stunden.xlsx]Import Stunden'!$D$7:$D$8,9),IF(COUNTIFS('[D KLR.xlsx]D KLR'!$A$1142:$A$1146,C15)=0,"",SUMIFS('[D KLR.xlsx]D KLR'!$G$1142:$G$1146,'[D KLR.xlsx]D KLR'!$A$1142:$A$1146,C15)))</f>
        <v/>
      </c>
      <c r="J15" s="7">
        <f>IF(ISNUMBER(D15),IF(SUM(D15:E15)=0,"n.a.",D15/SUM(D15:E15)),"")</f>
        <v/>
      </c>
      <c r="K15" s="7">
        <f>IF(ISNUMBER(I15),IF(I15=0,"n.a.",D15/I15),"")</f>
        <v/>
      </c>
      <c r="L15" s="1">
        <f>IF(COUNTIFS('[D KLR.xlsx]D KLR'!$A$1142:$A$1146,C15)=0,"",SUMIFS('[D KLR.xlsx]D KLR'!$M$1142:$M$1146,'[D KLR.xlsx]D KLR'!$A$1142:$A$1146,C15))</f>
        <v/>
      </c>
      <c r="M15" s="6">
        <f>IF(ISNUMBER(I15),I15-SUM(D15:H15),"")</f>
        <v/>
      </c>
      <c r="N15" s="1" t="n"/>
      <c r="O15" s="1" t="n"/>
    </row>
    <row r="16">
      <c r="A16" s="1" t="n"/>
      <c r="B16" s="1" t="n"/>
      <c r="C16" s="1" t="n">
        <v>10</v>
      </c>
      <c r="D16" s="6">
        <f>IF(COUNTIFS('[Import Stunden.xlsx]Import Stunden'!$C$7:$C$8,'[Steuerung.xlsx]Steuerung'!$F$6,'[Import Stunden.xlsx]Import Stunden'!$D$7:$D$8,10)&gt;0,SUMIFS('[Import Stunden.xlsx]Import Stunden'!$E$7:$E$8,'[Import Stunden.xlsx]Import Stunden'!$C$7:$C$8,'[Steuerung.xlsx]Steuerung'!$F$6,'[Import Stunden.xlsx]Import Stunden'!$D$7:$D$8,10),IF(COUNTIFS('[D KLR.xlsx]D KLR'!$A$1142:$A$1146,C16)=0,"",SUMIFS('[D KLR.xlsx]D KLR'!$B$1142:$B$1146,'[D KLR.xlsx]D KLR'!$A$1142:$A$1146,C16)))</f>
        <v/>
      </c>
      <c r="E16" s="6">
        <f>IF(COUNTIFS('[Import Stunden.xlsx]Import Stunden'!$C$7:$C$8,'[Steuerung.xlsx]Steuerung'!$F$6,'[Import Stunden.xlsx]Import Stunden'!$D$7:$D$8,10)&gt;0,SUMIFS('[Import Stunden.xlsx]Import Stunden'!$F$7:$F$8,'[Import Stunden.xlsx]Import Stunden'!$C$7:$C$8,'[Steuerung.xlsx]Steuerung'!$F$6,'[Import Stunden.xlsx]Import Stunden'!$D$7:$D$8,10),IF(COUNTIFS('[D KLR.xlsx]D KLR'!$A$1142:$A$1146,C16)=0,"",SUMIFS('[D KLR.xlsx]D KLR'!$C$1142:$C$1146,'[D KLR.xlsx]D KLR'!$A$1142:$A$1146,C16)))</f>
        <v/>
      </c>
      <c r="F16" s="6">
        <f>IF(COUNTIFS('[Import Stunden.xlsx]Import Stunden'!$C$7:$C$8,'[Steuerung.xlsx]Steuerung'!$F$6,'[Import Stunden.xlsx]Import Stunden'!$D$7:$D$8,10)&gt;0,SUMIFS('[Import Stunden.xlsx]Import Stunden'!$G$7:$G$8,'[Import Stunden.xlsx]Import Stunden'!$C$7:$C$8,'[Steuerung.xlsx]Steuerung'!$F$6,'[Import Stunden.xlsx]Import Stunden'!$D$7:$D$8,10),IF(COUNTIFS('[D KLR.xlsx]D KLR'!$A$1142:$A$1146,C16)=0,"",SUMIFS('[D KLR.xlsx]D KLR'!$D$1142:$D$1146,'[D KLR.xlsx]D KLR'!$A$1142:$A$1146,C16)))</f>
        <v/>
      </c>
      <c r="G16" s="6">
        <f>IF(COUNTIFS('[Import Stunden.xlsx]Import Stunden'!$C$7:$C$8,'[Steuerung.xlsx]Steuerung'!$F$6,'[Import Stunden.xlsx]Import Stunden'!$D$7:$D$8,10)&gt;0,SUMIFS('[Import Stunden.xlsx]Import Stunden'!$H$7:$H$8,'[Import Stunden.xlsx]Import Stunden'!$C$7:$C$8,'[Steuerung.xlsx]Steuerung'!$F$6,'[Import Stunden.xlsx]Import Stunden'!$D$7:$D$8,10),IF(COUNTIFS('[D KLR.xlsx]D KLR'!$A$1142:$A$1146,C16)=0,"",SUMIFS('[D KLR.xlsx]D KLR'!$E$1142:$E$1146,'[D KLR.xlsx]D KLR'!$A$1142:$A$1146,C16)))</f>
        <v/>
      </c>
      <c r="H16" s="6">
        <f>IF(COUNTIFS('[Import Stunden.xlsx]Import Stunden'!$C$7:$C$8,'[Steuerung.xlsx]Steuerung'!$F$6,'[Import Stunden.xlsx]Import Stunden'!$D$7:$D$8,10)&gt;0,SUMIFS('[Import Stunden.xlsx]Import Stunden'!$I$7:$I$8,'[Import Stunden.xlsx]Import Stunden'!$C$7:$C$8,'[Steuerung.xlsx]Steuerung'!$F$6,'[Import Stunden.xlsx]Import Stunden'!$D$7:$D$8,10),IF(COUNTIFS('[D KLR.xlsx]D KLR'!$A$1142:$A$1146,C16)=0,"",SUMIFS('[D KLR.xlsx]D KLR'!$F$1142:$F$1146,'[D KLR.xlsx]D KLR'!$A$1142:$A$1146,C16)))</f>
        <v/>
      </c>
      <c r="I16" s="6">
        <f>IF(COUNTIFS('[Import Stunden.xlsx]Import Stunden'!$C$7:$C$8,'[Steuerung.xlsx]Steuerung'!$F$6,'[Import Stunden.xlsx]Import Stunden'!$D$7:$D$8,10)&gt;0,SUMIFS('[Import Stunden.xlsx]Import Stunden'!$J$7:$J$8,'[Import Stunden.xlsx]Import Stunden'!$C$7:$C$8,'[Steuerung.xlsx]Steuerung'!$F$6,'[Import Stunden.xlsx]Import Stunden'!$D$7:$D$8,10),IF(COUNTIFS('[D KLR.xlsx]D KLR'!$A$1142:$A$1146,C16)=0,"",SUMIFS('[D KLR.xlsx]D KLR'!$G$1142:$G$1146,'[D KLR.xlsx]D KLR'!$A$1142:$A$1146,C16)))</f>
        <v/>
      </c>
      <c r="J16" s="7">
        <f>IF(ISNUMBER(D16),IF(SUM(D16:E16)=0,"n.a.",D16/SUM(D16:E16)),"")</f>
        <v/>
      </c>
      <c r="K16" s="7">
        <f>IF(ISNUMBER(I16),IF(I16=0,"n.a.",D16/I16),"")</f>
        <v/>
      </c>
      <c r="L16" s="1">
        <f>IF(COUNTIFS('[D KLR.xlsx]D KLR'!$A$1142:$A$1146,C16)=0,"",SUMIFS('[D KLR.xlsx]D KLR'!$M$1142:$M$1146,'[D KLR.xlsx]D KLR'!$A$1142:$A$1146,C16))</f>
        <v/>
      </c>
      <c r="M16" s="6">
        <f>IF(ISNUMBER(I16),I16-SUM(D16:H16),"")</f>
        <v/>
      </c>
      <c r="N16" s="1" t="n"/>
      <c r="O16" s="1" t="n"/>
    </row>
    <row r="17">
      <c r="A17" s="1" t="n"/>
      <c r="B17" s="1" t="n"/>
      <c r="C17" s="1" t="n">
        <v>11</v>
      </c>
      <c r="D17" s="6">
        <f>IF(COUNTIFS('[Import Stunden.xlsx]Import Stunden'!$C$7:$C$8,'[Steuerung.xlsx]Steuerung'!$F$6,'[Import Stunden.xlsx]Import Stunden'!$D$7:$D$8,11)&gt;0,SUMIFS('[Import Stunden.xlsx]Import Stunden'!$E$7:$E$8,'[Import Stunden.xlsx]Import Stunden'!$C$7:$C$8,'[Steuerung.xlsx]Steuerung'!$F$6,'[Import Stunden.xlsx]Import Stunden'!$D$7:$D$8,11),IF(COUNTIFS('[D KLR.xlsx]D KLR'!$A$1142:$A$1146,C17)=0,"",SUMIFS('[D KLR.xlsx]D KLR'!$B$1142:$B$1146,'[D KLR.xlsx]D KLR'!$A$1142:$A$1146,C17)))</f>
        <v/>
      </c>
      <c r="E17" s="6">
        <f>IF(COUNTIFS('[Import Stunden.xlsx]Import Stunden'!$C$7:$C$8,'[Steuerung.xlsx]Steuerung'!$F$6,'[Import Stunden.xlsx]Import Stunden'!$D$7:$D$8,11)&gt;0,SUMIFS('[Import Stunden.xlsx]Import Stunden'!$F$7:$F$8,'[Import Stunden.xlsx]Import Stunden'!$C$7:$C$8,'[Steuerung.xlsx]Steuerung'!$F$6,'[Import Stunden.xlsx]Import Stunden'!$D$7:$D$8,11),IF(COUNTIFS('[D KLR.xlsx]D KLR'!$A$1142:$A$1146,C17)=0,"",SUMIFS('[D KLR.xlsx]D KLR'!$C$1142:$C$1146,'[D KLR.xlsx]D KLR'!$A$1142:$A$1146,C17)))</f>
        <v/>
      </c>
      <c r="F17" s="6">
        <f>IF(COUNTIFS('[Import Stunden.xlsx]Import Stunden'!$C$7:$C$8,'[Steuerung.xlsx]Steuerung'!$F$6,'[Import Stunden.xlsx]Import Stunden'!$D$7:$D$8,11)&gt;0,SUMIFS('[Import Stunden.xlsx]Import Stunden'!$G$7:$G$8,'[Import Stunden.xlsx]Import Stunden'!$C$7:$C$8,'[Steuerung.xlsx]Steuerung'!$F$6,'[Import Stunden.xlsx]Import Stunden'!$D$7:$D$8,11),IF(COUNTIFS('[D KLR.xlsx]D KLR'!$A$1142:$A$1146,C17)=0,"",SUMIFS('[D KLR.xlsx]D KLR'!$D$1142:$D$1146,'[D KLR.xlsx]D KLR'!$A$1142:$A$1146,C17)))</f>
        <v/>
      </c>
      <c r="G17" s="6">
        <f>IF(COUNTIFS('[Import Stunden.xlsx]Import Stunden'!$C$7:$C$8,'[Steuerung.xlsx]Steuerung'!$F$6,'[Import Stunden.xlsx]Import Stunden'!$D$7:$D$8,11)&gt;0,SUMIFS('[Import Stunden.xlsx]Import Stunden'!$H$7:$H$8,'[Import Stunden.xlsx]Import Stunden'!$C$7:$C$8,'[Steuerung.xlsx]Steuerung'!$F$6,'[Import Stunden.xlsx]Import Stunden'!$D$7:$D$8,11),IF(COUNTIFS('[D KLR.xlsx]D KLR'!$A$1142:$A$1146,C17)=0,"",SUMIFS('[D KLR.xlsx]D KLR'!$E$1142:$E$1146,'[D KLR.xlsx]D KLR'!$A$1142:$A$1146,C17)))</f>
        <v/>
      </c>
      <c r="H17" s="6">
        <f>IF(COUNTIFS('[Import Stunden.xlsx]Import Stunden'!$C$7:$C$8,'[Steuerung.xlsx]Steuerung'!$F$6,'[Import Stunden.xlsx]Import Stunden'!$D$7:$D$8,11)&gt;0,SUMIFS('[Import Stunden.xlsx]Import Stunden'!$I$7:$I$8,'[Import Stunden.xlsx]Import Stunden'!$C$7:$C$8,'[Steuerung.xlsx]Steuerung'!$F$6,'[Import Stunden.xlsx]Import Stunden'!$D$7:$D$8,11),IF(COUNTIFS('[D KLR.xlsx]D KLR'!$A$1142:$A$1146,C17)=0,"",SUMIFS('[D KLR.xlsx]D KLR'!$F$1142:$F$1146,'[D KLR.xlsx]D KLR'!$A$1142:$A$1146,C17)))</f>
        <v/>
      </c>
      <c r="I17" s="6">
        <f>IF(COUNTIFS('[Import Stunden.xlsx]Import Stunden'!$C$7:$C$8,'[Steuerung.xlsx]Steuerung'!$F$6,'[Import Stunden.xlsx]Import Stunden'!$D$7:$D$8,11)&gt;0,SUMIFS('[Import Stunden.xlsx]Import Stunden'!$J$7:$J$8,'[Import Stunden.xlsx]Import Stunden'!$C$7:$C$8,'[Steuerung.xlsx]Steuerung'!$F$6,'[Import Stunden.xlsx]Import Stunden'!$D$7:$D$8,11),IF(COUNTIFS('[D KLR.xlsx]D KLR'!$A$1142:$A$1146,C17)=0,"",SUMIFS('[D KLR.xlsx]D KLR'!$G$1142:$G$1146,'[D KLR.xlsx]D KLR'!$A$1142:$A$1146,C17)))</f>
        <v/>
      </c>
      <c r="J17" s="7">
        <f>IF(ISNUMBER(D17),IF(SUM(D17:E17)=0,"n.a.",D17/SUM(D17:E17)),"")</f>
        <v/>
      </c>
      <c r="K17" s="7">
        <f>IF(ISNUMBER(I17),IF(I17=0,"n.a.",D17/I17),"")</f>
        <v/>
      </c>
      <c r="L17" s="1">
        <f>IF(COUNTIFS('[D KLR.xlsx]D KLR'!$A$1142:$A$1146,C17)=0,"",SUMIFS('[D KLR.xlsx]D KLR'!$M$1142:$M$1146,'[D KLR.xlsx]D KLR'!$A$1142:$A$1146,C17))</f>
        <v/>
      </c>
      <c r="M17" s="6">
        <f>IF(ISNUMBER(I17),I17-SUM(D17:H17),"")</f>
        <v/>
      </c>
      <c r="N17" s="1" t="n"/>
      <c r="O17" s="1" t="n"/>
    </row>
    <row r="18">
      <c r="A18" s="1" t="n"/>
      <c r="B18" s="1" t="n"/>
      <c r="C18" s="1" t="n">
        <v>12</v>
      </c>
      <c r="D18" s="6">
        <f>IF(COUNTIFS('[Import Stunden.xlsx]Import Stunden'!$C$7:$C$8,'[Steuerung.xlsx]Steuerung'!$F$6,'[Import Stunden.xlsx]Import Stunden'!$D$7:$D$8,12)&gt;0,SUMIFS('[Import Stunden.xlsx]Import Stunden'!$E$7:$E$8,'[Import Stunden.xlsx]Import Stunden'!$C$7:$C$8,'[Steuerung.xlsx]Steuerung'!$F$6,'[Import Stunden.xlsx]Import Stunden'!$D$7:$D$8,12),IF(COUNTIFS('[D KLR.xlsx]D KLR'!$A$1142:$A$1146,C18)=0,"",SUMIFS('[D KLR.xlsx]D KLR'!$B$1142:$B$1146,'[D KLR.xlsx]D KLR'!$A$1142:$A$1146,C18)))</f>
        <v/>
      </c>
      <c r="E18" s="6">
        <f>IF(COUNTIFS('[Import Stunden.xlsx]Import Stunden'!$C$7:$C$8,'[Steuerung.xlsx]Steuerung'!$F$6,'[Import Stunden.xlsx]Import Stunden'!$D$7:$D$8,12)&gt;0,SUMIFS('[Import Stunden.xlsx]Import Stunden'!$F$7:$F$8,'[Import Stunden.xlsx]Import Stunden'!$C$7:$C$8,'[Steuerung.xlsx]Steuerung'!$F$6,'[Import Stunden.xlsx]Import Stunden'!$D$7:$D$8,12),IF(COUNTIFS('[D KLR.xlsx]D KLR'!$A$1142:$A$1146,C18)=0,"",SUMIFS('[D KLR.xlsx]D KLR'!$C$1142:$C$1146,'[D KLR.xlsx]D KLR'!$A$1142:$A$1146,C18)))</f>
        <v/>
      </c>
      <c r="F18" s="6">
        <f>IF(COUNTIFS('[Import Stunden.xlsx]Import Stunden'!$C$7:$C$8,'[Steuerung.xlsx]Steuerung'!$F$6,'[Import Stunden.xlsx]Import Stunden'!$D$7:$D$8,12)&gt;0,SUMIFS('[Import Stunden.xlsx]Import Stunden'!$G$7:$G$8,'[Import Stunden.xlsx]Import Stunden'!$C$7:$C$8,'[Steuerung.xlsx]Steuerung'!$F$6,'[Import Stunden.xlsx]Import Stunden'!$D$7:$D$8,12),IF(COUNTIFS('[D KLR.xlsx]D KLR'!$A$1142:$A$1146,C18)=0,"",SUMIFS('[D KLR.xlsx]D KLR'!$D$1142:$D$1146,'[D KLR.xlsx]D KLR'!$A$1142:$A$1146,C18)))</f>
        <v/>
      </c>
      <c r="G18" s="6">
        <f>IF(COUNTIFS('[Import Stunden.xlsx]Import Stunden'!$C$7:$C$8,'[Steuerung.xlsx]Steuerung'!$F$6,'[Import Stunden.xlsx]Import Stunden'!$D$7:$D$8,12)&gt;0,SUMIFS('[Import Stunden.xlsx]Import Stunden'!$H$7:$H$8,'[Import Stunden.xlsx]Import Stunden'!$C$7:$C$8,'[Steuerung.xlsx]Steuerung'!$F$6,'[Import Stunden.xlsx]Import Stunden'!$D$7:$D$8,12),IF(COUNTIFS('[D KLR.xlsx]D KLR'!$A$1142:$A$1146,C18)=0,"",SUMIFS('[D KLR.xlsx]D KLR'!$E$1142:$E$1146,'[D KLR.xlsx]D KLR'!$A$1142:$A$1146,C18)))</f>
        <v/>
      </c>
      <c r="H18" s="6">
        <f>IF(COUNTIFS('[Import Stunden.xlsx]Import Stunden'!$C$7:$C$8,'[Steuerung.xlsx]Steuerung'!$F$6,'[Import Stunden.xlsx]Import Stunden'!$D$7:$D$8,12)&gt;0,SUMIFS('[Import Stunden.xlsx]Import Stunden'!$I$7:$I$8,'[Import Stunden.xlsx]Import Stunden'!$C$7:$C$8,'[Steuerung.xlsx]Steuerung'!$F$6,'[Import Stunden.xlsx]Import Stunden'!$D$7:$D$8,12),IF(COUNTIFS('[D KLR.xlsx]D KLR'!$A$1142:$A$1146,C18)=0,"",SUMIFS('[D KLR.xlsx]D KLR'!$F$1142:$F$1146,'[D KLR.xlsx]D KLR'!$A$1142:$A$1146,C18)))</f>
        <v/>
      </c>
      <c r="I18" s="6">
        <f>IF(COUNTIFS('[Import Stunden.xlsx]Import Stunden'!$C$7:$C$8,'[Steuerung.xlsx]Steuerung'!$F$6,'[Import Stunden.xlsx]Import Stunden'!$D$7:$D$8,12)&gt;0,SUMIFS('[Import Stunden.xlsx]Import Stunden'!$J$7:$J$8,'[Import Stunden.xlsx]Import Stunden'!$C$7:$C$8,'[Steuerung.xlsx]Steuerung'!$F$6,'[Import Stunden.xlsx]Import Stunden'!$D$7:$D$8,12),IF(COUNTIFS('[D KLR.xlsx]D KLR'!$A$1142:$A$1146,C18)=0,"",SUMIFS('[D KLR.xlsx]D KLR'!$G$1142:$G$1146,'[D KLR.xlsx]D KLR'!$A$1142:$A$1146,C18)))</f>
        <v/>
      </c>
      <c r="J18" s="7">
        <f>IF(ISNUMBER(D18),IF(SUM(D18:E18)=0,"n.a.",D18/SUM(D18:E18)),"")</f>
        <v/>
      </c>
      <c r="K18" s="7">
        <f>IF(ISNUMBER(I18),IF(I18=0,"n.a.",D18/I18),"")</f>
        <v/>
      </c>
      <c r="L18" s="1">
        <f>IF(COUNTIFS('[D KLR.xlsx]D KLR'!$A$1142:$A$1146,C18)=0,"",SUMIFS('[D KLR.xlsx]D KLR'!$M$1142:$M$1146,'[D KLR.xlsx]D KLR'!$A$1142:$A$1146,C18))</f>
        <v/>
      </c>
      <c r="M18" s="6">
        <f>IF(ISNUMBER(I18),I18-SUM(D18:H18),"")</f>
        <v/>
      </c>
      <c r="N18" s="1" t="n"/>
      <c r="O18" s="1" t="n"/>
    </row>
    <row r="19">
      <c r="A19" s="1" t="n"/>
      <c r="B19" s="1" t="n"/>
      <c r="C19" s="1" t="n"/>
      <c r="D19" s="6" t="n"/>
      <c r="E19" s="6" t="n"/>
      <c r="F19" s="6" t="n"/>
      <c r="G19" s="6" t="n"/>
      <c r="H19" s="6" t="n"/>
      <c r="I19" s="6" t="n"/>
      <c r="J19" s="7" t="n"/>
      <c r="K19" s="7" t="n"/>
      <c r="L19" s="1" t="n"/>
      <c r="M19" s="6" t="n"/>
      <c r="N19" s="1" t="n"/>
      <c r="O19" s="1" t="n"/>
    </row>
    <row r="20" ht="25" customHeight="1">
      <c r="A20" s="1" t="n"/>
      <c r="B20" s="1" t="n"/>
      <c r="C20" s="8" t="inlineStr">
        <is>
          <t>Verfügbare Monate</t>
        </is>
      </c>
      <c r="D20" s="9">
        <f>SUM(D7:D18)</f>
        <v/>
      </c>
      <c r="E20" s="9">
        <f>SUM(E7:E18)</f>
        <v/>
      </c>
      <c r="F20" s="9">
        <f>SUM(F7:F18)</f>
        <v/>
      </c>
      <c r="G20" s="9">
        <f>SUM(G7:G18)</f>
        <v/>
      </c>
      <c r="H20" s="9">
        <f>SUM(H7:H18)</f>
        <v/>
      </c>
      <c r="I20" s="9">
        <f>SUM(I7:I18)</f>
        <v/>
      </c>
      <c r="J20" s="10">
        <f>D20/SUM(D20:E20)</f>
        <v/>
      </c>
      <c r="K20" s="10">
        <f>D20/I20</f>
        <v/>
      </c>
      <c r="L20" s="8" t="n"/>
      <c r="M20" s="6">
        <f>SUM(M7:M18)</f>
        <v/>
      </c>
      <c r="N20" s="1" t="n"/>
      <c r="O20" s="1" t="n"/>
    </row>
    <row r="21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</row>
    <row r="22">
      <c r="A22" s="1" t="n"/>
      <c r="B22" s="1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</row>
    <row r="23">
      <c r="A23" s="1" t="n"/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</row>
    <row r="24">
      <c r="A24" s="1" t="n"/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</row>
    <row r="25">
      <c r="A25" s="1" t="n"/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</row>
    <row r="26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</row>
    <row r="27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</row>
    <row r="28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</row>
    <row r="29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</row>
    <row r="31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</row>
    <row r="33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</row>
    <row r="34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</row>
    <row r="44" ht="26" customHeight="1">
      <c r="A44" s="1" t="n"/>
      <c r="B44" s="1" t="n"/>
      <c r="C44" s="11" t="inlineStr">
        <is>
          <t>Jahresübersicht bis September 2026 – Originalstand</t>
        </is>
      </c>
      <c r="M44" s="1" t="n"/>
      <c r="N44" s="1" t="n"/>
      <c r="O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</row>
    <row r="46" ht="34" customHeight="1">
      <c r="A46" s="1" t="n"/>
      <c r="B46" s="1" t="n"/>
      <c r="C46" s="5" t="inlineStr">
        <is>
          <t>Stundenart</t>
        </is>
      </c>
      <c r="D46" s="5" t="inlineStr">
        <is>
          <t>Stunden</t>
        </is>
      </c>
      <c r="E46" s="5" t="inlineStr">
        <is>
          <t>Anteil</t>
        </is>
      </c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</row>
    <row r="47">
      <c r="A47" s="1" t="n"/>
      <c r="B47" s="1" t="n"/>
      <c r="C47" s="1" t="inlineStr">
        <is>
          <t>produktiv</t>
        </is>
      </c>
      <c r="D47" s="6">
        <f>'[D KLR.xlsx]D KLR'!B74</f>
        <v/>
      </c>
      <c r="E47" s="7">
        <f>D47/$D$53</f>
        <v/>
      </c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</row>
    <row r="48">
      <c r="A48" s="1" t="n"/>
      <c r="B48" s="1" t="n"/>
      <c r="C48" s="1" t="inlineStr">
        <is>
          <t>unproduktiv</t>
        </is>
      </c>
      <c r="D48" s="6">
        <f>'[D KLR.xlsx]D KLR'!C74</f>
        <v/>
      </c>
      <c r="E48" s="7">
        <f>D48/$D$53</f>
        <v/>
      </c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</row>
    <row r="49">
      <c r="A49" s="1" t="n"/>
      <c r="B49" s="1" t="n"/>
      <c r="C49" s="1" t="inlineStr">
        <is>
          <t>urlaub</t>
        </is>
      </c>
      <c r="D49" s="6">
        <f>'[D KLR.xlsx]D KLR'!D74</f>
        <v/>
      </c>
      <c r="E49" s="7">
        <f>D49/$D$53</f>
        <v/>
      </c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</row>
    <row r="50">
      <c r="A50" s="1" t="n"/>
      <c r="B50" s="1" t="n"/>
      <c r="C50" s="1" t="inlineStr">
        <is>
          <t>krankheit</t>
        </is>
      </c>
      <c r="D50" s="6">
        <f>'[D KLR.xlsx]D KLR'!E74</f>
        <v/>
      </c>
      <c r="E50" s="7">
        <f>D50/$D$53</f>
        <v/>
      </c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</row>
    <row r="51">
      <c r="A51" s="1" t="n"/>
      <c r="B51" s="1" t="n"/>
      <c r="C51" s="1" t="inlineStr">
        <is>
          <t>feiertag</t>
        </is>
      </c>
      <c r="D51" s="6">
        <f>'[D KLR.xlsx]D KLR'!F74</f>
        <v/>
      </c>
      <c r="E51" s="7">
        <f>D51/$D$53</f>
        <v/>
      </c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</row>
    <row r="52">
      <c r="A52" s="1" t="n"/>
      <c r="B52" s="1" t="n"/>
      <c r="C52" s="1" t="inlineStr">
        <is>
          <t>Nicht aufgegliedert</t>
        </is>
      </c>
      <c r="D52" s="6">
        <f>D53-SUM(D47:D51)</f>
        <v/>
      </c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</row>
    <row r="53" ht="25" customHeight="1">
      <c r="A53" s="1" t="n"/>
      <c r="B53" s="1" t="n"/>
      <c r="C53" s="8" t="inlineStr">
        <is>
          <t>Gesamt</t>
        </is>
      </c>
      <c r="D53" s="9">
        <f>'[D KLR.xlsx]D KLR'!G74</f>
        <v/>
      </c>
      <c r="E53" s="8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</row>
    <row r="63">
      <c r="C63" t="inlineStr">
        <is>
          <t>SharePoint-Verknüpfungen (Dateien im selben Ordner)</t>
        </is>
      </c>
    </row>
    <row r="64">
      <c r="C64" t="inlineStr">
        <is>
          <t>Diese Datei</t>
        </is>
      </c>
      <c r="D64" t="inlineStr">
        <is>
          <t>Stunden.xlsx</t>
        </is>
      </c>
    </row>
    <row r="65">
      <c r="C65" t="inlineStr">
        <is>
          <t>Liest aus</t>
        </is>
      </c>
      <c r="D65" t="inlineStr">
        <is>
          <t>D KLR.xlsx</t>
        </is>
      </c>
      <c r="E65" t="inlineStr">
        <is>
          <t>D KLR</t>
        </is>
      </c>
    </row>
    <row r="66">
      <c r="C66" t="inlineStr">
        <is>
          <t>Liest aus</t>
        </is>
      </c>
      <c r="D66" t="inlineStr">
        <is>
          <t>Import Stunden.xlsx</t>
        </is>
      </c>
      <c r="E66" t="inlineStr">
        <is>
          <t>Import Stunden</t>
        </is>
      </c>
    </row>
    <row r="67">
      <c r="C67" t="inlineStr">
        <is>
          <t>Liest aus</t>
        </is>
      </c>
      <c r="D67" t="inlineStr">
        <is>
          <t>Steuerung.xlsx</t>
        </is>
      </c>
      <c r="E67" t="inlineStr">
        <is>
          <t>Steuerung</t>
        </is>
      </c>
    </row>
  </sheetData>
  <mergeCells count="3">
    <mergeCell ref="C3:O3"/>
    <mergeCell ref="C2:O2"/>
    <mergeCell ref="C44:L4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2026-10-12T08:21:52Z</dcterms:created>
  <dcterms:modified xsi:type="dcterms:W3CDTF">2026-10-12T08:21:52Z</dcterms:modified>
</cp:coreProperties>
</file>