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an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#,##0.00;[Red]\(#,##0.00\);&quot;–&quot;"/>
  </numFmts>
  <fonts count="8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  <font>
      <name val="Carlito"/>
      <b val="1"/>
      <color rgb="FF1E293B"/>
      <sz val="11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EFF6FF"/>
      </patternFill>
    </fill>
    <fill>
      <patternFill patternType="solid">
        <fgColor rgb="FFF0F4F8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center"/>
    </xf>
    <xf numFmtId="0" fontId="6" fillId="3" borderId="2" applyAlignment="1" pivotButton="0" quotePrefix="0" xfId="0">
      <alignment vertical="center"/>
    </xf>
    <xf numFmtId="164" fontId="6" fillId="3" borderId="2" applyAlignment="1" pivotButton="0" quotePrefix="0" xfId="0">
      <alignment horizontal="right" vertical="center"/>
    </xf>
    <xf numFmtId="0" fontId="7" fillId="4" borderId="0" pivotButton="0" quotePrefix="0" xfId="0"/>
    <xf numFmtId="16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87" displayName="TVF_87" ref="C7:F28" headerRowCount="1">
  <tableColumns count="4">
    <tableColumn id="1" name="Seite"/>
    <tableColumn id="2" name="SAP-Position"/>
    <tableColumn id="3" name="Bezeichnung"/>
    <tableColumn id="4" name="Betrag E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  <col width="65" customWidth="1" min="5" max="5"/>
    <col width="15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0" customHeight="1">
      <c r="A2" s="1" t="n"/>
      <c r="B2" s="1" t="n"/>
      <c r="C2" s="2" t="inlineStr">
        <is>
          <t>Bilanz zum 31.07.2026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 ht="32" customHeight="1">
      <c r="A3" s="1" t="n"/>
      <c r="B3" s="1" t="n"/>
      <c r="C3" s="4" t="inlineStr">
        <is>
          <t>HGB-Gliederung aus dem SAP-Export. Einzelkonten und Summenzeilen bleiben getrennt. Laufende Bestände stehen in D Finanzen.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36" customHeight="1">
      <c r="A7" s="1" t="n"/>
      <c r="B7" s="1" t="n"/>
      <c r="C7" s="5" t="inlineStr">
        <is>
          <t>Seite</t>
        </is>
      </c>
      <c r="D7" s="5" t="inlineStr">
        <is>
          <t>SAP-Position</t>
        </is>
      </c>
      <c r="E7" s="5" t="inlineStr">
        <is>
          <t>Bezeichnung</t>
        </is>
      </c>
      <c r="F7" s="5" t="inlineStr">
        <is>
          <t>Betrag EUR</t>
        </is>
      </c>
      <c r="G7" s="1" t="n"/>
      <c r="H7" s="1" t="n"/>
      <c r="I7" s="1" t="n"/>
      <c r="J7" s="1" t="n"/>
      <c r="K7" s="1" t="n"/>
      <c r="L7" s="1" t="n"/>
      <c r="M7" s="1" t="n"/>
    </row>
    <row r="8" ht="21" customHeight="1">
      <c r="A8" s="1" t="n"/>
      <c r="B8" s="1" t="n"/>
      <c r="C8" s="1" t="inlineStr">
        <is>
          <t>Aktiva</t>
        </is>
      </c>
      <c r="D8" s="1" t="inlineStr">
        <is>
          <t>0010320200</t>
        </is>
      </c>
      <c r="E8" s="1" t="inlineStr">
        <is>
          <t>Summe Technische Anlagen und Maschinen</t>
        </is>
      </c>
      <c r="F8" s="6">
        <f>'[D Finanzen.xlsx]D Finanzen'!D636</f>
        <v/>
      </c>
      <c r="G8" s="1" t="n"/>
      <c r="H8" s="1" t="n"/>
      <c r="I8" s="1" t="inlineStr">
        <is>
          <t>Aktiva</t>
        </is>
      </c>
      <c r="J8" s="1" t="n"/>
      <c r="K8" s="7">
        <f>SUM('[D Finanzen.xlsx]D Finanzen'!D633,'[D Finanzen.xlsx]D Finanzen'!D634,'[D Finanzen.xlsx]D Finanzen'!D635,'[D Finanzen.xlsx]D Finanzen'!D640,'[D Finanzen.xlsx]D Finanzen'!D641,'[D Finanzen.xlsx]D Finanzen'!D642,'[D Finanzen.xlsx]D Finanzen'!D643,'[D Finanzen.xlsx]D Finanzen'!D645,'[D Finanzen.xlsx]D Finanzen'!D647,'[D Finanzen.xlsx]D Finanzen'!D648,'[D Finanzen.xlsx]D Finanzen'!D649,'[D Finanzen.xlsx]D Finanzen'!D650,'[D Finanzen.xlsx]D Finanzen'!D651,'[D Finanzen.xlsx]D Finanzen'!D652,'[D Finanzen.xlsx]D Finanzen'!D653,'[D Finanzen.xlsx]D Finanzen'!D661,'[D Finanzen.xlsx]D Finanzen'!D663,'[D Finanzen.xlsx]D Finanzen'!D665,'[D Finanzen.xlsx]D Finanzen'!D670,'[D Finanzen.xlsx]D Finanzen'!D671,'[D Finanzen.xlsx]D Finanzen'!D673,'[D Finanzen.xlsx]D Finanzen'!D675,'[D Finanzen.xlsx]D Finanzen'!D676,'[D Finanzen.xlsx]D Finanzen'!D680,'[D Finanzen.xlsx]D Finanzen'!D681,'[D Finanzen.xlsx]D Finanzen'!D682,'[D Finanzen.xlsx]D Finanzen'!D687,'[D Finanzen.xlsx]D Finanzen'!D688,'[D Finanzen.xlsx]D Finanzen'!D689,'[D Finanzen.xlsx]D Finanzen'!D690,'[D Finanzen.xlsx]D Finanzen'!D691,'[D Finanzen.xlsx]D Finanzen'!D692,'[D Finanzen.xlsx]D Finanzen'!D695,'[D Finanzen.xlsx]D Finanzen'!D696,'[D Finanzen.xlsx]D Finanzen'!D697,'[D Finanzen.xlsx]D Finanzen'!D698,'[D Finanzen.xlsx]D Finanzen'!D699,'[D Finanzen.xlsx]D Finanzen'!D700,'[D Finanzen.xlsx]D Finanzen'!D701,'[D Finanzen.xlsx]D Finanzen'!D702,'[D Finanzen.xlsx]D Finanzen'!D704,'[D Finanzen.xlsx]D Finanzen'!D705,'[D Finanzen.xlsx]D Finanzen'!D711,'[D Finanzen.xlsx]D Finanzen'!D712,'[D Finanzen.xlsx]D Finanzen'!D713,'[D Finanzen.xlsx]D Finanzen'!D714,'[D Finanzen.xlsx]D Finanzen'!D719,'[D Finanzen.xlsx]D Finanzen'!D720,'[D Finanzen.xlsx]D Finanzen'!D721)</f>
        <v/>
      </c>
      <c r="L8" s="1" t="n"/>
      <c r="M8" s="1" t="n"/>
    </row>
    <row r="9" ht="21" customHeight="1">
      <c r="A9" s="1" t="n"/>
      <c r="B9" s="1" t="n"/>
      <c r="C9" s="1" t="inlineStr">
        <is>
          <t>Aktiva</t>
        </is>
      </c>
      <c r="D9" s="1" t="inlineStr">
        <is>
          <t>0010320300</t>
        </is>
      </c>
      <c r="E9" s="1" t="inlineStr">
        <is>
          <t>Summe Andere Anlagen, Betriebs- und</t>
        </is>
      </c>
      <c r="F9" s="6">
        <f>'[D Finanzen.xlsx]D Finanzen'!D654</f>
        <v/>
      </c>
      <c r="G9" s="1" t="n"/>
      <c r="H9" s="1" t="n"/>
      <c r="I9" s="1" t="n"/>
      <c r="J9" s="1" t="n"/>
      <c r="K9" s="7" t="n"/>
      <c r="L9" s="1" t="n"/>
      <c r="M9" s="1" t="n"/>
    </row>
    <row r="10" ht="21" customHeight="1">
      <c r="A10" s="1" t="n"/>
      <c r="B10" s="1" t="n"/>
      <c r="C10" s="1" t="inlineStr">
        <is>
          <t>Aktiva</t>
        </is>
      </c>
      <c r="D10" s="1" t="inlineStr">
        <is>
          <t>0010320000</t>
        </is>
      </c>
      <c r="E10" s="1" t="inlineStr">
        <is>
          <t>Summe Sachanlagen</t>
        </is>
      </c>
      <c r="F10" s="6">
        <f>'[D Finanzen.xlsx]D Finanzen'!D656</f>
        <v/>
      </c>
      <c r="G10" s="1" t="n"/>
      <c r="H10" s="1" t="n"/>
      <c r="I10" s="1" t="inlineStr">
        <is>
          <t>Passiva</t>
        </is>
      </c>
      <c r="J10" s="1" t="n"/>
      <c r="K10" s="7">
        <f>-SUM('[D Finanzen.xlsx]D Finanzen'!D727,'[D Finanzen.xlsx]D Finanzen'!D729,'[D Finanzen.xlsx]D Finanzen'!D732,'[D Finanzen.xlsx]D Finanzen'!D733,'[D Finanzen.xlsx]D Finanzen'!D736,'[D Finanzen.xlsx]D Finanzen'!D738,'[D Finanzen.xlsx]D Finanzen'!D739,'[D Finanzen.xlsx]D Finanzen'!D740,'[D Finanzen.xlsx]D Finanzen'!D741,'[D Finanzen.xlsx]D Finanzen'!D742,'[D Finanzen.xlsx]D Finanzen'!D743,'[D Finanzen.xlsx]D Finanzen'!D745,'[D Finanzen.xlsx]D Finanzen'!D746,'[D Finanzen.xlsx]D Finanzen'!D747,'[D Finanzen.xlsx]D Finanzen'!D752,'[D Finanzen.xlsx]D Finanzen'!D753,'[D Finanzen.xlsx]D Finanzen'!D754,'[D Finanzen.xlsx]D Finanzen'!D758,'[D Finanzen.xlsx]D Finanzen'!D759,'[D Finanzen.xlsx]D Finanzen'!D761,'[D Finanzen.xlsx]D Finanzen'!D763,'[D Finanzen.xlsx]D Finanzen'!D764,'[D Finanzen.xlsx]D Finanzen'!D765,'[D Finanzen.xlsx]D Finanzen'!D770,'[D Finanzen.xlsx]D Finanzen'!D771,'[D Finanzen.xlsx]D Finanzen'!D772,'[D Finanzen.xlsx]D Finanzen'!D773,'[D Finanzen.xlsx]D Finanzen'!D774,'[D Finanzen.xlsx]D Finanzen'!D775,'[D Finanzen.xlsx]D Finanzen'!D776,'[D Finanzen.xlsx]D Finanzen'!D777,'[D Finanzen.xlsx]D Finanzen'!D778,'[D Finanzen.xlsx]D Finanzen'!D781,'[D Finanzen.xlsx]D Finanzen'!D783,'[D Finanzen.xlsx]D Finanzen'!D784,'[D Finanzen.xlsx]D Finanzen'!D785,'[D Finanzen.xlsx]D Finanzen'!D786,'[D Finanzen.xlsx]D Finanzen'!D787,'[D Finanzen.xlsx]D Finanzen'!D788,'[D Finanzen.xlsx]D Finanzen'!D793,'[D Finanzen.xlsx]D Finanzen'!D794,'[D Finanzen.xlsx]D Finanzen'!D795,'[D Finanzen.xlsx]D Finanzen'!D796)</f>
        <v/>
      </c>
      <c r="L10" s="1" t="n"/>
      <c r="M10" s="1" t="n"/>
    </row>
    <row r="11" ht="25" customHeight="1">
      <c r="A11" s="1" t="n"/>
      <c r="B11" s="1" t="n"/>
      <c r="C11" s="8" t="inlineStr">
        <is>
          <t>Aktiva</t>
        </is>
      </c>
      <c r="D11" s="8" t="inlineStr">
        <is>
          <t>0010300000</t>
        </is>
      </c>
      <c r="E11" s="8" t="inlineStr">
        <is>
          <t>Summe Anlagevermoegen</t>
        </is>
      </c>
      <c r="F11" s="9">
        <f>'[D Finanzen.xlsx]D Finanzen'!D657</f>
        <v/>
      </c>
      <c r="G11" s="1" t="n"/>
      <c r="H11" s="1" t="n"/>
      <c r="I11" s="1" t="n"/>
      <c r="J11" s="1" t="n"/>
      <c r="K11" s="7" t="n"/>
      <c r="L11" s="1" t="n"/>
      <c r="M11" s="1" t="n"/>
    </row>
    <row r="12" ht="21" customHeight="1">
      <c r="A12" s="1" t="n"/>
      <c r="B12" s="1" t="n"/>
      <c r="C12" s="1" t="inlineStr">
        <is>
          <t>Aktiva</t>
        </is>
      </c>
      <c r="D12" s="1" t="inlineStr">
        <is>
          <t>0010410000</t>
        </is>
      </c>
      <c r="E12" s="1" t="inlineStr">
        <is>
          <t>Summe Vorraete</t>
        </is>
      </c>
      <c r="F12" s="6">
        <f>'[D Finanzen.xlsx]D Finanzen'!D666</f>
        <v/>
      </c>
      <c r="G12" s="1" t="n"/>
      <c r="H12" s="1" t="n"/>
      <c r="I12" s="1" t="inlineStr">
        <is>
          <t>Differenz</t>
        </is>
      </c>
      <c r="J12" s="1" t="n"/>
      <c r="K12" s="7">
        <f>ROUND(K8-K10,2)</f>
        <v/>
      </c>
      <c r="L12" s="1" t="n"/>
      <c r="M12" s="1" t="n"/>
    </row>
    <row r="13" ht="21" customHeight="1">
      <c r="A13" s="1" t="n"/>
      <c r="B13" s="1" t="n"/>
      <c r="C13" s="1" t="inlineStr">
        <is>
          <t>Aktiva</t>
        </is>
      </c>
      <c r="D13" s="1" t="inlineStr">
        <is>
          <t>0010420100</t>
        </is>
      </c>
      <c r="E13" s="1" t="inlineStr">
        <is>
          <t>Summe Ford. L+L</t>
        </is>
      </c>
      <c r="F13" s="6">
        <f>'[D Finanzen.xlsx]D Finanzen'!D677</f>
        <v/>
      </c>
      <c r="G13" s="1" t="n"/>
      <c r="H13" s="1" t="n"/>
      <c r="I13" s="1" t="n"/>
      <c r="J13" s="1" t="n"/>
      <c r="K13" s="1" t="n"/>
      <c r="L13" s="1" t="n"/>
      <c r="M13" s="1" t="n"/>
    </row>
    <row r="14" ht="21" customHeight="1">
      <c r="A14" s="1" t="n"/>
      <c r="B14" s="1" t="n"/>
      <c r="C14" s="1" t="inlineStr">
        <is>
          <t>Aktiva</t>
        </is>
      </c>
      <c r="D14" s="1" t="inlineStr">
        <is>
          <t>0010420200</t>
        </is>
      </c>
      <c r="E14" s="1" t="inlineStr">
        <is>
          <t>Summe Ford. verbund.</t>
        </is>
      </c>
      <c r="F14" s="6">
        <f>'[D Finanzen.xlsx]D Finanzen'!D683</f>
        <v/>
      </c>
      <c r="G14" s="1" t="n"/>
      <c r="H14" s="1" t="n"/>
      <c r="I14" s="1" t="n"/>
      <c r="J14" s="1" t="n"/>
      <c r="K14" s="1" t="n"/>
      <c r="L14" s="1" t="n"/>
      <c r="M14" s="1" t="n"/>
    </row>
    <row r="15" ht="21" customHeight="1">
      <c r="A15" s="1" t="n"/>
      <c r="B15" s="1" t="n"/>
      <c r="C15" s="1" t="inlineStr">
        <is>
          <t>Aktiva</t>
        </is>
      </c>
      <c r="D15" s="1" t="inlineStr">
        <is>
          <t>0010421000</t>
        </is>
      </c>
      <c r="E15" s="1" t="inlineStr">
        <is>
          <t>Summe Sonst. VermögensG.</t>
        </is>
      </c>
      <c r="F15" s="6">
        <f>'[D Finanzen.xlsx]D Finanzen'!D706</f>
        <v/>
      </c>
      <c r="G15" s="1" t="n"/>
      <c r="H15" s="1" t="n"/>
      <c r="I15" s="1" t="n"/>
      <c r="J15" s="1" t="n"/>
      <c r="K15" s="1" t="n"/>
      <c r="L15" s="1" t="n"/>
      <c r="M15" s="1" t="n"/>
    </row>
    <row r="16" ht="21" customHeight="1">
      <c r="A16" s="1" t="n"/>
      <c r="B16" s="1" t="n"/>
      <c r="C16" s="1" t="inlineStr">
        <is>
          <t>Aktiva</t>
        </is>
      </c>
      <c r="D16" s="1" t="inlineStr">
        <is>
          <t>0010420000</t>
        </is>
      </c>
      <c r="E16" s="1" t="inlineStr">
        <is>
          <t>Summe Ford. / Sonst. VgG</t>
        </is>
      </c>
      <c r="F16" s="6">
        <f>'[D Finanzen.xlsx]D Finanzen'!D707</f>
        <v/>
      </c>
      <c r="G16" s="1" t="n"/>
      <c r="H16" s="1" t="n"/>
      <c r="I16" s="1" t="n"/>
      <c r="J16" s="1" t="n"/>
      <c r="K16" s="1" t="n"/>
      <c r="L16" s="1" t="n"/>
      <c r="M16" s="1" t="n"/>
    </row>
    <row r="17" ht="21" customHeight="1">
      <c r="A17" s="1" t="n"/>
      <c r="B17" s="1" t="n"/>
      <c r="C17" s="1" t="inlineStr">
        <is>
          <t>Aktiva</t>
        </is>
      </c>
      <c r="D17" s="1" t="inlineStr">
        <is>
          <t>0010440000</t>
        </is>
      </c>
      <c r="E17" s="1" t="inlineStr">
        <is>
          <t>Summe Schecks, Kassenbestand, Bankguthaben</t>
        </is>
      </c>
      <c r="F17" s="6">
        <f>'[D Finanzen.xlsx]D Finanzen'!D715</f>
        <v/>
      </c>
      <c r="G17" s="1" t="n"/>
      <c r="H17" s="1" t="n"/>
      <c r="I17" s="1" t="n"/>
      <c r="J17" s="1" t="n"/>
      <c r="K17" s="1" t="n"/>
      <c r="L17" s="1" t="n"/>
      <c r="M17" s="1" t="n"/>
    </row>
    <row r="18" ht="25" customHeight="1">
      <c r="A18" s="1" t="n"/>
      <c r="B18" s="1" t="n"/>
      <c r="C18" s="8" t="inlineStr">
        <is>
          <t>Aktiva</t>
        </is>
      </c>
      <c r="D18" s="8" t="inlineStr">
        <is>
          <t>0010400000</t>
        </is>
      </c>
      <c r="E18" s="8" t="inlineStr">
        <is>
          <t>Summe Umlaufvermoegen</t>
        </is>
      </c>
      <c r="F18" s="9">
        <f>'[D Finanzen.xlsx]D Finanzen'!D716</f>
        <v/>
      </c>
      <c r="G18" s="1" t="n"/>
      <c r="H18" s="1" t="n"/>
      <c r="I18" s="1" t="n"/>
      <c r="J18" s="1" t="n"/>
      <c r="K18" s="1" t="n"/>
      <c r="L18" s="1" t="n"/>
      <c r="M18" s="1" t="n"/>
    </row>
    <row r="19" ht="25" customHeight="1">
      <c r="A19" s="1" t="n"/>
      <c r="B19" s="1" t="n"/>
      <c r="C19" s="8" t="inlineStr">
        <is>
          <t>Aktiva</t>
        </is>
      </c>
      <c r="D19" s="8" t="inlineStr">
        <is>
          <t>0010600000</t>
        </is>
      </c>
      <c r="E19" s="8" t="inlineStr">
        <is>
          <t>Summe ARAP</t>
        </is>
      </c>
      <c r="F19" s="9">
        <f>'[D Finanzen.xlsx]D Finanzen'!D722</f>
        <v/>
      </c>
      <c r="G19" s="1" t="n"/>
      <c r="H19" s="1" t="n"/>
      <c r="I19" s="1" t="n"/>
      <c r="J19" s="1" t="n"/>
      <c r="K19" s="1" t="n"/>
      <c r="L19" s="1" t="n"/>
      <c r="M19" s="1" t="n"/>
    </row>
    <row r="20" ht="25" customHeight="1">
      <c r="A20" s="1" t="n"/>
      <c r="B20" s="1" t="n"/>
      <c r="C20" s="8" t="inlineStr">
        <is>
          <t>Aktiva</t>
        </is>
      </c>
      <c r="D20" s="8" t="inlineStr">
        <is>
          <t>0010000000</t>
        </is>
      </c>
      <c r="E20" s="8" t="inlineStr">
        <is>
          <t>Summe      A K T I V A</t>
        </is>
      </c>
      <c r="F20" s="9">
        <f>'[D Finanzen.xlsx]D Finanzen'!D723</f>
        <v/>
      </c>
      <c r="G20" s="1" t="n"/>
      <c r="H20" s="1" t="n"/>
      <c r="I20" s="1" t="n"/>
      <c r="J20" s="1" t="n"/>
      <c r="K20" s="1" t="n"/>
      <c r="L20" s="1" t="n"/>
      <c r="M20" s="1" t="n"/>
    </row>
    <row r="21" ht="25" customHeight="1">
      <c r="A21" s="1" t="n"/>
      <c r="B21" s="1" t="n"/>
      <c r="C21" s="8" t="inlineStr">
        <is>
          <t>Passiva</t>
        </is>
      </c>
      <c r="D21" s="8" t="inlineStr">
        <is>
          <t>0020100000</t>
        </is>
      </c>
      <c r="E21" s="8" t="inlineStr">
        <is>
          <t>Summe Eigenkapital</t>
        </is>
      </c>
      <c r="F21" s="9">
        <f>-'[D Finanzen.xlsx]D Finanzen'!D734</f>
        <v/>
      </c>
      <c r="G21" s="1" t="n"/>
      <c r="H21" s="1" t="n"/>
      <c r="I21" s="1" t="n"/>
      <c r="J21" s="1" t="n"/>
      <c r="K21" s="1" t="n"/>
      <c r="L21" s="1" t="n"/>
      <c r="M21" s="1" t="n"/>
    </row>
    <row r="22" ht="25" customHeight="1">
      <c r="A22" s="1" t="n"/>
      <c r="B22" s="1" t="n"/>
      <c r="C22" s="8" t="inlineStr">
        <is>
          <t>Passiva</t>
        </is>
      </c>
      <c r="D22" s="8" t="inlineStr">
        <is>
          <t>0020300000</t>
        </is>
      </c>
      <c r="E22" s="8" t="inlineStr">
        <is>
          <t>Summe Rueckstellungen</t>
        </is>
      </c>
      <c r="F22" s="9">
        <f>-'[D Finanzen.xlsx]D Finanzen'!D748</f>
        <v/>
      </c>
      <c r="G22" s="1" t="n"/>
      <c r="H22" s="1" t="n"/>
      <c r="I22" s="1" t="n"/>
      <c r="J22" s="1" t="n"/>
      <c r="K22" s="1" t="n"/>
      <c r="L22" s="1" t="n"/>
      <c r="M22" s="1" t="n"/>
    </row>
    <row r="23" ht="21" customHeight="1">
      <c r="A23" s="1" t="n"/>
      <c r="B23" s="1" t="n"/>
      <c r="C23" s="1" t="inlineStr">
        <is>
          <t>Passiva</t>
        </is>
      </c>
      <c r="D23" s="1" t="inlineStr">
        <is>
          <t>0020440000</t>
        </is>
      </c>
      <c r="E23" s="1" t="inlineStr">
        <is>
          <t>Summe Verbindlk. L+L</t>
        </is>
      </c>
      <c r="F23" s="6">
        <f>-'[D Finanzen.xlsx]D Finanzen'!D755</f>
        <v/>
      </c>
      <c r="G23" s="1" t="n"/>
      <c r="H23" s="1" t="n"/>
      <c r="I23" s="1" t="n"/>
      <c r="J23" s="1" t="n"/>
      <c r="K23" s="1" t="n"/>
      <c r="L23" s="1" t="n"/>
      <c r="M23" s="1" t="n"/>
    </row>
    <row r="24" ht="21" customHeight="1">
      <c r="A24" s="1" t="n"/>
      <c r="B24" s="1" t="n"/>
      <c r="C24" s="1" t="inlineStr">
        <is>
          <t>Passiva</t>
        </is>
      </c>
      <c r="D24" s="1" t="inlineStr">
        <is>
          <t>0020460000</t>
        </is>
      </c>
      <c r="E24" s="1" t="inlineStr">
        <is>
          <t>Summe Verblk. verbund.</t>
        </is>
      </c>
      <c r="F24" s="6">
        <f>-'[D Finanzen.xlsx]D Finanzen'!D766</f>
        <v/>
      </c>
      <c r="G24" s="1" t="n"/>
      <c r="H24" s="1" t="n"/>
      <c r="I24" s="1" t="n"/>
      <c r="J24" s="1" t="n"/>
      <c r="K24" s="1" t="n"/>
      <c r="L24" s="1" t="n"/>
      <c r="M24" s="1" t="n"/>
    </row>
    <row r="25" ht="21" customHeight="1">
      <c r="A25" s="1" t="n"/>
      <c r="B25" s="1" t="n"/>
      <c r="C25" s="1" t="inlineStr">
        <is>
          <t>Passiva</t>
        </is>
      </c>
      <c r="D25" s="1" t="inlineStr">
        <is>
          <t>0020491000</t>
        </is>
      </c>
      <c r="E25" s="1" t="inlineStr">
        <is>
          <t>Summe And. Sonst. Verbindlk.</t>
        </is>
      </c>
      <c r="F25" s="6">
        <f>-'[D Finanzen.xlsx]D Finanzen'!D789</f>
        <v/>
      </c>
      <c r="G25" s="1" t="n"/>
      <c r="H25" s="1" t="n"/>
      <c r="I25" s="1" t="n"/>
      <c r="J25" s="1" t="n"/>
      <c r="K25" s="1" t="n"/>
      <c r="L25" s="1" t="n"/>
      <c r="M25" s="1" t="n"/>
    </row>
    <row r="26" ht="21" customHeight="1">
      <c r="A26" s="1" t="n"/>
      <c r="B26" s="1" t="n"/>
      <c r="C26" s="1" t="inlineStr">
        <is>
          <t>Passiva</t>
        </is>
      </c>
      <c r="D26" s="1" t="inlineStr">
        <is>
          <t>0020490000</t>
        </is>
      </c>
      <c r="E26" s="1" t="inlineStr">
        <is>
          <t>Summe Sonst. Verbindlichkeiten</t>
        </is>
      </c>
      <c r="F26" s="6">
        <f>-'[D Finanzen.xlsx]D Finanzen'!D790</f>
        <v/>
      </c>
      <c r="G26" s="1" t="n"/>
      <c r="H26" s="1" t="n"/>
      <c r="I26" s="1" t="n"/>
      <c r="J26" s="1" t="n"/>
      <c r="K26" s="1" t="n"/>
      <c r="L26" s="1" t="n"/>
      <c r="M26" s="1" t="n"/>
    </row>
    <row r="27" ht="25" customHeight="1">
      <c r="A27" s="1" t="n"/>
      <c r="B27" s="1" t="n"/>
      <c r="C27" s="8" t="inlineStr">
        <is>
          <t>Passiva</t>
        </is>
      </c>
      <c r="D27" s="8" t="inlineStr">
        <is>
          <t>0020400000</t>
        </is>
      </c>
      <c r="E27" s="8" t="inlineStr">
        <is>
          <t>Summe Verbindlichkeiten</t>
        </is>
      </c>
      <c r="F27" s="9">
        <f>-'[D Finanzen.xlsx]D Finanzen'!D791</f>
        <v/>
      </c>
      <c r="G27" s="1" t="n"/>
      <c r="H27" s="1" t="n"/>
      <c r="I27" s="1" t="n"/>
      <c r="J27" s="1" t="n"/>
      <c r="K27" s="1" t="n"/>
      <c r="L27" s="1" t="n"/>
      <c r="M27" s="1" t="n"/>
    </row>
    <row r="28" ht="25" customHeight="1">
      <c r="A28" s="1" t="n"/>
      <c r="B28" s="1" t="n"/>
      <c r="C28" s="8" t="inlineStr">
        <is>
          <t>Passiva</t>
        </is>
      </c>
      <c r="D28" s="8" t="inlineStr">
        <is>
          <t>0020000000</t>
        </is>
      </c>
      <c r="E28" s="8" t="inlineStr">
        <is>
          <t>Summe      P A S S I V A</t>
        </is>
      </c>
      <c r="F28" s="9">
        <f>-'[D Finanzen.xlsx]D Finanzen'!D797</f>
        <v/>
      </c>
      <c r="G28" s="1" t="n"/>
      <c r="H28" s="1" t="n"/>
      <c r="I28" s="1" t="n"/>
      <c r="J28" s="1" t="n"/>
      <c r="K28" s="1" t="n"/>
      <c r="L28" s="1" t="n"/>
      <c r="M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/>
    <row r="62"/>
    <row r="63"/>
    <row r="64"/>
    <row r="65"/>
    <row r="66"/>
    <row r="67"/>
    <row r="68"/>
    <row r="69"/>
    <row r="70" ht="26" customHeight="1">
      <c r="C70" s="10" t="inlineStr">
        <is>
          <t>Strukturbilanz für Kennzahlen</t>
        </is>
      </c>
    </row>
    <row r="71" ht="34" customHeight="1">
      <c r="C71" s="5" t="inlineStr">
        <is>
          <t>Position</t>
        </is>
      </c>
      <c r="D71" s="5" t="inlineStr">
        <is>
          <t>EUR</t>
        </is>
      </c>
    </row>
    <row r="72">
      <c r="C72" t="inlineStr">
        <is>
          <t>Anlagevermögen</t>
        </is>
      </c>
      <c r="D72" s="11">
        <f>SUM('[D Finanzen.xlsx]D Finanzen'!D633,'[D Finanzen.xlsx]D Finanzen'!D634,'[D Finanzen.xlsx]D Finanzen'!D635,'[D Finanzen.xlsx]D Finanzen'!D640,'[D Finanzen.xlsx]D Finanzen'!D641,'[D Finanzen.xlsx]D Finanzen'!D642,'[D Finanzen.xlsx]D Finanzen'!D643,'[D Finanzen.xlsx]D Finanzen'!D645,'[D Finanzen.xlsx]D Finanzen'!D647,'[D Finanzen.xlsx]D Finanzen'!D648,'[D Finanzen.xlsx]D Finanzen'!D649,'[D Finanzen.xlsx]D Finanzen'!D650,'[D Finanzen.xlsx]D Finanzen'!D651,'[D Finanzen.xlsx]D Finanzen'!D652,'[D Finanzen.xlsx]D Finanzen'!D653)</f>
        <v/>
      </c>
    </row>
    <row r="73">
      <c r="C73" t="inlineStr">
        <is>
          <t>Umlaufvermögen inkl. ARAP</t>
        </is>
      </c>
      <c r="D73" s="11">
        <f>SUM('[D Finanzen.xlsx]D Finanzen'!D661,'[D Finanzen.xlsx]D Finanzen'!D663,'[D Finanzen.xlsx]D Finanzen'!D665,'[D Finanzen.xlsx]D Finanzen'!D670,'[D Finanzen.xlsx]D Finanzen'!D671,'[D Finanzen.xlsx]D Finanzen'!D673,'[D Finanzen.xlsx]D Finanzen'!D675,'[D Finanzen.xlsx]D Finanzen'!D676,'[D Finanzen.xlsx]D Finanzen'!D680,'[D Finanzen.xlsx]D Finanzen'!D681,'[D Finanzen.xlsx]D Finanzen'!D682,'[D Finanzen.xlsx]D Finanzen'!D687,'[D Finanzen.xlsx]D Finanzen'!D688,'[D Finanzen.xlsx]D Finanzen'!D689,'[D Finanzen.xlsx]D Finanzen'!D690,'[D Finanzen.xlsx]D Finanzen'!D691,'[D Finanzen.xlsx]D Finanzen'!D692,'[D Finanzen.xlsx]D Finanzen'!D695,'[D Finanzen.xlsx]D Finanzen'!D696,'[D Finanzen.xlsx]D Finanzen'!D697,'[D Finanzen.xlsx]D Finanzen'!D698,'[D Finanzen.xlsx]D Finanzen'!D699,'[D Finanzen.xlsx]D Finanzen'!D700,'[D Finanzen.xlsx]D Finanzen'!D701,'[D Finanzen.xlsx]D Finanzen'!D702,'[D Finanzen.xlsx]D Finanzen'!D704,'[D Finanzen.xlsx]D Finanzen'!D705,'[D Finanzen.xlsx]D Finanzen'!D711,'[D Finanzen.xlsx]D Finanzen'!D712,'[D Finanzen.xlsx]D Finanzen'!D713,'[D Finanzen.xlsx]D Finanzen'!D714)+SUM('[D Finanzen.xlsx]D Finanzen'!D719,'[D Finanzen.xlsx]D Finanzen'!D720,'[D Finanzen.xlsx]D Finanzen'!D721)</f>
        <v/>
      </c>
    </row>
    <row r="74">
      <c r="C74" t="inlineStr">
        <is>
          <t>Forderungen</t>
        </is>
      </c>
      <c r="D74" s="11">
        <f>SUM('[D Finanzen.xlsx]D Finanzen'!D670,'[D Finanzen.xlsx]D Finanzen'!D671,'[D Finanzen.xlsx]D Finanzen'!D673,'[D Finanzen.xlsx]D Finanzen'!D675,'[D Finanzen.xlsx]D Finanzen'!D676,'[D Finanzen.xlsx]D Finanzen'!D680,'[D Finanzen.xlsx]D Finanzen'!D681,'[D Finanzen.xlsx]D Finanzen'!D682)</f>
        <v/>
      </c>
    </row>
    <row r="75">
      <c r="C75" t="inlineStr">
        <is>
          <t>Liquide Mittel</t>
        </is>
      </c>
      <c r="D75" s="11">
        <f>SUM('[D Finanzen.xlsx]D Finanzen'!D711,'[D Finanzen.xlsx]D Finanzen'!D712,'[D Finanzen.xlsx]D Finanzen'!D713,'[D Finanzen.xlsx]D Finanzen'!D714)</f>
        <v/>
      </c>
    </row>
    <row r="76">
      <c r="C76" t="inlineStr">
        <is>
          <t>Vorräte netto</t>
        </is>
      </c>
      <c r="D76" s="11">
        <f>SUM('[D Finanzen.xlsx]D Finanzen'!D661,'[D Finanzen.xlsx]D Finanzen'!D663,'[D Finanzen.xlsx]D Finanzen'!D665)</f>
        <v/>
      </c>
    </row>
    <row r="77">
      <c r="C77" t="inlineStr">
        <is>
          <t>Eigenkapital</t>
        </is>
      </c>
      <c r="D77" s="11">
        <f>-SUM('[D Finanzen.xlsx]D Finanzen'!D727,'[D Finanzen.xlsx]D Finanzen'!D729,'[D Finanzen.xlsx]D Finanzen'!D732,'[D Finanzen.xlsx]D Finanzen'!D733)</f>
        <v/>
      </c>
    </row>
    <row r="78">
      <c r="C78" t="inlineStr">
        <is>
          <t>Fremdkapital</t>
        </is>
      </c>
      <c r="D78" s="11">
        <f>-SUM('[D Finanzen.xlsx]D Finanzen'!D736,'[D Finanzen.xlsx]D Finanzen'!D738,'[D Finanzen.xlsx]D Finanzen'!D739,'[D Finanzen.xlsx]D Finanzen'!D740,'[D Finanzen.xlsx]D Finanzen'!D741,'[D Finanzen.xlsx]D Finanzen'!D742,'[D Finanzen.xlsx]D Finanzen'!D743,'[D Finanzen.xlsx]D Finanzen'!D745,'[D Finanzen.xlsx]D Finanzen'!D746,'[D Finanzen.xlsx]D Finanzen'!D747)+-SUM('[D Finanzen.xlsx]D Finanzen'!D752,'[D Finanzen.xlsx]D Finanzen'!D753,'[D Finanzen.xlsx]D Finanzen'!D754,'[D Finanzen.xlsx]D Finanzen'!D758,'[D Finanzen.xlsx]D Finanzen'!D759,'[D Finanzen.xlsx]D Finanzen'!D761,'[D Finanzen.xlsx]D Finanzen'!D763,'[D Finanzen.xlsx]D Finanzen'!D764,'[D Finanzen.xlsx]D Finanzen'!D765,'[D Finanzen.xlsx]D Finanzen'!D770,'[D Finanzen.xlsx]D Finanzen'!D771,'[D Finanzen.xlsx]D Finanzen'!D772,'[D Finanzen.xlsx]D Finanzen'!D773,'[D Finanzen.xlsx]D Finanzen'!D774,'[D Finanzen.xlsx]D Finanzen'!D775,'[D Finanzen.xlsx]D Finanzen'!D776,'[D Finanzen.xlsx]D Finanzen'!D777,'[D Finanzen.xlsx]D Finanzen'!D778,'[D Finanzen.xlsx]D Finanzen'!D781,'[D Finanzen.xlsx]D Finanzen'!D783,'[D Finanzen.xlsx]D Finanzen'!D784,'[D Finanzen.xlsx]D Finanzen'!D785,'[D Finanzen.xlsx]D Finanzen'!D786,'[D Finanzen.xlsx]D Finanzen'!D787,'[D Finanzen.xlsx]D Finanzen'!D788)+-SUM('[D Finanzen.xlsx]D Finanzen'!D793,'[D Finanzen.xlsx]D Finanzen'!D794,'[D Finanzen.xlsx]D Finanzen'!D795,'[D Finanzen.xlsx]D Finanzen'!D796)</f>
        <v/>
      </c>
    </row>
    <row r="79">
      <c r="C79" t="inlineStr">
        <is>
          <t>Kurzfristiges FK lt. Original</t>
        </is>
      </c>
      <c r="D79" s="11">
        <f>D78</f>
        <v/>
      </c>
    </row>
    <row r="80">
      <c r="C80" t="inlineStr">
        <is>
          <t>Langfristiges FK lt. Original</t>
        </is>
      </c>
      <c r="D80" s="11">
        <f>0</f>
        <v/>
      </c>
    </row>
    <row r="81">
      <c r="C81" t="inlineStr">
        <is>
          <t>Verbindlichkeiten L+L</t>
        </is>
      </c>
      <c r="D81" s="11">
        <f>-SUM('[D Finanzen.xlsx]D Finanzen'!D752,'[D Finanzen.xlsx]D Finanzen'!D753,'[D Finanzen.xlsx]D Finanzen'!D754)</f>
        <v/>
      </c>
    </row>
    <row r="82">
      <c r="C82" t="inlineStr">
        <is>
          <t>Rückstellungen</t>
        </is>
      </c>
      <c r="D82" s="11">
        <f>-SUM('[D Finanzen.xlsx]D Finanzen'!D736,'[D Finanzen.xlsx]D Finanzen'!D738,'[D Finanzen.xlsx]D Finanzen'!D739,'[D Finanzen.xlsx]D Finanzen'!D740,'[D Finanzen.xlsx]D Finanzen'!D741,'[D Finanzen.xlsx]D Finanzen'!D742,'[D Finanzen.xlsx]D Finanzen'!D743,'[D Finanzen.xlsx]D Finanzen'!D745,'[D Finanzen.xlsx]D Finanzen'!D746,'[D Finanzen.xlsx]D Finanzen'!D747)</f>
        <v/>
      </c>
    </row>
    <row r="83">
      <c r="C83" t="inlineStr">
        <is>
          <t>Bilanzsumme</t>
        </is>
      </c>
      <c r="D83" s="11">
        <f>SUM('[D Finanzen.xlsx]D Finanzen'!D633,'[D Finanzen.xlsx]D Finanzen'!D634,'[D Finanzen.xlsx]D Finanzen'!D635,'[D Finanzen.xlsx]D Finanzen'!D640,'[D Finanzen.xlsx]D Finanzen'!D641,'[D Finanzen.xlsx]D Finanzen'!D642,'[D Finanzen.xlsx]D Finanzen'!D643,'[D Finanzen.xlsx]D Finanzen'!D645,'[D Finanzen.xlsx]D Finanzen'!D647,'[D Finanzen.xlsx]D Finanzen'!D648,'[D Finanzen.xlsx]D Finanzen'!D649,'[D Finanzen.xlsx]D Finanzen'!D650,'[D Finanzen.xlsx]D Finanzen'!D651,'[D Finanzen.xlsx]D Finanzen'!D652,'[D Finanzen.xlsx]D Finanzen'!D653,'[D Finanzen.xlsx]D Finanzen'!D661,'[D Finanzen.xlsx]D Finanzen'!D663,'[D Finanzen.xlsx]D Finanzen'!D665,'[D Finanzen.xlsx]D Finanzen'!D670,'[D Finanzen.xlsx]D Finanzen'!D671,'[D Finanzen.xlsx]D Finanzen'!D673,'[D Finanzen.xlsx]D Finanzen'!D675,'[D Finanzen.xlsx]D Finanzen'!D676,'[D Finanzen.xlsx]D Finanzen'!D680,'[D Finanzen.xlsx]D Finanzen'!D681,'[D Finanzen.xlsx]D Finanzen'!D682,'[D Finanzen.xlsx]D Finanzen'!D687,'[D Finanzen.xlsx]D Finanzen'!D688,'[D Finanzen.xlsx]D Finanzen'!D689,'[D Finanzen.xlsx]D Finanzen'!D690,'[D Finanzen.xlsx]D Finanzen'!D691,'[D Finanzen.xlsx]D Finanzen'!D692,'[D Finanzen.xlsx]D Finanzen'!D695,'[D Finanzen.xlsx]D Finanzen'!D696,'[D Finanzen.xlsx]D Finanzen'!D697,'[D Finanzen.xlsx]D Finanzen'!D698,'[D Finanzen.xlsx]D Finanzen'!D699,'[D Finanzen.xlsx]D Finanzen'!D700,'[D Finanzen.xlsx]D Finanzen'!D701,'[D Finanzen.xlsx]D Finanzen'!D702,'[D Finanzen.xlsx]D Finanzen'!D704,'[D Finanzen.xlsx]D Finanzen'!D705,'[D Finanzen.xlsx]D Finanzen'!D711,'[D Finanzen.xlsx]D Finanzen'!D712,'[D Finanzen.xlsx]D Finanzen'!D713,'[D Finanzen.xlsx]D Finanzen'!D714,'[D Finanzen.xlsx]D Finanzen'!D719,'[D Finanzen.xlsx]D Finanzen'!D720,'[D Finanzen.xlsx]D Finanzen'!D721)</f>
        <v/>
      </c>
    </row>
    <row r="84"/>
    <row r="85"/>
    <row r="86">
      <c r="C86" s="12" t="inlineStr">
        <is>
          <t>Originalvereinfachung für Kennzahlen: gesamtes Fremdkapital als kurzfristig, langfristiges Fremdkapital mit null. Für eine Fristigkeitsanalyse sind zusätzliche Laufzeitangaben erforderlich.</t>
        </is>
      </c>
    </row>
    <row r="87"/>
    <row r="90">
      <c r="C90" t="inlineStr">
        <is>
          <t>SharePoint-Verknüpfungen (Dateien im selben Ordner)</t>
        </is>
      </c>
    </row>
    <row r="91">
      <c r="C91" t="inlineStr">
        <is>
          <t>Diese Datei</t>
        </is>
      </c>
      <c r="D91" t="inlineStr">
        <is>
          <t>Bilanz.xlsx</t>
        </is>
      </c>
    </row>
    <row r="92">
      <c r="C92" t="inlineStr">
        <is>
          <t>Liest aus</t>
        </is>
      </c>
      <c r="D92" t="inlineStr">
        <is>
          <t>D Finanzen.xlsx</t>
        </is>
      </c>
      <c r="E92" t="inlineStr">
        <is>
          <t>D Finanzen</t>
        </is>
      </c>
    </row>
  </sheetData>
  <mergeCells count="4">
    <mergeCell ref="C86:M87"/>
    <mergeCell ref="C2:M2"/>
    <mergeCell ref="C70:M70"/>
    <mergeCell ref="C3:M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2026-10-12T08:21:55Z</dcterms:created>
  <dcterms:modified xsi:type="dcterms:W3CDTF">2026-10-12T08:21:56Z</dcterms:modified>
</cp:coreProperties>
</file>