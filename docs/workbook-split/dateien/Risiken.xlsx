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[Red]\(0.0%\);&quot;–&quot;"/>
    <numFmt numFmtId="165" formatCode="#,##0.00;[Red]\(#,##0.00\);&quot;–&quot;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color rgb="FF2563EB"/>
      <sz val="10"/>
    </font>
  </fonts>
  <fills count="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6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164" fontId="6" fillId="3" borderId="0" applyAlignment="1" pivotButton="0" quotePrefix="0" xfId="0">
      <alignment horizontal="right"/>
    </xf>
    <xf numFmtId="165" fontId="6" fillId="3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88" displayName="TVF_88" ref="C6:P2271" headerRowCount="1">
  <tableColumns count="14">
    <tableColumn id="1" name="Risiko-ID"/>
    <tableColumn id="2" name="Projekt"/>
    <tableColumn id="3" name="Bezeichnung"/>
    <tableColumn id="4" name="Kategorie"/>
    <tableColumn id="5" name="Wahrscheinlichkeit"/>
    <tableColumn id="6" name="Minimum EUR"/>
    <tableColumn id="7" name="Wahrscheinlich EUR"/>
    <tableColumn id="8" name="Maximum EUR"/>
    <tableColumn id="9" name="Brutto berechnet"/>
    <tableColumn id="10" name="Zielminderung Bestand"/>
    <tableColumn id="11" name="Neue Maßnahmen"/>
    <tableColumn id="12" name="Netto EUR"/>
    <tableColumn id="13" name="Brutto Quelle"/>
    <tableColumn id="14" name="Δ Que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7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27" customWidth="1" min="3" max="3"/>
    <col width="15" customWidth="1" min="4" max="4"/>
    <col width="52" customWidth="1" min="5" max="5"/>
    <col width="20" customWidth="1" min="6" max="6"/>
    <col width="15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30" customHeight="1">
      <c r="A2" s="1" t="n"/>
      <c r="B2" s="1" t="n"/>
      <c r="C2" s="2" t="inlineStr">
        <is>
          <t>Risikoregister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 ht="32" customHeight="1">
      <c r="A3" s="1" t="n"/>
      <c r="B3" s="1" t="n"/>
      <c r="C3" s="4" t="inlineStr">
        <is>
          <t>Alle exportierten Risiken. Erwartungswert nach PERT: Wahrscheinlichkeit × (Minimum + 4 × wahrscheinlich + Maximum) / 6.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 ht="36" customHeight="1">
      <c r="A6" s="1" t="n"/>
      <c r="B6" s="1" t="n"/>
      <c r="C6" s="5" t="inlineStr">
        <is>
          <t>Risiko-ID</t>
        </is>
      </c>
      <c r="D6" s="5" t="inlineStr">
        <is>
          <t>Projekt</t>
        </is>
      </c>
      <c r="E6" s="5" t="inlineStr">
        <is>
          <t>Bezeichnung</t>
        </is>
      </c>
      <c r="F6" s="5" t="inlineStr">
        <is>
          <t>Kategorie</t>
        </is>
      </c>
      <c r="G6" s="5" t="inlineStr">
        <is>
          <t>Wahrscheinlichkeit</t>
        </is>
      </c>
      <c r="H6" s="5" t="inlineStr">
        <is>
          <t>Minimum EUR</t>
        </is>
      </c>
      <c r="I6" s="5" t="inlineStr">
        <is>
          <t>Wahrscheinlich EUR</t>
        </is>
      </c>
      <c r="J6" s="5" t="inlineStr">
        <is>
          <t>Maximum EUR</t>
        </is>
      </c>
      <c r="K6" s="5" t="inlineStr">
        <is>
          <t>Brutto berechnet</t>
        </is>
      </c>
      <c r="L6" s="5" t="inlineStr">
        <is>
          <t>Zielminderung Bestand</t>
        </is>
      </c>
      <c r="M6" s="5" t="inlineStr">
        <is>
          <t>Neue Maßnahmen</t>
        </is>
      </c>
      <c r="N6" s="5" t="inlineStr">
        <is>
          <t>Netto EUR</t>
        </is>
      </c>
      <c r="O6" s="5" t="inlineStr">
        <is>
          <t>Brutto Quelle</t>
        </is>
      </c>
      <c r="P6" s="5" t="inlineStr">
        <is>
          <t>Δ Quelle</t>
        </is>
      </c>
      <c r="Q6" s="1" t="n"/>
      <c r="R6" s="1" t="n"/>
    </row>
    <row r="7" ht="32" customHeight="1">
      <c r="A7" s="1" t="n"/>
      <c r="B7" s="1" t="n"/>
      <c r="C7" s="1" t="inlineStr">
        <is>
          <t>PRJ-4f8db9fc-RK-11</t>
        </is>
      </c>
      <c r="D7" s="1" t="inlineStr">
        <is>
          <t>P4102309045</t>
        </is>
      </c>
      <c r="E7" s="6" t="inlineStr">
        <is>
          <t>Witterung / Ablaufstörung</t>
        </is>
      </c>
      <c r="F7" s="1" t="inlineStr">
        <is>
          <t>Termin</t>
        </is>
      </c>
      <c r="G7" s="7" t="n">
        <v>0.15</v>
      </c>
      <c r="H7" s="8" t="n">
        <v>541</v>
      </c>
      <c r="I7" s="8" t="n">
        <v>1622</v>
      </c>
      <c r="J7" s="8" t="n">
        <v>3244</v>
      </c>
      <c r="K7" s="9">
        <f>IF(OR(COUNT(G7:J7)&lt;&gt;4,G7&lt;0,G7&gt;1,H7&gt;I7,I7&gt;J7),"n.a.",ROUND(G7*(H7+4*I7+J7)/6+0.00000001,2))</f>
        <v/>
      </c>
      <c r="L7" s="8" t="n">
        <v>0</v>
      </c>
      <c r="M7" s="9">
        <f>SUMIFS(Maßnahmen!$I$7:$I$126,Maßnahmen!$D$7:$D$126,C7,Maßnahmen!$H$7:$H$126,"&lt;&gt;verworfen")</f>
        <v/>
      </c>
      <c r="N7" s="9">
        <f>IF(ISNUMBER(K7),MAX(0,K7-L7-M7),"n.a.")</f>
        <v/>
      </c>
      <c r="O7" s="9" t="n">
        <v>256.83</v>
      </c>
      <c r="P7" s="9">
        <f>IF(ISNUMBER(K7),K7-O7,"n.a.")</f>
        <v/>
      </c>
      <c r="Q7" s="1" t="n"/>
      <c r="R7" s="1" t="n"/>
    </row>
    <row r="8" ht="32" customHeight="1">
      <c r="A8" s="1" t="n"/>
      <c r="B8" s="1" t="n"/>
      <c r="C8" s="1" t="inlineStr">
        <is>
          <t>PRJ-54a39201-RK-01</t>
        </is>
      </c>
      <c r="D8" s="1" t="inlineStr">
        <is>
          <t>000001</t>
        </is>
      </c>
      <c r="E8" s="6" t="inlineStr">
        <is>
          <t>Schadstofffund / Schadstoffsanierung (Asbest, PAK, PCB, PCP)</t>
        </is>
      </c>
      <c r="F8" s="1" t="inlineStr">
        <is>
          <t>Schadstoffe</t>
        </is>
      </c>
      <c r="G8" s="7" t="n">
        <v>0.1</v>
      </c>
      <c r="H8" s="8" t="n">
        <v>20</v>
      </c>
      <c r="I8" s="8" t="n">
        <v>50</v>
      </c>
      <c r="J8" s="8" t="n">
        <v>100</v>
      </c>
      <c r="K8" s="9">
        <f>IF(OR(COUNT(G8:J8)&lt;&gt;4,G8&lt;0,G8&gt;1,H8&gt;I8,I8&gt;J8),"n.a.",ROUND(G8*(H8+4*I8+J8)/6+0.00000001,2))</f>
        <v/>
      </c>
      <c r="L8" s="8" t="n">
        <v>0</v>
      </c>
      <c r="M8" s="9">
        <f>SUMIFS(Maßnahmen!$I$7:$I$126,Maßnahmen!$D$7:$D$126,C8,Maßnahmen!$H$7:$H$126,"&lt;&gt;verworfen")</f>
        <v/>
      </c>
      <c r="N8" s="9">
        <f>IF(ISNUMBER(K8),MAX(0,K8-L8-M8),"n.a.")</f>
        <v/>
      </c>
      <c r="O8" s="9" t="n">
        <v>5.33</v>
      </c>
      <c r="P8" s="9">
        <f>IF(ISNUMBER(K8),K8-O8,"n.a.")</f>
        <v/>
      </c>
      <c r="Q8" s="1" t="n"/>
      <c r="R8" s="1" t="n"/>
    </row>
    <row r="9" ht="32" customHeight="1">
      <c r="A9" s="1" t="n"/>
      <c r="B9" s="1" t="n"/>
      <c r="C9" s="1" t="inlineStr">
        <is>
          <t>PRJ-54a39201-RK-02</t>
        </is>
      </c>
      <c r="D9" s="1" t="inlineStr">
        <is>
          <t>000001</t>
        </is>
      </c>
      <c r="E9" s="6" t="inlineStr">
        <is>
          <t>Arbeitsschutz kontaminierte Bereiche (TRGS 524)</t>
        </is>
      </c>
      <c r="F9" s="1" t="inlineStr">
        <is>
          <t>Schadstoffe</t>
        </is>
      </c>
      <c r="G9" s="7" t="n">
        <v>0.47</v>
      </c>
      <c r="H9" s="8" t="n">
        <v>20</v>
      </c>
      <c r="I9" s="8" t="n">
        <v>50</v>
      </c>
      <c r="J9" s="8" t="n">
        <v>100</v>
      </c>
      <c r="K9" s="9">
        <f>IF(OR(COUNT(G9:J9)&lt;&gt;4,G9&lt;0,G9&gt;1,H9&gt;I9,I9&gt;J9),"n.a.",ROUND(G9*(H9+4*I9+J9)/6+0.00000001,2))</f>
        <v/>
      </c>
      <c r="L9" s="8" t="n">
        <v>0</v>
      </c>
      <c r="M9" s="9">
        <f>SUMIFS(Maßnahmen!$I$7:$I$126,Maßnahmen!$D$7:$D$126,C9,Maßnahmen!$H$7:$H$126,"&lt;&gt;verworfen")</f>
        <v/>
      </c>
      <c r="N9" s="9">
        <f>IF(ISNUMBER(K9),MAX(0,K9-L9-M9),"n.a.")</f>
        <v/>
      </c>
      <c r="O9" s="9" t="n">
        <v>25.07</v>
      </c>
      <c r="P9" s="9">
        <f>IF(ISNUMBER(K9),K9-O9,"n.a.")</f>
        <v/>
      </c>
      <c r="Q9" s="1" t="n"/>
      <c r="R9" s="1" t="n"/>
    </row>
    <row r="10" ht="32" customHeight="1">
      <c r="A10" s="1" t="n"/>
      <c r="B10" s="1" t="n"/>
      <c r="C10" s="1" t="inlineStr">
        <is>
          <t>PRJ-54a39201-RK-03</t>
        </is>
      </c>
      <c r="D10" s="1" t="inlineStr">
        <is>
          <t>000001</t>
        </is>
      </c>
      <c r="E10" s="6" t="inlineStr">
        <is>
          <t>Entsorgungs-Mehrkosten / Entsorgungswege</t>
        </is>
      </c>
      <c r="F10" s="1" t="inlineStr">
        <is>
          <t>Entsorgung</t>
        </is>
      </c>
      <c r="G10" s="7" t="n">
        <v>0.27</v>
      </c>
      <c r="H10" s="8" t="n">
        <v>20</v>
      </c>
      <c r="I10" s="8" t="n">
        <v>50</v>
      </c>
      <c r="J10" s="8" t="n">
        <v>100</v>
      </c>
      <c r="K10" s="9">
        <f>IF(OR(COUNT(G10:J10)&lt;&gt;4,G10&lt;0,G10&gt;1,H10&gt;I10,I10&gt;J10),"n.a.",ROUND(G10*(H10+4*I10+J10)/6+0.00000001,2))</f>
        <v/>
      </c>
      <c r="L10" s="8" t="n">
        <v>0</v>
      </c>
      <c r="M10" s="9">
        <f>SUMIFS(Maßnahmen!$I$7:$I$126,Maßnahmen!$D$7:$D$126,C10,Maßnahmen!$H$7:$H$126,"&lt;&gt;verworfen")</f>
        <v/>
      </c>
      <c r="N10" s="9">
        <f>IF(ISNUMBER(K10),MAX(0,K10-L10-M10),"n.a.")</f>
        <v/>
      </c>
      <c r="O10" s="9" t="n">
        <v>14.4</v>
      </c>
      <c r="P10" s="9">
        <f>IF(ISNUMBER(K10),K10-O10,"n.a.")</f>
        <v/>
      </c>
      <c r="Q10" s="1" t="n"/>
      <c r="R10" s="1" t="n"/>
    </row>
    <row r="11" ht="32" customHeight="1">
      <c r="A11" s="1" t="n"/>
      <c r="B11" s="1" t="n"/>
      <c r="C11" s="1" t="inlineStr">
        <is>
          <t>PRJ-54a39201-RK-04</t>
        </is>
      </c>
      <c r="D11" s="1" t="inlineStr">
        <is>
          <t>000001</t>
        </is>
      </c>
      <c r="E11" s="6" t="inlineStr">
        <is>
          <t>Baustofftrennung / Aufbereitung nicht wie geplant</t>
        </is>
      </c>
      <c r="F11" s="1" t="inlineStr">
        <is>
          <t>Entsorgung</t>
        </is>
      </c>
      <c r="G11" s="7" t="n">
        <v>0.1</v>
      </c>
      <c r="H11" s="8" t="n">
        <v>20</v>
      </c>
      <c r="I11" s="8" t="n">
        <v>50</v>
      </c>
      <c r="J11" s="8" t="n">
        <v>100</v>
      </c>
      <c r="K11" s="9">
        <f>IF(OR(COUNT(G11:J11)&lt;&gt;4,G11&lt;0,G11&gt;1,H11&gt;I11,I11&gt;J11),"n.a.",ROUND(G11*(H11+4*I11+J11)/6+0.00000001,2))</f>
        <v/>
      </c>
      <c r="L11" s="8" t="n">
        <v>0</v>
      </c>
      <c r="M11" s="9">
        <f>SUMIFS(Maßnahmen!$I$7:$I$126,Maßnahmen!$D$7:$D$126,C11,Maßnahmen!$H$7:$H$126,"&lt;&gt;verworfen")</f>
        <v/>
      </c>
      <c r="N11" s="9">
        <f>IF(ISNUMBER(K11),MAX(0,K11-L11-M11),"n.a.")</f>
        <v/>
      </c>
      <c r="O11" s="9" t="n">
        <v>5.33</v>
      </c>
      <c r="P11" s="9">
        <f>IF(ISNUMBER(K11),K11-O11,"n.a.")</f>
        <v/>
      </c>
      <c r="Q11" s="1" t="n"/>
      <c r="R11" s="1" t="n"/>
    </row>
    <row r="12" ht="32" customHeight="1">
      <c r="A12" s="1" t="n"/>
      <c r="B12" s="1" t="n"/>
      <c r="C12" s="1" t="inlineStr">
        <is>
          <t>PRJ-54a39201-RK-05</t>
        </is>
      </c>
      <c r="D12" s="1" t="inlineStr">
        <is>
          <t>000001</t>
        </is>
      </c>
      <c r="E12" s="6" t="inlineStr">
        <is>
          <t>Unbekannte Bauwerkskonstruktion / fehlende Pläne</t>
        </is>
      </c>
      <c r="F12" s="1" t="inlineStr">
        <is>
          <t>Statik</t>
        </is>
      </c>
      <c r="G12" s="7" t="n">
        <v>0.12</v>
      </c>
      <c r="H12" s="8" t="n">
        <v>40</v>
      </c>
      <c r="I12" s="8" t="n">
        <v>80</v>
      </c>
      <c r="J12" s="8" t="n">
        <v>150</v>
      </c>
      <c r="K12" s="9">
        <f>IF(OR(COUNT(G12:J12)&lt;&gt;4,G12&lt;0,G12&gt;1,H12&gt;I12,I12&gt;J12),"n.a.",ROUND(G12*(H12+4*I12+J12)/6+0.00000001,2))</f>
        <v/>
      </c>
      <c r="L12" s="8" t="n">
        <v>0</v>
      </c>
      <c r="M12" s="9">
        <f>SUMIFS(Maßnahmen!$I$7:$I$126,Maßnahmen!$D$7:$D$126,C12,Maßnahmen!$H$7:$H$126,"&lt;&gt;verworfen")</f>
        <v/>
      </c>
      <c r="N12" s="9">
        <f>IF(ISNUMBER(K12),MAX(0,K12-L12-M12),"n.a.")</f>
        <v/>
      </c>
      <c r="O12" s="9" t="n">
        <v>10.2</v>
      </c>
      <c r="P12" s="9">
        <f>IF(ISNUMBER(K12),K12-O12,"n.a.")</f>
        <v/>
      </c>
      <c r="Q12" s="1" t="n"/>
      <c r="R12" s="1" t="n"/>
    </row>
    <row r="13" ht="32" customHeight="1">
      <c r="A13" s="1" t="n"/>
      <c r="B13" s="1" t="n"/>
      <c r="C13" s="1" t="inlineStr">
        <is>
          <t>PRJ-54a39201-RK-06</t>
        </is>
      </c>
      <c r="D13" s="1" t="inlineStr">
        <is>
          <t>000001</t>
        </is>
      </c>
      <c r="E13" s="6" t="inlineStr">
        <is>
          <t>Statik / Einsturzsicherung während Abbruch</t>
        </is>
      </c>
      <c r="F13" s="1" t="inlineStr">
        <is>
          <t>Statik</t>
        </is>
      </c>
      <c r="G13" s="7" t="n">
        <v>0.24</v>
      </c>
      <c r="H13" s="8" t="n">
        <v>30</v>
      </c>
      <c r="I13" s="8" t="n">
        <v>70</v>
      </c>
      <c r="J13" s="8" t="n">
        <v>140</v>
      </c>
      <c r="K13" s="9">
        <f>IF(OR(COUNT(G13:J13)&lt;&gt;4,G13&lt;0,G13&gt;1,H13&gt;I13,I13&gt;J13),"n.a.",ROUND(G13*(H13+4*I13+J13)/6+0.00000001,2))</f>
        <v/>
      </c>
      <c r="L13" s="8" t="n">
        <v>0</v>
      </c>
      <c r="M13" s="9">
        <f>SUMIFS(Maßnahmen!$I$7:$I$126,Maßnahmen!$D$7:$D$126,C13,Maßnahmen!$H$7:$H$126,"&lt;&gt;verworfen")</f>
        <v/>
      </c>
      <c r="N13" s="9">
        <f>IF(ISNUMBER(K13),MAX(0,K13-L13-M13),"n.a.")</f>
        <v/>
      </c>
      <c r="O13" s="9" t="n">
        <v>18</v>
      </c>
      <c r="P13" s="9">
        <f>IF(ISNUMBER(K13),K13-O13,"n.a.")</f>
        <v/>
      </c>
      <c r="Q13" s="1" t="n"/>
      <c r="R13" s="1" t="n"/>
    </row>
    <row r="14" ht="32" customHeight="1">
      <c r="A14" s="1" t="n"/>
      <c r="B14" s="1" t="n"/>
      <c r="C14" s="1" t="inlineStr">
        <is>
          <t>PRJ-54a39201-RK-07</t>
        </is>
      </c>
      <c r="D14" s="1" t="inlineStr">
        <is>
          <t>000001</t>
        </is>
      </c>
      <c r="E14" s="6" t="inlineStr">
        <is>
          <t>Unterirdische Tragkonstruktion / Fundamente</t>
        </is>
      </c>
      <c r="F14" s="1" t="inlineStr">
        <is>
          <t>Statik</t>
        </is>
      </c>
      <c r="G14" s="7" t="n">
        <v>0.4</v>
      </c>
      <c r="H14" s="8" t="n">
        <v>5</v>
      </c>
      <c r="I14" s="8" t="n">
        <v>20</v>
      </c>
      <c r="J14" s="8" t="n">
        <v>50</v>
      </c>
      <c r="K14" s="9">
        <f>IF(OR(COUNT(G14:J14)&lt;&gt;4,G14&lt;0,G14&gt;1,H14&gt;I14,I14&gt;J14),"n.a.",ROUND(G14*(H14+4*I14+J14)/6+0.00000001,2))</f>
        <v/>
      </c>
      <c r="L14" s="8" t="n">
        <v>0</v>
      </c>
      <c r="M14" s="9">
        <f>SUMIFS(Maßnahmen!$I$7:$I$126,Maßnahmen!$D$7:$D$126,C14,Maßnahmen!$H$7:$H$126,"&lt;&gt;verworfen")</f>
        <v/>
      </c>
      <c r="N14" s="9">
        <f>IF(ISNUMBER(K14),MAX(0,K14-L14-M14),"n.a.")</f>
        <v/>
      </c>
      <c r="O14" s="9" t="n">
        <v>9</v>
      </c>
      <c r="P14" s="9">
        <f>IF(ISNUMBER(K14),K14-O14,"n.a.")</f>
        <v/>
      </c>
      <c r="Q14" s="1" t="n"/>
      <c r="R14" s="1" t="n"/>
    </row>
    <row r="15" ht="32" customHeight="1">
      <c r="A15" s="1" t="n"/>
      <c r="B15" s="1" t="n"/>
      <c r="C15" s="1" t="inlineStr">
        <is>
          <t>PRJ-54a39201-RK-08</t>
        </is>
      </c>
      <c r="D15" s="1" t="inlineStr">
        <is>
          <t>000001</t>
        </is>
      </c>
      <c r="E15" s="6" t="inlineStr">
        <is>
          <t>Gebäudehöhe &gt;22 m / Longfront-Bagger (+130–150 %)</t>
        </is>
      </c>
      <c r="F15" s="1" t="inlineStr">
        <is>
          <t>Termin</t>
        </is>
      </c>
      <c r="G15" s="7" t="n">
        <v>0.6</v>
      </c>
      <c r="H15" s="8" t="n">
        <v>90</v>
      </c>
      <c r="I15" s="8" t="n">
        <v>180</v>
      </c>
      <c r="J15" s="8" t="n">
        <v>340</v>
      </c>
      <c r="K15" s="9">
        <f>IF(OR(COUNT(G15:J15)&lt;&gt;4,G15&lt;0,G15&gt;1,H15&gt;I15,I15&gt;J15),"n.a.",ROUND(G15*(H15+4*I15+J15)/6+0.00000001,2))</f>
        <v/>
      </c>
      <c r="L15" s="8" t="n">
        <v>0</v>
      </c>
      <c r="M15" s="9">
        <f>SUMIFS(Maßnahmen!$I$7:$I$126,Maßnahmen!$D$7:$D$126,C15,Maßnahmen!$H$7:$H$126,"&lt;&gt;verworfen")</f>
        <v/>
      </c>
      <c r="N15" s="9">
        <f>IF(ISNUMBER(K15),MAX(0,K15-L15-M15),"n.a.")</f>
        <v/>
      </c>
      <c r="O15" s="9" t="n">
        <v>115</v>
      </c>
      <c r="P15" s="9">
        <f>IF(ISNUMBER(K15),K15-O15,"n.a.")</f>
        <v/>
      </c>
      <c r="Q15" s="1" t="n"/>
      <c r="R15" s="1" t="n"/>
    </row>
    <row r="16" ht="32" customHeight="1">
      <c r="A16" s="1" t="n"/>
      <c r="B16" s="1" t="n"/>
      <c r="C16" s="1" t="inlineStr">
        <is>
          <t>PRJ-54a39201-RK-09</t>
        </is>
      </c>
      <c r="D16" s="1" t="inlineStr">
        <is>
          <t>000001</t>
        </is>
      </c>
      <c r="E16" s="6" t="inlineStr">
        <is>
          <t>Beennte Lage / nur Handabbruch möglich</t>
        </is>
      </c>
      <c r="F16" s="1" t="inlineStr">
        <is>
          <t>Termin</t>
        </is>
      </c>
      <c r="G16" s="7" t="n">
        <v>0.15</v>
      </c>
      <c r="H16" s="8" t="n">
        <v>8</v>
      </c>
      <c r="I16" s="8" t="n">
        <v>20</v>
      </c>
      <c r="J16" s="8" t="n">
        <v>50</v>
      </c>
      <c r="K16" s="9">
        <f>IF(OR(COUNT(G16:J16)&lt;&gt;4,G16&lt;0,G16&gt;1,H16&gt;I16,I16&gt;J16),"n.a.",ROUND(G16*(H16+4*I16+J16)/6+0.00000001,2))</f>
        <v/>
      </c>
      <c r="L16" s="8" t="n">
        <v>0</v>
      </c>
      <c r="M16" s="9">
        <f>SUMIFS(Maßnahmen!$I$7:$I$126,Maßnahmen!$D$7:$D$126,C16,Maßnahmen!$H$7:$H$126,"&lt;&gt;verworfen")</f>
        <v/>
      </c>
      <c r="N16" s="9">
        <f>IF(ISNUMBER(K16),MAX(0,K16-L16-M16),"n.a.")</f>
        <v/>
      </c>
      <c r="O16" s="9" t="n">
        <v>3.45</v>
      </c>
      <c r="P16" s="9">
        <f>IF(ISNUMBER(K16),K16-O16,"n.a.")</f>
        <v/>
      </c>
      <c r="Q16" s="1" t="n"/>
      <c r="R16" s="1" t="n"/>
    </row>
    <row r="17" ht="32" customHeight="1">
      <c r="A17" s="1" t="n"/>
      <c r="B17" s="1" t="n"/>
      <c r="C17" s="1" t="inlineStr">
        <is>
          <t>PRJ-54a39201-RK-10</t>
        </is>
      </c>
      <c r="D17" s="1" t="inlineStr">
        <is>
          <t>000001</t>
        </is>
      </c>
      <c r="E17" s="6" t="inlineStr">
        <is>
          <t>Terminvorgabe Auftraggeber / Geräteauslastung</t>
        </is>
      </c>
      <c r="F17" s="1" t="inlineStr">
        <is>
          <t>Termin</t>
        </is>
      </c>
      <c r="G17" s="7" t="n">
        <v>0.1</v>
      </c>
      <c r="H17" s="8" t="n">
        <v>8</v>
      </c>
      <c r="I17" s="8" t="n">
        <v>20</v>
      </c>
      <c r="J17" s="8" t="n">
        <v>50</v>
      </c>
      <c r="K17" s="9">
        <f>IF(OR(COUNT(G17:J17)&lt;&gt;4,G17&lt;0,G17&gt;1,H17&gt;I17,I17&gt;J17),"n.a.",ROUND(G17*(H17+4*I17+J17)/6+0.00000001,2))</f>
        <v/>
      </c>
      <c r="L17" s="8" t="n">
        <v>0</v>
      </c>
      <c r="M17" s="9">
        <f>SUMIFS(Maßnahmen!$I$7:$I$126,Maßnahmen!$D$7:$D$126,C17,Maßnahmen!$H$7:$H$126,"&lt;&gt;verworfen")</f>
        <v/>
      </c>
      <c r="N17" s="9">
        <f>IF(ISNUMBER(K17),MAX(0,K17-L17-M17),"n.a.")</f>
        <v/>
      </c>
      <c r="O17" s="9" t="n">
        <v>2.3</v>
      </c>
      <c r="P17" s="9">
        <f>IF(ISNUMBER(K17),K17-O17,"n.a.")</f>
        <v/>
      </c>
      <c r="Q17" s="1" t="n"/>
      <c r="R17" s="1" t="n"/>
    </row>
    <row r="18" ht="32" customHeight="1">
      <c r="A18" s="1" t="n"/>
      <c r="B18" s="1" t="n"/>
      <c r="C18" s="1" t="inlineStr">
        <is>
          <t>PRJ-54a39201-RK-11</t>
        </is>
      </c>
      <c r="D18" s="1" t="inlineStr">
        <is>
          <t>000001</t>
        </is>
      </c>
      <c r="E18" s="6" t="inlineStr">
        <is>
          <t>Witterung / Ablaufstörung</t>
        </is>
      </c>
      <c r="F18" s="1" t="inlineStr">
        <is>
          <t>Termin</t>
        </is>
      </c>
      <c r="G18" s="7" t="n">
        <v>0.25</v>
      </c>
      <c r="H18" s="8" t="n">
        <v>10</v>
      </c>
      <c r="I18" s="8" t="n">
        <v>30</v>
      </c>
      <c r="J18" s="8" t="n">
        <v>60</v>
      </c>
      <c r="K18" s="9">
        <f>IF(OR(COUNT(G18:J18)&lt;&gt;4,G18&lt;0,G18&gt;1,H18&gt;I18,I18&gt;J18),"n.a.",ROUND(G18*(H18+4*I18+J18)/6+0.00000001,2))</f>
        <v/>
      </c>
      <c r="L18" s="8" t="n">
        <v>0</v>
      </c>
      <c r="M18" s="9">
        <f>SUMIFS(Maßnahmen!$I$7:$I$126,Maßnahmen!$D$7:$D$126,C18,Maßnahmen!$H$7:$H$126,"&lt;&gt;verworfen")</f>
        <v/>
      </c>
      <c r="N18" s="9">
        <f>IF(ISNUMBER(K18),MAX(0,K18-L18-M18),"n.a.")</f>
        <v/>
      </c>
      <c r="O18" s="9" t="n">
        <v>7.92</v>
      </c>
      <c r="P18" s="9">
        <f>IF(ISNUMBER(K18),K18-O18,"n.a.")</f>
        <v/>
      </c>
      <c r="Q18" s="1" t="n"/>
      <c r="R18" s="1" t="n"/>
    </row>
    <row r="19" ht="32" customHeight="1">
      <c r="A19" s="1" t="n"/>
      <c r="B19" s="1" t="n"/>
      <c r="C19" s="1" t="inlineStr">
        <is>
          <t>PRJ-54a39201-RK-12</t>
        </is>
      </c>
      <c r="D19" s="1" t="inlineStr">
        <is>
          <t>000001</t>
        </is>
      </c>
      <c r="E19" s="6" t="inlineStr">
        <is>
          <t>Staubemissionen (höchster Aufwand laut Umfrage)</t>
        </is>
      </c>
      <c r="F19" s="1" t="inlineStr">
        <is>
          <t>Emissionen</t>
        </is>
      </c>
      <c r="G19" s="7" t="n">
        <v>0.1</v>
      </c>
      <c r="H19" s="8" t="n">
        <v>30</v>
      </c>
      <c r="I19" s="8" t="n">
        <v>60</v>
      </c>
      <c r="J19" s="8" t="n">
        <v>120</v>
      </c>
      <c r="K19" s="9">
        <f>IF(OR(COUNT(G19:J19)&lt;&gt;4,G19&lt;0,G19&gt;1,H19&gt;I19,I19&gt;J19),"n.a.",ROUND(G19*(H19+4*I19+J19)/6+0.00000001,2))</f>
        <v/>
      </c>
      <c r="L19" s="8" t="n">
        <v>0</v>
      </c>
      <c r="M19" s="9">
        <f>SUMIFS(Maßnahmen!$I$7:$I$126,Maßnahmen!$D$7:$D$126,C19,Maßnahmen!$H$7:$H$126,"&lt;&gt;verworfen")</f>
        <v/>
      </c>
      <c r="N19" s="9">
        <f>IF(ISNUMBER(K19),MAX(0,K19-L19-M19),"n.a.")</f>
        <v/>
      </c>
      <c r="O19" s="9" t="n">
        <v>6.5</v>
      </c>
      <c r="P19" s="9">
        <f>IF(ISNUMBER(K19),K19-O19,"n.a.")</f>
        <v/>
      </c>
      <c r="Q19" s="1" t="n"/>
      <c r="R19" s="1" t="n"/>
    </row>
    <row r="20" ht="32" customHeight="1">
      <c r="A20" s="1" t="n"/>
      <c r="B20" s="1" t="n"/>
      <c r="C20" s="1" t="inlineStr">
        <is>
          <t>PRJ-54a39201-RK-13</t>
        </is>
      </c>
      <c r="D20" s="1" t="inlineStr">
        <is>
          <t>000001</t>
        </is>
      </c>
      <c r="E20" s="6" t="inlineStr">
        <is>
          <t>Lärm- und Erschütterungsauflagen</t>
        </is>
      </c>
      <c r="F20" s="1" t="inlineStr">
        <is>
          <t>Emissionen</t>
        </is>
      </c>
      <c r="G20" s="7" t="n">
        <v>0.2</v>
      </c>
      <c r="H20" s="8" t="n">
        <v>20</v>
      </c>
      <c r="I20" s="8" t="n">
        <v>50</v>
      </c>
      <c r="J20" s="8" t="n">
        <v>100</v>
      </c>
      <c r="K20" s="9">
        <f>IF(OR(COUNT(G20:J20)&lt;&gt;4,G20&lt;0,G20&gt;1,H20&gt;I20,I20&gt;J20),"n.a.",ROUND(G20*(H20+4*I20+J20)/6+0.00000001,2))</f>
        <v/>
      </c>
      <c r="L20" s="8" t="n">
        <v>0</v>
      </c>
      <c r="M20" s="9">
        <f>SUMIFS(Maßnahmen!$I$7:$I$126,Maßnahmen!$D$7:$D$126,C20,Maßnahmen!$H$7:$H$126,"&lt;&gt;verworfen")</f>
        <v/>
      </c>
      <c r="N20" s="9">
        <f>IF(ISNUMBER(K20),MAX(0,K20-L20-M20),"n.a.")</f>
        <v/>
      </c>
      <c r="O20" s="9" t="n">
        <v>10.67</v>
      </c>
      <c r="P20" s="9">
        <f>IF(ISNUMBER(K20),K20-O20,"n.a.")</f>
        <v/>
      </c>
      <c r="Q20" s="1" t="n"/>
      <c r="R20" s="1" t="n"/>
    </row>
    <row r="21" ht="32" customHeight="1">
      <c r="A21" s="1" t="n"/>
      <c r="B21" s="1" t="n"/>
      <c r="C21" s="1" t="inlineStr">
        <is>
          <t>PRJ-54a39201-RK-14</t>
        </is>
      </c>
      <c r="D21" s="1" t="inlineStr">
        <is>
          <t>000001</t>
        </is>
      </c>
      <c r="E21" s="6" t="inlineStr">
        <is>
          <t>Rechtliche Auflagen / Entsorgungsnachweise (Formalismus)</t>
        </is>
      </c>
      <c r="F21" s="1" t="inlineStr">
        <is>
          <t>Genehmigung</t>
        </is>
      </c>
      <c r="G21" s="7" t="n">
        <v>0.4</v>
      </c>
      <c r="H21" s="8" t="n">
        <v>95</v>
      </c>
      <c r="I21" s="8" t="n">
        <v>185</v>
      </c>
      <c r="J21" s="8" t="n">
        <v>350</v>
      </c>
      <c r="K21" s="9">
        <f>IF(OR(COUNT(G21:J21)&lt;&gt;4,G21&lt;0,G21&gt;1,H21&gt;I21,I21&gt;J21),"n.a.",ROUND(G21*(H21+4*I21+J21)/6+0.00000001,2))</f>
        <v/>
      </c>
      <c r="L21" s="8" t="n">
        <v>0</v>
      </c>
      <c r="M21" s="9">
        <f>SUMIFS(Maßnahmen!$I$7:$I$126,Maßnahmen!$D$7:$D$126,C21,Maßnahmen!$H$7:$H$126,"&lt;&gt;verworfen")</f>
        <v/>
      </c>
      <c r="N21" s="9">
        <f>IF(ISNUMBER(K21),MAX(0,K21-L21-M21),"n.a.")</f>
        <v/>
      </c>
      <c r="O21" s="9" t="n">
        <v>79</v>
      </c>
      <c r="P21" s="9">
        <f>IF(ISNUMBER(K21),K21-O21,"n.a.")</f>
        <v/>
      </c>
      <c r="Q21" s="1" t="n"/>
      <c r="R21" s="1" t="n"/>
    </row>
    <row r="22" ht="32" customHeight="1">
      <c r="A22" s="1" t="n"/>
      <c r="B22" s="1" t="n"/>
      <c r="C22" s="1" t="inlineStr">
        <is>
          <t>PRJ-54a39201-RK-15</t>
        </is>
      </c>
      <c r="D22" s="1" t="inlineStr">
        <is>
          <t>000001</t>
        </is>
      </c>
      <c r="E22" s="6" t="inlineStr">
        <is>
          <t>Konjunktur / Sekundärstoffpreise &amp; Gerätemiete</t>
        </is>
      </c>
      <c r="F22" s="1" t="inlineStr">
        <is>
          <t>Markt</t>
        </is>
      </c>
      <c r="G22" s="7" t="n">
        <v>0.12</v>
      </c>
      <c r="H22" s="8" t="n">
        <v>8</v>
      </c>
      <c r="I22" s="8" t="n">
        <v>20</v>
      </c>
      <c r="J22" s="8" t="n">
        <v>50</v>
      </c>
      <c r="K22" s="9">
        <f>IF(OR(COUNT(G22:J22)&lt;&gt;4,G22&lt;0,G22&gt;1,H22&gt;I22,I22&gt;J22),"n.a.",ROUND(G22*(H22+4*I22+J22)/6+0.00000001,2))</f>
        <v/>
      </c>
      <c r="L22" s="8" t="n">
        <v>0</v>
      </c>
      <c r="M22" s="9">
        <f>SUMIFS(Maßnahmen!$I$7:$I$126,Maßnahmen!$D$7:$D$126,C22,Maßnahmen!$H$7:$H$126,"&lt;&gt;verworfen")</f>
        <v/>
      </c>
      <c r="N22" s="9">
        <f>IF(ISNUMBER(K22),MAX(0,K22-L22-M22),"n.a.")</f>
        <v/>
      </c>
      <c r="O22" s="9" t="n">
        <v>2.76</v>
      </c>
      <c r="P22" s="9">
        <f>IF(ISNUMBER(K22),K22-O22,"n.a.")</f>
        <v/>
      </c>
      <c r="Q22" s="1" t="n"/>
      <c r="R22" s="1" t="n"/>
    </row>
    <row r="23" ht="32" customHeight="1">
      <c r="A23" s="1" t="n"/>
      <c r="B23" s="1" t="n"/>
      <c r="C23" s="1" t="inlineStr">
        <is>
          <t>PRJ-38307c8e-RK-11</t>
        </is>
      </c>
      <c r="D23" s="1" t="inlineStr">
        <is>
          <t>W4102604611</t>
        </is>
      </c>
      <c r="E23" s="6" t="inlineStr">
        <is>
          <t>Witterung / Ablaufstörung</t>
        </is>
      </c>
      <c r="F23" s="1" t="inlineStr">
        <is>
          <t>Termin</t>
        </is>
      </c>
      <c r="G23" s="7" t="n">
        <v>0.25</v>
      </c>
      <c r="H23" s="8" t="n">
        <v>126</v>
      </c>
      <c r="I23" s="8" t="n">
        <v>378</v>
      </c>
      <c r="J23" s="8" t="n">
        <v>757</v>
      </c>
      <c r="K23" s="9">
        <f>IF(OR(COUNT(G23:J23)&lt;&gt;4,G23&lt;0,G23&gt;1,H23&gt;I23,I23&gt;J23),"n.a.",ROUND(G23*(H23+4*I23+J23)/6+0.00000001,2))</f>
        <v/>
      </c>
      <c r="L23" s="8" t="n">
        <v>0</v>
      </c>
      <c r="M23" s="9">
        <f>SUMIFS(Maßnahmen!$I$7:$I$126,Maßnahmen!$D$7:$D$126,C23,Maßnahmen!$H$7:$H$126,"&lt;&gt;verworfen")</f>
        <v/>
      </c>
      <c r="N23" s="9">
        <f>IF(ISNUMBER(K23),MAX(0,K23-L23-M23),"n.a.")</f>
        <v/>
      </c>
      <c r="O23" s="9" t="n">
        <v>99.79000000000001</v>
      </c>
      <c r="P23" s="9">
        <f>IF(ISNUMBER(K23),K23-O23,"n.a.")</f>
        <v/>
      </c>
      <c r="Q23" s="1" t="n"/>
      <c r="R23" s="1" t="n"/>
    </row>
    <row r="24" ht="32" customHeight="1">
      <c r="A24" s="1" t="n"/>
      <c r="B24" s="1" t="n"/>
      <c r="C24" s="1" t="inlineStr">
        <is>
          <t>PRJ-39e5680a-RK-11</t>
        </is>
      </c>
      <c r="D24" s="1" t="inlineStr">
        <is>
          <t>W4102504108</t>
        </is>
      </c>
      <c r="E24" s="6" t="inlineStr">
        <is>
          <t>Witterung / Ablaufstörung</t>
        </is>
      </c>
      <c r="F24" s="1" t="inlineStr">
        <is>
          <t>Termin</t>
        </is>
      </c>
      <c r="G24" s="7" t="n">
        <v>0.25</v>
      </c>
      <c r="H24" s="8" t="n">
        <v>39</v>
      </c>
      <c r="I24" s="8" t="n">
        <v>116</v>
      </c>
      <c r="J24" s="8" t="n">
        <v>233</v>
      </c>
      <c r="K24" s="9">
        <f>IF(OR(COUNT(G24:J24)&lt;&gt;4,G24&lt;0,G24&gt;1,H24&gt;I24,I24&gt;J24),"n.a.",ROUND(G24*(H24+4*I24+J24)/6+0.00000001,2))</f>
        <v/>
      </c>
      <c r="L24" s="8" t="n">
        <v>0</v>
      </c>
      <c r="M24" s="9">
        <f>SUMIFS(Maßnahmen!$I$7:$I$126,Maßnahmen!$D$7:$D$126,C24,Maßnahmen!$H$7:$H$126,"&lt;&gt;verworfen")</f>
        <v/>
      </c>
      <c r="N24" s="9">
        <f>IF(ISNUMBER(K24),MAX(0,K24-L24-M24),"n.a.")</f>
        <v/>
      </c>
      <c r="O24" s="9" t="n">
        <v>30.67</v>
      </c>
      <c r="P24" s="9">
        <f>IF(ISNUMBER(K24),K24-O24,"n.a.")</f>
        <v/>
      </c>
      <c r="Q24" s="1" t="n"/>
      <c r="R24" s="1" t="n"/>
    </row>
    <row r="25" ht="32" customHeight="1">
      <c r="A25" s="1" t="n"/>
      <c r="B25" s="1" t="n"/>
      <c r="C25" s="1" t="inlineStr">
        <is>
          <t>PRJ-38308410-RK-11</t>
        </is>
      </c>
      <c r="D25" s="1" t="inlineStr">
        <is>
          <t>W4102604411</t>
        </is>
      </c>
      <c r="E25" s="6" t="inlineStr">
        <is>
          <t>Witterung / Ablaufstörung</t>
        </is>
      </c>
      <c r="F25" s="1" t="inlineStr">
        <is>
          <t>Termin</t>
        </is>
      </c>
      <c r="G25" s="7" t="n">
        <v>0.25</v>
      </c>
      <c r="H25" s="8" t="n">
        <v>837</v>
      </c>
      <c r="I25" s="8" t="n">
        <v>2510</v>
      </c>
      <c r="J25" s="8" t="n">
        <v>5020</v>
      </c>
      <c r="K25" s="9">
        <f>IF(OR(COUNT(G25:J25)&lt;&gt;4,G25&lt;0,G25&gt;1,H25&gt;I25,I25&gt;J25),"n.a.",ROUND(G25*(H25+4*I25+J25)/6+0.00000001,2))</f>
        <v/>
      </c>
      <c r="L25" s="8" t="n">
        <v>0</v>
      </c>
      <c r="M25" s="9">
        <f>SUMIFS(Maßnahmen!$I$7:$I$126,Maßnahmen!$D$7:$D$126,C25,Maßnahmen!$H$7:$H$126,"&lt;&gt;verworfen")</f>
        <v/>
      </c>
      <c r="N25" s="9">
        <f>IF(ISNUMBER(K25),MAX(0,K25-L25-M25),"n.a.")</f>
        <v/>
      </c>
      <c r="O25" s="9" t="n">
        <v>662.38</v>
      </c>
      <c r="P25" s="9">
        <f>IF(ISNUMBER(K25),K25-O25,"n.a.")</f>
        <v/>
      </c>
      <c r="Q25" s="1" t="n"/>
      <c r="R25" s="1" t="n"/>
    </row>
    <row r="26" ht="32" customHeight="1">
      <c r="A26" s="1" t="n"/>
      <c r="B26" s="1" t="n"/>
      <c r="C26" s="1" t="inlineStr">
        <is>
          <t>PRJ-3d4efac4-RK-03</t>
        </is>
      </c>
      <c r="D26" s="1" t="inlineStr">
        <is>
          <t>W4102304948</t>
        </is>
      </c>
      <c r="E26" s="6" t="inlineStr">
        <is>
          <t>Entsorgungs-Mehrkosten / Entsorgungswege</t>
        </is>
      </c>
      <c r="F26" s="1" t="inlineStr">
        <is>
          <t>Entsorgung</t>
        </is>
      </c>
      <c r="G26" s="7" t="n">
        <v>0.15</v>
      </c>
      <c r="H26" s="8" t="n">
        <v>20</v>
      </c>
      <c r="I26" s="8" t="n">
        <v>50</v>
      </c>
      <c r="J26" s="8" t="n">
        <v>100</v>
      </c>
      <c r="K26" s="9">
        <f>IF(OR(COUNT(G26:J26)&lt;&gt;4,G26&lt;0,G26&gt;1,H26&gt;I26,I26&gt;J26),"n.a.",ROUND(G26*(H26+4*I26+J26)/6+0.00000001,2))</f>
        <v/>
      </c>
      <c r="L26" s="8" t="n">
        <v>0</v>
      </c>
      <c r="M26" s="9">
        <f>SUMIFS(Maßnahmen!$I$7:$I$126,Maßnahmen!$D$7:$D$126,C26,Maßnahmen!$H$7:$H$126,"&lt;&gt;verworfen")</f>
        <v/>
      </c>
      <c r="N26" s="9">
        <f>IF(ISNUMBER(K26),MAX(0,K26-L26-M26),"n.a.")</f>
        <v/>
      </c>
      <c r="O26" s="9" t="n">
        <v>8</v>
      </c>
      <c r="P26" s="9">
        <f>IF(ISNUMBER(K26),K26-O26,"n.a.")</f>
        <v/>
      </c>
      <c r="Q26" s="1" t="n"/>
      <c r="R26" s="1" t="n"/>
    </row>
    <row r="27" ht="32" customHeight="1">
      <c r="A27" s="1" t="n"/>
      <c r="B27" s="1" t="n"/>
      <c r="C27" s="1" t="inlineStr">
        <is>
          <t>PRJ-3d4efac4-RK-04</t>
        </is>
      </c>
      <c r="D27" s="1" t="inlineStr">
        <is>
          <t>W4102304948</t>
        </is>
      </c>
      <c r="E27" s="6" t="inlineStr">
        <is>
          <t>Baustofftrennung / Aufbereitung nicht wie geplant</t>
        </is>
      </c>
      <c r="F27" s="1" t="inlineStr">
        <is>
          <t>Entsorgung</t>
        </is>
      </c>
      <c r="G27" s="7" t="n">
        <v>0.1</v>
      </c>
      <c r="H27" s="8" t="n">
        <v>20</v>
      </c>
      <c r="I27" s="8" t="n">
        <v>50</v>
      </c>
      <c r="J27" s="8" t="n">
        <v>100</v>
      </c>
      <c r="K27" s="9">
        <f>IF(OR(COUNT(G27:J27)&lt;&gt;4,G27&lt;0,G27&gt;1,H27&gt;I27,I27&gt;J27),"n.a.",ROUND(G27*(H27+4*I27+J27)/6+0.00000001,2))</f>
        <v/>
      </c>
      <c r="L27" s="8" t="n">
        <v>0</v>
      </c>
      <c r="M27" s="9">
        <f>SUMIFS(Maßnahmen!$I$7:$I$126,Maßnahmen!$D$7:$D$126,C27,Maßnahmen!$H$7:$H$126,"&lt;&gt;verworfen")</f>
        <v/>
      </c>
      <c r="N27" s="9">
        <f>IF(ISNUMBER(K27),MAX(0,K27-L27-M27),"n.a.")</f>
        <v/>
      </c>
      <c r="O27" s="9" t="n">
        <v>5.33</v>
      </c>
      <c r="P27" s="9">
        <f>IF(ISNUMBER(K27),K27-O27,"n.a.")</f>
        <v/>
      </c>
      <c r="Q27" s="1" t="n"/>
      <c r="R27" s="1" t="n"/>
    </row>
    <row r="28" ht="32" customHeight="1">
      <c r="A28" s="1" t="n"/>
      <c r="B28" s="1" t="n"/>
      <c r="C28" s="1" t="inlineStr">
        <is>
          <t>PRJ-3d4efac4-RK-05</t>
        </is>
      </c>
      <c r="D28" s="1" t="inlineStr">
        <is>
          <t>W4102304948</t>
        </is>
      </c>
      <c r="E28" s="6" t="inlineStr">
        <is>
          <t>Unbekannte Bauwerkskonstruktion / fehlende Pläne</t>
        </is>
      </c>
      <c r="F28" s="1" t="inlineStr">
        <is>
          <t>Statik</t>
        </is>
      </c>
      <c r="G28" s="7" t="n">
        <v>0.12</v>
      </c>
      <c r="H28" s="8" t="n">
        <v>40</v>
      </c>
      <c r="I28" s="8" t="n">
        <v>80</v>
      </c>
      <c r="J28" s="8" t="n">
        <v>150</v>
      </c>
      <c r="K28" s="9">
        <f>IF(OR(COUNT(G28:J28)&lt;&gt;4,G28&lt;0,G28&gt;1,H28&gt;I28,I28&gt;J28),"n.a.",ROUND(G28*(H28+4*I28+J28)/6+0.00000001,2))</f>
        <v/>
      </c>
      <c r="L28" s="8" t="n">
        <v>0</v>
      </c>
      <c r="M28" s="9">
        <f>SUMIFS(Maßnahmen!$I$7:$I$126,Maßnahmen!$D$7:$D$126,C28,Maßnahmen!$H$7:$H$126,"&lt;&gt;verworfen")</f>
        <v/>
      </c>
      <c r="N28" s="9">
        <f>IF(ISNUMBER(K28),MAX(0,K28-L28-M28),"n.a.")</f>
        <v/>
      </c>
      <c r="O28" s="9" t="n">
        <v>10.2</v>
      </c>
      <c r="P28" s="9">
        <f>IF(ISNUMBER(K28),K28-O28,"n.a.")</f>
        <v/>
      </c>
      <c r="Q28" s="1" t="n"/>
      <c r="R28" s="1" t="n"/>
    </row>
    <row r="29" ht="32" customHeight="1">
      <c r="A29" s="1" t="n"/>
      <c r="B29" s="1" t="n"/>
      <c r="C29" s="1" t="inlineStr">
        <is>
          <t>PRJ-3d4efac4-RK-06</t>
        </is>
      </c>
      <c r="D29" s="1" t="inlineStr">
        <is>
          <t>W4102304948</t>
        </is>
      </c>
      <c r="E29" s="6" t="inlineStr">
        <is>
          <t>Statik / Einsturzsicherung während Abbruch</t>
        </is>
      </c>
      <c r="F29" s="1" t="inlineStr">
        <is>
          <t>Statik</t>
        </is>
      </c>
      <c r="G29" s="7" t="n">
        <v>0.12</v>
      </c>
      <c r="H29" s="8" t="n">
        <v>30</v>
      </c>
      <c r="I29" s="8" t="n">
        <v>70</v>
      </c>
      <c r="J29" s="8" t="n">
        <v>140</v>
      </c>
      <c r="K29" s="9">
        <f>IF(OR(COUNT(G29:J29)&lt;&gt;4,G29&lt;0,G29&gt;1,H29&gt;I29,I29&gt;J29),"n.a.",ROUND(G29*(H29+4*I29+J29)/6+0.00000001,2))</f>
        <v/>
      </c>
      <c r="L29" s="8" t="n">
        <v>0</v>
      </c>
      <c r="M29" s="9">
        <f>SUMIFS(Maßnahmen!$I$7:$I$126,Maßnahmen!$D$7:$D$126,C29,Maßnahmen!$H$7:$H$126,"&lt;&gt;verworfen")</f>
        <v/>
      </c>
      <c r="N29" s="9">
        <f>IF(ISNUMBER(K29),MAX(0,K29-L29-M29),"n.a.")</f>
        <v/>
      </c>
      <c r="O29" s="9" t="n">
        <v>9</v>
      </c>
      <c r="P29" s="9">
        <f>IF(ISNUMBER(K29),K29-O29,"n.a.")</f>
        <v/>
      </c>
      <c r="Q29" s="1" t="n"/>
      <c r="R29" s="1" t="n"/>
    </row>
    <row r="30" ht="32" customHeight="1">
      <c r="A30" s="1" t="n"/>
      <c r="B30" s="1" t="n"/>
      <c r="C30" s="1" t="inlineStr">
        <is>
          <t>PRJ-3d4efac4-RK-07</t>
        </is>
      </c>
      <c r="D30" s="1" t="inlineStr">
        <is>
          <t>W4102304948</t>
        </is>
      </c>
      <c r="E30" s="6" t="inlineStr">
        <is>
          <t>Unterirdische Tragkonstruktion / Fundamente</t>
        </is>
      </c>
      <c r="F30" s="1" t="inlineStr">
        <is>
          <t>Statik</t>
        </is>
      </c>
      <c r="G30" s="7" t="n">
        <v>0.5</v>
      </c>
      <c r="H30" s="8" t="n">
        <v>5</v>
      </c>
      <c r="I30" s="8" t="n">
        <v>20</v>
      </c>
      <c r="J30" s="8" t="n">
        <v>50</v>
      </c>
      <c r="K30" s="9">
        <f>IF(OR(COUNT(G30:J30)&lt;&gt;4,G30&lt;0,G30&gt;1,H30&gt;I30,I30&gt;J30),"n.a.",ROUND(G30*(H30+4*I30+J30)/6+0.00000001,2))</f>
        <v/>
      </c>
      <c r="L30" s="8" t="n">
        <v>0</v>
      </c>
      <c r="M30" s="9">
        <f>SUMIFS(Maßnahmen!$I$7:$I$126,Maßnahmen!$D$7:$D$126,C30,Maßnahmen!$H$7:$H$126,"&lt;&gt;verworfen")</f>
        <v/>
      </c>
      <c r="N30" s="9">
        <f>IF(ISNUMBER(K30),MAX(0,K30-L30-M30),"n.a.")</f>
        <v/>
      </c>
      <c r="O30" s="9" t="n">
        <v>11.25</v>
      </c>
      <c r="P30" s="9">
        <f>IF(ISNUMBER(K30),K30-O30,"n.a.")</f>
        <v/>
      </c>
      <c r="Q30" s="1" t="n"/>
      <c r="R30" s="1" t="n"/>
    </row>
    <row r="31" ht="32" customHeight="1">
      <c r="A31" s="1" t="n"/>
      <c r="B31" s="1" t="n"/>
      <c r="C31" s="1" t="inlineStr">
        <is>
          <t>PRJ-3d4efac4-RK-12</t>
        </is>
      </c>
      <c r="D31" s="1" t="inlineStr">
        <is>
          <t>W4102304948</t>
        </is>
      </c>
      <c r="E31" s="6" t="inlineStr">
        <is>
          <t>Staubemissionen (höchster Aufwand laut Umfrage)</t>
        </is>
      </c>
      <c r="F31" s="1" t="inlineStr">
        <is>
          <t>Emissionen</t>
        </is>
      </c>
      <c r="G31" s="7" t="n">
        <v>0.1</v>
      </c>
      <c r="H31" s="8" t="n">
        <v>30</v>
      </c>
      <c r="I31" s="8" t="n">
        <v>60</v>
      </c>
      <c r="J31" s="8" t="n">
        <v>120</v>
      </c>
      <c r="K31" s="9">
        <f>IF(OR(COUNT(G31:J31)&lt;&gt;4,G31&lt;0,G31&gt;1,H31&gt;I31,I31&gt;J31),"n.a.",ROUND(G31*(H31+4*I31+J31)/6+0.00000001,2))</f>
        <v/>
      </c>
      <c r="L31" s="8" t="n">
        <v>0</v>
      </c>
      <c r="M31" s="9">
        <f>SUMIFS(Maßnahmen!$I$7:$I$126,Maßnahmen!$D$7:$D$126,C31,Maßnahmen!$H$7:$H$126,"&lt;&gt;verworfen")</f>
        <v/>
      </c>
      <c r="N31" s="9">
        <f>IF(ISNUMBER(K31),MAX(0,K31-L31-M31),"n.a.")</f>
        <v/>
      </c>
      <c r="O31" s="9" t="n">
        <v>6.5</v>
      </c>
      <c r="P31" s="9">
        <f>IF(ISNUMBER(K31),K31-O31,"n.a.")</f>
        <v/>
      </c>
      <c r="Q31" s="1" t="n"/>
      <c r="R31" s="1" t="n"/>
    </row>
    <row r="32" ht="32" customHeight="1">
      <c r="A32" s="1" t="n"/>
      <c r="B32" s="1" t="n"/>
      <c r="C32" s="1" t="inlineStr">
        <is>
          <t>PRJ-3d4efac4-RK-13</t>
        </is>
      </c>
      <c r="D32" s="1" t="inlineStr">
        <is>
          <t>W4102304948</t>
        </is>
      </c>
      <c r="E32" s="6" t="inlineStr">
        <is>
          <t>Lärm- und Erschütterungsauflagen</t>
        </is>
      </c>
      <c r="F32" s="1" t="inlineStr">
        <is>
          <t>Emissionen</t>
        </is>
      </c>
      <c r="G32" s="7" t="n">
        <v>0.2</v>
      </c>
      <c r="H32" s="8" t="n">
        <v>20</v>
      </c>
      <c r="I32" s="8" t="n">
        <v>50</v>
      </c>
      <c r="J32" s="8" t="n">
        <v>100</v>
      </c>
      <c r="K32" s="9">
        <f>IF(OR(COUNT(G32:J32)&lt;&gt;4,G32&lt;0,G32&gt;1,H32&gt;I32,I32&gt;J32),"n.a.",ROUND(G32*(H32+4*I32+J32)/6+0.00000001,2))</f>
        <v/>
      </c>
      <c r="L32" s="8" t="n">
        <v>0</v>
      </c>
      <c r="M32" s="9">
        <f>SUMIFS(Maßnahmen!$I$7:$I$126,Maßnahmen!$D$7:$D$126,C32,Maßnahmen!$H$7:$H$126,"&lt;&gt;verworfen")</f>
        <v/>
      </c>
      <c r="N32" s="9">
        <f>IF(ISNUMBER(K32),MAX(0,K32-L32-M32),"n.a.")</f>
        <v/>
      </c>
      <c r="O32" s="9" t="n">
        <v>10.67</v>
      </c>
      <c r="P32" s="9">
        <f>IF(ISNUMBER(K32),K32-O32,"n.a.")</f>
        <v/>
      </c>
      <c r="Q32" s="1" t="n"/>
      <c r="R32" s="1" t="n"/>
    </row>
    <row r="33" ht="32" customHeight="1">
      <c r="A33" s="1" t="n"/>
      <c r="B33" s="1" t="n"/>
      <c r="C33" s="1" t="inlineStr">
        <is>
          <t>PRJ-3d4efac4-RK-14</t>
        </is>
      </c>
      <c r="D33" s="1" t="inlineStr">
        <is>
          <t>W4102304948</t>
        </is>
      </c>
      <c r="E33" s="6" t="inlineStr">
        <is>
          <t>Rechtliche Auflagen / Entsorgungsnachweise (Formalismus)</t>
        </is>
      </c>
      <c r="F33" s="1" t="inlineStr">
        <is>
          <t>Genehmigung</t>
        </is>
      </c>
      <c r="G33" s="7" t="n">
        <v>0.4</v>
      </c>
      <c r="H33" s="8" t="n">
        <v>95</v>
      </c>
      <c r="I33" s="8" t="n">
        <v>185</v>
      </c>
      <c r="J33" s="8" t="n">
        <v>350</v>
      </c>
      <c r="K33" s="9">
        <f>IF(OR(COUNT(G33:J33)&lt;&gt;4,G33&lt;0,G33&gt;1,H33&gt;I33,I33&gt;J33),"n.a.",ROUND(G33*(H33+4*I33+J33)/6+0.00000001,2))</f>
        <v/>
      </c>
      <c r="L33" s="8" t="n">
        <v>0</v>
      </c>
      <c r="M33" s="9">
        <f>SUMIFS(Maßnahmen!$I$7:$I$126,Maßnahmen!$D$7:$D$126,C33,Maßnahmen!$H$7:$H$126,"&lt;&gt;verworfen")</f>
        <v/>
      </c>
      <c r="N33" s="9">
        <f>IF(ISNUMBER(K33),MAX(0,K33-L33-M33),"n.a.")</f>
        <v/>
      </c>
      <c r="O33" s="9" t="n">
        <v>79</v>
      </c>
      <c r="P33" s="9">
        <f>IF(ISNUMBER(K33),K33-O33,"n.a.")</f>
        <v/>
      </c>
      <c r="Q33" s="1" t="n"/>
      <c r="R33" s="1" t="n"/>
    </row>
    <row r="34" ht="32" customHeight="1">
      <c r="A34" s="1" t="n"/>
      <c r="B34" s="1" t="n"/>
      <c r="C34" s="1" t="inlineStr">
        <is>
          <t>PRJ-3d4efac4-RK-15</t>
        </is>
      </c>
      <c r="D34" s="1" t="inlineStr">
        <is>
          <t>W4102304948</t>
        </is>
      </c>
      <c r="E34" s="6" t="inlineStr">
        <is>
          <t>Konjunktur / Sekundärstoffpreise &amp; Gerätemiete</t>
        </is>
      </c>
      <c r="F34" s="1" t="inlineStr">
        <is>
          <t>Markt</t>
        </is>
      </c>
      <c r="G34" s="7" t="n">
        <v>0.12</v>
      </c>
      <c r="H34" s="8" t="n">
        <v>8</v>
      </c>
      <c r="I34" s="8" t="n">
        <v>20</v>
      </c>
      <c r="J34" s="8" t="n">
        <v>50</v>
      </c>
      <c r="K34" s="9">
        <f>IF(OR(COUNT(G34:J34)&lt;&gt;4,G34&lt;0,G34&gt;1,H34&gt;I34,I34&gt;J34),"n.a.",ROUND(G34*(H34+4*I34+J34)/6+0.00000001,2))</f>
        <v/>
      </c>
      <c r="L34" s="8" t="n">
        <v>0</v>
      </c>
      <c r="M34" s="9">
        <f>SUMIFS(Maßnahmen!$I$7:$I$126,Maßnahmen!$D$7:$D$126,C34,Maßnahmen!$H$7:$H$126,"&lt;&gt;verworfen")</f>
        <v/>
      </c>
      <c r="N34" s="9">
        <f>IF(ISNUMBER(K34),MAX(0,K34-L34-M34),"n.a.")</f>
        <v/>
      </c>
      <c r="O34" s="9" t="n">
        <v>2.76</v>
      </c>
      <c r="P34" s="9">
        <f>IF(ISNUMBER(K34),K34-O34,"n.a.")</f>
        <v/>
      </c>
      <c r="Q34" s="1" t="n"/>
      <c r="R34" s="1" t="n"/>
    </row>
    <row r="35" ht="32" customHeight="1">
      <c r="A35" s="1" t="n"/>
      <c r="B35" s="1" t="n"/>
      <c r="C35" s="1" t="inlineStr">
        <is>
          <t>PRJ-3d4efac3-RK-01</t>
        </is>
      </c>
      <c r="D35" s="1" t="inlineStr">
        <is>
          <t>W4102304949</t>
        </is>
      </c>
      <c r="E35" s="6" t="inlineStr">
        <is>
          <t>Schadstofffund / Schadstoffsanierung (Asbest, PAK, PCB, PCP)</t>
        </is>
      </c>
      <c r="F35" s="1" t="inlineStr">
        <is>
          <t>Schadstoffe</t>
        </is>
      </c>
      <c r="G35" s="7" t="n">
        <v>0.1</v>
      </c>
      <c r="H35" s="8" t="n">
        <v>20</v>
      </c>
      <c r="I35" s="8" t="n">
        <v>50</v>
      </c>
      <c r="J35" s="8" t="n">
        <v>100</v>
      </c>
      <c r="K35" s="9">
        <f>IF(OR(COUNT(G35:J35)&lt;&gt;4,G35&lt;0,G35&gt;1,H35&gt;I35,I35&gt;J35),"n.a.",ROUND(G35*(H35+4*I35+J35)/6+0.00000001,2))</f>
        <v/>
      </c>
      <c r="L35" s="8" t="n">
        <v>0</v>
      </c>
      <c r="M35" s="9">
        <f>SUMIFS(Maßnahmen!$I$7:$I$126,Maßnahmen!$D$7:$D$126,C35,Maßnahmen!$H$7:$H$126,"&lt;&gt;verworfen")</f>
        <v/>
      </c>
      <c r="N35" s="9">
        <f>IF(ISNUMBER(K35),MAX(0,K35-L35-M35),"n.a.")</f>
        <v/>
      </c>
      <c r="O35" s="9" t="n">
        <v>5.33</v>
      </c>
      <c r="P35" s="9">
        <f>IF(ISNUMBER(K35),K35-O35,"n.a.")</f>
        <v/>
      </c>
      <c r="Q35" s="1" t="n"/>
      <c r="R35" s="1" t="n"/>
    </row>
    <row r="36" ht="32" customHeight="1">
      <c r="A36" s="1" t="n"/>
      <c r="B36" s="1" t="n"/>
      <c r="C36" s="1" t="inlineStr">
        <is>
          <t>PRJ-3d4efac3-RK-02</t>
        </is>
      </c>
      <c r="D36" s="1" t="inlineStr">
        <is>
          <t>W4102304949</t>
        </is>
      </c>
      <c r="E36" s="6" t="inlineStr">
        <is>
          <t>Arbeitsschutz kontaminierte Bereiche (TRGS 524)</t>
        </is>
      </c>
      <c r="F36" s="1" t="inlineStr">
        <is>
          <t>Schadstoffe</t>
        </is>
      </c>
      <c r="G36" s="7" t="n">
        <v>0.47</v>
      </c>
      <c r="H36" s="8" t="n">
        <v>20</v>
      </c>
      <c r="I36" s="8" t="n">
        <v>50</v>
      </c>
      <c r="J36" s="8" t="n">
        <v>100</v>
      </c>
      <c r="K36" s="9">
        <f>IF(OR(COUNT(G36:J36)&lt;&gt;4,G36&lt;0,G36&gt;1,H36&gt;I36,I36&gt;J36),"n.a.",ROUND(G36*(H36+4*I36+J36)/6+0.00000001,2))</f>
        <v/>
      </c>
      <c r="L36" s="8" t="n">
        <v>0</v>
      </c>
      <c r="M36" s="9">
        <f>SUMIFS(Maßnahmen!$I$7:$I$126,Maßnahmen!$D$7:$D$126,C36,Maßnahmen!$H$7:$H$126,"&lt;&gt;verworfen")</f>
        <v/>
      </c>
      <c r="N36" s="9">
        <f>IF(ISNUMBER(K36),MAX(0,K36-L36-M36),"n.a.")</f>
        <v/>
      </c>
      <c r="O36" s="9" t="n">
        <v>25.07</v>
      </c>
      <c r="P36" s="9">
        <f>IF(ISNUMBER(K36),K36-O36,"n.a.")</f>
        <v/>
      </c>
      <c r="Q36" s="1" t="n"/>
      <c r="R36" s="1" t="n"/>
    </row>
    <row r="37" ht="32" customHeight="1">
      <c r="A37" s="1" t="n"/>
      <c r="B37" s="1" t="n"/>
      <c r="C37" s="1" t="inlineStr">
        <is>
          <t>PRJ-3d4efac3-RK-03</t>
        </is>
      </c>
      <c r="D37" s="1" t="inlineStr">
        <is>
          <t>W4102304949</t>
        </is>
      </c>
      <c r="E37" s="6" t="inlineStr">
        <is>
          <t>Entsorgungs-Mehrkosten / Entsorgungswege</t>
        </is>
      </c>
      <c r="F37" s="1" t="inlineStr">
        <is>
          <t>Entsorgung</t>
        </is>
      </c>
      <c r="G37" s="7" t="n">
        <v>0.15</v>
      </c>
      <c r="H37" s="8" t="n">
        <v>20</v>
      </c>
      <c r="I37" s="8" t="n">
        <v>50</v>
      </c>
      <c r="J37" s="8" t="n">
        <v>100</v>
      </c>
      <c r="K37" s="9">
        <f>IF(OR(COUNT(G37:J37)&lt;&gt;4,G37&lt;0,G37&gt;1,H37&gt;I37,I37&gt;J37),"n.a.",ROUND(G37*(H37+4*I37+J37)/6+0.00000001,2))</f>
        <v/>
      </c>
      <c r="L37" s="8" t="n">
        <v>0</v>
      </c>
      <c r="M37" s="9">
        <f>SUMIFS(Maßnahmen!$I$7:$I$126,Maßnahmen!$D$7:$D$126,C37,Maßnahmen!$H$7:$H$126,"&lt;&gt;verworfen")</f>
        <v/>
      </c>
      <c r="N37" s="9">
        <f>IF(ISNUMBER(K37),MAX(0,K37-L37-M37),"n.a.")</f>
        <v/>
      </c>
      <c r="O37" s="9" t="n">
        <v>8</v>
      </c>
      <c r="P37" s="9">
        <f>IF(ISNUMBER(K37),K37-O37,"n.a.")</f>
        <v/>
      </c>
      <c r="Q37" s="1" t="n"/>
      <c r="R37" s="1" t="n"/>
    </row>
    <row r="38" ht="32" customHeight="1">
      <c r="A38" s="1" t="n"/>
      <c r="B38" s="1" t="n"/>
      <c r="C38" s="1" t="inlineStr">
        <is>
          <t>PRJ-3d4efac3-RK-04</t>
        </is>
      </c>
      <c r="D38" s="1" t="inlineStr">
        <is>
          <t>W4102304949</t>
        </is>
      </c>
      <c r="E38" s="6" t="inlineStr">
        <is>
          <t>Baustofftrennung / Aufbereitung nicht wie geplant</t>
        </is>
      </c>
      <c r="F38" s="1" t="inlineStr">
        <is>
          <t>Entsorgung</t>
        </is>
      </c>
      <c r="G38" s="7" t="n">
        <v>0.1</v>
      </c>
      <c r="H38" s="8" t="n">
        <v>20</v>
      </c>
      <c r="I38" s="8" t="n">
        <v>50</v>
      </c>
      <c r="J38" s="8" t="n">
        <v>100</v>
      </c>
      <c r="K38" s="9">
        <f>IF(OR(COUNT(G38:J38)&lt;&gt;4,G38&lt;0,G38&gt;1,H38&gt;I38,I38&gt;J38),"n.a.",ROUND(G38*(H38+4*I38+J38)/6+0.00000001,2))</f>
        <v/>
      </c>
      <c r="L38" s="8" t="n">
        <v>0</v>
      </c>
      <c r="M38" s="9">
        <f>SUMIFS(Maßnahmen!$I$7:$I$126,Maßnahmen!$D$7:$D$126,C38,Maßnahmen!$H$7:$H$126,"&lt;&gt;verworfen")</f>
        <v/>
      </c>
      <c r="N38" s="9">
        <f>IF(ISNUMBER(K38),MAX(0,K38-L38-M38),"n.a.")</f>
        <v/>
      </c>
      <c r="O38" s="9" t="n">
        <v>5.33</v>
      </c>
      <c r="P38" s="9">
        <f>IF(ISNUMBER(K38),K38-O38,"n.a.")</f>
        <v/>
      </c>
      <c r="Q38" s="1" t="n"/>
      <c r="R38" s="1" t="n"/>
    </row>
    <row r="39" ht="32" customHeight="1">
      <c r="A39" s="1" t="n"/>
      <c r="B39" s="1" t="n"/>
      <c r="C39" s="1" t="inlineStr">
        <is>
          <t>PRJ-3d4efac3-RK-06</t>
        </is>
      </c>
      <c r="D39" s="1" t="inlineStr">
        <is>
          <t>W4102304949</t>
        </is>
      </c>
      <c r="E39" s="6" t="inlineStr">
        <is>
          <t>Statik / Einsturzsicherung während Abbruch</t>
        </is>
      </c>
      <c r="F39" s="1" t="inlineStr">
        <is>
          <t>Statik</t>
        </is>
      </c>
      <c r="G39" s="7" t="n">
        <v>0.24</v>
      </c>
      <c r="H39" s="8" t="n">
        <v>30</v>
      </c>
      <c r="I39" s="8" t="n">
        <v>70</v>
      </c>
      <c r="J39" s="8" t="n">
        <v>140</v>
      </c>
      <c r="K39" s="9">
        <f>IF(OR(COUNT(G39:J39)&lt;&gt;4,G39&lt;0,G39&gt;1,H39&gt;I39,I39&gt;J39),"n.a.",ROUND(G39*(H39+4*I39+J39)/6+0.00000001,2))</f>
        <v/>
      </c>
      <c r="L39" s="8" t="n">
        <v>0</v>
      </c>
      <c r="M39" s="9">
        <f>SUMIFS(Maßnahmen!$I$7:$I$126,Maßnahmen!$D$7:$D$126,C39,Maßnahmen!$H$7:$H$126,"&lt;&gt;verworfen")</f>
        <v/>
      </c>
      <c r="N39" s="9">
        <f>IF(ISNUMBER(K39),MAX(0,K39-L39-M39),"n.a.")</f>
        <v/>
      </c>
      <c r="O39" s="9" t="n">
        <v>18</v>
      </c>
      <c r="P39" s="9">
        <f>IF(ISNUMBER(K39),K39-O39,"n.a.")</f>
        <v/>
      </c>
      <c r="Q39" s="1" t="n"/>
      <c r="R39" s="1" t="n"/>
    </row>
    <row r="40" ht="32" customHeight="1">
      <c r="A40" s="1" t="n"/>
      <c r="B40" s="1" t="n"/>
      <c r="C40" s="1" t="inlineStr">
        <is>
          <t>PRJ-3d4efac3-RK-07</t>
        </is>
      </c>
      <c r="D40" s="1" t="inlineStr">
        <is>
          <t>W4102304949</t>
        </is>
      </c>
      <c r="E40" s="6" t="inlineStr">
        <is>
          <t>Unterirdische Tragkonstruktion / Fundamente</t>
        </is>
      </c>
      <c r="F40" s="1" t="inlineStr">
        <is>
          <t>Statik</t>
        </is>
      </c>
      <c r="G40" s="7" t="n">
        <v>0.4</v>
      </c>
      <c r="H40" s="8" t="n">
        <v>5</v>
      </c>
      <c r="I40" s="8" t="n">
        <v>20</v>
      </c>
      <c r="J40" s="8" t="n">
        <v>50</v>
      </c>
      <c r="K40" s="9">
        <f>IF(OR(COUNT(G40:J40)&lt;&gt;4,G40&lt;0,G40&gt;1,H40&gt;I40,I40&gt;J40),"n.a.",ROUND(G40*(H40+4*I40+J40)/6+0.00000001,2))</f>
        <v/>
      </c>
      <c r="L40" s="8" t="n">
        <v>0</v>
      </c>
      <c r="M40" s="9">
        <f>SUMIFS(Maßnahmen!$I$7:$I$126,Maßnahmen!$D$7:$D$126,C40,Maßnahmen!$H$7:$H$126,"&lt;&gt;verworfen")</f>
        <v/>
      </c>
      <c r="N40" s="9">
        <f>IF(ISNUMBER(K40),MAX(0,K40-L40-M40),"n.a.")</f>
        <v/>
      </c>
      <c r="O40" s="9" t="n">
        <v>9</v>
      </c>
      <c r="P40" s="9">
        <f>IF(ISNUMBER(K40),K40-O40,"n.a.")</f>
        <v/>
      </c>
      <c r="Q40" s="1" t="n"/>
      <c r="R40" s="1" t="n"/>
    </row>
    <row r="41" ht="32" customHeight="1">
      <c r="A41" s="1" t="n"/>
      <c r="B41" s="1" t="n"/>
      <c r="C41" s="1" t="inlineStr">
        <is>
          <t>PRJ-3d4efac3-RK-08</t>
        </is>
      </c>
      <c r="D41" s="1" t="inlineStr">
        <is>
          <t>W4102304949</t>
        </is>
      </c>
      <c r="E41" s="6" t="inlineStr">
        <is>
          <t>Gebäudehöhe &gt;22 m / Longfront-Bagger (+130–150 %)</t>
        </is>
      </c>
      <c r="F41" s="1" t="inlineStr">
        <is>
          <t>Termin</t>
        </is>
      </c>
      <c r="G41" s="7" t="n">
        <v>0.6</v>
      </c>
      <c r="H41" s="8" t="n">
        <v>90</v>
      </c>
      <c r="I41" s="8" t="n">
        <v>180</v>
      </c>
      <c r="J41" s="8" t="n">
        <v>340</v>
      </c>
      <c r="K41" s="9">
        <f>IF(OR(COUNT(G41:J41)&lt;&gt;4,G41&lt;0,G41&gt;1,H41&gt;I41,I41&gt;J41),"n.a.",ROUND(G41*(H41+4*I41+J41)/6+0.00000001,2))</f>
        <v/>
      </c>
      <c r="L41" s="8" t="n">
        <v>0</v>
      </c>
      <c r="M41" s="9">
        <f>SUMIFS(Maßnahmen!$I$7:$I$126,Maßnahmen!$D$7:$D$126,C41,Maßnahmen!$H$7:$H$126,"&lt;&gt;verworfen")</f>
        <v/>
      </c>
      <c r="N41" s="9">
        <f>IF(ISNUMBER(K41),MAX(0,K41-L41-M41),"n.a.")</f>
        <v/>
      </c>
      <c r="O41" s="9" t="n">
        <v>115</v>
      </c>
      <c r="P41" s="9">
        <f>IF(ISNUMBER(K41),K41-O41,"n.a.")</f>
        <v/>
      </c>
      <c r="Q41" s="1" t="n"/>
      <c r="R41" s="1" t="n"/>
    </row>
    <row r="42" ht="32" customHeight="1">
      <c r="A42" s="1" t="n"/>
      <c r="B42" s="1" t="n"/>
      <c r="C42" s="1" t="inlineStr">
        <is>
          <t>PRJ-3d4efac3-RK-09</t>
        </is>
      </c>
      <c r="D42" s="1" t="inlineStr">
        <is>
          <t>W4102304949</t>
        </is>
      </c>
      <c r="E42" s="6" t="inlineStr">
        <is>
          <t>Beennte Lage / nur Handabbruch möglich</t>
        </is>
      </c>
      <c r="F42" s="1" t="inlineStr">
        <is>
          <t>Termin</t>
        </is>
      </c>
      <c r="G42" s="7" t="n">
        <v>0.15</v>
      </c>
      <c r="H42" s="8" t="n">
        <v>8</v>
      </c>
      <c r="I42" s="8" t="n">
        <v>20</v>
      </c>
      <c r="J42" s="8" t="n">
        <v>50</v>
      </c>
      <c r="K42" s="9">
        <f>IF(OR(COUNT(G42:J42)&lt;&gt;4,G42&lt;0,G42&gt;1,H42&gt;I42,I42&gt;J42),"n.a.",ROUND(G42*(H42+4*I42+J42)/6+0.00000001,2))</f>
        <v/>
      </c>
      <c r="L42" s="8" t="n">
        <v>0</v>
      </c>
      <c r="M42" s="9">
        <f>SUMIFS(Maßnahmen!$I$7:$I$126,Maßnahmen!$D$7:$D$126,C42,Maßnahmen!$H$7:$H$126,"&lt;&gt;verworfen")</f>
        <v/>
      </c>
      <c r="N42" s="9">
        <f>IF(ISNUMBER(K42),MAX(0,K42-L42-M42),"n.a.")</f>
        <v/>
      </c>
      <c r="O42" s="9" t="n">
        <v>3.45</v>
      </c>
      <c r="P42" s="9">
        <f>IF(ISNUMBER(K42),K42-O42,"n.a.")</f>
        <v/>
      </c>
      <c r="Q42" s="1" t="n"/>
      <c r="R42" s="1" t="n"/>
    </row>
    <row r="43" ht="32" customHeight="1">
      <c r="A43" s="1" t="n"/>
      <c r="B43" s="1" t="n"/>
      <c r="C43" s="1" t="inlineStr">
        <is>
          <t>PRJ-3d4efac3-RK-10</t>
        </is>
      </c>
      <c r="D43" s="1" t="inlineStr">
        <is>
          <t>W4102304949</t>
        </is>
      </c>
      <c r="E43" s="6" t="inlineStr">
        <is>
          <t>Terminvorgabe Auftraggeber / Geräteauslastung</t>
        </is>
      </c>
      <c r="F43" s="1" t="inlineStr">
        <is>
          <t>Termin</t>
        </is>
      </c>
      <c r="G43" s="7" t="n">
        <v>0.1</v>
      </c>
      <c r="H43" s="8" t="n">
        <v>8</v>
      </c>
      <c r="I43" s="8" t="n">
        <v>20</v>
      </c>
      <c r="J43" s="8" t="n">
        <v>50</v>
      </c>
      <c r="K43" s="9">
        <f>IF(OR(COUNT(G43:J43)&lt;&gt;4,G43&lt;0,G43&gt;1,H43&gt;I43,I43&gt;J43),"n.a.",ROUND(G43*(H43+4*I43+J43)/6+0.00000001,2))</f>
        <v/>
      </c>
      <c r="L43" s="8" t="n">
        <v>0</v>
      </c>
      <c r="M43" s="9">
        <f>SUMIFS(Maßnahmen!$I$7:$I$126,Maßnahmen!$D$7:$D$126,C43,Maßnahmen!$H$7:$H$126,"&lt;&gt;verworfen")</f>
        <v/>
      </c>
      <c r="N43" s="9">
        <f>IF(ISNUMBER(K43),MAX(0,K43-L43-M43),"n.a.")</f>
        <v/>
      </c>
      <c r="O43" s="9" t="n">
        <v>2.3</v>
      </c>
      <c r="P43" s="9">
        <f>IF(ISNUMBER(K43),K43-O43,"n.a.")</f>
        <v/>
      </c>
      <c r="Q43" s="1" t="n"/>
      <c r="R43" s="1" t="n"/>
    </row>
    <row r="44" ht="32" customHeight="1">
      <c r="A44" s="1" t="n"/>
      <c r="B44" s="1" t="n"/>
      <c r="C44" s="1" t="inlineStr">
        <is>
          <t>PRJ-3d4efac3-RK-11</t>
        </is>
      </c>
      <c r="D44" s="1" t="inlineStr">
        <is>
          <t>W4102304949</t>
        </is>
      </c>
      <c r="E44" s="6" t="inlineStr">
        <is>
          <t>Witterung / Ablaufstörung</t>
        </is>
      </c>
      <c r="F44" s="1" t="inlineStr">
        <is>
          <t>Termin</t>
        </is>
      </c>
      <c r="G44" s="7" t="n">
        <v>0.25</v>
      </c>
      <c r="H44" s="8" t="n">
        <v>10</v>
      </c>
      <c r="I44" s="8" t="n">
        <v>30</v>
      </c>
      <c r="J44" s="8" t="n">
        <v>60</v>
      </c>
      <c r="K44" s="9">
        <f>IF(OR(COUNT(G44:J44)&lt;&gt;4,G44&lt;0,G44&gt;1,H44&gt;I44,I44&gt;J44),"n.a.",ROUND(G44*(H44+4*I44+J44)/6+0.00000001,2))</f>
        <v/>
      </c>
      <c r="L44" s="8" t="n">
        <v>0</v>
      </c>
      <c r="M44" s="9">
        <f>SUMIFS(Maßnahmen!$I$7:$I$126,Maßnahmen!$D$7:$D$126,C44,Maßnahmen!$H$7:$H$126,"&lt;&gt;verworfen")</f>
        <v/>
      </c>
      <c r="N44" s="9">
        <f>IF(ISNUMBER(K44),MAX(0,K44-L44-M44),"n.a.")</f>
        <v/>
      </c>
      <c r="O44" s="9" t="n">
        <v>7.92</v>
      </c>
      <c r="P44" s="9">
        <f>IF(ISNUMBER(K44),K44-O44,"n.a.")</f>
        <v/>
      </c>
      <c r="Q44" s="1" t="n"/>
      <c r="R44" s="1" t="n"/>
    </row>
    <row r="45" ht="32" customHeight="1">
      <c r="A45" s="1" t="n"/>
      <c r="B45" s="1" t="n"/>
      <c r="C45" s="1" t="inlineStr">
        <is>
          <t>PRJ-3d4efac3-RK-12</t>
        </is>
      </c>
      <c r="D45" s="1" t="inlineStr">
        <is>
          <t>W4102304949</t>
        </is>
      </c>
      <c r="E45" s="6" t="inlineStr">
        <is>
          <t>Staubemissionen (höchster Aufwand laut Umfrage)</t>
        </is>
      </c>
      <c r="F45" s="1" t="inlineStr">
        <is>
          <t>Emissionen</t>
        </is>
      </c>
      <c r="G45" s="7" t="n">
        <v>0.1</v>
      </c>
      <c r="H45" s="8" t="n">
        <v>30</v>
      </c>
      <c r="I45" s="8" t="n">
        <v>60</v>
      </c>
      <c r="J45" s="8" t="n">
        <v>120</v>
      </c>
      <c r="K45" s="9">
        <f>IF(OR(COUNT(G45:J45)&lt;&gt;4,G45&lt;0,G45&gt;1,H45&gt;I45,I45&gt;J45),"n.a.",ROUND(G45*(H45+4*I45+J45)/6+0.00000001,2))</f>
        <v/>
      </c>
      <c r="L45" s="8" t="n">
        <v>0</v>
      </c>
      <c r="M45" s="9">
        <f>SUMIFS(Maßnahmen!$I$7:$I$126,Maßnahmen!$D$7:$D$126,C45,Maßnahmen!$H$7:$H$126,"&lt;&gt;verworfen")</f>
        <v/>
      </c>
      <c r="N45" s="9">
        <f>IF(ISNUMBER(K45),MAX(0,K45-L45-M45),"n.a.")</f>
        <v/>
      </c>
      <c r="O45" s="9" t="n">
        <v>6.5</v>
      </c>
      <c r="P45" s="9">
        <f>IF(ISNUMBER(K45),K45-O45,"n.a.")</f>
        <v/>
      </c>
      <c r="Q45" s="1" t="n"/>
      <c r="R45" s="1" t="n"/>
    </row>
    <row r="46" ht="32" customHeight="1">
      <c r="A46" s="1" t="n"/>
      <c r="B46" s="1" t="n"/>
      <c r="C46" s="1" t="inlineStr">
        <is>
          <t>PRJ-4f8e93d7-RK-05</t>
        </is>
      </c>
      <c r="D46" s="1" t="inlineStr">
        <is>
          <t>P4102307433</t>
        </is>
      </c>
      <c r="E46" s="6" t="inlineStr">
        <is>
          <t>Unbekannte Bauwerkskonstruktion / fehlende Pläne</t>
        </is>
      </c>
      <c r="F46" s="1" t="inlineStr">
        <is>
          <t>Statik</t>
        </is>
      </c>
      <c r="G46" s="7" t="n">
        <v>0.12</v>
      </c>
      <c r="H46" s="8" t="n">
        <v>60711</v>
      </c>
      <c r="I46" s="8" t="n">
        <v>110499</v>
      </c>
      <c r="J46" s="8" t="n">
        <v>192164</v>
      </c>
      <c r="K46" s="9">
        <f>IF(OR(COUNT(G46:J46)&lt;&gt;4,G46&lt;0,G46&gt;1,H46&gt;I46,I46&gt;J46),"n.a.",ROUND(G46*(H46+4*I46+J46)/6+0.00000001,2))</f>
        <v/>
      </c>
      <c r="L46" s="8" t="n">
        <v>0</v>
      </c>
      <c r="M46" s="9">
        <f>SUMIFS(Maßnahmen!$I$7:$I$126,Maßnahmen!$D$7:$D$126,C46,Maßnahmen!$H$7:$H$126,"&lt;&gt;verworfen")</f>
        <v/>
      </c>
      <c r="N46" s="9">
        <f>IF(ISNUMBER(K46),MAX(0,K46-L46-M46),"n.a.")</f>
        <v/>
      </c>
      <c r="O46" s="9" t="n">
        <v>13897.42</v>
      </c>
      <c r="P46" s="9">
        <f>IF(ISNUMBER(K46),K46-O46,"n.a.")</f>
        <v/>
      </c>
      <c r="Q46" s="1" t="n"/>
      <c r="R46" s="1" t="n"/>
    </row>
    <row r="47" ht="32" customHeight="1">
      <c r="A47" s="1" t="n"/>
      <c r="B47" s="1" t="n"/>
      <c r="C47" s="1" t="inlineStr">
        <is>
          <t>PRJ-4f8e93d7-RK-06</t>
        </is>
      </c>
      <c r="D47" s="1" t="inlineStr">
        <is>
          <t>P4102307433</t>
        </is>
      </c>
      <c r="E47" s="6" t="inlineStr">
        <is>
          <t>Statik / Einsturzsicherung während Abbruch</t>
        </is>
      </c>
      <c r="F47" s="1" t="inlineStr">
        <is>
          <t>Statik</t>
        </is>
      </c>
      <c r="G47" s="7" t="n">
        <v>0.12</v>
      </c>
      <c r="H47" s="8" t="n">
        <v>20954</v>
      </c>
      <c r="I47" s="8" t="n">
        <v>48893</v>
      </c>
      <c r="J47" s="8" t="n">
        <v>97786</v>
      </c>
      <c r="K47" s="9">
        <f>IF(OR(COUNT(G47:J47)&lt;&gt;4,G47&lt;0,G47&gt;1,H47&gt;I47,I47&gt;J47),"n.a.",ROUND(G47*(H47+4*I47+J47)/6+0.00000001,2))</f>
        <v/>
      </c>
      <c r="L47" s="8" t="n">
        <v>0</v>
      </c>
      <c r="M47" s="9">
        <f>SUMIFS(Maßnahmen!$I$7:$I$126,Maßnahmen!$D$7:$D$126,C47,Maßnahmen!$H$7:$H$126,"&lt;&gt;verworfen")</f>
        <v/>
      </c>
      <c r="N47" s="9">
        <f>IF(ISNUMBER(K47),MAX(0,K47-L47-M47),"n.a.")</f>
        <v/>
      </c>
      <c r="O47" s="9" t="n">
        <v>6286.24</v>
      </c>
      <c r="P47" s="9">
        <f>IF(ISNUMBER(K47),K47-O47,"n.a.")</f>
        <v/>
      </c>
      <c r="Q47" s="1" t="n"/>
      <c r="R47" s="1" t="n"/>
    </row>
    <row r="48" ht="32" customHeight="1">
      <c r="A48" s="1" t="n"/>
      <c r="B48" s="1" t="n"/>
      <c r="C48" s="1" t="inlineStr">
        <is>
          <t>PRJ-4f8e93d7-RK-07</t>
        </is>
      </c>
      <c r="D48" s="1" t="inlineStr">
        <is>
          <t>P4102307433</t>
        </is>
      </c>
      <c r="E48" s="6" t="inlineStr">
        <is>
          <t>Unterirdische Tragkonstruktion / Fundamente</t>
        </is>
      </c>
      <c r="F48" s="1" t="inlineStr">
        <is>
          <t>Statik</t>
        </is>
      </c>
      <c r="G48" s="7" t="n">
        <v>0.6</v>
      </c>
      <c r="H48" s="8" t="n">
        <v>3492</v>
      </c>
      <c r="I48" s="8" t="n">
        <v>13969</v>
      </c>
      <c r="J48" s="8" t="n">
        <v>34924</v>
      </c>
      <c r="K48" s="9">
        <f>IF(OR(COUNT(G48:J48)&lt;&gt;4,G48&lt;0,G48&gt;1,H48&gt;I48,I48&gt;J48),"n.a.",ROUND(G48*(H48+4*I48+J48)/6+0.00000001,2))</f>
        <v/>
      </c>
      <c r="L48" s="8" t="n">
        <v>0</v>
      </c>
      <c r="M48" s="9">
        <f>SUMIFS(Maßnahmen!$I$7:$I$126,Maßnahmen!$D$7:$D$126,C48,Maßnahmen!$H$7:$H$126,"&lt;&gt;verworfen")</f>
        <v/>
      </c>
      <c r="N48" s="9">
        <f>IF(ISNUMBER(K48),MAX(0,K48-L48-M48),"n.a.")</f>
        <v/>
      </c>
      <c r="O48" s="9" t="n">
        <v>9429.200000000001</v>
      </c>
      <c r="P48" s="9">
        <f>IF(ISNUMBER(K48),K48-O48,"n.a.")</f>
        <v/>
      </c>
      <c r="Q48" s="1" t="n"/>
      <c r="R48" s="1" t="n"/>
    </row>
    <row r="49" ht="32" customHeight="1">
      <c r="A49" s="1" t="n"/>
      <c r="B49" s="1" t="n"/>
      <c r="C49" s="1" t="inlineStr">
        <is>
          <t>PRJ-4f8e93d7-RK-08</t>
        </is>
      </c>
      <c r="D49" s="1" t="inlineStr">
        <is>
          <t>P4102307433</t>
        </is>
      </c>
      <c r="E49" s="6" t="inlineStr">
        <is>
          <t>Gebäudehöhe &gt;22 m / Longfront-Bagger (+130–150 %)</t>
        </is>
      </c>
      <c r="F49" s="1" t="inlineStr">
        <is>
          <t>Termin</t>
        </is>
      </c>
      <c r="G49" s="7" t="n">
        <v>0.307</v>
      </c>
      <c r="H49" s="8" t="n">
        <v>21919</v>
      </c>
      <c r="I49" s="8" t="n">
        <v>48956</v>
      </c>
      <c r="J49" s="8" t="n">
        <v>94178</v>
      </c>
      <c r="K49" s="9">
        <f>IF(OR(COUNT(G49:J49)&lt;&gt;4,G49&lt;0,G49&gt;1,H49&gt;I49,I49&gt;J49),"n.a.",ROUND(G49*(H49+4*I49+J49)/6+0.00000001,2))</f>
        <v/>
      </c>
      <c r="L49" s="8" t="n">
        <v>0</v>
      </c>
      <c r="M49" s="9">
        <f>SUMIFS(Maßnahmen!$I$7:$I$126,Maßnahmen!$D$7:$D$126,C49,Maßnahmen!$H$7:$H$126,"&lt;&gt;verworfen")</f>
        <v/>
      </c>
      <c r="N49" s="9">
        <f>IF(ISNUMBER(K49),MAX(0,K49-L49-M49),"n.a.")</f>
        <v/>
      </c>
      <c r="O49" s="9" t="n">
        <v>15959.96</v>
      </c>
      <c r="P49" s="9">
        <f>IF(ISNUMBER(K49),K49-O49,"n.a.")</f>
        <v/>
      </c>
      <c r="Q49" s="1" t="n"/>
      <c r="R49" s="1" t="n"/>
    </row>
    <row r="50" ht="32" customHeight="1">
      <c r="A50" s="1" t="n"/>
      <c r="B50" s="1" t="n"/>
      <c r="C50" s="1" t="inlineStr">
        <is>
          <t>PRJ-3d4efac4-RK-01</t>
        </is>
      </c>
      <c r="D50" s="1" t="inlineStr">
        <is>
          <t>W4102304948</t>
        </is>
      </c>
      <c r="E50" s="6" t="inlineStr">
        <is>
          <t>Schadstofffund / Schadstoffsanierung (Asbest, PAK, PCB, PCP)</t>
        </is>
      </c>
      <c r="F50" s="1" t="inlineStr">
        <is>
          <t>Schadstoffe</t>
        </is>
      </c>
      <c r="G50" s="7" t="n">
        <v>0.1</v>
      </c>
      <c r="H50" s="8" t="n">
        <v>20</v>
      </c>
      <c r="I50" s="8" t="n">
        <v>50</v>
      </c>
      <c r="J50" s="8" t="n">
        <v>100</v>
      </c>
      <c r="K50" s="9">
        <f>IF(OR(COUNT(G50:J50)&lt;&gt;4,G50&lt;0,G50&gt;1,H50&gt;I50,I50&gt;J50),"n.a.",ROUND(G50*(H50+4*I50+J50)/6+0.00000001,2))</f>
        <v/>
      </c>
      <c r="L50" s="8" t="n">
        <v>0</v>
      </c>
      <c r="M50" s="9">
        <f>SUMIFS(Maßnahmen!$I$7:$I$126,Maßnahmen!$D$7:$D$126,C50,Maßnahmen!$H$7:$H$126,"&lt;&gt;verworfen")</f>
        <v/>
      </c>
      <c r="N50" s="9">
        <f>IF(ISNUMBER(K50),MAX(0,K50-L50-M50),"n.a.")</f>
        <v/>
      </c>
      <c r="O50" s="9" t="n">
        <v>5.33</v>
      </c>
      <c r="P50" s="9">
        <f>IF(ISNUMBER(K50),K50-O50,"n.a.")</f>
        <v/>
      </c>
      <c r="Q50" s="1" t="n"/>
      <c r="R50" s="1" t="n"/>
    </row>
    <row r="51" ht="32" customHeight="1">
      <c r="A51" s="1" t="n"/>
      <c r="B51" s="1" t="n"/>
      <c r="C51" s="1" t="inlineStr">
        <is>
          <t>PRJ-3d4efac4-RK-02</t>
        </is>
      </c>
      <c r="D51" s="1" t="inlineStr">
        <is>
          <t>W4102304948</t>
        </is>
      </c>
      <c r="E51" s="6" t="inlineStr">
        <is>
          <t>Arbeitsschutz kontaminierte Bereiche (TRGS 524)</t>
        </is>
      </c>
      <c r="F51" s="1" t="inlineStr">
        <is>
          <t>Schadstoffe</t>
        </is>
      </c>
      <c r="G51" s="7" t="n">
        <v>0.47</v>
      </c>
      <c r="H51" s="8" t="n">
        <v>20</v>
      </c>
      <c r="I51" s="8" t="n">
        <v>50</v>
      </c>
      <c r="J51" s="8" t="n">
        <v>100</v>
      </c>
      <c r="K51" s="9">
        <f>IF(OR(COUNT(G51:J51)&lt;&gt;4,G51&lt;0,G51&gt;1,H51&gt;I51,I51&gt;J51),"n.a.",ROUND(G51*(H51+4*I51+J51)/6+0.00000001,2))</f>
        <v/>
      </c>
      <c r="L51" s="8" t="n">
        <v>0</v>
      </c>
      <c r="M51" s="9">
        <f>SUMIFS(Maßnahmen!$I$7:$I$126,Maßnahmen!$D$7:$D$126,C51,Maßnahmen!$H$7:$H$126,"&lt;&gt;verworfen")</f>
        <v/>
      </c>
      <c r="N51" s="9">
        <f>IF(ISNUMBER(K51),MAX(0,K51-L51-M51),"n.a.")</f>
        <v/>
      </c>
      <c r="O51" s="9" t="n">
        <v>25.07</v>
      </c>
      <c r="P51" s="9">
        <f>IF(ISNUMBER(K51),K51-O51,"n.a.")</f>
        <v/>
      </c>
      <c r="Q51" s="1" t="n"/>
      <c r="R51" s="1" t="n"/>
    </row>
    <row r="52" ht="32" customHeight="1">
      <c r="A52" s="1" t="n"/>
      <c r="B52" s="1" t="n"/>
      <c r="C52" s="1" t="inlineStr">
        <is>
          <t>PRJ-3d4efac4-RK-08</t>
        </is>
      </c>
      <c r="D52" s="1" t="inlineStr">
        <is>
          <t>W4102304948</t>
        </is>
      </c>
      <c r="E52" s="6" t="inlineStr">
        <is>
          <t>Gebäudehöhe &gt;22 m / Longfront-Bagger (+130–150 %)</t>
        </is>
      </c>
      <c r="F52" s="1" t="inlineStr">
        <is>
          <t>Termin</t>
        </is>
      </c>
      <c r="G52" s="7" t="n">
        <v>0.6</v>
      </c>
      <c r="H52" s="8" t="n">
        <v>90</v>
      </c>
      <c r="I52" s="8" t="n">
        <v>180</v>
      </c>
      <c r="J52" s="8" t="n">
        <v>340</v>
      </c>
      <c r="K52" s="9">
        <f>IF(OR(COUNT(G52:J52)&lt;&gt;4,G52&lt;0,G52&gt;1,H52&gt;I52,I52&gt;J52),"n.a.",ROUND(G52*(H52+4*I52+J52)/6+0.00000001,2))</f>
        <v/>
      </c>
      <c r="L52" s="8" t="n">
        <v>0</v>
      </c>
      <c r="M52" s="9">
        <f>SUMIFS(Maßnahmen!$I$7:$I$126,Maßnahmen!$D$7:$D$126,C52,Maßnahmen!$H$7:$H$126,"&lt;&gt;verworfen")</f>
        <v/>
      </c>
      <c r="N52" s="9">
        <f>IF(ISNUMBER(K52),MAX(0,K52-L52-M52),"n.a.")</f>
        <v/>
      </c>
      <c r="O52" s="9" t="n">
        <v>115</v>
      </c>
      <c r="P52" s="9">
        <f>IF(ISNUMBER(K52),K52-O52,"n.a.")</f>
        <v/>
      </c>
      <c r="Q52" s="1" t="n"/>
      <c r="R52" s="1" t="n"/>
    </row>
    <row r="53" ht="32" customHeight="1">
      <c r="A53" s="1" t="n"/>
      <c r="B53" s="1" t="n"/>
      <c r="C53" s="1" t="inlineStr">
        <is>
          <t>PRJ-3d4efac4-RK-09</t>
        </is>
      </c>
      <c r="D53" s="1" t="inlineStr">
        <is>
          <t>W4102304948</t>
        </is>
      </c>
      <c r="E53" s="6" t="inlineStr">
        <is>
          <t>Beennte Lage / nur Handabbruch möglich</t>
        </is>
      </c>
      <c r="F53" s="1" t="inlineStr">
        <is>
          <t>Termin</t>
        </is>
      </c>
      <c r="G53" s="7" t="n">
        <v>0.15</v>
      </c>
      <c r="H53" s="8" t="n">
        <v>8</v>
      </c>
      <c r="I53" s="8" t="n">
        <v>20</v>
      </c>
      <c r="J53" s="8" t="n">
        <v>50</v>
      </c>
      <c r="K53" s="9">
        <f>IF(OR(COUNT(G53:J53)&lt;&gt;4,G53&lt;0,G53&gt;1,H53&gt;I53,I53&gt;J53),"n.a.",ROUND(G53*(H53+4*I53+J53)/6+0.00000001,2))</f>
        <v/>
      </c>
      <c r="L53" s="8" t="n">
        <v>0</v>
      </c>
      <c r="M53" s="9">
        <f>SUMIFS(Maßnahmen!$I$7:$I$126,Maßnahmen!$D$7:$D$126,C53,Maßnahmen!$H$7:$H$126,"&lt;&gt;verworfen")</f>
        <v/>
      </c>
      <c r="N53" s="9">
        <f>IF(ISNUMBER(K53),MAX(0,K53-L53-M53),"n.a.")</f>
        <v/>
      </c>
      <c r="O53" s="9" t="n">
        <v>3.45</v>
      </c>
      <c r="P53" s="9">
        <f>IF(ISNUMBER(K53),K53-O53,"n.a.")</f>
        <v/>
      </c>
      <c r="Q53" s="1" t="n"/>
      <c r="R53" s="1" t="n"/>
    </row>
    <row r="54" ht="32" customHeight="1">
      <c r="A54" s="1" t="n"/>
      <c r="B54" s="1" t="n"/>
      <c r="C54" s="1" t="inlineStr">
        <is>
          <t>PRJ-3d4efac4-RK-10</t>
        </is>
      </c>
      <c r="D54" s="1" t="inlineStr">
        <is>
          <t>W4102304948</t>
        </is>
      </c>
      <c r="E54" s="6" t="inlineStr">
        <is>
          <t>Terminvorgabe Auftraggeber / Geräteauslastung</t>
        </is>
      </c>
      <c r="F54" s="1" t="inlineStr">
        <is>
          <t>Termin</t>
        </is>
      </c>
      <c r="G54" s="7" t="n">
        <v>0.1</v>
      </c>
      <c r="H54" s="8" t="n">
        <v>8</v>
      </c>
      <c r="I54" s="8" t="n">
        <v>20</v>
      </c>
      <c r="J54" s="8" t="n">
        <v>50</v>
      </c>
      <c r="K54" s="9">
        <f>IF(OR(COUNT(G54:J54)&lt;&gt;4,G54&lt;0,G54&gt;1,H54&gt;I54,I54&gt;J54),"n.a.",ROUND(G54*(H54+4*I54+J54)/6+0.00000001,2))</f>
        <v/>
      </c>
      <c r="L54" s="8" t="n">
        <v>0</v>
      </c>
      <c r="M54" s="9">
        <f>SUMIFS(Maßnahmen!$I$7:$I$126,Maßnahmen!$D$7:$D$126,C54,Maßnahmen!$H$7:$H$126,"&lt;&gt;verworfen")</f>
        <v/>
      </c>
      <c r="N54" s="9">
        <f>IF(ISNUMBER(K54),MAX(0,K54-L54-M54),"n.a.")</f>
        <v/>
      </c>
      <c r="O54" s="9" t="n">
        <v>2.3</v>
      </c>
      <c r="P54" s="9">
        <f>IF(ISNUMBER(K54),K54-O54,"n.a.")</f>
        <v/>
      </c>
      <c r="Q54" s="1" t="n"/>
      <c r="R54" s="1" t="n"/>
    </row>
    <row r="55" ht="32" customHeight="1">
      <c r="A55" s="1" t="n"/>
      <c r="B55" s="1" t="n"/>
      <c r="C55" s="1" t="inlineStr">
        <is>
          <t>PRJ-3d4efac4-RK-11</t>
        </is>
      </c>
      <c r="D55" s="1" t="inlineStr">
        <is>
          <t>W4102304948</t>
        </is>
      </c>
      <c r="E55" s="6" t="inlineStr">
        <is>
          <t>Witterung / Ablaufstörung</t>
        </is>
      </c>
      <c r="F55" s="1" t="inlineStr">
        <is>
          <t>Termin</t>
        </is>
      </c>
      <c r="G55" s="7" t="n">
        <v>0.25</v>
      </c>
      <c r="H55" s="8" t="n">
        <v>10</v>
      </c>
      <c r="I55" s="8" t="n">
        <v>30</v>
      </c>
      <c r="J55" s="8" t="n">
        <v>60</v>
      </c>
      <c r="K55" s="9">
        <f>IF(OR(COUNT(G55:J55)&lt;&gt;4,G55&lt;0,G55&gt;1,H55&gt;I55,I55&gt;J55),"n.a.",ROUND(G55*(H55+4*I55+J55)/6+0.00000001,2))</f>
        <v/>
      </c>
      <c r="L55" s="8" t="n">
        <v>0</v>
      </c>
      <c r="M55" s="9">
        <f>SUMIFS(Maßnahmen!$I$7:$I$126,Maßnahmen!$D$7:$D$126,C55,Maßnahmen!$H$7:$H$126,"&lt;&gt;verworfen")</f>
        <v/>
      </c>
      <c r="N55" s="9">
        <f>IF(ISNUMBER(K55),MAX(0,K55-L55-M55),"n.a.")</f>
        <v/>
      </c>
      <c r="O55" s="9" t="n">
        <v>7.92</v>
      </c>
      <c r="P55" s="9">
        <f>IF(ISNUMBER(K55),K55-O55,"n.a.")</f>
        <v/>
      </c>
      <c r="Q55" s="1" t="n"/>
      <c r="R55" s="1" t="n"/>
    </row>
    <row r="56" ht="32" customHeight="1">
      <c r="A56" s="1" t="n"/>
      <c r="B56" s="1" t="n"/>
      <c r="C56" s="1" t="inlineStr">
        <is>
          <t>PRJ-3d4efac3-RK-05</t>
        </is>
      </c>
      <c r="D56" s="1" t="inlineStr">
        <is>
          <t>W4102304949</t>
        </is>
      </c>
      <c r="E56" s="6" t="inlineStr">
        <is>
          <t>Unbekannte Bauwerkskonstruktion / fehlende Pläne</t>
        </is>
      </c>
      <c r="F56" s="1" t="inlineStr">
        <is>
          <t>Statik</t>
        </is>
      </c>
      <c r="G56" s="7" t="n">
        <v>0.12</v>
      </c>
      <c r="H56" s="8" t="n">
        <v>40</v>
      </c>
      <c r="I56" s="8" t="n">
        <v>80</v>
      </c>
      <c r="J56" s="8" t="n">
        <v>150</v>
      </c>
      <c r="K56" s="9">
        <f>IF(OR(COUNT(G56:J56)&lt;&gt;4,G56&lt;0,G56&gt;1,H56&gt;I56,I56&gt;J56),"n.a.",ROUND(G56*(H56+4*I56+J56)/6+0.00000001,2))</f>
        <v/>
      </c>
      <c r="L56" s="8" t="n">
        <v>0</v>
      </c>
      <c r="M56" s="9">
        <f>SUMIFS(Maßnahmen!$I$7:$I$126,Maßnahmen!$D$7:$D$126,C56,Maßnahmen!$H$7:$H$126,"&lt;&gt;verworfen")</f>
        <v/>
      </c>
      <c r="N56" s="9">
        <f>IF(ISNUMBER(K56),MAX(0,K56-L56-M56),"n.a.")</f>
        <v/>
      </c>
      <c r="O56" s="9" t="n">
        <v>10.2</v>
      </c>
      <c r="P56" s="9">
        <f>IF(ISNUMBER(K56),K56-O56,"n.a.")</f>
        <v/>
      </c>
      <c r="Q56" s="1" t="n"/>
      <c r="R56" s="1" t="n"/>
    </row>
    <row r="57" ht="32" customHeight="1">
      <c r="A57" s="1" t="n"/>
      <c r="B57" s="1" t="n"/>
      <c r="C57" s="1" t="inlineStr">
        <is>
          <t>PRJ-4f8e93d7-RK-09</t>
        </is>
      </c>
      <c r="D57" s="1" t="inlineStr">
        <is>
          <t>P4102307433</t>
        </is>
      </c>
      <c r="E57" s="6" t="inlineStr">
        <is>
          <t>Beennte Lage / nur Handabbruch möglich</t>
        </is>
      </c>
      <c r="F57" s="1" t="inlineStr">
        <is>
          <t>Termin</t>
        </is>
      </c>
      <c r="G57" s="7" t="n">
        <v>0.259</v>
      </c>
      <c r="H57" s="8" t="n">
        <v>16512</v>
      </c>
      <c r="I57" s="8" t="n">
        <v>35818</v>
      </c>
      <c r="J57" s="8" t="n">
        <v>78620</v>
      </c>
      <c r="K57" s="9">
        <f>IF(OR(COUNT(G57:J57)&lt;&gt;4,G57&lt;0,G57&gt;1,H57&gt;I57,I57&gt;J57),"n.a.",ROUND(G57*(H57+4*I57+J57)/6+0.00000001,2))</f>
        <v/>
      </c>
      <c r="L57" s="8" t="n">
        <v>0</v>
      </c>
      <c r="M57" s="9">
        <f>SUMIFS(Maßnahmen!$I$7:$I$126,Maßnahmen!$D$7:$D$126,C57,Maßnahmen!$H$7:$H$126,"&lt;&gt;verworfen")</f>
        <v/>
      </c>
      <c r="N57" s="9">
        <f>IF(ISNUMBER(K57),MAX(0,K57-L57-M57),"n.a.")</f>
        <v/>
      </c>
      <c r="O57" s="9" t="n">
        <v>10291.11</v>
      </c>
      <c r="P57" s="9">
        <f>IF(ISNUMBER(K57),K57-O57,"n.a.")</f>
        <v/>
      </c>
      <c r="Q57" s="1" t="n"/>
      <c r="R57" s="1" t="n"/>
    </row>
    <row r="58" ht="32" customHeight="1">
      <c r="A58" s="1" t="n"/>
      <c r="B58" s="1" t="n"/>
      <c r="C58" s="1" t="inlineStr">
        <is>
          <t>PRJ-4f8e93d7-RK-10</t>
        </is>
      </c>
      <c r="D58" s="1" t="inlineStr">
        <is>
          <t>P4102307433</t>
        </is>
      </c>
      <c r="E58" s="6" t="inlineStr">
        <is>
          <t>Terminvorgabe Auftraggeber / Geräteauslastung</t>
        </is>
      </c>
      <c r="F58" s="1" t="inlineStr">
        <is>
          <t>Termin</t>
        </is>
      </c>
      <c r="G58" s="7" t="n">
        <v>0.08</v>
      </c>
      <c r="H58" s="8" t="n">
        <v>3492</v>
      </c>
      <c r="I58" s="8" t="n">
        <v>6985</v>
      </c>
      <c r="J58" s="8" t="n">
        <v>13969</v>
      </c>
      <c r="K58" s="9">
        <f>IF(OR(COUNT(G58:J58)&lt;&gt;4,G58&lt;0,G58&gt;1,H58&gt;I58,I58&gt;J58),"n.a.",ROUND(G58*(H58+4*I58+J58)/6+0.00000001,2))</f>
        <v/>
      </c>
      <c r="L58" s="8" t="n">
        <v>0</v>
      </c>
      <c r="M58" s="9">
        <f>SUMIFS(Maßnahmen!$I$7:$I$126,Maßnahmen!$D$7:$D$126,C58,Maßnahmen!$H$7:$H$126,"&lt;&gt;verworfen")</f>
        <v/>
      </c>
      <c r="N58" s="9">
        <f>IF(ISNUMBER(K58),MAX(0,K58-L58-M58),"n.a.")</f>
        <v/>
      </c>
      <c r="O58" s="9" t="n">
        <v>605.35</v>
      </c>
      <c r="P58" s="9">
        <f>IF(ISNUMBER(K58),K58-O58,"n.a.")</f>
        <v/>
      </c>
      <c r="Q58" s="1" t="n"/>
      <c r="R58" s="1" t="n"/>
    </row>
    <row r="59" ht="32" customHeight="1">
      <c r="A59" s="1" t="n"/>
      <c r="B59" s="1" t="n"/>
      <c r="C59" s="1" t="inlineStr">
        <is>
          <t>PRJ-4f8e93d7-RK-11</t>
        </is>
      </c>
      <c r="D59" s="1" t="inlineStr">
        <is>
          <t>P4102307433</t>
        </is>
      </c>
      <c r="E59" s="6" t="inlineStr">
        <is>
          <t>Witterung / Ablaufstörung</t>
        </is>
      </c>
      <c r="F59" s="1" t="inlineStr">
        <is>
          <t>Termin</t>
        </is>
      </c>
      <c r="G59" s="7" t="n">
        <v>0.55</v>
      </c>
      <c r="H59" s="8" t="n">
        <v>39434</v>
      </c>
      <c r="I59" s="8" t="n">
        <v>69628</v>
      </c>
      <c r="J59" s="8" t="n">
        <v>139257</v>
      </c>
      <c r="K59" s="9">
        <f>IF(OR(COUNT(G59:J59)&lt;&gt;4,G59&lt;0,G59&gt;1,H59&gt;I59,I59&gt;J59),"n.a.",ROUND(G59*(H59+4*I59+J59)/6+0.00000001,2))</f>
        <v/>
      </c>
      <c r="L59" s="8" t="n">
        <v>0</v>
      </c>
      <c r="M59" s="9">
        <f>SUMIFS(Maßnahmen!$I$7:$I$126,Maßnahmen!$D$7:$D$126,C59,Maßnahmen!$H$7:$H$126,"&lt;&gt;verworfen")</f>
        <v/>
      </c>
      <c r="N59" s="9">
        <f>IF(ISNUMBER(K59),MAX(0,K59-L59-M59),"n.a.")</f>
        <v/>
      </c>
      <c r="O59" s="9" t="n">
        <v>41910.28</v>
      </c>
      <c r="P59" s="9">
        <f>IF(ISNUMBER(K59),K59-O59,"n.a.")</f>
        <v/>
      </c>
      <c r="Q59" s="1" t="n"/>
      <c r="R59" s="1" t="n"/>
    </row>
    <row r="60" ht="32" customHeight="1">
      <c r="A60" s="1" t="n"/>
      <c r="B60" s="1" t="n"/>
      <c r="C60" s="1" t="inlineStr">
        <is>
          <t>PRJ-4f8e93d7-RK-12</t>
        </is>
      </c>
      <c r="D60" s="1" t="inlineStr">
        <is>
          <t>P4102307433</t>
        </is>
      </c>
      <c r="E60" s="6" t="inlineStr">
        <is>
          <t>Staubemissionen (höchster Aufwand laut Umfrage)</t>
        </is>
      </c>
      <c r="F60" s="1" t="inlineStr">
        <is>
          <t>Emissionen</t>
        </is>
      </c>
      <c r="G60" s="7" t="n">
        <v>0.101</v>
      </c>
      <c r="H60" s="8" t="n">
        <v>23053</v>
      </c>
      <c r="I60" s="8" t="n">
        <v>44427</v>
      </c>
      <c r="J60" s="8" t="n">
        <v>88014</v>
      </c>
      <c r="K60" s="9">
        <f>IF(OR(COUNT(G60:J60)&lt;&gt;4,G60&lt;0,G60&gt;1,H60&gt;I60,I60&gt;J60),"n.a.",ROUND(G60*(H60+4*I60+J60)/6+0.00000001,2))</f>
        <v/>
      </c>
      <c r="L60" s="8" t="n">
        <v>0</v>
      </c>
      <c r="M60" s="9">
        <f>SUMIFS(Maßnahmen!$I$7:$I$126,Maßnahmen!$D$7:$D$126,C60,Maßnahmen!$H$7:$H$126,"&lt;&gt;verworfen")</f>
        <v/>
      </c>
      <c r="N60" s="9">
        <f>IF(ISNUMBER(K60),MAX(0,K60-L60-M60),"n.a.")</f>
        <v/>
      </c>
      <c r="O60" s="9" t="n">
        <v>4861.05</v>
      </c>
      <c r="P60" s="9">
        <f>IF(ISNUMBER(K60),K60-O60,"n.a.")</f>
        <v/>
      </c>
      <c r="Q60" s="1" t="n"/>
      <c r="R60" s="1" t="n"/>
    </row>
    <row r="61" ht="32" customHeight="1">
      <c r="C61" s="10" t="inlineStr">
        <is>
          <t>PRJ-4f8e93d7-RK-13</t>
        </is>
      </c>
      <c r="D61" s="10" t="inlineStr">
        <is>
          <t>P4102307433</t>
        </is>
      </c>
      <c r="E61" s="11" t="inlineStr">
        <is>
          <t>Lärm- und Erschütterungsauflagen</t>
        </is>
      </c>
      <c r="F61" s="10" t="inlineStr">
        <is>
          <t>Emissionen</t>
        </is>
      </c>
      <c r="G61" s="12" t="n">
        <v>0.372</v>
      </c>
      <c r="H61" s="13" t="n">
        <v>40187</v>
      </c>
      <c r="I61" s="13" t="n">
        <v>82990</v>
      </c>
      <c r="J61" s="13" t="n">
        <v>152871</v>
      </c>
      <c r="K61" s="14">
        <f>IF(OR(COUNT(G61:J61)&lt;&gt;4,G61&lt;0,G61&gt;1,H61&gt;I61,I61&gt;J61),"n.a.",ROUND(G61*(H61+4*I61+J61)/6+0.00000001,2))</f>
        <v/>
      </c>
      <c r="L61" s="13" t="n">
        <v>0</v>
      </c>
      <c r="M61" s="14">
        <f>SUMIFS(Maßnahmen!$I$7:$I$126,Maßnahmen!$D$7:$D$126,C61,Maßnahmen!$H$7:$H$126,"&lt;&gt;verworfen")</f>
        <v/>
      </c>
      <c r="N61" s="14">
        <f>IF(ISNUMBER(K61),MAX(0,K61-L61-M61),"n.a.")</f>
        <v/>
      </c>
      <c r="O61" s="14" t="n">
        <v>32551.12</v>
      </c>
      <c r="P61" s="14">
        <f>IF(ISNUMBER(K61),K61-O61,"n.a.")</f>
        <v/>
      </c>
    </row>
    <row r="62" ht="32" customHeight="1">
      <c r="C62" s="10" t="inlineStr">
        <is>
          <t>PRJ-4f8e93d7-RK-14</t>
        </is>
      </c>
      <c r="D62" s="10" t="inlineStr">
        <is>
          <t>P4102307433</t>
        </is>
      </c>
      <c r="E62" s="11" t="inlineStr">
        <is>
          <t>Rechtliche Auflagen / Entsorgungsnachweise (Formalismus)</t>
        </is>
      </c>
      <c r="F62" s="10" t="inlineStr">
        <is>
          <t>Genehmigung</t>
        </is>
      </c>
      <c r="G62" s="12" t="n">
        <v>0.214</v>
      </c>
      <c r="H62" s="13" t="n">
        <v>25411</v>
      </c>
      <c r="I62" s="13" t="n">
        <v>52448</v>
      </c>
      <c r="J62" s="13" t="n">
        <v>101162</v>
      </c>
      <c r="K62" s="14">
        <f>IF(OR(COUNT(G62:J62)&lt;&gt;4,G62&lt;0,G62&gt;1,H62&gt;I62,I62&gt;J62),"n.a.",ROUND(G62*(H62+4*I62+J62)/6+0.00000001,2))</f>
        <v/>
      </c>
      <c r="L62" s="13" t="n">
        <v>0</v>
      </c>
      <c r="M62" s="14">
        <f>SUMIFS(Maßnahmen!$I$7:$I$126,Maßnahmen!$D$7:$D$126,C62,Maßnahmen!$H$7:$H$126,"&lt;&gt;verworfen")</f>
        <v/>
      </c>
      <c r="N62" s="14">
        <f>IF(ISNUMBER(K62),MAX(0,K62-L62-M62),"n.a.")</f>
        <v/>
      </c>
      <c r="O62" s="14" t="n">
        <v>11997.02</v>
      </c>
      <c r="P62" s="14">
        <f>IF(ISNUMBER(K62),K62-O62,"n.a.")</f>
        <v/>
      </c>
    </row>
    <row r="63" ht="32" customHeight="1">
      <c r="C63" s="10" t="inlineStr">
        <is>
          <t>PRJ-4a6f9ca3-RK-06</t>
        </is>
      </c>
      <c r="D63" s="10" t="inlineStr">
        <is>
          <t>P4102608271</t>
        </is>
      </c>
      <c r="E63" s="11" t="inlineStr">
        <is>
          <t>Statik / Einsturzsicherung während Abbruch</t>
        </is>
      </c>
      <c r="F63" s="10" t="inlineStr">
        <is>
          <t>Statik</t>
        </is>
      </c>
      <c r="G63" s="12" t="n">
        <v>0.328</v>
      </c>
      <c r="H63" s="13" t="n">
        <v>2315</v>
      </c>
      <c r="I63" s="13" t="n">
        <v>4158</v>
      </c>
      <c r="J63" s="13" t="n">
        <v>7071</v>
      </c>
      <c r="K63" s="14">
        <f>IF(OR(COUNT(G63:J63)&lt;&gt;4,G63&lt;0,G63&gt;1,H63&gt;I63,I63&gt;J63),"n.a.",ROUND(G63*(H63+4*I63+J63)/6+0.00000001,2))</f>
        <v/>
      </c>
      <c r="L63" s="13" t="n">
        <v>0</v>
      </c>
      <c r="M63" s="14">
        <f>SUMIFS(Maßnahmen!$I$7:$I$126,Maßnahmen!$D$7:$D$126,C63,Maßnahmen!$H$7:$H$126,"&lt;&gt;verworfen")</f>
        <v/>
      </c>
      <c r="N63" s="14">
        <f>IF(ISNUMBER(K63),MAX(0,K63-L63-M63),"n.a.")</f>
        <v/>
      </c>
      <c r="O63" s="14" t="n">
        <v>1422.32</v>
      </c>
      <c r="P63" s="14">
        <f>IF(ISNUMBER(K63),K63-O63,"n.a.")</f>
        <v/>
      </c>
    </row>
    <row r="64" ht="32" customHeight="1">
      <c r="C64" s="10" t="inlineStr">
        <is>
          <t>PRJ-4a6f9ca3-RK-07</t>
        </is>
      </c>
      <c r="D64" s="10" t="inlineStr">
        <is>
          <t>P4102608271</t>
        </is>
      </c>
      <c r="E64" s="11" t="inlineStr">
        <is>
          <t>Unterirdische Tragkonstruktion / Fundamente</t>
        </is>
      </c>
      <c r="F64" s="10" t="inlineStr">
        <is>
          <t>Statik</t>
        </is>
      </c>
      <c r="G64" s="12" t="n">
        <v>0.5</v>
      </c>
      <c r="H64" s="13" t="n">
        <v>697</v>
      </c>
      <c r="I64" s="13" t="n">
        <v>1295</v>
      </c>
      <c r="J64" s="13" t="n">
        <v>2614</v>
      </c>
      <c r="K64" s="14">
        <f>IF(OR(COUNT(G64:J64)&lt;&gt;4,G64&lt;0,G64&gt;1,H64&gt;I64,I64&gt;J64),"n.a.",ROUND(G64*(H64+4*I64+J64)/6+0.00000001,2))</f>
        <v/>
      </c>
      <c r="L64" s="13" t="n">
        <v>0</v>
      </c>
      <c r="M64" s="14">
        <f>SUMIFS(Maßnahmen!$I$7:$I$126,Maßnahmen!$D$7:$D$126,C64,Maßnahmen!$H$7:$H$126,"&lt;&gt;verworfen")</f>
        <v/>
      </c>
      <c r="N64" s="14">
        <f>IF(ISNUMBER(K64),MAX(0,K64-L64-M64),"n.a.")</f>
        <v/>
      </c>
      <c r="O64" s="14" t="n">
        <v>707.58</v>
      </c>
      <c r="P64" s="14">
        <f>IF(ISNUMBER(K64),K64-O64,"n.a.")</f>
        <v/>
      </c>
    </row>
    <row r="65" ht="32" customHeight="1">
      <c r="C65" s="10" t="inlineStr">
        <is>
          <t>PRJ-4a6f9ca3-RK-08</t>
        </is>
      </c>
      <c r="D65" s="10" t="inlineStr">
        <is>
          <t>P4102608271</t>
        </is>
      </c>
      <c r="E65" s="11" t="inlineStr">
        <is>
          <t>Gebäudehöhe &gt;22 m / Longfront-Bagger (+130–150 %)</t>
        </is>
      </c>
      <c r="F65" s="10" t="inlineStr">
        <is>
          <t>Termin</t>
        </is>
      </c>
      <c r="G65" s="12" t="n">
        <v>0.2</v>
      </c>
      <c r="H65" s="13" t="n">
        <v>149</v>
      </c>
      <c r="I65" s="13" t="n">
        <v>448</v>
      </c>
      <c r="J65" s="13" t="n">
        <v>896</v>
      </c>
      <c r="K65" s="14">
        <f>IF(OR(COUNT(G65:J65)&lt;&gt;4,G65&lt;0,G65&gt;1,H65&gt;I65,I65&gt;J65),"n.a.",ROUND(G65*(H65+4*I65+J65)/6+0.00000001,2))</f>
        <v/>
      </c>
      <c r="L65" s="13" t="n">
        <v>0</v>
      </c>
      <c r="M65" s="14">
        <f>SUMIFS(Maßnahmen!$I$7:$I$126,Maßnahmen!$D$7:$D$126,C65,Maßnahmen!$H$7:$H$126,"&lt;&gt;verworfen")</f>
        <v/>
      </c>
      <c r="N65" s="14">
        <f>IF(ISNUMBER(K65),MAX(0,K65-L65-M65),"n.a.")</f>
        <v/>
      </c>
      <c r="O65" s="14" t="n">
        <v>94.56999999999999</v>
      </c>
      <c r="P65" s="14">
        <f>IF(ISNUMBER(K65),K65-O65,"n.a.")</f>
        <v/>
      </c>
    </row>
    <row r="66" ht="32" customHeight="1">
      <c r="C66" s="10" t="inlineStr">
        <is>
          <t>PRJ-4a6f9ca3-RK-09</t>
        </is>
      </c>
      <c r="D66" s="10" t="inlineStr">
        <is>
          <t>P4102608271</t>
        </is>
      </c>
      <c r="E66" s="11" t="inlineStr">
        <is>
          <t>Beennte Lage / nur Handabbruch möglich</t>
        </is>
      </c>
      <c r="F66" s="10" t="inlineStr">
        <is>
          <t>Termin</t>
        </is>
      </c>
      <c r="G66" s="12" t="n">
        <v>0.5</v>
      </c>
      <c r="H66" s="13" t="n">
        <v>1403</v>
      </c>
      <c r="I66" s="13" t="n">
        <v>2866</v>
      </c>
      <c r="J66" s="13" t="n">
        <v>5882</v>
      </c>
      <c r="K66" s="14">
        <f>IF(OR(COUNT(G66:J66)&lt;&gt;4,G66&lt;0,G66&gt;1,H66&gt;I66,I66&gt;J66),"n.a.",ROUND(G66*(H66+4*I66+J66)/6+0.00000001,2))</f>
        <v/>
      </c>
      <c r="L66" s="13" t="n">
        <v>0</v>
      </c>
      <c r="M66" s="14">
        <f>SUMIFS(Maßnahmen!$I$7:$I$126,Maßnahmen!$D$7:$D$126,C66,Maßnahmen!$H$7:$H$126,"&lt;&gt;verworfen")</f>
        <v/>
      </c>
      <c r="N66" s="14">
        <f>IF(ISNUMBER(K66),MAX(0,K66-L66-M66),"n.a.")</f>
        <v/>
      </c>
      <c r="O66" s="14" t="n">
        <v>1562.42</v>
      </c>
      <c r="P66" s="14">
        <f>IF(ISNUMBER(K66),K66-O66,"n.a.")</f>
        <v/>
      </c>
    </row>
    <row r="67" ht="32" customHeight="1">
      <c r="C67" s="10" t="inlineStr">
        <is>
          <t>PRJ-4a6f9ca3-RK-10</t>
        </is>
      </c>
      <c r="D67" s="10" t="inlineStr">
        <is>
          <t>P4102608271</t>
        </is>
      </c>
      <c r="E67" s="11" t="inlineStr">
        <is>
          <t>Terminvorgabe Auftraggeber / Geräteauslastung</t>
        </is>
      </c>
      <c r="F67" s="10" t="inlineStr">
        <is>
          <t>Termin</t>
        </is>
      </c>
      <c r="G67" s="12" t="n">
        <v>0.08</v>
      </c>
      <c r="H67" s="13" t="n">
        <v>75</v>
      </c>
      <c r="I67" s="13" t="n">
        <v>149</v>
      </c>
      <c r="J67" s="13" t="n">
        <v>299</v>
      </c>
      <c r="K67" s="14">
        <f>IF(OR(COUNT(G67:J67)&lt;&gt;4,G67&lt;0,G67&gt;1,H67&gt;I67,I67&gt;J67),"n.a.",ROUND(G67*(H67+4*I67+J67)/6+0.00000001,2))</f>
        <v/>
      </c>
      <c r="L67" s="13" t="n">
        <v>0</v>
      </c>
      <c r="M67" s="14">
        <f>SUMIFS(Maßnahmen!$I$7:$I$126,Maßnahmen!$D$7:$D$126,C67,Maßnahmen!$H$7:$H$126,"&lt;&gt;verworfen")</f>
        <v/>
      </c>
      <c r="N67" s="14">
        <f>IF(ISNUMBER(K67),MAX(0,K67-L67-M67),"n.a.")</f>
        <v/>
      </c>
      <c r="O67" s="14" t="n">
        <v>12.93</v>
      </c>
      <c r="P67" s="14">
        <f>IF(ISNUMBER(K67),K67-O67,"n.a.")</f>
        <v/>
      </c>
    </row>
    <row r="68" ht="32" customHeight="1">
      <c r="C68" s="10" t="inlineStr">
        <is>
          <t>PRJ-4a6f9ca3-RK-11</t>
        </is>
      </c>
      <c r="D68" s="10" t="inlineStr">
        <is>
          <t>P4102608271</t>
        </is>
      </c>
      <c r="E68" s="11" t="inlineStr">
        <is>
          <t>Witterung / Ablaufstörung</t>
        </is>
      </c>
      <c r="F68" s="10" t="inlineStr">
        <is>
          <t>Termin</t>
        </is>
      </c>
      <c r="G68" s="12" t="n">
        <v>0.15</v>
      </c>
      <c r="H68" s="13" t="n">
        <v>149</v>
      </c>
      <c r="I68" s="13" t="n">
        <v>448</v>
      </c>
      <c r="J68" s="13" t="n">
        <v>896</v>
      </c>
      <c r="K68" s="14">
        <f>IF(OR(COUNT(G68:J68)&lt;&gt;4,G68&lt;0,G68&gt;1,H68&gt;I68,I68&gt;J68),"n.a.",ROUND(G68*(H68+4*I68+J68)/6+0.00000001,2))</f>
        <v/>
      </c>
      <c r="L68" s="13" t="n">
        <v>0</v>
      </c>
      <c r="M68" s="14">
        <f>SUMIFS(Maßnahmen!$I$7:$I$126,Maßnahmen!$D$7:$D$126,C68,Maßnahmen!$H$7:$H$126,"&lt;&gt;verworfen")</f>
        <v/>
      </c>
      <c r="N68" s="14">
        <f>IF(ISNUMBER(K68),MAX(0,K68-L68-M68),"n.a.")</f>
        <v/>
      </c>
      <c r="O68" s="14" t="n">
        <v>70.93000000000001</v>
      </c>
      <c r="P68" s="14">
        <f>IF(ISNUMBER(K68),K68-O68,"n.a.")</f>
        <v/>
      </c>
    </row>
    <row r="69" ht="32" customHeight="1">
      <c r="C69" s="10" t="inlineStr">
        <is>
          <t>PRJ-4a6f9ca3-RK-12</t>
        </is>
      </c>
      <c r="D69" s="10" t="inlineStr">
        <is>
          <t>P4102608271</t>
        </is>
      </c>
      <c r="E69" s="11" t="inlineStr">
        <is>
          <t>Staubemissionen (höchster Aufwand laut Umfrage)</t>
        </is>
      </c>
      <c r="F69" s="10" t="inlineStr">
        <is>
          <t>Emissionen</t>
        </is>
      </c>
      <c r="G69" s="12" t="n">
        <v>0.22</v>
      </c>
      <c r="H69" s="13" t="n">
        <v>448</v>
      </c>
      <c r="I69" s="13" t="n">
        <v>896</v>
      </c>
      <c r="J69" s="13" t="n">
        <v>1792</v>
      </c>
      <c r="K69" s="14">
        <f>IF(OR(COUNT(G69:J69)&lt;&gt;4,G69&lt;0,G69&gt;1,H69&gt;I69,I69&gt;J69),"n.a.",ROUND(G69*(H69+4*I69+J69)/6+0.00000001,2))</f>
        <v/>
      </c>
      <c r="L69" s="13" t="n">
        <v>0</v>
      </c>
      <c r="M69" s="14">
        <f>SUMIFS(Maßnahmen!$I$7:$I$126,Maßnahmen!$D$7:$D$126,C69,Maßnahmen!$H$7:$H$126,"&lt;&gt;verworfen")</f>
        <v/>
      </c>
      <c r="N69" s="14">
        <f>IF(ISNUMBER(K69),MAX(0,K69-L69-M69),"n.a.")</f>
        <v/>
      </c>
      <c r="O69" s="14" t="n">
        <v>213.55</v>
      </c>
      <c r="P69" s="14">
        <f>IF(ISNUMBER(K69),K69-O69,"n.a.")</f>
        <v/>
      </c>
    </row>
    <row r="70" ht="32" customHeight="1">
      <c r="C70" s="10" t="inlineStr">
        <is>
          <t>PRJ-4a6f9ca3-RK-13</t>
        </is>
      </c>
      <c r="D70" s="10" t="inlineStr">
        <is>
          <t>P4102608271</t>
        </is>
      </c>
      <c r="E70" s="11" t="inlineStr">
        <is>
          <t>Lärm- und Erschütterungsauflagen</t>
        </is>
      </c>
      <c r="F70" s="10" t="inlineStr">
        <is>
          <t>Emissionen</t>
        </is>
      </c>
      <c r="G70" s="12" t="n">
        <v>0.6</v>
      </c>
      <c r="H70" s="13" t="n">
        <v>3380</v>
      </c>
      <c r="I70" s="13" t="n">
        <v>6395</v>
      </c>
      <c r="J70" s="13" t="n">
        <v>9708</v>
      </c>
      <c r="K70" s="14">
        <f>IF(OR(COUNT(G70:J70)&lt;&gt;4,G70&lt;0,G70&gt;1,H70&gt;I70,I70&gt;J70),"n.a.",ROUND(G70*(H70+4*I70+J70)/6+0.00000001,2))</f>
        <v/>
      </c>
      <c r="L70" s="13" t="n">
        <v>0</v>
      </c>
      <c r="M70" s="14">
        <f>SUMIFS(Maßnahmen!$I$7:$I$126,Maßnahmen!$D$7:$D$126,C70,Maßnahmen!$H$7:$H$126,"&lt;&gt;verworfen")</f>
        <v/>
      </c>
      <c r="N70" s="14">
        <f>IF(ISNUMBER(K70),MAX(0,K70-L70-M70),"n.a.")</f>
        <v/>
      </c>
      <c r="O70" s="14" t="n">
        <v>3866.8</v>
      </c>
      <c r="P70" s="14">
        <f>IF(ISNUMBER(K70),K70-O70,"n.a.")</f>
        <v/>
      </c>
    </row>
    <row r="71" ht="32" customHeight="1">
      <c r="C71" s="10" t="inlineStr">
        <is>
          <t>PRJ-4a6f9ca3-RK-14</t>
        </is>
      </c>
      <c r="D71" s="10" t="inlineStr">
        <is>
          <t>P4102608271</t>
        </is>
      </c>
      <c r="E71" s="11" t="inlineStr">
        <is>
          <t>Rechtliche Auflagen / Entsorgungsnachweise (Formalismus)</t>
        </is>
      </c>
      <c r="F71" s="10" t="inlineStr">
        <is>
          <t>Genehmigung</t>
        </is>
      </c>
      <c r="G71" s="12" t="n">
        <v>0.12</v>
      </c>
      <c r="H71" s="13" t="n">
        <v>224</v>
      </c>
      <c r="I71" s="13" t="n">
        <v>523</v>
      </c>
      <c r="J71" s="13" t="n">
        <v>1046</v>
      </c>
      <c r="K71" s="14">
        <f>IF(OR(COUNT(G71:J71)&lt;&gt;4,G71&lt;0,G71&gt;1,H71&gt;I71,I71&gt;J71),"n.a.",ROUND(G71*(H71+4*I71+J71)/6+0.00000001,2))</f>
        <v/>
      </c>
      <c r="L71" s="13" t="n">
        <v>0</v>
      </c>
      <c r="M71" s="14">
        <f>SUMIFS(Maßnahmen!$I$7:$I$126,Maßnahmen!$D$7:$D$126,C71,Maßnahmen!$H$7:$H$126,"&lt;&gt;verworfen")</f>
        <v/>
      </c>
      <c r="N71" s="14">
        <f>IF(ISNUMBER(K71),MAX(0,K71-L71-M71),"n.a.")</f>
        <v/>
      </c>
      <c r="O71" s="14" t="n">
        <v>67.23999999999999</v>
      </c>
      <c r="P71" s="14">
        <f>IF(ISNUMBER(K71),K71-O71,"n.a.")</f>
        <v/>
      </c>
    </row>
    <row r="72" ht="32" customHeight="1">
      <c r="C72" s="10" t="inlineStr">
        <is>
          <t>PRJ-4a6f9ca3-RK-15</t>
        </is>
      </c>
      <c r="D72" s="10" t="inlineStr">
        <is>
          <t>P4102608271</t>
        </is>
      </c>
      <c r="E72" s="11" t="inlineStr">
        <is>
          <t>Konjunktur / Sekundärstoffpreise &amp; Gerätemiete</t>
        </is>
      </c>
      <c r="F72" s="10" t="inlineStr">
        <is>
          <t>Markt</t>
        </is>
      </c>
      <c r="G72" s="12" t="n">
        <v>0.12</v>
      </c>
      <c r="H72" s="13" t="n">
        <v>119</v>
      </c>
      <c r="I72" s="13" t="n">
        <v>299</v>
      </c>
      <c r="J72" s="13" t="n">
        <v>747</v>
      </c>
      <c r="K72" s="14">
        <f>IF(OR(COUNT(G72:J72)&lt;&gt;4,G72&lt;0,G72&gt;1,H72&gt;I72,I72&gt;J72),"n.a.",ROUND(G72*(H72+4*I72+J72)/6+0.00000001,2))</f>
        <v/>
      </c>
      <c r="L72" s="13" t="n">
        <v>0</v>
      </c>
      <c r="M72" s="14">
        <f>SUMIFS(Maßnahmen!$I$7:$I$126,Maßnahmen!$D$7:$D$126,C72,Maßnahmen!$H$7:$H$126,"&lt;&gt;verworfen")</f>
        <v/>
      </c>
      <c r="N72" s="14">
        <f>IF(ISNUMBER(K72),MAX(0,K72-L72-M72),"n.a.")</f>
        <v/>
      </c>
      <c r="O72" s="14" t="n">
        <v>41.24</v>
      </c>
      <c r="P72" s="14">
        <f>IF(ISNUMBER(K72),K72-O72,"n.a.")</f>
        <v/>
      </c>
    </row>
    <row r="73" ht="32" customHeight="1">
      <c r="C73" s="10" t="inlineStr">
        <is>
          <t>PRJ-4f8e93f1-RK-01</t>
        </is>
      </c>
      <c r="D73" s="10" t="inlineStr">
        <is>
          <t>P4102307428</t>
        </is>
      </c>
      <c r="E73" s="11" t="inlineStr">
        <is>
          <t>Schadstofffund / Schadstoffsanierung (Asbest, PAK, PCB, PCP)</t>
        </is>
      </c>
      <c r="F73" s="10" t="inlineStr">
        <is>
          <t>Schadstoffe</t>
        </is>
      </c>
      <c r="G73" s="12" t="n">
        <v>0.22</v>
      </c>
      <c r="H73" s="13" t="n">
        <v>147</v>
      </c>
      <c r="I73" s="13" t="n">
        <v>368</v>
      </c>
      <c r="J73" s="13" t="n">
        <v>737</v>
      </c>
      <c r="K73" s="14">
        <f>IF(OR(COUNT(G73:J73)&lt;&gt;4,G73&lt;0,G73&gt;1,H73&gt;I73,I73&gt;J73),"n.a.",ROUND(G73*(H73+4*I73+J73)/6+0.00000001,2))</f>
        <v/>
      </c>
      <c r="L73" s="13" t="n">
        <v>0</v>
      </c>
      <c r="M73" s="14">
        <f>SUMIFS(Maßnahmen!$I$7:$I$126,Maßnahmen!$D$7:$D$126,C73,Maßnahmen!$H$7:$H$126,"&lt;&gt;verworfen")</f>
        <v/>
      </c>
      <c r="N73" s="14">
        <f>IF(ISNUMBER(K73),MAX(0,K73-L73-M73),"n.a.")</f>
        <v/>
      </c>
      <c r="O73" s="14" t="n">
        <v>86.39</v>
      </c>
      <c r="P73" s="14">
        <f>IF(ISNUMBER(K73),K73-O73,"n.a.")</f>
        <v/>
      </c>
    </row>
    <row r="74" ht="32" customHeight="1">
      <c r="C74" s="10" t="inlineStr">
        <is>
          <t>PRJ-4f8e93f1-RK-02</t>
        </is>
      </c>
      <c r="D74" s="10" t="inlineStr">
        <is>
          <t>P4102307428</t>
        </is>
      </c>
      <c r="E74" s="11" t="inlineStr">
        <is>
          <t>Arbeitsschutz kontaminierte Bereiche (TRGS 524)</t>
        </is>
      </c>
      <c r="F74" s="10" t="inlineStr">
        <is>
          <t>Schadstoffe</t>
        </is>
      </c>
      <c r="G74" s="12" t="n">
        <v>0.1</v>
      </c>
      <c r="H74" s="13" t="n">
        <v>37</v>
      </c>
      <c r="I74" s="13" t="n">
        <v>74</v>
      </c>
      <c r="J74" s="13" t="n">
        <v>147</v>
      </c>
      <c r="K74" s="14">
        <f>IF(OR(COUNT(G74:J74)&lt;&gt;4,G74&lt;0,G74&gt;1,H74&gt;I74,I74&gt;J74),"n.a.",ROUND(G74*(H74+4*I74+J74)/6+0.00000001,2))</f>
        <v/>
      </c>
      <c r="L74" s="13" t="n">
        <v>0</v>
      </c>
      <c r="M74" s="14">
        <f>SUMIFS(Maßnahmen!$I$7:$I$126,Maßnahmen!$D$7:$D$126,C74,Maßnahmen!$H$7:$H$126,"&lt;&gt;verworfen")</f>
        <v/>
      </c>
      <c r="N74" s="14">
        <f>IF(ISNUMBER(K74),MAX(0,K74-L74-M74),"n.a.")</f>
        <v/>
      </c>
      <c r="O74" s="14" t="n">
        <v>8</v>
      </c>
      <c r="P74" s="14">
        <f>IF(ISNUMBER(K74),K74-O74,"n.a.")</f>
        <v/>
      </c>
    </row>
    <row r="75" ht="32" customHeight="1">
      <c r="C75" s="10" t="inlineStr">
        <is>
          <t>PRJ-4f8e93f1-RK-03</t>
        </is>
      </c>
      <c r="D75" s="10" t="inlineStr">
        <is>
          <t>P4102307428</t>
        </is>
      </c>
      <c r="E75" s="11" t="inlineStr">
        <is>
          <t>Entsorgungs-Mehrkosten / Entsorgungswege</t>
        </is>
      </c>
      <c r="F75" s="10" t="inlineStr">
        <is>
          <t>Entsorgung</t>
        </is>
      </c>
      <c r="G75" s="12" t="n">
        <v>0.55</v>
      </c>
      <c r="H75" s="13" t="n">
        <v>1605</v>
      </c>
      <c r="I75" s="13" t="n">
        <v>2919</v>
      </c>
      <c r="J75" s="13" t="n">
        <v>4745</v>
      </c>
      <c r="K75" s="14">
        <f>IF(OR(COUNT(G75:J75)&lt;&gt;4,G75&lt;0,G75&gt;1,H75&gt;I75,I75&gt;J75),"n.a.",ROUND(G75*(H75+4*I75+J75)/6+0.00000001,2))</f>
        <v/>
      </c>
      <c r="L75" s="13" t="n">
        <v>0</v>
      </c>
      <c r="M75" s="14">
        <f>SUMIFS(Maßnahmen!$I$7:$I$126,Maßnahmen!$D$7:$D$126,C75,Maßnahmen!$H$7:$H$126,"&lt;&gt;verworfen")</f>
        <v/>
      </c>
      <c r="N75" s="14">
        <f>IF(ISNUMBER(K75),MAX(0,K75-L75-M75),"n.a.")</f>
        <v/>
      </c>
      <c r="O75" s="14" t="n">
        <v>1652.38</v>
      </c>
      <c r="P75" s="14">
        <f>IF(ISNUMBER(K75),K75-O75,"n.a.")</f>
        <v/>
      </c>
    </row>
    <row r="76" ht="32" customHeight="1">
      <c r="C76" s="10" t="inlineStr">
        <is>
          <t>PRJ-4f8e93f1-RK-04</t>
        </is>
      </c>
      <c r="D76" s="10" t="inlineStr">
        <is>
          <t>P4102307428</t>
        </is>
      </c>
      <c r="E76" s="11" t="inlineStr">
        <is>
          <t>Baustofftrennung / Aufbereitung nicht wie geplant</t>
        </is>
      </c>
      <c r="F76" s="10" t="inlineStr">
        <is>
          <t>Entsorgung</t>
        </is>
      </c>
      <c r="G76" s="12" t="n">
        <v>0.08</v>
      </c>
      <c r="H76" s="13" t="n">
        <v>37</v>
      </c>
      <c r="I76" s="13" t="n">
        <v>74</v>
      </c>
      <c r="J76" s="13" t="n">
        <v>147</v>
      </c>
      <c r="K76" s="14">
        <f>IF(OR(COUNT(G76:J76)&lt;&gt;4,G76&lt;0,G76&gt;1,H76&gt;I76,I76&gt;J76),"n.a.",ROUND(G76*(H76+4*I76+J76)/6+0.00000001,2))</f>
        <v/>
      </c>
      <c r="L76" s="13" t="n">
        <v>0</v>
      </c>
      <c r="M76" s="14">
        <f>SUMIFS(Maßnahmen!$I$7:$I$126,Maßnahmen!$D$7:$D$126,C76,Maßnahmen!$H$7:$H$126,"&lt;&gt;verworfen")</f>
        <v/>
      </c>
      <c r="N76" s="14">
        <f>IF(ISNUMBER(K76),MAX(0,K76-L76-M76),"n.a.")</f>
        <v/>
      </c>
      <c r="O76" s="14" t="n">
        <v>6.4</v>
      </c>
      <c r="P76" s="14">
        <f>IF(ISNUMBER(K76),K76-O76,"n.a.")</f>
        <v/>
      </c>
    </row>
    <row r="77" ht="32" customHeight="1">
      <c r="C77" s="10" t="inlineStr">
        <is>
          <t>PRJ-4f8e93f1-RK-05</t>
        </is>
      </c>
      <c r="D77" s="10" t="inlineStr">
        <is>
          <t>P4102307428</t>
        </is>
      </c>
      <c r="E77" s="11" t="inlineStr">
        <is>
          <t>Unbekannte Bauwerkskonstruktion / fehlende Pläne</t>
        </is>
      </c>
      <c r="F77" s="10" t="inlineStr">
        <is>
          <t>Statik</t>
        </is>
      </c>
      <c r="G77" s="12" t="n">
        <v>0.37</v>
      </c>
      <c r="H77" s="13" t="n">
        <v>2579</v>
      </c>
      <c r="I77" s="13" t="n">
        <v>3316</v>
      </c>
      <c r="J77" s="13" t="n">
        <v>4789</v>
      </c>
      <c r="K77" s="14">
        <f>IF(OR(COUNT(G77:J77)&lt;&gt;4,G77&lt;0,G77&gt;1,H77&gt;I77,I77&gt;J77),"n.a.",ROUND(G77*(H77+4*I77+J77)/6+0.00000001,2))</f>
        <v/>
      </c>
      <c r="L77" s="13" t="n">
        <v>0</v>
      </c>
      <c r="M77" s="14">
        <f>SUMIFS(Maßnahmen!$I$7:$I$126,Maßnahmen!$D$7:$D$126,C77,Maßnahmen!$H$7:$H$126,"&lt;&gt;verworfen")</f>
        <v/>
      </c>
      <c r="N77" s="14">
        <f>IF(ISNUMBER(K77),MAX(0,K77-L77-M77),"n.a.")</f>
        <v/>
      </c>
      <c r="O77" s="14" t="n">
        <v>1272.31</v>
      </c>
      <c r="P77" s="14">
        <f>IF(ISNUMBER(K77),K77-O77,"n.a.")</f>
        <v/>
      </c>
    </row>
    <row r="78" ht="32" customHeight="1">
      <c r="C78" s="10" t="inlineStr">
        <is>
          <t>PRJ-4f8e93f1-RK-06</t>
        </is>
      </c>
      <c r="D78" s="10" t="inlineStr">
        <is>
          <t>P4102307428</t>
        </is>
      </c>
      <c r="E78" s="11" t="inlineStr">
        <is>
          <t>Statik / Einsturzsicherung während Abbruch</t>
        </is>
      </c>
      <c r="F78" s="10" t="inlineStr">
        <is>
          <t>Statik</t>
        </is>
      </c>
      <c r="G78" s="12" t="n">
        <v>0.367</v>
      </c>
      <c r="H78" s="13" t="n">
        <v>1314</v>
      </c>
      <c r="I78" s="13" t="n">
        <v>2338</v>
      </c>
      <c r="J78" s="13" t="n">
        <v>3947</v>
      </c>
      <c r="K78" s="14">
        <f>IF(OR(COUNT(G78:J78)&lt;&gt;4,G78&lt;0,G78&gt;1,H78&gt;I78,I78&gt;J78),"n.a.",ROUND(G78*(H78+4*I78+J78)/6+0.00000001,2))</f>
        <v/>
      </c>
      <c r="L78" s="13" t="n">
        <v>0</v>
      </c>
      <c r="M78" s="14">
        <f>SUMIFS(Maßnahmen!$I$7:$I$126,Maßnahmen!$D$7:$D$126,C78,Maßnahmen!$H$7:$H$126,"&lt;&gt;verworfen")</f>
        <v/>
      </c>
      <c r="N78" s="14">
        <f>IF(ISNUMBER(K78),MAX(0,K78-L78-M78),"n.a.")</f>
        <v/>
      </c>
      <c r="O78" s="14" t="n">
        <v>893.83</v>
      </c>
      <c r="P78" s="14">
        <f>IF(ISNUMBER(K78),K78-O78,"n.a.")</f>
        <v/>
      </c>
    </row>
    <row r="79" ht="32" customHeight="1">
      <c r="C79" s="10" t="inlineStr">
        <is>
          <t>PRJ-4f8e93f1-RK-07</t>
        </is>
      </c>
      <c r="D79" s="10" t="inlineStr">
        <is>
          <t>P4102307428</t>
        </is>
      </c>
      <c r="E79" s="11" t="inlineStr">
        <is>
          <t>Unterirdische Tragkonstruktion / Fundamente</t>
        </is>
      </c>
      <c r="F79" s="10" t="inlineStr">
        <is>
          <t>Statik</t>
        </is>
      </c>
      <c r="G79" s="12" t="n">
        <v>0.6</v>
      </c>
      <c r="H79" s="13" t="n">
        <v>401</v>
      </c>
      <c r="I79" s="13" t="n">
        <v>730</v>
      </c>
      <c r="J79" s="13" t="n">
        <v>1462</v>
      </c>
      <c r="K79" s="14">
        <f>IF(OR(COUNT(G79:J79)&lt;&gt;4,G79&lt;0,G79&gt;1,H79&gt;I79,I79&gt;J79),"n.a.",ROUND(G79*(H79+4*I79+J79)/6+0.00000001,2))</f>
        <v/>
      </c>
      <c r="L79" s="13" t="n">
        <v>0</v>
      </c>
      <c r="M79" s="14">
        <f>SUMIFS(Maßnahmen!$I$7:$I$126,Maßnahmen!$D$7:$D$126,C79,Maßnahmen!$H$7:$H$126,"&lt;&gt;verworfen")</f>
        <v/>
      </c>
      <c r="N79" s="14">
        <f>IF(ISNUMBER(K79),MAX(0,K79-L79-M79),"n.a.")</f>
        <v/>
      </c>
      <c r="O79" s="14" t="n">
        <v>478.3</v>
      </c>
      <c r="P79" s="14">
        <f>IF(ISNUMBER(K79),K79-O79,"n.a.")</f>
        <v/>
      </c>
    </row>
    <row r="80" ht="32" customHeight="1">
      <c r="C80" s="10" t="inlineStr">
        <is>
          <t>PRJ-4f8e93f1-RK-08</t>
        </is>
      </c>
      <c r="D80" s="10" t="inlineStr">
        <is>
          <t>P4102307428</t>
        </is>
      </c>
      <c r="E80" s="11" t="inlineStr">
        <is>
          <t>Gebäudehöhe &gt;22 m / Longfront-Bagger (+130–150 %)</t>
        </is>
      </c>
      <c r="F80" s="10" t="inlineStr">
        <is>
          <t>Termin</t>
        </is>
      </c>
      <c r="G80" s="12" t="n">
        <v>0.2</v>
      </c>
      <c r="H80" s="13" t="n">
        <v>74</v>
      </c>
      <c r="I80" s="13" t="n">
        <v>221</v>
      </c>
      <c r="J80" s="13" t="n">
        <v>442</v>
      </c>
      <c r="K80" s="14">
        <f>IF(OR(COUNT(G80:J80)&lt;&gt;4,G80&lt;0,G80&gt;1,H80&gt;I80,I80&gt;J80),"n.a.",ROUND(G80*(H80+4*I80+J80)/6+0.00000001,2))</f>
        <v/>
      </c>
      <c r="L80" s="13" t="n">
        <v>0</v>
      </c>
      <c r="M80" s="14">
        <f>SUMIFS(Maßnahmen!$I$7:$I$126,Maßnahmen!$D$7:$D$126,C80,Maßnahmen!$H$7:$H$126,"&lt;&gt;verworfen")</f>
        <v/>
      </c>
      <c r="N80" s="14">
        <f>IF(ISNUMBER(K80),MAX(0,K80-L80-M80),"n.a.")</f>
        <v/>
      </c>
      <c r="O80" s="14" t="n">
        <v>46.67</v>
      </c>
      <c r="P80" s="14">
        <f>IF(ISNUMBER(K80),K80-O80,"n.a.")</f>
        <v/>
      </c>
    </row>
    <row r="81" ht="32" customHeight="1">
      <c r="C81" s="10" t="inlineStr">
        <is>
          <t>PRJ-4f8e93f1-RK-09</t>
        </is>
      </c>
      <c r="D81" s="10" t="inlineStr">
        <is>
          <t>P4102307428</t>
        </is>
      </c>
      <c r="E81" s="11" t="inlineStr">
        <is>
          <t>Beennte Lage / nur Handabbruch möglich</t>
        </is>
      </c>
      <c r="F81" s="10" t="inlineStr">
        <is>
          <t>Termin</t>
        </is>
      </c>
      <c r="G81" s="12" t="n">
        <v>0.5</v>
      </c>
      <c r="H81" s="13" t="n">
        <v>2477</v>
      </c>
      <c r="I81" s="13" t="n">
        <v>3316</v>
      </c>
      <c r="J81" s="13" t="n">
        <v>4789</v>
      </c>
      <c r="K81" s="14">
        <f>IF(OR(COUNT(G81:J81)&lt;&gt;4,G81&lt;0,G81&gt;1,H81&gt;I81,I81&gt;J81),"n.a.",ROUND(G81*(H81+4*I81+J81)/6+0.00000001,2))</f>
        <v/>
      </c>
      <c r="L81" s="13" t="n">
        <v>0</v>
      </c>
      <c r="M81" s="14">
        <f>SUMIFS(Maßnahmen!$I$7:$I$126,Maßnahmen!$D$7:$D$126,C81,Maßnahmen!$H$7:$H$126,"&lt;&gt;verworfen")</f>
        <v/>
      </c>
      <c r="N81" s="14">
        <f>IF(ISNUMBER(K81),MAX(0,K81-L81-M81),"n.a.")</f>
        <v/>
      </c>
      <c r="O81" s="14" t="n">
        <v>1710.83</v>
      </c>
      <c r="P81" s="14">
        <f>IF(ISNUMBER(K81),K81-O81,"n.a.")</f>
        <v/>
      </c>
    </row>
    <row r="82" ht="32" customHeight="1">
      <c r="C82" s="10" t="inlineStr">
        <is>
          <t>PRJ-4f8e93f1-RK-10</t>
        </is>
      </c>
      <c r="D82" s="10" t="inlineStr">
        <is>
          <t>P4102307428</t>
        </is>
      </c>
      <c r="E82" s="11" t="inlineStr">
        <is>
          <t>Terminvorgabe Auftraggeber / Geräteauslastung</t>
        </is>
      </c>
      <c r="F82" s="10" t="inlineStr">
        <is>
          <t>Termin</t>
        </is>
      </c>
      <c r="G82" s="12" t="n">
        <v>0.08</v>
      </c>
      <c r="H82" s="13" t="n">
        <v>37</v>
      </c>
      <c r="I82" s="13" t="n">
        <v>74</v>
      </c>
      <c r="J82" s="13" t="n">
        <v>147</v>
      </c>
      <c r="K82" s="14">
        <f>IF(OR(COUNT(G82:J82)&lt;&gt;4,G82&lt;0,G82&gt;1,H82&gt;I82,I82&gt;J82),"n.a.",ROUND(G82*(H82+4*I82+J82)/6+0.00000001,2))</f>
        <v/>
      </c>
      <c r="L82" s="13" t="n">
        <v>0</v>
      </c>
      <c r="M82" s="14">
        <f>SUMIFS(Maßnahmen!$I$7:$I$126,Maßnahmen!$D$7:$D$126,C82,Maßnahmen!$H$7:$H$126,"&lt;&gt;verworfen")</f>
        <v/>
      </c>
      <c r="N82" s="14">
        <f>IF(ISNUMBER(K82),MAX(0,K82-L82-M82),"n.a.")</f>
        <v/>
      </c>
      <c r="O82" s="14" t="n">
        <v>6.4</v>
      </c>
      <c r="P82" s="14">
        <f>IF(ISNUMBER(K82),K82-O82,"n.a.")</f>
        <v/>
      </c>
    </row>
    <row r="83" ht="32" customHeight="1">
      <c r="C83" s="10" t="inlineStr">
        <is>
          <t>PRJ-4f8e93f1-RK-11</t>
        </is>
      </c>
      <c r="D83" s="10" t="inlineStr">
        <is>
          <t>P4102307428</t>
        </is>
      </c>
      <c r="E83" s="11" t="inlineStr">
        <is>
          <t>Witterung / Ablaufstörung</t>
        </is>
      </c>
      <c r="F83" s="10" t="inlineStr">
        <is>
          <t>Termin</t>
        </is>
      </c>
      <c r="G83" s="12" t="n">
        <v>0.15</v>
      </c>
      <c r="H83" s="13" t="n">
        <v>74</v>
      </c>
      <c r="I83" s="13" t="n">
        <v>221</v>
      </c>
      <c r="J83" s="13" t="n">
        <v>442</v>
      </c>
      <c r="K83" s="14">
        <f>IF(OR(COUNT(G83:J83)&lt;&gt;4,G83&lt;0,G83&gt;1,H83&gt;I83,I83&gt;J83),"n.a.",ROUND(G83*(H83+4*I83+J83)/6+0.00000001,2))</f>
        <v/>
      </c>
      <c r="L83" s="13" t="n">
        <v>0</v>
      </c>
      <c r="M83" s="14">
        <f>SUMIFS(Maßnahmen!$I$7:$I$126,Maßnahmen!$D$7:$D$126,C83,Maßnahmen!$H$7:$H$126,"&lt;&gt;verworfen")</f>
        <v/>
      </c>
      <c r="N83" s="14">
        <f>IF(ISNUMBER(K83),MAX(0,K83-L83-M83),"n.a.")</f>
        <v/>
      </c>
      <c r="O83" s="14" t="n">
        <v>35</v>
      </c>
      <c r="P83" s="14">
        <f>IF(ISNUMBER(K83),K83-O83,"n.a.")</f>
        <v/>
      </c>
    </row>
    <row r="84" ht="32" customHeight="1">
      <c r="C84" s="10" t="inlineStr">
        <is>
          <t>PRJ-4f8e93f1-RK-12</t>
        </is>
      </c>
      <c r="D84" s="10" t="inlineStr">
        <is>
          <t>P4102307428</t>
        </is>
      </c>
      <c r="E84" s="11" t="inlineStr">
        <is>
          <t>Staubemissionen (höchster Aufwand laut Umfrage)</t>
        </is>
      </c>
      <c r="F84" s="10" t="inlineStr">
        <is>
          <t>Emissionen</t>
        </is>
      </c>
      <c r="G84" s="12" t="n">
        <v>0.22</v>
      </c>
      <c r="H84" s="13" t="n">
        <v>221</v>
      </c>
      <c r="I84" s="13" t="n">
        <v>442</v>
      </c>
      <c r="J84" s="13" t="n">
        <v>884</v>
      </c>
      <c r="K84" s="14">
        <f>IF(OR(COUNT(G84:J84)&lt;&gt;4,G84&lt;0,G84&gt;1,H84&gt;I84,I84&gt;J84),"n.a.",ROUND(G84*(H84+4*I84+J84)/6+0.00000001,2))</f>
        <v/>
      </c>
      <c r="L84" s="13" t="n">
        <v>0</v>
      </c>
      <c r="M84" s="14">
        <f>SUMIFS(Maßnahmen!$I$7:$I$126,Maßnahmen!$D$7:$D$126,C84,Maßnahmen!$H$7:$H$126,"&lt;&gt;verworfen")</f>
        <v/>
      </c>
      <c r="N84" s="14">
        <f>IF(ISNUMBER(K84),MAX(0,K84-L84-M84),"n.a.")</f>
        <v/>
      </c>
      <c r="O84" s="14" t="n">
        <v>105.34</v>
      </c>
      <c r="P84" s="14">
        <f>IF(ISNUMBER(K84),K84-O84,"n.a.")</f>
        <v/>
      </c>
    </row>
    <row r="85" ht="32" customHeight="1">
      <c r="C85" s="10" t="inlineStr">
        <is>
          <t>PRJ-4f8e93f1-RK-13</t>
        </is>
      </c>
      <c r="D85" s="10" t="inlineStr">
        <is>
          <t>P4102307428</t>
        </is>
      </c>
      <c r="E85" s="11" t="inlineStr">
        <is>
          <t>Lärm- und Erschütterungsauflagen</t>
        </is>
      </c>
      <c r="F85" s="10" t="inlineStr">
        <is>
          <t>Emissionen</t>
        </is>
      </c>
      <c r="G85" s="12" t="n">
        <v>0.6</v>
      </c>
      <c r="H85" s="13" t="n">
        <v>2579</v>
      </c>
      <c r="I85" s="13" t="n">
        <v>3316</v>
      </c>
      <c r="J85" s="13" t="n">
        <v>4789</v>
      </c>
      <c r="K85" s="14">
        <f>IF(OR(COUNT(G85:J85)&lt;&gt;4,G85&lt;0,G85&gt;1,H85&gt;I85,I85&gt;J85),"n.a.",ROUND(G85*(H85+4*I85+J85)/6+0.00000001,2))</f>
        <v/>
      </c>
      <c r="L85" s="13" t="n">
        <v>0</v>
      </c>
      <c r="M85" s="14">
        <f>SUMIFS(Maßnahmen!$I$7:$I$126,Maßnahmen!$D$7:$D$126,C85,Maßnahmen!$H$7:$H$126,"&lt;&gt;verworfen")</f>
        <v/>
      </c>
      <c r="N85" s="14">
        <f>IF(ISNUMBER(K85),MAX(0,K85-L85-M85),"n.a.")</f>
        <v/>
      </c>
      <c r="O85" s="14" t="n">
        <v>2063.2</v>
      </c>
      <c r="P85" s="14">
        <f>IF(ISNUMBER(K85),K85-O85,"n.a.")</f>
        <v/>
      </c>
    </row>
    <row r="86" ht="32" customHeight="1">
      <c r="C86" s="10" t="inlineStr">
        <is>
          <t>PRJ-4f8e93f1-RK-14</t>
        </is>
      </c>
      <c r="D86" s="10" t="inlineStr">
        <is>
          <t>P4102307428</t>
        </is>
      </c>
      <c r="E86" s="11" t="inlineStr">
        <is>
          <t>Rechtliche Auflagen / Entsorgungsnachweise (Formalismus)</t>
        </is>
      </c>
      <c r="F86" s="10" t="inlineStr">
        <is>
          <t>Genehmigung</t>
        </is>
      </c>
      <c r="G86" s="12" t="n">
        <v>0.12</v>
      </c>
      <c r="H86" s="13" t="n">
        <v>111</v>
      </c>
      <c r="I86" s="13" t="n">
        <v>258</v>
      </c>
      <c r="J86" s="13" t="n">
        <v>516</v>
      </c>
      <c r="K86" s="14">
        <f>IF(OR(COUNT(G86:J86)&lt;&gt;4,G86&lt;0,G86&gt;1,H86&gt;I86,I86&gt;J86),"n.a.",ROUND(G86*(H86+4*I86+J86)/6+0.00000001,2))</f>
        <v/>
      </c>
      <c r="L86" s="13" t="n">
        <v>0</v>
      </c>
      <c r="M86" s="14">
        <f>SUMIFS(Maßnahmen!$I$7:$I$126,Maßnahmen!$D$7:$D$126,C86,Maßnahmen!$H$7:$H$126,"&lt;&gt;verworfen")</f>
        <v/>
      </c>
      <c r="N86" s="14">
        <f>IF(ISNUMBER(K86),MAX(0,K86-L86-M86),"n.a.")</f>
        <v/>
      </c>
      <c r="O86" s="14" t="n">
        <v>33.18</v>
      </c>
      <c r="P86" s="14">
        <f>IF(ISNUMBER(K86),K86-O86,"n.a.")</f>
        <v/>
      </c>
    </row>
    <row r="87" ht="32" customHeight="1">
      <c r="C87" s="10" t="inlineStr">
        <is>
          <t>PRJ-4f8db9fc-RK-01</t>
        </is>
      </c>
      <c r="D87" s="10" t="inlineStr">
        <is>
          <t>P4102309045</t>
        </is>
      </c>
      <c r="E87" s="11" t="inlineStr">
        <is>
          <t>Schadstofffund / Schadstoffsanierung (Asbest, PAK, PCB, PCP)</t>
        </is>
      </c>
      <c r="F87" s="10" t="inlineStr">
        <is>
          <t>Schadstoffe</t>
        </is>
      </c>
      <c r="G87" s="12" t="n">
        <v>0.1</v>
      </c>
      <c r="H87" s="13" t="n">
        <v>1081</v>
      </c>
      <c r="I87" s="13" t="n">
        <v>2703</v>
      </c>
      <c r="J87" s="13" t="n">
        <v>5407</v>
      </c>
      <c r="K87" s="14">
        <f>IF(OR(COUNT(G87:J87)&lt;&gt;4,G87&lt;0,G87&gt;1,H87&gt;I87,I87&gt;J87),"n.a.",ROUND(G87*(H87+4*I87+J87)/6+0.00000001,2))</f>
        <v/>
      </c>
      <c r="L87" s="13" t="n">
        <v>0</v>
      </c>
      <c r="M87" s="14">
        <f>SUMIFS(Maßnahmen!$I$7:$I$126,Maßnahmen!$D$7:$D$126,C87,Maßnahmen!$H$7:$H$126,"&lt;&gt;verworfen")</f>
        <v/>
      </c>
      <c r="N87" s="14">
        <f>IF(ISNUMBER(K87),MAX(0,K87-L87-M87),"n.a.")</f>
        <v/>
      </c>
      <c r="O87" s="14" t="n">
        <v>288.33</v>
      </c>
      <c r="P87" s="14">
        <f>IF(ISNUMBER(K87),K87-O87,"n.a.")</f>
        <v/>
      </c>
    </row>
    <row r="88" ht="32" customHeight="1">
      <c r="C88" s="10" t="inlineStr">
        <is>
          <t>PRJ-4f8db9fc-RK-02</t>
        </is>
      </c>
      <c r="D88" s="10" t="inlineStr">
        <is>
          <t>P4102309045</t>
        </is>
      </c>
      <c r="E88" s="11" t="inlineStr">
        <is>
          <t>Arbeitsschutz kontaminierte Bereiche (TRGS 524)</t>
        </is>
      </c>
      <c r="F88" s="10" t="inlineStr">
        <is>
          <t>Schadstoffe</t>
        </is>
      </c>
      <c r="G88" s="12" t="n">
        <v>0.1</v>
      </c>
      <c r="H88" s="13" t="n">
        <v>270</v>
      </c>
      <c r="I88" s="13" t="n">
        <v>541</v>
      </c>
      <c r="J88" s="13" t="n">
        <v>1081</v>
      </c>
      <c r="K88" s="14">
        <f>IF(OR(COUNT(G88:J88)&lt;&gt;4,G88&lt;0,G88&gt;1,H88&gt;I88,I88&gt;J88),"n.a.",ROUND(G88*(H88+4*I88+J88)/6+0.00000001,2))</f>
        <v/>
      </c>
      <c r="L88" s="13" t="n">
        <v>0</v>
      </c>
      <c r="M88" s="14">
        <f>SUMIFS(Maßnahmen!$I$7:$I$126,Maßnahmen!$D$7:$D$126,C88,Maßnahmen!$H$7:$H$126,"&lt;&gt;verworfen")</f>
        <v/>
      </c>
      <c r="N88" s="14">
        <f>IF(ISNUMBER(K88),MAX(0,K88-L88-M88),"n.a.")</f>
        <v/>
      </c>
      <c r="O88" s="14" t="n">
        <v>58.58</v>
      </c>
      <c r="P88" s="14">
        <f>IF(ISNUMBER(K88),K88-O88,"n.a.")</f>
        <v/>
      </c>
    </row>
    <row r="89" ht="32" customHeight="1">
      <c r="C89" s="10" t="inlineStr">
        <is>
          <t>PRJ-4f8db9fc-RK-03</t>
        </is>
      </c>
      <c r="D89" s="10" t="inlineStr">
        <is>
          <t>P4102309045</t>
        </is>
      </c>
      <c r="E89" s="11" t="inlineStr">
        <is>
          <t>Entsorgungs-Mehrkosten / Entsorgungswege</t>
        </is>
      </c>
      <c r="F89" s="10" t="inlineStr">
        <is>
          <t>Entsorgung</t>
        </is>
      </c>
      <c r="G89" s="12" t="n">
        <v>0.257</v>
      </c>
      <c r="H89" s="13" t="n">
        <v>3182</v>
      </c>
      <c r="I89" s="13" t="n">
        <v>6379</v>
      </c>
      <c r="J89" s="13" t="n">
        <v>11183</v>
      </c>
      <c r="K89" s="14">
        <f>IF(OR(COUNT(G89:J89)&lt;&gt;4,G89&lt;0,G89&gt;1,H89&gt;I89,I89&gt;J89),"n.a.",ROUND(G89*(H89+4*I89+J89)/6+0.00000001,2))</f>
        <v/>
      </c>
      <c r="L89" s="13" t="n">
        <v>0</v>
      </c>
      <c r="M89" s="14">
        <f>SUMIFS(Maßnahmen!$I$7:$I$126,Maßnahmen!$D$7:$D$126,C89,Maßnahmen!$H$7:$H$126,"&lt;&gt;verworfen")</f>
        <v/>
      </c>
      <c r="N89" s="14">
        <f>IF(ISNUMBER(K89),MAX(0,K89-L89-M89),"n.a.")</f>
        <v/>
      </c>
      <c r="O89" s="14" t="n">
        <v>1708.24</v>
      </c>
      <c r="P89" s="14">
        <f>IF(ISNUMBER(K89),K89-O89,"n.a.")</f>
        <v/>
      </c>
    </row>
    <row r="90" ht="32" customHeight="1">
      <c r="C90" s="10" t="inlineStr">
        <is>
          <t>PRJ-4f8db9fc-RK-04</t>
        </is>
      </c>
      <c r="D90" s="10" t="inlineStr">
        <is>
          <t>P4102309045</t>
        </is>
      </c>
      <c r="E90" s="11" t="inlineStr">
        <is>
          <t>Baustofftrennung / Aufbereitung nicht wie geplant</t>
        </is>
      </c>
      <c r="F90" s="10" t="inlineStr">
        <is>
          <t>Entsorgung</t>
        </is>
      </c>
      <c r="G90" s="12" t="n">
        <v>0.08</v>
      </c>
      <c r="H90" s="13" t="n">
        <v>270</v>
      </c>
      <c r="I90" s="13" t="n">
        <v>541</v>
      </c>
      <c r="J90" s="13" t="n">
        <v>1081</v>
      </c>
      <c r="K90" s="14">
        <f>IF(OR(COUNT(G90:J90)&lt;&gt;4,G90&lt;0,G90&gt;1,H90&gt;I90,I90&gt;J90),"n.a.",ROUND(G90*(H90+4*I90+J90)/6+0.00000001,2))</f>
        <v/>
      </c>
      <c r="L90" s="13" t="n">
        <v>0</v>
      </c>
      <c r="M90" s="14">
        <f>SUMIFS(Maßnahmen!$I$7:$I$126,Maßnahmen!$D$7:$D$126,C90,Maßnahmen!$H$7:$H$126,"&lt;&gt;verworfen")</f>
        <v/>
      </c>
      <c r="N90" s="14">
        <f>IF(ISNUMBER(K90),MAX(0,K90-L90-M90),"n.a.")</f>
        <v/>
      </c>
      <c r="O90" s="14" t="n">
        <v>46.87</v>
      </c>
      <c r="P90" s="14">
        <f>IF(ISNUMBER(K90),K90-O90,"n.a.")</f>
        <v/>
      </c>
    </row>
    <row r="91" ht="32" customHeight="1">
      <c r="C91" s="10" t="inlineStr">
        <is>
          <t>PRJ-4f8db9fc-RK-05</t>
        </is>
      </c>
      <c r="D91" s="10" t="inlineStr">
        <is>
          <t>P4102309045</t>
        </is>
      </c>
      <c r="E91" s="11" t="inlineStr">
        <is>
          <t>Unbekannte Bauwerkskonstruktion / fehlende Pläne</t>
        </is>
      </c>
      <c r="F91" s="10" t="inlineStr">
        <is>
          <t>Statik</t>
        </is>
      </c>
      <c r="G91" s="12" t="n">
        <v>0.37</v>
      </c>
      <c r="H91" s="13" t="n">
        <v>7941</v>
      </c>
      <c r="I91" s="13" t="n">
        <v>13956</v>
      </c>
      <c r="J91" s="13" t="n">
        <v>23519</v>
      </c>
      <c r="K91" s="14">
        <f>IF(OR(COUNT(G91:J91)&lt;&gt;4,G91&lt;0,G91&gt;1,H91&gt;I91,I91&gt;J91),"n.a.",ROUND(G91*(H91+4*I91+J91)/6+0.00000001,2))</f>
        <v/>
      </c>
      <c r="L91" s="13" t="n">
        <v>0</v>
      </c>
      <c r="M91" s="14">
        <f>SUMIFS(Maßnahmen!$I$7:$I$126,Maßnahmen!$D$7:$D$126,C91,Maßnahmen!$H$7:$H$126,"&lt;&gt;verworfen")</f>
        <v/>
      </c>
      <c r="N91" s="14">
        <f>IF(ISNUMBER(K91),MAX(0,K91-L91-M91),"n.a.")</f>
        <v/>
      </c>
      <c r="O91" s="14" t="n">
        <v>5382.51</v>
      </c>
      <c r="P91" s="14">
        <f>IF(ISNUMBER(K91),K91-O91,"n.a.")</f>
        <v/>
      </c>
    </row>
    <row r="92" ht="32" customHeight="1">
      <c r="C92" s="10" t="inlineStr">
        <is>
          <t>PRJ-4f8db9fc-RK-06</t>
        </is>
      </c>
      <c r="D92" s="10" t="inlineStr">
        <is>
          <t>P4102309045</t>
        </is>
      </c>
      <c r="E92" s="11" t="inlineStr">
        <is>
          <t>Statik / Einsturzsicherung während Abbruch</t>
        </is>
      </c>
      <c r="F92" s="10" t="inlineStr">
        <is>
          <t>Statik</t>
        </is>
      </c>
      <c r="G92" s="12" t="n">
        <v>0.169</v>
      </c>
      <c r="H92" s="13" t="n">
        <v>3197</v>
      </c>
      <c r="I92" s="13" t="n">
        <v>6410</v>
      </c>
      <c r="J92" s="13" t="n">
        <v>11770</v>
      </c>
      <c r="K92" s="14">
        <f>IF(OR(COUNT(G92:J92)&lt;&gt;4,G92&lt;0,G92&gt;1,H92&gt;I92,I92&gt;J92),"n.a.",ROUND(G92*(H92+4*I92+J92)/6+0.00000001,2))</f>
        <v/>
      </c>
      <c r="L92" s="13" t="n">
        <v>0</v>
      </c>
      <c r="M92" s="14">
        <f>SUMIFS(Maßnahmen!$I$7:$I$126,Maßnahmen!$D$7:$D$126,C92,Maßnahmen!$H$7:$H$126,"&lt;&gt;verworfen")</f>
        <v/>
      </c>
      <c r="N92" s="14">
        <f>IF(ISNUMBER(K92),MAX(0,K92-L92-M92),"n.a.")</f>
        <v/>
      </c>
      <c r="O92" s="14" t="n">
        <v>1143.76</v>
      </c>
      <c r="P92" s="14">
        <f>IF(ISNUMBER(K92),K92-O92,"n.a.")</f>
        <v/>
      </c>
    </row>
    <row r="93" ht="32" customHeight="1">
      <c r="C93" s="10" t="inlineStr">
        <is>
          <t>PRJ-4f8db9fc-RK-07</t>
        </is>
      </c>
      <c r="D93" s="10" t="inlineStr">
        <is>
          <t>P4102309045</t>
        </is>
      </c>
      <c r="E93" s="11" t="inlineStr">
        <is>
          <t>Unterirdische Tragkonstruktion / Fundamente</t>
        </is>
      </c>
      <c r="F93" s="10" t="inlineStr">
        <is>
          <t>Statik</t>
        </is>
      </c>
      <c r="G93" s="12" t="n">
        <v>0.6</v>
      </c>
      <c r="H93" s="13" t="n">
        <v>795</v>
      </c>
      <c r="I93" s="13" t="n">
        <v>1922</v>
      </c>
      <c r="J93" s="13" t="n">
        <v>4279</v>
      </c>
      <c r="K93" s="14">
        <f>IF(OR(COUNT(G93:J93)&lt;&gt;4,G93&lt;0,G93&gt;1,H93&gt;I93,I93&gt;J93),"n.a.",ROUND(G93*(H93+4*I93+J93)/6+0.00000001,2))</f>
        <v/>
      </c>
      <c r="L93" s="13" t="n">
        <v>0</v>
      </c>
      <c r="M93" s="14">
        <f>SUMIFS(Maßnahmen!$I$7:$I$126,Maßnahmen!$D$7:$D$126,C93,Maßnahmen!$H$7:$H$126,"&lt;&gt;verworfen")</f>
        <v/>
      </c>
      <c r="N93" s="14">
        <f>IF(ISNUMBER(K93),MAX(0,K93-L93-M93),"n.a.")</f>
        <v/>
      </c>
      <c r="O93" s="14" t="n">
        <v>1276.2</v>
      </c>
      <c r="P93" s="14">
        <f>IF(ISNUMBER(K93),K93-O93,"n.a.")</f>
        <v/>
      </c>
    </row>
    <row r="94" ht="32" customHeight="1">
      <c r="C94" s="10" t="inlineStr">
        <is>
          <t>PRJ-4f8db9fc-RK-08</t>
        </is>
      </c>
      <c r="D94" s="10" t="inlineStr">
        <is>
          <t>P4102309045</t>
        </is>
      </c>
      <c r="E94" s="11" t="inlineStr">
        <is>
          <t>Gebäudehöhe &gt;22 m / Longfront-Bagger (+130–150 %)</t>
        </is>
      </c>
      <c r="F94" s="10" t="inlineStr">
        <is>
          <t>Termin</t>
        </is>
      </c>
      <c r="G94" s="12" t="n">
        <v>0.219</v>
      </c>
      <c r="H94" s="13" t="n">
        <v>741</v>
      </c>
      <c r="I94" s="13" t="n">
        <v>1998</v>
      </c>
      <c r="J94" s="13" t="n">
        <v>3945</v>
      </c>
      <c r="K94" s="14">
        <f>IF(OR(COUNT(G94:J94)&lt;&gt;4,G94&lt;0,G94&gt;1,H94&gt;I94,I94&gt;J94),"n.a.",ROUND(G94*(H94+4*I94+J94)/6+0.00000001,2))</f>
        <v/>
      </c>
      <c r="L94" s="13" t="n">
        <v>0</v>
      </c>
      <c r="M94" s="14">
        <f>SUMIFS(Maßnahmen!$I$7:$I$126,Maßnahmen!$D$7:$D$126,C94,Maßnahmen!$H$7:$H$126,"&lt;&gt;verworfen")</f>
        <v/>
      </c>
      <c r="N94" s="14">
        <f>IF(ISNUMBER(K94),MAX(0,K94-L94-M94),"n.a.")</f>
        <v/>
      </c>
      <c r="O94" s="14" t="n">
        <v>462.75</v>
      </c>
      <c r="P94" s="14">
        <f>IF(ISNUMBER(K94),K94-O94,"n.a.")</f>
        <v/>
      </c>
    </row>
    <row r="95" ht="32" customHeight="1">
      <c r="C95" s="10" t="inlineStr">
        <is>
          <t>PRJ-4f8db9fc-RK-09</t>
        </is>
      </c>
      <c r="D95" s="10" t="inlineStr">
        <is>
          <t>P4102309045</t>
        </is>
      </c>
      <c r="E95" s="11" t="inlineStr">
        <is>
          <t>Beennte Lage / nur Handabbruch möglich</t>
        </is>
      </c>
      <c r="F95" s="10" t="inlineStr">
        <is>
          <t>Termin</t>
        </is>
      </c>
      <c r="G95" s="12" t="n">
        <v>0.499</v>
      </c>
      <c r="H95" s="13" t="n">
        <v>2359</v>
      </c>
      <c r="I95" s="13" t="n">
        <v>4933</v>
      </c>
      <c r="J95" s="13" t="n">
        <v>10408</v>
      </c>
      <c r="K95" s="14">
        <f>IF(OR(COUNT(G95:J95)&lt;&gt;4,G95&lt;0,G95&gt;1,H95&gt;I95,I95&gt;J95),"n.a.",ROUND(G95*(H95+4*I95+J95)/6+0.00000001,2))</f>
        <v/>
      </c>
      <c r="L95" s="13" t="n">
        <v>0</v>
      </c>
      <c r="M95" s="14">
        <f>SUMIFS(Maßnahmen!$I$7:$I$126,Maßnahmen!$D$7:$D$126,C95,Maßnahmen!$H$7:$H$126,"&lt;&gt;verworfen")</f>
        <v/>
      </c>
      <c r="N95" s="14">
        <f>IF(ISNUMBER(K95),MAX(0,K95-L95-M95),"n.a.")</f>
        <v/>
      </c>
      <c r="O95" s="14" t="n">
        <v>2702.83</v>
      </c>
      <c r="P95" s="14">
        <f>IF(ISNUMBER(K95),K95-O95,"n.a.")</f>
        <v/>
      </c>
    </row>
    <row r="96" ht="32" customHeight="1">
      <c r="C96" s="10" t="inlineStr">
        <is>
          <t>PRJ-4f8db9fc-RK-10</t>
        </is>
      </c>
      <c r="D96" s="10" t="inlineStr">
        <is>
          <t>P4102309045</t>
        </is>
      </c>
      <c r="E96" s="11" t="inlineStr">
        <is>
          <t>Terminvorgabe Auftraggeber / Geräteauslastung</t>
        </is>
      </c>
      <c r="F96" s="10" t="inlineStr">
        <is>
          <t>Termin</t>
        </is>
      </c>
      <c r="G96" s="12" t="n">
        <v>0.08</v>
      </c>
      <c r="H96" s="13" t="n">
        <v>270</v>
      </c>
      <c r="I96" s="13" t="n">
        <v>541</v>
      </c>
      <c r="J96" s="13" t="n">
        <v>1081</v>
      </c>
      <c r="K96" s="14">
        <f>IF(OR(COUNT(G96:J96)&lt;&gt;4,G96&lt;0,G96&gt;1,H96&gt;I96,I96&gt;J96),"n.a.",ROUND(G96*(H96+4*I96+J96)/6+0.00000001,2))</f>
        <v/>
      </c>
      <c r="L96" s="13" t="n">
        <v>0</v>
      </c>
      <c r="M96" s="14">
        <f>SUMIFS(Maßnahmen!$I$7:$I$126,Maßnahmen!$D$7:$D$126,C96,Maßnahmen!$H$7:$H$126,"&lt;&gt;verworfen")</f>
        <v/>
      </c>
      <c r="N96" s="14">
        <f>IF(ISNUMBER(K96),MAX(0,K96-L96-M96),"n.a.")</f>
        <v/>
      </c>
      <c r="O96" s="14" t="n">
        <v>46.87</v>
      </c>
      <c r="P96" s="14">
        <f>IF(ISNUMBER(K96),K96-O96,"n.a.")</f>
        <v/>
      </c>
    </row>
    <row r="97" ht="32" customHeight="1">
      <c r="C97" s="10" t="inlineStr">
        <is>
          <t>PRJ-4f8db9fc-RK-12</t>
        </is>
      </c>
      <c r="D97" s="10" t="inlineStr">
        <is>
          <t>P4102309045</t>
        </is>
      </c>
      <c r="E97" s="11" t="inlineStr">
        <is>
          <t>Staubemissionen (höchster Aufwand laut Umfrage)</t>
        </is>
      </c>
      <c r="F97" s="10" t="inlineStr">
        <is>
          <t>Emissionen</t>
        </is>
      </c>
      <c r="G97" s="12" t="n">
        <v>0.22</v>
      </c>
      <c r="H97" s="13" t="n">
        <v>1622</v>
      </c>
      <c r="I97" s="13" t="n">
        <v>3244</v>
      </c>
      <c r="J97" s="13" t="n">
        <v>6488</v>
      </c>
      <c r="K97" s="14">
        <f>IF(OR(COUNT(G97:J97)&lt;&gt;4,G97&lt;0,G97&gt;1,H97&gt;I97,I97&gt;J97),"n.a.",ROUND(G97*(H97+4*I97+J97)/6+0.00000001,2))</f>
        <v/>
      </c>
      <c r="L97" s="13" t="n">
        <v>0</v>
      </c>
      <c r="M97" s="14">
        <f>SUMIFS(Maßnahmen!$I$7:$I$126,Maßnahmen!$D$7:$D$126,C97,Maßnahmen!$H$7:$H$126,"&lt;&gt;verworfen")</f>
        <v/>
      </c>
      <c r="N97" s="14">
        <f>IF(ISNUMBER(K97),MAX(0,K97-L97-M97),"n.a.")</f>
        <v/>
      </c>
      <c r="O97" s="14" t="n">
        <v>773.15</v>
      </c>
      <c r="P97" s="14">
        <f>IF(ISNUMBER(K97),K97-O97,"n.a.")</f>
        <v/>
      </c>
    </row>
    <row r="98" ht="32" customHeight="1">
      <c r="C98" s="10" t="inlineStr">
        <is>
          <t>PRJ-4f8db9fc-RK-13</t>
        </is>
      </c>
      <c r="D98" s="10" t="inlineStr">
        <is>
          <t>P4102309045</t>
        </is>
      </c>
      <c r="E98" s="11" t="inlineStr">
        <is>
          <t>Lärm- und Erschütterungsauflagen</t>
        </is>
      </c>
      <c r="F98" s="10" t="inlineStr">
        <is>
          <t>Emissionen</t>
        </is>
      </c>
      <c r="G98" s="12" t="n">
        <v>0.6</v>
      </c>
      <c r="H98" s="13" t="n">
        <v>5704</v>
      </c>
      <c r="I98" s="13" t="n">
        <v>11178</v>
      </c>
      <c r="J98" s="13" t="n">
        <v>20045</v>
      </c>
      <c r="K98" s="14">
        <f>IF(OR(COUNT(G98:J98)&lt;&gt;4,G98&lt;0,G98&gt;1,H98&gt;I98,I98&gt;J98),"n.a.",ROUND(G98*(H98+4*I98+J98)/6+0.00000001,2))</f>
        <v/>
      </c>
      <c r="L98" s="13" t="n">
        <v>0</v>
      </c>
      <c r="M98" s="14">
        <f>SUMIFS(Maßnahmen!$I$7:$I$126,Maßnahmen!$D$7:$D$126,C98,Maßnahmen!$H$7:$H$126,"&lt;&gt;verworfen")</f>
        <v/>
      </c>
      <c r="N98" s="14">
        <f>IF(ISNUMBER(K98),MAX(0,K98-L98-M98),"n.a.")</f>
        <v/>
      </c>
      <c r="O98" s="14" t="n">
        <v>7046.1</v>
      </c>
      <c r="P98" s="14">
        <f>IF(ISNUMBER(K98),K98-O98,"n.a.")</f>
        <v/>
      </c>
    </row>
    <row r="99" ht="32" customHeight="1">
      <c r="C99" s="10" t="inlineStr">
        <is>
          <t>PRJ-4f8db9fc-RK-14</t>
        </is>
      </c>
      <c r="D99" s="10" t="inlineStr">
        <is>
          <t>P4102309045</t>
        </is>
      </c>
      <c r="E99" s="11" t="inlineStr">
        <is>
          <t>Rechtliche Auflagen / Entsorgungsnachweise (Formalismus)</t>
        </is>
      </c>
      <c r="F99" s="10" t="inlineStr">
        <is>
          <t>Genehmigung</t>
        </is>
      </c>
      <c r="G99" s="12" t="n">
        <v>0.136</v>
      </c>
      <c r="H99" s="13" t="n">
        <v>1011</v>
      </c>
      <c r="I99" s="13" t="n">
        <v>2268</v>
      </c>
      <c r="J99" s="13" t="n">
        <v>4486</v>
      </c>
      <c r="K99" s="14">
        <f>IF(OR(COUNT(G99:J99)&lt;&gt;4,G99&lt;0,G99&gt;1,H99&gt;I99,I99&gt;J99),"n.a.",ROUND(G99*(H99+4*I99+J99)/6+0.00000001,2))</f>
        <v/>
      </c>
      <c r="L99" s="13" t="n">
        <v>0</v>
      </c>
      <c r="M99" s="14">
        <f>SUMIFS(Maßnahmen!$I$7:$I$126,Maßnahmen!$D$7:$D$126,C99,Maßnahmen!$H$7:$H$126,"&lt;&gt;verworfen")</f>
        <v/>
      </c>
      <c r="N99" s="14">
        <f>IF(ISNUMBER(K99),MAX(0,K99-L99-M99),"n.a.")</f>
        <v/>
      </c>
      <c r="O99" s="14" t="n">
        <v>330.23</v>
      </c>
      <c r="P99" s="14">
        <f>IF(ISNUMBER(K99),K99-O99,"n.a.")</f>
        <v/>
      </c>
    </row>
    <row r="100" ht="32" customHeight="1">
      <c r="C100" s="10" t="inlineStr">
        <is>
          <t>PRJ-4f8db9fc-RK-15</t>
        </is>
      </c>
      <c r="D100" s="10" t="inlineStr">
        <is>
          <t>P4102309045</t>
        </is>
      </c>
      <c r="E100" s="11" t="inlineStr">
        <is>
          <t>Konjunktur / Sekundärstoffpreise &amp; Gerätemiete</t>
        </is>
      </c>
      <c r="F100" s="10" t="inlineStr">
        <is>
          <t>Markt</t>
        </is>
      </c>
      <c r="G100" s="12" t="n">
        <v>0.12</v>
      </c>
      <c r="H100" s="13" t="n">
        <v>433</v>
      </c>
      <c r="I100" s="13" t="n">
        <v>1081</v>
      </c>
      <c r="J100" s="13" t="n">
        <v>2703</v>
      </c>
      <c r="K100" s="14">
        <f>IF(OR(COUNT(G100:J100)&lt;&gt;4,G100&lt;0,G100&gt;1,H100&gt;I100,I100&gt;J100),"n.a.",ROUND(G100*(H100+4*I100+J100)/6+0.00000001,2))</f>
        <v/>
      </c>
      <c r="L100" s="13" t="n">
        <v>0</v>
      </c>
      <c r="M100" s="14">
        <f>SUMIFS(Maßnahmen!$I$7:$I$126,Maßnahmen!$D$7:$D$126,C100,Maßnahmen!$H$7:$H$126,"&lt;&gt;verworfen")</f>
        <v/>
      </c>
      <c r="N100" s="14">
        <f>IF(ISNUMBER(K100),MAX(0,K100-L100-M100),"n.a.")</f>
        <v/>
      </c>
      <c r="O100" s="14" t="n">
        <v>149.2</v>
      </c>
      <c r="P100" s="14">
        <f>IF(ISNUMBER(K100),K100-O100,"n.a.")</f>
        <v/>
      </c>
    </row>
    <row r="101" ht="32" customHeight="1">
      <c r="C101" s="10" t="inlineStr">
        <is>
          <t>PRJ-52b1cf4f-RK-06</t>
        </is>
      </c>
      <c r="D101" s="10" t="inlineStr">
        <is>
          <t>P4102157456</t>
        </is>
      </c>
      <c r="E101" s="11" t="inlineStr">
        <is>
          <t>Statik / Einsturzsicherung während Abbruch</t>
        </is>
      </c>
      <c r="F101" s="10" t="inlineStr">
        <is>
          <t>Statik</t>
        </is>
      </c>
      <c r="G101" s="12" t="n">
        <v>0.175</v>
      </c>
      <c r="H101" s="13" t="n">
        <v>4418</v>
      </c>
      <c r="I101" s="13" t="n">
        <v>8763</v>
      </c>
      <c r="J101" s="13" t="n">
        <v>15980</v>
      </c>
      <c r="K101" s="14">
        <f>IF(OR(COUNT(G101:J101)&lt;&gt;4,G101&lt;0,G101&gt;1,H101&gt;I101,I101&gt;J101),"n.a.",ROUND(G101*(H101+4*I101+J101)/6+0.00000001,2))</f>
        <v/>
      </c>
      <c r="L101" s="13" t="n">
        <v>0</v>
      </c>
      <c r="M101" s="14">
        <f>SUMIFS(Maßnahmen!$I$7:$I$126,Maßnahmen!$D$7:$D$126,C101,Maßnahmen!$H$7:$H$126,"&lt;&gt;verworfen")</f>
        <v/>
      </c>
      <c r="N101" s="14">
        <f>IF(ISNUMBER(K101),MAX(0,K101-L101-M101),"n.a.")</f>
        <v/>
      </c>
      <c r="O101" s="14" t="n">
        <v>1617.29</v>
      </c>
      <c r="P101" s="14">
        <f>IF(ISNUMBER(K101),K101-O101,"n.a.")</f>
        <v/>
      </c>
    </row>
    <row r="102" ht="32" customHeight="1">
      <c r="C102" s="10" t="inlineStr">
        <is>
          <t>PRJ-52b1cf4f-RK-07</t>
        </is>
      </c>
      <c r="D102" s="10" t="inlineStr">
        <is>
          <t>P4102157456</t>
        </is>
      </c>
      <c r="E102" s="11" t="inlineStr">
        <is>
          <t>Unterirdische Tragkonstruktion / Fundamente</t>
        </is>
      </c>
      <c r="F102" s="10" t="inlineStr">
        <is>
          <t>Statik</t>
        </is>
      </c>
      <c r="G102" s="12" t="n">
        <v>0.605</v>
      </c>
      <c r="H102" s="13" t="n">
        <v>1123</v>
      </c>
      <c r="I102" s="13" t="n">
        <v>2636</v>
      </c>
      <c r="J102" s="13" t="n">
        <v>5818</v>
      </c>
      <c r="K102" s="14">
        <f>IF(OR(COUNT(G102:J102)&lt;&gt;4,G102&lt;0,G102&gt;1,H102&gt;I102,I102&gt;J102),"n.a.",ROUND(G102*(H102+4*I102+J102)/6+0.00000001,2))</f>
        <v/>
      </c>
      <c r="L102" s="13" t="n">
        <v>0</v>
      </c>
      <c r="M102" s="14">
        <f>SUMIFS(Maßnahmen!$I$7:$I$126,Maßnahmen!$D$7:$D$126,C102,Maßnahmen!$H$7:$H$126,"&lt;&gt;verworfen")</f>
        <v/>
      </c>
      <c r="N102" s="14">
        <f>IF(ISNUMBER(K102),MAX(0,K102-L102-M102),"n.a.")</f>
        <v/>
      </c>
      <c r="O102" s="14" t="n">
        <v>1763.07</v>
      </c>
      <c r="P102" s="14">
        <f>IF(ISNUMBER(K102),K102-O102,"n.a.")</f>
        <v/>
      </c>
    </row>
    <row r="103" ht="32" customHeight="1">
      <c r="C103" s="10" t="inlineStr">
        <is>
          <t>PRJ-52b1cf4f-RK-08</t>
        </is>
      </c>
      <c r="D103" s="10" t="inlineStr">
        <is>
          <t>P4102157456</t>
        </is>
      </c>
      <c r="E103" s="11" t="inlineStr">
        <is>
          <t>Gebäudehöhe &gt;22 m / Longfront-Bagger (+130–150 %)</t>
        </is>
      </c>
      <c r="F103" s="10" t="inlineStr">
        <is>
          <t>Termin</t>
        </is>
      </c>
      <c r="G103" s="12" t="n">
        <v>0.409</v>
      </c>
      <c r="H103" s="13" t="n">
        <v>3622</v>
      </c>
      <c r="I103" s="13" t="n">
        <v>7579</v>
      </c>
      <c r="J103" s="13" t="n">
        <v>14427</v>
      </c>
      <c r="K103" s="14">
        <f>IF(OR(COUNT(G103:J103)&lt;&gt;4,G103&lt;0,G103&gt;1,H103&gt;I103,I103&gt;J103),"n.a.",ROUND(G103*(H103+4*I103+J103)/6+0.00000001,2))</f>
        <v/>
      </c>
      <c r="L103" s="13" t="n">
        <v>0</v>
      </c>
      <c r="M103" s="14">
        <f>SUMIFS(Maßnahmen!$I$7:$I$126,Maßnahmen!$D$7:$D$126,C103,Maßnahmen!$H$7:$H$126,"&lt;&gt;verworfen")</f>
        <v/>
      </c>
      <c r="N103" s="14">
        <f>IF(ISNUMBER(K103),MAX(0,K103-L103-M103),"n.a.")</f>
        <v/>
      </c>
      <c r="O103" s="14" t="n">
        <v>3296.88</v>
      </c>
      <c r="P103" s="14">
        <f>IF(ISNUMBER(K103),K103-O103,"n.a.")</f>
        <v/>
      </c>
    </row>
    <row r="104" ht="32" customHeight="1">
      <c r="C104" s="10" t="inlineStr">
        <is>
          <t>PRJ-52b1cf4f-RK-09</t>
        </is>
      </c>
      <c r="D104" s="10" t="inlineStr">
        <is>
          <t>P4102157456</t>
        </is>
      </c>
      <c r="E104" s="11" t="inlineStr">
        <is>
          <t>Beennte Lage / nur Handabbruch möglich</t>
        </is>
      </c>
      <c r="F104" s="10" t="inlineStr">
        <is>
          <t>Termin</t>
        </is>
      </c>
      <c r="G104" s="12" t="n">
        <v>0.224</v>
      </c>
      <c r="H104" s="13" t="n">
        <v>1304</v>
      </c>
      <c r="I104" s="13" t="n">
        <v>2888</v>
      </c>
      <c r="J104" s="13" t="n">
        <v>6476</v>
      </c>
      <c r="K104" s="14">
        <f>IF(OR(COUNT(G104:J104)&lt;&gt;4,G104&lt;0,G104&gt;1,H104&gt;I104,I104&gt;J104),"n.a.",ROUND(G104*(H104+4*I104+J104)/6+0.00000001,2))</f>
        <v/>
      </c>
      <c r="L104" s="13" t="n">
        <v>0</v>
      </c>
      <c r="M104" s="14">
        <f>SUMIFS(Maßnahmen!$I$7:$I$126,Maßnahmen!$D$7:$D$126,C104,Maßnahmen!$H$7:$H$126,"&lt;&gt;verworfen")</f>
        <v/>
      </c>
      <c r="N104" s="14">
        <f>IF(ISNUMBER(K104),MAX(0,K104-L104-M104),"n.a.")</f>
        <v/>
      </c>
      <c r="O104" s="14" t="n">
        <v>721.73</v>
      </c>
      <c r="P104" s="14">
        <f>IF(ISNUMBER(K104),K104-O104,"n.a.")</f>
        <v/>
      </c>
    </row>
    <row r="105" ht="32" customHeight="1">
      <c r="C105" s="10" t="inlineStr">
        <is>
          <t>PRJ-52b1cf4f-RK-13</t>
        </is>
      </c>
      <c r="D105" s="10" t="inlineStr">
        <is>
          <t>P4102157456</t>
        </is>
      </c>
      <c r="E105" s="11" t="inlineStr">
        <is>
          <t>Lärm- und Erschütterungsauflagen</t>
        </is>
      </c>
      <c r="F105" s="10" t="inlineStr">
        <is>
          <t>Emissionen</t>
        </is>
      </c>
      <c r="G105" s="12" t="n">
        <v>0.317</v>
      </c>
      <c r="H105" s="13" t="n">
        <v>3186</v>
      </c>
      <c r="I105" s="13" t="n">
        <v>6774</v>
      </c>
      <c r="J105" s="13" t="n">
        <v>12655</v>
      </c>
      <c r="K105" s="14">
        <f>IF(OR(COUNT(G105:J105)&lt;&gt;4,G105&lt;0,G105&gt;1,H105&gt;I105,I105&gt;J105),"n.a.",ROUND(G105*(H105+4*I105+J105)/6+0.00000001,2))</f>
        <v/>
      </c>
      <c r="L105" s="13" t="n">
        <v>0</v>
      </c>
      <c r="M105" s="14">
        <f>SUMIFS(Maßnahmen!$I$7:$I$126,Maßnahmen!$D$7:$D$126,C105,Maßnahmen!$H$7:$H$126,"&lt;&gt;verworfen")</f>
        <v/>
      </c>
      <c r="N105" s="14">
        <f>IF(ISNUMBER(K105),MAX(0,K105-L105-M105),"n.a.")</f>
        <v/>
      </c>
      <c r="O105" s="14" t="n">
        <v>2268.5</v>
      </c>
      <c r="P105" s="14">
        <f>IF(ISNUMBER(K105),K105-O105,"n.a.")</f>
        <v/>
      </c>
    </row>
    <row r="106" ht="32" customHeight="1">
      <c r="C106" s="10" t="inlineStr">
        <is>
          <t>PRJ-52b1cf4f-RK-14</t>
        </is>
      </c>
      <c r="D106" s="10" t="inlineStr">
        <is>
          <t>P4102157456</t>
        </is>
      </c>
      <c r="E106" s="11" t="inlineStr">
        <is>
          <t>Rechtliche Auflagen / Entsorgungsnachweise (Formalismus)</t>
        </is>
      </c>
      <c r="F106" s="10" t="inlineStr">
        <is>
          <t>Genehmigung</t>
        </is>
      </c>
      <c r="G106" s="12" t="n">
        <v>0.4</v>
      </c>
      <c r="H106" s="13" t="n">
        <v>3972</v>
      </c>
      <c r="I106" s="13" t="n">
        <v>7929</v>
      </c>
      <c r="J106" s="13" t="n">
        <v>15127</v>
      </c>
      <c r="K106" s="14">
        <f>IF(OR(COUNT(G106:J106)&lt;&gt;4,G106&lt;0,G106&gt;1,H106&gt;I106,I106&gt;J106),"n.a.",ROUND(G106*(H106+4*I106+J106)/6+0.00000001,2))</f>
        <v/>
      </c>
      <c r="L106" s="13" t="n">
        <v>0</v>
      </c>
      <c r="M106" s="14">
        <f>SUMIFS(Maßnahmen!$I$7:$I$126,Maßnahmen!$D$7:$D$126,C106,Maßnahmen!$H$7:$H$126,"&lt;&gt;verworfen")</f>
        <v/>
      </c>
      <c r="N106" s="14">
        <f>IF(ISNUMBER(K106),MAX(0,K106-L106-M106),"n.a.")</f>
        <v/>
      </c>
      <c r="O106" s="14" t="n">
        <v>3387.67</v>
      </c>
      <c r="P106" s="14">
        <f>IF(ISNUMBER(K106),K106-O106,"n.a.")</f>
        <v/>
      </c>
    </row>
    <row r="107" ht="32" customHeight="1">
      <c r="C107" s="10" t="inlineStr">
        <is>
          <t>PRJ-4a6f9ca4-RK-14</t>
        </is>
      </c>
      <c r="D107" s="10" t="inlineStr">
        <is>
          <t>P4102608270</t>
        </is>
      </c>
      <c r="E107" s="11" t="inlineStr">
        <is>
          <t>Rechtliche Auflagen / Entsorgungsnachweise (Formalismus)</t>
        </is>
      </c>
      <c r="F107" s="10" t="inlineStr">
        <is>
          <t>Genehmigung</t>
        </is>
      </c>
      <c r="G107" s="12" t="n">
        <v>0.12</v>
      </c>
      <c r="H107" s="13" t="n">
        <v>319</v>
      </c>
      <c r="I107" s="13" t="n">
        <v>744</v>
      </c>
      <c r="J107" s="13" t="n">
        <v>1488</v>
      </c>
      <c r="K107" s="14">
        <f>IF(OR(COUNT(G107:J107)&lt;&gt;4,G107&lt;0,G107&gt;1,H107&gt;I107,I107&gt;J107),"n.a.",ROUND(G107*(H107+4*I107+J107)/6+0.00000001,2))</f>
        <v/>
      </c>
      <c r="L107" s="13" t="n">
        <v>0</v>
      </c>
      <c r="M107" s="14">
        <f>SUMIFS(Maßnahmen!$I$7:$I$126,Maßnahmen!$D$7:$D$126,C107,Maßnahmen!$H$7:$H$126,"&lt;&gt;verworfen")</f>
        <v/>
      </c>
      <c r="N107" s="14">
        <f>IF(ISNUMBER(K107),MAX(0,K107-L107-M107),"n.a.")</f>
        <v/>
      </c>
      <c r="O107" s="14" t="n">
        <v>95.66</v>
      </c>
      <c r="P107" s="14">
        <f>IF(ISNUMBER(K107),K107-O107,"n.a.")</f>
        <v/>
      </c>
    </row>
    <row r="108" ht="32" customHeight="1">
      <c r="C108" s="10" t="inlineStr">
        <is>
          <t>PRJ-4f8e93d9-RK-10</t>
        </is>
      </c>
      <c r="D108" s="10" t="inlineStr">
        <is>
          <t>P4102307431</t>
        </is>
      </c>
      <c r="E108" s="11" t="inlineStr">
        <is>
          <t>Terminvorgabe Auftraggeber / Geräteauslastung</t>
        </is>
      </c>
      <c r="F108" s="10" t="inlineStr">
        <is>
          <t>Termin</t>
        </is>
      </c>
      <c r="G108" s="12" t="n">
        <v>0.2</v>
      </c>
      <c r="H108" s="13" t="n">
        <v>40</v>
      </c>
      <c r="I108" s="13" t="n">
        <v>100</v>
      </c>
      <c r="J108" s="13" t="n">
        <v>250</v>
      </c>
      <c r="K108" s="14">
        <f>IF(OR(COUNT(G108:J108)&lt;&gt;4,G108&lt;0,G108&gt;1,H108&gt;I108,I108&gt;J108),"n.a.",ROUND(G108*(H108+4*I108+J108)/6+0.00000001,2))</f>
        <v/>
      </c>
      <c r="L108" s="13" t="n">
        <v>0</v>
      </c>
      <c r="M108" s="14">
        <f>SUMIFS(Maßnahmen!$I$7:$I$126,Maßnahmen!$D$7:$D$126,C108,Maßnahmen!$H$7:$H$126,"&lt;&gt;verworfen")</f>
        <v/>
      </c>
      <c r="N108" s="14">
        <f>IF(ISNUMBER(K108),MAX(0,K108-L108-M108),"n.a.")</f>
        <v/>
      </c>
      <c r="O108" s="14" t="n">
        <v>23</v>
      </c>
      <c r="P108" s="14">
        <f>IF(ISNUMBER(K108),K108-O108,"n.a.")</f>
        <v/>
      </c>
    </row>
    <row r="109" ht="32" customHeight="1">
      <c r="C109" s="10" t="inlineStr">
        <is>
          <t>PRJ-4f8e93d9-RK-11</t>
        </is>
      </c>
      <c r="D109" s="10" t="inlineStr">
        <is>
          <t>P4102307431</t>
        </is>
      </c>
      <c r="E109" s="11" t="inlineStr">
        <is>
          <t>Witterung / Ablaufstörung</t>
        </is>
      </c>
      <c r="F109" s="10" t="inlineStr">
        <is>
          <t>Termin</t>
        </is>
      </c>
      <c r="G109" s="12" t="n">
        <v>0.25</v>
      </c>
      <c r="H109" s="13" t="n">
        <v>50</v>
      </c>
      <c r="I109" s="13" t="n">
        <v>150</v>
      </c>
      <c r="J109" s="13" t="n">
        <v>300</v>
      </c>
      <c r="K109" s="14">
        <f>IF(OR(COUNT(G109:J109)&lt;&gt;4,G109&lt;0,G109&gt;1,H109&gt;I109,I109&gt;J109),"n.a.",ROUND(G109*(H109+4*I109+J109)/6+0.00000001,2))</f>
        <v/>
      </c>
      <c r="L109" s="13" t="n">
        <v>0</v>
      </c>
      <c r="M109" s="14">
        <f>SUMIFS(Maßnahmen!$I$7:$I$126,Maßnahmen!$D$7:$D$126,C109,Maßnahmen!$H$7:$H$126,"&lt;&gt;verworfen")</f>
        <v/>
      </c>
      <c r="N109" s="14">
        <f>IF(ISNUMBER(K109),MAX(0,K109-L109-M109),"n.a.")</f>
        <v/>
      </c>
      <c r="O109" s="14" t="n">
        <v>39.58</v>
      </c>
      <c r="P109" s="14">
        <f>IF(ISNUMBER(K109),K109-O109,"n.a.")</f>
        <v/>
      </c>
    </row>
    <row r="110" ht="32" customHeight="1">
      <c r="C110" s="10" t="inlineStr">
        <is>
          <t>PRJ-4f8e93d9-RK-12</t>
        </is>
      </c>
      <c r="D110" s="10" t="inlineStr">
        <is>
          <t>P4102307431</t>
        </is>
      </c>
      <c r="E110" s="11" t="inlineStr">
        <is>
          <t>Staubemissionen (höchster Aufwand laut Umfrage)</t>
        </is>
      </c>
      <c r="F110" s="10" t="inlineStr">
        <is>
          <t>Emissionen</t>
        </is>
      </c>
      <c r="G110" s="12" t="n">
        <v>0.1</v>
      </c>
      <c r="H110" s="13" t="n">
        <v>150</v>
      </c>
      <c r="I110" s="13" t="n">
        <v>300</v>
      </c>
      <c r="J110" s="13" t="n">
        <v>600</v>
      </c>
      <c r="K110" s="14">
        <f>IF(OR(COUNT(G110:J110)&lt;&gt;4,G110&lt;0,G110&gt;1,H110&gt;I110,I110&gt;J110),"n.a.",ROUND(G110*(H110+4*I110+J110)/6+0.00000001,2))</f>
        <v/>
      </c>
      <c r="L110" s="13" t="n">
        <v>0</v>
      </c>
      <c r="M110" s="14">
        <f>SUMIFS(Maßnahmen!$I$7:$I$126,Maßnahmen!$D$7:$D$126,C110,Maßnahmen!$H$7:$H$126,"&lt;&gt;verworfen")</f>
        <v/>
      </c>
      <c r="N110" s="14">
        <f>IF(ISNUMBER(K110),MAX(0,K110-L110-M110),"n.a.")</f>
        <v/>
      </c>
      <c r="O110" s="14" t="n">
        <v>32.5</v>
      </c>
      <c r="P110" s="14">
        <f>IF(ISNUMBER(K110),K110-O110,"n.a.")</f>
        <v/>
      </c>
    </row>
    <row r="111" ht="32" customHeight="1">
      <c r="C111" s="10" t="inlineStr">
        <is>
          <t>PRJ-4f8e93d9-RK-13</t>
        </is>
      </c>
      <c r="D111" s="10" t="inlineStr">
        <is>
          <t>P4102307431</t>
        </is>
      </c>
      <c r="E111" s="11" t="inlineStr">
        <is>
          <t>Lärm- und Erschütterungsauflagen</t>
        </is>
      </c>
      <c r="F111" s="10" t="inlineStr">
        <is>
          <t>Emissionen</t>
        </is>
      </c>
      <c r="G111" s="12" t="n">
        <v>0.2</v>
      </c>
      <c r="H111" s="13" t="n">
        <v>100</v>
      </c>
      <c r="I111" s="13" t="n">
        <v>250</v>
      </c>
      <c r="J111" s="13" t="n">
        <v>500</v>
      </c>
      <c r="K111" s="14">
        <f>IF(OR(COUNT(G111:J111)&lt;&gt;4,G111&lt;0,G111&gt;1,H111&gt;I111,I111&gt;J111),"n.a.",ROUND(G111*(H111+4*I111+J111)/6+0.00000001,2))</f>
        <v/>
      </c>
      <c r="L111" s="13" t="n">
        <v>0</v>
      </c>
      <c r="M111" s="14">
        <f>SUMIFS(Maßnahmen!$I$7:$I$126,Maßnahmen!$D$7:$D$126,C111,Maßnahmen!$H$7:$H$126,"&lt;&gt;verworfen")</f>
        <v/>
      </c>
      <c r="N111" s="14">
        <f>IF(ISNUMBER(K111),MAX(0,K111-L111-M111),"n.a.")</f>
        <v/>
      </c>
      <c r="O111" s="14" t="n">
        <v>53.33</v>
      </c>
      <c r="P111" s="14">
        <f>IF(ISNUMBER(K111),K111-O111,"n.a.")</f>
        <v/>
      </c>
    </row>
    <row r="112" ht="32" customHeight="1">
      <c r="C112" s="10" t="inlineStr">
        <is>
          <t>PRJ-4f8e93d9-RK-14</t>
        </is>
      </c>
      <c r="D112" s="10" t="inlineStr">
        <is>
          <t>P4102307431</t>
        </is>
      </c>
      <c r="E112" s="11" t="inlineStr">
        <is>
          <t>Rechtliche Auflagen / Entsorgungsnachweise (Formalismus)</t>
        </is>
      </c>
      <c r="F112" s="10" t="inlineStr">
        <is>
          <t>Genehmigung</t>
        </is>
      </c>
      <c r="G112" s="12" t="n">
        <v>0.4</v>
      </c>
      <c r="H112" s="13" t="n">
        <v>475</v>
      </c>
      <c r="I112" s="13" t="n">
        <v>925</v>
      </c>
      <c r="J112" s="13" t="n">
        <v>1750</v>
      </c>
      <c r="K112" s="14">
        <f>IF(OR(COUNT(G112:J112)&lt;&gt;4,G112&lt;0,G112&gt;1,H112&gt;I112,I112&gt;J112),"n.a.",ROUND(G112*(H112+4*I112+J112)/6+0.00000001,2))</f>
        <v/>
      </c>
      <c r="L112" s="13" t="n">
        <v>0</v>
      </c>
      <c r="M112" s="14">
        <f>SUMIFS(Maßnahmen!$I$7:$I$126,Maßnahmen!$D$7:$D$126,C112,Maßnahmen!$H$7:$H$126,"&lt;&gt;verworfen")</f>
        <v/>
      </c>
      <c r="N112" s="14">
        <f>IF(ISNUMBER(K112),MAX(0,K112-L112-M112),"n.a.")</f>
        <v/>
      </c>
      <c r="O112" s="14" t="n">
        <v>395</v>
      </c>
      <c r="P112" s="14">
        <f>IF(ISNUMBER(K112),K112-O112,"n.a.")</f>
        <v/>
      </c>
    </row>
    <row r="113" ht="32" customHeight="1">
      <c r="C113" s="10" t="inlineStr">
        <is>
          <t>PRJ-4f8e93d9-RK-15</t>
        </is>
      </c>
      <c r="D113" s="10" t="inlineStr">
        <is>
          <t>P4102307431</t>
        </is>
      </c>
      <c r="E113" s="11" t="inlineStr">
        <is>
          <t>Konjunktur / Sekundärstoffpreise &amp; Gerätemiete</t>
        </is>
      </c>
      <c r="F113" s="10" t="inlineStr">
        <is>
          <t>Markt</t>
        </is>
      </c>
      <c r="G113" s="12" t="n">
        <v>0.12</v>
      </c>
      <c r="H113" s="13" t="n">
        <v>40</v>
      </c>
      <c r="I113" s="13" t="n">
        <v>100</v>
      </c>
      <c r="J113" s="13" t="n">
        <v>250</v>
      </c>
      <c r="K113" s="14">
        <f>IF(OR(COUNT(G113:J113)&lt;&gt;4,G113&lt;0,G113&gt;1,H113&gt;I113,I113&gt;J113),"n.a.",ROUND(G113*(H113+4*I113+J113)/6+0.00000001,2))</f>
        <v/>
      </c>
      <c r="L113" s="13" t="n">
        <v>0</v>
      </c>
      <c r="M113" s="14">
        <f>SUMIFS(Maßnahmen!$I$7:$I$126,Maßnahmen!$D$7:$D$126,C113,Maßnahmen!$H$7:$H$126,"&lt;&gt;verworfen")</f>
        <v/>
      </c>
      <c r="N113" s="14">
        <f>IF(ISNUMBER(K113),MAX(0,K113-L113-M113),"n.a.")</f>
        <v/>
      </c>
      <c r="O113" s="14" t="n">
        <v>13.8</v>
      </c>
      <c r="P113" s="14">
        <f>IF(ISNUMBER(K113),K113-O113,"n.a.")</f>
        <v/>
      </c>
    </row>
    <row r="114" ht="32" customHeight="1">
      <c r="C114" s="10" t="inlineStr">
        <is>
          <t>PRJ-4a6ff694-RK-01</t>
        </is>
      </c>
      <c r="D114" s="10" t="inlineStr">
        <is>
          <t>P4102607989</t>
        </is>
      </c>
      <c r="E114" s="11" t="inlineStr">
        <is>
          <t>Schadstofffund / Schadstoffsanierung (Asbest, PAK, PCB, PCP)</t>
        </is>
      </c>
      <c r="F114" s="10" t="inlineStr">
        <is>
          <t>Schadstoffe</t>
        </is>
      </c>
      <c r="G114" s="12" t="n">
        <v>0.1</v>
      </c>
      <c r="H114" s="13" t="n">
        <v>516</v>
      </c>
      <c r="I114" s="13" t="n">
        <v>1290</v>
      </c>
      <c r="J114" s="13" t="n">
        <v>2581</v>
      </c>
      <c r="K114" s="14">
        <f>IF(OR(COUNT(G114:J114)&lt;&gt;4,G114&lt;0,G114&gt;1,H114&gt;I114,I114&gt;J114),"n.a.",ROUND(G114*(H114+4*I114+J114)/6+0.00000001,2))</f>
        <v/>
      </c>
      <c r="L114" s="13" t="n">
        <v>0</v>
      </c>
      <c r="M114" s="14">
        <f>SUMIFS(Maßnahmen!$I$7:$I$126,Maßnahmen!$D$7:$D$126,C114,Maßnahmen!$H$7:$H$126,"&lt;&gt;verworfen")</f>
        <v/>
      </c>
      <c r="N114" s="14">
        <f>IF(ISNUMBER(K114),MAX(0,K114-L114-M114),"n.a.")</f>
        <v/>
      </c>
      <c r="O114" s="14" t="n">
        <v>137.62</v>
      </c>
      <c r="P114" s="14">
        <f>IF(ISNUMBER(K114),K114-O114,"n.a.")</f>
        <v/>
      </c>
    </row>
    <row r="115" ht="32" customHeight="1">
      <c r="C115" s="10" t="inlineStr">
        <is>
          <t>PRJ-4a6ff694-RK-02</t>
        </is>
      </c>
      <c r="D115" s="10" t="inlineStr">
        <is>
          <t>P4102607989</t>
        </is>
      </c>
      <c r="E115" s="11" t="inlineStr">
        <is>
          <t>Arbeitsschutz kontaminierte Bereiche (TRGS 524)</t>
        </is>
      </c>
      <c r="F115" s="10" t="inlineStr">
        <is>
          <t>Schadstoffe</t>
        </is>
      </c>
      <c r="G115" s="12" t="n">
        <v>0.1</v>
      </c>
      <c r="H115" s="13" t="n">
        <v>129</v>
      </c>
      <c r="I115" s="13" t="n">
        <v>258</v>
      </c>
      <c r="J115" s="13" t="n">
        <v>516</v>
      </c>
      <c r="K115" s="14">
        <f>IF(OR(COUNT(G115:J115)&lt;&gt;4,G115&lt;0,G115&gt;1,H115&gt;I115,I115&gt;J115),"n.a.",ROUND(G115*(H115+4*I115+J115)/6+0.00000001,2))</f>
        <v/>
      </c>
      <c r="L115" s="13" t="n">
        <v>0</v>
      </c>
      <c r="M115" s="14">
        <f>SUMIFS(Maßnahmen!$I$7:$I$126,Maßnahmen!$D$7:$D$126,C115,Maßnahmen!$H$7:$H$126,"&lt;&gt;verworfen")</f>
        <v/>
      </c>
      <c r="N115" s="14">
        <f>IF(ISNUMBER(K115),MAX(0,K115-L115-M115),"n.a.")</f>
        <v/>
      </c>
      <c r="O115" s="14" t="n">
        <v>27.95</v>
      </c>
      <c r="P115" s="14">
        <f>IF(ISNUMBER(K115),K115-O115,"n.a.")</f>
        <v/>
      </c>
    </row>
    <row r="116" ht="32" customHeight="1">
      <c r="C116" s="10" t="inlineStr">
        <is>
          <t>PRJ-4a6ff694-RK-03</t>
        </is>
      </c>
      <c r="D116" s="10" t="inlineStr">
        <is>
          <t>P4102607989</t>
        </is>
      </c>
      <c r="E116" s="11" t="inlineStr">
        <is>
          <t>Entsorgungs-Mehrkosten / Entsorgungswege</t>
        </is>
      </c>
      <c r="F116" s="10" t="inlineStr">
        <is>
          <t>Entsorgung</t>
        </is>
      </c>
      <c r="G116" s="12" t="n">
        <v>0.15</v>
      </c>
      <c r="H116" s="13" t="n">
        <v>516</v>
      </c>
      <c r="I116" s="13" t="n">
        <v>1290</v>
      </c>
      <c r="J116" s="13" t="n">
        <v>2581</v>
      </c>
      <c r="K116" s="14">
        <f>IF(OR(COUNT(G116:J116)&lt;&gt;4,G116&lt;0,G116&gt;1,H116&gt;I116,I116&gt;J116),"n.a.",ROUND(G116*(H116+4*I116+J116)/6+0.00000001,2))</f>
        <v/>
      </c>
      <c r="L116" s="13" t="n">
        <v>0</v>
      </c>
      <c r="M116" s="14">
        <f>SUMIFS(Maßnahmen!$I$7:$I$126,Maßnahmen!$D$7:$D$126,C116,Maßnahmen!$H$7:$H$126,"&lt;&gt;verworfen")</f>
        <v/>
      </c>
      <c r="N116" s="14">
        <f>IF(ISNUMBER(K116),MAX(0,K116-L116-M116),"n.a.")</f>
        <v/>
      </c>
      <c r="O116" s="14" t="n">
        <v>206.43</v>
      </c>
      <c r="P116" s="14">
        <f>IF(ISNUMBER(K116),K116-O116,"n.a.")</f>
        <v/>
      </c>
    </row>
    <row r="117" ht="32" customHeight="1">
      <c r="C117" s="10" t="inlineStr">
        <is>
          <t>PRJ-4a6ff694-RK-04</t>
        </is>
      </c>
      <c r="D117" s="10" t="inlineStr">
        <is>
          <t>P4102607989</t>
        </is>
      </c>
      <c r="E117" s="11" t="inlineStr">
        <is>
          <t>Baustofftrennung / Aufbereitung nicht wie geplant</t>
        </is>
      </c>
      <c r="F117" s="10" t="inlineStr">
        <is>
          <t>Entsorgung</t>
        </is>
      </c>
      <c r="G117" s="12" t="n">
        <v>0.08</v>
      </c>
      <c r="H117" s="13" t="n">
        <v>129</v>
      </c>
      <c r="I117" s="13" t="n">
        <v>258</v>
      </c>
      <c r="J117" s="13" t="n">
        <v>516</v>
      </c>
      <c r="K117" s="14">
        <f>IF(OR(COUNT(G117:J117)&lt;&gt;4,G117&lt;0,G117&gt;1,H117&gt;I117,I117&gt;J117),"n.a.",ROUND(G117*(H117+4*I117+J117)/6+0.00000001,2))</f>
        <v/>
      </c>
      <c r="L117" s="13" t="n">
        <v>0</v>
      </c>
      <c r="M117" s="14">
        <f>SUMIFS(Maßnahmen!$I$7:$I$126,Maßnahmen!$D$7:$D$126,C117,Maßnahmen!$H$7:$H$126,"&lt;&gt;verworfen")</f>
        <v/>
      </c>
      <c r="N117" s="14">
        <f>IF(ISNUMBER(K117),MAX(0,K117-L117-M117),"n.a.")</f>
        <v/>
      </c>
      <c r="O117" s="14" t="n">
        <v>22.36</v>
      </c>
      <c r="P117" s="14">
        <f>IF(ISNUMBER(K117),K117-O117,"n.a.")</f>
        <v/>
      </c>
    </row>
    <row r="118" ht="32" customHeight="1">
      <c r="C118" s="10" t="inlineStr">
        <is>
          <t>PRJ-4a6ff694-RK-12</t>
        </is>
      </c>
      <c r="D118" s="10" t="inlineStr">
        <is>
          <t>P4102607989</t>
        </is>
      </c>
      <c r="E118" s="11" t="inlineStr">
        <is>
          <t>Staubemissionen (höchster Aufwand laut Umfrage)</t>
        </is>
      </c>
      <c r="F118" s="10" t="inlineStr">
        <is>
          <t>Emissionen</t>
        </is>
      </c>
      <c r="G118" s="12" t="n">
        <v>0.22</v>
      </c>
      <c r="H118" s="13" t="n">
        <v>774</v>
      </c>
      <c r="I118" s="13" t="n">
        <v>1548</v>
      </c>
      <c r="J118" s="13" t="n">
        <v>3097</v>
      </c>
      <c r="K118" s="14">
        <f>IF(OR(COUNT(G118:J118)&lt;&gt;4,G118&lt;0,G118&gt;1,H118&gt;I118,I118&gt;J118),"n.a.",ROUND(G118*(H118+4*I118+J118)/6+0.00000001,2))</f>
        <v/>
      </c>
      <c r="L118" s="13" t="n">
        <v>0</v>
      </c>
      <c r="M118" s="14">
        <f>SUMIFS(Maßnahmen!$I$7:$I$126,Maßnahmen!$D$7:$D$126,C118,Maßnahmen!$H$7:$H$126,"&lt;&gt;verworfen")</f>
        <v/>
      </c>
      <c r="N118" s="14">
        <f>IF(ISNUMBER(K118),MAX(0,K118-L118-M118),"n.a.")</f>
        <v/>
      </c>
      <c r="O118" s="14" t="n">
        <v>368.98</v>
      </c>
      <c r="P118" s="14">
        <f>IF(ISNUMBER(K118),K118-O118,"n.a.")</f>
        <v/>
      </c>
    </row>
    <row r="119" ht="32" customHeight="1">
      <c r="C119" s="10" t="inlineStr">
        <is>
          <t>PRJ-4a6ff694-RK-13</t>
        </is>
      </c>
      <c r="D119" s="10" t="inlineStr">
        <is>
          <t>P4102607989</t>
        </is>
      </c>
      <c r="E119" s="11" t="inlineStr">
        <is>
          <t>Lärm- und Erschütterungsauflagen</t>
        </is>
      </c>
      <c r="F119" s="10" t="inlineStr">
        <is>
          <t>Emissionen</t>
        </is>
      </c>
      <c r="G119" s="12" t="n">
        <v>0.6</v>
      </c>
      <c r="H119" s="13" t="n">
        <v>8797</v>
      </c>
      <c r="I119" s="13" t="n">
        <v>11613</v>
      </c>
      <c r="J119" s="13" t="n">
        <v>16775</v>
      </c>
      <c r="K119" s="14">
        <f>IF(OR(COUNT(G119:J119)&lt;&gt;4,G119&lt;0,G119&gt;1,H119&gt;I119,I119&gt;J119),"n.a.",ROUND(G119*(H119+4*I119+J119)/6+0.00000001,2))</f>
        <v/>
      </c>
      <c r="L119" s="13" t="n">
        <v>0</v>
      </c>
      <c r="M119" s="14">
        <f>SUMIFS(Maßnahmen!$I$7:$I$126,Maßnahmen!$D$7:$D$126,C119,Maßnahmen!$H$7:$H$126,"&lt;&gt;verworfen")</f>
        <v/>
      </c>
      <c r="N119" s="14">
        <f>IF(ISNUMBER(K119),MAX(0,K119-L119-M119),"n.a.")</f>
        <v/>
      </c>
      <c r="O119" s="14" t="n">
        <v>7202.4</v>
      </c>
      <c r="P119" s="14">
        <f>IF(ISNUMBER(K119),K119-O119,"n.a.")</f>
        <v/>
      </c>
    </row>
    <row r="120" ht="32" customHeight="1">
      <c r="C120" s="10" t="inlineStr">
        <is>
          <t>PRJ-4a6ff694-RK-14</t>
        </is>
      </c>
      <c r="D120" s="10" t="inlineStr">
        <is>
          <t>P4102607989</t>
        </is>
      </c>
      <c r="E120" s="11" t="inlineStr">
        <is>
          <t>Rechtliche Auflagen / Entsorgungsnachweise (Formalismus)</t>
        </is>
      </c>
      <c r="F120" s="10" t="inlineStr">
        <is>
          <t>Genehmigung</t>
        </is>
      </c>
      <c r="G120" s="12" t="n">
        <v>0.12</v>
      </c>
      <c r="H120" s="13" t="n">
        <v>387</v>
      </c>
      <c r="I120" s="13" t="n">
        <v>903</v>
      </c>
      <c r="J120" s="13" t="n">
        <v>1807</v>
      </c>
      <c r="K120" s="14">
        <f>IF(OR(COUNT(G120:J120)&lt;&gt;4,G120&lt;0,G120&gt;1,H120&gt;I120,I120&gt;J120),"n.a.",ROUND(G120*(H120+4*I120+J120)/6+0.00000001,2))</f>
        <v/>
      </c>
      <c r="L120" s="13" t="n">
        <v>0</v>
      </c>
      <c r="M120" s="14">
        <f>SUMIFS(Maßnahmen!$I$7:$I$126,Maßnahmen!$D$7:$D$126,C120,Maßnahmen!$H$7:$H$126,"&lt;&gt;verworfen")</f>
        <v/>
      </c>
      <c r="N120" s="14">
        <f>IF(ISNUMBER(K120),MAX(0,K120-L120-M120),"n.a.")</f>
        <v/>
      </c>
      <c r="O120" s="14" t="n">
        <v>116.12</v>
      </c>
      <c r="P120" s="14">
        <f>IF(ISNUMBER(K120),K120-O120,"n.a.")</f>
        <v/>
      </c>
    </row>
    <row r="121" ht="32" customHeight="1">
      <c r="C121" s="10" t="inlineStr">
        <is>
          <t>PRJ-4a6ff694-RK-15</t>
        </is>
      </c>
      <c r="D121" s="10" t="inlineStr">
        <is>
          <t>P4102607989</t>
        </is>
      </c>
      <c r="E121" s="11" t="inlineStr">
        <is>
          <t>Konjunktur / Sekundärstoffpreise &amp; Gerätemiete</t>
        </is>
      </c>
      <c r="F121" s="10" t="inlineStr">
        <is>
          <t>Markt</t>
        </is>
      </c>
      <c r="G121" s="12" t="n">
        <v>0.12</v>
      </c>
      <c r="H121" s="13" t="n">
        <v>206</v>
      </c>
      <c r="I121" s="13" t="n">
        <v>516</v>
      </c>
      <c r="J121" s="13" t="n">
        <v>1290</v>
      </c>
      <c r="K121" s="14">
        <f>IF(OR(COUNT(G121:J121)&lt;&gt;4,G121&lt;0,G121&gt;1,H121&gt;I121,I121&gt;J121),"n.a.",ROUND(G121*(H121+4*I121+J121)/6+0.00000001,2))</f>
        <v/>
      </c>
      <c r="L121" s="13" t="n">
        <v>0</v>
      </c>
      <c r="M121" s="14">
        <f>SUMIFS(Maßnahmen!$I$7:$I$126,Maßnahmen!$D$7:$D$126,C121,Maßnahmen!$H$7:$H$126,"&lt;&gt;verworfen")</f>
        <v/>
      </c>
      <c r="N121" s="14">
        <f>IF(ISNUMBER(K121),MAX(0,K121-L121-M121),"n.a.")</f>
        <v/>
      </c>
      <c r="O121" s="14" t="n">
        <v>71.2</v>
      </c>
      <c r="P121" s="14">
        <f>IF(ISNUMBER(K121),K121-O121,"n.a.")</f>
        <v/>
      </c>
    </row>
    <row r="122" ht="32" customHeight="1">
      <c r="C122" s="10" t="inlineStr">
        <is>
          <t>PRJ-4f8e93d8-RK-07</t>
        </is>
      </c>
      <c r="D122" s="10" t="inlineStr">
        <is>
          <t>P4102307432</t>
        </is>
      </c>
      <c r="E122" s="11" t="inlineStr">
        <is>
          <t>Unterirdische Tragkonstruktion / Fundamente</t>
        </is>
      </c>
      <c r="F122" s="10" t="inlineStr">
        <is>
          <t>Statik</t>
        </is>
      </c>
      <c r="G122" s="12" t="n">
        <v>0.65</v>
      </c>
      <c r="H122" s="13" t="n">
        <v>1121</v>
      </c>
      <c r="I122" s="13" t="n">
        <v>2160</v>
      </c>
      <c r="J122" s="13" t="n">
        <v>4433</v>
      </c>
      <c r="K122" s="14">
        <f>IF(OR(COUNT(G122:J122)&lt;&gt;4,G122&lt;0,G122&gt;1,H122&gt;I122,I122&gt;J122),"n.a.",ROUND(G122*(H122+4*I122+J122)/6+0.00000001,2))</f>
        <v/>
      </c>
      <c r="L122" s="13" t="n">
        <v>0</v>
      </c>
      <c r="M122" s="14">
        <f>SUMIFS(Maßnahmen!$I$7:$I$126,Maßnahmen!$D$7:$D$126,C122,Maßnahmen!$H$7:$H$126,"&lt;&gt;verworfen")</f>
        <v/>
      </c>
      <c r="N122" s="14">
        <f>IF(ISNUMBER(K122),MAX(0,K122-L122-M122),"n.a.")</f>
        <v/>
      </c>
      <c r="O122" s="14" t="n">
        <v>1537.68</v>
      </c>
      <c r="P122" s="14">
        <f>IF(ISNUMBER(K122),K122-O122,"n.a.")</f>
        <v/>
      </c>
    </row>
    <row r="123" ht="32" customHeight="1">
      <c r="C123" s="10" t="inlineStr">
        <is>
          <t>PRJ-4f8e93d8-RK-08</t>
        </is>
      </c>
      <c r="D123" s="10" t="inlineStr">
        <is>
          <t>P4102307432</t>
        </is>
      </c>
      <c r="E123" s="11" t="inlineStr">
        <is>
          <t>Gebäudehöhe &gt;22 m / Longfront-Bagger (+130–150 %)</t>
        </is>
      </c>
      <c r="F123" s="10" t="inlineStr">
        <is>
          <t>Termin</t>
        </is>
      </c>
      <c r="G123" s="12" t="n">
        <v>0.504</v>
      </c>
      <c r="H123" s="13" t="n">
        <v>2166</v>
      </c>
      <c r="I123" s="13" t="n">
        <v>4406</v>
      </c>
      <c r="J123" s="13" t="n">
        <v>8348</v>
      </c>
      <c r="K123" s="14">
        <f>IF(OR(COUNT(G123:J123)&lt;&gt;4,G123&lt;0,G123&gt;1,H123&gt;I123,I123&gt;J123),"n.a.",ROUND(G123*(H123+4*I123+J123)/6+0.00000001,2))</f>
        <v/>
      </c>
      <c r="L123" s="13" t="n">
        <v>0</v>
      </c>
      <c r="M123" s="14">
        <f>SUMIFS(Maßnahmen!$I$7:$I$126,Maßnahmen!$D$7:$D$126,C123,Maßnahmen!$H$7:$H$126,"&lt;&gt;verworfen")</f>
        <v/>
      </c>
      <c r="N123" s="14">
        <f>IF(ISNUMBER(K123),MAX(0,K123-L123-M123),"n.a.")</f>
        <v/>
      </c>
      <c r="O123" s="14" t="n">
        <v>2363.59</v>
      </c>
      <c r="P123" s="14">
        <f>IF(ISNUMBER(K123),K123-O123,"n.a.")</f>
        <v/>
      </c>
    </row>
    <row r="124" ht="32" customHeight="1">
      <c r="C124" s="10" t="inlineStr">
        <is>
          <t>PRJ-4f8e93d8-RK-14</t>
        </is>
      </c>
      <c r="D124" s="10" t="inlineStr">
        <is>
          <t>P4102307432</t>
        </is>
      </c>
      <c r="E124" s="11" t="inlineStr">
        <is>
          <t>Rechtliche Auflagen / Entsorgungsnachweise (Formalismus)</t>
        </is>
      </c>
      <c r="F124" s="10" t="inlineStr">
        <is>
          <t>Genehmigung</t>
        </is>
      </c>
      <c r="G124" s="12" t="n">
        <v>0.386</v>
      </c>
      <c r="H124" s="13" t="n">
        <v>2319</v>
      </c>
      <c r="I124" s="13" t="n">
        <v>4559</v>
      </c>
      <c r="J124" s="13" t="n">
        <v>8654</v>
      </c>
      <c r="K124" s="14">
        <f>IF(OR(COUNT(G124:J124)&lt;&gt;4,G124&lt;0,G124&gt;1,H124&gt;I124,I124&gt;J124),"n.a.",ROUND(G124*(H124+4*I124+J124)/6+0.00000001,2))</f>
        <v/>
      </c>
      <c r="L124" s="13" t="n">
        <v>0</v>
      </c>
      <c r="M124" s="14">
        <f>SUMIFS(Maßnahmen!$I$7:$I$126,Maßnahmen!$D$7:$D$126,C124,Maßnahmen!$H$7:$H$126,"&lt;&gt;verworfen")</f>
        <v/>
      </c>
      <c r="N124" s="14">
        <f>IF(ISNUMBER(K124),MAX(0,K124-L124-M124),"n.a.")</f>
        <v/>
      </c>
      <c r="O124" s="14" t="n">
        <v>1879.11</v>
      </c>
      <c r="P124" s="14">
        <f>IF(ISNUMBER(K124),K124-O124,"n.a.")</f>
        <v/>
      </c>
    </row>
    <row r="125" ht="32" customHeight="1">
      <c r="C125" s="10" t="inlineStr">
        <is>
          <t>PRJ-4f8e93d8-RK-15</t>
        </is>
      </c>
      <c r="D125" s="10" t="inlineStr">
        <is>
          <t>P4102307432</t>
        </is>
      </c>
      <c r="E125" s="11" t="inlineStr">
        <is>
          <t>Konjunktur / Sekundärstoffpreise &amp; Gerätemiete</t>
        </is>
      </c>
      <c r="F125" s="10" t="inlineStr">
        <is>
          <t>Markt</t>
        </is>
      </c>
      <c r="G125" s="12" t="n">
        <v>0.12</v>
      </c>
      <c r="H125" s="13" t="n">
        <v>245</v>
      </c>
      <c r="I125" s="13" t="n">
        <v>612</v>
      </c>
      <c r="J125" s="13" t="n">
        <v>1530</v>
      </c>
      <c r="K125" s="14">
        <f>IF(OR(COUNT(G125:J125)&lt;&gt;4,G125&lt;0,G125&gt;1,H125&gt;I125,I125&gt;J125),"n.a.",ROUND(G125*(H125+4*I125+J125)/6+0.00000001,2))</f>
        <v/>
      </c>
      <c r="L125" s="13" t="n">
        <v>0</v>
      </c>
      <c r="M125" s="14">
        <f>SUMIFS(Maßnahmen!$I$7:$I$126,Maßnahmen!$D$7:$D$126,C125,Maßnahmen!$H$7:$H$126,"&lt;&gt;verworfen")</f>
        <v/>
      </c>
      <c r="N125" s="14">
        <f>IF(ISNUMBER(K125),MAX(0,K125-L125-M125),"n.a.")</f>
        <v/>
      </c>
      <c r="O125" s="14" t="n">
        <v>84.45999999999999</v>
      </c>
      <c r="P125" s="14">
        <f>IF(ISNUMBER(K125),K125-O125,"n.a.")</f>
        <v/>
      </c>
    </row>
    <row r="126" ht="32" customHeight="1">
      <c r="C126" s="10" t="inlineStr">
        <is>
          <t>PRJ-4f8e93d1-RK-01</t>
        </is>
      </c>
      <c r="D126" s="10" t="inlineStr">
        <is>
          <t>P4102307439</t>
        </is>
      </c>
      <c r="E126" s="11" t="inlineStr">
        <is>
          <t>Schadstofffund / Schadstoffsanierung (Asbest, PAK, PCB, PCP)</t>
        </is>
      </c>
      <c r="F126" s="10" t="inlineStr">
        <is>
          <t>Schadstoffe</t>
        </is>
      </c>
      <c r="G126" s="12" t="n">
        <v>0.1</v>
      </c>
      <c r="H126" s="13" t="n">
        <v>1581</v>
      </c>
      <c r="I126" s="13" t="n">
        <v>3953</v>
      </c>
      <c r="J126" s="13" t="n">
        <v>7906</v>
      </c>
      <c r="K126" s="14">
        <f>IF(OR(COUNT(G126:J126)&lt;&gt;4,G126&lt;0,G126&gt;1,H126&gt;I126,I126&gt;J126),"n.a.",ROUND(G126*(H126+4*I126+J126)/6+0.00000001,2))</f>
        <v/>
      </c>
      <c r="L126" s="13" t="n">
        <v>0</v>
      </c>
      <c r="M126" s="14">
        <f>SUMIFS(Maßnahmen!$I$7:$I$126,Maßnahmen!$D$7:$D$126,C126,Maßnahmen!$H$7:$H$126,"&lt;&gt;verworfen")</f>
        <v/>
      </c>
      <c r="N126" s="14">
        <f>IF(ISNUMBER(K126),MAX(0,K126-L126-M126),"n.a.")</f>
        <v/>
      </c>
      <c r="O126" s="14" t="n">
        <v>421.65</v>
      </c>
      <c r="P126" s="14">
        <f>IF(ISNUMBER(K126),K126-O126,"n.a.")</f>
        <v/>
      </c>
    </row>
    <row r="127" ht="32" customHeight="1">
      <c r="C127" s="10" t="inlineStr">
        <is>
          <t>PRJ-4f8e93d1-RK-02</t>
        </is>
      </c>
      <c r="D127" s="10" t="inlineStr">
        <is>
          <t>P4102307439</t>
        </is>
      </c>
      <c r="E127" s="11" t="inlineStr">
        <is>
          <t>Arbeitsschutz kontaminierte Bereiche (TRGS 524)</t>
        </is>
      </c>
      <c r="F127" s="10" t="inlineStr">
        <is>
          <t>Schadstoffe</t>
        </is>
      </c>
      <c r="G127" s="12" t="n">
        <v>0.1</v>
      </c>
      <c r="H127" s="13" t="n">
        <v>395</v>
      </c>
      <c r="I127" s="13" t="n">
        <v>791</v>
      </c>
      <c r="J127" s="13" t="n">
        <v>1581</v>
      </c>
      <c r="K127" s="14">
        <f>IF(OR(COUNT(G127:J127)&lt;&gt;4,G127&lt;0,G127&gt;1,H127&gt;I127,I127&gt;J127),"n.a.",ROUND(G127*(H127+4*I127+J127)/6+0.00000001,2))</f>
        <v/>
      </c>
      <c r="L127" s="13" t="n">
        <v>0</v>
      </c>
      <c r="M127" s="14">
        <f>SUMIFS(Maßnahmen!$I$7:$I$126,Maßnahmen!$D$7:$D$126,C127,Maßnahmen!$H$7:$H$126,"&lt;&gt;verworfen")</f>
        <v/>
      </c>
      <c r="N127" s="14">
        <f>IF(ISNUMBER(K127),MAX(0,K127-L127-M127),"n.a.")</f>
        <v/>
      </c>
      <c r="O127" s="14" t="n">
        <v>85.67</v>
      </c>
      <c r="P127" s="14">
        <f>IF(ISNUMBER(K127),K127-O127,"n.a.")</f>
        <v/>
      </c>
    </row>
    <row r="128" ht="32" customHeight="1">
      <c r="C128" s="10" t="inlineStr">
        <is>
          <t>PRJ-4f8e93d1-RK-03</t>
        </is>
      </c>
      <c r="D128" s="10" t="inlineStr">
        <is>
          <t>P4102307439</t>
        </is>
      </c>
      <c r="E128" s="11" t="inlineStr">
        <is>
          <t>Entsorgungs-Mehrkosten / Entsorgungswege</t>
        </is>
      </c>
      <c r="F128" s="10" t="inlineStr">
        <is>
          <t>Entsorgung</t>
        </is>
      </c>
      <c r="G128" s="12" t="n">
        <v>0.268</v>
      </c>
      <c r="H128" s="13" t="n">
        <v>4978</v>
      </c>
      <c r="I128" s="13" t="n">
        <v>9897</v>
      </c>
      <c r="J128" s="13" t="n">
        <v>17246</v>
      </c>
      <c r="K128" s="14">
        <f>IF(OR(COUNT(G128:J128)&lt;&gt;4,G128&lt;0,G128&gt;1,H128&gt;I128,I128&gt;J128),"n.a.",ROUND(G128*(H128+4*I128+J128)/6+0.00000001,2))</f>
        <v/>
      </c>
      <c r="L128" s="13" t="n">
        <v>0</v>
      </c>
      <c r="M128" s="14">
        <f>SUMIFS(Maßnahmen!$I$7:$I$126,Maßnahmen!$D$7:$D$126,C128,Maßnahmen!$H$7:$H$126,"&lt;&gt;verworfen")</f>
        <v/>
      </c>
      <c r="N128" s="14">
        <f>IF(ISNUMBER(K128),MAX(0,K128-L128-M128),"n.a.")</f>
        <v/>
      </c>
      <c r="O128" s="14" t="n">
        <v>2760.94</v>
      </c>
      <c r="P128" s="14">
        <f>IF(ISNUMBER(K128),K128-O128,"n.a.")</f>
        <v/>
      </c>
    </row>
    <row r="129" ht="32" customHeight="1">
      <c r="C129" s="10" t="inlineStr">
        <is>
          <t>PRJ-4f8e93d1-RK-04</t>
        </is>
      </c>
      <c r="D129" s="10" t="inlineStr">
        <is>
          <t>P4102307439</t>
        </is>
      </c>
      <c r="E129" s="11" t="inlineStr">
        <is>
          <t>Baustofftrennung / Aufbereitung nicht wie geplant</t>
        </is>
      </c>
      <c r="F129" s="10" t="inlineStr">
        <is>
          <t>Entsorgung</t>
        </is>
      </c>
      <c r="G129" s="12" t="n">
        <v>0.08</v>
      </c>
      <c r="H129" s="13" t="n">
        <v>395</v>
      </c>
      <c r="I129" s="13" t="n">
        <v>791</v>
      </c>
      <c r="J129" s="13" t="n">
        <v>1581</v>
      </c>
      <c r="K129" s="14">
        <f>IF(OR(COUNT(G129:J129)&lt;&gt;4,G129&lt;0,G129&gt;1,H129&gt;I129,I129&gt;J129),"n.a.",ROUND(G129*(H129+4*I129+J129)/6+0.00000001,2))</f>
        <v/>
      </c>
      <c r="L129" s="13" t="n">
        <v>0</v>
      </c>
      <c r="M129" s="14">
        <f>SUMIFS(Maßnahmen!$I$7:$I$126,Maßnahmen!$D$7:$D$126,C129,Maßnahmen!$H$7:$H$126,"&lt;&gt;verworfen")</f>
        <v/>
      </c>
      <c r="N129" s="14">
        <f>IF(ISNUMBER(K129),MAX(0,K129-L129-M129),"n.a.")</f>
        <v/>
      </c>
      <c r="O129" s="14" t="n">
        <v>68.53</v>
      </c>
      <c r="P129" s="14">
        <f>IF(ISNUMBER(K129),K129-O129,"n.a.")</f>
        <v/>
      </c>
    </row>
    <row r="130" ht="32" customHeight="1">
      <c r="C130" s="10" t="inlineStr">
        <is>
          <t>PRJ-4f8e93d1-RK-05</t>
        </is>
      </c>
      <c r="D130" s="10" t="inlineStr">
        <is>
          <t>P4102307439</t>
        </is>
      </c>
      <c r="E130" s="11" t="inlineStr">
        <is>
          <t>Unbekannte Bauwerkskonstruktion / fehlende Pläne</t>
        </is>
      </c>
      <c r="F130" s="10" t="inlineStr">
        <is>
          <t>Statik</t>
        </is>
      </c>
      <c r="G130" s="12" t="n">
        <v>0.37</v>
      </c>
      <c r="H130" s="13" t="n">
        <v>15588</v>
      </c>
      <c r="I130" s="13" t="n">
        <v>27035</v>
      </c>
      <c r="J130" s="13" t="n">
        <v>44995</v>
      </c>
      <c r="K130" s="14">
        <f>IF(OR(COUNT(G130:J130)&lt;&gt;4,G130&lt;0,G130&gt;1,H130&gt;I130,I130&gt;J130),"n.a.",ROUND(G130*(H130+4*I130+J130)/6+0.00000001,2))</f>
        <v/>
      </c>
      <c r="L130" s="13" t="n">
        <v>0</v>
      </c>
      <c r="M130" s="14">
        <f>SUMIFS(Maßnahmen!$I$7:$I$126,Maßnahmen!$D$7:$D$126,C130,Maßnahmen!$H$7:$H$126,"&lt;&gt;verworfen")</f>
        <v/>
      </c>
      <c r="N130" s="14">
        <f>IF(ISNUMBER(K130),MAX(0,K130-L130-M130),"n.a.")</f>
        <v/>
      </c>
      <c r="O130" s="14" t="n">
        <v>10404.59</v>
      </c>
      <c r="P130" s="14">
        <f>IF(ISNUMBER(K130),K130-O130,"n.a.")</f>
        <v/>
      </c>
    </row>
    <row r="131" ht="32" customHeight="1">
      <c r="C131" s="10" t="inlineStr">
        <is>
          <t>PRJ-4f8e93d1-RK-06</t>
        </is>
      </c>
      <c r="D131" s="10" t="inlineStr">
        <is>
          <t>P4102307439</t>
        </is>
      </c>
      <c r="E131" s="11" t="inlineStr">
        <is>
          <t>Statik / Einsturzsicherung während Abbruch</t>
        </is>
      </c>
      <c r="F131" s="10" t="inlineStr">
        <is>
          <t>Statik</t>
        </is>
      </c>
      <c r="G131" s="12" t="n">
        <v>0.174</v>
      </c>
      <c r="H131" s="13" t="n">
        <v>4919</v>
      </c>
      <c r="I131" s="13" t="n">
        <v>9780</v>
      </c>
      <c r="J131" s="13" t="n">
        <v>17861</v>
      </c>
      <c r="K131" s="14">
        <f>IF(OR(COUNT(G131:J131)&lt;&gt;4,G131&lt;0,G131&gt;1,H131&gt;I131,I131&gt;J131),"n.a.",ROUND(G131*(H131+4*I131+J131)/6+0.00000001,2))</f>
        <v/>
      </c>
      <c r="L131" s="13" t="n">
        <v>0</v>
      </c>
      <c r="M131" s="14">
        <f>SUMIFS(Maßnahmen!$I$7:$I$126,Maßnahmen!$D$7:$D$126,C131,Maßnahmen!$H$7:$H$126,"&lt;&gt;verworfen")</f>
        <v/>
      </c>
      <c r="N131" s="14">
        <f>IF(ISNUMBER(K131),MAX(0,K131-L131-M131),"n.a.")</f>
        <v/>
      </c>
      <c r="O131" s="14" t="n">
        <v>1795.1</v>
      </c>
      <c r="P131" s="14">
        <f>IF(ISNUMBER(K131),K131-O131,"n.a.")</f>
        <v/>
      </c>
    </row>
    <row r="132" ht="32" customHeight="1">
      <c r="C132" s="10" t="inlineStr">
        <is>
          <t>PRJ-4f8e93d1-RK-07</t>
        </is>
      </c>
      <c r="D132" s="10" t="inlineStr">
        <is>
          <t>P4102307439</t>
        </is>
      </c>
      <c r="E132" s="11" t="inlineStr">
        <is>
          <t>Unterirdische Tragkonstruktion / Fundamente</t>
        </is>
      </c>
      <c r="F132" s="10" t="inlineStr">
        <is>
          <t>Statik</t>
        </is>
      </c>
      <c r="G132" s="12" t="n">
        <v>0.6</v>
      </c>
      <c r="H132" s="13" t="n">
        <v>1244</v>
      </c>
      <c r="I132" s="13" t="n">
        <v>2940</v>
      </c>
      <c r="J132" s="13" t="n">
        <v>6500</v>
      </c>
      <c r="K132" s="14">
        <f>IF(OR(COUNT(G132:J132)&lt;&gt;4,G132&lt;0,G132&gt;1,H132&gt;I132,I132&gt;J132),"n.a.",ROUND(G132*(H132+4*I132+J132)/6+0.00000001,2))</f>
        <v/>
      </c>
      <c r="L132" s="13" t="n">
        <v>0</v>
      </c>
      <c r="M132" s="14">
        <f>SUMIFS(Maßnahmen!$I$7:$I$126,Maßnahmen!$D$7:$D$126,C132,Maßnahmen!$H$7:$H$126,"&lt;&gt;verworfen")</f>
        <v/>
      </c>
      <c r="N132" s="14">
        <f>IF(ISNUMBER(K132),MAX(0,K132-L132-M132),"n.a.")</f>
        <v/>
      </c>
      <c r="O132" s="14" t="n">
        <v>1950.4</v>
      </c>
      <c r="P132" s="14">
        <f>IF(ISNUMBER(K132),K132-O132,"n.a.")</f>
        <v/>
      </c>
    </row>
    <row r="133" ht="32" customHeight="1">
      <c r="C133" s="10" t="inlineStr">
        <is>
          <t>PRJ-4f8e93d1-RK-08</t>
        </is>
      </c>
      <c r="D133" s="10" t="inlineStr">
        <is>
          <t>P4102307439</t>
        </is>
      </c>
      <c r="E133" s="11" t="inlineStr">
        <is>
          <t>Gebäudehöhe &gt;22 m / Longfront-Bagger (+130–150 %)</t>
        </is>
      </c>
      <c r="F133" s="10" t="inlineStr">
        <is>
          <t>Termin</t>
        </is>
      </c>
      <c r="G133" s="12" t="n">
        <v>0.2</v>
      </c>
      <c r="H133" s="13" t="n">
        <v>791</v>
      </c>
      <c r="I133" s="13" t="n">
        <v>2372</v>
      </c>
      <c r="J133" s="13" t="n">
        <v>4744</v>
      </c>
      <c r="K133" s="14">
        <f>IF(OR(COUNT(G133:J133)&lt;&gt;4,G133&lt;0,G133&gt;1,H133&gt;I133,I133&gt;J133),"n.a.",ROUND(G133*(H133+4*I133+J133)/6+0.00000001,2))</f>
        <v/>
      </c>
      <c r="L133" s="13" t="n">
        <v>0</v>
      </c>
      <c r="M133" s="14">
        <f>SUMIFS(Maßnahmen!$I$7:$I$126,Maßnahmen!$D$7:$D$126,C133,Maßnahmen!$H$7:$H$126,"&lt;&gt;verworfen")</f>
        <v/>
      </c>
      <c r="N133" s="14">
        <f>IF(ISNUMBER(K133),MAX(0,K133-L133-M133),"n.a.")</f>
        <v/>
      </c>
      <c r="O133" s="14" t="n">
        <v>500.77</v>
      </c>
      <c r="P133" s="14">
        <f>IF(ISNUMBER(K133),K133-O133,"n.a.")</f>
        <v/>
      </c>
    </row>
    <row r="134" ht="32" customHeight="1">
      <c r="C134" s="10" t="inlineStr">
        <is>
          <t>PRJ-4f8e93d1-RK-09</t>
        </is>
      </c>
      <c r="D134" s="10" t="inlineStr">
        <is>
          <t>P4102307439</t>
        </is>
      </c>
      <c r="E134" s="11" t="inlineStr">
        <is>
          <t>Beennte Lage / nur Handabbruch möglich</t>
        </is>
      </c>
      <c r="F134" s="10" t="inlineStr">
        <is>
          <t>Termin</t>
        </is>
      </c>
      <c r="G134" s="12" t="n">
        <v>0.5</v>
      </c>
      <c r="H134" s="13" t="n">
        <v>4774</v>
      </c>
      <c r="I134" s="13" t="n">
        <v>9865</v>
      </c>
      <c r="J134" s="13" t="n">
        <v>20521</v>
      </c>
      <c r="K134" s="14">
        <f>IF(OR(COUNT(G134:J134)&lt;&gt;4,G134&lt;0,G134&gt;1,H134&gt;I134,I134&gt;J134),"n.a.",ROUND(G134*(H134+4*I134+J134)/6+0.00000001,2))</f>
        <v/>
      </c>
      <c r="L134" s="13" t="n">
        <v>0</v>
      </c>
      <c r="M134" s="14">
        <f>SUMIFS(Maßnahmen!$I$7:$I$126,Maßnahmen!$D$7:$D$126,C134,Maßnahmen!$H$7:$H$126,"&lt;&gt;verworfen")</f>
        <v/>
      </c>
      <c r="N134" s="14">
        <f>IF(ISNUMBER(K134),MAX(0,K134-L134-M134),"n.a.")</f>
        <v/>
      </c>
      <c r="O134" s="14" t="n">
        <v>5396.25</v>
      </c>
      <c r="P134" s="14">
        <f>IF(ISNUMBER(K134),K134-O134,"n.a.")</f>
        <v/>
      </c>
    </row>
    <row r="135" ht="32" customHeight="1">
      <c r="C135" s="10" t="inlineStr">
        <is>
          <t>PRJ-4f8e93d1-RK-10</t>
        </is>
      </c>
      <c r="D135" s="10" t="inlineStr">
        <is>
          <t>P4102307439</t>
        </is>
      </c>
      <c r="E135" s="11" t="inlineStr">
        <is>
          <t>Terminvorgabe Auftraggeber / Geräteauslastung</t>
        </is>
      </c>
      <c r="F135" s="10" t="inlineStr">
        <is>
          <t>Termin</t>
        </is>
      </c>
      <c r="G135" s="12" t="n">
        <v>0.08</v>
      </c>
      <c r="H135" s="13" t="n">
        <v>395</v>
      </c>
      <c r="I135" s="13" t="n">
        <v>791</v>
      </c>
      <c r="J135" s="13" t="n">
        <v>1581</v>
      </c>
      <c r="K135" s="14">
        <f>IF(OR(COUNT(G135:J135)&lt;&gt;4,G135&lt;0,G135&gt;1,H135&gt;I135,I135&gt;J135),"n.a.",ROUND(G135*(H135+4*I135+J135)/6+0.00000001,2))</f>
        <v/>
      </c>
      <c r="L135" s="13" t="n">
        <v>0</v>
      </c>
      <c r="M135" s="14">
        <f>SUMIFS(Maßnahmen!$I$7:$I$126,Maßnahmen!$D$7:$D$126,C135,Maßnahmen!$H$7:$H$126,"&lt;&gt;verworfen")</f>
        <v/>
      </c>
      <c r="N135" s="14">
        <f>IF(ISNUMBER(K135),MAX(0,K135-L135-M135),"n.a.")</f>
        <v/>
      </c>
      <c r="O135" s="14" t="n">
        <v>68.53</v>
      </c>
      <c r="P135" s="14">
        <f>IF(ISNUMBER(K135),K135-O135,"n.a.")</f>
        <v/>
      </c>
    </row>
    <row r="136" ht="32" customHeight="1">
      <c r="C136" s="10" t="inlineStr">
        <is>
          <t>PRJ-52b1cfcd-RK-11</t>
        </is>
      </c>
      <c r="D136" s="10" t="inlineStr">
        <is>
          <t>P4102157414</t>
        </is>
      </c>
      <c r="E136" s="11" t="inlineStr">
        <is>
          <t>Witterung / Ablaufstörung</t>
        </is>
      </c>
      <c r="F136" s="10" t="inlineStr">
        <is>
          <t>Termin</t>
        </is>
      </c>
      <c r="G136" s="12" t="n">
        <v>0.25</v>
      </c>
      <c r="H136" s="13" t="n">
        <v>1009</v>
      </c>
      <c r="I136" s="13" t="n">
        <v>3026</v>
      </c>
      <c r="J136" s="13" t="n">
        <v>6053</v>
      </c>
      <c r="K136" s="14">
        <f>IF(OR(COUNT(G136:J136)&lt;&gt;4,G136&lt;0,G136&gt;1,H136&gt;I136,I136&gt;J136),"n.a.",ROUND(G136*(H136+4*I136+J136)/6+0.00000001,2))</f>
        <v/>
      </c>
      <c r="L136" s="13" t="n">
        <v>0</v>
      </c>
      <c r="M136" s="14">
        <f>SUMIFS(Maßnahmen!$I$7:$I$126,Maßnahmen!$D$7:$D$126,C136,Maßnahmen!$H$7:$H$126,"&lt;&gt;verworfen")</f>
        <v/>
      </c>
      <c r="N136" s="14">
        <f>IF(ISNUMBER(K136),MAX(0,K136-L136-M136),"n.a.")</f>
        <v/>
      </c>
      <c r="O136" s="14" t="n">
        <v>798.58</v>
      </c>
      <c r="P136" s="14">
        <f>IF(ISNUMBER(K136),K136-O136,"n.a.")</f>
        <v/>
      </c>
    </row>
    <row r="137" ht="32" customHeight="1">
      <c r="C137" s="10" t="inlineStr">
        <is>
          <t>PRJ-4a6f9cc0-RK-05</t>
        </is>
      </c>
      <c r="D137" s="10" t="inlineStr">
        <is>
          <t>P4102608263</t>
        </is>
      </c>
      <c r="E137" s="11" t="inlineStr">
        <is>
          <t>Unbekannte Bauwerkskonstruktion / fehlende Pläne</t>
        </is>
      </c>
      <c r="F137" s="10" t="inlineStr">
        <is>
          <t>Statik</t>
        </is>
      </c>
      <c r="G137" s="12" t="n">
        <v>0.12</v>
      </c>
      <c r="H137" s="13" t="n">
        <v>99735</v>
      </c>
      <c r="I137" s="13" t="n">
        <v>195445</v>
      </c>
      <c r="J137" s="13" t="n">
        <v>360925</v>
      </c>
      <c r="K137" s="14">
        <f>IF(OR(COUNT(G137:J137)&lt;&gt;4,G137&lt;0,G137&gt;1,H137&gt;I137,I137&gt;J137),"n.a.",ROUND(G137*(H137+4*I137+J137)/6+0.00000001,2))</f>
        <v/>
      </c>
      <c r="L137" s="13" t="n">
        <v>0</v>
      </c>
      <c r="M137" s="14">
        <f>SUMIFS(Maßnahmen!$I$7:$I$126,Maßnahmen!$D$7:$D$126,C137,Maßnahmen!$H$7:$H$126,"&lt;&gt;verworfen")</f>
        <v/>
      </c>
      <c r="N137" s="14">
        <f>IF(ISNUMBER(K137),MAX(0,K137-L137-M137),"n.a.")</f>
        <v/>
      </c>
      <c r="O137" s="14" t="n">
        <v>24848.8</v>
      </c>
      <c r="P137" s="14">
        <f>IF(ISNUMBER(K137),K137-O137,"n.a.")</f>
        <v/>
      </c>
    </row>
    <row r="138" ht="32" customHeight="1">
      <c r="C138" s="10" t="inlineStr">
        <is>
          <t>PRJ-4a6f9cc0-RK-06</t>
        </is>
      </c>
      <c r="D138" s="10" t="inlineStr">
        <is>
          <t>P4102608263</t>
        </is>
      </c>
      <c r="E138" s="11" t="inlineStr">
        <is>
          <t>Statik / Einsturzsicherung während Abbruch</t>
        </is>
      </c>
      <c r="F138" s="10" t="inlineStr">
        <is>
          <t>Statik</t>
        </is>
      </c>
      <c r="G138" s="12" t="n">
        <v>0.243</v>
      </c>
      <c r="H138" s="13" t="n">
        <v>227138</v>
      </c>
      <c r="I138" s="13" t="n">
        <v>422394</v>
      </c>
      <c r="J138" s="13" t="n">
        <v>737193</v>
      </c>
      <c r="K138" s="14">
        <f>IF(OR(COUNT(G138:J138)&lt;&gt;4,G138&lt;0,G138&gt;1,H138&gt;I138,I138&gt;J138),"n.a.",ROUND(G138*(H138+4*I138+J138)/6+0.00000001,2))</f>
        <v/>
      </c>
      <c r="L138" s="13" t="n">
        <v>0</v>
      </c>
      <c r="M138" s="14">
        <f>SUMIFS(Maßnahmen!$I$7:$I$126,Maßnahmen!$D$7:$D$126,C138,Maßnahmen!$H$7:$H$126,"&lt;&gt;verworfen")</f>
        <v/>
      </c>
      <c r="N138" s="14">
        <f>IF(ISNUMBER(K138),MAX(0,K138-L138-M138),"n.a.")</f>
        <v/>
      </c>
      <c r="O138" s="14" t="n">
        <v>107483.23</v>
      </c>
      <c r="P138" s="14">
        <f>IF(ISNUMBER(K138),K138-O138,"n.a.")</f>
        <v/>
      </c>
    </row>
    <row r="139" ht="32" customHeight="1">
      <c r="C139" s="10" t="inlineStr">
        <is>
          <t>PRJ-4a6f9cc0-RK-07</t>
        </is>
      </c>
      <c r="D139" s="10" t="inlineStr">
        <is>
          <t>P4102608263</t>
        </is>
      </c>
      <c r="E139" s="11" t="inlineStr">
        <is>
          <t>Unterirdische Tragkonstruktion / Fundamente</t>
        </is>
      </c>
      <c r="F139" s="10" t="inlineStr">
        <is>
          <t>Statik</t>
        </is>
      </c>
      <c r="G139" s="12" t="n">
        <v>0.593</v>
      </c>
      <c r="H139" s="13" t="n">
        <v>64755</v>
      </c>
      <c r="I139" s="13" t="n">
        <v>129906</v>
      </c>
      <c r="J139" s="13" t="n">
        <v>270968</v>
      </c>
      <c r="K139" s="14">
        <f>IF(OR(COUNT(G139:J139)&lt;&gt;4,G139&lt;0,G139&gt;1,H139&gt;I139,I139&gt;J139),"n.a.",ROUND(G139*(H139+4*I139+J139)/6+0.00000001,2))</f>
        <v/>
      </c>
      <c r="L139" s="13" t="n">
        <v>0</v>
      </c>
      <c r="M139" s="14">
        <f>SUMIFS(Maßnahmen!$I$7:$I$126,Maßnahmen!$D$7:$D$126,C139,Maßnahmen!$H$7:$H$126,"&lt;&gt;verworfen")</f>
        <v/>
      </c>
      <c r="N139" s="14">
        <f>IF(ISNUMBER(K139),MAX(0,K139-L139-M139),"n.a.")</f>
        <v/>
      </c>
      <c r="O139" s="14" t="n">
        <v>84536.8</v>
      </c>
      <c r="P139" s="14">
        <f>IF(ISNUMBER(K139),K139-O139,"n.a.")</f>
        <v/>
      </c>
    </row>
    <row r="140" ht="32" customHeight="1">
      <c r="C140" s="10" t="inlineStr">
        <is>
          <t>PRJ-4a6f9cc0-RK-08</t>
        </is>
      </c>
      <c r="D140" s="10" t="inlineStr">
        <is>
          <t>P4102608263</t>
        </is>
      </c>
      <c r="E140" s="11" t="inlineStr">
        <is>
          <t>Gebäudehöhe &gt;22 m / Longfront-Bagger (+130–150 %)</t>
        </is>
      </c>
      <c r="F140" s="10" t="inlineStr">
        <is>
          <t>Termin</t>
        </is>
      </c>
      <c r="G140" s="12" t="n">
        <v>0.509</v>
      </c>
      <c r="H140" s="13" t="n">
        <v>157323</v>
      </c>
      <c r="I140" s="13" t="n">
        <v>319636</v>
      </c>
      <c r="J140" s="13" t="n">
        <v>605420</v>
      </c>
      <c r="K140" s="14">
        <f>IF(OR(COUNT(G140:J140)&lt;&gt;4,G140&lt;0,G140&gt;1,H140&gt;I140,I140&gt;J140),"n.a.",ROUND(G140*(H140+4*I140+J140)/6+0.00000001,2))</f>
        <v/>
      </c>
      <c r="L140" s="13" t="n">
        <v>0</v>
      </c>
      <c r="M140" s="14">
        <f>SUMIFS(Maßnahmen!$I$7:$I$126,Maßnahmen!$D$7:$D$126,C140,Maßnahmen!$H$7:$H$126,"&lt;&gt;verworfen")</f>
        <v/>
      </c>
      <c r="N140" s="14">
        <f>IF(ISNUMBER(K140),MAX(0,K140-L140-M140),"n.a.")</f>
        <v/>
      </c>
      <c r="O140" s="14" t="n">
        <v>173169.18</v>
      </c>
      <c r="P140" s="14">
        <f>IF(ISNUMBER(K140),K140-O140,"n.a.")</f>
        <v/>
      </c>
    </row>
    <row r="141" ht="32" customHeight="1">
      <c r="C141" s="10" t="inlineStr">
        <is>
          <t>PRJ-4a6f9cc0-RK-09</t>
        </is>
      </c>
      <c r="D141" s="10" t="inlineStr">
        <is>
          <t>P4102608263</t>
        </is>
      </c>
      <c r="E141" s="11" t="inlineStr">
        <is>
          <t>Beennte Lage / nur Handabbruch möglich</t>
        </is>
      </c>
      <c r="F141" s="10" t="inlineStr">
        <is>
          <t>Termin</t>
        </is>
      </c>
      <c r="G141" s="12" t="n">
        <v>0.163</v>
      </c>
      <c r="H141" s="13" t="n">
        <v>21557</v>
      </c>
      <c r="I141" s="13" t="n">
        <v>51879</v>
      </c>
      <c r="J141" s="13" t="n">
        <v>125674</v>
      </c>
      <c r="K141" s="14">
        <f>IF(OR(COUNT(G141:J141)&lt;&gt;4,G141&lt;0,G141&gt;1,H141&gt;I141,I141&gt;J141),"n.a.",ROUND(G141*(H141+4*I141+J141)/6+0.00000001,2))</f>
        <v/>
      </c>
      <c r="L141" s="13" t="n">
        <v>0</v>
      </c>
      <c r="M141" s="14">
        <f>SUMIFS(Maßnahmen!$I$7:$I$126,Maßnahmen!$D$7:$D$126,C141,Maßnahmen!$H$7:$H$126,"&lt;&gt;verworfen")</f>
        <v/>
      </c>
      <c r="N141" s="14">
        <f>IF(ISNUMBER(K141),MAX(0,K141-L141-M141),"n.a.")</f>
        <v/>
      </c>
      <c r="O141" s="14" t="n">
        <v>9637.290000000001</v>
      </c>
      <c r="P141" s="14">
        <f>IF(ISNUMBER(K141),K141-O141,"n.a.")</f>
        <v/>
      </c>
    </row>
    <row r="142" ht="32" customHeight="1">
      <c r="C142" s="10" t="inlineStr">
        <is>
          <t>PRJ-4a6f9cc0-RK-11</t>
        </is>
      </c>
      <c r="D142" s="10" t="inlineStr">
        <is>
          <t>P4102608263</t>
        </is>
      </c>
      <c r="E142" s="11" t="inlineStr">
        <is>
          <t>Witterung / Ablaufstörung</t>
        </is>
      </c>
      <c r="F142" s="10" t="inlineStr">
        <is>
          <t>Termin</t>
        </is>
      </c>
      <c r="G142" s="12" t="n">
        <v>0.25</v>
      </c>
      <c r="H142" s="13" t="n">
        <v>21915</v>
      </c>
      <c r="I142" s="13" t="n">
        <v>65746</v>
      </c>
      <c r="J142" s="13" t="n">
        <v>131492</v>
      </c>
      <c r="K142" s="14">
        <f>IF(OR(COUNT(G142:J142)&lt;&gt;4,G142&lt;0,G142&gt;1,H142&gt;I142,I142&gt;J142),"n.a.",ROUND(G142*(H142+4*I142+J142)/6+0.00000001,2))</f>
        <v/>
      </c>
      <c r="L142" s="13" t="n">
        <v>0</v>
      </c>
      <c r="M142" s="14">
        <f>SUMIFS(Maßnahmen!$I$7:$I$126,Maßnahmen!$D$7:$D$126,C142,Maßnahmen!$H$7:$H$126,"&lt;&gt;verworfen")</f>
        <v/>
      </c>
      <c r="N142" s="14">
        <f>IF(ISNUMBER(K142),MAX(0,K142-L142-M142),"n.a.")</f>
        <v/>
      </c>
      <c r="O142" s="14" t="n">
        <v>17349.63</v>
      </c>
      <c r="P142" s="14">
        <f>IF(ISNUMBER(K142),K142-O142,"n.a.")</f>
        <v/>
      </c>
    </row>
    <row r="143" ht="32" customHeight="1">
      <c r="C143" s="10" t="inlineStr">
        <is>
          <t>PRJ-4a6f9cc0-RK-12</t>
        </is>
      </c>
      <c r="D143" s="10" t="inlineStr">
        <is>
          <t>P4102608263</t>
        </is>
      </c>
      <c r="E143" s="11" t="inlineStr">
        <is>
          <t>Staubemissionen (höchster Aufwand laut Umfrage)</t>
        </is>
      </c>
      <c r="F143" s="10" t="inlineStr">
        <is>
          <t>Emissionen</t>
        </is>
      </c>
      <c r="G143" s="12" t="n">
        <v>0.1</v>
      </c>
      <c r="H143" s="13" t="n">
        <v>65746</v>
      </c>
      <c r="I143" s="13" t="n">
        <v>131492</v>
      </c>
      <c r="J143" s="13" t="n">
        <v>262984</v>
      </c>
      <c r="K143" s="14">
        <f>IF(OR(COUNT(G143:J143)&lt;&gt;4,G143&lt;0,G143&gt;1,H143&gt;I143,I143&gt;J143),"n.a.",ROUND(G143*(H143+4*I143+J143)/6+0.00000001,2))</f>
        <v/>
      </c>
      <c r="L143" s="13" t="n">
        <v>0</v>
      </c>
      <c r="M143" s="14">
        <f>SUMIFS(Maßnahmen!$I$7:$I$126,Maßnahmen!$D$7:$D$126,C143,Maßnahmen!$H$7:$H$126,"&lt;&gt;verworfen")</f>
        <v/>
      </c>
      <c r="N143" s="14">
        <f>IF(ISNUMBER(K143),MAX(0,K143-L143-M143),"n.a.")</f>
        <v/>
      </c>
      <c r="O143" s="14" t="n">
        <v>14244.97</v>
      </c>
      <c r="P143" s="14">
        <f>IF(ISNUMBER(K143),K143-O143,"n.a.")</f>
        <v/>
      </c>
    </row>
    <row r="144" ht="32" customHeight="1">
      <c r="C144" s="10" t="inlineStr">
        <is>
          <t>PRJ-4a6f9cc0-RK-13</t>
        </is>
      </c>
      <c r="D144" s="10" t="inlineStr">
        <is>
          <t>P4102608263</t>
        </is>
      </c>
      <c r="E144" s="11" t="inlineStr">
        <is>
          <t>Lärm- und Erschütterungsauflagen</t>
        </is>
      </c>
      <c r="F144" s="10" t="inlineStr">
        <is>
          <t>Emissionen</t>
        </is>
      </c>
      <c r="G144" s="12" t="n">
        <v>0.22</v>
      </c>
      <c r="H144" s="13" t="n">
        <v>53489</v>
      </c>
      <c r="I144" s="13" t="n">
        <v>127284</v>
      </c>
      <c r="J144" s="13" t="n">
        <v>249739</v>
      </c>
      <c r="K144" s="14">
        <f>IF(OR(COUNT(G144:J144)&lt;&gt;4,G144&lt;0,G144&gt;1,H144&gt;I144,I144&gt;J144),"n.a.",ROUND(G144*(H144+4*I144+J144)/6+0.00000001,2))</f>
        <v/>
      </c>
      <c r="L144" s="13" t="n">
        <v>0</v>
      </c>
      <c r="M144" s="14">
        <f>SUMIFS(Maßnahmen!$I$7:$I$126,Maßnahmen!$D$7:$D$126,C144,Maßnahmen!$H$7:$H$126,"&lt;&gt;verworfen")</f>
        <v/>
      </c>
      <c r="N144" s="14">
        <f>IF(ISNUMBER(K144),MAX(0,K144-L144-M144),"n.a.")</f>
        <v/>
      </c>
      <c r="O144" s="14" t="n">
        <v>29786.68</v>
      </c>
      <c r="P144" s="14">
        <f>IF(ISNUMBER(K144),K144-O144,"n.a.")</f>
        <v/>
      </c>
    </row>
    <row r="145" ht="32" customHeight="1">
      <c r="C145" s="10" t="inlineStr">
        <is>
          <t>PRJ-4a6f9cc0-RK-15</t>
        </is>
      </c>
      <c r="D145" s="10" t="inlineStr">
        <is>
          <t>P4102608263</t>
        </is>
      </c>
      <c r="E145" s="11" t="inlineStr">
        <is>
          <t>Konjunktur / Sekundärstoffpreise &amp; Gerätemiete</t>
        </is>
      </c>
      <c r="F145" s="10" t="inlineStr">
        <is>
          <t>Markt</t>
        </is>
      </c>
      <c r="G145" s="12" t="n">
        <v>0.12</v>
      </c>
      <c r="H145" s="13" t="n">
        <v>17532</v>
      </c>
      <c r="I145" s="13" t="n">
        <v>43831</v>
      </c>
      <c r="J145" s="13" t="n">
        <v>109577</v>
      </c>
      <c r="K145" s="14">
        <f>IF(OR(COUNT(G145:J145)&lt;&gt;4,G145&lt;0,G145&gt;1,H145&gt;I145,I145&gt;J145),"n.a.",ROUND(G145*(H145+4*I145+J145)/6+0.00000001,2))</f>
        <v/>
      </c>
      <c r="L145" s="13" t="n">
        <v>0</v>
      </c>
      <c r="M145" s="14">
        <f>SUMIFS(Maßnahmen!$I$7:$I$126,Maßnahmen!$D$7:$D$126,C145,Maßnahmen!$H$7:$H$126,"&lt;&gt;verworfen")</f>
        <v/>
      </c>
      <c r="N145" s="14">
        <f>IF(ISNUMBER(K145),MAX(0,K145-L145-M145),"n.a.")</f>
        <v/>
      </c>
      <c r="O145" s="14" t="n">
        <v>6048.66</v>
      </c>
      <c r="P145" s="14">
        <f>IF(ISNUMBER(K145),K145-O145,"n.a.")</f>
        <v/>
      </c>
    </row>
    <row r="146" ht="32" customHeight="1">
      <c r="C146" s="10" t="inlineStr">
        <is>
          <t>PRJ-4f8e93d7-RK-01</t>
        </is>
      </c>
      <c r="D146" s="10" t="inlineStr">
        <is>
          <t>P4102307433</t>
        </is>
      </c>
      <c r="E146" s="11" t="inlineStr">
        <is>
          <t>Schadstofffund / Schadstoffsanierung (Asbest, PAK, PCB, PCP)</t>
        </is>
      </c>
      <c r="F146" s="10" t="inlineStr">
        <is>
          <t>Schadstoffe</t>
        </is>
      </c>
      <c r="G146" s="12" t="n">
        <v>0.22</v>
      </c>
      <c r="H146" s="13" t="n">
        <v>13969</v>
      </c>
      <c r="I146" s="13" t="n">
        <v>34924</v>
      </c>
      <c r="J146" s="13" t="n">
        <v>69847</v>
      </c>
      <c r="K146" s="14">
        <f>IF(OR(COUNT(G146:J146)&lt;&gt;4,G146&lt;0,G146&gt;1,H146&gt;I146,I146&gt;J146),"n.a.",ROUND(G146*(H146+4*I146+J146)/6+0.00000001,2))</f>
        <v/>
      </c>
      <c r="L146" s="13" t="n">
        <v>0</v>
      </c>
      <c r="M146" s="14">
        <f>SUMIFS(Maßnahmen!$I$7:$I$126,Maßnahmen!$D$7:$D$126,C146,Maßnahmen!$H$7:$H$126,"&lt;&gt;verworfen")</f>
        <v/>
      </c>
      <c r="N146" s="14">
        <f>IF(ISNUMBER(K146),MAX(0,K146-L146-M146),"n.a.")</f>
        <v/>
      </c>
      <c r="O146" s="14" t="n">
        <v>8195.440000000001</v>
      </c>
      <c r="P146" s="14">
        <f>IF(ISNUMBER(K146),K146-O146,"n.a.")</f>
        <v/>
      </c>
    </row>
    <row r="147" ht="32" customHeight="1">
      <c r="C147" s="10" t="inlineStr">
        <is>
          <t>PRJ-4f8e93d7-RK-02</t>
        </is>
      </c>
      <c r="D147" s="10" t="inlineStr">
        <is>
          <t>P4102307433</t>
        </is>
      </c>
      <c r="E147" s="11" t="inlineStr">
        <is>
          <t>Arbeitsschutz kontaminierte Bereiche (TRGS 524)</t>
        </is>
      </c>
      <c r="F147" s="10" t="inlineStr">
        <is>
          <t>Schadstoffe</t>
        </is>
      </c>
      <c r="G147" s="12" t="n">
        <v>0.1</v>
      </c>
      <c r="H147" s="13" t="n">
        <v>3492</v>
      </c>
      <c r="I147" s="13" t="n">
        <v>6985</v>
      </c>
      <c r="J147" s="13" t="n">
        <v>13969</v>
      </c>
      <c r="K147" s="14">
        <f>IF(OR(COUNT(G147:J147)&lt;&gt;4,G147&lt;0,G147&gt;1,H147&gt;I147,I147&gt;J147),"n.a.",ROUND(G147*(H147+4*I147+J147)/6+0.00000001,2))</f>
        <v/>
      </c>
      <c r="L147" s="13" t="n">
        <v>0</v>
      </c>
      <c r="M147" s="14">
        <f>SUMIFS(Maßnahmen!$I$7:$I$126,Maßnahmen!$D$7:$D$126,C147,Maßnahmen!$H$7:$H$126,"&lt;&gt;verworfen")</f>
        <v/>
      </c>
      <c r="N147" s="14">
        <f>IF(ISNUMBER(K147),MAX(0,K147-L147-M147),"n.a.")</f>
        <v/>
      </c>
      <c r="O147" s="14" t="n">
        <v>756.6799999999999</v>
      </c>
      <c r="P147" s="14">
        <f>IF(ISNUMBER(K147),K147-O147,"n.a.")</f>
        <v/>
      </c>
    </row>
    <row r="148" ht="32" customHeight="1">
      <c r="C148" s="10" t="inlineStr">
        <is>
          <t>PRJ-4f8e93d7-RK-03</t>
        </is>
      </c>
      <c r="D148" s="10" t="inlineStr">
        <is>
          <t>P4102307433</t>
        </is>
      </c>
      <c r="E148" s="11" t="inlineStr">
        <is>
          <t>Entsorgungs-Mehrkosten / Entsorgungswege</t>
        </is>
      </c>
      <c r="F148" s="10" t="inlineStr">
        <is>
          <t>Entsorgung</t>
        </is>
      </c>
      <c r="G148" s="12" t="n">
        <v>0.15</v>
      </c>
      <c r="H148" s="13" t="n">
        <v>13969</v>
      </c>
      <c r="I148" s="13" t="n">
        <v>34924</v>
      </c>
      <c r="J148" s="13" t="n">
        <v>69847</v>
      </c>
      <c r="K148" s="14">
        <f>IF(OR(COUNT(G148:J148)&lt;&gt;4,G148&lt;0,G148&gt;1,H148&gt;I148,I148&gt;J148),"n.a.",ROUND(G148*(H148+4*I148+J148)/6+0.00000001,2))</f>
        <v/>
      </c>
      <c r="L148" s="13" t="n">
        <v>0</v>
      </c>
      <c r="M148" s="14">
        <f>SUMIFS(Maßnahmen!$I$7:$I$126,Maßnahmen!$D$7:$D$126,C148,Maßnahmen!$H$7:$H$126,"&lt;&gt;verworfen")</f>
        <v/>
      </c>
      <c r="N148" s="14">
        <f>IF(ISNUMBER(K148),MAX(0,K148-L148-M148),"n.a.")</f>
        <v/>
      </c>
      <c r="O148" s="14" t="n">
        <v>5587.8</v>
      </c>
      <c r="P148" s="14">
        <f>IF(ISNUMBER(K148),K148-O148,"n.a.")</f>
        <v/>
      </c>
    </row>
    <row r="149" ht="32" customHeight="1">
      <c r="C149" s="10" t="inlineStr">
        <is>
          <t>PRJ-4f8e93d7-RK-04</t>
        </is>
      </c>
      <c r="D149" s="10" t="inlineStr">
        <is>
          <t>P4102307433</t>
        </is>
      </c>
      <c r="E149" s="11" t="inlineStr">
        <is>
          <t>Baustofftrennung / Aufbereitung nicht wie geplant</t>
        </is>
      </c>
      <c r="F149" s="10" t="inlineStr">
        <is>
          <t>Entsorgung</t>
        </is>
      </c>
      <c r="G149" s="12" t="n">
        <v>0.08</v>
      </c>
      <c r="H149" s="13" t="n">
        <v>3492</v>
      </c>
      <c r="I149" s="13" t="n">
        <v>6985</v>
      </c>
      <c r="J149" s="13" t="n">
        <v>13969</v>
      </c>
      <c r="K149" s="14">
        <f>IF(OR(COUNT(G149:J149)&lt;&gt;4,G149&lt;0,G149&gt;1,H149&gt;I149,I149&gt;J149),"n.a.",ROUND(G149*(H149+4*I149+J149)/6+0.00000001,2))</f>
        <v/>
      </c>
      <c r="L149" s="13" t="n">
        <v>0</v>
      </c>
      <c r="M149" s="14">
        <f>SUMIFS(Maßnahmen!$I$7:$I$126,Maßnahmen!$D$7:$D$126,C149,Maßnahmen!$H$7:$H$126,"&lt;&gt;verworfen")</f>
        <v/>
      </c>
      <c r="N149" s="14">
        <f>IF(ISNUMBER(K149),MAX(0,K149-L149-M149),"n.a.")</f>
        <v/>
      </c>
      <c r="O149" s="14" t="n">
        <v>605.35</v>
      </c>
      <c r="P149" s="14">
        <f>IF(ISNUMBER(K149),K149-O149,"n.a.")</f>
        <v/>
      </c>
    </row>
    <row r="150" ht="32" customHeight="1">
      <c r="C150" s="10" t="inlineStr">
        <is>
          <t>PRJ-4a6f9cc0-RK-04</t>
        </is>
      </c>
      <c r="D150" s="10" t="inlineStr">
        <is>
          <t>P4102608263</t>
        </is>
      </c>
      <c r="E150" s="11" t="inlineStr">
        <is>
          <t>Baustofftrennung / Aufbereitung nicht wie geplant</t>
        </is>
      </c>
      <c r="F150" s="10" t="inlineStr">
        <is>
          <t>Entsorgung</t>
        </is>
      </c>
      <c r="G150" s="12" t="n">
        <v>0.45</v>
      </c>
      <c r="H150" s="13" t="n">
        <v>767037</v>
      </c>
      <c r="I150" s="13" t="n">
        <v>986190</v>
      </c>
      <c r="J150" s="13" t="n">
        <v>1424497</v>
      </c>
      <c r="K150" s="14">
        <f>IF(OR(COUNT(G150:J150)&lt;&gt;4,G150&lt;0,G150&gt;1,H150&gt;I150,I150&gt;J150),"n.a.",ROUND(G150*(H150+4*I150+J150)/6+0.00000001,2))</f>
        <v/>
      </c>
      <c r="L150" s="13" t="n">
        <v>0</v>
      </c>
      <c r="M150" s="14">
        <f>SUMIFS(Maßnahmen!$I$7:$I$126,Maßnahmen!$D$7:$D$126,C150,Maßnahmen!$H$7:$H$126,"&lt;&gt;verworfen")</f>
        <v/>
      </c>
      <c r="N150" s="14">
        <f>IF(ISNUMBER(K150),MAX(0,K150-L150-M150),"n.a.")</f>
        <v/>
      </c>
      <c r="O150" s="14" t="n">
        <v>460222.05</v>
      </c>
      <c r="P150" s="14">
        <f>IF(ISNUMBER(K150),K150-O150,"n.a.")</f>
        <v/>
      </c>
    </row>
    <row r="151" ht="32" customHeight="1">
      <c r="C151" s="10" t="inlineStr">
        <is>
          <t>PRJ-4a6f9cc0-RK-10</t>
        </is>
      </c>
      <c r="D151" s="10" t="inlineStr">
        <is>
          <t>P4102608263</t>
        </is>
      </c>
      <c r="E151" s="11" t="inlineStr">
        <is>
          <t>Terminvorgabe Auftraggeber / Geräteauslastung</t>
        </is>
      </c>
      <c r="F151" s="10" t="inlineStr">
        <is>
          <t>Termin</t>
        </is>
      </c>
      <c r="G151" s="12" t="n">
        <v>0.4</v>
      </c>
      <c r="H151" s="13" t="n">
        <v>236059</v>
      </c>
      <c r="I151" s="13" t="n">
        <v>371621</v>
      </c>
      <c r="J151" s="13" t="n">
        <v>655894</v>
      </c>
      <c r="K151" s="14">
        <f>IF(OR(COUNT(G151:J151)&lt;&gt;4,G151&lt;0,G151&gt;1,H151&gt;I151,I151&gt;J151),"n.a.",ROUND(G151*(H151+4*I151+J151)/6+0.00000001,2))</f>
        <v/>
      </c>
      <c r="L151" s="13" t="n">
        <v>0</v>
      </c>
      <c r="M151" s="14">
        <f>SUMIFS(Maßnahmen!$I$7:$I$126,Maßnahmen!$D$7:$D$126,C151,Maßnahmen!$H$7:$H$126,"&lt;&gt;verworfen")</f>
        <v/>
      </c>
      <c r="N151" s="14">
        <f>IF(ISNUMBER(K151),MAX(0,K151-L151-M151),"n.a.")</f>
        <v/>
      </c>
      <c r="O151" s="14" t="n">
        <v>158562.47</v>
      </c>
      <c r="P151" s="14">
        <f>IF(ISNUMBER(K151),K151-O151,"n.a.")</f>
        <v/>
      </c>
    </row>
    <row r="152" ht="32" customHeight="1">
      <c r="C152" s="10" t="inlineStr">
        <is>
          <t>PRJ-4a6f9cc0-RK-14</t>
        </is>
      </c>
      <c r="D152" s="10" t="inlineStr">
        <is>
          <t>P4102608263</t>
        </is>
      </c>
      <c r="E152" s="11" t="inlineStr">
        <is>
          <t>Rechtliche Auflagen / Entsorgungsnachweise (Formalismus)</t>
        </is>
      </c>
      <c r="F152" s="10" t="inlineStr">
        <is>
          <t>Genehmigung</t>
        </is>
      </c>
      <c r="G152" s="12" t="n">
        <v>0.4</v>
      </c>
      <c r="H152" s="13" t="n">
        <v>168281</v>
      </c>
      <c r="I152" s="13" t="n">
        <v>330594</v>
      </c>
      <c r="J152" s="13" t="n">
        <v>627335</v>
      </c>
      <c r="K152" s="14">
        <f>IF(OR(COUNT(G152:J152)&lt;&gt;4,G152&lt;0,G152&gt;1,H152&gt;I152,I152&gt;J152),"n.a.",ROUND(G152*(H152+4*I152+J152)/6+0.00000001,2))</f>
        <v/>
      </c>
      <c r="L152" s="13" t="n">
        <v>0</v>
      </c>
      <c r="M152" s="14">
        <f>SUMIFS(Maßnahmen!$I$7:$I$126,Maßnahmen!$D$7:$D$126,C152,Maßnahmen!$H$7:$H$126,"&lt;&gt;verworfen")</f>
        <v/>
      </c>
      <c r="N152" s="14">
        <f>IF(ISNUMBER(K152),MAX(0,K152-L152-M152),"n.a.")</f>
        <v/>
      </c>
      <c r="O152" s="14" t="n">
        <v>141199.47</v>
      </c>
      <c r="P152" s="14">
        <f>IF(ISNUMBER(K152),K152-O152,"n.a.")</f>
        <v/>
      </c>
    </row>
    <row r="153" ht="32" customHeight="1">
      <c r="C153" s="10" t="inlineStr">
        <is>
          <t>PRJ-52b1cf6b-RK-03</t>
        </is>
      </c>
      <c r="D153" s="10" t="inlineStr">
        <is>
          <t>P4102157449</t>
        </is>
      </c>
      <c r="E153" s="11" t="inlineStr">
        <is>
          <t>Entsorgungs-Mehrkosten / Entsorgungswege</t>
        </is>
      </c>
      <c r="F153" s="10" t="inlineStr">
        <is>
          <t>Entsorgung</t>
        </is>
      </c>
      <c r="G153" s="12" t="n">
        <v>0.497</v>
      </c>
      <c r="H153" s="13" t="n">
        <v>20352</v>
      </c>
      <c r="I153" s="13" t="n">
        <v>37705</v>
      </c>
      <c r="J153" s="13" t="n">
        <v>62235</v>
      </c>
      <c r="K153" s="14">
        <f>IF(OR(COUNT(G153:J153)&lt;&gt;4,G153&lt;0,G153&gt;1,H153&gt;I153,I153&gt;J153),"n.a.",ROUND(G153*(H153+4*I153+J153)/6+0.00000001,2))</f>
        <v/>
      </c>
      <c r="L153" s="13" t="n">
        <v>0</v>
      </c>
      <c r="M153" s="14">
        <f>SUMIFS(Maßnahmen!$I$7:$I$126,Maßnahmen!$D$7:$D$126,C153,Maßnahmen!$H$7:$H$126,"&lt;&gt;verworfen")</f>
        <v/>
      </c>
      <c r="N153" s="14">
        <f>IF(ISNUMBER(K153),MAX(0,K153-L153-M153),"n.a.")</f>
        <v/>
      </c>
      <c r="O153" s="14" t="n">
        <v>19333.88</v>
      </c>
      <c r="P153" s="14">
        <f>IF(ISNUMBER(K153),K153-O153,"n.a.")</f>
        <v/>
      </c>
    </row>
    <row r="154" ht="32" customHeight="1">
      <c r="C154" s="10" t="inlineStr">
        <is>
          <t>PRJ-52b1cf6b-RK-05</t>
        </is>
      </c>
      <c r="D154" s="10" t="inlineStr">
        <is>
          <t>P4102157449</t>
        </is>
      </c>
      <c r="E154" s="11" t="inlineStr">
        <is>
          <t>Unbekannte Bauwerkskonstruktion / fehlende Pläne</t>
        </is>
      </c>
      <c r="F154" s="10" t="inlineStr">
        <is>
          <t>Statik</t>
        </is>
      </c>
      <c r="G154" s="12" t="n">
        <v>0.12</v>
      </c>
      <c r="H154" s="13" t="n">
        <v>13431</v>
      </c>
      <c r="I154" s="13" t="n">
        <v>24243</v>
      </c>
      <c r="J154" s="13" t="n">
        <v>41853</v>
      </c>
      <c r="K154" s="14">
        <f>IF(OR(COUNT(G154:J154)&lt;&gt;4,G154&lt;0,G154&gt;1,H154&gt;I154,I154&gt;J154),"n.a.",ROUND(G154*(H154+4*I154+J154)/6+0.00000001,2))</f>
        <v/>
      </c>
      <c r="L154" s="13" t="n">
        <v>0</v>
      </c>
      <c r="M154" s="14">
        <f>SUMIFS(Maßnahmen!$I$7:$I$126,Maßnahmen!$D$7:$D$126,C154,Maßnahmen!$H$7:$H$126,"&lt;&gt;verworfen")</f>
        <v/>
      </c>
      <c r="N154" s="14">
        <f>IF(ISNUMBER(K154),MAX(0,K154-L154-M154),"n.a.")</f>
        <v/>
      </c>
      <c r="O154" s="14" t="n">
        <v>3045.12</v>
      </c>
      <c r="P154" s="14">
        <f>IF(ISNUMBER(K154),K154-O154,"n.a.")</f>
        <v/>
      </c>
    </row>
    <row r="155" ht="32" customHeight="1">
      <c r="C155" s="10" t="inlineStr">
        <is>
          <t>PRJ-52b1cf6b-RK-06</t>
        </is>
      </c>
      <c r="D155" s="10" t="inlineStr">
        <is>
          <t>P4102157449</t>
        </is>
      </c>
      <c r="E155" s="11" t="inlineStr">
        <is>
          <t>Statik / Einsturzsicherung während Abbruch</t>
        </is>
      </c>
      <c r="F155" s="10" t="inlineStr">
        <is>
          <t>Statik</t>
        </is>
      </c>
      <c r="G155" s="12" t="n">
        <v>0.278</v>
      </c>
      <c r="H155" s="13" t="n">
        <v>17353</v>
      </c>
      <c r="I155" s="13" t="n">
        <v>31708</v>
      </c>
      <c r="J155" s="13" t="n">
        <v>54633</v>
      </c>
      <c r="K155" s="14">
        <f>IF(OR(COUNT(G155:J155)&lt;&gt;4,G155&lt;0,G155&gt;1,H155&gt;I155,I155&gt;J155),"n.a.",ROUND(G155*(H155+4*I155+J155)/6+0.00000001,2))</f>
        <v/>
      </c>
      <c r="L155" s="13" t="n">
        <v>0</v>
      </c>
      <c r="M155" s="14">
        <f>SUMIFS(Maßnahmen!$I$7:$I$126,Maßnahmen!$D$7:$D$126,C155,Maßnahmen!$H$7:$H$126,"&lt;&gt;verworfen")</f>
        <v/>
      </c>
      <c r="N155" s="14">
        <f>IF(ISNUMBER(K155),MAX(0,K155-L155-M155),"n.a.")</f>
        <v/>
      </c>
      <c r="O155" s="14" t="n">
        <v>9211.9</v>
      </c>
      <c r="P155" s="14">
        <f>IF(ISNUMBER(K155),K155-O155,"n.a.")</f>
        <v/>
      </c>
    </row>
    <row r="156" ht="32" customHeight="1">
      <c r="C156" s="10" t="inlineStr">
        <is>
          <t>PRJ-52b1cf6b-RK-07</t>
        </is>
      </c>
      <c r="D156" s="10" t="inlineStr">
        <is>
          <t>P4102157449</t>
        </is>
      </c>
      <c r="E156" s="11" t="inlineStr">
        <is>
          <t>Unterirdische Tragkonstruktion / Fundamente</t>
        </is>
      </c>
      <c r="F156" s="10" t="inlineStr">
        <is>
          <t>Statik</t>
        </is>
      </c>
      <c r="G156" s="12" t="n">
        <v>0.65</v>
      </c>
      <c r="H156" s="13" t="n">
        <v>5088</v>
      </c>
      <c r="I156" s="13" t="n">
        <v>9812</v>
      </c>
      <c r="J156" s="13" t="n">
        <v>20139</v>
      </c>
      <c r="K156" s="14">
        <f>IF(OR(COUNT(G156:J156)&lt;&gt;4,G156&lt;0,G156&gt;1,H156&gt;I156,I156&gt;J156),"n.a.",ROUND(G156*(H156+4*I156+J156)/6+0.00000001,2))</f>
        <v/>
      </c>
      <c r="L156" s="13" t="n">
        <v>0</v>
      </c>
      <c r="M156" s="14">
        <f>SUMIFS(Maßnahmen!$I$7:$I$126,Maßnahmen!$D$7:$D$126,C156,Maßnahmen!$H$7:$H$126,"&lt;&gt;verworfen")</f>
        <v/>
      </c>
      <c r="N156" s="14">
        <f>IF(ISNUMBER(K156),MAX(0,K156-L156-M156),"n.a.")</f>
        <v/>
      </c>
      <c r="O156" s="14" t="n">
        <v>6984.79</v>
      </c>
      <c r="P156" s="14">
        <f>IF(ISNUMBER(K156),K156-O156,"n.a.")</f>
        <v/>
      </c>
    </row>
    <row r="157" ht="32" customHeight="1">
      <c r="C157" s="10" t="inlineStr">
        <is>
          <t>PRJ-52b1cf6b-RK-08</t>
        </is>
      </c>
      <c r="D157" s="10" t="inlineStr">
        <is>
          <t>P4102157449</t>
        </is>
      </c>
      <c r="E157" s="11" t="inlineStr">
        <is>
          <t>Gebäudehöhe &gt;22 m / Longfront-Bagger (+130–150 %)</t>
        </is>
      </c>
      <c r="F157" s="10" t="inlineStr">
        <is>
          <t>Termin</t>
        </is>
      </c>
      <c r="G157" s="12" t="n">
        <v>0.336</v>
      </c>
      <c r="H157" s="13" t="n">
        <v>5171</v>
      </c>
      <c r="I157" s="13" t="n">
        <v>11263</v>
      </c>
      <c r="J157" s="13" t="n">
        <v>21581</v>
      </c>
      <c r="K157" s="14">
        <f>IF(OR(COUNT(G157:J157)&lt;&gt;4,G157&lt;0,G157&gt;1,H157&gt;I157,I157&gt;J157),"n.a.",ROUND(G157*(H157+4*I157+J157)/6+0.00000001,2))</f>
        <v/>
      </c>
      <c r="L157" s="13" t="n">
        <v>0</v>
      </c>
      <c r="M157" s="14">
        <f>SUMIFS(Maßnahmen!$I$7:$I$126,Maßnahmen!$D$7:$D$126,C157,Maßnahmen!$H$7:$H$126,"&lt;&gt;verworfen")</f>
        <v/>
      </c>
      <c r="N157" s="14">
        <f>IF(ISNUMBER(K157),MAX(0,K157-L157-M157),"n.a.")</f>
        <v/>
      </c>
      <c r="O157" s="14" t="n">
        <v>4021.02</v>
      </c>
      <c r="P157" s="14">
        <f>IF(ISNUMBER(K157),K157-O157,"n.a.")</f>
        <v/>
      </c>
    </row>
    <row r="158" ht="32" customHeight="1">
      <c r="C158" s="10" t="inlineStr">
        <is>
          <t>PRJ-52b1cf6b-RK-09</t>
        </is>
      </c>
      <c r="D158" s="10" t="inlineStr">
        <is>
          <t>P4102157449</t>
        </is>
      </c>
      <c r="E158" s="11" t="inlineStr">
        <is>
          <t>Beennte Lage / nur Handabbruch möglich</t>
        </is>
      </c>
      <c r="F158" s="10" t="inlineStr">
        <is>
          <t>Termin</t>
        </is>
      </c>
      <c r="G158" s="12" t="n">
        <v>0.282</v>
      </c>
      <c r="H158" s="13" t="n">
        <v>3734</v>
      </c>
      <c r="I158" s="13" t="n">
        <v>8026</v>
      </c>
      <c r="J158" s="13" t="n">
        <v>17444</v>
      </c>
      <c r="K158" s="14">
        <f>IF(OR(COUNT(G158:J158)&lt;&gt;4,G158&lt;0,G158&gt;1,H158&gt;I158,I158&gt;J158),"n.a.",ROUND(G158*(H158+4*I158+J158)/6+0.00000001,2))</f>
        <v/>
      </c>
      <c r="L158" s="13" t="n">
        <v>0</v>
      </c>
      <c r="M158" s="14">
        <f>SUMIFS(Maßnahmen!$I$7:$I$126,Maßnahmen!$D$7:$D$126,C158,Maßnahmen!$H$7:$H$126,"&lt;&gt;verworfen")</f>
        <v/>
      </c>
      <c r="N158" s="14">
        <f>IF(ISNUMBER(K158),MAX(0,K158-L158-M158),"n.a.")</f>
        <v/>
      </c>
      <c r="O158" s="14" t="n">
        <v>2504.25</v>
      </c>
      <c r="P158" s="14">
        <f>IF(ISNUMBER(K158),K158-O158,"n.a.")</f>
        <v/>
      </c>
    </row>
    <row r="159" ht="32" customHeight="1">
      <c r="C159" s="10" t="inlineStr">
        <is>
          <t>PRJ-52b1cf6b-RK-13</t>
        </is>
      </c>
      <c r="D159" s="10" t="inlineStr">
        <is>
          <t>P4102157449</t>
        </is>
      </c>
      <c r="E159" s="11" t="inlineStr">
        <is>
          <t>Lärm- und Erschütterungsauflagen</t>
        </is>
      </c>
      <c r="F159" s="10" t="inlineStr">
        <is>
          <t>Emissionen</t>
        </is>
      </c>
      <c r="G159" s="12" t="n">
        <v>0.407</v>
      </c>
      <c r="H159" s="13" t="n">
        <v>9074</v>
      </c>
      <c r="I159" s="13" t="n">
        <v>18492</v>
      </c>
      <c r="J159" s="13" t="n">
        <v>33840</v>
      </c>
      <c r="K159" s="14">
        <f>IF(OR(COUNT(G159:J159)&lt;&gt;4,G159&lt;0,G159&gt;1,H159&gt;I159,I159&gt;J159),"n.a.",ROUND(G159*(H159+4*I159+J159)/6+0.00000001,2))</f>
        <v/>
      </c>
      <c r="L159" s="13" t="n">
        <v>0</v>
      </c>
      <c r="M159" s="14">
        <f>SUMIFS(Maßnahmen!$I$7:$I$126,Maßnahmen!$D$7:$D$126,C159,Maßnahmen!$H$7:$H$126,"&lt;&gt;verworfen")</f>
        <v/>
      </c>
      <c r="N159" s="14">
        <f>IF(ISNUMBER(K159),MAX(0,K159-L159-M159),"n.a.")</f>
        <v/>
      </c>
      <c r="O159" s="14" t="n">
        <v>7928.5</v>
      </c>
      <c r="P159" s="14">
        <f>IF(ISNUMBER(K159),K159-O159,"n.a.")</f>
        <v/>
      </c>
    </row>
    <row r="160" ht="32" customHeight="1">
      <c r="C160" s="10" t="inlineStr">
        <is>
          <t>PRJ-52b1cf6b-RK-14</t>
        </is>
      </c>
      <c r="D160" s="10" t="inlineStr">
        <is>
          <t>P4102157449</t>
        </is>
      </c>
      <c r="E160" s="11" t="inlineStr">
        <is>
          <t>Rechtliche Auflagen / Entsorgungsnachweise (Formalismus)</t>
        </is>
      </c>
      <c r="F160" s="10" t="inlineStr">
        <is>
          <t>Genehmigung</t>
        </is>
      </c>
      <c r="G160" s="12" t="n">
        <v>0.239</v>
      </c>
      <c r="H160" s="13" t="n">
        <v>5868</v>
      </c>
      <c r="I160" s="13" t="n">
        <v>11959</v>
      </c>
      <c r="J160" s="13" t="n">
        <v>22974</v>
      </c>
      <c r="K160" s="14">
        <f>IF(OR(COUNT(G160:J160)&lt;&gt;4,G160&lt;0,G160&gt;1,H160&gt;I160,I160&gt;J160),"n.a.",ROUND(G160*(H160+4*I160+J160)/6+0.00000001,2))</f>
        <v/>
      </c>
      <c r="L160" s="13" t="n">
        <v>0</v>
      </c>
      <c r="M160" s="14">
        <f>SUMIFS(Maßnahmen!$I$7:$I$126,Maßnahmen!$D$7:$D$126,C160,Maßnahmen!$H$7:$H$126,"&lt;&gt;verworfen")</f>
        <v/>
      </c>
      <c r="N160" s="14">
        <f>IF(ISNUMBER(K160),MAX(0,K160-L160-M160),"n.a.")</f>
        <v/>
      </c>
      <c r="O160" s="14" t="n">
        <v>3054.34</v>
      </c>
      <c r="P160" s="14">
        <f>IF(ISNUMBER(K160),K160-O160,"n.a.")</f>
        <v/>
      </c>
    </row>
    <row r="161" ht="32" customHeight="1">
      <c r="C161" s="10" t="inlineStr">
        <is>
          <t>PRJ-4f8e93d7-RK-15</t>
        </is>
      </c>
      <c r="D161" s="10" t="inlineStr">
        <is>
          <t>P4102307433</t>
        </is>
      </c>
      <c r="E161" s="11" t="inlineStr">
        <is>
          <t>Konjunktur / Sekundärstoffpreise &amp; Gerätemiete</t>
        </is>
      </c>
      <c r="F161" s="10" t="inlineStr">
        <is>
          <t>Markt</t>
        </is>
      </c>
      <c r="G161" s="12" t="n">
        <v>0.213</v>
      </c>
      <c r="H161" s="13" t="n">
        <v>38037</v>
      </c>
      <c r="I161" s="13" t="n">
        <v>52909</v>
      </c>
      <c r="J161" s="13" t="n">
        <v>116047</v>
      </c>
      <c r="K161" s="14">
        <f>IF(OR(COUNT(G161:J161)&lt;&gt;4,G161&lt;0,G161&gt;1,H161&gt;I161,I161&gt;J161),"n.a.",ROUND(G161*(H161+4*I161+J161)/6+0.00000001,2))</f>
        <v/>
      </c>
      <c r="L161" s="13" t="n">
        <v>0</v>
      </c>
      <c r="M161" s="14">
        <f>SUMIFS(Maßnahmen!$I$7:$I$126,Maßnahmen!$D$7:$D$126,C161,Maßnahmen!$H$7:$H$126,"&lt;&gt;verworfen")</f>
        <v/>
      </c>
      <c r="N161" s="14">
        <f>IF(ISNUMBER(K161),MAX(0,K161-L161-M161),"n.a.")</f>
        <v/>
      </c>
      <c r="O161" s="14" t="n">
        <v>12983.06</v>
      </c>
      <c r="P161" s="14">
        <f>IF(ISNUMBER(K161),K161-O161,"n.a.")</f>
        <v/>
      </c>
    </row>
    <row r="162" ht="32" customHeight="1">
      <c r="C162" s="10" t="inlineStr">
        <is>
          <t>PRJ-4a292757-RK-08</t>
        </is>
      </c>
      <c r="D162" s="10" t="inlineStr">
        <is>
          <t>P4102658256</t>
        </is>
      </c>
      <c r="E162" s="11" t="inlineStr">
        <is>
          <t>Gebäudehöhe &gt;22 m / Longfront-Bagger (+130–150 %)</t>
        </is>
      </c>
      <c r="F162" s="10" t="inlineStr">
        <is>
          <t>Termin</t>
        </is>
      </c>
      <c r="G162" s="12" t="n">
        <v>0.2</v>
      </c>
      <c r="H162" s="13" t="n">
        <v>580</v>
      </c>
      <c r="I162" s="13" t="n">
        <v>1741</v>
      </c>
      <c r="J162" s="13" t="n">
        <v>3482</v>
      </c>
      <c r="K162" s="14">
        <f>IF(OR(COUNT(G162:J162)&lt;&gt;4,G162&lt;0,G162&gt;1,H162&gt;I162,I162&gt;J162),"n.a.",ROUND(G162*(H162+4*I162+J162)/6+0.00000001,2))</f>
        <v/>
      </c>
      <c r="L162" s="13" t="n">
        <v>0</v>
      </c>
      <c r="M162" s="14">
        <f>SUMIFS(Maßnahmen!$I$7:$I$126,Maßnahmen!$D$7:$D$126,C162,Maßnahmen!$H$7:$H$126,"&lt;&gt;verworfen")</f>
        <v/>
      </c>
      <c r="N162" s="14">
        <f>IF(ISNUMBER(K162),MAX(0,K162-L162-M162),"n.a.")</f>
        <v/>
      </c>
      <c r="O162" s="14" t="n">
        <v>367.53</v>
      </c>
      <c r="P162" s="14">
        <f>IF(ISNUMBER(K162),K162-O162,"n.a.")</f>
        <v/>
      </c>
    </row>
    <row r="163" ht="32" customHeight="1">
      <c r="C163" s="10" t="inlineStr">
        <is>
          <t>PRJ-4a292757-RK-09</t>
        </is>
      </c>
      <c r="D163" s="10" t="inlineStr">
        <is>
          <t>P4102658256</t>
        </is>
      </c>
      <c r="E163" s="11" t="inlineStr">
        <is>
          <t>Beennte Lage / nur Handabbruch möglich</t>
        </is>
      </c>
      <c r="F163" s="10" t="inlineStr">
        <is>
          <t>Termin</t>
        </is>
      </c>
      <c r="G163" s="12" t="n">
        <v>0.5</v>
      </c>
      <c r="H163" s="13" t="n">
        <v>4849</v>
      </c>
      <c r="I163" s="13" t="n">
        <v>9930</v>
      </c>
      <c r="J163" s="13" t="n">
        <v>20441</v>
      </c>
      <c r="K163" s="14">
        <f>IF(OR(COUNT(G163:J163)&lt;&gt;4,G163&lt;0,G163&gt;1,H163&gt;I163,I163&gt;J163),"n.a.",ROUND(G163*(H163+4*I163+J163)/6+0.00000001,2))</f>
        <v/>
      </c>
      <c r="L163" s="13" t="n">
        <v>0</v>
      </c>
      <c r="M163" s="14">
        <f>SUMIFS(Maßnahmen!$I$7:$I$126,Maßnahmen!$D$7:$D$126,C163,Maßnahmen!$H$7:$H$126,"&lt;&gt;verworfen")</f>
        <v/>
      </c>
      <c r="N163" s="14">
        <f>IF(ISNUMBER(K163),MAX(0,K163-L163-M163),"n.a.")</f>
        <v/>
      </c>
      <c r="O163" s="14" t="n">
        <v>5417.5</v>
      </c>
      <c r="P163" s="14">
        <f>IF(ISNUMBER(K163),K163-O163,"n.a.")</f>
        <v/>
      </c>
    </row>
    <row r="164" ht="32" customHeight="1">
      <c r="C164" s="10" t="inlineStr">
        <is>
          <t>PRJ-4a292757-RK-10</t>
        </is>
      </c>
      <c r="D164" s="10" t="inlineStr">
        <is>
          <t>P4102658256</t>
        </is>
      </c>
      <c r="E164" s="11" t="inlineStr">
        <is>
          <t>Terminvorgabe Auftraggeber / Geräteauslastung</t>
        </is>
      </c>
      <c r="F164" s="10" t="inlineStr">
        <is>
          <t>Termin</t>
        </is>
      </c>
      <c r="G164" s="12" t="n">
        <v>0.08</v>
      </c>
      <c r="H164" s="13" t="n">
        <v>290</v>
      </c>
      <c r="I164" s="13" t="n">
        <v>580</v>
      </c>
      <c r="J164" s="13" t="n">
        <v>1161</v>
      </c>
      <c r="K164" s="14">
        <f>IF(OR(COUNT(G164:J164)&lt;&gt;4,G164&lt;0,G164&gt;1,H164&gt;I164,I164&gt;J164),"n.a.",ROUND(G164*(H164+4*I164+J164)/6+0.00000001,2))</f>
        <v/>
      </c>
      <c r="L164" s="13" t="n">
        <v>0</v>
      </c>
      <c r="M164" s="14">
        <f>SUMIFS(Maßnahmen!$I$7:$I$126,Maßnahmen!$D$7:$D$126,C164,Maßnahmen!$H$7:$H$126,"&lt;&gt;verworfen")</f>
        <v/>
      </c>
      <c r="N164" s="14">
        <f>IF(ISNUMBER(K164),MAX(0,K164-L164-M164),"n.a.")</f>
        <v/>
      </c>
      <c r="O164" s="14" t="n">
        <v>50.28</v>
      </c>
      <c r="P164" s="14">
        <f>IF(ISNUMBER(K164),K164-O164,"n.a.")</f>
        <v/>
      </c>
    </row>
    <row r="165" ht="32" customHeight="1">
      <c r="C165" s="10" t="inlineStr">
        <is>
          <t>PRJ-4f8e93d1-RK-11</t>
        </is>
      </c>
      <c r="D165" s="10" t="inlineStr">
        <is>
          <t>P4102307439</t>
        </is>
      </c>
      <c r="E165" s="11" t="inlineStr">
        <is>
          <t>Witterung / Ablaufstörung</t>
        </is>
      </c>
      <c r="F165" s="10" t="inlineStr">
        <is>
          <t>Termin</t>
        </is>
      </c>
      <c r="G165" s="12" t="n">
        <v>0.15</v>
      </c>
      <c r="H165" s="13" t="n">
        <v>791</v>
      </c>
      <c r="I165" s="13" t="n">
        <v>2372</v>
      </c>
      <c r="J165" s="13" t="n">
        <v>4744</v>
      </c>
      <c r="K165" s="14">
        <f>IF(OR(COUNT(G165:J165)&lt;&gt;4,G165&lt;0,G165&gt;1,H165&gt;I165,I165&gt;J165),"n.a.",ROUND(G165*(H165+4*I165+J165)/6+0.00000001,2))</f>
        <v/>
      </c>
      <c r="L165" s="13" t="n">
        <v>0</v>
      </c>
      <c r="M165" s="14">
        <f>SUMIFS(Maßnahmen!$I$7:$I$126,Maßnahmen!$D$7:$D$126,C165,Maßnahmen!$H$7:$H$126,"&lt;&gt;verworfen")</f>
        <v/>
      </c>
      <c r="N165" s="14">
        <f>IF(ISNUMBER(K165),MAX(0,K165-L165-M165),"n.a.")</f>
        <v/>
      </c>
      <c r="O165" s="14" t="n">
        <v>375.58</v>
      </c>
      <c r="P165" s="14">
        <f>IF(ISNUMBER(K165),K165-O165,"n.a.")</f>
        <v/>
      </c>
    </row>
    <row r="166" ht="32" customHeight="1">
      <c r="C166" s="10" t="inlineStr">
        <is>
          <t>PRJ-4f8e93d1-RK-12</t>
        </is>
      </c>
      <c r="D166" s="10" t="inlineStr">
        <is>
          <t>P4102307439</t>
        </is>
      </c>
      <c r="E166" s="11" t="inlineStr">
        <is>
          <t>Staubemissionen (höchster Aufwand laut Umfrage)</t>
        </is>
      </c>
      <c r="F166" s="10" t="inlineStr">
        <is>
          <t>Emissionen</t>
        </is>
      </c>
      <c r="G166" s="12" t="n">
        <v>0.221</v>
      </c>
      <c r="H166" s="13" t="n">
        <v>2617</v>
      </c>
      <c r="I166" s="13" t="n">
        <v>5037</v>
      </c>
      <c r="J166" s="13" t="n">
        <v>9977</v>
      </c>
      <c r="K166" s="14">
        <f>IF(OR(COUNT(G166:J166)&lt;&gt;4,G166&lt;0,G166&gt;1,H166&gt;I166,I166&gt;J166),"n.a.",ROUND(G166*(H166+4*I166+J166)/6+0.00000001,2))</f>
        <v/>
      </c>
      <c r="L166" s="13" t="n">
        <v>0</v>
      </c>
      <c r="M166" s="14">
        <f>SUMIFS(Maßnahmen!$I$7:$I$126,Maßnahmen!$D$7:$D$126,C166,Maßnahmen!$H$7:$H$126,"&lt;&gt;verworfen")</f>
        <v/>
      </c>
      <c r="N166" s="14">
        <f>IF(ISNUMBER(K166),MAX(0,K166-L166-M166),"n.a.")</f>
        <v/>
      </c>
      <c r="O166" s="14" t="n">
        <v>1206</v>
      </c>
      <c r="P166" s="14">
        <f>IF(ISNUMBER(K166),K166-O166,"n.a.")</f>
        <v/>
      </c>
    </row>
    <row r="167" ht="32" customHeight="1">
      <c r="C167" s="10" t="inlineStr">
        <is>
          <t>PRJ-4f8e93d1-RK-13</t>
        </is>
      </c>
      <c r="D167" s="10" t="inlineStr">
        <is>
          <t>P4102307439</t>
        </is>
      </c>
      <c r="E167" s="11" t="inlineStr">
        <is>
          <t>Lärm- und Erschütterungsauflagen</t>
        </is>
      </c>
      <c r="F167" s="10" t="inlineStr">
        <is>
          <t>Emissionen</t>
        </is>
      </c>
      <c r="G167" s="12" t="n">
        <v>0.6</v>
      </c>
      <c r="H167" s="13" t="n">
        <v>11522</v>
      </c>
      <c r="I167" s="13" t="n">
        <v>22178</v>
      </c>
      <c r="J167" s="13" t="n">
        <v>39385</v>
      </c>
      <c r="K167" s="14">
        <f>IF(OR(COUNT(G167:J167)&lt;&gt;4,G167&lt;0,G167&gt;1,H167&gt;I167,I167&gt;J167),"n.a.",ROUND(G167*(H167+4*I167+J167)/6+0.00000001,2))</f>
        <v/>
      </c>
      <c r="L167" s="13" t="n">
        <v>0</v>
      </c>
      <c r="M167" s="14">
        <f>SUMIFS(Maßnahmen!$I$7:$I$126,Maßnahmen!$D$7:$D$126,C167,Maßnahmen!$H$7:$H$126,"&lt;&gt;verworfen")</f>
        <v/>
      </c>
      <c r="N167" s="14">
        <f>IF(ISNUMBER(K167),MAX(0,K167-L167-M167),"n.a.")</f>
        <v/>
      </c>
      <c r="O167" s="14" t="n">
        <v>13961.9</v>
      </c>
      <c r="P167" s="14">
        <f>IF(ISNUMBER(K167),K167-O167,"n.a.")</f>
        <v/>
      </c>
    </row>
    <row r="168" ht="32" customHeight="1">
      <c r="C168" s="10" t="inlineStr">
        <is>
          <t>PRJ-4a6f9cfb-RK-06</t>
        </is>
      </c>
      <c r="D168" s="10" t="inlineStr">
        <is>
          <t>P4102608246</t>
        </is>
      </c>
      <c r="E168" s="11" t="inlineStr">
        <is>
          <t>Statik / Einsturzsicherung während Abbruch</t>
        </is>
      </c>
      <c r="F168" s="10" t="inlineStr">
        <is>
          <t>Statik</t>
        </is>
      </c>
      <c r="G168" s="12" t="n">
        <v>0.311</v>
      </c>
      <c r="H168" s="13" t="n">
        <v>59752</v>
      </c>
      <c r="I168" s="13" t="n">
        <v>107864</v>
      </c>
      <c r="J168" s="13" t="n">
        <v>184171</v>
      </c>
      <c r="K168" s="14">
        <f>IF(OR(COUNT(G168:J168)&lt;&gt;4,G168&lt;0,G168&gt;1,H168&gt;I168,I168&gt;J168),"n.a.",ROUND(G168*(H168+4*I168+J168)/6+0.00000001,2))</f>
        <v/>
      </c>
      <c r="L168" s="13" t="n">
        <v>0</v>
      </c>
      <c r="M168" s="14">
        <f>SUMIFS(Maßnahmen!$I$7:$I$126,Maßnahmen!$D$7:$D$126,C168,Maßnahmen!$H$7:$H$126,"&lt;&gt;verworfen")</f>
        <v/>
      </c>
      <c r="N168" s="14">
        <f>IF(ISNUMBER(K168),MAX(0,K168-L168-M168),"n.a.")</f>
        <v/>
      </c>
      <c r="O168" s="14" t="n">
        <v>35007.14</v>
      </c>
      <c r="P168" s="14">
        <f>IF(ISNUMBER(K168),K168-O168,"n.a.")</f>
        <v/>
      </c>
    </row>
    <row r="169" ht="32" customHeight="1">
      <c r="C169" s="10" t="inlineStr">
        <is>
          <t>PRJ-4a6f9cfb-RK-07</t>
        </is>
      </c>
      <c r="D169" s="10" t="inlineStr">
        <is>
          <t>P4102608246</t>
        </is>
      </c>
      <c r="E169" s="11" t="inlineStr">
        <is>
          <t>Unterirdische Tragkonstruktion / Fundamente</t>
        </is>
      </c>
      <c r="F169" s="10" t="inlineStr">
        <is>
          <t>Statik</t>
        </is>
      </c>
      <c r="G169" s="12" t="n">
        <v>0.511</v>
      </c>
      <c r="H169" s="13" t="n">
        <v>17848</v>
      </c>
      <c r="I169" s="13" t="n">
        <v>33523</v>
      </c>
      <c r="J169" s="13" t="n">
        <v>68029</v>
      </c>
      <c r="K169" s="14">
        <f>IF(OR(COUNT(G169:J169)&lt;&gt;4,G169&lt;0,G169&gt;1,H169&gt;I169,I169&gt;J169),"n.a.",ROUND(G169*(H169+4*I169+J169)/6+0.00000001,2))</f>
        <v/>
      </c>
      <c r="L169" s="13" t="n">
        <v>0</v>
      </c>
      <c r="M169" s="14">
        <f>SUMIFS(Maßnahmen!$I$7:$I$126,Maßnahmen!$D$7:$D$126,C169,Maßnahmen!$H$7:$H$126,"&lt;&gt;verworfen")</f>
        <v/>
      </c>
      <c r="N169" s="14">
        <f>IF(ISNUMBER(K169),MAX(0,K169-L169-M169),"n.a.")</f>
        <v/>
      </c>
      <c r="O169" s="14" t="n">
        <v>18734.03</v>
      </c>
      <c r="P169" s="14">
        <f>IF(ISNUMBER(K169),K169-O169,"n.a.")</f>
        <v/>
      </c>
    </row>
    <row r="170" ht="32" customHeight="1">
      <c r="C170" s="10" t="inlineStr">
        <is>
          <t>PRJ-4a6f9cfb-RK-08</t>
        </is>
      </c>
      <c r="D170" s="10" t="inlineStr">
        <is>
          <t>P4102608246</t>
        </is>
      </c>
      <c r="E170" s="11" t="inlineStr">
        <is>
          <t>Gebäudehöhe &gt;22 m / Longfront-Bagger (+130–150 %)</t>
        </is>
      </c>
      <c r="F170" s="10" t="inlineStr">
        <is>
          <t>Termin</t>
        </is>
      </c>
      <c r="G170" s="12" t="n">
        <v>0.2</v>
      </c>
      <c r="H170" s="13" t="n">
        <v>4139</v>
      </c>
      <c r="I170" s="13" t="n">
        <v>12416</v>
      </c>
      <c r="J170" s="13" t="n">
        <v>24833</v>
      </c>
      <c r="K170" s="14">
        <f>IF(OR(COUNT(G170:J170)&lt;&gt;4,G170&lt;0,G170&gt;1,H170&gt;I170,I170&gt;J170),"n.a.",ROUND(G170*(H170+4*I170+J170)/6+0.00000001,2))</f>
        <v/>
      </c>
      <c r="L170" s="13" t="n">
        <v>0</v>
      </c>
      <c r="M170" s="14">
        <f>SUMIFS(Maßnahmen!$I$7:$I$126,Maßnahmen!$D$7:$D$126,C170,Maßnahmen!$H$7:$H$126,"&lt;&gt;verworfen")</f>
        <v/>
      </c>
      <c r="N170" s="14">
        <f>IF(ISNUMBER(K170),MAX(0,K170-L170-M170),"n.a.")</f>
        <v/>
      </c>
      <c r="O170" s="14" t="n">
        <v>2621.2</v>
      </c>
      <c r="P170" s="14">
        <f>IF(ISNUMBER(K170),K170-O170,"n.a.")</f>
        <v/>
      </c>
    </row>
    <row r="171" ht="32" customHeight="1">
      <c r="C171" s="10" t="inlineStr">
        <is>
          <t>PRJ-4f8e93d3-RK-03</t>
        </is>
      </c>
      <c r="D171" s="10" t="inlineStr">
        <is>
          <t>P4102307437</t>
        </is>
      </c>
      <c r="E171" s="11" t="inlineStr">
        <is>
          <t>Entsorgungs-Mehrkosten / Entsorgungswege</t>
        </is>
      </c>
      <c r="F171" s="10" t="inlineStr">
        <is>
          <t>Entsorgung</t>
        </is>
      </c>
      <c r="G171" s="12" t="n">
        <v>0.55</v>
      </c>
      <c r="H171" s="13" t="n">
        <v>219</v>
      </c>
      <c r="I171" s="13" t="n">
        <v>399</v>
      </c>
      <c r="J171" s="13" t="n">
        <v>648</v>
      </c>
      <c r="K171" s="14">
        <f>IF(OR(COUNT(G171:J171)&lt;&gt;4,G171&lt;0,G171&gt;1,H171&gt;I171,I171&gt;J171),"n.a.",ROUND(G171*(H171+4*I171+J171)/6+0.00000001,2))</f>
        <v/>
      </c>
      <c r="L171" s="13" t="n">
        <v>0</v>
      </c>
      <c r="M171" s="14">
        <f>SUMIFS(Maßnahmen!$I$7:$I$126,Maßnahmen!$D$7:$D$126,C171,Maßnahmen!$H$7:$H$126,"&lt;&gt;verworfen")</f>
        <v/>
      </c>
      <c r="N171" s="14">
        <f>IF(ISNUMBER(K171),MAX(0,K171-L171-M171),"n.a.")</f>
        <v/>
      </c>
      <c r="O171" s="14" t="n">
        <v>225.78</v>
      </c>
      <c r="P171" s="14">
        <f>IF(ISNUMBER(K171),K171-O171,"n.a.")</f>
        <v/>
      </c>
    </row>
    <row r="172" ht="32" customHeight="1">
      <c r="C172" s="10" t="inlineStr">
        <is>
          <t>PRJ-4f8e93d3-RK-05</t>
        </is>
      </c>
      <c r="D172" s="10" t="inlineStr">
        <is>
          <t>P4102307437</t>
        </is>
      </c>
      <c r="E172" s="11" t="inlineStr">
        <is>
          <t>Unbekannte Bauwerkskonstruktion / fehlende Pläne</t>
        </is>
      </c>
      <c r="F172" s="10" t="inlineStr">
        <is>
          <t>Statik</t>
        </is>
      </c>
      <c r="G172" s="12" t="n">
        <v>0.22</v>
      </c>
      <c r="H172" s="13" t="n">
        <v>350</v>
      </c>
      <c r="I172" s="13" t="n">
        <v>450</v>
      </c>
      <c r="J172" s="13" t="n">
        <v>650</v>
      </c>
      <c r="K172" s="14">
        <f>IF(OR(COUNT(G172:J172)&lt;&gt;4,G172&lt;0,G172&gt;1,H172&gt;I172,I172&gt;J172),"n.a.",ROUND(G172*(H172+4*I172+J172)/6+0.00000001,2))</f>
        <v/>
      </c>
      <c r="L172" s="13" t="n">
        <v>0</v>
      </c>
      <c r="M172" s="14">
        <f>SUMIFS(Maßnahmen!$I$7:$I$126,Maßnahmen!$D$7:$D$126,C172,Maßnahmen!$H$7:$H$126,"&lt;&gt;verworfen")</f>
        <v/>
      </c>
      <c r="N172" s="14">
        <f>IF(ISNUMBER(K172),MAX(0,K172-L172-M172),"n.a.")</f>
        <v/>
      </c>
      <c r="O172" s="14" t="n">
        <v>102.67</v>
      </c>
      <c r="P172" s="14">
        <f>IF(ISNUMBER(K172),K172-O172,"n.a.")</f>
        <v/>
      </c>
    </row>
    <row r="173" ht="32" customHeight="1">
      <c r="C173" s="10" t="inlineStr">
        <is>
          <t>PRJ-4f8e93d3-RK-06</t>
        </is>
      </c>
      <c r="D173" s="10" t="inlineStr">
        <is>
          <t>P4102307437</t>
        </is>
      </c>
      <c r="E173" s="11" t="inlineStr">
        <is>
          <t>Statik / Einsturzsicherung während Abbruch</t>
        </is>
      </c>
      <c r="F173" s="10" t="inlineStr">
        <is>
          <t>Statik</t>
        </is>
      </c>
      <c r="G173" s="12" t="n">
        <v>0.45</v>
      </c>
      <c r="H173" s="13" t="n">
        <v>180</v>
      </c>
      <c r="I173" s="13" t="n">
        <v>319</v>
      </c>
      <c r="J173" s="13" t="n">
        <v>539</v>
      </c>
      <c r="K173" s="14">
        <f>IF(OR(COUNT(G173:J173)&lt;&gt;4,G173&lt;0,G173&gt;1,H173&gt;I173,I173&gt;J173),"n.a.",ROUND(G173*(H173+4*I173+J173)/6+0.00000001,2))</f>
        <v/>
      </c>
      <c r="L173" s="13" t="n">
        <v>0</v>
      </c>
      <c r="M173" s="14">
        <f>SUMIFS(Maßnahmen!$I$7:$I$126,Maßnahmen!$D$7:$D$126,C173,Maßnahmen!$H$7:$H$126,"&lt;&gt;verworfen")</f>
        <v/>
      </c>
      <c r="N173" s="14">
        <f>IF(ISNUMBER(K173),MAX(0,K173-L173-M173),"n.a.")</f>
        <v/>
      </c>
      <c r="O173" s="14" t="n">
        <v>149.63</v>
      </c>
      <c r="P173" s="14">
        <f>IF(ISNUMBER(K173),K173-O173,"n.a.")</f>
        <v/>
      </c>
    </row>
    <row r="174" ht="32" customHeight="1">
      <c r="C174" s="10" t="inlineStr">
        <is>
          <t>PRJ-4f8e93d3-RK-07</t>
        </is>
      </c>
      <c r="D174" s="10" t="inlineStr">
        <is>
          <t>P4102307437</t>
        </is>
      </c>
      <c r="E174" s="11" t="inlineStr">
        <is>
          <t>Unterirdische Tragkonstruktion / Fundamente</t>
        </is>
      </c>
      <c r="F174" s="10" t="inlineStr">
        <is>
          <t>Statik</t>
        </is>
      </c>
      <c r="G174" s="12" t="n">
        <v>0.65</v>
      </c>
      <c r="H174" s="13" t="n">
        <v>55</v>
      </c>
      <c r="I174" s="13" t="n">
        <v>100</v>
      </c>
      <c r="J174" s="13" t="n">
        <v>200</v>
      </c>
      <c r="K174" s="14">
        <f>IF(OR(COUNT(G174:J174)&lt;&gt;4,G174&lt;0,G174&gt;1,H174&gt;I174,I174&gt;J174),"n.a.",ROUND(G174*(H174+4*I174+J174)/6+0.00000001,2))</f>
        <v/>
      </c>
      <c r="L174" s="13" t="n">
        <v>0</v>
      </c>
      <c r="M174" s="14">
        <f>SUMIFS(Maßnahmen!$I$7:$I$126,Maßnahmen!$D$7:$D$126,C174,Maßnahmen!$H$7:$H$126,"&lt;&gt;verworfen")</f>
        <v/>
      </c>
      <c r="N174" s="14">
        <f>IF(ISNUMBER(K174),MAX(0,K174-L174-M174),"n.a.")</f>
        <v/>
      </c>
      <c r="O174" s="14" t="n">
        <v>70.95999999999999</v>
      </c>
      <c r="P174" s="14">
        <f>IF(ISNUMBER(K174),K174-O174,"n.a.")</f>
        <v/>
      </c>
    </row>
    <row r="175" ht="32" customHeight="1">
      <c r="C175" s="10" t="inlineStr">
        <is>
          <t>PRJ-4f8e93d3-RK-08</t>
        </is>
      </c>
      <c r="D175" s="10" t="inlineStr">
        <is>
          <t>P4102307437</t>
        </is>
      </c>
      <c r="E175" s="11" t="inlineStr">
        <is>
          <t>Gebäudehöhe &gt;22 m / Longfront-Bagger (+130–150 %)</t>
        </is>
      </c>
      <c r="F175" s="10" t="inlineStr">
        <is>
          <t>Termin</t>
        </is>
      </c>
      <c r="G175" s="12" t="n">
        <v>0.2</v>
      </c>
      <c r="H175" s="13" t="n">
        <v>10</v>
      </c>
      <c r="I175" s="13" t="n">
        <v>30</v>
      </c>
      <c r="J175" s="13" t="n">
        <v>60</v>
      </c>
      <c r="K175" s="14">
        <f>IF(OR(COUNT(G175:J175)&lt;&gt;4,G175&lt;0,G175&gt;1,H175&gt;I175,I175&gt;J175),"n.a.",ROUND(G175*(H175+4*I175+J175)/6+0.00000001,2))</f>
        <v/>
      </c>
      <c r="L175" s="13" t="n">
        <v>0</v>
      </c>
      <c r="M175" s="14">
        <f>SUMIFS(Maßnahmen!$I$7:$I$126,Maßnahmen!$D$7:$D$126,C175,Maßnahmen!$H$7:$H$126,"&lt;&gt;verworfen")</f>
        <v/>
      </c>
      <c r="N175" s="14">
        <f>IF(ISNUMBER(K175),MAX(0,K175-L175-M175),"n.a.")</f>
        <v/>
      </c>
      <c r="O175" s="14" t="n">
        <v>6.33</v>
      </c>
      <c r="P175" s="14">
        <f>IF(ISNUMBER(K175),K175-O175,"n.a.")</f>
        <v/>
      </c>
    </row>
    <row r="176" ht="32" customHeight="1">
      <c r="C176" s="10" t="inlineStr">
        <is>
          <t>PRJ-4f8e93d3-RK-09</t>
        </is>
      </c>
      <c r="D176" s="10" t="inlineStr">
        <is>
          <t>P4102307437</t>
        </is>
      </c>
      <c r="E176" s="11" t="inlineStr">
        <is>
          <t>Beennte Lage / nur Handabbruch möglich</t>
        </is>
      </c>
      <c r="F176" s="10" t="inlineStr">
        <is>
          <t>Termin</t>
        </is>
      </c>
      <c r="G176" s="12" t="n">
        <v>0.5</v>
      </c>
      <c r="H176" s="13" t="n">
        <v>242</v>
      </c>
      <c r="I176" s="13" t="n">
        <v>450</v>
      </c>
      <c r="J176" s="13" t="n">
        <v>650</v>
      </c>
      <c r="K176" s="14">
        <f>IF(OR(COUNT(G176:J176)&lt;&gt;4,G176&lt;0,G176&gt;1,H176&gt;I176,I176&gt;J176),"n.a.",ROUND(G176*(H176+4*I176+J176)/6+0.00000001,2))</f>
        <v/>
      </c>
      <c r="L176" s="13" t="n">
        <v>0</v>
      </c>
      <c r="M176" s="14">
        <f>SUMIFS(Maßnahmen!$I$7:$I$126,Maßnahmen!$D$7:$D$126,C176,Maßnahmen!$H$7:$H$126,"&lt;&gt;verworfen")</f>
        <v/>
      </c>
      <c r="N176" s="14">
        <f>IF(ISNUMBER(K176),MAX(0,K176-L176-M176),"n.a.")</f>
        <v/>
      </c>
      <c r="O176" s="14" t="n">
        <v>224.33</v>
      </c>
      <c r="P176" s="14">
        <f>IF(ISNUMBER(K176),K176-O176,"n.a.")</f>
        <v/>
      </c>
    </row>
    <row r="177" ht="32" customHeight="1">
      <c r="C177" s="10" t="inlineStr">
        <is>
          <t>PRJ-4f8e93d3-RK-13</t>
        </is>
      </c>
      <c r="D177" s="10" t="inlineStr">
        <is>
          <t>P4102307437</t>
        </is>
      </c>
      <c r="E177" s="11" t="inlineStr">
        <is>
          <t>Lärm- und Erschütterungsauflagen</t>
        </is>
      </c>
      <c r="F177" s="10" t="inlineStr">
        <is>
          <t>Emissionen</t>
        </is>
      </c>
      <c r="G177" s="12" t="n">
        <v>0.6</v>
      </c>
      <c r="H177" s="13" t="n">
        <v>350</v>
      </c>
      <c r="I177" s="13" t="n">
        <v>450</v>
      </c>
      <c r="J177" s="13" t="n">
        <v>650</v>
      </c>
      <c r="K177" s="14">
        <f>IF(OR(COUNT(G177:J177)&lt;&gt;4,G177&lt;0,G177&gt;1,H177&gt;I177,I177&gt;J177),"n.a.",ROUND(G177*(H177+4*I177+J177)/6+0.00000001,2))</f>
        <v/>
      </c>
      <c r="L177" s="13" t="n">
        <v>0</v>
      </c>
      <c r="M177" s="14">
        <f>SUMIFS(Maßnahmen!$I$7:$I$126,Maßnahmen!$D$7:$D$126,C177,Maßnahmen!$H$7:$H$126,"&lt;&gt;verworfen")</f>
        <v/>
      </c>
      <c r="N177" s="14">
        <f>IF(ISNUMBER(K177),MAX(0,K177-L177-M177),"n.a.")</f>
        <v/>
      </c>
      <c r="O177" s="14" t="n">
        <v>280</v>
      </c>
      <c r="P177" s="14">
        <f>IF(ISNUMBER(K177),K177-O177,"n.a.")</f>
        <v/>
      </c>
    </row>
    <row r="178" ht="32" customHeight="1">
      <c r="C178" s="10" t="inlineStr">
        <is>
          <t>PRJ-4f8e93d3-RK-14</t>
        </is>
      </c>
      <c r="D178" s="10" t="inlineStr">
        <is>
          <t>P4102307437</t>
        </is>
      </c>
      <c r="E178" s="11" t="inlineStr">
        <is>
          <t>Rechtliche Auflagen / Entsorgungsnachweise (Formalismus)</t>
        </is>
      </c>
      <c r="F178" s="10" t="inlineStr">
        <is>
          <t>Genehmigung</t>
        </is>
      </c>
      <c r="G178" s="12" t="n">
        <v>0.12</v>
      </c>
      <c r="H178" s="13" t="n">
        <v>15</v>
      </c>
      <c r="I178" s="13" t="n">
        <v>35</v>
      </c>
      <c r="J178" s="13" t="n">
        <v>70</v>
      </c>
      <c r="K178" s="14">
        <f>IF(OR(COUNT(G178:J178)&lt;&gt;4,G178&lt;0,G178&gt;1,H178&gt;I178,I178&gt;J178),"n.a.",ROUND(G178*(H178+4*I178+J178)/6+0.00000001,2))</f>
        <v/>
      </c>
      <c r="L178" s="13" t="n">
        <v>0</v>
      </c>
      <c r="M178" s="14">
        <f>SUMIFS(Maßnahmen!$I$7:$I$126,Maßnahmen!$D$7:$D$126,C178,Maßnahmen!$H$7:$H$126,"&lt;&gt;verworfen")</f>
        <v/>
      </c>
      <c r="N178" s="14">
        <f>IF(ISNUMBER(K178),MAX(0,K178-L178-M178),"n.a.")</f>
        <v/>
      </c>
      <c r="O178" s="14" t="n">
        <v>4.5</v>
      </c>
      <c r="P178" s="14">
        <f>IF(ISNUMBER(K178),K178-O178,"n.a.")</f>
        <v/>
      </c>
    </row>
    <row r="179" ht="32" customHeight="1">
      <c r="C179" s="10" t="inlineStr">
        <is>
          <t>PRJ-4f8e93d6-RK-03</t>
        </is>
      </c>
      <c r="D179" s="10" t="inlineStr">
        <is>
          <t>P4102307434</t>
        </is>
      </c>
      <c r="E179" s="11" t="inlineStr">
        <is>
          <t>Entsorgungs-Mehrkosten / Entsorgungswege</t>
        </is>
      </c>
      <c r="F179" s="10" t="inlineStr">
        <is>
          <t>Entsorgung</t>
        </is>
      </c>
      <c r="G179" s="12" t="n">
        <v>0.55</v>
      </c>
      <c r="H179" s="13" t="n">
        <v>4064</v>
      </c>
      <c r="I179" s="13" t="n">
        <v>7443</v>
      </c>
      <c r="J179" s="13" t="n">
        <v>12168</v>
      </c>
      <c r="K179" s="14">
        <f>IF(OR(COUNT(G179:J179)&lt;&gt;4,G179&lt;0,G179&gt;1,H179&gt;I179,I179&gt;J179),"n.a.",ROUND(G179*(H179+4*I179+J179)/6+0.00000001,2))</f>
        <v/>
      </c>
      <c r="L179" s="13" t="n">
        <v>0</v>
      </c>
      <c r="M179" s="14">
        <f>SUMIFS(Maßnahmen!$I$7:$I$126,Maßnahmen!$D$7:$D$126,C179,Maßnahmen!$H$7:$H$126,"&lt;&gt;verworfen")</f>
        <v/>
      </c>
      <c r="N179" s="14">
        <f>IF(ISNUMBER(K179),MAX(0,K179-L179-M179),"n.a.")</f>
        <v/>
      </c>
      <c r="O179" s="14" t="n">
        <v>4217.03</v>
      </c>
      <c r="P179" s="14">
        <f>IF(ISNUMBER(K179),K179-O179,"n.a.")</f>
        <v/>
      </c>
    </row>
    <row r="180" ht="32" customHeight="1">
      <c r="C180" s="10" t="inlineStr">
        <is>
          <t>PRJ-4f8e93d6-RK-06</t>
        </is>
      </c>
      <c r="D180" s="10" t="inlineStr">
        <is>
          <t>P4102307434</t>
        </is>
      </c>
      <c r="E180" s="11" t="inlineStr">
        <is>
          <t>Statik / Einsturzsicherung während Abbruch</t>
        </is>
      </c>
      <c r="F180" s="10" t="inlineStr">
        <is>
          <t>Statik</t>
        </is>
      </c>
      <c r="G180" s="12" t="n">
        <v>0.325</v>
      </c>
      <c r="H180" s="13" t="n">
        <v>3379</v>
      </c>
      <c r="I180" s="13" t="n">
        <v>6072</v>
      </c>
      <c r="J180" s="13" t="n">
        <v>10333</v>
      </c>
      <c r="K180" s="14">
        <f>IF(OR(COUNT(G180:J180)&lt;&gt;4,G180&lt;0,G180&gt;1,H180&gt;I180,I180&gt;J180),"n.a.",ROUND(G180*(H180+4*I180+J180)/6+0.00000001,2))</f>
        <v/>
      </c>
      <c r="L180" s="13" t="n">
        <v>0</v>
      </c>
      <c r="M180" s="14">
        <f>SUMIFS(Maßnahmen!$I$7:$I$126,Maßnahmen!$D$7:$D$126,C180,Maßnahmen!$H$7:$H$126,"&lt;&gt;verworfen")</f>
        <v/>
      </c>
      <c r="N180" s="14">
        <f>IF(ISNUMBER(K180),MAX(0,K180-L180-M180),"n.a.")</f>
        <v/>
      </c>
      <c r="O180" s="14" t="n">
        <v>2058.33</v>
      </c>
      <c r="P180" s="14">
        <f>IF(ISNUMBER(K180),K180-O180,"n.a.")</f>
        <v/>
      </c>
    </row>
    <row r="181" ht="32" customHeight="1">
      <c r="C181" s="10" t="inlineStr">
        <is>
          <t>PRJ-4f8e93d6-RK-07</t>
        </is>
      </c>
      <c r="D181" s="10" t="inlineStr">
        <is>
          <t>P4102307434</t>
        </is>
      </c>
      <c r="E181" s="11" t="inlineStr">
        <is>
          <t>Unterirdische Tragkonstruktion / Fundamente</t>
        </is>
      </c>
      <c r="F181" s="10" t="inlineStr">
        <is>
          <t>Statik</t>
        </is>
      </c>
      <c r="G181" s="12" t="n">
        <v>0.65</v>
      </c>
      <c r="H181" s="13" t="n">
        <v>1016</v>
      </c>
      <c r="I181" s="13" t="n">
        <v>1890</v>
      </c>
      <c r="J181" s="13" t="n">
        <v>3820</v>
      </c>
      <c r="K181" s="14">
        <f>IF(OR(COUNT(G181:J181)&lt;&gt;4,G181&lt;0,G181&gt;1,H181&gt;I181,I181&gt;J181),"n.a.",ROUND(G181*(H181+4*I181+J181)/6+0.00000001,2))</f>
        <v/>
      </c>
      <c r="L181" s="13" t="n">
        <v>0</v>
      </c>
      <c r="M181" s="14">
        <f>SUMIFS(Maßnahmen!$I$7:$I$126,Maßnahmen!$D$7:$D$126,C181,Maßnahmen!$H$7:$H$126,"&lt;&gt;verworfen")</f>
        <v/>
      </c>
      <c r="N181" s="14">
        <f>IF(ISNUMBER(K181),MAX(0,K181-L181-M181),"n.a.")</f>
        <v/>
      </c>
      <c r="O181" s="14" t="n">
        <v>1342.9</v>
      </c>
      <c r="P181" s="14">
        <f>IF(ISNUMBER(K181),K181-O181,"n.a.")</f>
        <v/>
      </c>
    </row>
    <row r="182" ht="32" customHeight="1">
      <c r="C182" s="10" t="inlineStr">
        <is>
          <t>PRJ-4f8e93d6-RK-08</t>
        </is>
      </c>
      <c r="D182" s="10" t="inlineStr">
        <is>
          <t>P4102307434</t>
        </is>
      </c>
      <c r="E182" s="11" t="inlineStr">
        <is>
          <t>Gebäudehöhe &gt;22 m / Longfront-Bagger (+130–150 %)</t>
        </is>
      </c>
      <c r="F182" s="10" t="inlineStr">
        <is>
          <t>Termin</t>
        </is>
      </c>
      <c r="G182" s="12" t="n">
        <v>0.504</v>
      </c>
      <c r="H182" s="13" t="n">
        <v>1563</v>
      </c>
      <c r="I182" s="13" t="n">
        <v>3179</v>
      </c>
      <c r="J182" s="13" t="n">
        <v>6022</v>
      </c>
      <c r="K182" s="14">
        <f>IF(OR(COUNT(G182:J182)&lt;&gt;4,G182&lt;0,G182&gt;1,H182&gt;I182,I182&gt;J182),"n.a.",ROUND(G182*(H182+4*I182+J182)/6+0.00000001,2))</f>
        <v/>
      </c>
      <c r="L182" s="13" t="n">
        <v>0</v>
      </c>
      <c r="M182" s="14">
        <f>SUMIFS(Maßnahmen!$I$7:$I$126,Maßnahmen!$D$7:$D$126,C182,Maßnahmen!$H$7:$H$126,"&lt;&gt;verworfen")</f>
        <v/>
      </c>
      <c r="N182" s="14">
        <f>IF(ISNUMBER(K182),MAX(0,K182-L182-M182),"n.a.")</f>
        <v/>
      </c>
      <c r="O182" s="14" t="n">
        <v>1705.28</v>
      </c>
      <c r="P182" s="14">
        <f>IF(ISNUMBER(K182),K182-O182,"n.a.")</f>
        <v/>
      </c>
    </row>
    <row r="183" ht="32" customHeight="1">
      <c r="C183" s="10" t="inlineStr">
        <is>
          <t>PRJ-52b1cf52-RK-01</t>
        </is>
      </c>
      <c r="D183" s="10" t="inlineStr">
        <is>
          <t>P4102157453</t>
        </is>
      </c>
      <c r="E183" s="11" t="inlineStr">
        <is>
          <t>Schadstofffund / Schadstoffsanierung (Asbest, PAK, PCB, PCP)</t>
        </is>
      </c>
      <c r="F183" s="10" t="inlineStr">
        <is>
          <t>Schadstoffe</t>
        </is>
      </c>
      <c r="G183" s="12" t="n">
        <v>0.3</v>
      </c>
      <c r="H183" s="13" t="n">
        <v>12966</v>
      </c>
      <c r="I183" s="13" t="n">
        <v>32415</v>
      </c>
      <c r="J183" s="13" t="n">
        <v>64830</v>
      </c>
      <c r="K183" s="14">
        <f>IF(OR(COUNT(G183:J183)&lt;&gt;4,G183&lt;0,G183&gt;1,H183&gt;I183,I183&gt;J183),"n.a.",ROUND(G183*(H183+4*I183+J183)/6+0.00000001,2))</f>
        <v/>
      </c>
      <c r="L183" s="13" t="n">
        <v>0</v>
      </c>
      <c r="M183" s="14">
        <f>SUMIFS(Maßnahmen!$I$7:$I$126,Maßnahmen!$D$7:$D$126,C183,Maßnahmen!$H$7:$H$126,"&lt;&gt;verworfen")</f>
        <v/>
      </c>
      <c r="N183" s="14">
        <f>IF(ISNUMBER(K183),MAX(0,K183-L183-M183),"n.a.")</f>
        <v/>
      </c>
      <c r="O183" s="14" t="n">
        <v>10372.8</v>
      </c>
      <c r="P183" s="14">
        <f>IF(ISNUMBER(K183),K183-O183,"n.a.")</f>
        <v/>
      </c>
    </row>
    <row r="184" ht="32" customHeight="1">
      <c r="C184" s="10" t="inlineStr">
        <is>
          <t>PRJ-52b1cf52-RK-02</t>
        </is>
      </c>
      <c r="D184" s="10" t="inlineStr">
        <is>
          <t>P4102157453</t>
        </is>
      </c>
      <c r="E184" s="11" t="inlineStr">
        <is>
          <t>Arbeitsschutz kontaminierte Bereiche (TRGS 524)</t>
        </is>
      </c>
      <c r="F184" s="10" t="inlineStr">
        <is>
          <t>Schadstoffe</t>
        </is>
      </c>
      <c r="G184" s="12" t="n">
        <v>0.1</v>
      </c>
      <c r="H184" s="13" t="n">
        <v>3241</v>
      </c>
      <c r="I184" s="13" t="n">
        <v>6483</v>
      </c>
      <c r="J184" s="13" t="n">
        <v>12966</v>
      </c>
      <c r="K184" s="14">
        <f>IF(OR(COUNT(G184:J184)&lt;&gt;4,G184&lt;0,G184&gt;1,H184&gt;I184,I184&gt;J184),"n.a.",ROUND(G184*(H184+4*I184+J184)/6+0.00000001,2))</f>
        <v/>
      </c>
      <c r="L184" s="13" t="n">
        <v>0</v>
      </c>
      <c r="M184" s="14">
        <f>SUMIFS(Maßnahmen!$I$7:$I$126,Maßnahmen!$D$7:$D$126,C184,Maßnahmen!$H$7:$H$126,"&lt;&gt;verworfen")</f>
        <v/>
      </c>
      <c r="N184" s="14">
        <f>IF(ISNUMBER(K184),MAX(0,K184-L184-M184),"n.a.")</f>
        <v/>
      </c>
      <c r="O184" s="14" t="n">
        <v>702.3200000000001</v>
      </c>
      <c r="P184" s="14">
        <f>IF(ISNUMBER(K184),K184-O184,"n.a.")</f>
        <v/>
      </c>
    </row>
    <row r="185" ht="32" customHeight="1">
      <c r="C185" s="10" t="inlineStr">
        <is>
          <t>PRJ-52b1cf52-RK-03</t>
        </is>
      </c>
      <c r="D185" s="10" t="inlineStr">
        <is>
          <t>P4102157453</t>
        </is>
      </c>
      <c r="E185" s="11" t="inlineStr">
        <is>
          <t>Entsorgungs-Mehrkosten / Entsorgungswege</t>
        </is>
      </c>
      <c r="F185" s="10" t="inlineStr">
        <is>
          <t>Entsorgung</t>
        </is>
      </c>
      <c r="G185" s="12" t="n">
        <v>0.55</v>
      </c>
      <c r="H185" s="13" t="n">
        <v>226904</v>
      </c>
      <c r="I185" s="13" t="n">
        <v>291734</v>
      </c>
      <c r="J185" s="13" t="n">
        <v>421393</v>
      </c>
      <c r="K185" s="14">
        <f>IF(OR(COUNT(G185:J185)&lt;&gt;4,G185&lt;0,G185&gt;1,H185&gt;I185,I185&gt;J185),"n.a.",ROUND(G185*(H185+4*I185+J185)/6+0.00000001,2))</f>
        <v/>
      </c>
      <c r="L185" s="13" t="n">
        <v>0</v>
      </c>
      <c r="M185" s="14">
        <f>SUMIFS(Maßnahmen!$I$7:$I$126,Maßnahmen!$D$7:$D$126,C185,Maßnahmen!$H$7:$H$126,"&lt;&gt;verworfen")</f>
        <v/>
      </c>
      <c r="N185" s="14">
        <f>IF(ISNUMBER(K185),MAX(0,K185-L185-M185),"n.a.")</f>
        <v/>
      </c>
      <c r="O185" s="14" t="n">
        <v>166396.36</v>
      </c>
      <c r="P185" s="14">
        <f>IF(ISNUMBER(K185),K185-O185,"n.a.")</f>
        <v/>
      </c>
    </row>
    <row r="186" ht="32" customHeight="1">
      <c r="C186" s="10" t="inlineStr">
        <is>
          <t>PRJ-52b1cf52-RK-04</t>
        </is>
      </c>
      <c r="D186" s="10" t="inlineStr">
        <is>
          <t>P4102157453</t>
        </is>
      </c>
      <c r="E186" s="11" t="inlineStr">
        <is>
          <t>Baustofftrennung / Aufbereitung nicht wie geplant</t>
        </is>
      </c>
      <c r="F186" s="10" t="inlineStr">
        <is>
          <t>Entsorgung</t>
        </is>
      </c>
      <c r="G186" s="12" t="n">
        <v>0.08</v>
      </c>
      <c r="H186" s="13" t="n">
        <v>3241</v>
      </c>
      <c r="I186" s="13" t="n">
        <v>6483</v>
      </c>
      <c r="J186" s="13" t="n">
        <v>12966</v>
      </c>
      <c r="K186" s="14">
        <f>IF(OR(COUNT(G186:J186)&lt;&gt;4,G186&lt;0,G186&gt;1,H186&gt;I186,I186&gt;J186),"n.a.",ROUND(G186*(H186+4*I186+J186)/6+0.00000001,2))</f>
        <v/>
      </c>
      <c r="L186" s="13" t="n">
        <v>0</v>
      </c>
      <c r="M186" s="14">
        <f>SUMIFS(Maßnahmen!$I$7:$I$126,Maßnahmen!$D$7:$D$126,C186,Maßnahmen!$H$7:$H$126,"&lt;&gt;verworfen")</f>
        <v/>
      </c>
      <c r="N186" s="14">
        <f>IF(ISNUMBER(K186),MAX(0,K186-L186-M186),"n.a.")</f>
        <v/>
      </c>
      <c r="O186" s="14" t="n">
        <v>561.85</v>
      </c>
      <c r="P186" s="14">
        <f>IF(ISNUMBER(K186),K186-O186,"n.a.")</f>
        <v/>
      </c>
    </row>
    <row r="187" ht="32" customHeight="1">
      <c r="C187" s="10" t="inlineStr">
        <is>
          <t>PRJ-52b1cf52-RK-05</t>
        </is>
      </c>
      <c r="D187" s="10" t="inlineStr">
        <is>
          <t>P4102157453</t>
        </is>
      </c>
      <c r="E187" s="11" t="inlineStr">
        <is>
          <t>Unbekannte Bauwerkskonstruktion / fehlende Pläne</t>
        </is>
      </c>
      <c r="F187" s="10" t="inlineStr">
        <is>
          <t>Statik</t>
        </is>
      </c>
      <c r="G187" s="12" t="n">
        <v>0.22</v>
      </c>
      <c r="H187" s="13" t="n">
        <v>78749</v>
      </c>
      <c r="I187" s="13" t="n">
        <v>139892</v>
      </c>
      <c r="J187" s="13" t="n">
        <v>238090</v>
      </c>
      <c r="K187" s="14">
        <f>IF(OR(COUNT(G187:J187)&lt;&gt;4,G187&lt;0,G187&gt;1,H187&gt;I187,I187&gt;J187),"n.a.",ROUND(G187*(H187+4*I187+J187)/6+0.00000001,2))</f>
        <v/>
      </c>
      <c r="L187" s="13" t="n">
        <v>0</v>
      </c>
      <c r="M187" s="14">
        <f>SUMIFS(Maßnahmen!$I$7:$I$126,Maßnahmen!$D$7:$D$126,C187,Maßnahmen!$H$7:$H$126,"&lt;&gt;verworfen")</f>
        <v/>
      </c>
      <c r="N187" s="14">
        <f>IF(ISNUMBER(K187),MAX(0,K187-L187-M187),"n.a.")</f>
        <v/>
      </c>
      <c r="O187" s="14" t="n">
        <v>32134.92</v>
      </c>
      <c r="P187" s="14">
        <f>IF(ISNUMBER(K187),K187-O187,"n.a.")</f>
        <v/>
      </c>
    </row>
    <row r="188" ht="32" customHeight="1">
      <c r="C188" s="10" t="inlineStr">
        <is>
          <t>PRJ-52b1cf52-RK-06</t>
        </is>
      </c>
      <c r="D188" s="10" t="inlineStr">
        <is>
          <t>P4102157453</t>
        </is>
      </c>
      <c r="E188" s="11" t="inlineStr">
        <is>
          <t>Statik / Einsturzsicherung während Abbruch</t>
        </is>
      </c>
      <c r="F188" s="10" t="inlineStr">
        <is>
          <t>Statik</t>
        </is>
      </c>
      <c r="G188" s="12" t="n">
        <v>0.45</v>
      </c>
      <c r="H188" s="13" t="n">
        <v>226904</v>
      </c>
      <c r="I188" s="13" t="n">
        <v>291734</v>
      </c>
      <c r="J188" s="13" t="n">
        <v>421393</v>
      </c>
      <c r="K188" s="14">
        <f>IF(OR(COUNT(G188:J188)&lt;&gt;4,G188&lt;0,G188&gt;1,H188&gt;I188,I188&gt;J188),"n.a.",ROUND(G188*(H188+4*I188+J188)/6+0.00000001,2))</f>
        <v/>
      </c>
      <c r="L188" s="13" t="n">
        <v>0</v>
      </c>
      <c r="M188" s="14">
        <f>SUMIFS(Maßnahmen!$I$7:$I$126,Maßnahmen!$D$7:$D$126,C188,Maßnahmen!$H$7:$H$126,"&lt;&gt;verworfen")</f>
        <v/>
      </c>
      <c r="N188" s="14">
        <f>IF(ISNUMBER(K188),MAX(0,K188-L188-M188),"n.a.")</f>
        <v/>
      </c>
      <c r="O188" s="14" t="n">
        <v>136142.48</v>
      </c>
      <c r="P188" s="14">
        <f>IF(ISNUMBER(K188),K188-O188,"n.a.")</f>
        <v/>
      </c>
    </row>
    <row r="189" ht="32" customHeight="1">
      <c r="C189" s="10" t="inlineStr">
        <is>
          <t>PRJ-52b1cf52-RK-07</t>
        </is>
      </c>
      <c r="D189" s="10" t="inlineStr">
        <is>
          <t>P4102157453</t>
        </is>
      </c>
      <c r="E189" s="11" t="inlineStr">
        <is>
          <t>Unterirdische Tragkonstruktion / Fundamente</t>
        </is>
      </c>
      <c r="F189" s="10" t="inlineStr">
        <is>
          <t>Statik</t>
        </is>
      </c>
      <c r="G189" s="12" t="n">
        <v>0.6</v>
      </c>
      <c r="H189" s="13" t="n">
        <v>226904</v>
      </c>
      <c r="I189" s="13" t="n">
        <v>291734</v>
      </c>
      <c r="J189" s="13" t="n">
        <v>421393</v>
      </c>
      <c r="K189" s="14">
        <f>IF(OR(COUNT(G189:J189)&lt;&gt;4,G189&lt;0,G189&gt;1,H189&gt;I189,I189&gt;J189),"n.a.",ROUND(G189*(H189+4*I189+J189)/6+0.00000001,2))</f>
        <v/>
      </c>
      <c r="L189" s="13" t="n">
        <v>0</v>
      </c>
      <c r="M189" s="14">
        <f>SUMIFS(Maßnahmen!$I$7:$I$126,Maßnahmen!$D$7:$D$126,C189,Maßnahmen!$H$7:$H$126,"&lt;&gt;verworfen")</f>
        <v/>
      </c>
      <c r="N189" s="14">
        <f>IF(ISNUMBER(K189),MAX(0,K189-L189-M189),"n.a.")</f>
        <v/>
      </c>
      <c r="O189" s="14" t="n">
        <v>181523.3</v>
      </c>
      <c r="P189" s="14">
        <f>IF(ISNUMBER(K189),K189-O189,"n.a.")</f>
        <v/>
      </c>
    </row>
    <row r="190" ht="32" customHeight="1">
      <c r="C190" s="10" t="inlineStr">
        <is>
          <t>PRJ-52b1cf52-RK-08</t>
        </is>
      </c>
      <c r="D190" s="10" t="inlineStr">
        <is>
          <t>P4102157453</t>
        </is>
      </c>
      <c r="E190" s="11" t="inlineStr">
        <is>
          <t>Gebäudehöhe &gt;22 m / Longfront-Bagger (+130–150 %)</t>
        </is>
      </c>
      <c r="F190" s="10" t="inlineStr">
        <is>
          <t>Termin</t>
        </is>
      </c>
      <c r="G190" s="12" t="n">
        <v>0.278</v>
      </c>
      <c r="H190" s="13" t="n">
        <v>16572</v>
      </c>
      <c r="I190" s="13" t="n">
        <v>38366</v>
      </c>
      <c r="J190" s="13" t="n">
        <v>74210</v>
      </c>
      <c r="K190" s="14">
        <f>IF(OR(COUNT(G190:J190)&lt;&gt;4,G190&lt;0,G190&gt;1,H190&gt;I190,I190&gt;J190),"n.a.",ROUND(G190*(H190+4*I190+J190)/6+0.00000001,2))</f>
        <v/>
      </c>
      <c r="L190" s="13" t="n">
        <v>0</v>
      </c>
      <c r="M190" s="14">
        <f>SUMIFS(Maßnahmen!$I$7:$I$126,Maßnahmen!$D$7:$D$126,C190,Maßnahmen!$H$7:$H$126,"&lt;&gt;verworfen")</f>
        <v/>
      </c>
      <c r="N190" s="14">
        <f>IF(ISNUMBER(K190),MAX(0,K190-L190-M190),"n.a.")</f>
        <v/>
      </c>
      <c r="O190" s="14" t="n">
        <v>11316.73</v>
      </c>
      <c r="P190" s="14">
        <f>IF(ISNUMBER(K190),K190-O190,"n.a.")</f>
        <v/>
      </c>
    </row>
    <row r="191" ht="32" customHeight="1">
      <c r="C191" s="10" t="inlineStr">
        <is>
          <t>PRJ-52b1cf52-RK-09</t>
        </is>
      </c>
      <c r="D191" s="10" t="inlineStr">
        <is>
          <t>P4102157453</t>
        </is>
      </c>
      <c r="E191" s="11" t="inlineStr">
        <is>
          <t>Beennte Lage / nur Handabbruch möglich</t>
        </is>
      </c>
      <c r="F191" s="10" t="inlineStr">
        <is>
          <t>Termin</t>
        </is>
      </c>
      <c r="G191" s="12" t="n">
        <v>0.34</v>
      </c>
      <c r="H191" s="13" t="n">
        <v>22792</v>
      </c>
      <c r="I191" s="13" t="n">
        <v>48177</v>
      </c>
      <c r="J191" s="13" t="n">
        <v>102838</v>
      </c>
      <c r="K191" s="14">
        <f>IF(OR(COUNT(G191:J191)&lt;&gt;4,G191&lt;0,G191&gt;1,H191&gt;I191,I191&gt;J191),"n.a.",ROUND(G191*(H191+4*I191+J191)/6+0.00000001,2))</f>
        <v/>
      </c>
      <c r="L191" s="13" t="n">
        <v>0</v>
      </c>
      <c r="M191" s="14">
        <f>SUMIFS(Maßnahmen!$I$7:$I$126,Maßnahmen!$D$7:$D$126,C191,Maßnahmen!$H$7:$H$126,"&lt;&gt;verworfen")</f>
        <v/>
      </c>
      <c r="N191" s="14">
        <f>IF(ISNUMBER(K191),MAX(0,K191-L191-M191),"n.a.")</f>
        <v/>
      </c>
      <c r="O191" s="14" t="n">
        <v>18039.15</v>
      </c>
      <c r="P191" s="14">
        <f>IF(ISNUMBER(K191),K191-O191,"n.a.")</f>
        <v/>
      </c>
    </row>
    <row r="192" ht="32" customHeight="1">
      <c r="C192" s="10" t="inlineStr">
        <is>
          <t>PRJ-52b1cf52-RK-10</t>
        </is>
      </c>
      <c r="D192" s="10" t="inlineStr">
        <is>
          <t>P4102157453</t>
        </is>
      </c>
      <c r="E192" s="11" t="inlineStr">
        <is>
          <t>Terminvorgabe Auftraggeber / Geräteauslastung</t>
        </is>
      </c>
      <c r="F192" s="10" t="inlineStr">
        <is>
          <t>Termin</t>
        </is>
      </c>
      <c r="G192" s="12" t="n">
        <v>0.08</v>
      </c>
      <c r="H192" s="13" t="n">
        <v>3241</v>
      </c>
      <c r="I192" s="13" t="n">
        <v>6483</v>
      </c>
      <c r="J192" s="13" t="n">
        <v>12966</v>
      </c>
      <c r="K192" s="14">
        <f>IF(OR(COUNT(G192:J192)&lt;&gt;4,G192&lt;0,G192&gt;1,H192&gt;I192,I192&gt;J192),"n.a.",ROUND(G192*(H192+4*I192+J192)/6+0.00000001,2))</f>
        <v/>
      </c>
      <c r="L192" s="13" t="n">
        <v>0</v>
      </c>
      <c r="M192" s="14">
        <f>SUMIFS(Maßnahmen!$I$7:$I$126,Maßnahmen!$D$7:$D$126,C192,Maßnahmen!$H$7:$H$126,"&lt;&gt;verworfen")</f>
        <v/>
      </c>
      <c r="N192" s="14">
        <f>IF(ISNUMBER(K192),MAX(0,K192-L192-M192),"n.a.")</f>
        <v/>
      </c>
      <c r="O192" s="14" t="n">
        <v>561.85</v>
      </c>
      <c r="P192" s="14">
        <f>IF(ISNUMBER(K192),K192-O192,"n.a.")</f>
        <v/>
      </c>
    </row>
    <row r="193" ht="32" customHeight="1">
      <c r="C193" s="10" t="inlineStr">
        <is>
          <t>PRJ-52b1cf52-RK-11</t>
        </is>
      </c>
      <c r="D193" s="10" t="inlineStr">
        <is>
          <t>P4102157453</t>
        </is>
      </c>
      <c r="E193" s="11" t="inlineStr">
        <is>
          <t>Witterung / Ablaufstörung</t>
        </is>
      </c>
      <c r="F193" s="10" t="inlineStr">
        <is>
          <t>Termin</t>
        </is>
      </c>
      <c r="G193" s="12" t="n">
        <v>0.15</v>
      </c>
      <c r="H193" s="13" t="n">
        <v>6483</v>
      </c>
      <c r="I193" s="13" t="n">
        <v>19449</v>
      </c>
      <c r="J193" s="13" t="n">
        <v>38898</v>
      </c>
      <c r="K193" s="14">
        <f>IF(OR(COUNT(G193:J193)&lt;&gt;4,G193&lt;0,G193&gt;1,H193&gt;I193,I193&gt;J193),"n.a.",ROUND(G193*(H193+4*I193+J193)/6+0.00000001,2))</f>
        <v/>
      </c>
      <c r="L193" s="13" t="n">
        <v>0</v>
      </c>
      <c r="M193" s="14">
        <f>SUMIFS(Maßnahmen!$I$7:$I$126,Maßnahmen!$D$7:$D$126,C193,Maßnahmen!$H$7:$H$126,"&lt;&gt;verworfen")</f>
        <v/>
      </c>
      <c r="N193" s="14">
        <f>IF(ISNUMBER(K193),MAX(0,K193-L193-M193),"n.a.")</f>
        <v/>
      </c>
      <c r="O193" s="14" t="n">
        <v>3079.43</v>
      </c>
      <c r="P193" s="14">
        <f>IF(ISNUMBER(K193),K193-O193,"n.a.")</f>
        <v/>
      </c>
    </row>
    <row r="194" ht="32" customHeight="1">
      <c r="C194" s="10" t="inlineStr">
        <is>
          <t>PRJ-52b1cf52-RK-12</t>
        </is>
      </c>
      <c r="D194" s="10" t="inlineStr">
        <is>
          <t>P4102157453</t>
        </is>
      </c>
      <c r="E194" s="11" t="inlineStr">
        <is>
          <t>Staubemissionen (höchster Aufwand laut Umfrage)</t>
        </is>
      </c>
      <c r="F194" s="10" t="inlineStr">
        <is>
          <t>Emissionen</t>
        </is>
      </c>
      <c r="G194" s="12" t="n">
        <v>0.1</v>
      </c>
      <c r="H194" s="13" t="n">
        <v>19449</v>
      </c>
      <c r="I194" s="13" t="n">
        <v>38898</v>
      </c>
      <c r="J194" s="13" t="n">
        <v>77796</v>
      </c>
      <c r="K194" s="14">
        <f>IF(OR(COUNT(G194:J194)&lt;&gt;4,G194&lt;0,G194&gt;1,H194&gt;I194,I194&gt;J194),"n.a.",ROUND(G194*(H194+4*I194+J194)/6+0.00000001,2))</f>
        <v/>
      </c>
      <c r="L194" s="13" t="n">
        <v>0</v>
      </c>
      <c r="M194" s="14">
        <f>SUMIFS(Maßnahmen!$I$7:$I$126,Maßnahmen!$D$7:$D$126,C194,Maßnahmen!$H$7:$H$126,"&lt;&gt;verworfen")</f>
        <v/>
      </c>
      <c r="N194" s="14">
        <f>IF(ISNUMBER(K194),MAX(0,K194-L194-M194),"n.a.")</f>
        <v/>
      </c>
      <c r="O194" s="14" t="n">
        <v>4213.95</v>
      </c>
      <c r="P194" s="14">
        <f>IF(ISNUMBER(K194),K194-O194,"n.a.")</f>
        <v/>
      </c>
    </row>
    <row r="195" ht="32" customHeight="1">
      <c r="C195" s="10" t="inlineStr">
        <is>
          <t>PRJ-52b1cfcd-RK-03</t>
        </is>
      </c>
      <c r="D195" s="10" t="inlineStr">
        <is>
          <t>P4102157414</t>
        </is>
      </c>
      <c r="E195" s="11" t="inlineStr">
        <is>
          <t>Entsorgungs-Mehrkosten / Entsorgungswege</t>
        </is>
      </c>
      <c r="F195" s="10" t="inlineStr">
        <is>
          <t>Entsorgung</t>
        </is>
      </c>
      <c r="G195" s="12" t="n">
        <v>0.55</v>
      </c>
      <c r="H195" s="13" t="n">
        <v>17010</v>
      </c>
      <c r="I195" s="13" t="n">
        <v>31281</v>
      </c>
      <c r="J195" s="13" t="n">
        <v>51318</v>
      </c>
      <c r="K195" s="14">
        <f>IF(OR(COUNT(G195:J195)&lt;&gt;4,G195&lt;0,G195&gt;1,H195&gt;I195,I195&gt;J195),"n.a.",ROUND(G195*(H195+4*I195+J195)/6+0.00000001,2))</f>
        <v/>
      </c>
      <c r="L195" s="13" t="n">
        <v>0</v>
      </c>
      <c r="M195" s="14">
        <f>SUMIFS(Maßnahmen!$I$7:$I$126,Maßnahmen!$D$7:$D$126,C195,Maßnahmen!$H$7:$H$126,"&lt;&gt;verworfen")</f>
        <v/>
      </c>
      <c r="N195" s="14">
        <f>IF(ISNUMBER(K195),MAX(0,K195-L195-M195),"n.a.")</f>
        <v/>
      </c>
      <c r="O195" s="14" t="n">
        <v>17733.1</v>
      </c>
      <c r="P195" s="14">
        <f>IF(ISNUMBER(K195),K195-O195,"n.a.")</f>
        <v/>
      </c>
    </row>
    <row r="196" ht="32" customHeight="1">
      <c r="C196" s="10" t="inlineStr">
        <is>
          <t>PRJ-52b1cfcd-RK-05</t>
        </is>
      </c>
      <c r="D196" s="10" t="inlineStr">
        <is>
          <t>P4102157414</t>
        </is>
      </c>
      <c r="E196" s="11" t="inlineStr">
        <is>
          <t>Unbekannte Bauwerkskonstruktion / fehlende Pläne</t>
        </is>
      </c>
      <c r="F196" s="10" t="inlineStr">
        <is>
          <t>Statik</t>
        </is>
      </c>
      <c r="G196" s="12" t="n">
        <v>0.12</v>
      </c>
      <c r="H196" s="13" t="n">
        <v>5863</v>
      </c>
      <c r="I196" s="13" t="n">
        <v>11116</v>
      </c>
      <c r="J196" s="13" t="n">
        <v>20005</v>
      </c>
      <c r="K196" s="14">
        <f>IF(OR(COUNT(G196:J196)&lt;&gt;4,G196&lt;0,G196&gt;1,H196&gt;I196,I196&gt;J196),"n.a.",ROUND(G196*(H196+4*I196+J196)/6+0.00000001,2))</f>
        <v/>
      </c>
      <c r="L196" s="13" t="n">
        <v>0</v>
      </c>
      <c r="M196" s="14">
        <f>SUMIFS(Maßnahmen!$I$7:$I$126,Maßnahmen!$D$7:$D$126,C196,Maßnahmen!$H$7:$H$126,"&lt;&gt;verworfen")</f>
        <v/>
      </c>
      <c r="N196" s="14">
        <f>IF(ISNUMBER(K196),MAX(0,K196-L196-M196),"n.a.")</f>
        <v/>
      </c>
      <c r="O196" s="14" t="n">
        <v>1406.64</v>
      </c>
      <c r="P196" s="14">
        <f>IF(ISNUMBER(K196),K196-O196,"n.a.")</f>
        <v/>
      </c>
    </row>
    <row r="197" ht="32" customHeight="1">
      <c r="C197" s="10" t="inlineStr">
        <is>
          <t>PRJ-4a292757-RK-11</t>
        </is>
      </c>
      <c r="D197" s="10" t="inlineStr">
        <is>
          <t>P4102658256</t>
        </is>
      </c>
      <c r="E197" s="11" t="inlineStr">
        <is>
          <t>Witterung / Ablaufstörung</t>
        </is>
      </c>
      <c r="F197" s="10" t="inlineStr">
        <is>
          <t>Termin</t>
        </is>
      </c>
      <c r="G197" s="12" t="n">
        <v>0.15</v>
      </c>
      <c r="H197" s="13" t="n">
        <v>580</v>
      </c>
      <c r="I197" s="13" t="n">
        <v>1741</v>
      </c>
      <c r="J197" s="13" t="n">
        <v>3482</v>
      </c>
      <c r="K197" s="14">
        <f>IF(OR(COUNT(G197:J197)&lt;&gt;4,G197&lt;0,G197&gt;1,H197&gt;I197,I197&gt;J197),"n.a.",ROUND(G197*(H197+4*I197+J197)/6+0.00000001,2))</f>
        <v/>
      </c>
      <c r="L197" s="13" t="n">
        <v>0</v>
      </c>
      <c r="M197" s="14">
        <f>SUMIFS(Maßnahmen!$I$7:$I$126,Maßnahmen!$D$7:$D$126,C197,Maßnahmen!$H$7:$H$126,"&lt;&gt;verworfen")</f>
        <v/>
      </c>
      <c r="N197" s="14">
        <f>IF(ISNUMBER(K197),MAX(0,K197-L197-M197),"n.a.")</f>
        <v/>
      </c>
      <c r="O197" s="14" t="n">
        <v>275.65</v>
      </c>
      <c r="P197" s="14">
        <f>IF(ISNUMBER(K197),K197-O197,"n.a.")</f>
        <v/>
      </c>
    </row>
    <row r="198" ht="32" customHeight="1">
      <c r="C198" s="10" t="inlineStr">
        <is>
          <t>PRJ-4a292757-RK-12</t>
        </is>
      </c>
      <c r="D198" s="10" t="inlineStr">
        <is>
          <t>P4102658256</t>
        </is>
      </c>
      <c r="E198" s="11" t="inlineStr">
        <is>
          <t>Staubemissionen (höchster Aufwand laut Umfrage)</t>
        </is>
      </c>
      <c r="F198" s="10" t="inlineStr">
        <is>
          <t>Emissionen</t>
        </is>
      </c>
      <c r="G198" s="12" t="n">
        <v>0.1</v>
      </c>
      <c r="H198" s="13" t="n">
        <v>1808</v>
      </c>
      <c r="I198" s="13" t="n">
        <v>3562</v>
      </c>
      <c r="J198" s="13" t="n">
        <v>7098</v>
      </c>
      <c r="K198" s="14">
        <f>IF(OR(COUNT(G198:J198)&lt;&gt;4,G198&lt;0,G198&gt;1,H198&gt;I198,I198&gt;J198),"n.a.",ROUND(G198*(H198+4*I198+J198)/6+0.00000001,2))</f>
        <v/>
      </c>
      <c r="L198" s="13" t="n">
        <v>0</v>
      </c>
      <c r="M198" s="14">
        <f>SUMIFS(Maßnahmen!$I$7:$I$126,Maßnahmen!$D$7:$D$126,C198,Maßnahmen!$H$7:$H$126,"&lt;&gt;verworfen")</f>
        <v/>
      </c>
      <c r="N198" s="14">
        <f>IF(ISNUMBER(K198),MAX(0,K198-L198-M198),"n.a.")</f>
        <v/>
      </c>
      <c r="O198" s="14" t="n">
        <v>385.9</v>
      </c>
      <c r="P198" s="14">
        <f>IF(ISNUMBER(K198),K198-O198,"n.a.")</f>
        <v/>
      </c>
    </row>
    <row r="199" ht="32" customHeight="1">
      <c r="C199" s="10" t="inlineStr">
        <is>
          <t>PRJ-4a292757-RK-13</t>
        </is>
      </c>
      <c r="D199" s="10" t="inlineStr">
        <is>
          <t>P4102658256</t>
        </is>
      </c>
      <c r="E199" s="11" t="inlineStr">
        <is>
          <t>Lärm- und Erschütterungsauflagen</t>
        </is>
      </c>
      <c r="F199" s="10" t="inlineStr">
        <is>
          <t>Emissionen</t>
        </is>
      </c>
      <c r="G199" s="12" t="n">
        <v>0.6</v>
      </c>
      <c r="H199" s="13" t="n">
        <v>11684</v>
      </c>
      <c r="I199" s="13" t="n">
        <v>22195</v>
      </c>
      <c r="J199" s="13" t="n">
        <v>37718</v>
      </c>
      <c r="K199" s="14">
        <f>IF(OR(COUNT(G199:J199)&lt;&gt;4,G199&lt;0,G199&gt;1,H199&gt;I199,I199&gt;J199),"n.a.",ROUND(G199*(H199+4*I199+J199)/6+0.00000001,2))</f>
        <v/>
      </c>
      <c r="L199" s="13" t="n">
        <v>0</v>
      </c>
      <c r="M199" s="14">
        <f>SUMIFS(Maßnahmen!$I$7:$I$126,Maßnahmen!$D$7:$D$126,C199,Maßnahmen!$H$7:$H$126,"&lt;&gt;verworfen")</f>
        <v/>
      </c>
      <c r="N199" s="14">
        <f>IF(ISNUMBER(K199),MAX(0,K199-L199-M199),"n.a.")</f>
        <v/>
      </c>
      <c r="O199" s="14" t="n">
        <v>13818.2</v>
      </c>
      <c r="P199" s="14">
        <f>IF(ISNUMBER(K199),K199-O199,"n.a.")</f>
        <v/>
      </c>
    </row>
    <row r="200" ht="32" customHeight="1">
      <c r="C200" s="10" t="inlineStr">
        <is>
          <t>PRJ-4a292757-RK-14</t>
        </is>
      </c>
      <c r="D200" s="10" t="inlineStr">
        <is>
          <t>P4102658256</t>
        </is>
      </c>
      <c r="E200" s="11" t="inlineStr">
        <is>
          <t>Rechtliche Auflagen / Entsorgungsnachweise (Formalismus)</t>
        </is>
      </c>
      <c r="F200" s="10" t="inlineStr">
        <is>
          <t>Genehmigung</t>
        </is>
      </c>
      <c r="G200" s="12" t="n">
        <v>0.12</v>
      </c>
      <c r="H200" s="13" t="n">
        <v>870</v>
      </c>
      <c r="I200" s="13" t="n">
        <v>2031</v>
      </c>
      <c r="J200" s="13" t="n">
        <v>4062</v>
      </c>
      <c r="K200" s="14">
        <f>IF(OR(COUNT(G200:J200)&lt;&gt;4,G200&lt;0,G200&gt;1,H200&gt;I200,I200&gt;J200),"n.a.",ROUND(G200*(H200+4*I200+J200)/6+0.00000001,2))</f>
        <v/>
      </c>
      <c r="L200" s="13" t="n">
        <v>0</v>
      </c>
      <c r="M200" s="14">
        <f>SUMIFS(Maßnahmen!$I$7:$I$126,Maßnahmen!$D$7:$D$126,C200,Maßnahmen!$H$7:$H$126,"&lt;&gt;verworfen")</f>
        <v/>
      </c>
      <c r="N200" s="14">
        <f>IF(ISNUMBER(K200),MAX(0,K200-L200-M200),"n.a.")</f>
        <v/>
      </c>
      <c r="O200" s="14" t="n">
        <v>261.12</v>
      </c>
      <c r="P200" s="14">
        <f>IF(ISNUMBER(K200),K200-O200,"n.a.")</f>
        <v/>
      </c>
    </row>
    <row r="201" ht="32" customHeight="1">
      <c r="C201" s="10" t="inlineStr">
        <is>
          <t>PRJ-4f8e93bb-RK-03</t>
        </is>
      </c>
      <c r="D201" s="10" t="inlineStr">
        <is>
          <t>P4102307440</t>
        </is>
      </c>
      <c r="E201" s="11" t="inlineStr">
        <is>
          <t>Entsorgungs-Mehrkosten / Entsorgungswege</t>
        </is>
      </c>
      <c r="F201" s="10" t="inlineStr">
        <is>
          <t>Entsorgung</t>
        </is>
      </c>
      <c r="G201" s="12" t="n">
        <v>0.286</v>
      </c>
      <c r="H201" s="13" t="n">
        <v>11143</v>
      </c>
      <c r="I201" s="13" t="n">
        <v>21904</v>
      </c>
      <c r="J201" s="13" t="n">
        <v>37855</v>
      </c>
      <c r="K201" s="14">
        <f>IF(OR(COUNT(G201:J201)&lt;&gt;4,G201&lt;0,G201&gt;1,H201&gt;I201,I201&gt;J201),"n.a.",ROUND(G201*(H201+4*I201+J201)/6+0.00000001,2))</f>
        <v/>
      </c>
      <c r="L201" s="13" t="n">
        <v>0</v>
      </c>
      <c r="M201" s="14">
        <f>SUMIFS(Maßnahmen!$I$7:$I$126,Maßnahmen!$D$7:$D$126,C201,Maßnahmen!$H$7:$H$126,"&lt;&gt;verworfen")</f>
        <v/>
      </c>
      <c r="N201" s="14">
        <f>IF(ISNUMBER(K201),MAX(0,K201-L201-M201),"n.a.")</f>
        <v/>
      </c>
      <c r="O201" s="14" t="n">
        <v>6511.93</v>
      </c>
      <c r="P201" s="14">
        <f>IF(ISNUMBER(K201),K201-O201,"n.a.")</f>
        <v/>
      </c>
    </row>
    <row r="202" ht="32" customHeight="1">
      <c r="C202" s="10" t="inlineStr">
        <is>
          <t>PRJ-4f8e93d6-RK-14</t>
        </is>
      </c>
      <c r="D202" s="10" t="inlineStr">
        <is>
          <t>P4102307434</t>
        </is>
      </c>
      <c r="E202" s="11" t="inlineStr">
        <is>
          <t>Rechtliche Auflagen / Entsorgungsnachweise (Formalismus)</t>
        </is>
      </c>
      <c r="F202" s="10" t="inlineStr">
        <is>
          <t>Genehmigung</t>
        </is>
      </c>
      <c r="G202" s="12" t="n">
        <v>0.386</v>
      </c>
      <c r="H202" s="13" t="n">
        <v>1673</v>
      </c>
      <c r="I202" s="13" t="n">
        <v>3289</v>
      </c>
      <c r="J202" s="13" t="n">
        <v>6243</v>
      </c>
      <c r="K202" s="14">
        <f>IF(OR(COUNT(G202:J202)&lt;&gt;4,G202&lt;0,G202&gt;1,H202&gt;I202,I202&gt;J202),"n.a.",ROUND(G202*(H202+4*I202+J202)/6+0.00000001,2))</f>
        <v/>
      </c>
      <c r="L202" s="13" t="n">
        <v>0</v>
      </c>
      <c r="M202" s="14">
        <f>SUMIFS(Maßnahmen!$I$7:$I$126,Maßnahmen!$D$7:$D$126,C202,Maßnahmen!$H$7:$H$126,"&lt;&gt;verworfen")</f>
        <v/>
      </c>
      <c r="N202" s="14">
        <f>IF(ISNUMBER(K202),MAX(0,K202-L202-M202),"n.a.")</f>
        <v/>
      </c>
      <c r="O202" s="14" t="n">
        <v>1355.63</v>
      </c>
      <c r="P202" s="14">
        <f>IF(ISNUMBER(K202),K202-O202,"n.a.")</f>
        <v/>
      </c>
    </row>
    <row r="203" ht="32" customHeight="1">
      <c r="C203" s="10" t="inlineStr">
        <is>
          <t>PRJ-4f8e93d6-RK-15</t>
        </is>
      </c>
      <c r="D203" s="10" t="inlineStr">
        <is>
          <t>P4102307434</t>
        </is>
      </c>
      <c r="E203" s="11" t="inlineStr">
        <is>
          <t>Konjunktur / Sekundärstoffpreise &amp; Gerätemiete</t>
        </is>
      </c>
      <c r="F203" s="10" t="inlineStr">
        <is>
          <t>Markt</t>
        </is>
      </c>
      <c r="G203" s="12" t="n">
        <v>0.12</v>
      </c>
      <c r="H203" s="13" t="n">
        <v>176</v>
      </c>
      <c r="I203" s="13" t="n">
        <v>441</v>
      </c>
      <c r="J203" s="13" t="n">
        <v>1103</v>
      </c>
      <c r="K203" s="14">
        <f>IF(OR(COUNT(G203:J203)&lt;&gt;4,G203&lt;0,G203&gt;1,H203&gt;I203,I203&gt;J203),"n.a.",ROUND(G203*(H203+4*I203+J203)/6+0.00000001,2))</f>
        <v/>
      </c>
      <c r="L203" s="13" t="n">
        <v>0</v>
      </c>
      <c r="M203" s="14">
        <f>SUMIFS(Maßnahmen!$I$7:$I$126,Maßnahmen!$D$7:$D$126,C203,Maßnahmen!$H$7:$H$126,"&lt;&gt;verworfen")</f>
        <v/>
      </c>
      <c r="N203" s="14">
        <f>IF(ISNUMBER(K203),MAX(0,K203-L203-M203),"n.a.")</f>
        <v/>
      </c>
      <c r="O203" s="14" t="n">
        <v>60.86</v>
      </c>
      <c r="P203" s="14">
        <f>IF(ISNUMBER(K203),K203-O203,"n.a.")</f>
        <v/>
      </c>
    </row>
    <row r="204" ht="32" customHeight="1">
      <c r="C204" s="10" t="inlineStr">
        <is>
          <t>PRJ-4f8e93b7-RK-01</t>
        </is>
      </c>
      <c r="D204" s="10" t="inlineStr">
        <is>
          <t>P4102307444</t>
        </is>
      </c>
      <c r="E204" s="11" t="inlineStr">
        <is>
          <t>Schadstofffund / Schadstoffsanierung (Asbest, PAK, PCB, PCP)</t>
        </is>
      </c>
      <c r="F204" s="10" t="inlineStr">
        <is>
          <t>Schadstoffe</t>
        </is>
      </c>
      <c r="G204" s="12" t="n">
        <v>0.1</v>
      </c>
      <c r="H204" s="13" t="n">
        <v>3676</v>
      </c>
      <c r="I204" s="13" t="n">
        <v>9190</v>
      </c>
      <c r="J204" s="13" t="n">
        <v>18380</v>
      </c>
      <c r="K204" s="14">
        <f>IF(OR(COUNT(G204:J204)&lt;&gt;4,G204&lt;0,G204&gt;1,H204&gt;I204,I204&gt;J204),"n.a.",ROUND(G204*(H204+4*I204+J204)/6+0.00000001,2))</f>
        <v/>
      </c>
      <c r="L204" s="13" t="n">
        <v>0</v>
      </c>
      <c r="M204" s="14">
        <f>SUMIFS(Maßnahmen!$I$7:$I$126,Maßnahmen!$D$7:$D$126,C204,Maßnahmen!$H$7:$H$126,"&lt;&gt;verworfen")</f>
        <v/>
      </c>
      <c r="N204" s="14">
        <f>IF(ISNUMBER(K204),MAX(0,K204-L204-M204),"n.a.")</f>
        <v/>
      </c>
      <c r="O204" s="14" t="n">
        <v>980.27</v>
      </c>
      <c r="P204" s="14">
        <f>IF(ISNUMBER(K204),K204-O204,"n.a.")</f>
        <v/>
      </c>
    </row>
    <row r="205" ht="32" customHeight="1">
      <c r="C205" s="10" t="inlineStr">
        <is>
          <t>PRJ-4f8e93b7-RK-02</t>
        </is>
      </c>
      <c r="D205" s="10" t="inlineStr">
        <is>
          <t>P4102307444</t>
        </is>
      </c>
      <c r="E205" s="11" t="inlineStr">
        <is>
          <t>Arbeitsschutz kontaminierte Bereiche (TRGS 524)</t>
        </is>
      </c>
      <c r="F205" s="10" t="inlineStr">
        <is>
          <t>Schadstoffe</t>
        </is>
      </c>
      <c r="G205" s="12" t="n">
        <v>0.1</v>
      </c>
      <c r="H205" s="13" t="n">
        <v>919</v>
      </c>
      <c r="I205" s="13" t="n">
        <v>1838</v>
      </c>
      <c r="J205" s="13" t="n">
        <v>3676</v>
      </c>
      <c r="K205" s="14">
        <f>IF(OR(COUNT(G205:J205)&lt;&gt;4,G205&lt;0,G205&gt;1,H205&gt;I205,I205&gt;J205),"n.a.",ROUND(G205*(H205+4*I205+J205)/6+0.00000001,2))</f>
        <v/>
      </c>
      <c r="L205" s="13" t="n">
        <v>0</v>
      </c>
      <c r="M205" s="14">
        <f>SUMIFS(Maßnahmen!$I$7:$I$126,Maßnahmen!$D$7:$D$126,C205,Maßnahmen!$H$7:$H$126,"&lt;&gt;verworfen")</f>
        <v/>
      </c>
      <c r="N205" s="14">
        <f>IF(ISNUMBER(K205),MAX(0,K205-L205-M205),"n.a.")</f>
        <v/>
      </c>
      <c r="O205" s="14" t="n">
        <v>199.12</v>
      </c>
      <c r="P205" s="14">
        <f>IF(ISNUMBER(K205),K205-O205,"n.a.")</f>
        <v/>
      </c>
    </row>
    <row r="206" ht="32" customHeight="1">
      <c r="C206" s="10" t="inlineStr">
        <is>
          <t>PRJ-52b1cf52-RK-13</t>
        </is>
      </c>
      <c r="D206" s="10" t="inlineStr">
        <is>
          <t>P4102157453</t>
        </is>
      </c>
      <c r="E206" s="11" t="inlineStr">
        <is>
          <t>Lärm- und Erschütterungsauflagen</t>
        </is>
      </c>
      <c r="F206" s="10" t="inlineStr">
        <is>
          <t>Emissionen</t>
        </is>
      </c>
      <c r="G206" s="12" t="n">
        <v>0.499</v>
      </c>
      <c r="H206" s="13" t="n">
        <v>55220</v>
      </c>
      <c r="I206" s="13" t="n">
        <v>109880</v>
      </c>
      <c r="J206" s="13" t="n">
        <v>198633</v>
      </c>
      <c r="K206" s="14">
        <f>IF(OR(COUNT(G206:J206)&lt;&gt;4,G206&lt;0,G206&gt;1,H206&gt;I206,I206&gt;J206),"n.a.",ROUND(G206*(H206+4*I206+J206)/6+0.00000001,2))</f>
        <v/>
      </c>
      <c r="L206" s="13" t="n">
        <v>0</v>
      </c>
      <c r="M206" s="14">
        <f>SUMIFS(Maßnahmen!$I$7:$I$126,Maßnahmen!$D$7:$D$126,C206,Maßnahmen!$H$7:$H$126,"&lt;&gt;verworfen")</f>
        <v/>
      </c>
      <c r="N206" s="14">
        <f>IF(ISNUMBER(K206),MAX(0,K206-L206-M206),"n.a.")</f>
        <v/>
      </c>
      <c r="O206" s="14" t="n">
        <v>57665.52</v>
      </c>
      <c r="P206" s="14">
        <f>IF(ISNUMBER(K206),K206-O206,"n.a.")</f>
        <v/>
      </c>
    </row>
    <row r="207" ht="32" customHeight="1">
      <c r="C207" s="10" t="inlineStr">
        <is>
          <t>PRJ-52b1cf52-RK-14</t>
        </is>
      </c>
      <c r="D207" s="10" t="inlineStr">
        <is>
          <t>P4102157453</t>
        </is>
      </c>
      <c r="E207" s="11" t="inlineStr">
        <is>
          <t>Rechtliche Auflagen / Entsorgungsnachweise (Formalismus)</t>
        </is>
      </c>
      <c r="F207" s="10" t="inlineStr">
        <is>
          <t>Genehmigung</t>
        </is>
      </c>
      <c r="G207" s="12" t="n">
        <v>0.188</v>
      </c>
      <c r="H207" s="13" t="n">
        <v>19814</v>
      </c>
      <c r="I207" s="13" t="n">
        <v>41608</v>
      </c>
      <c r="J207" s="13" t="n">
        <v>80693</v>
      </c>
      <c r="K207" s="14">
        <f>IF(OR(COUNT(G207:J207)&lt;&gt;4,G207&lt;0,G207&gt;1,H207&gt;I207,I207&gt;J207),"n.a.",ROUND(G207*(H207+4*I207+J207)/6+0.00000001,2))</f>
        <v/>
      </c>
      <c r="L207" s="13" t="n">
        <v>0</v>
      </c>
      <c r="M207" s="14">
        <f>SUMIFS(Maßnahmen!$I$7:$I$126,Maßnahmen!$D$7:$D$126,C207,Maßnahmen!$H$7:$H$126,"&lt;&gt;verworfen")</f>
        <v/>
      </c>
      <c r="N207" s="14">
        <f>IF(ISNUMBER(K207),MAX(0,K207-L207-M207),"n.a.")</f>
        <v/>
      </c>
      <c r="O207" s="14" t="n">
        <v>8364.09</v>
      </c>
      <c r="P207" s="14">
        <f>IF(ISNUMBER(K207),K207-O207,"n.a.")</f>
        <v/>
      </c>
    </row>
    <row r="208" ht="32" customHeight="1">
      <c r="C208" s="10" t="inlineStr">
        <is>
          <t>PRJ-52b1cf52-RK-15</t>
        </is>
      </c>
      <c r="D208" s="10" t="inlineStr">
        <is>
          <t>P4102157453</t>
        </is>
      </c>
      <c r="E208" s="11" t="inlineStr">
        <is>
          <t>Konjunktur / Sekundärstoffpreise &amp; Gerätemiete</t>
        </is>
      </c>
      <c r="F208" s="10" t="inlineStr">
        <is>
          <t>Markt</t>
        </is>
      </c>
      <c r="G208" s="12" t="n">
        <v>0.12</v>
      </c>
      <c r="H208" s="13" t="n">
        <v>5186</v>
      </c>
      <c r="I208" s="13" t="n">
        <v>12966</v>
      </c>
      <c r="J208" s="13" t="n">
        <v>32415</v>
      </c>
      <c r="K208" s="14">
        <f>IF(OR(COUNT(G208:J208)&lt;&gt;4,G208&lt;0,G208&gt;1,H208&gt;I208,I208&gt;J208),"n.a.",ROUND(G208*(H208+4*I208+J208)/6+0.00000001,2))</f>
        <v/>
      </c>
      <c r="L208" s="13" t="n">
        <v>0</v>
      </c>
      <c r="M208" s="14">
        <f>SUMIFS(Maßnahmen!$I$7:$I$126,Maßnahmen!$D$7:$D$126,C208,Maßnahmen!$H$7:$H$126,"&lt;&gt;verworfen")</f>
        <v/>
      </c>
      <c r="N208" s="14">
        <f>IF(ISNUMBER(K208),MAX(0,K208-L208-M208),"n.a.")</f>
        <v/>
      </c>
      <c r="O208" s="14" t="n">
        <v>1789.3</v>
      </c>
      <c r="P208" s="14">
        <f>IF(ISNUMBER(K208),K208-O208,"n.a.")</f>
        <v/>
      </c>
    </row>
    <row r="209" ht="32" customHeight="1">
      <c r="C209" s="10" t="inlineStr">
        <is>
          <t>PRJ-52b1cfcd-RK-06</t>
        </is>
      </c>
      <c r="D209" s="10" t="inlineStr">
        <is>
          <t>P4102157414</t>
        </is>
      </c>
      <c r="E209" s="11" t="inlineStr">
        <is>
          <t>Statik / Einsturzsicherung während Abbruch</t>
        </is>
      </c>
      <c r="F209" s="10" t="inlineStr">
        <is>
          <t>Statik</t>
        </is>
      </c>
      <c r="G209" s="12" t="n">
        <v>0.306</v>
      </c>
      <c r="H209" s="13" t="n">
        <v>14271</v>
      </c>
      <c r="I209" s="13" t="n">
        <v>25802</v>
      </c>
      <c r="J209" s="13" t="n">
        <v>44109</v>
      </c>
      <c r="K209" s="14">
        <f>IF(OR(COUNT(G209:J209)&lt;&gt;4,G209&lt;0,G209&gt;1,H209&gt;I209,I209&gt;J209),"n.a.",ROUND(G209*(H209+4*I209+J209)/6+0.00000001,2))</f>
        <v/>
      </c>
      <c r="L209" s="13" t="n">
        <v>0</v>
      </c>
      <c r="M209" s="14">
        <f>SUMIFS(Maßnahmen!$I$7:$I$126,Maßnahmen!$D$7:$D$126,C209,Maßnahmen!$H$7:$H$126,"&lt;&gt;verworfen")</f>
        <v/>
      </c>
      <c r="N209" s="14">
        <f>IF(ISNUMBER(K209),MAX(0,K209-L209-M209),"n.a.")</f>
        <v/>
      </c>
      <c r="O209" s="14" t="n">
        <v>8240.99</v>
      </c>
      <c r="P209" s="14">
        <f>IF(ISNUMBER(K209),K209-O209,"n.a.")</f>
        <v/>
      </c>
    </row>
    <row r="210" ht="32" customHeight="1">
      <c r="C210" s="10" t="inlineStr">
        <is>
          <t>PRJ-52b1cfcd-RK-07</t>
        </is>
      </c>
      <c r="D210" s="10" t="inlineStr">
        <is>
          <t>P4102157414</t>
        </is>
      </c>
      <c r="E210" s="11" t="inlineStr">
        <is>
          <t>Unterirdische Tragkonstruktion / Fundamente</t>
        </is>
      </c>
      <c r="F210" s="10" t="inlineStr">
        <is>
          <t>Statik</t>
        </is>
      </c>
      <c r="G210" s="12" t="n">
        <v>0.65</v>
      </c>
      <c r="H210" s="13" t="n">
        <v>4253</v>
      </c>
      <c r="I210" s="13" t="n">
        <v>8015</v>
      </c>
      <c r="J210" s="13" t="n">
        <v>16289</v>
      </c>
      <c r="K210" s="14">
        <f>IF(OR(COUNT(G210:J210)&lt;&gt;4,G210&lt;0,G210&gt;1,H210&gt;I210,I210&gt;J210),"n.a.",ROUND(G210*(H210+4*I210+J210)/6+0.00000001,2))</f>
        <v/>
      </c>
      <c r="L210" s="13" t="n">
        <v>0</v>
      </c>
      <c r="M210" s="14">
        <f>SUMIFS(Maßnahmen!$I$7:$I$126,Maßnahmen!$D$7:$D$126,C210,Maßnahmen!$H$7:$H$126,"&lt;&gt;verworfen")</f>
        <v/>
      </c>
      <c r="N210" s="14">
        <f>IF(ISNUMBER(K210),MAX(0,K210-L210-M210),"n.a.")</f>
        <v/>
      </c>
      <c r="O210" s="14" t="n">
        <v>5698.55</v>
      </c>
      <c r="P210" s="14">
        <f>IF(ISNUMBER(K210),K210-O210,"n.a.")</f>
        <v/>
      </c>
    </row>
    <row r="211" ht="32" customHeight="1">
      <c r="C211" s="10" t="inlineStr">
        <is>
          <t>PRJ-52b1cfcd-RK-08</t>
        </is>
      </c>
      <c r="D211" s="10" t="inlineStr">
        <is>
          <t>P4102157414</t>
        </is>
      </c>
      <c r="E211" s="11" t="inlineStr">
        <is>
          <t>Gebäudehöhe &gt;22 m / Longfront-Bagger (+130–150 %)</t>
        </is>
      </c>
      <c r="F211" s="10" t="inlineStr">
        <is>
          <t>Termin</t>
        </is>
      </c>
      <c r="G211" s="12" t="n">
        <v>0.506</v>
      </c>
      <c r="H211" s="13" t="n">
        <v>7190</v>
      </c>
      <c r="I211" s="13" t="n">
        <v>14616</v>
      </c>
      <c r="J211" s="13" t="n">
        <v>27686</v>
      </c>
      <c r="K211" s="14">
        <f>IF(OR(COUNT(G211:J211)&lt;&gt;4,G211&lt;0,G211&gt;1,H211&gt;I211,I211&gt;J211),"n.a.",ROUND(G211*(H211+4*I211+J211)/6+0.00000001,2))</f>
        <v/>
      </c>
      <c r="L211" s="13" t="n">
        <v>0</v>
      </c>
      <c r="M211" s="14">
        <f>SUMIFS(Maßnahmen!$I$7:$I$126,Maßnahmen!$D$7:$D$126,C211,Maßnahmen!$H$7:$H$126,"&lt;&gt;verworfen")</f>
        <v/>
      </c>
      <c r="N211" s="14">
        <f>IF(ISNUMBER(K211),MAX(0,K211-L211-M211),"n.a.")</f>
        <v/>
      </c>
      <c r="O211" s="14" t="n">
        <v>7871.67</v>
      </c>
      <c r="P211" s="14">
        <f>IF(ISNUMBER(K211),K211-O211,"n.a.")</f>
        <v/>
      </c>
    </row>
    <row r="212" ht="32" customHeight="1">
      <c r="C212" s="10" t="inlineStr">
        <is>
          <t>PRJ-52b1cfcd-RK-09</t>
        </is>
      </c>
      <c r="D212" s="10" t="inlineStr">
        <is>
          <t>P4102157414</t>
        </is>
      </c>
      <c r="E212" s="11" t="inlineStr">
        <is>
          <t>Beennte Lage / nur Handabbruch möglich</t>
        </is>
      </c>
      <c r="F212" s="10" t="inlineStr">
        <is>
          <t>Termin</t>
        </is>
      </c>
      <c r="G212" s="12" t="n">
        <v>0.192</v>
      </c>
      <c r="H212" s="13" t="n">
        <v>1416</v>
      </c>
      <c r="I212" s="13" t="n">
        <v>3236</v>
      </c>
      <c r="J212" s="13" t="n">
        <v>7481</v>
      </c>
      <c r="K212" s="14">
        <f>IF(OR(COUNT(G212:J212)&lt;&gt;4,G212&lt;0,G212&gt;1,H212&gt;I212,I212&gt;J212),"n.a.",ROUND(G212*(H212+4*I212+J212)/6+0.00000001,2))</f>
        <v/>
      </c>
      <c r="L212" s="13" t="n">
        <v>0</v>
      </c>
      <c r="M212" s="14">
        <f>SUMIFS(Maßnahmen!$I$7:$I$126,Maßnahmen!$D$7:$D$126,C212,Maßnahmen!$H$7:$H$126,"&lt;&gt;verworfen")</f>
        <v/>
      </c>
      <c r="N212" s="14">
        <f>IF(ISNUMBER(K212),MAX(0,K212-L212-M212),"n.a.")</f>
        <v/>
      </c>
      <c r="O212" s="14" t="n">
        <v>698.91</v>
      </c>
      <c r="P212" s="14">
        <f>IF(ISNUMBER(K212),K212-O212,"n.a.")</f>
        <v/>
      </c>
    </row>
    <row r="213" ht="32" customHeight="1">
      <c r="C213" s="10" t="inlineStr">
        <is>
          <t>PRJ-52b1cfcd-RK-13</t>
        </is>
      </c>
      <c r="D213" s="10" t="inlineStr">
        <is>
          <t>P4102157414</t>
        </is>
      </c>
      <c r="E213" s="11" t="inlineStr">
        <is>
          <t>Lärm- und Erschütterungsauflagen</t>
        </is>
      </c>
      <c r="F213" s="10" t="inlineStr">
        <is>
          <t>Emissionen</t>
        </is>
      </c>
      <c r="G213" s="12" t="n">
        <v>0.266</v>
      </c>
      <c r="H213" s="13" t="n">
        <v>3480</v>
      </c>
      <c r="I213" s="13" t="n">
        <v>7724</v>
      </c>
      <c r="J213" s="13" t="n">
        <v>14717</v>
      </c>
      <c r="K213" s="14">
        <f>IF(OR(COUNT(G213:J213)&lt;&gt;4,G213&lt;0,G213&gt;1,H213&gt;I213,I213&gt;J213),"n.a.",ROUND(G213*(H213+4*I213+J213)/6+0.00000001,2))</f>
        <v/>
      </c>
      <c r="L213" s="13" t="n">
        <v>0</v>
      </c>
      <c r="M213" s="14">
        <f>SUMIFS(Maßnahmen!$I$7:$I$126,Maßnahmen!$D$7:$D$126,C213,Maßnahmen!$H$7:$H$126,"&lt;&gt;verworfen")</f>
        <v/>
      </c>
      <c r="N213" s="14">
        <f>IF(ISNUMBER(K213),MAX(0,K213-L213-M213),"n.a.")</f>
        <v/>
      </c>
      <c r="O213" s="14" t="n">
        <v>2176.46</v>
      </c>
      <c r="P213" s="14">
        <f>IF(ISNUMBER(K213),K213-O213,"n.a.")</f>
        <v/>
      </c>
    </row>
    <row r="214" ht="32" customHeight="1">
      <c r="C214" s="10" t="inlineStr">
        <is>
          <t>PRJ-52b1cfcd-RK-14</t>
        </is>
      </c>
      <c r="D214" s="10" t="inlineStr">
        <is>
          <t>P4102157414</t>
        </is>
      </c>
      <c r="E214" s="11" t="inlineStr">
        <is>
          <t>Rechtliche Auflagen / Entsorgungsnachweise (Formalismus)</t>
        </is>
      </c>
      <c r="F214" s="10" t="inlineStr">
        <is>
          <t>Genehmigung</t>
        </is>
      </c>
      <c r="G214" s="12" t="n">
        <v>0.388</v>
      </c>
      <c r="H214" s="13" t="n">
        <v>7694</v>
      </c>
      <c r="I214" s="13" t="n">
        <v>15120</v>
      </c>
      <c r="J214" s="13" t="n">
        <v>28695</v>
      </c>
      <c r="K214" s="14">
        <f>IF(OR(COUNT(G214:J214)&lt;&gt;4,G214&lt;0,G214&gt;1,H214&gt;I214,I214&gt;J214),"n.a.",ROUND(G214*(H214+4*I214+J214)/6+0.00000001,2))</f>
        <v/>
      </c>
      <c r="L214" s="13" t="n">
        <v>0</v>
      </c>
      <c r="M214" s="14">
        <f>SUMIFS(Maßnahmen!$I$7:$I$126,Maßnahmen!$D$7:$D$126,C214,Maßnahmen!$H$7:$H$126,"&lt;&gt;verworfen")</f>
        <v/>
      </c>
      <c r="N214" s="14">
        <f>IF(ISNUMBER(K214),MAX(0,K214-L214-M214),"n.a.")</f>
        <v/>
      </c>
      <c r="O214" s="14" t="n">
        <v>6264.2</v>
      </c>
      <c r="P214" s="14">
        <f>IF(ISNUMBER(K214),K214-O214,"n.a.")</f>
        <v/>
      </c>
    </row>
    <row r="215" ht="32" customHeight="1">
      <c r="C215" s="10" t="inlineStr">
        <is>
          <t>PRJ-4f8e93bb-RK-07</t>
        </is>
      </c>
      <c r="D215" s="10" t="inlineStr">
        <is>
          <t>P4102307440</t>
        </is>
      </c>
      <c r="E215" s="11" t="inlineStr">
        <is>
          <t>Unterirdische Tragkonstruktion / Fundamente</t>
        </is>
      </c>
      <c r="F215" s="10" t="inlineStr">
        <is>
          <t>Statik</t>
        </is>
      </c>
      <c r="G215" s="12" t="n">
        <v>0.6</v>
      </c>
      <c r="H215" s="13" t="n">
        <v>2786</v>
      </c>
      <c r="I215" s="13" t="n">
        <v>6380</v>
      </c>
      <c r="J215" s="13" t="n">
        <v>13967</v>
      </c>
      <c r="K215" s="14">
        <f>IF(OR(COUNT(G215:J215)&lt;&gt;4,G215&lt;0,G215&gt;1,H215&gt;I215,I215&gt;J215),"n.a.",ROUND(G215*(H215+4*I215+J215)/6+0.00000001,2))</f>
        <v/>
      </c>
      <c r="L215" s="13" t="n">
        <v>0</v>
      </c>
      <c r="M215" s="14">
        <f>SUMIFS(Maßnahmen!$I$7:$I$126,Maßnahmen!$D$7:$D$126,C215,Maßnahmen!$H$7:$H$126,"&lt;&gt;verworfen")</f>
        <v/>
      </c>
      <c r="N215" s="14">
        <f>IF(ISNUMBER(K215),MAX(0,K215-L215-M215),"n.a.")</f>
        <v/>
      </c>
      <c r="O215" s="14" t="n">
        <v>4227.3</v>
      </c>
      <c r="P215" s="14">
        <f>IF(ISNUMBER(K215),K215-O215,"n.a.")</f>
        <v/>
      </c>
    </row>
    <row r="216" ht="32" customHeight="1">
      <c r="C216" s="10" t="inlineStr">
        <is>
          <t>PRJ-4f8e93bb-RK-08</t>
        </is>
      </c>
      <c r="D216" s="10" t="inlineStr">
        <is>
          <t>P4102307440</t>
        </is>
      </c>
      <c r="E216" s="11" t="inlineStr">
        <is>
          <t>Gebäudehöhe &gt;22 m / Longfront-Bagger (+130–150 %)</t>
        </is>
      </c>
      <c r="F216" s="10" t="inlineStr">
        <is>
          <t>Termin</t>
        </is>
      </c>
      <c r="G216" s="12" t="n">
        <v>0.2</v>
      </c>
      <c r="H216" s="13" t="n">
        <v>1603</v>
      </c>
      <c r="I216" s="13" t="n">
        <v>4808</v>
      </c>
      <c r="J216" s="13" t="n">
        <v>9617</v>
      </c>
      <c r="K216" s="14">
        <f>IF(OR(COUNT(G216:J216)&lt;&gt;4,G216&lt;0,G216&gt;1,H216&gt;I216,I216&gt;J216),"n.a.",ROUND(G216*(H216+4*I216+J216)/6+0.00000001,2))</f>
        <v/>
      </c>
      <c r="L216" s="13" t="n">
        <v>0</v>
      </c>
      <c r="M216" s="14">
        <f>SUMIFS(Maßnahmen!$I$7:$I$126,Maßnahmen!$D$7:$D$126,C216,Maßnahmen!$H$7:$H$126,"&lt;&gt;verworfen")</f>
        <v/>
      </c>
      <c r="N216" s="14">
        <f>IF(ISNUMBER(K216),MAX(0,K216-L216-M216),"n.a.")</f>
        <v/>
      </c>
      <c r="O216" s="14" t="n">
        <v>1015.07</v>
      </c>
      <c r="P216" s="14">
        <f>IF(ISNUMBER(K216),K216-O216,"n.a.")</f>
        <v/>
      </c>
    </row>
    <row r="217" ht="32" customHeight="1">
      <c r="C217" s="10" t="inlineStr">
        <is>
          <t>PRJ-4f8e93bb-RK-09</t>
        </is>
      </c>
      <c r="D217" s="10" t="inlineStr">
        <is>
          <t>P4102307440</t>
        </is>
      </c>
      <c r="E217" s="11" t="inlineStr">
        <is>
          <t>Beennte Lage / nur Handabbruch möglich</t>
        </is>
      </c>
      <c r="F217" s="10" t="inlineStr">
        <is>
          <t>Termin</t>
        </is>
      </c>
      <c r="G217" s="12" t="n">
        <v>0.4</v>
      </c>
      <c r="H217" s="13" t="n">
        <v>7005</v>
      </c>
      <c r="I217" s="13" t="n">
        <v>14652</v>
      </c>
      <c r="J217" s="13" t="n">
        <v>30907</v>
      </c>
      <c r="K217" s="14">
        <f>IF(OR(COUNT(G217:J217)&lt;&gt;4,G217&lt;0,G217&gt;1,H217&gt;I217,I217&gt;J217),"n.a.",ROUND(G217*(H217+4*I217+J217)/6+0.00000001,2))</f>
        <v/>
      </c>
      <c r="L217" s="13" t="n">
        <v>0</v>
      </c>
      <c r="M217" s="14">
        <f>SUMIFS(Maßnahmen!$I$7:$I$126,Maßnahmen!$D$7:$D$126,C217,Maßnahmen!$H$7:$H$126,"&lt;&gt;verworfen")</f>
        <v/>
      </c>
      <c r="N217" s="14">
        <f>IF(ISNUMBER(K217),MAX(0,K217-L217-M217),"n.a.")</f>
        <v/>
      </c>
      <c r="O217" s="14" t="n">
        <v>6434.67</v>
      </c>
      <c r="P217" s="14">
        <f>IF(ISNUMBER(K217),K217-O217,"n.a.")</f>
        <v/>
      </c>
    </row>
    <row r="218" ht="32" customHeight="1">
      <c r="C218" s="10" t="inlineStr">
        <is>
          <t>PRJ-4f8e93bb-RK-13</t>
        </is>
      </c>
      <c r="D218" s="10" t="inlineStr">
        <is>
          <t>P4102307440</t>
        </is>
      </c>
      <c r="E218" s="11" t="inlineStr">
        <is>
          <t>Lärm- und Erschütterungsauflagen</t>
        </is>
      </c>
      <c r="F218" s="10" t="inlineStr">
        <is>
          <t>Emissionen</t>
        </is>
      </c>
      <c r="G218" s="12" t="n">
        <v>0.593</v>
      </c>
      <c r="H218" s="13" t="n">
        <v>16941</v>
      </c>
      <c r="I218" s="13" t="n">
        <v>33196</v>
      </c>
      <c r="J218" s="13" t="n">
        <v>59524</v>
      </c>
      <c r="K218" s="14">
        <f>IF(OR(COUNT(G218:J218)&lt;&gt;4,G218&lt;0,G218&gt;1,H218&gt;I218,I218&gt;J218),"n.a.",ROUND(G218*(H218+4*I218+J218)/6+0.00000001,2))</f>
        <v/>
      </c>
      <c r="L218" s="13" t="n">
        <v>0</v>
      </c>
      <c r="M218" s="14">
        <f>SUMIFS(Maßnahmen!$I$7:$I$126,Maßnahmen!$D$7:$D$126,C218,Maßnahmen!$H$7:$H$126,"&lt;&gt;verworfen")</f>
        <v/>
      </c>
      <c r="N218" s="14">
        <f>IF(ISNUMBER(K218),MAX(0,K218-L218-M218),"n.a.")</f>
        <v/>
      </c>
      <c r="O218" s="14" t="n">
        <v>20680.78</v>
      </c>
      <c r="P218" s="14">
        <f>IF(ISNUMBER(K218),K218-O218,"n.a.")</f>
        <v/>
      </c>
    </row>
    <row r="219" ht="32" customHeight="1">
      <c r="C219" s="10" t="inlineStr">
        <is>
          <t>PRJ-4f8e93bb-RK-14</t>
        </is>
      </c>
      <c r="D219" s="10" t="inlineStr">
        <is>
          <t>P4102307440</t>
        </is>
      </c>
      <c r="E219" s="11" t="inlineStr">
        <is>
          <t>Rechtliche Auflagen / Entsorgungsnachweise (Formalismus)</t>
        </is>
      </c>
      <c r="F219" s="10" t="inlineStr">
        <is>
          <t>Genehmigung</t>
        </is>
      </c>
      <c r="G219" s="12" t="n">
        <v>0.12</v>
      </c>
      <c r="H219" s="13" t="n">
        <v>2404</v>
      </c>
      <c r="I219" s="13" t="n">
        <v>5610</v>
      </c>
      <c r="J219" s="13" t="n">
        <v>11220</v>
      </c>
      <c r="K219" s="14">
        <f>IF(OR(COUNT(G219:J219)&lt;&gt;4,G219&lt;0,G219&gt;1,H219&gt;I219,I219&gt;J219),"n.a.",ROUND(G219*(H219+4*I219+J219)/6+0.00000001,2))</f>
        <v/>
      </c>
      <c r="L219" s="13" t="n">
        <v>0</v>
      </c>
      <c r="M219" s="14">
        <f>SUMIFS(Maßnahmen!$I$7:$I$126,Maßnahmen!$D$7:$D$126,C219,Maßnahmen!$H$7:$H$126,"&lt;&gt;verworfen")</f>
        <v/>
      </c>
      <c r="N219" s="14">
        <f>IF(ISNUMBER(K219),MAX(0,K219-L219-M219),"n.a.")</f>
        <v/>
      </c>
      <c r="O219" s="14" t="n">
        <v>721.28</v>
      </c>
      <c r="P219" s="14">
        <f>IF(ISNUMBER(K219),K219-O219,"n.a.")</f>
        <v/>
      </c>
    </row>
    <row r="220" ht="32" customHeight="1">
      <c r="C220" s="10" t="inlineStr">
        <is>
          <t>PRJ-4f8e93d5-RK-03</t>
        </is>
      </c>
      <c r="D220" s="10" t="inlineStr">
        <is>
          <t>P4102307435</t>
        </is>
      </c>
      <c r="E220" s="11" t="inlineStr">
        <is>
          <t>Entsorgungs-Mehrkosten / Entsorgungswege</t>
        </is>
      </c>
      <c r="F220" s="10" t="inlineStr">
        <is>
          <t>Entsorgung</t>
        </is>
      </c>
      <c r="G220" s="12" t="n">
        <v>0.404</v>
      </c>
      <c r="H220" s="13" t="n">
        <v>18030</v>
      </c>
      <c r="I220" s="13" t="n">
        <v>33963</v>
      </c>
      <c r="J220" s="13" t="n">
        <v>56815</v>
      </c>
      <c r="K220" s="14">
        <f>IF(OR(COUNT(G220:J220)&lt;&gt;4,G220&lt;0,G220&gt;1,H220&gt;I220,I220&gt;J220),"n.a.",ROUND(G220*(H220+4*I220+J220)/6+0.00000001,2))</f>
        <v/>
      </c>
      <c r="L220" s="13" t="n">
        <v>0</v>
      </c>
      <c r="M220" s="14">
        <f>SUMIFS(Maßnahmen!$I$7:$I$126,Maßnahmen!$D$7:$D$126,C220,Maßnahmen!$H$7:$H$126,"&lt;&gt;verworfen")</f>
        <v/>
      </c>
      <c r="N220" s="14">
        <f>IF(ISNUMBER(K220),MAX(0,K220-L220-M220),"n.a.")</f>
        <v/>
      </c>
      <c r="O220" s="14" t="n">
        <v>14186.93</v>
      </c>
      <c r="P220" s="14">
        <f>IF(ISNUMBER(K220),K220-O220,"n.a.")</f>
        <v/>
      </c>
    </row>
    <row r="221" ht="32" customHeight="1">
      <c r="C221" s="10" t="inlineStr">
        <is>
          <t>PRJ-4f8e93d5-RK-05</t>
        </is>
      </c>
      <c r="D221" s="10" t="inlineStr">
        <is>
          <t>P4102307435</t>
        </is>
      </c>
      <c r="E221" s="11" t="inlineStr">
        <is>
          <t>Unbekannte Bauwerkskonstruktion / fehlende Pläne</t>
        </is>
      </c>
      <c r="F221" s="10" t="inlineStr">
        <is>
          <t>Statik</t>
        </is>
      </c>
      <c r="G221" s="12" t="n">
        <v>0.12</v>
      </c>
      <c r="H221" s="13" t="n">
        <v>8540</v>
      </c>
      <c r="I221" s="13" t="n">
        <v>16375</v>
      </c>
      <c r="J221" s="13" t="n">
        <v>29736</v>
      </c>
      <c r="K221" s="14">
        <f>IF(OR(COUNT(G221:J221)&lt;&gt;4,G221&lt;0,G221&gt;1,H221&gt;I221,I221&gt;J221),"n.a.",ROUND(G221*(H221+4*I221+J221)/6+0.00000001,2))</f>
        <v/>
      </c>
      <c r="L221" s="13" t="n">
        <v>0</v>
      </c>
      <c r="M221" s="14">
        <f>SUMIFS(Maßnahmen!$I$7:$I$126,Maßnahmen!$D$7:$D$126,C221,Maßnahmen!$H$7:$H$126,"&lt;&gt;verworfen")</f>
        <v/>
      </c>
      <c r="N221" s="14">
        <f>IF(ISNUMBER(K221),MAX(0,K221-L221-M221),"n.a.")</f>
        <v/>
      </c>
      <c r="O221" s="14" t="n">
        <v>2075.52</v>
      </c>
      <c r="P221" s="14">
        <f>IF(ISNUMBER(K221),K221-O221,"n.a.")</f>
        <v/>
      </c>
    </row>
    <row r="222" ht="32" customHeight="1">
      <c r="C222" s="10" t="inlineStr">
        <is>
          <t>PRJ-4f8e93d5-RK-06</t>
        </is>
      </c>
      <c r="D222" s="10" t="inlineStr">
        <is>
          <t>P4102307435</t>
        </is>
      </c>
      <c r="E222" s="11" t="inlineStr">
        <is>
          <t>Statik / Einsturzsicherung während Abbruch</t>
        </is>
      </c>
      <c r="F222" s="10" t="inlineStr">
        <is>
          <t>Statik</t>
        </is>
      </c>
      <c r="G222" s="12" t="n">
        <v>0.235</v>
      </c>
      <c r="H222" s="13" t="n">
        <v>15933</v>
      </c>
      <c r="I222" s="13" t="n">
        <v>29770</v>
      </c>
      <c r="J222" s="13" t="n">
        <v>52131</v>
      </c>
      <c r="K222" s="14">
        <f>IF(OR(COUNT(G222:J222)&lt;&gt;4,G222&lt;0,G222&gt;1,H222&gt;I222,I222&gt;J222),"n.a.",ROUND(G222*(H222+4*I222+J222)/6+0.00000001,2))</f>
        <v/>
      </c>
      <c r="L222" s="13" t="n">
        <v>0</v>
      </c>
      <c r="M222" s="14">
        <f>SUMIFS(Maßnahmen!$I$7:$I$126,Maßnahmen!$D$7:$D$126,C222,Maßnahmen!$H$7:$H$126,"&lt;&gt;verworfen")</f>
        <v/>
      </c>
      <c r="N222" s="14">
        <f>IF(ISNUMBER(K222),MAX(0,K222-L222-M222),"n.a.")</f>
        <v/>
      </c>
      <c r="O222" s="14" t="n">
        <v>7329.81</v>
      </c>
      <c r="P222" s="14">
        <f>IF(ISNUMBER(K222),K222-O222,"n.a.")</f>
        <v/>
      </c>
    </row>
    <row r="223" ht="32" customHeight="1">
      <c r="C223" s="10" t="inlineStr">
        <is>
          <t>PRJ-4f8e93d5-RK-07</t>
        </is>
      </c>
      <c r="D223" s="10" t="inlineStr">
        <is>
          <t>P4102307435</t>
        </is>
      </c>
      <c r="E223" s="11" t="inlineStr">
        <is>
          <t>Unterirdische Tragkonstruktion / Fundamente</t>
        </is>
      </c>
      <c r="F223" s="10" t="inlineStr">
        <is>
          <t>Statik</t>
        </is>
      </c>
      <c r="G223" s="12" t="n">
        <v>0.65</v>
      </c>
      <c r="H223" s="13" t="n">
        <v>4508</v>
      </c>
      <c r="I223" s="13" t="n">
        <v>9141</v>
      </c>
      <c r="J223" s="13" t="n">
        <v>19147</v>
      </c>
      <c r="K223" s="14">
        <f>IF(OR(COUNT(G223:J223)&lt;&gt;4,G223&lt;0,G223&gt;1,H223&gt;I223,I223&gt;J223),"n.a.",ROUND(G223*(H223+4*I223+J223)/6+0.00000001,2))</f>
        <v/>
      </c>
      <c r="L223" s="13" t="n">
        <v>0</v>
      </c>
      <c r="M223" s="14">
        <f>SUMIFS(Maßnahmen!$I$7:$I$126,Maßnahmen!$D$7:$D$126,C223,Maßnahmen!$H$7:$H$126,"&lt;&gt;verworfen")</f>
        <v/>
      </c>
      <c r="N223" s="14">
        <f>IF(ISNUMBER(K223),MAX(0,K223-L223-M223),"n.a.")</f>
        <v/>
      </c>
      <c r="O223" s="14" t="n">
        <v>6523.73</v>
      </c>
      <c r="P223" s="14">
        <f>IF(ISNUMBER(K223),K223-O223,"n.a.")</f>
        <v/>
      </c>
    </row>
    <row r="224" ht="32" customHeight="1">
      <c r="C224" s="10" t="inlineStr">
        <is>
          <t>PRJ-4f8e93d5-RK-08</t>
        </is>
      </c>
      <c r="D224" s="10" t="inlineStr">
        <is>
          <t>P4102307435</t>
        </is>
      </c>
      <c r="E224" s="11" t="inlineStr">
        <is>
          <t>Gebäudehöhe &gt;22 m / Longfront-Bagger (+130–150 %)</t>
        </is>
      </c>
      <c r="F224" s="10" t="inlineStr">
        <is>
          <t>Termin</t>
        </is>
      </c>
      <c r="G224" s="12" t="n">
        <v>0.434</v>
      </c>
      <c r="H224" s="13" t="n">
        <v>9124</v>
      </c>
      <c r="I224" s="13" t="n">
        <v>18916</v>
      </c>
      <c r="J224" s="13" t="n">
        <v>35952</v>
      </c>
      <c r="K224" s="14">
        <f>IF(OR(COUNT(G224:J224)&lt;&gt;4,G224&lt;0,G224&gt;1,H224&gt;I224,I224&gt;J224),"n.a.",ROUND(G224*(H224+4*I224+J224)/6+0.00000001,2))</f>
        <v/>
      </c>
      <c r="L224" s="13" t="n">
        <v>0</v>
      </c>
      <c r="M224" s="14">
        <f>SUMIFS(Maßnahmen!$I$7:$I$126,Maßnahmen!$D$7:$D$126,C224,Maßnahmen!$H$7:$H$126,"&lt;&gt;verworfen")</f>
        <v/>
      </c>
      <c r="N224" s="14">
        <f>IF(ISNUMBER(K224),MAX(0,K224-L224-M224),"n.a.")</f>
        <v/>
      </c>
      <c r="O224" s="14" t="n">
        <v>8733.530000000001</v>
      </c>
      <c r="P224" s="14">
        <f>IF(ISNUMBER(K224),K224-O224,"n.a.")</f>
        <v/>
      </c>
    </row>
    <row r="225" ht="32" customHeight="1">
      <c r="C225" s="10" t="inlineStr">
        <is>
          <t>PRJ-4f8e93b7-RK-03</t>
        </is>
      </c>
      <c r="D225" s="10" t="inlineStr">
        <is>
          <t>P4102307444</t>
        </is>
      </c>
      <c r="E225" s="11" t="inlineStr">
        <is>
          <t>Entsorgungs-Mehrkosten / Entsorgungswege</t>
        </is>
      </c>
      <c r="F225" s="10" t="inlineStr">
        <is>
          <t>Entsorgung</t>
        </is>
      </c>
      <c r="G225" s="12" t="n">
        <v>0.549</v>
      </c>
      <c r="H225" s="13" t="n">
        <v>30324</v>
      </c>
      <c r="I225" s="13" t="n">
        <v>55823</v>
      </c>
      <c r="J225" s="13" t="n">
        <v>91661</v>
      </c>
      <c r="K225" s="14">
        <f>IF(OR(COUNT(G225:J225)&lt;&gt;4,G225&lt;0,G225&gt;1,H225&gt;I225,I225&gt;J225),"n.a.",ROUND(G225*(H225+4*I225+J225)/6+0.00000001,2))</f>
        <v/>
      </c>
      <c r="L225" s="13" t="n">
        <v>0</v>
      </c>
      <c r="M225" s="14">
        <f>SUMIFS(Maßnahmen!$I$7:$I$126,Maßnahmen!$D$7:$D$126,C225,Maßnahmen!$H$7:$H$126,"&lt;&gt;verworfen")</f>
        <v/>
      </c>
      <c r="N225" s="14">
        <f>IF(ISNUMBER(K225),MAX(0,K225-L225-M225),"n.a.")</f>
        <v/>
      </c>
      <c r="O225" s="14" t="n">
        <v>31592.85</v>
      </c>
      <c r="P225" s="14">
        <f>IF(ISNUMBER(K225),K225-O225,"n.a.")</f>
        <v/>
      </c>
    </row>
    <row r="226" ht="32" customHeight="1">
      <c r="C226" s="10" t="inlineStr">
        <is>
          <t>PRJ-4f8e93b7-RK-04</t>
        </is>
      </c>
      <c r="D226" s="10" t="inlineStr">
        <is>
          <t>P4102307444</t>
        </is>
      </c>
      <c r="E226" s="11" t="inlineStr">
        <is>
          <t>Baustofftrennung / Aufbereitung nicht wie geplant</t>
        </is>
      </c>
      <c r="F226" s="10" t="inlineStr">
        <is>
          <t>Entsorgung</t>
        </is>
      </c>
      <c r="G226" s="12" t="n">
        <v>0.08</v>
      </c>
      <c r="H226" s="13" t="n">
        <v>919</v>
      </c>
      <c r="I226" s="13" t="n">
        <v>1838</v>
      </c>
      <c r="J226" s="13" t="n">
        <v>3676</v>
      </c>
      <c r="K226" s="14">
        <f>IF(OR(COUNT(G226:J226)&lt;&gt;4,G226&lt;0,G226&gt;1,H226&gt;I226,I226&gt;J226),"n.a.",ROUND(G226*(H226+4*I226+J226)/6+0.00000001,2))</f>
        <v/>
      </c>
      <c r="L226" s="13" t="n">
        <v>0</v>
      </c>
      <c r="M226" s="14">
        <f>SUMIFS(Maßnahmen!$I$7:$I$126,Maßnahmen!$D$7:$D$126,C226,Maßnahmen!$H$7:$H$126,"&lt;&gt;verworfen")</f>
        <v/>
      </c>
      <c r="N226" s="14">
        <f>IF(ISNUMBER(K226),MAX(0,K226-L226-M226),"n.a.")</f>
        <v/>
      </c>
      <c r="O226" s="14" t="n">
        <v>159.29</v>
      </c>
      <c r="P226" s="14">
        <f>IF(ISNUMBER(K226),K226-O226,"n.a.")</f>
        <v/>
      </c>
    </row>
    <row r="227" ht="32" customHeight="1">
      <c r="C227" s="10" t="inlineStr">
        <is>
          <t>PRJ-4f8e93b7-RK-05</t>
        </is>
      </c>
      <c r="D227" s="10" t="inlineStr">
        <is>
          <t>P4102307444</t>
        </is>
      </c>
      <c r="E227" s="11" t="inlineStr">
        <is>
          <t>Unbekannte Bauwerkskonstruktion / fehlende Pläne</t>
        </is>
      </c>
      <c r="F227" s="10" t="inlineStr">
        <is>
          <t>Statik</t>
        </is>
      </c>
      <c r="G227" s="12" t="n">
        <v>0.27</v>
      </c>
      <c r="H227" s="13" t="n">
        <v>13077</v>
      </c>
      <c r="I227" s="13" t="n">
        <v>24245</v>
      </c>
      <c r="J227" s="13" t="n">
        <v>42836</v>
      </c>
      <c r="K227" s="14">
        <f>IF(OR(COUNT(G227:J227)&lt;&gt;4,G227&lt;0,G227&gt;1,H227&gt;I227,I227&gt;J227),"n.a.",ROUND(G227*(H227+4*I227+J227)/6+0.00000001,2))</f>
        <v/>
      </c>
      <c r="L227" s="13" t="n">
        <v>0</v>
      </c>
      <c r="M227" s="14">
        <f>SUMIFS(Maßnahmen!$I$7:$I$126,Maßnahmen!$D$7:$D$126,C227,Maßnahmen!$H$7:$H$126,"&lt;&gt;verworfen")</f>
        <v/>
      </c>
      <c r="N227" s="14">
        <f>IF(ISNUMBER(K227),MAX(0,K227-L227-M227),"n.a.")</f>
        <v/>
      </c>
      <c r="O227" s="14" t="n">
        <v>6880.19</v>
      </c>
      <c r="P227" s="14">
        <f>IF(ISNUMBER(K227),K227-O227,"n.a.")</f>
        <v/>
      </c>
    </row>
    <row r="228" ht="32" customHeight="1">
      <c r="C228" s="10" t="inlineStr">
        <is>
          <t>PRJ-4f8e93b7-RK-06</t>
        </is>
      </c>
      <c r="D228" s="10" t="inlineStr">
        <is>
          <t>P4102307444</t>
        </is>
      </c>
      <c r="E228" s="11" t="inlineStr">
        <is>
          <t>Statik / Einsturzsicherung während Abbruch</t>
        </is>
      </c>
      <c r="F228" s="10" t="inlineStr">
        <is>
          <t>Statik</t>
        </is>
      </c>
      <c r="G228" s="12" t="n">
        <v>0.421</v>
      </c>
      <c r="H228" s="13" t="n">
        <v>25500</v>
      </c>
      <c r="I228" s="13" t="n">
        <v>46175</v>
      </c>
      <c r="J228" s="13" t="n">
        <v>79027</v>
      </c>
      <c r="K228" s="14">
        <f>IF(OR(COUNT(G228:J228)&lt;&gt;4,G228&lt;0,G228&gt;1,H228&gt;I228,I228&gt;J228),"n.a.",ROUND(G228*(H228+4*I228+J228)/6+0.00000001,2))</f>
        <v/>
      </c>
      <c r="L228" s="13" t="n">
        <v>0</v>
      </c>
      <c r="M228" s="14">
        <f>SUMIFS(Maßnahmen!$I$7:$I$126,Maßnahmen!$D$7:$D$126,C228,Maßnahmen!$H$7:$H$126,"&lt;&gt;verworfen")</f>
        <v/>
      </c>
      <c r="N228" s="14">
        <f>IF(ISNUMBER(K228),MAX(0,K228-L228-M228),"n.a.")</f>
        <v/>
      </c>
      <c r="O228" s="14" t="n">
        <v>20294.09</v>
      </c>
      <c r="P228" s="14">
        <f>IF(ISNUMBER(K228),K228-O228,"n.a.")</f>
        <v/>
      </c>
    </row>
    <row r="229" ht="32" customHeight="1">
      <c r="C229" s="10" t="inlineStr">
        <is>
          <t>PRJ-4f8e93d5-RK-09</t>
        </is>
      </c>
      <c r="D229" s="10" t="inlineStr">
        <is>
          <t>P4102307435</t>
        </is>
      </c>
      <c r="E229" s="11" t="inlineStr">
        <is>
          <t>Beennte Lage / nur Handabbruch möglich</t>
        </is>
      </c>
      <c r="F229" s="10" t="inlineStr">
        <is>
          <t>Termin</t>
        </is>
      </c>
      <c r="G229" s="12" t="n">
        <v>0.181</v>
      </c>
      <c r="H229" s="13" t="n">
        <v>1989</v>
      </c>
      <c r="I229" s="13" t="n">
        <v>4622</v>
      </c>
      <c r="J229" s="13" t="n">
        <v>10850</v>
      </c>
      <c r="K229" s="14">
        <f>IF(OR(COUNT(G229:J229)&lt;&gt;4,G229&lt;0,G229&gt;1,H229&gt;I229,I229&gt;J229),"n.a.",ROUND(G229*(H229+4*I229+J229)/6+0.00000001,2))</f>
        <v/>
      </c>
      <c r="L229" s="13" t="n">
        <v>0</v>
      </c>
      <c r="M229" s="14">
        <f>SUMIFS(Maßnahmen!$I$7:$I$126,Maßnahmen!$D$7:$D$126,C229,Maßnahmen!$H$7:$H$126,"&lt;&gt;verworfen")</f>
        <v/>
      </c>
      <c r="N229" s="14">
        <f>IF(ISNUMBER(K229),MAX(0,K229-L229-M229),"n.a.")</f>
        <v/>
      </c>
      <c r="O229" s="14" t="n">
        <v>945.03</v>
      </c>
      <c r="P229" s="14">
        <f>IF(ISNUMBER(K229),K229-O229,"n.a.")</f>
        <v/>
      </c>
    </row>
    <row r="230" ht="32" customHeight="1">
      <c r="C230" s="10" t="inlineStr">
        <is>
          <t>PRJ-4f8e93d5-RK-13</t>
        </is>
      </c>
      <c r="D230" s="10" t="inlineStr">
        <is>
          <t>P4102307435</t>
        </is>
      </c>
      <c r="E230" s="11" t="inlineStr">
        <is>
          <t>Lärm- und Erschütterungsauflagen</t>
        </is>
      </c>
      <c r="F230" s="10" t="inlineStr">
        <is>
          <t>Emissionen</t>
        </is>
      </c>
      <c r="G230" s="12" t="n">
        <v>0.248</v>
      </c>
      <c r="H230" s="13" t="n">
        <v>4903</v>
      </c>
      <c r="I230" s="13" t="n">
        <v>11132</v>
      </c>
      <c r="J230" s="13" t="n">
        <v>21419</v>
      </c>
      <c r="K230" s="14">
        <f>IF(OR(COUNT(G230:J230)&lt;&gt;4,G230&lt;0,G230&gt;1,H230&gt;I230,I230&gt;J230),"n.a.",ROUND(G230*(H230+4*I230+J230)/6+0.00000001,2))</f>
        <v/>
      </c>
      <c r="L230" s="13" t="n">
        <v>0</v>
      </c>
      <c r="M230" s="14">
        <f>SUMIFS(Maßnahmen!$I$7:$I$126,Maßnahmen!$D$7:$D$126,C230,Maßnahmen!$H$7:$H$126,"&lt;&gt;verworfen")</f>
        <v/>
      </c>
      <c r="N230" s="14">
        <f>IF(ISNUMBER(K230),MAX(0,K230-L230-M230),"n.a.")</f>
        <v/>
      </c>
      <c r="O230" s="14" t="n">
        <v>2928.47</v>
      </c>
      <c r="P230" s="14">
        <f>IF(ISNUMBER(K230),K230-O230,"n.a.")</f>
        <v/>
      </c>
    </row>
    <row r="231" ht="32" customHeight="1">
      <c r="C231" s="10" t="inlineStr">
        <is>
          <t>PRJ-4f8e93d5-RK-14</t>
        </is>
      </c>
      <c r="D231" s="10" t="inlineStr">
        <is>
          <t>P4102307435</t>
        </is>
      </c>
      <c r="E231" s="11" t="inlineStr">
        <is>
          <t>Rechtliche Auflagen / Entsorgungsnachweise (Formalismus)</t>
        </is>
      </c>
      <c r="F231" s="10" t="inlineStr">
        <is>
          <t>Genehmigung</t>
        </is>
      </c>
      <c r="G231" s="12" t="n">
        <v>0.325</v>
      </c>
      <c r="H231" s="13" t="n">
        <v>9928</v>
      </c>
      <c r="I231" s="13" t="n">
        <v>19719</v>
      </c>
      <c r="J231" s="13" t="n">
        <v>37559</v>
      </c>
      <c r="K231" s="14">
        <f>IF(OR(COUNT(G231:J231)&lt;&gt;4,G231&lt;0,G231&gt;1,H231&gt;I231,I231&gt;J231),"n.a.",ROUND(G231*(H231+4*I231+J231)/6+0.00000001,2))</f>
        <v/>
      </c>
      <c r="L231" s="13" t="n">
        <v>0</v>
      </c>
      <c r="M231" s="14">
        <f>SUMIFS(Maßnahmen!$I$7:$I$126,Maßnahmen!$D$7:$D$126,C231,Maßnahmen!$H$7:$H$126,"&lt;&gt;verworfen")</f>
        <v/>
      </c>
      <c r="N231" s="14">
        <f>IF(ISNUMBER(K231),MAX(0,K231-L231-M231),"n.a.")</f>
        <v/>
      </c>
      <c r="O231" s="14" t="n">
        <v>6844.66</v>
      </c>
      <c r="P231" s="14">
        <f>IF(ISNUMBER(K231),K231-O231,"n.a.")</f>
        <v/>
      </c>
    </row>
    <row r="232" ht="32" customHeight="1">
      <c r="C232" s="10" t="inlineStr">
        <is>
          <t>PRJ-52b1cf4e-RK-05</t>
        </is>
      </c>
      <c r="D232" s="10" t="inlineStr">
        <is>
          <t>P4102157457</t>
        </is>
      </c>
      <c r="E232" s="11" t="inlineStr">
        <is>
          <t>Unbekannte Bauwerkskonstruktion / fehlende Pläne</t>
        </is>
      </c>
      <c r="F232" s="10" t="inlineStr">
        <is>
          <t>Statik</t>
        </is>
      </c>
      <c r="G232" s="12" t="n">
        <v>0.22</v>
      </c>
      <c r="H232" s="13" t="n">
        <v>14470</v>
      </c>
      <c r="I232" s="13" t="n">
        <v>25312</v>
      </c>
      <c r="J232" s="13" t="n">
        <v>42473</v>
      </c>
      <c r="K232" s="14">
        <f>IF(OR(COUNT(G232:J232)&lt;&gt;4,G232&lt;0,G232&gt;1,H232&gt;I232,I232&gt;J232),"n.a.",ROUND(G232*(H232+4*I232+J232)/6+0.00000001,2))</f>
        <v/>
      </c>
      <c r="L232" s="13" t="n">
        <v>0</v>
      </c>
      <c r="M232" s="14">
        <f>SUMIFS(Maßnahmen!$I$7:$I$126,Maßnahmen!$D$7:$D$126,C232,Maßnahmen!$H$7:$H$126,"&lt;&gt;verworfen")</f>
        <v/>
      </c>
      <c r="N232" s="14">
        <f>IF(ISNUMBER(K232),MAX(0,K232-L232-M232),"n.a.")</f>
        <v/>
      </c>
      <c r="O232" s="14" t="n">
        <v>5800.34</v>
      </c>
      <c r="P232" s="14">
        <f>IF(ISNUMBER(K232),K232-O232,"n.a.")</f>
        <v/>
      </c>
    </row>
    <row r="233" ht="32" customHeight="1">
      <c r="C233" s="10" t="inlineStr">
        <is>
          <t>PRJ-52b1cf4e-RK-07</t>
        </is>
      </c>
      <c r="D233" s="10" t="inlineStr">
        <is>
          <t>P4102157457</t>
        </is>
      </c>
      <c r="E233" s="11" t="inlineStr">
        <is>
          <t>Unterirdische Tragkonstruktion / Fundamente</t>
        </is>
      </c>
      <c r="F233" s="10" t="inlineStr">
        <is>
          <t>Statik</t>
        </is>
      </c>
      <c r="G233" s="12" t="n">
        <v>0.6</v>
      </c>
      <c r="H233" s="13" t="n">
        <v>448</v>
      </c>
      <c r="I233" s="13" t="n">
        <v>1794</v>
      </c>
      <c r="J233" s="13" t="n">
        <v>4484</v>
      </c>
      <c r="K233" s="14">
        <f>IF(OR(COUNT(G233:J233)&lt;&gt;4,G233&lt;0,G233&gt;1,H233&gt;I233,I233&gt;J233),"n.a.",ROUND(G233*(H233+4*I233+J233)/6+0.00000001,2))</f>
        <v/>
      </c>
      <c r="L233" s="13" t="n">
        <v>0</v>
      </c>
      <c r="M233" s="14">
        <f>SUMIFS(Maßnahmen!$I$7:$I$126,Maßnahmen!$D$7:$D$126,C233,Maßnahmen!$H$7:$H$126,"&lt;&gt;verworfen")</f>
        <v/>
      </c>
      <c r="N233" s="14">
        <f>IF(ISNUMBER(K233),MAX(0,K233-L233-M233),"n.a.")</f>
        <v/>
      </c>
      <c r="O233" s="14" t="n">
        <v>1210.8</v>
      </c>
      <c r="P233" s="14">
        <f>IF(ISNUMBER(K233),K233-O233,"n.a.")</f>
        <v/>
      </c>
    </row>
    <row r="234" ht="32" customHeight="1">
      <c r="C234" s="10" t="inlineStr">
        <is>
          <t>PRJ-52b1cf4e-RK-08</t>
        </is>
      </c>
      <c r="D234" s="10" t="inlineStr">
        <is>
          <t>P4102157457</t>
        </is>
      </c>
      <c r="E234" s="11" t="inlineStr">
        <is>
          <t>Gebäudehöhe &gt;22 m / Longfront-Bagger (+130–150 %)</t>
        </is>
      </c>
      <c r="F234" s="10" t="inlineStr">
        <is>
          <t>Termin</t>
        </is>
      </c>
      <c r="G234" s="12" t="n">
        <v>0.205</v>
      </c>
      <c r="H234" s="13" t="n">
        <v>988</v>
      </c>
      <c r="I234" s="13" t="n">
        <v>2862</v>
      </c>
      <c r="J234" s="13" t="n">
        <v>5701</v>
      </c>
      <c r="K234" s="14">
        <f>IF(OR(COUNT(G234:J234)&lt;&gt;4,G234&lt;0,G234&gt;1,H234&gt;I234,I234&gt;J234),"n.a.",ROUND(G234*(H234+4*I234+J234)/6+0.00000001,2))</f>
        <v/>
      </c>
      <c r="L234" s="13" t="n">
        <v>0</v>
      </c>
      <c r="M234" s="14">
        <f>SUMIFS(Maßnahmen!$I$7:$I$126,Maßnahmen!$D$7:$D$126,C234,Maßnahmen!$H$7:$H$126,"&lt;&gt;verworfen")</f>
        <v/>
      </c>
      <c r="N234" s="14">
        <f>IF(ISNUMBER(K234),MAX(0,K234-L234-M234),"n.a.")</f>
        <v/>
      </c>
      <c r="O234" s="14" t="n">
        <v>619.6799999999999</v>
      </c>
      <c r="P234" s="14">
        <f>IF(ISNUMBER(K234),K234-O234,"n.a.")</f>
        <v/>
      </c>
    </row>
    <row r="235" ht="32" customHeight="1">
      <c r="C235" s="10" t="inlineStr">
        <is>
          <t>PRJ-52b1cf4e-RK-09</t>
        </is>
      </c>
      <c r="D235" s="10" t="inlineStr">
        <is>
          <t>P4102157457</t>
        </is>
      </c>
      <c r="E235" s="11" t="inlineStr">
        <is>
          <t>Beennte Lage / nur Handabbruch möglich</t>
        </is>
      </c>
      <c r="F235" s="10" t="inlineStr">
        <is>
          <t>Termin</t>
        </is>
      </c>
      <c r="G235" s="12" t="n">
        <v>0.5</v>
      </c>
      <c r="H235" s="13" t="n">
        <v>4345</v>
      </c>
      <c r="I235" s="13" t="n">
        <v>9049</v>
      </c>
      <c r="J235" s="13" t="n">
        <v>18994</v>
      </c>
      <c r="K235" s="14">
        <f>IF(OR(COUNT(G235:J235)&lt;&gt;4,G235&lt;0,G235&gt;1,H235&gt;I235,I235&gt;J235),"n.a.",ROUND(G235*(H235+4*I235+J235)/6+0.00000001,2))</f>
        <v/>
      </c>
      <c r="L235" s="13" t="n">
        <v>0</v>
      </c>
      <c r="M235" s="14">
        <f>SUMIFS(Maßnahmen!$I$7:$I$126,Maßnahmen!$D$7:$D$126,C235,Maßnahmen!$H$7:$H$126,"&lt;&gt;verworfen")</f>
        <v/>
      </c>
      <c r="N235" s="14">
        <f>IF(ISNUMBER(K235),MAX(0,K235-L235-M235),"n.a.")</f>
        <v/>
      </c>
      <c r="O235" s="14" t="n">
        <v>4961.25</v>
      </c>
      <c r="P235" s="14">
        <f>IF(ISNUMBER(K235),K235-O235,"n.a.")</f>
        <v/>
      </c>
    </row>
    <row r="236" ht="32" customHeight="1">
      <c r="C236" s="10" t="inlineStr">
        <is>
          <t>PRJ-4a6f9ca3-RK-01</t>
        </is>
      </c>
      <c r="D236" s="10" t="inlineStr">
        <is>
          <t>P4102608271</t>
        </is>
      </c>
      <c r="E236" s="11" t="inlineStr">
        <is>
          <t>Schadstofffund / Schadstoffsanierung (Asbest, PAK, PCB, PCP)</t>
        </is>
      </c>
      <c r="F236" s="10" t="inlineStr">
        <is>
          <t>Schadstoffe</t>
        </is>
      </c>
      <c r="G236" s="12" t="n">
        <v>0.1</v>
      </c>
      <c r="H236" s="13" t="n">
        <v>299</v>
      </c>
      <c r="I236" s="13" t="n">
        <v>747</v>
      </c>
      <c r="J236" s="13" t="n">
        <v>1494</v>
      </c>
      <c r="K236" s="14">
        <f>IF(OR(COUNT(G236:J236)&lt;&gt;4,G236&lt;0,G236&gt;1,H236&gt;I236,I236&gt;J236),"n.a.",ROUND(G236*(H236+4*I236+J236)/6+0.00000001,2))</f>
        <v/>
      </c>
      <c r="L236" s="13" t="n">
        <v>0</v>
      </c>
      <c r="M236" s="14">
        <f>SUMIFS(Maßnahmen!$I$7:$I$126,Maßnahmen!$D$7:$D$126,C236,Maßnahmen!$H$7:$H$126,"&lt;&gt;verworfen")</f>
        <v/>
      </c>
      <c r="N236" s="14">
        <f>IF(ISNUMBER(K236),MAX(0,K236-L236-M236),"n.a.")</f>
        <v/>
      </c>
      <c r="O236" s="14" t="n">
        <v>79.68000000000001</v>
      </c>
      <c r="P236" s="14">
        <f>IF(ISNUMBER(K236),K236-O236,"n.a.")</f>
        <v/>
      </c>
    </row>
    <row r="237" ht="32" customHeight="1">
      <c r="C237" s="10" t="inlineStr">
        <is>
          <t>PRJ-4a6f9ca3-RK-02</t>
        </is>
      </c>
      <c r="D237" s="10" t="inlineStr">
        <is>
          <t>P4102608271</t>
        </is>
      </c>
      <c r="E237" s="11" t="inlineStr">
        <is>
          <t>Arbeitsschutz kontaminierte Bereiche (TRGS 524)</t>
        </is>
      </c>
      <c r="F237" s="10" t="inlineStr">
        <is>
          <t>Schadstoffe</t>
        </is>
      </c>
      <c r="G237" s="12" t="n">
        <v>0.1</v>
      </c>
      <c r="H237" s="13" t="n">
        <v>75</v>
      </c>
      <c r="I237" s="13" t="n">
        <v>149</v>
      </c>
      <c r="J237" s="13" t="n">
        <v>299</v>
      </c>
      <c r="K237" s="14">
        <f>IF(OR(COUNT(G237:J237)&lt;&gt;4,G237&lt;0,G237&gt;1,H237&gt;I237,I237&gt;J237),"n.a.",ROUND(G237*(H237+4*I237+J237)/6+0.00000001,2))</f>
        <v/>
      </c>
      <c r="L237" s="13" t="n">
        <v>0</v>
      </c>
      <c r="M237" s="14">
        <f>SUMIFS(Maßnahmen!$I$7:$I$126,Maßnahmen!$D$7:$D$126,C237,Maßnahmen!$H$7:$H$126,"&lt;&gt;verworfen")</f>
        <v/>
      </c>
      <c r="N237" s="14">
        <f>IF(ISNUMBER(K237),MAX(0,K237-L237-M237),"n.a.")</f>
        <v/>
      </c>
      <c r="O237" s="14" t="n">
        <v>16.17</v>
      </c>
      <c r="P237" s="14">
        <f>IF(ISNUMBER(K237),K237-O237,"n.a.")</f>
        <v/>
      </c>
    </row>
    <row r="238" ht="32" customHeight="1">
      <c r="C238" s="10" t="inlineStr">
        <is>
          <t>PRJ-4a6f9ca3-RK-03</t>
        </is>
      </c>
      <c r="D238" s="10" t="inlineStr">
        <is>
          <t>P4102608271</t>
        </is>
      </c>
      <c r="E238" s="11" t="inlineStr">
        <is>
          <t>Entsorgungs-Mehrkosten / Entsorgungswege</t>
        </is>
      </c>
      <c r="F238" s="10" t="inlineStr">
        <is>
          <t>Entsorgung</t>
        </is>
      </c>
      <c r="G238" s="12" t="n">
        <v>0.55</v>
      </c>
      <c r="H238" s="13" t="n">
        <v>2789</v>
      </c>
      <c r="I238" s="13" t="n">
        <v>5104</v>
      </c>
      <c r="J238" s="13" t="n">
        <v>8341</v>
      </c>
      <c r="K238" s="14">
        <f>IF(OR(COUNT(G238:J238)&lt;&gt;4,G238&lt;0,G238&gt;1,H238&gt;I238,I238&gt;J238),"n.a.",ROUND(G238*(H238+4*I238+J238)/6+0.00000001,2))</f>
        <v/>
      </c>
      <c r="L238" s="13" t="n">
        <v>0</v>
      </c>
      <c r="M238" s="14">
        <f>SUMIFS(Maßnahmen!$I$7:$I$126,Maßnahmen!$D$7:$D$126,C238,Maßnahmen!$H$7:$H$126,"&lt;&gt;verworfen")</f>
        <v/>
      </c>
      <c r="N238" s="14">
        <f>IF(ISNUMBER(K238),MAX(0,K238-L238-M238),"n.a.")</f>
        <v/>
      </c>
      <c r="O238" s="14" t="n">
        <v>2891.72</v>
      </c>
      <c r="P238" s="14">
        <f>IF(ISNUMBER(K238),K238-O238,"n.a.")</f>
        <v/>
      </c>
    </row>
    <row r="239" ht="32" customHeight="1">
      <c r="C239" s="10" t="inlineStr">
        <is>
          <t>PRJ-4a6f9ca3-RK-04</t>
        </is>
      </c>
      <c r="D239" s="10" t="inlineStr">
        <is>
          <t>P4102608271</t>
        </is>
      </c>
      <c r="E239" s="11" t="inlineStr">
        <is>
          <t>Baustofftrennung / Aufbereitung nicht wie geplant</t>
        </is>
      </c>
      <c r="F239" s="10" t="inlineStr">
        <is>
          <t>Entsorgung</t>
        </is>
      </c>
      <c r="G239" s="12" t="n">
        <v>0.08</v>
      </c>
      <c r="H239" s="13" t="n">
        <v>75</v>
      </c>
      <c r="I239" s="13" t="n">
        <v>149</v>
      </c>
      <c r="J239" s="13" t="n">
        <v>299</v>
      </c>
      <c r="K239" s="14">
        <f>IF(OR(COUNT(G239:J239)&lt;&gt;4,G239&lt;0,G239&gt;1,H239&gt;I239,I239&gt;J239),"n.a.",ROUND(G239*(H239+4*I239+J239)/6+0.00000001,2))</f>
        <v/>
      </c>
      <c r="L239" s="13" t="n">
        <v>0</v>
      </c>
      <c r="M239" s="14">
        <f>SUMIFS(Maßnahmen!$I$7:$I$126,Maßnahmen!$D$7:$D$126,C239,Maßnahmen!$H$7:$H$126,"&lt;&gt;verworfen")</f>
        <v/>
      </c>
      <c r="N239" s="14">
        <f>IF(ISNUMBER(K239),MAX(0,K239-L239-M239),"n.a.")</f>
        <v/>
      </c>
      <c r="O239" s="14" t="n">
        <v>12.93</v>
      </c>
      <c r="P239" s="14">
        <f>IF(ISNUMBER(K239),K239-O239,"n.a.")</f>
        <v/>
      </c>
    </row>
    <row r="240" ht="32" customHeight="1">
      <c r="C240" s="10" t="inlineStr">
        <is>
          <t>PRJ-4a6f9ca3-RK-05</t>
        </is>
      </c>
      <c r="D240" s="10" t="inlineStr">
        <is>
          <t>P4102608271</t>
        </is>
      </c>
      <c r="E240" s="11" t="inlineStr">
        <is>
          <t>Unbekannte Bauwerkskonstruktion / fehlende Pläne</t>
        </is>
      </c>
      <c r="F240" s="10" t="inlineStr">
        <is>
          <t>Statik</t>
        </is>
      </c>
      <c r="G240" s="12" t="n">
        <v>0.37</v>
      </c>
      <c r="H240" s="13" t="n">
        <v>4449</v>
      </c>
      <c r="I240" s="13" t="n">
        <v>6721</v>
      </c>
      <c r="J240" s="13" t="n">
        <v>9708</v>
      </c>
      <c r="K240" s="14">
        <f>IF(OR(COUNT(G240:J240)&lt;&gt;4,G240&lt;0,G240&gt;1,H240&gt;I240,I240&gt;J240),"n.a.",ROUND(G240*(H240+4*I240+J240)/6+0.00000001,2))</f>
        <v/>
      </c>
      <c r="L240" s="13" t="n">
        <v>0</v>
      </c>
      <c r="M240" s="14">
        <f>SUMIFS(Maßnahmen!$I$7:$I$126,Maßnahmen!$D$7:$D$126,C240,Maßnahmen!$H$7:$H$126,"&lt;&gt;verworfen")</f>
        <v/>
      </c>
      <c r="N240" s="14">
        <f>IF(ISNUMBER(K240),MAX(0,K240-L240-M240),"n.a.")</f>
        <v/>
      </c>
      <c r="O240" s="14" t="n">
        <v>2530.86</v>
      </c>
      <c r="P240" s="14">
        <f>IF(ISNUMBER(K240),K240-O240,"n.a.")</f>
        <v/>
      </c>
    </row>
    <row r="241" ht="32" customHeight="1">
      <c r="C241" s="10" t="inlineStr">
        <is>
          <t>PRJ-4f8e93bb-RK-05</t>
        </is>
      </c>
      <c r="D241" s="10" t="inlineStr">
        <is>
          <t>P4102307440</t>
        </is>
      </c>
      <c r="E241" s="11" t="inlineStr">
        <is>
          <t>Unbekannte Bauwerkskonstruktion / fehlende Pläne</t>
        </is>
      </c>
      <c r="F241" s="10" t="inlineStr">
        <is>
          <t>Statik</t>
        </is>
      </c>
      <c r="G241" s="12" t="n">
        <v>0.22</v>
      </c>
      <c r="H241" s="13" t="n">
        <v>23581</v>
      </c>
      <c r="I241" s="13" t="n">
        <v>41438</v>
      </c>
      <c r="J241" s="13" t="n">
        <v>69828</v>
      </c>
      <c r="K241" s="14">
        <f>IF(OR(COUNT(G241:J241)&lt;&gt;4,G241&lt;0,G241&gt;1,H241&gt;I241,I241&gt;J241),"n.a.",ROUND(G241*(H241+4*I241+J241)/6+0.00000001,2))</f>
        <v/>
      </c>
      <c r="L241" s="13" t="n">
        <v>0</v>
      </c>
      <c r="M241" s="14">
        <f>SUMIFS(Maßnahmen!$I$7:$I$126,Maßnahmen!$D$7:$D$126,C241,Maßnahmen!$H$7:$H$126,"&lt;&gt;verworfen")</f>
        <v/>
      </c>
      <c r="N241" s="14">
        <f>IF(ISNUMBER(K241),MAX(0,K241-L241-M241),"n.a.")</f>
        <v/>
      </c>
      <c r="O241" s="14" t="n">
        <v>9502.57</v>
      </c>
      <c r="P241" s="14">
        <f>IF(ISNUMBER(K241),K241-O241,"n.a.")</f>
        <v/>
      </c>
    </row>
    <row r="242" ht="32" customHeight="1">
      <c r="C242" s="10" t="inlineStr">
        <is>
          <t>PRJ-4f8e93bb-RK-06</t>
        </is>
      </c>
      <c r="D242" s="10" t="inlineStr">
        <is>
          <t>P4102307440</t>
        </is>
      </c>
      <c r="E242" s="11" t="inlineStr">
        <is>
          <t>Statik / Einsturzsicherung während Abbruch</t>
        </is>
      </c>
      <c r="F242" s="10" t="inlineStr">
        <is>
          <t>Statik</t>
        </is>
      </c>
      <c r="G242" s="12" t="n">
        <v>0.182</v>
      </c>
      <c r="H242" s="13" t="n">
        <v>10761</v>
      </c>
      <c r="I242" s="13" t="n">
        <v>21141</v>
      </c>
      <c r="J242" s="13" t="n">
        <v>38313</v>
      </c>
      <c r="K242" s="14">
        <f>IF(OR(COUNT(G242:J242)&lt;&gt;4,G242&lt;0,G242&gt;1,H242&gt;I242,I242&gt;J242),"n.a.",ROUND(G242*(H242+4*I242+J242)/6+0.00000001,2))</f>
        <v/>
      </c>
      <c r="L242" s="13" t="n">
        <v>0</v>
      </c>
      <c r="M242" s="14">
        <f>SUMIFS(Maßnahmen!$I$7:$I$126,Maßnahmen!$D$7:$D$126,C242,Maßnahmen!$H$7:$H$126,"&lt;&gt;verworfen")</f>
        <v/>
      </c>
      <c r="N242" s="14">
        <f>IF(ISNUMBER(K242),MAX(0,K242-L242-M242),"n.a.")</f>
        <v/>
      </c>
      <c r="O242" s="14" t="n">
        <v>4053.69</v>
      </c>
      <c r="P242" s="14">
        <f>IF(ISNUMBER(K242),K242-O242,"n.a.")</f>
        <v/>
      </c>
    </row>
    <row r="243" ht="32" customHeight="1">
      <c r="C243" s="10" t="inlineStr">
        <is>
          <t>PRJ-4f8e93f1-RK-15</t>
        </is>
      </c>
      <c r="D243" s="10" t="inlineStr">
        <is>
          <t>P4102307428</t>
        </is>
      </c>
      <c r="E243" s="11" t="inlineStr">
        <is>
          <t>Konjunktur / Sekundärstoffpreise &amp; Gerätemiete</t>
        </is>
      </c>
      <c r="F243" s="10" t="inlineStr">
        <is>
          <t>Markt</t>
        </is>
      </c>
      <c r="G243" s="12" t="n">
        <v>0.12</v>
      </c>
      <c r="H243" s="13" t="n">
        <v>59</v>
      </c>
      <c r="I243" s="13" t="n">
        <v>147</v>
      </c>
      <c r="J243" s="13" t="n">
        <v>368</v>
      </c>
      <c r="K243" s="14">
        <f>IF(OR(COUNT(G243:J243)&lt;&gt;4,G243&lt;0,G243&gt;1,H243&gt;I243,I243&gt;J243),"n.a.",ROUND(G243*(H243+4*I243+J243)/6+0.00000001,2))</f>
        <v/>
      </c>
      <c r="L243" s="13" t="n">
        <v>0</v>
      </c>
      <c r="M243" s="14">
        <f>SUMIFS(Maßnahmen!$I$7:$I$126,Maßnahmen!$D$7:$D$126,C243,Maßnahmen!$H$7:$H$126,"&lt;&gt;verworfen")</f>
        <v/>
      </c>
      <c r="N243" s="14">
        <f>IF(ISNUMBER(K243),MAX(0,K243-L243-M243),"n.a.")</f>
        <v/>
      </c>
      <c r="O243" s="14" t="n">
        <v>20.3</v>
      </c>
      <c r="P243" s="14">
        <f>IF(ISNUMBER(K243),K243-O243,"n.a.")</f>
        <v/>
      </c>
    </row>
    <row r="244" ht="32" customHeight="1">
      <c r="C244" s="10" t="inlineStr">
        <is>
          <t>PRJ-4a6ff694-RK-05</t>
        </is>
      </c>
      <c r="D244" s="10" t="inlineStr">
        <is>
          <t>P4102607989</t>
        </is>
      </c>
      <c r="E244" s="11" t="inlineStr">
        <is>
          <t>Unbekannte Bauwerkskonstruktion / fehlende Pläne</t>
        </is>
      </c>
      <c r="F244" s="10" t="inlineStr">
        <is>
          <t>Statik</t>
        </is>
      </c>
      <c r="G244" s="12" t="n">
        <v>0.37</v>
      </c>
      <c r="H244" s="13" t="n">
        <v>9033</v>
      </c>
      <c r="I244" s="13" t="n">
        <v>11613</v>
      </c>
      <c r="J244" s="13" t="n">
        <v>16775</v>
      </c>
      <c r="K244" s="14">
        <f>IF(OR(COUNT(G244:J244)&lt;&gt;4,G244&lt;0,G244&gt;1,H244&gt;I244,I244&gt;J244),"n.a.",ROUND(G244*(H244+4*I244+J244)/6+0.00000001,2))</f>
        <v/>
      </c>
      <c r="L244" s="13" t="n">
        <v>0</v>
      </c>
      <c r="M244" s="14">
        <f>SUMIFS(Maßnahmen!$I$7:$I$126,Maßnahmen!$D$7:$D$126,C244,Maßnahmen!$H$7:$H$126,"&lt;&gt;verworfen")</f>
        <v/>
      </c>
      <c r="N244" s="14">
        <f>IF(ISNUMBER(K244),MAX(0,K244-L244-M244),"n.a.")</f>
        <v/>
      </c>
      <c r="O244" s="14" t="n">
        <v>4456.03</v>
      </c>
      <c r="P244" s="14">
        <f>IF(ISNUMBER(K244),K244-O244,"n.a.")</f>
        <v/>
      </c>
    </row>
    <row r="245" ht="32" customHeight="1">
      <c r="C245" s="10" t="inlineStr">
        <is>
          <t>PRJ-4a6ff694-RK-06</t>
        </is>
      </c>
      <c r="D245" s="10" t="inlineStr">
        <is>
          <t>P4102607989</t>
        </is>
      </c>
      <c r="E245" s="11" t="inlineStr">
        <is>
          <t>Statik / Einsturzsicherung während Abbruch</t>
        </is>
      </c>
      <c r="F245" s="10" t="inlineStr">
        <is>
          <t>Statik</t>
        </is>
      </c>
      <c r="G245" s="12" t="n">
        <v>0.12</v>
      </c>
      <c r="H245" s="13" t="n">
        <v>774</v>
      </c>
      <c r="I245" s="13" t="n">
        <v>1807</v>
      </c>
      <c r="J245" s="13" t="n">
        <v>3613</v>
      </c>
      <c r="K245" s="14">
        <f>IF(OR(COUNT(G245:J245)&lt;&gt;4,G245&lt;0,G245&gt;1,H245&gt;I245,I245&gt;J245),"n.a.",ROUND(G245*(H245+4*I245+J245)/6+0.00000001,2))</f>
        <v/>
      </c>
      <c r="L245" s="13" t="n">
        <v>0</v>
      </c>
      <c r="M245" s="14">
        <f>SUMIFS(Maßnahmen!$I$7:$I$126,Maßnahmen!$D$7:$D$126,C245,Maßnahmen!$H$7:$H$126,"&lt;&gt;verworfen")</f>
        <v/>
      </c>
      <c r="N245" s="14">
        <f>IF(ISNUMBER(K245),MAX(0,K245-L245-M245),"n.a.")</f>
        <v/>
      </c>
      <c r="O245" s="14" t="n">
        <v>232.3</v>
      </c>
      <c r="P245" s="14">
        <f>IF(ISNUMBER(K245),K245-O245,"n.a.")</f>
        <v/>
      </c>
    </row>
    <row r="246" ht="32" customHeight="1">
      <c r="C246" s="10" t="inlineStr">
        <is>
          <t>PRJ-4a6ff694-RK-07</t>
        </is>
      </c>
      <c r="D246" s="10" t="inlineStr">
        <is>
          <t>P4102607989</t>
        </is>
      </c>
      <c r="E246" s="11" t="inlineStr">
        <is>
          <t>Unterirdische Tragkonstruktion / Fundamente</t>
        </is>
      </c>
      <c r="F246" s="10" t="inlineStr">
        <is>
          <t>Statik</t>
        </is>
      </c>
      <c r="G246" s="12" t="n">
        <v>0.6</v>
      </c>
      <c r="H246" s="13" t="n">
        <v>129</v>
      </c>
      <c r="I246" s="13" t="n">
        <v>516</v>
      </c>
      <c r="J246" s="13" t="n">
        <v>1290</v>
      </c>
      <c r="K246" s="14">
        <f>IF(OR(COUNT(G246:J246)&lt;&gt;4,G246&lt;0,G246&gt;1,H246&gt;I246,I246&gt;J246),"n.a.",ROUND(G246*(H246+4*I246+J246)/6+0.00000001,2))</f>
        <v/>
      </c>
      <c r="L246" s="13" t="n">
        <v>0</v>
      </c>
      <c r="M246" s="14">
        <f>SUMIFS(Maßnahmen!$I$7:$I$126,Maßnahmen!$D$7:$D$126,C246,Maßnahmen!$H$7:$H$126,"&lt;&gt;verworfen")</f>
        <v/>
      </c>
      <c r="N246" s="14">
        <f>IF(ISNUMBER(K246),MAX(0,K246-L246-M246),"n.a.")</f>
        <v/>
      </c>
      <c r="O246" s="14" t="n">
        <v>348.3</v>
      </c>
      <c r="P246" s="14">
        <f>IF(ISNUMBER(K246),K246-O246,"n.a.")</f>
        <v/>
      </c>
    </row>
    <row r="247" ht="32" customHeight="1">
      <c r="C247" s="10" t="inlineStr">
        <is>
          <t>PRJ-4a6ff694-RK-08</t>
        </is>
      </c>
      <c r="D247" s="10" t="inlineStr">
        <is>
          <t>P4102607989</t>
        </is>
      </c>
      <c r="E247" s="11" t="inlineStr">
        <is>
          <t>Gebäudehöhe &gt;22 m / Longfront-Bagger (+130–150 %)</t>
        </is>
      </c>
      <c r="F247" s="10" t="inlineStr">
        <is>
          <t>Termin</t>
        </is>
      </c>
      <c r="G247" s="12" t="n">
        <v>0.2</v>
      </c>
      <c r="H247" s="13" t="n">
        <v>258</v>
      </c>
      <c r="I247" s="13" t="n">
        <v>774</v>
      </c>
      <c r="J247" s="13" t="n">
        <v>1548</v>
      </c>
      <c r="K247" s="14">
        <f>IF(OR(COUNT(G247:J247)&lt;&gt;4,G247&lt;0,G247&gt;1,H247&gt;I247,I247&gt;J247),"n.a.",ROUND(G247*(H247+4*I247+J247)/6+0.00000001,2))</f>
        <v/>
      </c>
      <c r="L247" s="13" t="n">
        <v>0</v>
      </c>
      <c r="M247" s="14">
        <f>SUMIFS(Maßnahmen!$I$7:$I$126,Maßnahmen!$D$7:$D$126,C247,Maßnahmen!$H$7:$H$126,"&lt;&gt;verworfen")</f>
        <v/>
      </c>
      <c r="N247" s="14">
        <f>IF(ISNUMBER(K247),MAX(0,K247-L247-M247),"n.a.")</f>
        <v/>
      </c>
      <c r="O247" s="14" t="n">
        <v>163.4</v>
      </c>
      <c r="P247" s="14">
        <f>IF(ISNUMBER(K247),K247-O247,"n.a.")</f>
        <v/>
      </c>
    </row>
    <row r="248" ht="32" customHeight="1">
      <c r="C248" s="10" t="inlineStr">
        <is>
          <t>PRJ-4a6ff694-RK-09</t>
        </is>
      </c>
      <c r="D248" s="10" t="inlineStr">
        <is>
          <t>P4102607989</t>
        </is>
      </c>
      <c r="E248" s="11" t="inlineStr">
        <is>
          <t>Beennte Lage / nur Handabbruch möglich</t>
        </is>
      </c>
      <c r="F248" s="10" t="inlineStr">
        <is>
          <t>Termin</t>
        </is>
      </c>
      <c r="G248" s="12" t="n">
        <v>0.5</v>
      </c>
      <c r="H248" s="13" t="n">
        <v>3657</v>
      </c>
      <c r="I248" s="13" t="n">
        <v>7417</v>
      </c>
      <c r="J248" s="13" t="n">
        <v>15092</v>
      </c>
      <c r="K248" s="14">
        <f>IF(OR(COUNT(G248:J248)&lt;&gt;4,G248&lt;0,G248&gt;1,H248&gt;I248,I248&gt;J248),"n.a.",ROUND(G248*(H248+4*I248+J248)/6+0.00000001,2))</f>
        <v/>
      </c>
      <c r="L248" s="13" t="n">
        <v>0</v>
      </c>
      <c r="M248" s="14">
        <f>SUMIFS(Maßnahmen!$I$7:$I$126,Maßnahmen!$D$7:$D$126,C248,Maßnahmen!$H$7:$H$126,"&lt;&gt;verworfen")</f>
        <v/>
      </c>
      <c r="N248" s="14">
        <f>IF(ISNUMBER(K248),MAX(0,K248-L248-M248),"n.a.")</f>
        <v/>
      </c>
      <c r="O248" s="14" t="n">
        <v>4034.75</v>
      </c>
      <c r="P248" s="14">
        <f>IF(ISNUMBER(K248),K248-O248,"n.a.")</f>
        <v/>
      </c>
    </row>
    <row r="249" ht="32" customHeight="1">
      <c r="C249" s="10" t="inlineStr">
        <is>
          <t>PRJ-4a6ff694-RK-10</t>
        </is>
      </c>
      <c r="D249" s="10" t="inlineStr">
        <is>
          <t>P4102607989</t>
        </is>
      </c>
      <c r="E249" s="11" t="inlineStr">
        <is>
          <t>Terminvorgabe Auftraggeber / Geräteauslastung</t>
        </is>
      </c>
      <c r="F249" s="10" t="inlineStr">
        <is>
          <t>Termin</t>
        </is>
      </c>
      <c r="G249" s="12" t="n">
        <v>0.08</v>
      </c>
      <c r="H249" s="13" t="n">
        <v>129</v>
      </c>
      <c r="I249" s="13" t="n">
        <v>258</v>
      </c>
      <c r="J249" s="13" t="n">
        <v>516</v>
      </c>
      <c r="K249" s="14">
        <f>IF(OR(COUNT(G249:J249)&lt;&gt;4,G249&lt;0,G249&gt;1,H249&gt;I249,I249&gt;J249),"n.a.",ROUND(G249*(H249+4*I249+J249)/6+0.00000001,2))</f>
        <v/>
      </c>
      <c r="L249" s="13" t="n">
        <v>0</v>
      </c>
      <c r="M249" s="14">
        <f>SUMIFS(Maßnahmen!$I$7:$I$126,Maßnahmen!$D$7:$D$126,C249,Maßnahmen!$H$7:$H$126,"&lt;&gt;verworfen")</f>
        <v/>
      </c>
      <c r="N249" s="14">
        <f>IF(ISNUMBER(K249),MAX(0,K249-L249-M249),"n.a.")</f>
        <v/>
      </c>
      <c r="O249" s="14" t="n">
        <v>22.36</v>
      </c>
      <c r="P249" s="14">
        <f>IF(ISNUMBER(K249),K249-O249,"n.a.")</f>
        <v/>
      </c>
    </row>
    <row r="250" ht="32" customHeight="1">
      <c r="C250" s="10" t="inlineStr">
        <is>
          <t>PRJ-4a6ff694-RK-11</t>
        </is>
      </c>
      <c r="D250" s="10" t="inlineStr">
        <is>
          <t>P4102607989</t>
        </is>
      </c>
      <c r="E250" s="11" t="inlineStr">
        <is>
          <t>Witterung / Ablaufstörung</t>
        </is>
      </c>
      <c r="F250" s="10" t="inlineStr">
        <is>
          <t>Termin</t>
        </is>
      </c>
      <c r="G250" s="12" t="n">
        <v>0.15</v>
      </c>
      <c r="H250" s="13" t="n">
        <v>258</v>
      </c>
      <c r="I250" s="13" t="n">
        <v>774</v>
      </c>
      <c r="J250" s="13" t="n">
        <v>1548</v>
      </c>
      <c r="K250" s="14">
        <f>IF(OR(COUNT(G250:J250)&lt;&gt;4,G250&lt;0,G250&gt;1,H250&gt;I250,I250&gt;J250),"n.a.",ROUND(G250*(H250+4*I250+J250)/6+0.00000001,2))</f>
        <v/>
      </c>
      <c r="L250" s="13" t="n">
        <v>0</v>
      </c>
      <c r="M250" s="14">
        <f>SUMIFS(Maßnahmen!$I$7:$I$126,Maßnahmen!$D$7:$D$126,C250,Maßnahmen!$H$7:$H$126,"&lt;&gt;verworfen")</f>
        <v/>
      </c>
      <c r="N250" s="14">
        <f>IF(ISNUMBER(K250),MAX(0,K250-L250-M250),"n.a.")</f>
        <v/>
      </c>
      <c r="O250" s="14" t="n">
        <v>122.55</v>
      </c>
      <c r="P250" s="14">
        <f>IF(ISNUMBER(K250),K250-O250,"n.a.")</f>
        <v/>
      </c>
    </row>
    <row r="251" ht="32" customHeight="1">
      <c r="C251" s="10" t="inlineStr">
        <is>
          <t>PRJ-52b1cf4f-RK-03</t>
        </is>
      </c>
      <c r="D251" s="10" t="inlineStr">
        <is>
          <t>P4102157456</t>
        </is>
      </c>
      <c r="E251" s="11" t="inlineStr">
        <is>
          <t>Entsorgungs-Mehrkosten / Entsorgungswege</t>
        </is>
      </c>
      <c r="F251" s="10" t="inlineStr">
        <is>
          <t>Entsorgung</t>
        </is>
      </c>
      <c r="G251" s="12" t="n">
        <v>0.271</v>
      </c>
      <c r="H251" s="13" t="n">
        <v>4490</v>
      </c>
      <c r="I251" s="13" t="n">
        <v>8908</v>
      </c>
      <c r="J251" s="13" t="n">
        <v>15498</v>
      </c>
      <c r="K251" s="14">
        <f>IF(OR(COUNT(G251:J251)&lt;&gt;4,G251&lt;0,G251&gt;1,H251&gt;I251,I251&gt;J251),"n.a.",ROUND(G251*(H251+4*I251+J251)/6+0.00000001,2))</f>
        <v/>
      </c>
      <c r="L251" s="13" t="n">
        <v>0</v>
      </c>
      <c r="M251" s="14">
        <f>SUMIFS(Maßnahmen!$I$7:$I$126,Maßnahmen!$D$7:$D$126,C251,Maßnahmen!$H$7:$H$126,"&lt;&gt;verworfen")</f>
        <v/>
      </c>
      <c r="N251" s="14">
        <f>IF(ISNUMBER(K251),MAX(0,K251-L251-M251),"n.a.")</f>
        <v/>
      </c>
      <c r="O251" s="14" t="n">
        <v>2512.17</v>
      </c>
      <c r="P251" s="14">
        <f>IF(ISNUMBER(K251),K251-O251,"n.a.")</f>
        <v/>
      </c>
    </row>
    <row r="252" ht="32" customHeight="1">
      <c r="C252" s="10" t="inlineStr">
        <is>
          <t>PRJ-52b1cf4f-RK-05</t>
        </is>
      </c>
      <c r="D252" s="10" t="inlineStr">
        <is>
          <t>P4102157456</t>
        </is>
      </c>
      <c r="E252" s="11" t="inlineStr">
        <is>
          <t>Unbekannte Bauwerkskonstruktion / fehlende Pläne</t>
        </is>
      </c>
      <c r="F252" s="10" t="inlineStr">
        <is>
          <t>Statik</t>
        </is>
      </c>
      <c r="G252" s="12" t="n">
        <v>0.12</v>
      </c>
      <c r="H252" s="13" t="n">
        <v>5032</v>
      </c>
      <c r="I252" s="13" t="n">
        <v>9320</v>
      </c>
      <c r="J252" s="13" t="n">
        <v>16452</v>
      </c>
      <c r="K252" s="14">
        <f>IF(OR(COUNT(G252:J252)&lt;&gt;4,G252&lt;0,G252&gt;1,H252&gt;I252,I252&gt;J252),"n.a.",ROUND(G252*(H252+4*I252+J252)/6+0.00000001,2))</f>
        <v/>
      </c>
      <c r="L252" s="13" t="n">
        <v>0</v>
      </c>
      <c r="M252" s="14">
        <f>SUMIFS(Maßnahmen!$I$7:$I$126,Maßnahmen!$D$7:$D$126,C252,Maßnahmen!$H$7:$H$126,"&lt;&gt;verworfen")</f>
        <v/>
      </c>
      <c r="N252" s="14">
        <f>IF(ISNUMBER(K252),MAX(0,K252-L252-M252),"n.a.")</f>
        <v/>
      </c>
      <c r="O252" s="14" t="n">
        <v>1175.28</v>
      </c>
      <c r="P252" s="14">
        <f>IF(ISNUMBER(K252),K252-O252,"n.a.")</f>
        <v/>
      </c>
    </row>
    <row r="253" ht="32" customHeight="1">
      <c r="C253" s="10" t="inlineStr">
        <is>
          <t>PRJ-4a6f9cfb-RK-09</t>
        </is>
      </c>
      <c r="D253" s="10" t="inlineStr">
        <is>
          <t>P4102608246</t>
        </is>
      </c>
      <c r="E253" s="11" t="inlineStr">
        <is>
          <t>Beennte Lage / nur Handabbruch möglich</t>
        </is>
      </c>
      <c r="F253" s="10" t="inlineStr">
        <is>
          <t>Termin</t>
        </is>
      </c>
      <c r="G253" s="12" t="n">
        <v>0.5</v>
      </c>
      <c r="H253" s="13" t="n">
        <v>23904</v>
      </c>
      <c r="I253" s="13" t="n">
        <v>49463</v>
      </c>
      <c r="J253" s="13" t="n">
        <v>103065</v>
      </c>
      <c r="K253" s="14">
        <f>IF(OR(COUNT(G253:J253)&lt;&gt;4,G253&lt;0,G253&gt;1,H253&gt;I253,I253&gt;J253),"n.a.",ROUND(G253*(H253+4*I253+J253)/6+0.00000001,2))</f>
        <v/>
      </c>
      <c r="L253" s="13" t="n">
        <v>0</v>
      </c>
      <c r="M253" s="14">
        <f>SUMIFS(Maßnahmen!$I$7:$I$126,Maßnahmen!$D$7:$D$126,C253,Maßnahmen!$H$7:$H$126,"&lt;&gt;verworfen")</f>
        <v/>
      </c>
      <c r="N253" s="14">
        <f>IF(ISNUMBER(K253),MAX(0,K253-L253-M253),"n.a.")</f>
        <v/>
      </c>
      <c r="O253" s="14" t="n">
        <v>27068.42</v>
      </c>
      <c r="P253" s="14">
        <f>IF(ISNUMBER(K253),K253-O253,"n.a.")</f>
        <v/>
      </c>
    </row>
    <row r="254" ht="32" customHeight="1">
      <c r="C254" s="10" t="inlineStr">
        <is>
          <t>PRJ-4a6f9cfb-RK-12</t>
        </is>
      </c>
      <c r="D254" s="10" t="inlineStr">
        <is>
          <t>P4102608246</t>
        </is>
      </c>
      <c r="E254" s="11" t="inlineStr">
        <is>
          <t>Staubemissionen (höchster Aufwand laut Umfrage)</t>
        </is>
      </c>
      <c r="F254" s="10" t="inlineStr">
        <is>
          <t>Emissionen</t>
        </is>
      </c>
      <c r="G254" s="12" t="n">
        <v>0.22</v>
      </c>
      <c r="H254" s="13" t="n">
        <v>12570</v>
      </c>
      <c r="I254" s="13" t="n">
        <v>25017</v>
      </c>
      <c r="J254" s="13" t="n">
        <v>49973</v>
      </c>
      <c r="K254" s="14">
        <f>IF(OR(COUNT(G254:J254)&lt;&gt;4,G254&lt;0,G254&gt;1,H254&gt;I254,I254&gt;J254),"n.a.",ROUND(G254*(H254+4*I254+J254)/6+0.00000001,2))</f>
        <v/>
      </c>
      <c r="L254" s="13" t="n">
        <v>0</v>
      </c>
      <c r="M254" s="14">
        <f>SUMIFS(Maßnahmen!$I$7:$I$126,Maßnahmen!$D$7:$D$126,C254,Maßnahmen!$H$7:$H$126,"&lt;&gt;verworfen")</f>
        <v/>
      </c>
      <c r="N254" s="14">
        <f>IF(ISNUMBER(K254),MAX(0,K254-L254-M254),"n.a.")</f>
        <v/>
      </c>
      <c r="O254" s="14" t="n">
        <v>5962.4</v>
      </c>
      <c r="P254" s="14">
        <f>IF(ISNUMBER(K254),K254-O254,"n.a.")</f>
        <v/>
      </c>
    </row>
    <row r="255" ht="32" customHeight="1">
      <c r="C255" s="10" t="inlineStr">
        <is>
          <t>PRJ-4a6f9cfb-RK-13</t>
        </is>
      </c>
      <c r="D255" s="10" t="inlineStr">
        <is>
          <t>P4102608246</t>
        </is>
      </c>
      <c r="E255" s="11" t="inlineStr">
        <is>
          <t>Lärm- und Erschütterungsauflagen</t>
        </is>
      </c>
      <c r="F255" s="10" t="inlineStr">
        <is>
          <t>Emissionen</t>
        </is>
      </c>
      <c r="G255" s="12" t="n">
        <v>0.6</v>
      </c>
      <c r="H255" s="13" t="n">
        <v>57700</v>
      </c>
      <c r="I255" s="13" t="n">
        <v>111302</v>
      </c>
      <c r="J255" s="13" t="n">
        <v>197892</v>
      </c>
      <c r="K255" s="14">
        <f>IF(OR(COUNT(G255:J255)&lt;&gt;4,G255&lt;0,G255&gt;1,H255&gt;I255,I255&gt;J255),"n.a.",ROUND(G255*(H255+4*I255+J255)/6+0.00000001,2))</f>
        <v/>
      </c>
      <c r="L255" s="13" t="n">
        <v>0</v>
      </c>
      <c r="M255" s="14">
        <f>SUMIFS(Maßnahmen!$I$7:$I$126,Maßnahmen!$D$7:$D$126,C255,Maßnahmen!$H$7:$H$126,"&lt;&gt;verworfen")</f>
        <v/>
      </c>
      <c r="N255" s="14">
        <f>IF(ISNUMBER(K255),MAX(0,K255-L255-M255),"n.a.")</f>
        <v/>
      </c>
      <c r="O255" s="14" t="n">
        <v>70080</v>
      </c>
      <c r="P255" s="14">
        <f>IF(ISNUMBER(K255),K255-O255,"n.a.")</f>
        <v/>
      </c>
    </row>
    <row r="256" ht="32" customHeight="1">
      <c r="C256" s="10" t="inlineStr">
        <is>
          <t>PRJ-4a6f9cfb-RK-14</t>
        </is>
      </c>
      <c r="D256" s="10" t="inlineStr">
        <is>
          <t>P4102608246</t>
        </is>
      </c>
      <c r="E256" s="11" t="inlineStr">
        <is>
          <t>Rechtliche Auflagen / Entsorgungsnachweise (Formalismus)</t>
        </is>
      </c>
      <c r="F256" s="10" t="inlineStr">
        <is>
          <t>Genehmigung</t>
        </is>
      </c>
      <c r="G256" s="12" t="n">
        <v>0.12</v>
      </c>
      <c r="H256" s="13" t="n">
        <v>6208</v>
      </c>
      <c r="I256" s="13" t="n">
        <v>14486</v>
      </c>
      <c r="J256" s="13" t="n">
        <v>28972</v>
      </c>
      <c r="K256" s="14">
        <f>IF(OR(COUNT(G256:J256)&lt;&gt;4,G256&lt;0,G256&gt;1,H256&gt;I256,I256&gt;J256),"n.a.",ROUND(G256*(H256+4*I256+J256)/6+0.00000001,2))</f>
        <v/>
      </c>
      <c r="L256" s="13" t="n">
        <v>0</v>
      </c>
      <c r="M256" s="14">
        <f>SUMIFS(Maßnahmen!$I$7:$I$126,Maßnahmen!$D$7:$D$126,C256,Maßnahmen!$H$7:$H$126,"&lt;&gt;verworfen")</f>
        <v/>
      </c>
      <c r="N256" s="14">
        <f>IF(ISNUMBER(K256),MAX(0,K256-L256-M256),"n.a.")</f>
        <v/>
      </c>
      <c r="O256" s="14" t="n">
        <v>1862.48</v>
      </c>
      <c r="P256" s="14">
        <f>IF(ISNUMBER(K256),K256-O256,"n.a.")</f>
        <v/>
      </c>
    </row>
    <row r="257" ht="32" customHeight="1">
      <c r="C257" s="10" t="inlineStr">
        <is>
          <t>PRJ-4a6f9ca4-RK-02</t>
        </is>
      </c>
      <c r="D257" s="10" t="inlineStr">
        <is>
          <t>P4102608270</t>
        </is>
      </c>
      <c r="E257" s="11" t="inlineStr">
        <is>
          <t>Arbeitsschutz kontaminierte Bereiche (TRGS 524)</t>
        </is>
      </c>
      <c r="F257" s="10" t="inlineStr">
        <is>
          <t>Schadstoffe</t>
        </is>
      </c>
      <c r="G257" s="12" t="n">
        <v>0.1</v>
      </c>
      <c r="H257" s="13" t="n">
        <v>106</v>
      </c>
      <c r="I257" s="13" t="n">
        <v>213</v>
      </c>
      <c r="J257" s="13" t="n">
        <v>425</v>
      </c>
      <c r="K257" s="14">
        <f>IF(OR(COUNT(G257:J257)&lt;&gt;4,G257&lt;0,G257&gt;1,H257&gt;I257,I257&gt;J257),"n.a.",ROUND(G257*(H257+4*I257+J257)/6+0.00000001,2))</f>
        <v/>
      </c>
      <c r="L257" s="13" t="n">
        <v>0</v>
      </c>
      <c r="M257" s="14">
        <f>SUMIFS(Maßnahmen!$I$7:$I$126,Maßnahmen!$D$7:$D$126,C257,Maßnahmen!$H$7:$H$126,"&lt;&gt;verworfen")</f>
        <v/>
      </c>
      <c r="N257" s="14">
        <f>IF(ISNUMBER(K257),MAX(0,K257-L257-M257),"n.a.")</f>
        <v/>
      </c>
      <c r="O257" s="14" t="n">
        <v>23.05</v>
      </c>
      <c r="P257" s="14">
        <f>IF(ISNUMBER(K257),K257-O257,"n.a.")</f>
        <v/>
      </c>
    </row>
    <row r="258" ht="32" customHeight="1">
      <c r="C258" s="10" t="inlineStr">
        <is>
          <t>PRJ-4a6f9ca4-RK-03</t>
        </is>
      </c>
      <c r="D258" s="10" t="inlineStr">
        <is>
          <t>P4102608270</t>
        </is>
      </c>
      <c r="E258" s="11" t="inlineStr">
        <is>
          <t>Entsorgungs-Mehrkosten / Entsorgungswege</t>
        </is>
      </c>
      <c r="F258" s="10" t="inlineStr">
        <is>
          <t>Entsorgung</t>
        </is>
      </c>
      <c r="G258" s="12" t="n">
        <v>0.55</v>
      </c>
      <c r="H258" s="13" t="n">
        <v>3891</v>
      </c>
      <c r="I258" s="13" t="n">
        <v>7128</v>
      </c>
      <c r="J258" s="13" t="n">
        <v>11657</v>
      </c>
      <c r="K258" s="14">
        <f>IF(OR(COUNT(G258:J258)&lt;&gt;4,G258&lt;0,G258&gt;1,H258&gt;I258,I258&gt;J258),"n.a.",ROUND(G258*(H258+4*I258+J258)/6+0.00000001,2))</f>
        <v/>
      </c>
      <c r="L258" s="13" t="n">
        <v>0</v>
      </c>
      <c r="M258" s="14">
        <f>SUMIFS(Maßnahmen!$I$7:$I$126,Maßnahmen!$D$7:$D$126,C258,Maßnahmen!$H$7:$H$126,"&lt;&gt;verworfen")</f>
        <v/>
      </c>
      <c r="N258" s="14">
        <f>IF(ISNUMBER(K258),MAX(0,K258-L258-M258),"n.a.")</f>
        <v/>
      </c>
      <c r="O258" s="14" t="n">
        <v>4038.83</v>
      </c>
      <c r="P258" s="14">
        <f>IF(ISNUMBER(K258),K258-O258,"n.a.")</f>
        <v/>
      </c>
    </row>
    <row r="259" ht="32" customHeight="1">
      <c r="C259" s="10" t="inlineStr">
        <is>
          <t>PRJ-4a6f9ca4-RK-05</t>
        </is>
      </c>
      <c r="D259" s="10" t="inlineStr">
        <is>
          <t>P4102608270</t>
        </is>
      </c>
      <c r="E259" s="11" t="inlineStr">
        <is>
          <t>Unbekannte Bauwerkskonstruktion / fehlende Pläne</t>
        </is>
      </c>
      <c r="F259" s="10" t="inlineStr">
        <is>
          <t>Statik</t>
        </is>
      </c>
      <c r="G259" s="12" t="n">
        <v>0.37</v>
      </c>
      <c r="H259" s="13" t="n">
        <v>7441</v>
      </c>
      <c r="I259" s="13" t="n">
        <v>9566</v>
      </c>
      <c r="J259" s="13" t="n">
        <v>13818</v>
      </c>
      <c r="K259" s="14">
        <f>IF(OR(COUNT(G259:J259)&lt;&gt;4,G259&lt;0,G259&gt;1,H259&gt;I259,I259&gt;J259),"n.a.",ROUND(G259*(H259+4*I259+J259)/6+0.00000001,2))</f>
        <v/>
      </c>
      <c r="L259" s="13" t="n">
        <v>0</v>
      </c>
      <c r="M259" s="14">
        <f>SUMIFS(Maßnahmen!$I$7:$I$126,Maßnahmen!$D$7:$D$126,C259,Maßnahmen!$H$7:$H$126,"&lt;&gt;verworfen")</f>
        <v/>
      </c>
      <c r="N259" s="14">
        <f>IF(ISNUMBER(K259),MAX(0,K259-L259-M259),"n.a.")</f>
        <v/>
      </c>
      <c r="O259" s="14" t="n">
        <v>3670.59</v>
      </c>
      <c r="P259" s="14">
        <f>IF(ISNUMBER(K259),K259-O259,"n.a.")</f>
        <v/>
      </c>
    </row>
    <row r="260" ht="32" customHeight="1">
      <c r="C260" s="10" t="inlineStr">
        <is>
          <t>PRJ-4a6f9ca4-RK-06</t>
        </is>
      </c>
      <c r="D260" s="10" t="inlineStr">
        <is>
          <t>P4102608270</t>
        </is>
      </c>
      <c r="E260" s="11" t="inlineStr">
        <is>
          <t>Statik / Einsturzsicherung während Abbruch</t>
        </is>
      </c>
      <c r="F260" s="10" t="inlineStr">
        <is>
          <t>Statik</t>
        </is>
      </c>
      <c r="G260" s="12" t="n">
        <v>0.324</v>
      </c>
      <c r="H260" s="13" t="n">
        <v>3237</v>
      </c>
      <c r="I260" s="13" t="n">
        <v>5820</v>
      </c>
      <c r="J260" s="13" t="n">
        <v>9908</v>
      </c>
      <c r="K260" s="14">
        <f>IF(OR(COUNT(G260:J260)&lt;&gt;4,G260&lt;0,G260&gt;1,H260&gt;I260,I260&gt;J260),"n.a.",ROUND(G260*(H260+4*I260+J260)/6+0.00000001,2))</f>
        <v/>
      </c>
      <c r="L260" s="13" t="n">
        <v>0</v>
      </c>
      <c r="M260" s="14">
        <f>SUMIFS(Maßnahmen!$I$7:$I$126,Maßnahmen!$D$7:$D$126,C260,Maßnahmen!$H$7:$H$126,"&lt;&gt;verworfen")</f>
        <v/>
      </c>
      <c r="N260" s="14">
        <f>IF(ISNUMBER(K260),MAX(0,K260-L260-M260),"n.a.")</f>
        <v/>
      </c>
      <c r="O260" s="14" t="n">
        <v>1966.95</v>
      </c>
      <c r="P260" s="14">
        <f>IF(ISNUMBER(K260),K260-O260,"n.a.")</f>
        <v/>
      </c>
    </row>
    <row r="261" ht="32" customHeight="1">
      <c r="C261" s="10" t="inlineStr">
        <is>
          <t>PRJ-4a6f9ca4-RK-07</t>
        </is>
      </c>
      <c r="D261" s="10" t="inlineStr">
        <is>
          <t>P4102608270</t>
        </is>
      </c>
      <c r="E261" s="11" t="inlineStr">
        <is>
          <t>Unterirdische Tragkonstruktion / Fundamente</t>
        </is>
      </c>
      <c r="F261" s="10" t="inlineStr">
        <is>
          <t>Statik</t>
        </is>
      </c>
      <c r="G261" s="12" t="n">
        <v>0.6</v>
      </c>
      <c r="H261" s="13" t="n">
        <v>973</v>
      </c>
      <c r="I261" s="13" t="n">
        <v>1811</v>
      </c>
      <c r="J261" s="13" t="n">
        <v>3662</v>
      </c>
      <c r="K261" s="14">
        <f>IF(OR(COUNT(G261:J261)&lt;&gt;4,G261&lt;0,G261&gt;1,H261&gt;I261,I261&gt;J261),"n.a.",ROUND(G261*(H261+4*I261+J261)/6+0.00000001,2))</f>
        <v/>
      </c>
      <c r="L261" s="13" t="n">
        <v>0</v>
      </c>
      <c r="M261" s="14">
        <f>SUMIFS(Maßnahmen!$I$7:$I$126,Maßnahmen!$D$7:$D$126,C261,Maßnahmen!$H$7:$H$126,"&lt;&gt;verworfen")</f>
        <v/>
      </c>
      <c r="N261" s="14">
        <f>IF(ISNUMBER(K261),MAX(0,K261-L261-M261),"n.a.")</f>
        <v/>
      </c>
      <c r="O261" s="14" t="n">
        <v>1187.9</v>
      </c>
      <c r="P261" s="14">
        <f>IF(ISNUMBER(K261),K261-O261,"n.a.")</f>
        <v/>
      </c>
    </row>
    <row r="262" ht="32" customHeight="1">
      <c r="C262" s="10" t="inlineStr">
        <is>
          <t>PRJ-4a6f9ca4-RK-08</t>
        </is>
      </c>
      <c r="D262" s="10" t="inlineStr">
        <is>
          <t>P4102608270</t>
        </is>
      </c>
      <c r="E262" s="11" t="inlineStr">
        <is>
          <t>Gebäudehöhe &gt;22 m / Longfront-Bagger (+130–150 %)</t>
        </is>
      </c>
      <c r="F262" s="10" t="inlineStr">
        <is>
          <t>Termin</t>
        </is>
      </c>
      <c r="G262" s="12" t="n">
        <v>0.2</v>
      </c>
      <c r="H262" s="13" t="n">
        <v>213</v>
      </c>
      <c r="I262" s="13" t="n">
        <v>638</v>
      </c>
      <c r="J262" s="13" t="n">
        <v>1276</v>
      </c>
      <c r="K262" s="14">
        <f>IF(OR(COUNT(G262:J262)&lt;&gt;4,G262&lt;0,G262&gt;1,H262&gt;I262,I262&gt;J262),"n.a.",ROUND(G262*(H262+4*I262+J262)/6+0.00000001,2))</f>
        <v/>
      </c>
      <c r="L262" s="13" t="n">
        <v>0</v>
      </c>
      <c r="M262" s="14">
        <f>SUMIFS(Maßnahmen!$I$7:$I$126,Maßnahmen!$D$7:$D$126,C262,Maßnahmen!$H$7:$H$126,"&lt;&gt;verworfen")</f>
        <v/>
      </c>
      <c r="N262" s="14">
        <f>IF(ISNUMBER(K262),MAX(0,K262-L262-M262),"n.a.")</f>
        <v/>
      </c>
      <c r="O262" s="14" t="n">
        <v>134.7</v>
      </c>
      <c r="P262" s="14">
        <f>IF(ISNUMBER(K262),K262-O262,"n.a.")</f>
        <v/>
      </c>
    </row>
    <row r="263" ht="32" customHeight="1">
      <c r="C263" s="10" t="inlineStr">
        <is>
          <t>PRJ-4a6f9ca4-RK-09</t>
        </is>
      </c>
      <c r="D263" s="10" t="inlineStr">
        <is>
          <t>P4102608270</t>
        </is>
      </c>
      <c r="E263" s="11" t="inlineStr">
        <is>
          <t>Beennte Lage / nur Handabbruch möglich</t>
        </is>
      </c>
      <c r="F263" s="10" t="inlineStr">
        <is>
          <t>Termin</t>
        </is>
      </c>
      <c r="G263" s="12" t="n">
        <v>0.5</v>
      </c>
      <c r="H263" s="13" t="n">
        <v>3376</v>
      </c>
      <c r="I263" s="13" t="n">
        <v>6837</v>
      </c>
      <c r="J263" s="13" t="n">
        <v>13818</v>
      </c>
      <c r="K263" s="14">
        <f>IF(OR(COUNT(G263:J263)&lt;&gt;4,G263&lt;0,G263&gt;1,H263&gt;I263,I263&gt;J263),"n.a.",ROUND(G263*(H263+4*I263+J263)/6+0.00000001,2))</f>
        <v/>
      </c>
      <c r="L263" s="13" t="n">
        <v>0</v>
      </c>
      <c r="M263" s="14">
        <f>SUMIFS(Maßnahmen!$I$7:$I$126,Maßnahmen!$D$7:$D$126,C263,Maßnahmen!$H$7:$H$126,"&lt;&gt;verworfen")</f>
        <v/>
      </c>
      <c r="N263" s="14">
        <f>IF(ISNUMBER(K263),MAX(0,K263-L263-M263),"n.a.")</f>
        <v/>
      </c>
      <c r="O263" s="14" t="n">
        <v>3711.83</v>
      </c>
      <c r="P263" s="14">
        <f>IF(ISNUMBER(K263),K263-O263,"n.a.")</f>
        <v/>
      </c>
    </row>
    <row r="264" ht="32" customHeight="1">
      <c r="C264" s="10" t="inlineStr">
        <is>
          <t>PRJ-4a6f9ca4-RK-11</t>
        </is>
      </c>
      <c r="D264" s="10" t="inlineStr">
        <is>
          <t>P4102608270</t>
        </is>
      </c>
      <c r="E264" s="11" t="inlineStr">
        <is>
          <t>Witterung / Ablaufstörung</t>
        </is>
      </c>
      <c r="F264" s="10" t="inlineStr">
        <is>
          <t>Termin</t>
        </is>
      </c>
      <c r="G264" s="12" t="n">
        <v>0.15</v>
      </c>
      <c r="H264" s="13" t="n">
        <v>213</v>
      </c>
      <c r="I264" s="13" t="n">
        <v>638</v>
      </c>
      <c r="J264" s="13" t="n">
        <v>1276</v>
      </c>
      <c r="K264" s="14">
        <f>IF(OR(COUNT(G264:J264)&lt;&gt;4,G264&lt;0,G264&gt;1,H264&gt;I264,I264&gt;J264),"n.a.",ROUND(G264*(H264+4*I264+J264)/6+0.00000001,2))</f>
        <v/>
      </c>
      <c r="L264" s="13" t="n">
        <v>0</v>
      </c>
      <c r="M264" s="14">
        <f>SUMIFS(Maßnahmen!$I$7:$I$126,Maßnahmen!$D$7:$D$126,C264,Maßnahmen!$H$7:$H$126,"&lt;&gt;verworfen")</f>
        <v/>
      </c>
      <c r="N264" s="14">
        <f>IF(ISNUMBER(K264),MAX(0,K264-L264-M264),"n.a.")</f>
        <v/>
      </c>
      <c r="O264" s="14" t="n">
        <v>101.03</v>
      </c>
      <c r="P264" s="14">
        <f>IF(ISNUMBER(K264),K264-O264,"n.a.")</f>
        <v/>
      </c>
    </row>
    <row r="265" ht="32" customHeight="1">
      <c r="C265" s="10" t="inlineStr">
        <is>
          <t>PRJ-4a6f9ca4-RK-12</t>
        </is>
      </c>
      <c r="D265" s="10" t="inlineStr">
        <is>
          <t>P4102608270</t>
        </is>
      </c>
      <c r="E265" s="11" t="inlineStr">
        <is>
          <t>Staubemissionen (höchster Aufwand laut Umfrage)</t>
        </is>
      </c>
      <c r="F265" s="10" t="inlineStr">
        <is>
          <t>Emissionen</t>
        </is>
      </c>
      <c r="G265" s="12" t="n">
        <v>0.22</v>
      </c>
      <c r="H265" s="13" t="n">
        <v>638</v>
      </c>
      <c r="I265" s="13" t="n">
        <v>1276</v>
      </c>
      <c r="J265" s="13" t="n">
        <v>2551</v>
      </c>
      <c r="K265" s="14">
        <f>IF(OR(COUNT(G265:J265)&lt;&gt;4,G265&lt;0,G265&gt;1,H265&gt;I265,I265&gt;J265),"n.a.",ROUND(G265*(H265+4*I265+J265)/6+0.00000001,2))</f>
        <v/>
      </c>
      <c r="L265" s="13" t="n">
        <v>0</v>
      </c>
      <c r="M265" s="14">
        <f>SUMIFS(Maßnahmen!$I$7:$I$126,Maßnahmen!$D$7:$D$126,C265,Maßnahmen!$H$7:$H$126,"&lt;&gt;verworfen")</f>
        <v/>
      </c>
      <c r="N265" s="14">
        <f>IF(ISNUMBER(K265),MAX(0,K265-L265-M265),"n.a.")</f>
        <v/>
      </c>
      <c r="O265" s="14" t="n">
        <v>304.08</v>
      </c>
      <c r="P265" s="14">
        <f>IF(ISNUMBER(K265),K265-O265,"n.a.")</f>
        <v/>
      </c>
    </row>
    <row r="266" ht="32" customHeight="1">
      <c r="C266" s="10" t="inlineStr">
        <is>
          <t>PRJ-4a6f9ca4-RK-13</t>
        </is>
      </c>
      <c r="D266" s="10" t="inlineStr">
        <is>
          <t>P4102608270</t>
        </is>
      </c>
      <c r="E266" s="11" t="inlineStr">
        <is>
          <t>Lärm- und Erschütterungsauflagen</t>
        </is>
      </c>
      <c r="F266" s="10" t="inlineStr">
        <is>
          <t>Emissionen</t>
        </is>
      </c>
      <c r="G266" s="12" t="n">
        <v>0.6</v>
      </c>
      <c r="H266" s="13" t="n">
        <v>7441</v>
      </c>
      <c r="I266" s="13" t="n">
        <v>9566</v>
      </c>
      <c r="J266" s="13" t="n">
        <v>13818</v>
      </c>
      <c r="K266" s="14">
        <f>IF(OR(COUNT(G266:J266)&lt;&gt;4,G266&lt;0,G266&gt;1,H266&gt;I266,I266&gt;J266),"n.a.",ROUND(G266*(H266+4*I266+J266)/6+0.00000001,2))</f>
        <v/>
      </c>
      <c r="L266" s="13" t="n">
        <v>0</v>
      </c>
      <c r="M266" s="14">
        <f>SUMIFS(Maßnahmen!$I$7:$I$126,Maßnahmen!$D$7:$D$126,C266,Maßnahmen!$H$7:$H$126,"&lt;&gt;verworfen")</f>
        <v/>
      </c>
      <c r="N266" s="14">
        <f>IF(ISNUMBER(K266),MAX(0,K266-L266-M266),"n.a.")</f>
        <v/>
      </c>
      <c r="O266" s="14" t="n">
        <v>5952.3</v>
      </c>
      <c r="P266" s="14">
        <f>IF(ISNUMBER(K266),K266-O266,"n.a.")</f>
        <v/>
      </c>
    </row>
    <row r="267" ht="32" customHeight="1">
      <c r="C267" s="10" t="inlineStr">
        <is>
          <t>PRJ-4f8e93b7-RK-07</t>
        </is>
      </c>
      <c r="D267" s="10" t="inlineStr">
        <is>
          <t>P4102307444</t>
        </is>
      </c>
      <c r="E267" s="11" t="inlineStr">
        <is>
          <t>Unterirdische Tragkonstruktion / Fundamente</t>
        </is>
      </c>
      <c r="F267" s="10" t="inlineStr">
        <is>
          <t>Statik</t>
        </is>
      </c>
      <c r="G267" s="12" t="n">
        <v>0.5</v>
      </c>
      <c r="H267" s="13" t="n">
        <v>7581</v>
      </c>
      <c r="I267" s="13" t="n">
        <v>14335</v>
      </c>
      <c r="J267" s="13" t="n">
        <v>29176</v>
      </c>
      <c r="K267" s="14">
        <f>IF(OR(COUNT(G267:J267)&lt;&gt;4,G267&lt;0,G267&gt;1,H267&gt;I267,I267&gt;J267),"n.a.",ROUND(G267*(H267+4*I267+J267)/6+0.00000001,2))</f>
        <v/>
      </c>
      <c r="L267" s="13" t="n">
        <v>0</v>
      </c>
      <c r="M267" s="14">
        <f>SUMIFS(Maßnahmen!$I$7:$I$126,Maßnahmen!$D$7:$D$126,C267,Maßnahmen!$H$7:$H$126,"&lt;&gt;verworfen")</f>
        <v/>
      </c>
      <c r="N267" s="14">
        <f>IF(ISNUMBER(K267),MAX(0,K267-L267-M267),"n.a.")</f>
        <v/>
      </c>
      <c r="O267" s="14" t="n">
        <v>7841.42</v>
      </c>
      <c r="P267" s="14">
        <f>IF(ISNUMBER(K267),K267-O267,"n.a.")</f>
        <v/>
      </c>
    </row>
    <row r="268" ht="32" customHeight="1">
      <c r="C268" s="10" t="inlineStr">
        <is>
          <t>PRJ-4f8e93b7-RK-08</t>
        </is>
      </c>
      <c r="D268" s="10" t="inlineStr">
        <is>
          <t>P4102307444</t>
        </is>
      </c>
      <c r="E268" s="11" t="inlineStr">
        <is>
          <t>Gebäudehöhe &gt;22 m / Longfront-Bagger (+130–150 %)</t>
        </is>
      </c>
      <c r="F268" s="10" t="inlineStr">
        <is>
          <t>Termin</t>
        </is>
      </c>
      <c r="G268" s="12" t="n">
        <v>0.481</v>
      </c>
      <c r="H268" s="13" t="n">
        <v>12158</v>
      </c>
      <c r="I268" s="13" t="n">
        <v>24863</v>
      </c>
      <c r="J268" s="13" t="n">
        <v>47147</v>
      </c>
      <c r="K268" s="14">
        <f>IF(OR(COUNT(G268:J268)&lt;&gt;4,G268&lt;0,G268&gt;1,H268&gt;I268,I268&gt;J268),"n.a.",ROUND(G268*(H268+4*I268+J268)/6+0.00000001,2))</f>
        <v/>
      </c>
      <c r="L268" s="13" t="n">
        <v>0</v>
      </c>
      <c r="M268" s="14">
        <f>SUMIFS(Maßnahmen!$I$7:$I$126,Maßnahmen!$D$7:$D$126,C268,Maßnahmen!$H$7:$H$126,"&lt;&gt;verworfen")</f>
        <v/>
      </c>
      <c r="N268" s="14">
        <f>IF(ISNUMBER(K268),MAX(0,K268-L268-M268),"n.a.")</f>
        <v/>
      </c>
      <c r="O268" s="14" t="n">
        <v>12727.02</v>
      </c>
      <c r="P268" s="14">
        <f>IF(ISNUMBER(K268),K268-O268,"n.a.")</f>
        <v/>
      </c>
    </row>
    <row r="269" ht="32" customHeight="1">
      <c r="C269" s="10" t="inlineStr">
        <is>
          <t>PRJ-4f8e93b7-RK-09</t>
        </is>
      </c>
      <c r="D269" s="10" t="inlineStr">
        <is>
          <t>P4102307444</t>
        </is>
      </c>
      <c r="E269" s="11" t="inlineStr">
        <is>
          <t>Beennte Lage / nur Handabbruch möglich</t>
        </is>
      </c>
      <c r="F269" s="10" t="inlineStr">
        <is>
          <t>Termin</t>
        </is>
      </c>
      <c r="G269" s="12" t="n">
        <v>0.323</v>
      </c>
      <c r="H269" s="13" t="n">
        <v>3379</v>
      </c>
      <c r="I269" s="13" t="n">
        <v>7492</v>
      </c>
      <c r="J269" s="13" t="n">
        <v>16823</v>
      </c>
      <c r="K269" s="14">
        <f>IF(OR(COUNT(G269:J269)&lt;&gt;4,G269&lt;0,G269&gt;1,H269&gt;I269,I269&gt;J269),"n.a.",ROUND(G269*(H269+4*I269+J269)/6+0.00000001,2))</f>
        <v/>
      </c>
      <c r="L269" s="13" t="n">
        <v>0</v>
      </c>
      <c r="M269" s="14">
        <f>SUMIFS(Maßnahmen!$I$7:$I$126,Maßnahmen!$D$7:$D$126,C269,Maßnahmen!$H$7:$H$126,"&lt;&gt;verworfen")</f>
        <v/>
      </c>
      <c r="N269" s="14">
        <f>IF(ISNUMBER(K269),MAX(0,K269-L269-M269),"n.a.")</f>
        <v/>
      </c>
      <c r="O269" s="14" t="n">
        <v>2700.82</v>
      </c>
      <c r="P269" s="14">
        <f>IF(ISNUMBER(K269),K269-O269,"n.a.")</f>
        <v/>
      </c>
    </row>
    <row r="270" ht="32" customHeight="1">
      <c r="C270" s="10" t="inlineStr">
        <is>
          <t>PRJ-4f8e93b7-RK-10</t>
        </is>
      </c>
      <c r="D270" s="10" t="inlineStr">
        <is>
          <t>P4102307444</t>
        </is>
      </c>
      <c r="E270" s="11" t="inlineStr">
        <is>
          <t>Terminvorgabe Auftraggeber / Geräteauslastung</t>
        </is>
      </c>
      <c r="F270" s="10" t="inlineStr">
        <is>
          <t>Termin</t>
        </is>
      </c>
      <c r="G270" s="12" t="n">
        <v>0.08</v>
      </c>
      <c r="H270" s="13" t="n">
        <v>919</v>
      </c>
      <c r="I270" s="13" t="n">
        <v>1838</v>
      </c>
      <c r="J270" s="13" t="n">
        <v>3676</v>
      </c>
      <c r="K270" s="14">
        <f>IF(OR(COUNT(G270:J270)&lt;&gt;4,G270&lt;0,G270&gt;1,H270&gt;I270,I270&gt;J270),"n.a.",ROUND(G270*(H270+4*I270+J270)/6+0.00000001,2))</f>
        <v/>
      </c>
      <c r="L270" s="13" t="n">
        <v>0</v>
      </c>
      <c r="M270" s="14">
        <f>SUMIFS(Maßnahmen!$I$7:$I$126,Maßnahmen!$D$7:$D$126,C270,Maßnahmen!$H$7:$H$126,"&lt;&gt;verworfen")</f>
        <v/>
      </c>
      <c r="N270" s="14">
        <f>IF(ISNUMBER(K270),MAX(0,K270-L270-M270),"n.a.")</f>
        <v/>
      </c>
      <c r="O270" s="14" t="n">
        <v>159.29</v>
      </c>
      <c r="P270" s="14">
        <f>IF(ISNUMBER(K270),K270-O270,"n.a.")</f>
        <v/>
      </c>
    </row>
    <row r="271" ht="32" customHeight="1">
      <c r="C271" s="10" t="inlineStr">
        <is>
          <t>PRJ-4f8e93b7-RK-11</t>
        </is>
      </c>
      <c r="D271" s="10" t="inlineStr">
        <is>
          <t>P4102307444</t>
        </is>
      </c>
      <c r="E271" s="11" t="inlineStr">
        <is>
          <t>Witterung / Ablaufstörung</t>
        </is>
      </c>
      <c r="F271" s="10" t="inlineStr">
        <is>
          <t>Termin</t>
        </is>
      </c>
      <c r="G271" s="12" t="n">
        <v>0.25</v>
      </c>
      <c r="H271" s="13" t="n">
        <v>1838</v>
      </c>
      <c r="I271" s="13" t="n">
        <v>5514</v>
      </c>
      <c r="J271" s="13" t="n">
        <v>11028</v>
      </c>
      <c r="K271" s="14">
        <f>IF(OR(COUNT(G271:J271)&lt;&gt;4,G271&lt;0,G271&gt;1,H271&gt;I271,I271&gt;J271),"n.a.",ROUND(G271*(H271+4*I271+J271)/6+0.00000001,2))</f>
        <v/>
      </c>
      <c r="L271" s="13" t="n">
        <v>0</v>
      </c>
      <c r="M271" s="14">
        <f>SUMIFS(Maßnahmen!$I$7:$I$126,Maßnahmen!$D$7:$D$126,C271,Maßnahmen!$H$7:$H$126,"&lt;&gt;verworfen")</f>
        <v/>
      </c>
      <c r="N271" s="14">
        <f>IF(ISNUMBER(K271),MAX(0,K271-L271-M271),"n.a.")</f>
        <v/>
      </c>
      <c r="O271" s="14" t="n">
        <v>1455.08</v>
      </c>
      <c r="P271" s="14">
        <f>IF(ISNUMBER(K271),K271-O271,"n.a.")</f>
        <v/>
      </c>
    </row>
    <row r="272" ht="32" customHeight="1">
      <c r="C272" s="10" t="inlineStr">
        <is>
          <t>PRJ-4f8e93b7-RK-12</t>
        </is>
      </c>
      <c r="D272" s="10" t="inlineStr">
        <is>
          <t>P4102307444</t>
        </is>
      </c>
      <c r="E272" s="11" t="inlineStr">
        <is>
          <t>Staubemissionen (höchster Aufwand laut Umfrage)</t>
        </is>
      </c>
      <c r="F272" s="10" t="inlineStr">
        <is>
          <t>Emissionen</t>
        </is>
      </c>
      <c r="G272" s="12" t="n">
        <v>0.22</v>
      </c>
      <c r="H272" s="13" t="n">
        <v>5514</v>
      </c>
      <c r="I272" s="13" t="n">
        <v>11028</v>
      </c>
      <c r="J272" s="13" t="n">
        <v>22056</v>
      </c>
      <c r="K272" s="14">
        <f>IF(OR(COUNT(G272:J272)&lt;&gt;4,G272&lt;0,G272&gt;1,H272&gt;I272,I272&gt;J272),"n.a.",ROUND(G272*(H272+4*I272+J272)/6+0.00000001,2))</f>
        <v/>
      </c>
      <c r="L272" s="13" t="n">
        <v>0</v>
      </c>
      <c r="M272" s="14">
        <f>SUMIFS(Maßnahmen!$I$7:$I$126,Maßnahmen!$D$7:$D$126,C272,Maßnahmen!$H$7:$H$126,"&lt;&gt;verworfen")</f>
        <v/>
      </c>
      <c r="N272" s="14">
        <f>IF(ISNUMBER(K272),MAX(0,K272-L272-M272),"n.a.")</f>
        <v/>
      </c>
      <c r="O272" s="14" t="n">
        <v>2628.34</v>
      </c>
      <c r="P272" s="14">
        <f>IF(ISNUMBER(K272),K272-O272,"n.a.")</f>
        <v/>
      </c>
    </row>
    <row r="273" ht="32" customHeight="1">
      <c r="C273" s="10" t="inlineStr">
        <is>
          <t>PRJ-4f8e93b7-RK-13</t>
        </is>
      </c>
      <c r="D273" s="10" t="inlineStr">
        <is>
          <t>P4102307444</t>
        </is>
      </c>
      <c r="E273" s="11" t="inlineStr">
        <is>
          <t>Lärm- und Erschütterungsauflagen</t>
        </is>
      </c>
      <c r="F273" s="10" t="inlineStr">
        <is>
          <t>Emissionen</t>
        </is>
      </c>
      <c r="G273" s="12" t="n">
        <v>0.414</v>
      </c>
      <c r="H273" s="13" t="n">
        <v>8256</v>
      </c>
      <c r="I273" s="13" t="n">
        <v>17586</v>
      </c>
      <c r="J273" s="13" t="n">
        <v>32882</v>
      </c>
      <c r="K273" s="14">
        <f>IF(OR(COUNT(G273:J273)&lt;&gt;4,G273&lt;0,G273&gt;1,H273&gt;I273,I273&gt;J273),"n.a.",ROUND(G273*(H273+4*I273+J273)/6+0.00000001,2))</f>
        <v/>
      </c>
      <c r="L273" s="13" t="n">
        <v>0</v>
      </c>
      <c r="M273" s="14">
        <f>SUMIFS(Maßnahmen!$I$7:$I$126,Maßnahmen!$D$7:$D$126,C273,Maßnahmen!$H$7:$H$126,"&lt;&gt;verworfen")</f>
        <v/>
      </c>
      <c r="N273" s="14">
        <f>IF(ISNUMBER(K273),MAX(0,K273-L273-M273),"n.a.")</f>
        <v/>
      </c>
      <c r="O273" s="14" t="n">
        <v>7692.26</v>
      </c>
      <c r="P273" s="14">
        <f>IF(ISNUMBER(K273),K273-O273,"n.a.")</f>
        <v/>
      </c>
    </row>
    <row r="274" ht="32" customHeight="1">
      <c r="C274" s="10" t="inlineStr">
        <is>
          <t>PRJ-4f8e93b7-RK-14</t>
        </is>
      </c>
      <c r="D274" s="10" t="inlineStr">
        <is>
          <t>P4102307444</t>
        </is>
      </c>
      <c r="E274" s="11" t="inlineStr">
        <is>
          <t>Rechtliche Auflagen / Entsorgungsnachweise (Formalismus)</t>
        </is>
      </c>
      <c r="F274" s="10" t="inlineStr">
        <is>
          <t>Genehmigung</t>
        </is>
      </c>
      <c r="G274" s="12" t="n">
        <v>0.366</v>
      </c>
      <c r="H274" s="13" t="n">
        <v>13077</v>
      </c>
      <c r="I274" s="13" t="n">
        <v>25782</v>
      </c>
      <c r="J274" s="13" t="n">
        <v>48985</v>
      </c>
      <c r="K274" s="14">
        <f>IF(OR(COUNT(G274:J274)&lt;&gt;4,G274&lt;0,G274&gt;1,H274&gt;I274,I274&gt;J274),"n.a.",ROUND(G274*(H274+4*I274+J274)/6+0.00000001,2))</f>
        <v/>
      </c>
      <c r="L274" s="13" t="n">
        <v>0</v>
      </c>
      <c r="M274" s="14">
        <f>SUMIFS(Maßnahmen!$I$7:$I$126,Maßnahmen!$D$7:$D$126,C274,Maßnahmen!$H$7:$H$126,"&lt;&gt;verworfen")</f>
        <v/>
      </c>
      <c r="N274" s="14">
        <f>IF(ISNUMBER(K274),MAX(0,K274-L274-M274),"n.a.")</f>
        <v/>
      </c>
      <c r="O274" s="14" t="n">
        <v>10076.59</v>
      </c>
      <c r="P274" s="14">
        <f>IF(ISNUMBER(K274),K274-O274,"n.a.")</f>
        <v/>
      </c>
    </row>
    <row r="275" ht="32" customHeight="1">
      <c r="C275" s="10" t="inlineStr">
        <is>
          <t>PRJ-4f8e93b7-RK-15</t>
        </is>
      </c>
      <c r="D275" s="10" t="inlineStr">
        <is>
          <t>P4102307444</t>
        </is>
      </c>
      <c r="E275" s="11" t="inlineStr">
        <is>
          <t>Konjunktur / Sekundärstoffpreise &amp; Gerätemiete</t>
        </is>
      </c>
      <c r="F275" s="10" t="inlineStr">
        <is>
          <t>Markt</t>
        </is>
      </c>
      <c r="G275" s="12" t="n">
        <v>0.12</v>
      </c>
      <c r="H275" s="13" t="n">
        <v>1470</v>
      </c>
      <c r="I275" s="13" t="n">
        <v>3676</v>
      </c>
      <c r="J275" s="13" t="n">
        <v>9190</v>
      </c>
      <c r="K275" s="14">
        <f>IF(OR(COUNT(G275:J275)&lt;&gt;4,G275&lt;0,G275&gt;1,H275&gt;I275,I275&gt;J275),"n.a.",ROUND(G275*(H275+4*I275+J275)/6+0.00000001,2))</f>
        <v/>
      </c>
      <c r="L275" s="13" t="n">
        <v>0</v>
      </c>
      <c r="M275" s="14">
        <f>SUMIFS(Maßnahmen!$I$7:$I$126,Maßnahmen!$D$7:$D$126,C275,Maßnahmen!$H$7:$H$126,"&lt;&gt;verworfen")</f>
        <v/>
      </c>
      <c r="N275" s="14">
        <f>IF(ISNUMBER(K275),MAX(0,K275-L275-M275),"n.a.")</f>
        <v/>
      </c>
      <c r="O275" s="14" t="n">
        <v>507.28</v>
      </c>
      <c r="P275" s="14">
        <f>IF(ISNUMBER(K275),K275-O275,"n.a.")</f>
        <v/>
      </c>
    </row>
    <row r="276" ht="32" customHeight="1">
      <c r="C276" s="10" t="inlineStr">
        <is>
          <t>PRJ-4f8e93d4-RK-01</t>
        </is>
      </c>
      <c r="D276" s="10" t="inlineStr">
        <is>
          <t>P4102307436</t>
        </is>
      </c>
      <c r="E276" s="11" t="inlineStr">
        <is>
          <t>Schadstofffund / Schadstoffsanierung (Asbest, PAK, PCB, PCP)</t>
        </is>
      </c>
      <c r="F276" s="10" t="inlineStr">
        <is>
          <t>Schadstoffe</t>
        </is>
      </c>
      <c r="G276" s="12" t="n">
        <v>0.422</v>
      </c>
      <c r="H276" s="13" t="n">
        <v>2556</v>
      </c>
      <c r="I276" s="13" t="n">
        <v>5388</v>
      </c>
      <c r="J276" s="13" t="n">
        <v>10204</v>
      </c>
      <c r="K276" s="14">
        <f>IF(OR(COUNT(G276:J276)&lt;&gt;4,G276&lt;0,G276&gt;1,H276&gt;I276,I276&gt;J276),"n.a.",ROUND(G276*(H276+4*I276+J276)/6+0.00000001,2))</f>
        <v/>
      </c>
      <c r="L276" s="13" t="n">
        <v>0</v>
      </c>
      <c r="M276" s="14">
        <f>SUMIFS(Maßnahmen!$I$7:$I$126,Maßnahmen!$D$7:$D$126,C276,Maßnahmen!$H$7:$H$126,"&lt;&gt;verworfen")</f>
        <v/>
      </c>
      <c r="N276" s="14">
        <f>IF(ISNUMBER(K276),MAX(0,K276-L276-M276),"n.a.")</f>
        <v/>
      </c>
      <c r="O276" s="14" t="n">
        <v>2413.28</v>
      </c>
      <c r="P276" s="14">
        <f>IF(ISNUMBER(K276),K276-O276,"n.a.")</f>
        <v/>
      </c>
    </row>
    <row r="277" ht="32" customHeight="1">
      <c r="C277" s="10" t="inlineStr">
        <is>
          <t>PRJ-4f8e93d4-RK-02</t>
        </is>
      </c>
      <c r="D277" s="10" t="inlineStr">
        <is>
          <t>P4102307436</t>
        </is>
      </c>
      <c r="E277" s="11" t="inlineStr">
        <is>
          <t>Arbeitsschutz kontaminierte Bereiche (TRGS 524)</t>
        </is>
      </c>
      <c r="F277" s="10" t="inlineStr">
        <is>
          <t>Schadstoffe</t>
        </is>
      </c>
      <c r="G277" s="12" t="n">
        <v>0.1</v>
      </c>
      <c r="H277" s="13" t="n">
        <v>281</v>
      </c>
      <c r="I277" s="13" t="n">
        <v>563</v>
      </c>
      <c r="J277" s="13" t="n">
        <v>1125</v>
      </c>
      <c r="K277" s="14">
        <f>IF(OR(COUNT(G277:J277)&lt;&gt;4,G277&lt;0,G277&gt;1,H277&gt;I277,I277&gt;J277),"n.a.",ROUND(G277*(H277+4*I277+J277)/6+0.00000001,2))</f>
        <v/>
      </c>
      <c r="L277" s="13" t="n">
        <v>0</v>
      </c>
      <c r="M277" s="14">
        <f>SUMIFS(Maßnahmen!$I$7:$I$126,Maßnahmen!$D$7:$D$126,C277,Maßnahmen!$H$7:$H$126,"&lt;&gt;verworfen")</f>
        <v/>
      </c>
      <c r="N277" s="14">
        <f>IF(ISNUMBER(K277),MAX(0,K277-L277-M277),"n.a.")</f>
        <v/>
      </c>
      <c r="O277" s="14" t="n">
        <v>60.97</v>
      </c>
      <c r="P277" s="14">
        <f>IF(ISNUMBER(K277),K277-O277,"n.a.")</f>
        <v/>
      </c>
    </row>
    <row r="278" ht="32" customHeight="1">
      <c r="C278" s="10" t="inlineStr">
        <is>
          <t>PRJ-4f8e93d4-RK-03</t>
        </is>
      </c>
      <c r="D278" s="10" t="inlineStr">
        <is>
          <t>P4102307436</t>
        </is>
      </c>
      <c r="E278" s="11" t="inlineStr">
        <is>
          <t>Entsorgungs-Mehrkosten / Entsorgungswege</t>
        </is>
      </c>
      <c r="F278" s="10" t="inlineStr">
        <is>
          <t>Entsorgung</t>
        </is>
      </c>
      <c r="G278" s="12" t="n">
        <v>0.389</v>
      </c>
      <c r="H278" s="13" t="n">
        <v>6009</v>
      </c>
      <c r="I278" s="13" t="n">
        <v>11359</v>
      </c>
      <c r="J278" s="13" t="n">
        <v>19055</v>
      </c>
      <c r="K278" s="14">
        <f>IF(OR(COUNT(G278:J278)&lt;&gt;4,G278&lt;0,G278&gt;1,H278&gt;I278,I278&gt;J278),"n.a.",ROUND(G278*(H278+4*I278+J278)/6+0.00000001,2))</f>
        <v/>
      </c>
      <c r="L278" s="13" t="n">
        <v>0</v>
      </c>
      <c r="M278" s="14">
        <f>SUMIFS(Maßnahmen!$I$7:$I$126,Maßnahmen!$D$7:$D$126,C278,Maßnahmen!$H$7:$H$126,"&lt;&gt;verworfen")</f>
        <v/>
      </c>
      <c r="N278" s="14">
        <f>IF(ISNUMBER(K278),MAX(0,K278-L278-M278),"n.a.")</f>
        <v/>
      </c>
      <c r="O278" s="14" t="n">
        <v>4570.75</v>
      </c>
      <c r="P278" s="14">
        <f>IF(ISNUMBER(K278),K278-O278,"n.a.")</f>
        <v/>
      </c>
    </row>
    <row r="279" ht="32" customHeight="1">
      <c r="C279" s="10" t="inlineStr">
        <is>
          <t>PRJ-4f8e93d4-RK-04</t>
        </is>
      </c>
      <c r="D279" s="10" t="inlineStr">
        <is>
          <t>P4102307436</t>
        </is>
      </c>
      <c r="E279" s="11" t="inlineStr">
        <is>
          <t>Baustofftrennung / Aufbereitung nicht wie geplant</t>
        </is>
      </c>
      <c r="F279" s="10" t="inlineStr">
        <is>
          <t>Entsorgung</t>
        </is>
      </c>
      <c r="G279" s="12" t="n">
        <v>0.08</v>
      </c>
      <c r="H279" s="13" t="n">
        <v>281</v>
      </c>
      <c r="I279" s="13" t="n">
        <v>563</v>
      </c>
      <c r="J279" s="13" t="n">
        <v>1125</v>
      </c>
      <c r="K279" s="14">
        <f>IF(OR(COUNT(G279:J279)&lt;&gt;4,G279&lt;0,G279&gt;1,H279&gt;I279,I279&gt;J279),"n.a.",ROUND(G279*(H279+4*I279+J279)/6+0.00000001,2))</f>
        <v/>
      </c>
      <c r="L279" s="13" t="n">
        <v>0</v>
      </c>
      <c r="M279" s="14">
        <f>SUMIFS(Maßnahmen!$I$7:$I$126,Maßnahmen!$D$7:$D$126,C279,Maßnahmen!$H$7:$H$126,"&lt;&gt;verworfen")</f>
        <v/>
      </c>
      <c r="N279" s="14">
        <f>IF(ISNUMBER(K279),MAX(0,K279-L279-M279),"n.a.")</f>
        <v/>
      </c>
      <c r="O279" s="14" t="n">
        <v>48.77</v>
      </c>
      <c r="P279" s="14">
        <f>IF(ISNUMBER(K279),K279-O279,"n.a.")</f>
        <v/>
      </c>
    </row>
    <row r="280" ht="32" customHeight="1">
      <c r="C280" s="10" t="inlineStr">
        <is>
          <t>PRJ-4f8e93d4-RK-05</t>
        </is>
      </c>
      <c r="D280" s="10" t="inlineStr">
        <is>
          <t>P4102307436</t>
        </is>
      </c>
      <c r="E280" s="11" t="inlineStr">
        <is>
          <t>Unbekannte Bauwerkskonstruktion / fehlende Pläne</t>
        </is>
      </c>
      <c r="F280" s="10" t="inlineStr">
        <is>
          <t>Statik</t>
        </is>
      </c>
      <c r="G280" s="12" t="n">
        <v>0.12</v>
      </c>
      <c r="H280" s="13" t="n">
        <v>4380</v>
      </c>
      <c r="I280" s="13" t="n">
        <v>8050</v>
      </c>
      <c r="J280" s="13" t="n">
        <v>14117</v>
      </c>
      <c r="K280" s="14">
        <f>IF(OR(COUNT(G280:J280)&lt;&gt;4,G280&lt;0,G280&gt;1,H280&gt;I280,I280&gt;J280),"n.a.",ROUND(G280*(H280+4*I280+J280)/6+0.00000001,2))</f>
        <v/>
      </c>
      <c r="L280" s="13" t="n">
        <v>0</v>
      </c>
      <c r="M280" s="14">
        <f>SUMIFS(Maßnahmen!$I$7:$I$126,Maßnahmen!$D$7:$D$126,C280,Maßnahmen!$H$7:$H$126,"&lt;&gt;verworfen")</f>
        <v/>
      </c>
      <c r="N280" s="14">
        <f>IF(ISNUMBER(K280),MAX(0,K280-L280-M280),"n.a.")</f>
        <v/>
      </c>
      <c r="O280" s="14" t="n">
        <v>1013.94</v>
      </c>
      <c r="P280" s="14">
        <f>IF(ISNUMBER(K280),K280-O280,"n.a.")</f>
        <v/>
      </c>
    </row>
    <row r="281" ht="32" customHeight="1">
      <c r="C281" s="10" t="inlineStr">
        <is>
          <t>PRJ-4f8e93d4-RK-06</t>
        </is>
      </c>
      <c r="D281" s="10" t="inlineStr">
        <is>
          <t>P4102307436</t>
        </is>
      </c>
      <c r="E281" s="11" t="inlineStr">
        <is>
          <t>Statik / Einsturzsicherung während Abbruch</t>
        </is>
      </c>
      <c r="F281" s="10" t="inlineStr">
        <is>
          <t>Statik</t>
        </is>
      </c>
      <c r="G281" s="12" t="n">
        <v>0.229</v>
      </c>
      <c r="H281" s="13" t="n">
        <v>5350</v>
      </c>
      <c r="I281" s="13" t="n">
        <v>10042</v>
      </c>
      <c r="J281" s="13" t="n">
        <v>17643</v>
      </c>
      <c r="K281" s="14">
        <f>IF(OR(COUNT(G281:J281)&lt;&gt;4,G281&lt;0,G281&gt;1,H281&gt;I281,I281&gt;J281),"n.a.",ROUND(G281*(H281+4*I281+J281)/6+0.00000001,2))</f>
        <v/>
      </c>
      <c r="L281" s="13" t="n">
        <v>0</v>
      </c>
      <c r="M281" s="14">
        <f>SUMIFS(Maßnahmen!$I$7:$I$126,Maßnahmen!$D$7:$D$126,C281,Maßnahmen!$H$7:$H$126,"&lt;&gt;verworfen")</f>
        <v/>
      </c>
      <c r="N281" s="14">
        <f>IF(ISNUMBER(K281),MAX(0,K281-L281-M281),"n.a.")</f>
        <v/>
      </c>
      <c r="O281" s="14" t="n">
        <v>2410.64</v>
      </c>
      <c r="P281" s="14">
        <f>IF(ISNUMBER(K281),K281-O281,"n.a.")</f>
        <v/>
      </c>
    </row>
    <row r="282" ht="32" customHeight="1">
      <c r="C282" s="10" t="inlineStr">
        <is>
          <t>PRJ-4f8e93d4-RK-07</t>
        </is>
      </c>
      <c r="D282" s="10" t="inlineStr">
        <is>
          <t>P4102307436</t>
        </is>
      </c>
      <c r="E282" s="11" t="inlineStr">
        <is>
          <t>Unterirdische Tragkonstruktion / Fundamente</t>
        </is>
      </c>
      <c r="F282" s="10" t="inlineStr">
        <is>
          <t>Statik</t>
        </is>
      </c>
      <c r="G282" s="12" t="n">
        <v>0.49</v>
      </c>
      <c r="H282" s="13" t="n">
        <v>1502</v>
      </c>
      <c r="I282" s="13" t="n">
        <v>3079</v>
      </c>
      <c r="J282" s="13" t="n">
        <v>6475</v>
      </c>
      <c r="K282" s="14">
        <f>IF(OR(COUNT(G282:J282)&lt;&gt;4,G282&lt;0,G282&gt;1,H282&gt;I282,I282&gt;J282),"n.a.",ROUND(G282*(H282+4*I282+J282)/6+0.00000001,2))</f>
        <v/>
      </c>
      <c r="L282" s="13" t="n">
        <v>0</v>
      </c>
      <c r="M282" s="14">
        <f>SUMIFS(Maßnahmen!$I$7:$I$126,Maßnahmen!$D$7:$D$126,C282,Maßnahmen!$H$7:$H$126,"&lt;&gt;verworfen")</f>
        <v/>
      </c>
      <c r="N282" s="14">
        <f>IF(ISNUMBER(K282),MAX(0,K282-L282-M282),"n.a.")</f>
        <v/>
      </c>
      <c r="O282" s="14" t="n">
        <v>1657.26</v>
      </c>
      <c r="P282" s="14">
        <f>IF(ISNUMBER(K282),K282-O282,"n.a.")</f>
        <v/>
      </c>
    </row>
    <row r="283" ht="32" customHeight="1">
      <c r="C283" s="10" t="inlineStr">
        <is>
          <t>PRJ-4f8e93d4-RK-08</t>
        </is>
      </c>
      <c r="D283" s="10" t="inlineStr">
        <is>
          <t>P4102307436</t>
        </is>
      </c>
      <c r="E283" s="11" t="inlineStr">
        <is>
          <t>Gebäudehöhe &gt;22 m / Longfront-Bagger (+130–150 %)</t>
        </is>
      </c>
      <c r="F283" s="10" t="inlineStr">
        <is>
          <t>Termin</t>
        </is>
      </c>
      <c r="G283" s="12" t="n">
        <v>0.391</v>
      </c>
      <c r="H283" s="13" t="n">
        <v>2711</v>
      </c>
      <c r="I283" s="13" t="n">
        <v>5716</v>
      </c>
      <c r="J283" s="13" t="n">
        <v>10895</v>
      </c>
      <c r="K283" s="14">
        <f>IF(OR(COUNT(G283:J283)&lt;&gt;4,G283&lt;0,G283&gt;1,H283&gt;I283,I283&gt;J283),"n.a.",ROUND(G283*(H283+4*I283+J283)/6+0.00000001,2))</f>
        <v/>
      </c>
      <c r="L283" s="13" t="n">
        <v>0</v>
      </c>
      <c r="M283" s="14">
        <f>SUMIFS(Maßnahmen!$I$7:$I$126,Maßnahmen!$D$7:$D$126,C283,Maßnahmen!$H$7:$H$126,"&lt;&gt;verworfen")</f>
        <v/>
      </c>
      <c r="N283" s="14">
        <f>IF(ISNUMBER(K283),MAX(0,K283-L283-M283),"n.a.")</f>
        <v/>
      </c>
      <c r="O283" s="14" t="n">
        <v>2376.63</v>
      </c>
      <c r="P283" s="14">
        <f>IF(ISNUMBER(K283),K283-O283,"n.a.")</f>
        <v/>
      </c>
    </row>
    <row r="284" ht="32" customHeight="1">
      <c r="C284" s="10" t="inlineStr">
        <is>
          <t>PRJ-4f8e93d4-RK-09</t>
        </is>
      </c>
      <c r="D284" s="10" t="inlineStr">
        <is>
          <t>P4102307436</t>
        </is>
      </c>
      <c r="E284" s="11" t="inlineStr">
        <is>
          <t>Beennte Lage / nur Handabbruch möglich</t>
        </is>
      </c>
      <c r="F284" s="10" t="inlineStr">
        <is>
          <t>Termin</t>
        </is>
      </c>
      <c r="G284" s="12" t="n">
        <v>0.238</v>
      </c>
      <c r="H284" s="13" t="n">
        <v>1160</v>
      </c>
      <c r="I284" s="13" t="n">
        <v>2545</v>
      </c>
      <c r="J284" s="13" t="n">
        <v>5652</v>
      </c>
      <c r="K284" s="14">
        <f>IF(OR(COUNT(G284:J284)&lt;&gt;4,G284&lt;0,G284&gt;1,H284&gt;I284,I284&gt;J284),"n.a.",ROUND(G284*(H284+4*I284+J284)/6+0.00000001,2))</f>
        <v/>
      </c>
      <c r="L284" s="13" t="n">
        <v>0</v>
      </c>
      <c r="M284" s="14">
        <f>SUMIFS(Maßnahmen!$I$7:$I$126,Maßnahmen!$D$7:$D$126,C284,Maßnahmen!$H$7:$H$126,"&lt;&gt;verworfen")</f>
        <v/>
      </c>
      <c r="N284" s="14">
        <f>IF(ISNUMBER(K284),MAX(0,K284-L284-M284),"n.a.")</f>
        <v/>
      </c>
      <c r="O284" s="14" t="n">
        <v>674.02</v>
      </c>
      <c r="P284" s="14">
        <f>IF(ISNUMBER(K284),K284-O284,"n.a.")</f>
        <v/>
      </c>
    </row>
    <row r="285" ht="32" customHeight="1">
      <c r="C285" s="10" t="inlineStr">
        <is>
          <t>PRJ-4f8e93d4-RK-10</t>
        </is>
      </c>
      <c r="D285" s="10" t="inlineStr">
        <is>
          <t>P4102307436</t>
        </is>
      </c>
      <c r="E285" s="11" t="inlineStr">
        <is>
          <t>Terminvorgabe Auftraggeber / Geräteauslastung</t>
        </is>
      </c>
      <c r="F285" s="10" t="inlineStr">
        <is>
          <t>Termin</t>
        </is>
      </c>
      <c r="G285" s="12" t="n">
        <v>0.08</v>
      </c>
      <c r="H285" s="13" t="n">
        <v>281</v>
      </c>
      <c r="I285" s="13" t="n">
        <v>563</v>
      </c>
      <c r="J285" s="13" t="n">
        <v>1125</v>
      </c>
      <c r="K285" s="14">
        <f>IF(OR(COUNT(G285:J285)&lt;&gt;4,G285&lt;0,G285&gt;1,H285&gt;I285,I285&gt;J285),"n.a.",ROUND(G285*(H285+4*I285+J285)/6+0.00000001,2))</f>
        <v/>
      </c>
      <c r="L285" s="13" t="n">
        <v>0</v>
      </c>
      <c r="M285" s="14">
        <f>SUMIFS(Maßnahmen!$I$7:$I$126,Maßnahmen!$D$7:$D$126,C285,Maßnahmen!$H$7:$H$126,"&lt;&gt;verworfen")</f>
        <v/>
      </c>
      <c r="N285" s="14">
        <f>IF(ISNUMBER(K285),MAX(0,K285-L285-M285),"n.a.")</f>
        <v/>
      </c>
      <c r="O285" s="14" t="n">
        <v>48.77</v>
      </c>
      <c r="P285" s="14">
        <f>IF(ISNUMBER(K285),K285-O285,"n.a.")</f>
        <v/>
      </c>
    </row>
    <row r="286" ht="32" customHeight="1">
      <c r="C286" s="10" t="inlineStr">
        <is>
          <t>PRJ-4f8e93d4-RK-12</t>
        </is>
      </c>
      <c r="D286" s="10" t="inlineStr">
        <is>
          <t>P4102307436</t>
        </is>
      </c>
      <c r="E286" s="11" t="inlineStr">
        <is>
          <t>Staubemissionen (höchster Aufwand laut Umfrage)</t>
        </is>
      </c>
      <c r="F286" s="10" t="inlineStr">
        <is>
          <t>Emissionen</t>
        </is>
      </c>
      <c r="G286" s="12" t="n">
        <v>0.1</v>
      </c>
      <c r="H286" s="13" t="n">
        <v>1688</v>
      </c>
      <c r="I286" s="13" t="n">
        <v>3375</v>
      </c>
      <c r="J286" s="13" t="n">
        <v>6751</v>
      </c>
      <c r="K286" s="14">
        <f>IF(OR(COUNT(G286:J286)&lt;&gt;4,G286&lt;0,G286&gt;1,H286&gt;I286,I286&gt;J286),"n.a.",ROUND(G286*(H286+4*I286+J286)/6+0.00000001,2))</f>
        <v/>
      </c>
      <c r="L286" s="13" t="n">
        <v>0</v>
      </c>
      <c r="M286" s="14">
        <f>SUMIFS(Maßnahmen!$I$7:$I$126,Maßnahmen!$D$7:$D$126,C286,Maßnahmen!$H$7:$H$126,"&lt;&gt;verworfen")</f>
        <v/>
      </c>
      <c r="N286" s="14">
        <f>IF(ISNUMBER(K286),MAX(0,K286-L286-M286),"n.a.")</f>
        <v/>
      </c>
      <c r="O286" s="14" t="n">
        <v>365.65</v>
      </c>
      <c r="P286" s="14">
        <f>IF(ISNUMBER(K286),K286-O286,"n.a.")</f>
        <v/>
      </c>
    </row>
    <row r="287" ht="32" customHeight="1">
      <c r="C287" s="10" t="inlineStr">
        <is>
          <t>PRJ-4f8e93d4-RK-13</t>
        </is>
      </c>
      <c r="D287" s="10" t="inlineStr">
        <is>
          <t>P4102307436</t>
        </is>
      </c>
      <c r="E287" s="11" t="inlineStr">
        <is>
          <t>Lärm- und Erschütterungsauflagen</t>
        </is>
      </c>
      <c r="F287" s="10" t="inlineStr">
        <is>
          <t>Emissionen</t>
        </is>
      </c>
      <c r="G287" s="12" t="n">
        <v>0.339</v>
      </c>
      <c r="H287" s="13" t="n">
        <v>2829</v>
      </c>
      <c r="I287" s="13" t="n">
        <v>5936</v>
      </c>
      <c r="J287" s="13" t="n">
        <v>11020</v>
      </c>
      <c r="K287" s="14">
        <f>IF(OR(COUNT(G287:J287)&lt;&gt;4,G287&lt;0,G287&gt;1,H287&gt;I287,I287&gt;J287),"n.a.",ROUND(G287*(H287+4*I287+J287)/6+0.00000001,2))</f>
        <v/>
      </c>
      <c r="L287" s="13" t="n">
        <v>0</v>
      </c>
      <c r="M287" s="14">
        <f>SUMIFS(Maßnahmen!$I$7:$I$126,Maßnahmen!$D$7:$D$126,C287,Maßnahmen!$H$7:$H$126,"&lt;&gt;verworfen")</f>
        <v/>
      </c>
      <c r="N287" s="14">
        <f>IF(ISNUMBER(K287),MAX(0,K287-L287-M287),"n.a.")</f>
        <v/>
      </c>
      <c r="O287" s="14" t="n">
        <v>2124</v>
      </c>
      <c r="P287" s="14">
        <f>IF(ISNUMBER(K287),K287-O287,"n.a.")</f>
        <v/>
      </c>
    </row>
    <row r="288" ht="32" customHeight="1">
      <c r="C288" s="10" t="inlineStr">
        <is>
          <t>PRJ-4f8e93d4-RK-14</t>
        </is>
      </c>
      <c r="D288" s="10" t="inlineStr">
        <is>
          <t>P4102307436</t>
        </is>
      </c>
      <c r="E288" s="11" t="inlineStr">
        <is>
          <t>Rechtliche Auflagen / Entsorgungsnachweise (Formalismus)</t>
        </is>
      </c>
      <c r="F288" s="10" t="inlineStr">
        <is>
          <t>Genehmigung</t>
        </is>
      </c>
      <c r="G288" s="12" t="n">
        <v>0.287</v>
      </c>
      <c r="H288" s="13" t="n">
        <v>2992</v>
      </c>
      <c r="I288" s="13" t="n">
        <v>5997</v>
      </c>
      <c r="J288" s="13" t="n">
        <v>11457</v>
      </c>
      <c r="K288" s="14">
        <f>IF(OR(COUNT(G288:J288)&lt;&gt;4,G288&lt;0,G288&gt;1,H288&gt;I288,I288&gt;J288),"n.a.",ROUND(G288*(H288+4*I288+J288)/6+0.00000001,2))</f>
        <v/>
      </c>
      <c r="L288" s="13" t="n">
        <v>0</v>
      </c>
      <c r="M288" s="14">
        <f>SUMIFS(Maßnahmen!$I$7:$I$126,Maßnahmen!$D$7:$D$126,C288,Maßnahmen!$H$7:$H$126,"&lt;&gt;verworfen")</f>
        <v/>
      </c>
      <c r="N288" s="14">
        <f>IF(ISNUMBER(K288),MAX(0,K288-L288-M288),"n.a.")</f>
        <v/>
      </c>
      <c r="O288" s="14" t="n">
        <v>1838.57</v>
      </c>
      <c r="P288" s="14">
        <f>IF(ISNUMBER(K288),K288-O288,"n.a.")</f>
        <v/>
      </c>
    </row>
    <row r="289" ht="32" customHeight="1">
      <c r="C289" s="10" t="inlineStr">
        <is>
          <t>PRJ-4f8e93d4-RK-15</t>
        </is>
      </c>
      <c r="D289" s="10" t="inlineStr">
        <is>
          <t>P4102307436</t>
        </is>
      </c>
      <c r="E289" s="11" t="inlineStr">
        <is>
          <t>Konjunktur / Sekundärstoffpreise &amp; Gerätemiete</t>
        </is>
      </c>
      <c r="F289" s="10" t="inlineStr">
        <is>
          <t>Markt</t>
        </is>
      </c>
      <c r="G289" s="12" t="n">
        <v>0.12</v>
      </c>
      <c r="H289" s="13" t="n">
        <v>450</v>
      </c>
      <c r="I289" s="13" t="n">
        <v>1125</v>
      </c>
      <c r="J289" s="13" t="n">
        <v>2813</v>
      </c>
      <c r="K289" s="14">
        <f>IF(OR(COUNT(G289:J289)&lt;&gt;4,G289&lt;0,G289&gt;1,H289&gt;I289,I289&gt;J289),"n.a.",ROUND(G289*(H289+4*I289+J289)/6+0.00000001,2))</f>
        <v/>
      </c>
      <c r="L289" s="13" t="n">
        <v>0</v>
      </c>
      <c r="M289" s="14">
        <f>SUMIFS(Maßnahmen!$I$7:$I$126,Maßnahmen!$D$7:$D$126,C289,Maßnahmen!$H$7:$H$126,"&lt;&gt;verworfen")</f>
        <v/>
      </c>
      <c r="N289" s="14">
        <f>IF(ISNUMBER(K289),MAX(0,K289-L289-M289),"n.a.")</f>
        <v/>
      </c>
      <c r="O289" s="14" t="n">
        <v>155.26</v>
      </c>
      <c r="P289" s="14">
        <f>IF(ISNUMBER(K289),K289-O289,"n.a.")</f>
        <v/>
      </c>
    </row>
    <row r="290" ht="32" customHeight="1">
      <c r="C290" s="10" t="inlineStr">
        <is>
          <t>PRJ-4f8e93ba-RK-01</t>
        </is>
      </c>
      <c r="D290" s="10" t="inlineStr">
        <is>
          <t>P4102307441</t>
        </is>
      </c>
      <c r="E290" s="11" t="inlineStr">
        <is>
          <t>Schadstofffund / Schadstoffsanierung (Asbest, PAK, PCB, PCP)</t>
        </is>
      </c>
      <c r="F290" s="10" t="inlineStr">
        <is>
          <t>Schadstoffe</t>
        </is>
      </c>
      <c r="G290" s="12" t="n">
        <v>0.7</v>
      </c>
      <c r="H290" s="13" t="n">
        <v>5323</v>
      </c>
      <c r="I290" s="13" t="n">
        <v>7274</v>
      </c>
      <c r="J290" s="13" t="n">
        <v>10508</v>
      </c>
      <c r="K290" s="14">
        <f>IF(OR(COUNT(G290:J290)&lt;&gt;4,G290&lt;0,G290&gt;1,H290&gt;I290,I290&gt;J290),"n.a.",ROUND(G290*(H290+4*I290+J290)/6+0.00000001,2))</f>
        <v/>
      </c>
      <c r="L290" s="13" t="n">
        <v>0</v>
      </c>
      <c r="M290" s="14">
        <f>SUMIFS(Maßnahmen!$I$7:$I$126,Maßnahmen!$D$7:$D$126,C290,Maßnahmen!$H$7:$H$126,"&lt;&gt;verworfen")</f>
        <v/>
      </c>
      <c r="N290" s="14">
        <f>IF(ISNUMBER(K290),MAX(0,K290-L290-M290),"n.a.")</f>
        <v/>
      </c>
      <c r="O290" s="14" t="n">
        <v>5241.48</v>
      </c>
      <c r="P290" s="14">
        <f>IF(ISNUMBER(K290),K290-O290,"n.a.")</f>
        <v/>
      </c>
    </row>
    <row r="291" ht="32" customHeight="1">
      <c r="C291" s="10" t="inlineStr">
        <is>
          <t>PRJ-4f8e93ba-RK-02</t>
        </is>
      </c>
      <c r="D291" s="10" t="inlineStr">
        <is>
          <t>P4102307441</t>
        </is>
      </c>
      <c r="E291" s="11" t="inlineStr">
        <is>
          <t>Arbeitsschutz kontaminierte Bereiche (TRGS 524)</t>
        </is>
      </c>
      <c r="F291" s="10" t="inlineStr">
        <is>
          <t>Schadstoffe</t>
        </is>
      </c>
      <c r="G291" s="12" t="n">
        <v>0.1</v>
      </c>
      <c r="H291" s="13" t="n">
        <v>81</v>
      </c>
      <c r="I291" s="13" t="n">
        <v>162</v>
      </c>
      <c r="J291" s="13" t="n">
        <v>323</v>
      </c>
      <c r="K291" s="14">
        <f>IF(OR(COUNT(G291:J291)&lt;&gt;4,G291&lt;0,G291&gt;1,H291&gt;I291,I291&gt;J291),"n.a.",ROUND(G291*(H291+4*I291+J291)/6+0.00000001,2))</f>
        <v/>
      </c>
      <c r="L291" s="13" t="n">
        <v>0</v>
      </c>
      <c r="M291" s="14">
        <f>SUMIFS(Maßnahmen!$I$7:$I$126,Maßnahmen!$D$7:$D$126,C291,Maßnahmen!$H$7:$H$126,"&lt;&gt;verworfen")</f>
        <v/>
      </c>
      <c r="N291" s="14">
        <f>IF(ISNUMBER(K291),MAX(0,K291-L291-M291),"n.a.")</f>
        <v/>
      </c>
      <c r="O291" s="14" t="n">
        <v>17.53</v>
      </c>
      <c r="P291" s="14">
        <f>IF(ISNUMBER(K291),K291-O291,"n.a.")</f>
        <v/>
      </c>
    </row>
    <row r="292" ht="32" customHeight="1">
      <c r="C292" s="10" t="inlineStr">
        <is>
          <t>PRJ-4f8e93ba-RK-03</t>
        </is>
      </c>
      <c r="D292" s="10" t="inlineStr">
        <is>
          <t>P4102307441</t>
        </is>
      </c>
      <c r="E292" s="11" t="inlineStr">
        <is>
          <t>Entsorgungs-Mehrkosten / Entsorgungswege</t>
        </is>
      </c>
      <c r="F292" s="10" t="inlineStr">
        <is>
          <t>Entsorgung</t>
        </is>
      </c>
      <c r="G292" s="12" t="n">
        <v>0.488</v>
      </c>
      <c r="H292" s="13" t="n">
        <v>2308</v>
      </c>
      <c r="I292" s="13" t="n">
        <v>4281</v>
      </c>
      <c r="J292" s="13" t="n">
        <v>7074</v>
      </c>
      <c r="K292" s="14">
        <f>IF(OR(COUNT(G292:J292)&lt;&gt;4,G292&lt;0,G292&gt;1,H292&gt;I292,I292&gt;J292),"n.a.",ROUND(G292*(H292+4*I292+J292)/6+0.00000001,2))</f>
        <v/>
      </c>
      <c r="L292" s="13" t="n">
        <v>0</v>
      </c>
      <c r="M292" s="14">
        <f>SUMIFS(Maßnahmen!$I$7:$I$126,Maßnahmen!$D$7:$D$126,C292,Maßnahmen!$H$7:$H$126,"&lt;&gt;verworfen")</f>
        <v/>
      </c>
      <c r="N292" s="14">
        <f>IF(ISNUMBER(K292),MAX(0,K292-L292-M292),"n.a.")</f>
        <v/>
      </c>
      <c r="O292" s="14" t="n">
        <v>2155.82</v>
      </c>
      <c r="P292" s="14">
        <f>IF(ISNUMBER(K292),K292-O292,"n.a.")</f>
        <v/>
      </c>
    </row>
    <row r="293" ht="32" customHeight="1">
      <c r="C293" s="10" t="inlineStr">
        <is>
          <t>PRJ-4f8e93ba-RK-04</t>
        </is>
      </c>
      <c r="D293" s="10" t="inlineStr">
        <is>
          <t>P4102307441</t>
        </is>
      </c>
      <c r="E293" s="11" t="inlineStr">
        <is>
          <t>Baustofftrennung / Aufbereitung nicht wie geplant</t>
        </is>
      </c>
      <c r="F293" s="10" t="inlineStr">
        <is>
          <t>Entsorgung</t>
        </is>
      </c>
      <c r="G293" s="12" t="n">
        <v>0.08</v>
      </c>
      <c r="H293" s="13" t="n">
        <v>81</v>
      </c>
      <c r="I293" s="13" t="n">
        <v>162</v>
      </c>
      <c r="J293" s="13" t="n">
        <v>323</v>
      </c>
      <c r="K293" s="14">
        <f>IF(OR(COUNT(G293:J293)&lt;&gt;4,G293&lt;0,G293&gt;1,H293&gt;I293,I293&gt;J293),"n.a.",ROUND(G293*(H293+4*I293+J293)/6+0.00000001,2))</f>
        <v/>
      </c>
      <c r="L293" s="13" t="n">
        <v>0</v>
      </c>
      <c r="M293" s="14">
        <f>SUMIFS(Maßnahmen!$I$7:$I$126,Maßnahmen!$D$7:$D$126,C293,Maßnahmen!$H$7:$H$126,"&lt;&gt;verworfen")</f>
        <v/>
      </c>
      <c r="N293" s="14">
        <f>IF(ISNUMBER(K293),MAX(0,K293-L293-M293),"n.a.")</f>
        <v/>
      </c>
      <c r="O293" s="14" t="n">
        <v>14.03</v>
      </c>
      <c r="P293" s="14">
        <f>IF(ISNUMBER(K293),K293-O293,"n.a.")</f>
        <v/>
      </c>
    </row>
    <row r="294" ht="32" customHeight="1">
      <c r="C294" s="10" t="inlineStr">
        <is>
          <t>PRJ-4f8e93ba-RK-05</t>
        </is>
      </c>
      <c r="D294" s="10" t="inlineStr">
        <is>
          <t>P4102307441</t>
        </is>
      </c>
      <c r="E294" s="11" t="inlineStr">
        <is>
          <t>Unbekannte Bauwerkskonstruktion / fehlende Pläne</t>
        </is>
      </c>
      <c r="F294" s="10" t="inlineStr">
        <is>
          <t>Statik</t>
        </is>
      </c>
      <c r="G294" s="12" t="n">
        <v>0.37</v>
      </c>
      <c r="H294" s="13" t="n">
        <v>5658</v>
      </c>
      <c r="I294" s="13" t="n">
        <v>7274</v>
      </c>
      <c r="J294" s="13" t="n">
        <v>10508</v>
      </c>
      <c r="K294" s="14">
        <f>IF(OR(COUNT(G294:J294)&lt;&gt;4,G294&lt;0,G294&gt;1,H294&gt;I294,I294&gt;J294),"n.a.",ROUND(G294*(H294+4*I294+J294)/6+0.00000001,2))</f>
        <v/>
      </c>
      <c r="L294" s="13" t="n">
        <v>0</v>
      </c>
      <c r="M294" s="14">
        <f>SUMIFS(Maßnahmen!$I$7:$I$126,Maßnahmen!$D$7:$D$126,C294,Maßnahmen!$H$7:$H$126,"&lt;&gt;verworfen")</f>
        <v/>
      </c>
      <c r="N294" s="14">
        <f>IF(ISNUMBER(K294),MAX(0,K294-L294-M294),"n.a.")</f>
        <v/>
      </c>
      <c r="O294" s="14" t="n">
        <v>2791.16</v>
      </c>
      <c r="P294" s="14">
        <f>IF(ISNUMBER(K294),K294-O294,"n.a.")</f>
        <v/>
      </c>
    </row>
    <row r="295" ht="32" customHeight="1">
      <c r="C295" s="10" t="inlineStr">
        <is>
          <t>PRJ-4f8e93ba-RK-06</t>
        </is>
      </c>
      <c r="D295" s="10" t="inlineStr">
        <is>
          <t>P4102307441</t>
        </is>
      </c>
      <c r="E295" s="11" t="inlineStr">
        <is>
          <t>Statik / Einsturzsicherung während Abbruch</t>
        </is>
      </c>
      <c r="F295" s="10" t="inlineStr">
        <is>
          <t>Statik</t>
        </is>
      </c>
      <c r="G295" s="12" t="n">
        <v>0.273</v>
      </c>
      <c r="H295" s="13" t="n">
        <v>1973</v>
      </c>
      <c r="I295" s="13" t="n">
        <v>3612</v>
      </c>
      <c r="J295" s="13" t="n">
        <v>6232</v>
      </c>
      <c r="K295" s="14">
        <f>IF(OR(COUNT(G295:J295)&lt;&gt;4,G295&lt;0,G295&gt;1,H295&gt;I295,I295&gt;J295),"n.a.",ROUND(G295*(H295+4*I295+J295)/6+0.00000001,2))</f>
        <v/>
      </c>
      <c r="L295" s="13" t="n">
        <v>0</v>
      </c>
      <c r="M295" s="14">
        <f>SUMIFS(Maßnahmen!$I$7:$I$126,Maßnahmen!$D$7:$D$126,C295,Maßnahmen!$H$7:$H$126,"&lt;&gt;verworfen")</f>
        <v/>
      </c>
      <c r="N295" s="14">
        <f>IF(ISNUMBER(K295),MAX(0,K295-L295-M295),"n.a.")</f>
        <v/>
      </c>
      <c r="O295" s="14" t="n">
        <v>1030.71</v>
      </c>
      <c r="P295" s="14">
        <f>IF(ISNUMBER(K295),K295-O295,"n.a.")</f>
        <v/>
      </c>
    </row>
    <row r="296" ht="32" customHeight="1">
      <c r="C296" s="10" t="inlineStr">
        <is>
          <t>PRJ-4f8e93ba-RK-07</t>
        </is>
      </c>
      <c r="D296" s="10" t="inlineStr">
        <is>
          <t>P4102307441</t>
        </is>
      </c>
      <c r="E296" s="11" t="inlineStr">
        <is>
          <t>Unterirdische Tragkonstruktion / Fundamente</t>
        </is>
      </c>
      <c r="F296" s="10" t="inlineStr">
        <is>
          <t>Statik</t>
        </is>
      </c>
      <c r="G296" s="12" t="n">
        <v>0.6</v>
      </c>
      <c r="H296" s="13" t="n">
        <v>577</v>
      </c>
      <c r="I296" s="13" t="n">
        <v>1117</v>
      </c>
      <c r="J296" s="13" t="n">
        <v>2297</v>
      </c>
      <c r="K296" s="14">
        <f>IF(OR(COUNT(G296:J296)&lt;&gt;4,G296&lt;0,G296&gt;1,H296&gt;I296,I296&gt;J296),"n.a.",ROUND(G296*(H296+4*I296+J296)/6+0.00000001,2))</f>
        <v/>
      </c>
      <c r="L296" s="13" t="n">
        <v>0</v>
      </c>
      <c r="M296" s="14">
        <f>SUMIFS(Maßnahmen!$I$7:$I$126,Maßnahmen!$D$7:$D$126,C296,Maßnahmen!$H$7:$H$126,"&lt;&gt;verworfen")</f>
        <v/>
      </c>
      <c r="N296" s="14">
        <f>IF(ISNUMBER(K296),MAX(0,K296-L296-M296),"n.a.")</f>
        <v/>
      </c>
      <c r="O296" s="14" t="n">
        <v>734.2</v>
      </c>
      <c r="P296" s="14">
        <f>IF(ISNUMBER(K296),K296-O296,"n.a.")</f>
        <v/>
      </c>
    </row>
    <row r="297" ht="32" customHeight="1">
      <c r="C297" s="10" t="inlineStr">
        <is>
          <t>PRJ-4f8e93ba-RK-08</t>
        </is>
      </c>
      <c r="D297" s="10" t="inlineStr">
        <is>
          <t>P4102307441</t>
        </is>
      </c>
      <c r="E297" s="11" t="inlineStr">
        <is>
          <t>Gebäudehöhe &gt;22 m / Longfront-Bagger (+130–150 %)</t>
        </is>
      </c>
      <c r="F297" s="10" t="inlineStr">
        <is>
          <t>Termin</t>
        </is>
      </c>
      <c r="G297" s="12" t="n">
        <v>0.2</v>
      </c>
      <c r="H297" s="13" t="n">
        <v>162</v>
      </c>
      <c r="I297" s="13" t="n">
        <v>485</v>
      </c>
      <c r="J297" s="13" t="n">
        <v>970</v>
      </c>
      <c r="K297" s="14">
        <f>IF(OR(COUNT(G297:J297)&lt;&gt;4,G297&lt;0,G297&gt;1,H297&gt;I297,I297&gt;J297),"n.a.",ROUND(G297*(H297+4*I297+J297)/6+0.00000001,2))</f>
        <v/>
      </c>
      <c r="L297" s="13" t="n">
        <v>0</v>
      </c>
      <c r="M297" s="14">
        <f>SUMIFS(Maßnahmen!$I$7:$I$126,Maßnahmen!$D$7:$D$126,C297,Maßnahmen!$H$7:$H$126,"&lt;&gt;verworfen")</f>
        <v/>
      </c>
      <c r="N297" s="14">
        <f>IF(ISNUMBER(K297),MAX(0,K297-L297-M297),"n.a.")</f>
        <v/>
      </c>
      <c r="O297" s="14" t="n">
        <v>102.4</v>
      </c>
      <c r="P297" s="14">
        <f>IF(ISNUMBER(K297),K297-O297,"n.a.")</f>
        <v/>
      </c>
    </row>
    <row r="298" ht="32" customHeight="1">
      <c r="C298" s="10" t="inlineStr">
        <is>
          <t>PRJ-4f8e93ba-RK-09</t>
        </is>
      </c>
      <c r="D298" s="10" t="inlineStr">
        <is>
          <t>P4102307441</t>
        </is>
      </c>
      <c r="E298" s="11" t="inlineStr">
        <is>
          <t>Beennte Lage / nur Handabbruch möglich</t>
        </is>
      </c>
      <c r="F298" s="10" t="inlineStr">
        <is>
          <t>Termin</t>
        </is>
      </c>
      <c r="G298" s="12" t="n">
        <v>0.5</v>
      </c>
      <c r="H298" s="13" t="n">
        <v>2478</v>
      </c>
      <c r="I298" s="13" t="n">
        <v>5020</v>
      </c>
      <c r="J298" s="13" t="n">
        <v>10202</v>
      </c>
      <c r="K298" s="14">
        <f>IF(OR(COUNT(G298:J298)&lt;&gt;4,G298&lt;0,G298&gt;1,H298&gt;I298,I298&gt;J298),"n.a.",ROUND(G298*(H298+4*I298+J298)/6+0.00000001,2))</f>
        <v/>
      </c>
      <c r="L298" s="13" t="n">
        <v>0</v>
      </c>
      <c r="M298" s="14">
        <f>SUMIFS(Maßnahmen!$I$7:$I$126,Maßnahmen!$D$7:$D$126,C298,Maßnahmen!$H$7:$H$126,"&lt;&gt;verworfen")</f>
        <v/>
      </c>
      <c r="N298" s="14">
        <f>IF(ISNUMBER(K298),MAX(0,K298-L298-M298),"n.a.")</f>
        <v/>
      </c>
      <c r="O298" s="14" t="n">
        <v>2730</v>
      </c>
      <c r="P298" s="14">
        <f>IF(ISNUMBER(K298),K298-O298,"n.a.")</f>
        <v/>
      </c>
    </row>
    <row r="299" ht="32" customHeight="1">
      <c r="C299" s="10" t="inlineStr">
        <is>
          <t>PRJ-4f8e93ba-RK-10</t>
        </is>
      </c>
      <c r="D299" s="10" t="inlineStr">
        <is>
          <t>P4102307441</t>
        </is>
      </c>
      <c r="E299" s="11" t="inlineStr">
        <is>
          <t>Terminvorgabe Auftraggeber / Geräteauslastung</t>
        </is>
      </c>
      <c r="F299" s="10" t="inlineStr">
        <is>
          <t>Termin</t>
        </is>
      </c>
      <c r="G299" s="12" t="n">
        <v>0.08</v>
      </c>
      <c r="H299" s="13" t="n">
        <v>81</v>
      </c>
      <c r="I299" s="13" t="n">
        <v>162</v>
      </c>
      <c r="J299" s="13" t="n">
        <v>323</v>
      </c>
      <c r="K299" s="14">
        <f>IF(OR(COUNT(G299:J299)&lt;&gt;4,G299&lt;0,G299&gt;1,H299&gt;I299,I299&gt;J299),"n.a.",ROUND(G299*(H299+4*I299+J299)/6+0.00000001,2))</f>
        <v/>
      </c>
      <c r="L299" s="13" t="n">
        <v>0</v>
      </c>
      <c r="M299" s="14">
        <f>SUMIFS(Maßnahmen!$I$7:$I$126,Maßnahmen!$D$7:$D$126,C299,Maßnahmen!$H$7:$H$126,"&lt;&gt;verworfen")</f>
        <v/>
      </c>
      <c r="N299" s="14">
        <f>IF(ISNUMBER(K299),MAX(0,K299-L299-M299),"n.a.")</f>
        <v/>
      </c>
      <c r="O299" s="14" t="n">
        <v>14.03</v>
      </c>
      <c r="P299" s="14">
        <f>IF(ISNUMBER(K299),K299-O299,"n.a.")</f>
        <v/>
      </c>
    </row>
    <row r="300" ht="32" customHeight="1">
      <c r="C300" s="10" t="inlineStr">
        <is>
          <t>PRJ-4f8e93ba-RK-11</t>
        </is>
      </c>
      <c r="D300" s="10" t="inlineStr">
        <is>
          <t>P4102307441</t>
        </is>
      </c>
      <c r="E300" s="11" t="inlineStr">
        <is>
          <t>Witterung / Ablaufstörung</t>
        </is>
      </c>
      <c r="F300" s="10" t="inlineStr">
        <is>
          <t>Termin</t>
        </is>
      </c>
      <c r="G300" s="12" t="n">
        <v>0.15</v>
      </c>
      <c r="H300" s="13" t="n">
        <v>162</v>
      </c>
      <c r="I300" s="13" t="n">
        <v>485</v>
      </c>
      <c r="J300" s="13" t="n">
        <v>970</v>
      </c>
      <c r="K300" s="14">
        <f>IF(OR(COUNT(G300:J300)&lt;&gt;4,G300&lt;0,G300&gt;1,H300&gt;I300,I300&gt;J300),"n.a.",ROUND(G300*(H300+4*I300+J300)/6+0.00000001,2))</f>
        <v/>
      </c>
      <c r="L300" s="13" t="n">
        <v>0</v>
      </c>
      <c r="M300" s="14">
        <f>SUMIFS(Maßnahmen!$I$7:$I$126,Maßnahmen!$D$7:$D$126,C300,Maßnahmen!$H$7:$H$126,"&lt;&gt;verworfen")</f>
        <v/>
      </c>
      <c r="N300" s="14">
        <f>IF(ISNUMBER(K300),MAX(0,K300-L300-M300),"n.a.")</f>
        <v/>
      </c>
      <c r="O300" s="14" t="n">
        <v>76.8</v>
      </c>
      <c r="P300" s="14">
        <f>IF(ISNUMBER(K300),K300-O300,"n.a.")</f>
        <v/>
      </c>
    </row>
    <row r="301" ht="32" customHeight="1">
      <c r="C301" s="10" t="inlineStr">
        <is>
          <t>PRJ-4f8e93ba-RK-12</t>
        </is>
      </c>
      <c r="D301" s="10" t="inlineStr">
        <is>
          <t>P4102307441</t>
        </is>
      </c>
      <c r="E301" s="11" t="inlineStr">
        <is>
          <t>Staubemissionen (höchster Aufwand laut Umfrage)</t>
        </is>
      </c>
      <c r="F301" s="10" t="inlineStr">
        <is>
          <t>Emissionen</t>
        </is>
      </c>
      <c r="G301" s="12" t="n">
        <v>0.22</v>
      </c>
      <c r="H301" s="13" t="n">
        <v>485</v>
      </c>
      <c r="I301" s="13" t="n">
        <v>970</v>
      </c>
      <c r="J301" s="13" t="n">
        <v>1940</v>
      </c>
      <c r="K301" s="14">
        <f>IF(OR(COUNT(G301:J301)&lt;&gt;4,G301&lt;0,G301&gt;1,H301&gt;I301,I301&gt;J301),"n.a.",ROUND(G301*(H301+4*I301+J301)/6+0.00000001,2))</f>
        <v/>
      </c>
      <c r="L301" s="13" t="n">
        <v>0</v>
      </c>
      <c r="M301" s="14">
        <f>SUMIFS(Maßnahmen!$I$7:$I$126,Maßnahmen!$D$7:$D$126,C301,Maßnahmen!$H$7:$H$126,"&lt;&gt;verworfen")</f>
        <v/>
      </c>
      <c r="N301" s="14">
        <f>IF(ISNUMBER(K301),MAX(0,K301-L301-M301),"n.a.")</f>
        <v/>
      </c>
      <c r="O301" s="14" t="n">
        <v>231.18</v>
      </c>
      <c r="P301" s="14">
        <f>IF(ISNUMBER(K301),K301-O301,"n.a.")</f>
        <v/>
      </c>
    </row>
    <row r="302" ht="32" customHeight="1">
      <c r="C302" s="10" t="inlineStr">
        <is>
          <t>PRJ-52b1cf8d-RK-01</t>
        </is>
      </c>
      <c r="D302" s="10" t="inlineStr">
        <is>
          <t>P4102157436</t>
        </is>
      </c>
      <c r="E302" s="11" t="inlineStr">
        <is>
          <t>Schadstofffund / Schadstoffsanierung (Asbest, PAK, PCB, PCP)</t>
        </is>
      </c>
      <c r="F302" s="10" t="inlineStr">
        <is>
          <t>Schadstoffe</t>
        </is>
      </c>
      <c r="G302" s="12" t="n">
        <v>0.7</v>
      </c>
      <c r="H302" s="13" t="n">
        <v>1750</v>
      </c>
      <c r="I302" s="13" t="n">
        <v>2250</v>
      </c>
      <c r="J302" s="13" t="n">
        <v>3250</v>
      </c>
      <c r="K302" s="14">
        <f>IF(OR(COUNT(G302:J302)&lt;&gt;4,G302&lt;0,G302&gt;1,H302&gt;I302,I302&gt;J302),"n.a.",ROUND(G302*(H302+4*I302+J302)/6+0.00000001,2))</f>
        <v/>
      </c>
      <c r="L302" s="13" t="n">
        <v>0</v>
      </c>
      <c r="M302" s="14">
        <f>SUMIFS(Maßnahmen!$I$7:$I$126,Maßnahmen!$D$7:$D$126,C302,Maßnahmen!$H$7:$H$126,"&lt;&gt;verworfen")</f>
        <v/>
      </c>
      <c r="N302" s="14">
        <f>IF(ISNUMBER(K302),MAX(0,K302-L302-M302),"n.a.")</f>
        <v/>
      </c>
      <c r="O302" s="14" t="n">
        <v>1633.33</v>
      </c>
      <c r="P302" s="14">
        <f>IF(ISNUMBER(K302),K302-O302,"n.a.")</f>
        <v/>
      </c>
    </row>
    <row r="303" ht="32" customHeight="1">
      <c r="C303" s="10" t="inlineStr">
        <is>
          <t>PRJ-52b1cf8d-RK-02</t>
        </is>
      </c>
      <c r="D303" s="10" t="inlineStr">
        <is>
          <t>P4102157436</t>
        </is>
      </c>
      <c r="E303" s="11" t="inlineStr">
        <is>
          <t>Arbeitsschutz kontaminierte Bereiche (TRGS 524)</t>
        </is>
      </c>
      <c r="F303" s="10" t="inlineStr">
        <is>
          <t>Schadstoffe</t>
        </is>
      </c>
      <c r="G303" s="12" t="n">
        <v>0.47</v>
      </c>
      <c r="H303" s="13" t="n">
        <v>100</v>
      </c>
      <c r="I303" s="13" t="n">
        <v>250</v>
      </c>
      <c r="J303" s="13" t="n">
        <v>500</v>
      </c>
      <c r="K303" s="14">
        <f>IF(OR(COUNT(G303:J303)&lt;&gt;4,G303&lt;0,G303&gt;1,H303&gt;I303,I303&gt;J303),"n.a.",ROUND(G303*(H303+4*I303+J303)/6+0.00000001,2))</f>
        <v/>
      </c>
      <c r="L303" s="13" t="n">
        <v>0</v>
      </c>
      <c r="M303" s="14">
        <f>SUMIFS(Maßnahmen!$I$7:$I$126,Maßnahmen!$D$7:$D$126,C303,Maßnahmen!$H$7:$H$126,"&lt;&gt;verworfen")</f>
        <v/>
      </c>
      <c r="N303" s="14">
        <f>IF(ISNUMBER(K303),MAX(0,K303-L303-M303),"n.a.")</f>
        <v/>
      </c>
      <c r="O303" s="14" t="n">
        <v>125.33</v>
      </c>
      <c r="P303" s="14">
        <f>IF(ISNUMBER(K303),K303-O303,"n.a.")</f>
        <v/>
      </c>
    </row>
    <row r="304" ht="32" customHeight="1">
      <c r="C304" s="10" t="inlineStr">
        <is>
          <t>PRJ-52b1cf8d-RK-03</t>
        </is>
      </c>
      <c r="D304" s="10" t="inlineStr">
        <is>
          <t>P4102157436</t>
        </is>
      </c>
      <c r="E304" s="11" t="inlineStr">
        <is>
          <t>Entsorgungs-Mehrkosten / Entsorgungswege</t>
        </is>
      </c>
      <c r="F304" s="10" t="inlineStr">
        <is>
          <t>Entsorgung</t>
        </is>
      </c>
      <c r="G304" s="12" t="n">
        <v>0.27</v>
      </c>
      <c r="H304" s="13" t="n">
        <v>100</v>
      </c>
      <c r="I304" s="13" t="n">
        <v>250</v>
      </c>
      <c r="J304" s="13" t="n">
        <v>500</v>
      </c>
      <c r="K304" s="14">
        <f>IF(OR(COUNT(G304:J304)&lt;&gt;4,G304&lt;0,G304&gt;1,H304&gt;I304,I304&gt;J304),"n.a.",ROUND(G304*(H304+4*I304+J304)/6+0.00000001,2))</f>
        <v/>
      </c>
      <c r="L304" s="13" t="n">
        <v>0</v>
      </c>
      <c r="M304" s="14">
        <f>SUMIFS(Maßnahmen!$I$7:$I$126,Maßnahmen!$D$7:$D$126,C304,Maßnahmen!$H$7:$H$126,"&lt;&gt;verworfen")</f>
        <v/>
      </c>
      <c r="N304" s="14">
        <f>IF(ISNUMBER(K304),MAX(0,K304-L304-M304),"n.a.")</f>
        <v/>
      </c>
      <c r="O304" s="14" t="n">
        <v>72</v>
      </c>
      <c r="P304" s="14">
        <f>IF(ISNUMBER(K304),K304-O304,"n.a.")</f>
        <v/>
      </c>
    </row>
    <row r="305" ht="32" customHeight="1">
      <c r="C305" s="10" t="inlineStr">
        <is>
          <t>PRJ-52b1cf8d-RK-04</t>
        </is>
      </c>
      <c r="D305" s="10" t="inlineStr">
        <is>
          <t>P4102157436</t>
        </is>
      </c>
      <c r="E305" s="11" t="inlineStr">
        <is>
          <t>Baustofftrennung / Aufbereitung nicht wie geplant</t>
        </is>
      </c>
      <c r="F305" s="10" t="inlineStr">
        <is>
          <t>Entsorgung</t>
        </is>
      </c>
      <c r="G305" s="12" t="n">
        <v>0.1</v>
      </c>
      <c r="H305" s="13" t="n">
        <v>100</v>
      </c>
      <c r="I305" s="13" t="n">
        <v>250</v>
      </c>
      <c r="J305" s="13" t="n">
        <v>500</v>
      </c>
      <c r="K305" s="14">
        <f>IF(OR(COUNT(G305:J305)&lt;&gt;4,G305&lt;0,G305&gt;1,H305&gt;I305,I305&gt;J305),"n.a.",ROUND(G305*(H305+4*I305+J305)/6+0.00000001,2))</f>
        <v/>
      </c>
      <c r="L305" s="13" t="n">
        <v>0</v>
      </c>
      <c r="M305" s="14">
        <f>SUMIFS(Maßnahmen!$I$7:$I$126,Maßnahmen!$D$7:$D$126,C305,Maßnahmen!$H$7:$H$126,"&lt;&gt;verworfen")</f>
        <v/>
      </c>
      <c r="N305" s="14">
        <f>IF(ISNUMBER(K305),MAX(0,K305-L305-M305),"n.a.")</f>
        <v/>
      </c>
      <c r="O305" s="14" t="n">
        <v>26.67</v>
      </c>
      <c r="P305" s="14">
        <f>IF(ISNUMBER(K305),K305-O305,"n.a.")</f>
        <v/>
      </c>
    </row>
    <row r="306" ht="32" customHeight="1">
      <c r="C306" s="10" t="inlineStr">
        <is>
          <t>PRJ-52b1cf8d-RK-05</t>
        </is>
      </c>
      <c r="D306" s="10" t="inlineStr">
        <is>
          <t>P4102157436</t>
        </is>
      </c>
      <c r="E306" s="11" t="inlineStr">
        <is>
          <t>Unbekannte Bauwerkskonstruktion / fehlende Pläne</t>
        </is>
      </c>
      <c r="F306" s="10" t="inlineStr">
        <is>
          <t>Statik</t>
        </is>
      </c>
      <c r="G306" s="12" t="n">
        <v>0.12</v>
      </c>
      <c r="H306" s="13" t="n">
        <v>200</v>
      </c>
      <c r="I306" s="13" t="n">
        <v>400</v>
      </c>
      <c r="J306" s="13" t="n">
        <v>750</v>
      </c>
      <c r="K306" s="14">
        <f>IF(OR(COUNT(G306:J306)&lt;&gt;4,G306&lt;0,G306&gt;1,H306&gt;I306,I306&gt;J306),"n.a.",ROUND(G306*(H306+4*I306+J306)/6+0.00000001,2))</f>
        <v/>
      </c>
      <c r="L306" s="13" t="n">
        <v>0</v>
      </c>
      <c r="M306" s="14">
        <f>SUMIFS(Maßnahmen!$I$7:$I$126,Maßnahmen!$D$7:$D$126,C306,Maßnahmen!$H$7:$H$126,"&lt;&gt;verworfen")</f>
        <v/>
      </c>
      <c r="N306" s="14">
        <f>IF(ISNUMBER(K306),MAX(0,K306-L306-M306),"n.a.")</f>
        <v/>
      </c>
      <c r="O306" s="14" t="n">
        <v>51</v>
      </c>
      <c r="P306" s="14">
        <f>IF(ISNUMBER(K306),K306-O306,"n.a.")</f>
        <v/>
      </c>
    </row>
    <row r="307" ht="32" customHeight="1">
      <c r="C307" s="10" t="inlineStr">
        <is>
          <t>PRJ-52b1cf8d-RK-06</t>
        </is>
      </c>
      <c r="D307" s="10" t="inlineStr">
        <is>
          <t>P4102157436</t>
        </is>
      </c>
      <c r="E307" s="11" t="inlineStr">
        <is>
          <t>Statik / Einsturzsicherung während Abbruch</t>
        </is>
      </c>
      <c r="F307" s="10" t="inlineStr">
        <is>
          <t>Statik</t>
        </is>
      </c>
      <c r="G307" s="12" t="n">
        <v>0.24</v>
      </c>
      <c r="H307" s="13" t="n">
        <v>150</v>
      </c>
      <c r="I307" s="13" t="n">
        <v>350</v>
      </c>
      <c r="J307" s="13" t="n">
        <v>700</v>
      </c>
      <c r="K307" s="14">
        <f>IF(OR(COUNT(G307:J307)&lt;&gt;4,G307&lt;0,G307&gt;1,H307&gt;I307,I307&gt;J307),"n.a.",ROUND(G307*(H307+4*I307+J307)/6+0.00000001,2))</f>
        <v/>
      </c>
      <c r="L307" s="13" t="n">
        <v>0</v>
      </c>
      <c r="M307" s="14">
        <f>SUMIFS(Maßnahmen!$I$7:$I$126,Maßnahmen!$D$7:$D$126,C307,Maßnahmen!$H$7:$H$126,"&lt;&gt;verworfen")</f>
        <v/>
      </c>
      <c r="N307" s="14">
        <f>IF(ISNUMBER(K307),MAX(0,K307-L307-M307),"n.a.")</f>
        <v/>
      </c>
      <c r="O307" s="14" t="n">
        <v>90</v>
      </c>
      <c r="P307" s="14">
        <f>IF(ISNUMBER(K307),K307-O307,"n.a.")</f>
        <v/>
      </c>
    </row>
    <row r="308" ht="32" customHeight="1">
      <c r="C308" s="10" t="inlineStr">
        <is>
          <t>PRJ-52b1cf8d-RK-07</t>
        </is>
      </c>
      <c r="D308" s="10" t="inlineStr">
        <is>
          <t>P4102157436</t>
        </is>
      </c>
      <c r="E308" s="11" t="inlineStr">
        <is>
          <t>Unterirdische Tragkonstruktion / Fundamente</t>
        </is>
      </c>
      <c r="F308" s="10" t="inlineStr">
        <is>
          <t>Statik</t>
        </is>
      </c>
      <c r="G308" s="12" t="n">
        <v>0.65</v>
      </c>
      <c r="H308" s="13" t="n">
        <v>25</v>
      </c>
      <c r="I308" s="13" t="n">
        <v>100</v>
      </c>
      <c r="J308" s="13" t="n">
        <v>250</v>
      </c>
      <c r="K308" s="14">
        <f>IF(OR(COUNT(G308:J308)&lt;&gt;4,G308&lt;0,G308&gt;1,H308&gt;I308,I308&gt;J308),"n.a.",ROUND(G308*(H308+4*I308+J308)/6+0.00000001,2))</f>
        <v/>
      </c>
      <c r="L308" s="13" t="n">
        <v>0</v>
      </c>
      <c r="M308" s="14">
        <f>SUMIFS(Maßnahmen!$I$7:$I$126,Maßnahmen!$D$7:$D$126,C308,Maßnahmen!$H$7:$H$126,"&lt;&gt;verworfen")</f>
        <v/>
      </c>
      <c r="N308" s="14">
        <f>IF(ISNUMBER(K308),MAX(0,K308-L308-M308),"n.a.")</f>
        <v/>
      </c>
      <c r="O308" s="14" t="n">
        <v>73.13</v>
      </c>
      <c r="P308" s="14">
        <f>IF(ISNUMBER(K308),K308-O308,"n.a.")</f>
        <v/>
      </c>
    </row>
    <row r="309" ht="32" customHeight="1">
      <c r="C309" s="10" t="inlineStr">
        <is>
          <t>PRJ-52b1cf8d-RK-08</t>
        </is>
      </c>
      <c r="D309" s="10" t="inlineStr">
        <is>
          <t>P4102157436</t>
        </is>
      </c>
      <c r="E309" s="11" t="inlineStr">
        <is>
          <t>Gebäudehöhe &gt;22 m / Longfront-Bagger (+130–150 %)</t>
        </is>
      </c>
      <c r="F309" s="10" t="inlineStr">
        <is>
          <t>Termin</t>
        </is>
      </c>
      <c r="G309" s="12" t="n">
        <v>0.6</v>
      </c>
      <c r="H309" s="13" t="n">
        <v>450</v>
      </c>
      <c r="I309" s="13" t="n">
        <v>900</v>
      </c>
      <c r="J309" s="13" t="n">
        <v>1700</v>
      </c>
      <c r="K309" s="14">
        <f>IF(OR(COUNT(G309:J309)&lt;&gt;4,G309&lt;0,G309&gt;1,H309&gt;I309,I309&gt;J309),"n.a.",ROUND(G309*(H309+4*I309+J309)/6+0.00000001,2))</f>
        <v/>
      </c>
      <c r="L309" s="13" t="n">
        <v>0</v>
      </c>
      <c r="M309" s="14">
        <f>SUMIFS(Maßnahmen!$I$7:$I$126,Maßnahmen!$D$7:$D$126,C309,Maßnahmen!$H$7:$H$126,"&lt;&gt;verworfen")</f>
        <v/>
      </c>
      <c r="N309" s="14">
        <f>IF(ISNUMBER(K309),MAX(0,K309-L309-M309),"n.a.")</f>
        <v/>
      </c>
      <c r="O309" s="14" t="n">
        <v>575</v>
      </c>
      <c r="P309" s="14">
        <f>IF(ISNUMBER(K309),K309-O309,"n.a.")</f>
        <v/>
      </c>
    </row>
    <row r="310" ht="32" customHeight="1">
      <c r="C310" s="10" t="inlineStr">
        <is>
          <t>PRJ-52b1cf8d-RK-09</t>
        </is>
      </c>
      <c r="D310" s="10" t="inlineStr">
        <is>
          <t>P4102157436</t>
        </is>
      </c>
      <c r="E310" s="11" t="inlineStr">
        <is>
          <t>Beennte Lage / nur Handabbruch möglich</t>
        </is>
      </c>
      <c r="F310" s="10" t="inlineStr">
        <is>
          <t>Termin</t>
        </is>
      </c>
      <c r="G310" s="12" t="n">
        <v>0.15</v>
      </c>
      <c r="H310" s="13" t="n">
        <v>40</v>
      </c>
      <c r="I310" s="13" t="n">
        <v>100</v>
      </c>
      <c r="J310" s="13" t="n">
        <v>250</v>
      </c>
      <c r="K310" s="14">
        <f>IF(OR(COUNT(G310:J310)&lt;&gt;4,G310&lt;0,G310&gt;1,H310&gt;I310,I310&gt;J310),"n.a.",ROUND(G310*(H310+4*I310+J310)/6+0.00000001,2))</f>
        <v/>
      </c>
      <c r="L310" s="13" t="n">
        <v>0</v>
      </c>
      <c r="M310" s="14">
        <f>SUMIFS(Maßnahmen!$I$7:$I$126,Maßnahmen!$D$7:$D$126,C310,Maßnahmen!$H$7:$H$126,"&lt;&gt;verworfen")</f>
        <v/>
      </c>
      <c r="N310" s="14">
        <f>IF(ISNUMBER(K310),MAX(0,K310-L310-M310),"n.a.")</f>
        <v/>
      </c>
      <c r="O310" s="14" t="n">
        <v>17.25</v>
      </c>
      <c r="P310" s="14">
        <f>IF(ISNUMBER(K310),K310-O310,"n.a.")</f>
        <v/>
      </c>
    </row>
    <row r="311" ht="32" customHeight="1">
      <c r="C311" s="10" t="inlineStr">
        <is>
          <t>PRJ-52b1cf8d-RK-10</t>
        </is>
      </c>
      <c r="D311" s="10" t="inlineStr">
        <is>
          <t>P4102157436</t>
        </is>
      </c>
      <c r="E311" s="11" t="inlineStr">
        <is>
          <t>Terminvorgabe Auftraggeber / Geräteauslastung</t>
        </is>
      </c>
      <c r="F311" s="10" t="inlineStr">
        <is>
          <t>Termin</t>
        </is>
      </c>
      <c r="G311" s="12" t="n">
        <v>0.2</v>
      </c>
      <c r="H311" s="13" t="n">
        <v>40</v>
      </c>
      <c r="I311" s="13" t="n">
        <v>100</v>
      </c>
      <c r="J311" s="13" t="n">
        <v>250</v>
      </c>
      <c r="K311" s="14">
        <f>IF(OR(COUNT(G311:J311)&lt;&gt;4,G311&lt;0,G311&gt;1,H311&gt;I311,I311&gt;J311),"n.a.",ROUND(G311*(H311+4*I311+J311)/6+0.00000001,2))</f>
        <v/>
      </c>
      <c r="L311" s="13" t="n">
        <v>0</v>
      </c>
      <c r="M311" s="14">
        <f>SUMIFS(Maßnahmen!$I$7:$I$126,Maßnahmen!$D$7:$D$126,C311,Maßnahmen!$H$7:$H$126,"&lt;&gt;verworfen")</f>
        <v/>
      </c>
      <c r="N311" s="14">
        <f>IF(ISNUMBER(K311),MAX(0,K311-L311-M311),"n.a.")</f>
        <v/>
      </c>
      <c r="O311" s="14" t="n">
        <v>23</v>
      </c>
      <c r="P311" s="14">
        <f>IF(ISNUMBER(K311),K311-O311,"n.a.")</f>
        <v/>
      </c>
    </row>
    <row r="312" ht="32" customHeight="1">
      <c r="C312" s="10" t="inlineStr">
        <is>
          <t>PRJ-52b1cf8d-RK-11</t>
        </is>
      </c>
      <c r="D312" s="10" t="inlineStr">
        <is>
          <t>P4102157436</t>
        </is>
      </c>
      <c r="E312" s="11" t="inlineStr">
        <is>
          <t>Witterung / Ablaufstörung</t>
        </is>
      </c>
      <c r="F312" s="10" t="inlineStr">
        <is>
          <t>Termin</t>
        </is>
      </c>
      <c r="G312" s="12" t="n">
        <v>0.25</v>
      </c>
      <c r="H312" s="13" t="n">
        <v>50</v>
      </c>
      <c r="I312" s="13" t="n">
        <v>150</v>
      </c>
      <c r="J312" s="13" t="n">
        <v>300</v>
      </c>
      <c r="K312" s="14">
        <f>IF(OR(COUNT(G312:J312)&lt;&gt;4,G312&lt;0,G312&gt;1,H312&gt;I312,I312&gt;J312),"n.a.",ROUND(G312*(H312+4*I312+J312)/6+0.00000001,2))</f>
        <v/>
      </c>
      <c r="L312" s="13" t="n">
        <v>0</v>
      </c>
      <c r="M312" s="14">
        <f>SUMIFS(Maßnahmen!$I$7:$I$126,Maßnahmen!$D$7:$D$126,C312,Maßnahmen!$H$7:$H$126,"&lt;&gt;verworfen")</f>
        <v/>
      </c>
      <c r="N312" s="14">
        <f>IF(ISNUMBER(K312),MAX(0,K312-L312-M312),"n.a.")</f>
        <v/>
      </c>
      <c r="O312" s="14" t="n">
        <v>39.58</v>
      </c>
      <c r="P312" s="14">
        <f>IF(ISNUMBER(K312),K312-O312,"n.a.")</f>
        <v/>
      </c>
    </row>
    <row r="313" ht="32" customHeight="1">
      <c r="C313" s="10" t="inlineStr">
        <is>
          <t>PRJ-52b1cf8d-RK-12</t>
        </is>
      </c>
      <c r="D313" s="10" t="inlineStr">
        <is>
          <t>P4102157436</t>
        </is>
      </c>
      <c r="E313" s="11" t="inlineStr">
        <is>
          <t>Staubemissionen (höchster Aufwand laut Umfrage)</t>
        </is>
      </c>
      <c r="F313" s="10" t="inlineStr">
        <is>
          <t>Emissionen</t>
        </is>
      </c>
      <c r="G313" s="12" t="n">
        <v>0.1</v>
      </c>
      <c r="H313" s="13" t="n">
        <v>150</v>
      </c>
      <c r="I313" s="13" t="n">
        <v>300</v>
      </c>
      <c r="J313" s="13" t="n">
        <v>600</v>
      </c>
      <c r="K313" s="14">
        <f>IF(OR(COUNT(G313:J313)&lt;&gt;4,G313&lt;0,G313&gt;1,H313&gt;I313,I313&gt;J313),"n.a.",ROUND(G313*(H313+4*I313+J313)/6+0.00000001,2))</f>
        <v/>
      </c>
      <c r="L313" s="13" t="n">
        <v>0</v>
      </c>
      <c r="M313" s="14">
        <f>SUMIFS(Maßnahmen!$I$7:$I$126,Maßnahmen!$D$7:$D$126,C313,Maßnahmen!$H$7:$H$126,"&lt;&gt;verworfen")</f>
        <v/>
      </c>
      <c r="N313" s="14">
        <f>IF(ISNUMBER(K313),MAX(0,K313-L313-M313),"n.a.")</f>
        <v/>
      </c>
      <c r="O313" s="14" t="n">
        <v>32.5</v>
      </c>
      <c r="P313" s="14">
        <f>IF(ISNUMBER(K313),K313-O313,"n.a.")</f>
        <v/>
      </c>
    </row>
    <row r="314" ht="32" customHeight="1">
      <c r="C314" s="10" t="inlineStr">
        <is>
          <t>PRJ-52b1cf8d-RK-13</t>
        </is>
      </c>
      <c r="D314" s="10" t="inlineStr">
        <is>
          <t>P4102157436</t>
        </is>
      </c>
      <c r="E314" s="11" t="inlineStr">
        <is>
          <t>Lärm- und Erschütterungsauflagen</t>
        </is>
      </c>
      <c r="F314" s="10" t="inlineStr">
        <is>
          <t>Emissionen</t>
        </is>
      </c>
      <c r="G314" s="12" t="n">
        <v>0.2</v>
      </c>
      <c r="H314" s="13" t="n">
        <v>100</v>
      </c>
      <c r="I314" s="13" t="n">
        <v>250</v>
      </c>
      <c r="J314" s="13" t="n">
        <v>500</v>
      </c>
      <c r="K314" s="14">
        <f>IF(OR(COUNT(G314:J314)&lt;&gt;4,G314&lt;0,G314&gt;1,H314&gt;I314,I314&gt;J314),"n.a.",ROUND(G314*(H314+4*I314+J314)/6+0.00000001,2))</f>
        <v/>
      </c>
      <c r="L314" s="13" t="n">
        <v>0</v>
      </c>
      <c r="M314" s="14">
        <f>SUMIFS(Maßnahmen!$I$7:$I$126,Maßnahmen!$D$7:$D$126,C314,Maßnahmen!$H$7:$H$126,"&lt;&gt;verworfen")</f>
        <v/>
      </c>
      <c r="N314" s="14">
        <f>IF(ISNUMBER(K314),MAX(0,K314-L314-M314),"n.a.")</f>
        <v/>
      </c>
      <c r="O314" s="14" t="n">
        <v>53.33</v>
      </c>
      <c r="P314" s="14">
        <f>IF(ISNUMBER(K314),K314-O314,"n.a.")</f>
        <v/>
      </c>
    </row>
    <row r="315" ht="32" customHeight="1">
      <c r="C315" s="10" t="inlineStr">
        <is>
          <t>PRJ-52b1cf8d-RK-14</t>
        </is>
      </c>
      <c r="D315" s="10" t="inlineStr">
        <is>
          <t>P4102157436</t>
        </is>
      </c>
      <c r="E315" s="11" t="inlineStr">
        <is>
          <t>Rechtliche Auflagen / Entsorgungsnachweise (Formalismus)</t>
        </is>
      </c>
      <c r="F315" s="10" t="inlineStr">
        <is>
          <t>Genehmigung</t>
        </is>
      </c>
      <c r="G315" s="12" t="n">
        <v>0.4</v>
      </c>
      <c r="H315" s="13" t="n">
        <v>475</v>
      </c>
      <c r="I315" s="13" t="n">
        <v>925</v>
      </c>
      <c r="J315" s="13" t="n">
        <v>1750</v>
      </c>
      <c r="K315" s="14">
        <f>IF(OR(COUNT(G315:J315)&lt;&gt;4,G315&lt;0,G315&gt;1,H315&gt;I315,I315&gt;J315),"n.a.",ROUND(G315*(H315+4*I315+J315)/6+0.00000001,2))</f>
        <v/>
      </c>
      <c r="L315" s="13" t="n">
        <v>0</v>
      </c>
      <c r="M315" s="14">
        <f>SUMIFS(Maßnahmen!$I$7:$I$126,Maßnahmen!$D$7:$D$126,C315,Maßnahmen!$H$7:$H$126,"&lt;&gt;verworfen")</f>
        <v/>
      </c>
      <c r="N315" s="14">
        <f>IF(ISNUMBER(K315),MAX(0,K315-L315-M315),"n.a.")</f>
        <v/>
      </c>
      <c r="O315" s="14" t="n">
        <v>395</v>
      </c>
      <c r="P315" s="14">
        <f>IF(ISNUMBER(K315),K315-O315,"n.a.")</f>
        <v/>
      </c>
    </row>
    <row r="316" ht="32" customHeight="1">
      <c r="C316" s="10" t="inlineStr">
        <is>
          <t>PRJ-52b1cf8d-RK-15</t>
        </is>
      </c>
      <c r="D316" s="10" t="inlineStr">
        <is>
          <t>P4102157436</t>
        </is>
      </c>
      <c r="E316" s="11" t="inlineStr">
        <is>
          <t>Konjunktur / Sekundärstoffpreise &amp; Gerätemiete</t>
        </is>
      </c>
      <c r="F316" s="10" t="inlineStr">
        <is>
          <t>Markt</t>
        </is>
      </c>
      <c r="G316" s="12" t="n">
        <v>0.12</v>
      </c>
      <c r="H316" s="13" t="n">
        <v>40</v>
      </c>
      <c r="I316" s="13" t="n">
        <v>100</v>
      </c>
      <c r="J316" s="13" t="n">
        <v>250</v>
      </c>
      <c r="K316" s="14">
        <f>IF(OR(COUNT(G316:J316)&lt;&gt;4,G316&lt;0,G316&gt;1,H316&gt;I316,I316&gt;J316),"n.a.",ROUND(G316*(H316+4*I316+J316)/6+0.00000001,2))</f>
        <v/>
      </c>
      <c r="L316" s="13" t="n">
        <v>0</v>
      </c>
      <c r="M316" s="14">
        <f>SUMIFS(Maßnahmen!$I$7:$I$126,Maßnahmen!$D$7:$D$126,C316,Maßnahmen!$H$7:$H$126,"&lt;&gt;verworfen")</f>
        <v/>
      </c>
      <c r="N316" s="14">
        <f>IF(ISNUMBER(K316),MAX(0,K316-L316-M316),"n.a.")</f>
        <v/>
      </c>
      <c r="O316" s="14" t="n">
        <v>13.8</v>
      </c>
      <c r="P316" s="14">
        <f>IF(ISNUMBER(K316),K316-O316,"n.a.")</f>
        <v/>
      </c>
    </row>
    <row r="317" ht="32" customHeight="1">
      <c r="C317" s="10" t="inlineStr">
        <is>
          <t>PRJ-52b1cf72-RK-03</t>
        </is>
      </c>
      <c r="D317" s="10" t="inlineStr">
        <is>
          <t>P4102157442</t>
        </is>
      </c>
      <c r="E317" s="11" t="inlineStr">
        <is>
          <t>Entsorgungs-Mehrkosten / Entsorgungswege</t>
        </is>
      </c>
      <c r="F317" s="10" t="inlineStr">
        <is>
          <t>Entsorgung</t>
        </is>
      </c>
      <c r="G317" s="12" t="n">
        <v>0.291</v>
      </c>
      <c r="H317" s="13" t="n">
        <v>2227</v>
      </c>
      <c r="I317" s="13" t="n">
        <v>4366</v>
      </c>
      <c r="J317" s="13" t="n">
        <v>7530</v>
      </c>
      <c r="K317" s="14">
        <f>IF(OR(COUNT(G317:J317)&lt;&gt;4,G317&lt;0,G317&gt;1,H317&gt;I317,I317&gt;J317),"n.a.",ROUND(G317*(H317+4*I317+J317)/6+0.00000001,2))</f>
        <v/>
      </c>
      <c r="L317" s="13" t="n">
        <v>0</v>
      </c>
      <c r="M317" s="14">
        <f>SUMIFS(Maßnahmen!$I$7:$I$126,Maßnahmen!$D$7:$D$126,C317,Maßnahmen!$H$7:$H$126,"&lt;&gt;verworfen")</f>
        <v/>
      </c>
      <c r="N317" s="14">
        <f>IF(ISNUMBER(K317),MAX(0,K317-L317-M317),"n.a.")</f>
        <v/>
      </c>
      <c r="O317" s="14" t="n">
        <v>1320.22</v>
      </c>
      <c r="P317" s="14">
        <f>IF(ISNUMBER(K317),K317-O317,"n.a.")</f>
        <v/>
      </c>
    </row>
    <row r="318" ht="32" customHeight="1">
      <c r="C318" s="10" t="inlineStr">
        <is>
          <t>PRJ-52b1cf72-RK-05</t>
        </is>
      </c>
      <c r="D318" s="10" t="inlineStr">
        <is>
          <t>P4102157442</t>
        </is>
      </c>
      <c r="E318" s="11" t="inlineStr">
        <is>
          <t>Unbekannte Bauwerkskonstruktion / fehlende Pläne</t>
        </is>
      </c>
      <c r="F318" s="10" t="inlineStr">
        <is>
          <t>Statik</t>
        </is>
      </c>
      <c r="G318" s="12" t="n">
        <v>0.12</v>
      </c>
      <c r="H318" s="13" t="n">
        <v>3245</v>
      </c>
      <c r="I318" s="13" t="n">
        <v>5825</v>
      </c>
      <c r="J318" s="13" t="n">
        <v>10008</v>
      </c>
      <c r="K318" s="14">
        <f>IF(OR(COUNT(G318:J318)&lt;&gt;4,G318&lt;0,G318&gt;1,H318&gt;I318,I318&gt;J318),"n.a.",ROUND(G318*(H318+4*I318+J318)/6+0.00000001,2))</f>
        <v/>
      </c>
      <c r="L318" s="13" t="n">
        <v>0</v>
      </c>
      <c r="M318" s="14">
        <f>SUMIFS(Maßnahmen!$I$7:$I$126,Maßnahmen!$D$7:$D$126,C318,Maßnahmen!$H$7:$H$126,"&lt;&gt;verworfen")</f>
        <v/>
      </c>
      <c r="N318" s="14">
        <f>IF(ISNUMBER(K318),MAX(0,K318-L318-M318),"n.a.")</f>
        <v/>
      </c>
      <c r="O318" s="14" t="n">
        <v>731.0599999999999</v>
      </c>
      <c r="P318" s="14">
        <f>IF(ISNUMBER(K318),K318-O318,"n.a.")</f>
        <v/>
      </c>
    </row>
    <row r="319" ht="32" customHeight="1">
      <c r="C319" s="10" t="inlineStr">
        <is>
          <t>PRJ-52b1cf72-RK-06</t>
        </is>
      </c>
      <c r="D319" s="10" t="inlineStr">
        <is>
          <t>P4102157442</t>
        </is>
      </c>
      <c r="E319" s="11" t="inlineStr">
        <is>
          <t>Statik / Einsturzsicherung während Abbruch</t>
        </is>
      </c>
      <c r="F319" s="10" t="inlineStr">
        <is>
          <t>Statik</t>
        </is>
      </c>
      <c r="G319" s="12" t="n">
        <v>0.184</v>
      </c>
      <c r="H319" s="13" t="n">
        <v>2139</v>
      </c>
      <c r="I319" s="13" t="n">
        <v>4191</v>
      </c>
      <c r="J319" s="13" t="n">
        <v>7581</v>
      </c>
      <c r="K319" s="14">
        <f>IF(OR(COUNT(G319:J319)&lt;&gt;4,G319&lt;0,G319&gt;1,H319&gt;I319,I319&gt;J319),"n.a.",ROUND(G319*(H319+4*I319+J319)/6+0.00000001,2))</f>
        <v/>
      </c>
      <c r="L319" s="13" t="n">
        <v>0</v>
      </c>
      <c r="M319" s="14">
        <f>SUMIFS(Maßnahmen!$I$7:$I$126,Maßnahmen!$D$7:$D$126,C319,Maßnahmen!$H$7:$H$126,"&lt;&gt;verworfen")</f>
        <v/>
      </c>
      <c r="N319" s="14">
        <f>IF(ISNUMBER(K319),MAX(0,K319-L319-M319),"n.a.")</f>
        <v/>
      </c>
      <c r="O319" s="14" t="n">
        <v>812.1799999999999</v>
      </c>
      <c r="P319" s="14">
        <f>IF(ISNUMBER(K319),K319-O319,"n.a.")</f>
        <v/>
      </c>
    </row>
    <row r="320" ht="32" customHeight="1">
      <c r="C320" s="10" t="inlineStr">
        <is>
          <t>PRJ-52b1cf72-RK-07</t>
        </is>
      </c>
      <c r="D320" s="10" t="inlineStr">
        <is>
          <t>P4102157442</t>
        </is>
      </c>
      <c r="E320" s="11" t="inlineStr">
        <is>
          <t>Unterirdische Tragkonstruktion / Fundamente</t>
        </is>
      </c>
      <c r="F320" s="10" t="inlineStr">
        <is>
          <t>Statik</t>
        </is>
      </c>
      <c r="G320" s="12" t="n">
        <v>0.586</v>
      </c>
      <c r="H320" s="13" t="n">
        <v>557</v>
      </c>
      <c r="I320" s="13" t="n">
        <v>1266</v>
      </c>
      <c r="J320" s="13" t="n">
        <v>2765</v>
      </c>
      <c r="K320" s="14">
        <f>IF(OR(COUNT(G320:J320)&lt;&gt;4,G320&lt;0,G320&gt;1,H320&gt;I320,I320&gt;J320),"n.a.",ROUND(G320*(H320+4*I320+J320)/6+0.00000001,2))</f>
        <v/>
      </c>
      <c r="L320" s="13" t="n">
        <v>0</v>
      </c>
      <c r="M320" s="14">
        <f>SUMIFS(Maßnahmen!$I$7:$I$126,Maßnahmen!$D$7:$D$126,C320,Maßnahmen!$H$7:$H$126,"&lt;&gt;verworfen")</f>
        <v/>
      </c>
      <c r="N320" s="14">
        <f>IF(ISNUMBER(K320),MAX(0,K320-L320-M320),"n.a.")</f>
        <v/>
      </c>
      <c r="O320" s="14" t="n">
        <v>819.03</v>
      </c>
      <c r="P320" s="14">
        <f>IF(ISNUMBER(K320),K320-O320,"n.a.")</f>
        <v/>
      </c>
    </row>
    <row r="321" ht="32" customHeight="1">
      <c r="C321" s="10" t="inlineStr">
        <is>
          <t>PRJ-52b1cf72-RK-08</t>
        </is>
      </c>
      <c r="D321" s="10" t="inlineStr">
        <is>
          <t>P4102157442</t>
        </is>
      </c>
      <c r="E321" s="11" t="inlineStr">
        <is>
          <t>Gebäudehöhe &gt;22 m / Longfront-Bagger (+130–150 %)</t>
        </is>
      </c>
      <c r="F321" s="10" t="inlineStr">
        <is>
          <t>Termin</t>
        </is>
      </c>
      <c r="G321" s="12" t="n">
        <v>0.252</v>
      </c>
      <c r="H321" s="13" t="n">
        <v>640</v>
      </c>
      <c r="I321" s="13" t="n">
        <v>1552</v>
      </c>
      <c r="J321" s="13" t="n">
        <v>3022</v>
      </c>
      <c r="K321" s="14">
        <f>IF(OR(COUNT(G321:J321)&lt;&gt;4,G321&lt;0,G321&gt;1,H321&gt;I321,I321&gt;J321),"n.a.",ROUND(G321*(H321+4*I321+J321)/6+0.00000001,2))</f>
        <v/>
      </c>
      <c r="L321" s="13" t="n">
        <v>0</v>
      </c>
      <c r="M321" s="14">
        <f>SUMIFS(Maßnahmen!$I$7:$I$126,Maßnahmen!$D$7:$D$126,C321,Maßnahmen!$H$7:$H$126,"&lt;&gt;verworfen")</f>
        <v/>
      </c>
      <c r="N321" s="14">
        <f>IF(ISNUMBER(K321),MAX(0,K321-L321-M321),"n.a.")</f>
        <v/>
      </c>
      <c r="O321" s="14" t="n">
        <v>414.54</v>
      </c>
      <c r="P321" s="14">
        <f>IF(ISNUMBER(K321),K321-O321,"n.a.")</f>
        <v/>
      </c>
    </row>
    <row r="322" ht="32" customHeight="1">
      <c r="C322" s="10" t="inlineStr">
        <is>
          <t>PRJ-52b1cf72-RK-12</t>
        </is>
      </c>
      <c r="D322" s="10" t="inlineStr">
        <is>
          <t>P4102157442</t>
        </is>
      </c>
      <c r="E322" s="11" t="inlineStr">
        <is>
          <t>Staubemissionen (höchster Aufwand laut Umfrage)</t>
        </is>
      </c>
      <c r="F322" s="10" t="inlineStr">
        <is>
          <t>Emissionen</t>
        </is>
      </c>
      <c r="G322" s="12" t="n">
        <v>0.146</v>
      </c>
      <c r="H322" s="13" t="n">
        <v>5729</v>
      </c>
      <c r="I322" s="13" t="n">
        <v>7626</v>
      </c>
      <c r="J322" s="13" t="n">
        <v>13335</v>
      </c>
      <c r="K322" s="14">
        <f>IF(OR(COUNT(G322:J322)&lt;&gt;4,G322&lt;0,G322&gt;1,H322&gt;I322,I322&gt;J322),"n.a.",ROUND(G322*(H322+4*I322+J322)/6+0.00000001,2))</f>
        <v/>
      </c>
      <c r="L322" s="13" t="n">
        <v>0</v>
      </c>
      <c r="M322" s="14">
        <f>SUMIFS(Maßnahmen!$I$7:$I$126,Maßnahmen!$D$7:$D$126,C322,Maßnahmen!$H$7:$H$126,"&lt;&gt;verworfen")</f>
        <v/>
      </c>
      <c r="N322" s="14">
        <f>IF(ISNUMBER(K322),MAX(0,K322-L322-M322),"n.a.")</f>
        <v/>
      </c>
      <c r="O322" s="14" t="n">
        <v>1206.15</v>
      </c>
      <c r="P322" s="14">
        <f>IF(ISNUMBER(K322),K322-O322,"n.a.")</f>
        <v/>
      </c>
    </row>
    <row r="323" ht="32" customHeight="1">
      <c r="C323" s="10" t="inlineStr">
        <is>
          <t>PRJ-52b1cf72-RK-13</t>
        </is>
      </c>
      <c r="D323" s="10" t="inlineStr">
        <is>
          <t>P4102157442</t>
        </is>
      </c>
      <c r="E323" s="11" t="inlineStr">
        <is>
          <t>Lärm- und Erschütterungsauflagen</t>
        </is>
      </c>
      <c r="F323" s="10" t="inlineStr">
        <is>
          <t>Emissionen</t>
        </is>
      </c>
      <c r="G323" s="12" t="n">
        <v>0.434</v>
      </c>
      <c r="H323" s="13" t="n">
        <v>2221</v>
      </c>
      <c r="I323" s="13" t="n">
        <v>4488</v>
      </c>
      <c r="J323" s="13" t="n">
        <v>8178</v>
      </c>
      <c r="K323" s="14">
        <f>IF(OR(COUNT(G323:J323)&lt;&gt;4,G323&lt;0,G323&gt;1,H323&gt;I323,I323&gt;J323),"n.a.",ROUND(G323*(H323+4*I323+J323)/6+0.00000001,2))</f>
        <v/>
      </c>
      <c r="L323" s="13" t="n">
        <v>0</v>
      </c>
      <c r="M323" s="14">
        <f>SUMIFS(Maßnahmen!$I$7:$I$126,Maßnahmen!$D$7:$D$126,C323,Maßnahmen!$H$7:$H$126,"&lt;&gt;verworfen")</f>
        <v/>
      </c>
      <c r="N323" s="14">
        <f>IF(ISNUMBER(K323),MAX(0,K323-L323-M323),"n.a.")</f>
        <v/>
      </c>
      <c r="O323" s="14" t="n">
        <v>2050.72</v>
      </c>
      <c r="P323" s="14">
        <f>IF(ISNUMBER(K323),K323-O323,"n.a.")</f>
        <v/>
      </c>
    </row>
    <row r="324" ht="32" customHeight="1">
      <c r="C324" s="10" t="inlineStr">
        <is>
          <t>PRJ-52b1cf72-RK-14</t>
        </is>
      </c>
      <c r="D324" s="10" t="inlineStr">
        <is>
          <t>P4102157442</t>
        </is>
      </c>
      <c r="E324" s="11" t="inlineStr">
        <is>
          <t>Rechtliche Auflagen / Entsorgungsnachweise (Formalismus)</t>
        </is>
      </c>
      <c r="F324" s="10" t="inlineStr">
        <is>
          <t>Genehmigung</t>
        </is>
      </c>
      <c r="G324" s="12" t="n">
        <v>0.166</v>
      </c>
      <c r="H324" s="13" t="n">
        <v>796</v>
      </c>
      <c r="I324" s="13" t="n">
        <v>1708</v>
      </c>
      <c r="J324" s="13" t="n">
        <v>3334</v>
      </c>
      <c r="K324" s="14">
        <f>IF(OR(COUNT(G324:J324)&lt;&gt;4,G324&lt;0,G324&gt;1,H324&gt;I324,I324&gt;J324),"n.a.",ROUND(G324*(H324+4*I324+J324)/6+0.00000001,2))</f>
        <v/>
      </c>
      <c r="L324" s="13" t="n">
        <v>0</v>
      </c>
      <c r="M324" s="14">
        <f>SUMIFS(Maßnahmen!$I$7:$I$126,Maßnahmen!$D$7:$D$126,C324,Maßnahmen!$H$7:$H$126,"&lt;&gt;verworfen")</f>
        <v/>
      </c>
      <c r="N324" s="14">
        <f>IF(ISNUMBER(K324),MAX(0,K324-L324-M324),"n.a.")</f>
        <v/>
      </c>
      <c r="O324" s="14" t="n">
        <v>303.28</v>
      </c>
      <c r="P324" s="14">
        <f>IF(ISNUMBER(K324),K324-O324,"n.a.")</f>
        <v/>
      </c>
    </row>
    <row r="325" ht="32" customHeight="1">
      <c r="C325" s="10" t="inlineStr">
        <is>
          <t>PRJ-52b1cfd0-RK-03</t>
        </is>
      </c>
      <c r="D325" s="10" t="inlineStr">
        <is>
          <t>P4102157411</t>
        </is>
      </c>
      <c r="E325" s="11" t="inlineStr">
        <is>
          <t>Entsorgungs-Mehrkosten / Entsorgungswege</t>
        </is>
      </c>
      <c r="F325" s="10" t="inlineStr">
        <is>
          <t>Entsorgung</t>
        </is>
      </c>
      <c r="G325" s="12" t="n">
        <v>0.27</v>
      </c>
      <c r="H325" s="13" t="n">
        <v>100</v>
      </c>
      <c r="I325" s="13" t="n">
        <v>250</v>
      </c>
      <c r="J325" s="13" t="n">
        <v>500</v>
      </c>
      <c r="K325" s="14">
        <f>IF(OR(COUNT(G325:J325)&lt;&gt;4,G325&lt;0,G325&gt;1,H325&gt;I325,I325&gt;J325),"n.a.",ROUND(G325*(H325+4*I325+J325)/6+0.00000001,2))</f>
        <v/>
      </c>
      <c r="L325" s="13" t="n">
        <v>0</v>
      </c>
      <c r="M325" s="14">
        <f>SUMIFS(Maßnahmen!$I$7:$I$126,Maßnahmen!$D$7:$D$126,C325,Maßnahmen!$H$7:$H$126,"&lt;&gt;verworfen")</f>
        <v/>
      </c>
      <c r="N325" s="14">
        <f>IF(ISNUMBER(K325),MAX(0,K325-L325-M325),"n.a.")</f>
        <v/>
      </c>
      <c r="O325" s="14" t="n">
        <v>72</v>
      </c>
      <c r="P325" s="14">
        <f>IF(ISNUMBER(K325),K325-O325,"n.a.")</f>
        <v/>
      </c>
    </row>
    <row r="326" ht="32" customHeight="1">
      <c r="C326" s="10" t="inlineStr">
        <is>
          <t>PRJ-52b1cfd0-RK-04</t>
        </is>
      </c>
      <c r="D326" s="10" t="inlineStr">
        <is>
          <t>P4102157411</t>
        </is>
      </c>
      <c r="E326" s="11" t="inlineStr">
        <is>
          <t>Baustofftrennung / Aufbereitung nicht wie geplant</t>
        </is>
      </c>
      <c r="F326" s="10" t="inlineStr">
        <is>
          <t>Entsorgung</t>
        </is>
      </c>
      <c r="G326" s="12" t="n">
        <v>0.1</v>
      </c>
      <c r="H326" s="13" t="n">
        <v>100</v>
      </c>
      <c r="I326" s="13" t="n">
        <v>250</v>
      </c>
      <c r="J326" s="13" t="n">
        <v>500</v>
      </c>
      <c r="K326" s="14">
        <f>IF(OR(COUNT(G326:J326)&lt;&gt;4,G326&lt;0,G326&gt;1,H326&gt;I326,I326&gt;J326),"n.a.",ROUND(G326*(H326+4*I326+J326)/6+0.00000001,2))</f>
        <v/>
      </c>
      <c r="L326" s="13" t="n">
        <v>0</v>
      </c>
      <c r="M326" s="14">
        <f>SUMIFS(Maßnahmen!$I$7:$I$126,Maßnahmen!$D$7:$D$126,C326,Maßnahmen!$H$7:$H$126,"&lt;&gt;verworfen")</f>
        <v/>
      </c>
      <c r="N326" s="14">
        <f>IF(ISNUMBER(K326),MAX(0,K326-L326-M326),"n.a.")</f>
        <v/>
      </c>
      <c r="O326" s="14" t="n">
        <v>26.67</v>
      </c>
      <c r="P326" s="14">
        <f>IF(ISNUMBER(K326),K326-O326,"n.a.")</f>
        <v/>
      </c>
    </row>
    <row r="327" ht="32" customHeight="1">
      <c r="C327" s="10" t="inlineStr">
        <is>
          <t>PRJ-52b1cfd0-RK-05</t>
        </is>
      </c>
      <c r="D327" s="10" t="inlineStr">
        <is>
          <t>P4102157411</t>
        </is>
      </c>
      <c r="E327" s="11" t="inlineStr">
        <is>
          <t>Unbekannte Bauwerkskonstruktion / fehlende Pläne</t>
        </is>
      </c>
      <c r="F327" s="10" t="inlineStr">
        <is>
          <t>Statik</t>
        </is>
      </c>
      <c r="G327" s="12" t="n">
        <v>0.12</v>
      </c>
      <c r="H327" s="13" t="n">
        <v>200</v>
      </c>
      <c r="I327" s="13" t="n">
        <v>400</v>
      </c>
      <c r="J327" s="13" t="n">
        <v>750</v>
      </c>
      <c r="K327" s="14">
        <f>IF(OR(COUNT(G327:J327)&lt;&gt;4,G327&lt;0,G327&gt;1,H327&gt;I327,I327&gt;J327),"n.a.",ROUND(G327*(H327+4*I327+J327)/6+0.00000001,2))</f>
        <v/>
      </c>
      <c r="L327" s="13" t="n">
        <v>0</v>
      </c>
      <c r="M327" s="14">
        <f>SUMIFS(Maßnahmen!$I$7:$I$126,Maßnahmen!$D$7:$D$126,C327,Maßnahmen!$H$7:$H$126,"&lt;&gt;verworfen")</f>
        <v/>
      </c>
      <c r="N327" s="14">
        <f>IF(ISNUMBER(K327),MAX(0,K327-L327-M327),"n.a.")</f>
        <v/>
      </c>
      <c r="O327" s="14" t="n">
        <v>51</v>
      </c>
      <c r="P327" s="14">
        <f>IF(ISNUMBER(K327),K327-O327,"n.a.")</f>
        <v/>
      </c>
    </row>
    <row r="328" ht="32" customHeight="1">
      <c r="C328" s="10" t="inlineStr">
        <is>
          <t>PRJ-52b1cfd0-RK-06</t>
        </is>
      </c>
      <c r="D328" s="10" t="inlineStr">
        <is>
          <t>P4102157411</t>
        </is>
      </c>
      <c r="E328" s="11" t="inlineStr">
        <is>
          <t>Statik / Einsturzsicherung während Abbruch</t>
        </is>
      </c>
      <c r="F328" s="10" t="inlineStr">
        <is>
          <t>Statik</t>
        </is>
      </c>
      <c r="G328" s="12" t="n">
        <v>0.24</v>
      </c>
      <c r="H328" s="13" t="n">
        <v>150</v>
      </c>
      <c r="I328" s="13" t="n">
        <v>350</v>
      </c>
      <c r="J328" s="13" t="n">
        <v>700</v>
      </c>
      <c r="K328" s="14">
        <f>IF(OR(COUNT(G328:J328)&lt;&gt;4,G328&lt;0,G328&gt;1,H328&gt;I328,I328&gt;J328),"n.a.",ROUND(G328*(H328+4*I328+J328)/6+0.00000001,2))</f>
        <v/>
      </c>
      <c r="L328" s="13" t="n">
        <v>0</v>
      </c>
      <c r="M328" s="14">
        <f>SUMIFS(Maßnahmen!$I$7:$I$126,Maßnahmen!$D$7:$D$126,C328,Maßnahmen!$H$7:$H$126,"&lt;&gt;verworfen")</f>
        <v/>
      </c>
      <c r="N328" s="14">
        <f>IF(ISNUMBER(K328),MAX(0,K328-L328-M328),"n.a.")</f>
        <v/>
      </c>
      <c r="O328" s="14" t="n">
        <v>90</v>
      </c>
      <c r="P328" s="14">
        <f>IF(ISNUMBER(K328),K328-O328,"n.a.")</f>
        <v/>
      </c>
    </row>
    <row r="329" ht="32" customHeight="1">
      <c r="C329" s="10" t="inlineStr">
        <is>
          <t>PRJ-52b1cfd0-RK-07</t>
        </is>
      </c>
      <c r="D329" s="10" t="inlineStr">
        <is>
          <t>P4102157411</t>
        </is>
      </c>
      <c r="E329" s="11" t="inlineStr">
        <is>
          <t>Unterirdische Tragkonstruktion / Fundamente</t>
        </is>
      </c>
      <c r="F329" s="10" t="inlineStr">
        <is>
          <t>Statik</t>
        </is>
      </c>
      <c r="G329" s="12" t="n">
        <v>0.5</v>
      </c>
      <c r="H329" s="13" t="n">
        <v>25</v>
      </c>
      <c r="I329" s="13" t="n">
        <v>100</v>
      </c>
      <c r="J329" s="13" t="n">
        <v>250</v>
      </c>
      <c r="K329" s="14">
        <f>IF(OR(COUNT(G329:J329)&lt;&gt;4,G329&lt;0,G329&gt;1,H329&gt;I329,I329&gt;J329),"n.a.",ROUND(G329*(H329+4*I329+J329)/6+0.00000001,2))</f>
        <v/>
      </c>
      <c r="L329" s="13" t="n">
        <v>0</v>
      </c>
      <c r="M329" s="14">
        <f>SUMIFS(Maßnahmen!$I$7:$I$126,Maßnahmen!$D$7:$D$126,C329,Maßnahmen!$H$7:$H$126,"&lt;&gt;verworfen")</f>
        <v/>
      </c>
      <c r="N329" s="14">
        <f>IF(ISNUMBER(K329),MAX(0,K329-L329-M329),"n.a.")</f>
        <v/>
      </c>
      <c r="O329" s="14" t="n">
        <v>56.25</v>
      </c>
      <c r="P329" s="14">
        <f>IF(ISNUMBER(K329),K329-O329,"n.a.")</f>
        <v/>
      </c>
    </row>
    <row r="330" ht="32" customHeight="1">
      <c r="C330" s="10" t="inlineStr">
        <is>
          <t>PRJ-52b1cfd0-RK-08</t>
        </is>
      </c>
      <c r="D330" s="10" t="inlineStr">
        <is>
          <t>P4102157411</t>
        </is>
      </c>
      <c r="E330" s="11" t="inlineStr">
        <is>
          <t>Gebäudehöhe &gt;22 m / Longfront-Bagger (+130–150 %)</t>
        </is>
      </c>
      <c r="F330" s="10" t="inlineStr">
        <is>
          <t>Termin</t>
        </is>
      </c>
      <c r="G330" s="12" t="n">
        <v>0.6</v>
      </c>
      <c r="H330" s="13" t="n">
        <v>450</v>
      </c>
      <c r="I330" s="13" t="n">
        <v>900</v>
      </c>
      <c r="J330" s="13" t="n">
        <v>1700</v>
      </c>
      <c r="K330" s="14">
        <f>IF(OR(COUNT(G330:J330)&lt;&gt;4,G330&lt;0,G330&gt;1,H330&gt;I330,I330&gt;J330),"n.a.",ROUND(G330*(H330+4*I330+J330)/6+0.00000001,2))</f>
        <v/>
      </c>
      <c r="L330" s="13" t="n">
        <v>0</v>
      </c>
      <c r="M330" s="14">
        <f>SUMIFS(Maßnahmen!$I$7:$I$126,Maßnahmen!$D$7:$D$126,C330,Maßnahmen!$H$7:$H$126,"&lt;&gt;verworfen")</f>
        <v/>
      </c>
      <c r="N330" s="14">
        <f>IF(ISNUMBER(K330),MAX(0,K330-L330-M330),"n.a.")</f>
        <v/>
      </c>
      <c r="O330" s="14" t="n">
        <v>575</v>
      </c>
      <c r="P330" s="14">
        <f>IF(ISNUMBER(K330),K330-O330,"n.a.")</f>
        <v/>
      </c>
    </row>
    <row r="331" ht="32" customHeight="1">
      <c r="C331" s="10" t="inlineStr">
        <is>
          <t>PRJ-52b1cfd0-RK-09</t>
        </is>
      </c>
      <c r="D331" s="10" t="inlineStr">
        <is>
          <t>P4102157411</t>
        </is>
      </c>
      <c r="E331" s="11" t="inlineStr">
        <is>
          <t>Beennte Lage / nur Handabbruch möglich</t>
        </is>
      </c>
      <c r="F331" s="10" t="inlineStr">
        <is>
          <t>Termin</t>
        </is>
      </c>
      <c r="G331" s="12" t="n">
        <v>0.15</v>
      </c>
      <c r="H331" s="13" t="n">
        <v>40</v>
      </c>
      <c r="I331" s="13" t="n">
        <v>100</v>
      </c>
      <c r="J331" s="13" t="n">
        <v>250</v>
      </c>
      <c r="K331" s="14">
        <f>IF(OR(COUNT(G331:J331)&lt;&gt;4,G331&lt;0,G331&gt;1,H331&gt;I331,I331&gt;J331),"n.a.",ROUND(G331*(H331+4*I331+J331)/6+0.00000001,2))</f>
        <v/>
      </c>
      <c r="L331" s="13" t="n">
        <v>0</v>
      </c>
      <c r="M331" s="14">
        <f>SUMIFS(Maßnahmen!$I$7:$I$126,Maßnahmen!$D$7:$D$126,C331,Maßnahmen!$H$7:$H$126,"&lt;&gt;verworfen")</f>
        <v/>
      </c>
      <c r="N331" s="14">
        <f>IF(ISNUMBER(K331),MAX(0,K331-L331-M331),"n.a.")</f>
        <v/>
      </c>
      <c r="O331" s="14" t="n">
        <v>17.25</v>
      </c>
      <c r="P331" s="14">
        <f>IF(ISNUMBER(K331),K331-O331,"n.a.")</f>
        <v/>
      </c>
    </row>
    <row r="332" ht="32" customHeight="1">
      <c r="C332" s="10" t="inlineStr">
        <is>
          <t>PRJ-52b1cfd0-RK-10</t>
        </is>
      </c>
      <c r="D332" s="10" t="inlineStr">
        <is>
          <t>P4102157411</t>
        </is>
      </c>
      <c r="E332" s="11" t="inlineStr">
        <is>
          <t>Terminvorgabe Auftraggeber / Geräteauslastung</t>
        </is>
      </c>
      <c r="F332" s="10" t="inlineStr">
        <is>
          <t>Termin</t>
        </is>
      </c>
      <c r="G332" s="12" t="n">
        <v>0.1</v>
      </c>
      <c r="H332" s="13" t="n">
        <v>40</v>
      </c>
      <c r="I332" s="13" t="n">
        <v>100</v>
      </c>
      <c r="J332" s="13" t="n">
        <v>250</v>
      </c>
      <c r="K332" s="14">
        <f>IF(OR(COUNT(G332:J332)&lt;&gt;4,G332&lt;0,G332&gt;1,H332&gt;I332,I332&gt;J332),"n.a.",ROUND(G332*(H332+4*I332+J332)/6+0.00000001,2))</f>
        <v/>
      </c>
      <c r="L332" s="13" t="n">
        <v>0</v>
      </c>
      <c r="M332" s="14">
        <f>SUMIFS(Maßnahmen!$I$7:$I$126,Maßnahmen!$D$7:$D$126,C332,Maßnahmen!$H$7:$H$126,"&lt;&gt;verworfen")</f>
        <v/>
      </c>
      <c r="N332" s="14">
        <f>IF(ISNUMBER(K332),MAX(0,K332-L332-M332),"n.a.")</f>
        <v/>
      </c>
      <c r="O332" s="14" t="n">
        <v>11.5</v>
      </c>
      <c r="P332" s="14">
        <f>IF(ISNUMBER(K332),K332-O332,"n.a.")</f>
        <v/>
      </c>
    </row>
    <row r="333" ht="32" customHeight="1">
      <c r="C333" s="10" t="inlineStr">
        <is>
          <t>PRJ-52b1cfd0-RK-11</t>
        </is>
      </c>
      <c r="D333" s="10" t="inlineStr">
        <is>
          <t>P4102157411</t>
        </is>
      </c>
      <c r="E333" s="11" t="inlineStr">
        <is>
          <t>Witterung / Ablaufstörung</t>
        </is>
      </c>
      <c r="F333" s="10" t="inlineStr">
        <is>
          <t>Termin</t>
        </is>
      </c>
      <c r="G333" s="12" t="n">
        <v>0.25</v>
      </c>
      <c r="H333" s="13" t="n">
        <v>50</v>
      </c>
      <c r="I333" s="13" t="n">
        <v>150</v>
      </c>
      <c r="J333" s="13" t="n">
        <v>300</v>
      </c>
      <c r="K333" s="14">
        <f>IF(OR(COUNT(G333:J333)&lt;&gt;4,G333&lt;0,G333&gt;1,H333&gt;I333,I333&gt;J333),"n.a.",ROUND(G333*(H333+4*I333+J333)/6+0.00000001,2))</f>
        <v/>
      </c>
      <c r="L333" s="13" t="n">
        <v>0</v>
      </c>
      <c r="M333" s="14">
        <f>SUMIFS(Maßnahmen!$I$7:$I$126,Maßnahmen!$D$7:$D$126,C333,Maßnahmen!$H$7:$H$126,"&lt;&gt;verworfen")</f>
        <v/>
      </c>
      <c r="N333" s="14">
        <f>IF(ISNUMBER(K333),MAX(0,K333-L333-M333),"n.a.")</f>
        <v/>
      </c>
      <c r="O333" s="14" t="n">
        <v>39.58</v>
      </c>
      <c r="P333" s="14">
        <f>IF(ISNUMBER(K333),K333-O333,"n.a.")</f>
        <v/>
      </c>
    </row>
    <row r="334" ht="32" customHeight="1">
      <c r="C334" s="10" t="inlineStr">
        <is>
          <t>PRJ-52b1cfd0-RK-12</t>
        </is>
      </c>
      <c r="D334" s="10" t="inlineStr">
        <is>
          <t>P4102157411</t>
        </is>
      </c>
      <c r="E334" s="11" t="inlineStr">
        <is>
          <t>Staubemissionen (höchster Aufwand laut Umfrage)</t>
        </is>
      </c>
      <c r="F334" s="10" t="inlineStr">
        <is>
          <t>Emissionen</t>
        </is>
      </c>
      <c r="G334" s="12" t="n">
        <v>0.1</v>
      </c>
      <c r="H334" s="13" t="n">
        <v>150</v>
      </c>
      <c r="I334" s="13" t="n">
        <v>300</v>
      </c>
      <c r="J334" s="13" t="n">
        <v>600</v>
      </c>
      <c r="K334" s="14">
        <f>IF(OR(COUNT(G334:J334)&lt;&gt;4,G334&lt;0,G334&gt;1,H334&gt;I334,I334&gt;J334),"n.a.",ROUND(G334*(H334+4*I334+J334)/6+0.00000001,2))</f>
        <v/>
      </c>
      <c r="L334" s="13" t="n">
        <v>0</v>
      </c>
      <c r="M334" s="14">
        <f>SUMIFS(Maßnahmen!$I$7:$I$126,Maßnahmen!$D$7:$D$126,C334,Maßnahmen!$H$7:$H$126,"&lt;&gt;verworfen")</f>
        <v/>
      </c>
      <c r="N334" s="14">
        <f>IF(ISNUMBER(K334),MAX(0,K334-L334-M334),"n.a.")</f>
        <v/>
      </c>
      <c r="O334" s="14" t="n">
        <v>32.5</v>
      </c>
      <c r="P334" s="14">
        <f>IF(ISNUMBER(K334),K334-O334,"n.a.")</f>
        <v/>
      </c>
    </row>
    <row r="335" ht="32" customHeight="1">
      <c r="C335" s="10" t="inlineStr">
        <is>
          <t>PRJ-52b1cfd0-RK-13</t>
        </is>
      </c>
      <c r="D335" s="10" t="inlineStr">
        <is>
          <t>P4102157411</t>
        </is>
      </c>
      <c r="E335" s="11" t="inlineStr">
        <is>
          <t>Lärm- und Erschütterungsauflagen</t>
        </is>
      </c>
      <c r="F335" s="10" t="inlineStr">
        <is>
          <t>Emissionen</t>
        </is>
      </c>
      <c r="G335" s="12" t="n">
        <v>0.2</v>
      </c>
      <c r="H335" s="13" t="n">
        <v>100</v>
      </c>
      <c r="I335" s="13" t="n">
        <v>250</v>
      </c>
      <c r="J335" s="13" t="n">
        <v>500</v>
      </c>
      <c r="K335" s="14">
        <f>IF(OR(COUNT(G335:J335)&lt;&gt;4,G335&lt;0,G335&gt;1,H335&gt;I335,I335&gt;J335),"n.a.",ROUND(G335*(H335+4*I335+J335)/6+0.00000001,2))</f>
        <v/>
      </c>
      <c r="L335" s="13" t="n">
        <v>0</v>
      </c>
      <c r="M335" s="14">
        <f>SUMIFS(Maßnahmen!$I$7:$I$126,Maßnahmen!$D$7:$D$126,C335,Maßnahmen!$H$7:$H$126,"&lt;&gt;verworfen")</f>
        <v/>
      </c>
      <c r="N335" s="14">
        <f>IF(ISNUMBER(K335),MAX(0,K335-L335-M335),"n.a.")</f>
        <v/>
      </c>
      <c r="O335" s="14" t="n">
        <v>53.33</v>
      </c>
      <c r="P335" s="14">
        <f>IF(ISNUMBER(K335),K335-O335,"n.a.")</f>
        <v/>
      </c>
    </row>
    <row r="336" ht="32" customHeight="1">
      <c r="C336" s="10" t="inlineStr">
        <is>
          <t>PRJ-52b1cfd0-RK-14</t>
        </is>
      </c>
      <c r="D336" s="10" t="inlineStr">
        <is>
          <t>P4102157411</t>
        </is>
      </c>
      <c r="E336" s="11" t="inlineStr">
        <is>
          <t>Rechtliche Auflagen / Entsorgungsnachweise (Formalismus)</t>
        </is>
      </c>
      <c r="F336" s="10" t="inlineStr">
        <is>
          <t>Genehmigung</t>
        </is>
      </c>
      <c r="G336" s="12" t="n">
        <v>0.4</v>
      </c>
      <c r="H336" s="13" t="n">
        <v>475</v>
      </c>
      <c r="I336" s="13" t="n">
        <v>925</v>
      </c>
      <c r="J336" s="13" t="n">
        <v>1750</v>
      </c>
      <c r="K336" s="14">
        <f>IF(OR(COUNT(G336:J336)&lt;&gt;4,G336&lt;0,G336&gt;1,H336&gt;I336,I336&gt;J336),"n.a.",ROUND(G336*(H336+4*I336+J336)/6+0.00000001,2))</f>
        <v/>
      </c>
      <c r="L336" s="13" t="n">
        <v>0</v>
      </c>
      <c r="M336" s="14">
        <f>SUMIFS(Maßnahmen!$I$7:$I$126,Maßnahmen!$D$7:$D$126,C336,Maßnahmen!$H$7:$H$126,"&lt;&gt;verworfen")</f>
        <v/>
      </c>
      <c r="N336" s="14">
        <f>IF(ISNUMBER(K336),MAX(0,K336-L336-M336),"n.a.")</f>
        <v/>
      </c>
      <c r="O336" s="14" t="n">
        <v>395</v>
      </c>
      <c r="P336" s="14">
        <f>IF(ISNUMBER(K336),K336-O336,"n.a.")</f>
        <v/>
      </c>
    </row>
    <row r="337" ht="32" customHeight="1">
      <c r="C337" s="10" t="inlineStr">
        <is>
          <t>PRJ-52b1cfd0-RK-15</t>
        </is>
      </c>
      <c r="D337" s="10" t="inlineStr">
        <is>
          <t>P4102157411</t>
        </is>
      </c>
      <c r="E337" s="11" t="inlineStr">
        <is>
          <t>Konjunktur / Sekundärstoffpreise &amp; Gerätemiete</t>
        </is>
      </c>
      <c r="F337" s="10" t="inlineStr">
        <is>
          <t>Markt</t>
        </is>
      </c>
      <c r="G337" s="12" t="n">
        <v>0.12</v>
      </c>
      <c r="H337" s="13" t="n">
        <v>40</v>
      </c>
      <c r="I337" s="13" t="n">
        <v>100</v>
      </c>
      <c r="J337" s="13" t="n">
        <v>250</v>
      </c>
      <c r="K337" s="14">
        <f>IF(OR(COUNT(G337:J337)&lt;&gt;4,G337&lt;0,G337&gt;1,H337&gt;I337,I337&gt;J337),"n.a.",ROUND(G337*(H337+4*I337+J337)/6+0.00000001,2))</f>
        <v/>
      </c>
      <c r="L337" s="13" t="n">
        <v>0</v>
      </c>
      <c r="M337" s="14">
        <f>SUMIFS(Maßnahmen!$I$7:$I$126,Maßnahmen!$D$7:$D$126,C337,Maßnahmen!$H$7:$H$126,"&lt;&gt;verworfen")</f>
        <v/>
      </c>
      <c r="N337" s="14">
        <f>IF(ISNUMBER(K337),MAX(0,K337-L337-M337),"n.a.")</f>
        <v/>
      </c>
      <c r="O337" s="14" t="n">
        <v>13.8</v>
      </c>
      <c r="P337" s="14">
        <f>IF(ISNUMBER(K337),K337-O337,"n.a.")</f>
        <v/>
      </c>
    </row>
    <row r="338" ht="32" customHeight="1">
      <c r="C338" s="10" t="inlineStr">
        <is>
          <t>PRJ-52b1cf54-RK-03</t>
        </is>
      </c>
      <c r="D338" s="10" t="inlineStr">
        <is>
          <t>P4102157451</t>
        </is>
      </c>
      <c r="E338" s="11" t="inlineStr">
        <is>
          <t>Entsorgungs-Mehrkosten / Entsorgungswege</t>
        </is>
      </c>
      <c r="F338" s="10" t="inlineStr">
        <is>
          <t>Entsorgung</t>
        </is>
      </c>
      <c r="G338" s="12" t="n">
        <v>0.186</v>
      </c>
      <c r="H338" s="13" t="n">
        <v>60748</v>
      </c>
      <c r="I338" s="13" t="n">
        <v>133717</v>
      </c>
      <c r="J338" s="13" t="n">
        <v>249281</v>
      </c>
      <c r="K338" s="14">
        <f>IF(OR(COUNT(G338:J338)&lt;&gt;4,G338&lt;0,G338&gt;1,H338&gt;I338,I338&gt;J338),"n.a.",ROUND(G338*(H338+4*I338+J338)/6+0.00000001,2))</f>
        <v/>
      </c>
      <c r="L338" s="13" t="n">
        <v>0</v>
      </c>
      <c r="M338" s="14">
        <f>SUMIFS(Maßnahmen!$I$7:$I$126,Maßnahmen!$D$7:$D$126,C338,Maßnahmen!$H$7:$H$126,"&lt;&gt;verworfen")</f>
        <v/>
      </c>
      <c r="N338" s="14">
        <f>IF(ISNUMBER(K338),MAX(0,K338-L338-M338),"n.a.")</f>
        <v/>
      </c>
      <c r="O338" s="14" t="n">
        <v>26191.81</v>
      </c>
      <c r="P338" s="14">
        <f>IF(ISNUMBER(K338),K338-O338,"n.a.")</f>
        <v/>
      </c>
    </row>
    <row r="339" ht="32" customHeight="1">
      <c r="C339" s="10" t="inlineStr">
        <is>
          <t>PRJ-52b1cf54-RK-05</t>
        </is>
      </c>
      <c r="D339" s="10" t="inlineStr">
        <is>
          <t>P4102157451</t>
        </is>
      </c>
      <c r="E339" s="11" t="inlineStr">
        <is>
          <t>Unbekannte Bauwerkskonstruktion / fehlende Pläne</t>
        </is>
      </c>
      <c r="F339" s="10" t="inlineStr">
        <is>
          <t>Statik</t>
        </is>
      </c>
      <c r="G339" s="12" t="n">
        <v>0.12</v>
      </c>
      <c r="H339" s="13" t="n">
        <v>93193</v>
      </c>
      <c r="I339" s="13" t="n">
        <v>179684</v>
      </c>
      <c r="J339" s="13" t="n">
        <v>327692</v>
      </c>
      <c r="K339" s="14">
        <f>IF(OR(COUNT(G339:J339)&lt;&gt;4,G339&lt;0,G339&gt;1,H339&gt;I339,I339&gt;J339),"n.a.",ROUND(G339*(H339+4*I339+J339)/6+0.00000001,2))</f>
        <v/>
      </c>
      <c r="L339" s="13" t="n">
        <v>0</v>
      </c>
      <c r="M339" s="14">
        <f>SUMIFS(Maßnahmen!$I$7:$I$126,Maßnahmen!$D$7:$D$126,C339,Maßnahmen!$H$7:$H$126,"&lt;&gt;verworfen")</f>
        <v/>
      </c>
      <c r="N339" s="14">
        <f>IF(ISNUMBER(K339),MAX(0,K339-L339-M339),"n.a.")</f>
        <v/>
      </c>
      <c r="O339" s="14" t="n">
        <v>22792.42</v>
      </c>
      <c r="P339" s="14">
        <f>IF(ISNUMBER(K339),K339-O339,"n.a.")</f>
        <v/>
      </c>
    </row>
    <row r="340" ht="32" customHeight="1">
      <c r="C340" s="10" t="inlineStr">
        <is>
          <t>PRJ-52b1cf54-RK-06</t>
        </is>
      </c>
      <c r="D340" s="10" t="inlineStr">
        <is>
          <t>P4102157451</t>
        </is>
      </c>
      <c r="E340" s="11" t="inlineStr">
        <is>
          <t>Statik / Einsturzsicherung während Abbruch</t>
        </is>
      </c>
      <c r="F340" s="10" t="inlineStr">
        <is>
          <t>Statik</t>
        </is>
      </c>
      <c r="G340" s="12" t="n">
        <v>0.137</v>
      </c>
      <c r="H340" s="13" t="n">
        <v>72969</v>
      </c>
      <c r="I340" s="13" t="n">
        <v>158159</v>
      </c>
      <c r="J340" s="13" t="n">
        <v>304217</v>
      </c>
      <c r="K340" s="14">
        <f>IF(OR(COUNT(G340:J340)&lt;&gt;4,G340&lt;0,G340&gt;1,H340&gt;I340,I340&gt;J340),"n.a.",ROUND(G340*(H340+4*I340+J340)/6+0.00000001,2))</f>
        <v/>
      </c>
      <c r="L340" s="13" t="n">
        <v>0</v>
      </c>
      <c r="M340" s="14">
        <f>SUMIFS(Maßnahmen!$I$7:$I$126,Maßnahmen!$D$7:$D$126,C340,Maßnahmen!$H$7:$H$126,"&lt;&gt;verworfen")</f>
        <v/>
      </c>
      <c r="N340" s="14">
        <f>IF(ISNUMBER(K340),MAX(0,K340-L340-M340),"n.a.")</f>
        <v/>
      </c>
      <c r="O340" s="14" t="n">
        <v>23057.6</v>
      </c>
      <c r="P340" s="14">
        <f>IF(ISNUMBER(K340),K340-O340,"n.a.")</f>
        <v/>
      </c>
    </row>
    <row r="341" ht="32" customHeight="1">
      <c r="C341" s="10" t="inlineStr">
        <is>
          <t>PRJ-52b1cf54-RK-07</t>
        </is>
      </c>
      <c r="D341" s="10" t="inlineStr">
        <is>
          <t>P4102157451</t>
        </is>
      </c>
      <c r="E341" s="11" t="inlineStr">
        <is>
          <t>Unterirdische Tragkonstruktion / Fundamente</t>
        </is>
      </c>
      <c r="F341" s="10" t="inlineStr">
        <is>
          <t>Statik</t>
        </is>
      </c>
      <c r="G341" s="12" t="n">
        <v>0.503</v>
      </c>
      <c r="H341" s="13" t="n">
        <v>15187</v>
      </c>
      <c r="I341" s="13" t="n">
        <v>46226</v>
      </c>
      <c r="J341" s="13" t="n">
        <v>109513</v>
      </c>
      <c r="K341" s="14">
        <f>IF(OR(COUNT(G341:J341)&lt;&gt;4,G341&lt;0,G341&gt;1,H341&gt;I341,I341&gt;J341),"n.a.",ROUND(G341*(H341+4*I341+J341)/6+0.00000001,2))</f>
        <v/>
      </c>
      <c r="L341" s="13" t="n">
        <v>0</v>
      </c>
      <c r="M341" s="14">
        <f>SUMIFS(Maßnahmen!$I$7:$I$126,Maßnahmen!$D$7:$D$126,C341,Maßnahmen!$H$7:$H$126,"&lt;&gt;verworfen")</f>
        <v/>
      </c>
      <c r="N341" s="14">
        <f>IF(ISNUMBER(K341),MAX(0,K341-L341-M341),"n.a.")</f>
        <v/>
      </c>
      <c r="O341" s="14" t="n">
        <v>25955.14</v>
      </c>
      <c r="P341" s="14">
        <f>IF(ISNUMBER(K341),K341-O341,"n.a.")</f>
        <v/>
      </c>
    </row>
    <row r="342" ht="32" customHeight="1">
      <c r="C342" s="10" t="inlineStr">
        <is>
          <t>PRJ-52b1cf54-RK-08</t>
        </is>
      </c>
      <c r="D342" s="10" t="inlineStr">
        <is>
          <t>P4102157451</t>
        </is>
      </c>
      <c r="E342" s="11" t="inlineStr">
        <is>
          <t>Gebäudehöhe &gt;22 m / Longfront-Bagger (+130–150 %)</t>
        </is>
      </c>
      <c r="F342" s="10" t="inlineStr">
        <is>
          <t>Termin</t>
        </is>
      </c>
      <c r="G342" s="12" t="n">
        <v>0.494</v>
      </c>
      <c r="H342" s="13" t="n">
        <v>125805</v>
      </c>
      <c r="I342" s="13" t="n">
        <v>256441</v>
      </c>
      <c r="J342" s="13" t="n">
        <v>485998</v>
      </c>
      <c r="K342" s="14">
        <f>IF(OR(COUNT(G342:J342)&lt;&gt;4,G342&lt;0,G342&gt;1,H342&gt;I342,I342&gt;J342),"n.a.",ROUND(G342*(H342+4*I342+J342)/6+0.00000001,2))</f>
        <v/>
      </c>
      <c r="L342" s="13" t="n">
        <v>0</v>
      </c>
      <c r="M342" s="14">
        <f>SUMIFS(Maßnahmen!$I$7:$I$126,Maßnahmen!$D$7:$D$126,C342,Maßnahmen!$H$7:$H$126,"&lt;&gt;verworfen")</f>
        <v/>
      </c>
      <c r="N342" s="14">
        <f>IF(ISNUMBER(K342),MAX(0,K342-L342-M342),"n.a.")</f>
        <v/>
      </c>
      <c r="O342" s="14" t="n">
        <v>134826.35</v>
      </c>
      <c r="P342" s="14">
        <f>IF(ISNUMBER(K342),K342-O342,"n.a.")</f>
        <v/>
      </c>
    </row>
    <row r="343" ht="32" customHeight="1">
      <c r="C343" s="10" t="inlineStr">
        <is>
          <t>PRJ-52b1cf54-RK-09</t>
        </is>
      </c>
      <c r="D343" s="10" t="inlineStr">
        <is>
          <t>P4102157451</t>
        </is>
      </c>
      <c r="E343" s="11" t="inlineStr">
        <is>
          <t>Beennte Lage / nur Handabbruch möglich</t>
        </is>
      </c>
      <c r="F343" s="10" t="inlineStr">
        <is>
          <t>Termin</t>
        </is>
      </c>
      <c r="G343" s="12" t="n">
        <v>0.176</v>
      </c>
      <c r="H343" s="13" t="n">
        <v>21319</v>
      </c>
      <c r="I343" s="13" t="n">
        <v>49947</v>
      </c>
      <c r="J343" s="13" t="n">
        <v>118166</v>
      </c>
      <c r="K343" s="14">
        <f>IF(OR(COUNT(G343:J343)&lt;&gt;4,G343&lt;0,G343&gt;1,H343&gt;I343,I343&gt;J343),"n.a.",ROUND(G343*(H343+4*I343+J343)/6+0.00000001,2))</f>
        <v/>
      </c>
      <c r="L343" s="13" t="n">
        <v>0</v>
      </c>
      <c r="M343" s="14">
        <f>SUMIFS(Maßnahmen!$I$7:$I$126,Maßnahmen!$D$7:$D$126,C343,Maßnahmen!$H$7:$H$126,"&lt;&gt;verworfen")</f>
        <v/>
      </c>
      <c r="N343" s="14">
        <f>IF(ISNUMBER(K343),MAX(0,K343-L343-M343),"n.a.")</f>
        <v/>
      </c>
      <c r="O343" s="14" t="n">
        <v>9952.01</v>
      </c>
      <c r="P343" s="14">
        <f>IF(ISNUMBER(K343),K343-O343,"n.a.")</f>
        <v/>
      </c>
    </row>
    <row r="344" ht="32" customHeight="1">
      <c r="C344" s="10" t="inlineStr">
        <is>
          <t>PRJ-52b1cf54-RK-13</t>
        </is>
      </c>
      <c r="D344" s="10" t="inlineStr">
        <is>
          <t>P4102157451</t>
        </is>
      </c>
      <c r="E344" s="11" t="inlineStr">
        <is>
          <t>Lärm- und Erschütterungsauflagen</t>
        </is>
      </c>
      <c r="F344" s="10" t="inlineStr">
        <is>
          <t>Emissionen</t>
        </is>
      </c>
      <c r="G344" s="12" t="n">
        <v>0.24</v>
      </c>
      <c r="H344" s="13" t="n">
        <v>52628</v>
      </c>
      <c r="I344" s="13" t="n">
        <v>120847</v>
      </c>
      <c r="J344" s="13" t="n">
        <v>233651</v>
      </c>
      <c r="K344" s="14">
        <f>IF(OR(COUNT(G344:J344)&lt;&gt;4,G344&lt;0,G344&gt;1,H344&gt;I344,I344&gt;J344),"n.a.",ROUND(G344*(H344+4*I344+J344)/6+0.00000001,2))</f>
        <v/>
      </c>
      <c r="L344" s="13" t="n">
        <v>0</v>
      </c>
      <c r="M344" s="14">
        <f>SUMIFS(Maßnahmen!$I$7:$I$126,Maßnahmen!$D$7:$D$126,C344,Maßnahmen!$H$7:$H$126,"&lt;&gt;verworfen")</f>
        <v/>
      </c>
      <c r="N344" s="14">
        <f>IF(ISNUMBER(K344),MAX(0,K344-L344-M344),"n.a.")</f>
        <v/>
      </c>
      <c r="O344" s="14" t="n">
        <v>30786.68</v>
      </c>
      <c r="P344" s="14">
        <f>IF(ISNUMBER(K344),K344-O344,"n.a.")</f>
        <v/>
      </c>
    </row>
    <row r="345" ht="32" customHeight="1">
      <c r="C345" s="10" t="inlineStr">
        <is>
          <t>PRJ-52b1cf54-RK-14</t>
        </is>
      </c>
      <c r="D345" s="10" t="inlineStr">
        <is>
          <t>P4102157451</t>
        </is>
      </c>
      <c r="E345" s="11" t="inlineStr">
        <is>
          <t>Rechtliche Auflagen / Entsorgungsnachweise (Formalismus)</t>
        </is>
      </c>
      <c r="F345" s="10" t="inlineStr">
        <is>
          <t>Genehmigung</t>
        </is>
      </c>
      <c r="G345" s="12" t="n">
        <v>0.377</v>
      </c>
      <c r="H345" s="13" t="n">
        <v>134941</v>
      </c>
      <c r="I345" s="13" t="n">
        <v>265577</v>
      </c>
      <c r="J345" s="13" t="n">
        <v>504270</v>
      </c>
      <c r="K345" s="14">
        <f>IF(OR(COUNT(G345:J345)&lt;&gt;4,G345&lt;0,G345&gt;1,H345&gt;I345,I345&gt;J345),"n.a.",ROUND(G345*(H345+4*I345+J345)/6+0.00000001,2))</f>
        <v/>
      </c>
      <c r="L345" s="13" t="n">
        <v>0</v>
      </c>
      <c r="M345" s="14">
        <f>SUMIFS(Maßnahmen!$I$7:$I$126,Maßnahmen!$D$7:$D$126,C345,Maßnahmen!$H$7:$H$126,"&lt;&gt;verworfen")</f>
        <v/>
      </c>
      <c r="N345" s="14">
        <f>IF(ISNUMBER(K345),MAX(0,K345-L345-M345),"n.a.")</f>
        <v/>
      </c>
      <c r="O345" s="14" t="n">
        <v>106912.11</v>
      </c>
      <c r="P345" s="14">
        <f>IF(ISNUMBER(K345),K345-O345,"n.a.")</f>
        <v/>
      </c>
    </row>
    <row r="346" ht="32" customHeight="1">
      <c r="C346" s="10" t="inlineStr">
        <is>
          <t>PRJ-4f8e93da-RK-03</t>
        </is>
      </c>
      <c r="D346" s="10" t="inlineStr">
        <is>
          <t>P4102307430</t>
        </is>
      </c>
      <c r="E346" s="11" t="inlineStr">
        <is>
          <t>Entsorgungs-Mehrkosten / Entsorgungswege</t>
        </is>
      </c>
      <c r="F346" s="10" t="inlineStr">
        <is>
          <t>Entsorgung</t>
        </is>
      </c>
      <c r="G346" s="12" t="n">
        <v>0.55</v>
      </c>
      <c r="H346" s="13" t="n">
        <v>3603</v>
      </c>
      <c r="I346" s="13" t="n">
        <v>6604</v>
      </c>
      <c r="J346" s="13" t="n">
        <v>10804</v>
      </c>
      <c r="K346" s="14">
        <f>IF(OR(COUNT(G346:J346)&lt;&gt;4,G346&lt;0,G346&gt;1,H346&gt;I346,I346&gt;J346),"n.a.",ROUND(G346*(H346+4*I346+J346)/6+0.00000001,2))</f>
        <v/>
      </c>
      <c r="L346" s="13" t="n">
        <v>0</v>
      </c>
      <c r="M346" s="14">
        <f>SUMIFS(Maßnahmen!$I$7:$I$126,Maßnahmen!$D$7:$D$126,C346,Maßnahmen!$H$7:$H$126,"&lt;&gt;verworfen")</f>
        <v/>
      </c>
      <c r="N346" s="14">
        <f>IF(ISNUMBER(K346),MAX(0,K346-L346-M346),"n.a.")</f>
        <v/>
      </c>
      <c r="O346" s="14" t="n">
        <v>3742.11</v>
      </c>
      <c r="P346" s="14">
        <f>IF(ISNUMBER(K346),K346-O346,"n.a.")</f>
        <v/>
      </c>
    </row>
    <row r="347" ht="32" customHeight="1">
      <c r="C347" s="10" t="inlineStr">
        <is>
          <t>PRJ-4f8e93da-RK-06</t>
        </is>
      </c>
      <c r="D347" s="10" t="inlineStr">
        <is>
          <t>P4102307430</t>
        </is>
      </c>
      <c r="E347" s="11" t="inlineStr">
        <is>
          <t>Statik / Einsturzsicherung während Abbruch</t>
        </is>
      </c>
      <c r="F347" s="10" t="inlineStr">
        <is>
          <t>Statik</t>
        </is>
      </c>
      <c r="G347" s="12" t="n">
        <v>0.321</v>
      </c>
      <c r="H347" s="13" t="n">
        <v>3001</v>
      </c>
      <c r="I347" s="13" t="n">
        <v>5399</v>
      </c>
      <c r="J347" s="13" t="n">
        <v>9196</v>
      </c>
      <c r="K347" s="14">
        <f>IF(OR(COUNT(G347:J347)&lt;&gt;4,G347&lt;0,G347&gt;1,H347&gt;I347,I347&gt;J347),"n.a.",ROUND(G347*(H347+4*I347+J347)/6+0.00000001,2))</f>
        <v/>
      </c>
      <c r="L347" s="13" t="n">
        <v>0</v>
      </c>
      <c r="M347" s="14">
        <f>SUMIFS(Maßnahmen!$I$7:$I$126,Maßnahmen!$D$7:$D$126,C347,Maßnahmen!$H$7:$H$126,"&lt;&gt;verworfen")</f>
        <v/>
      </c>
      <c r="N347" s="14">
        <f>IF(ISNUMBER(K347),MAX(0,K347-L347-M347),"n.a.")</f>
        <v/>
      </c>
      <c r="O347" s="14" t="n">
        <v>1807.93</v>
      </c>
      <c r="P347" s="14">
        <f>IF(ISNUMBER(K347),K347-O347,"n.a.")</f>
        <v/>
      </c>
    </row>
    <row r="348" ht="32" customHeight="1">
      <c r="C348" s="10" t="inlineStr">
        <is>
          <t>PRJ-4f8e93da-RK-07</t>
        </is>
      </c>
      <c r="D348" s="10" t="inlineStr">
        <is>
          <t>P4102307430</t>
        </is>
      </c>
      <c r="E348" s="11" t="inlineStr">
        <is>
          <t>Unterirdische Tragkonstruktion / Fundamente</t>
        </is>
      </c>
      <c r="F348" s="10" t="inlineStr">
        <is>
          <t>Statik</t>
        </is>
      </c>
      <c r="G348" s="12" t="n">
        <v>0.6</v>
      </c>
      <c r="H348" s="13" t="n">
        <v>901</v>
      </c>
      <c r="I348" s="13" t="n">
        <v>1680</v>
      </c>
      <c r="J348" s="13" t="n">
        <v>3399</v>
      </c>
      <c r="K348" s="14">
        <f>IF(OR(COUNT(G348:J348)&lt;&gt;4,G348&lt;0,G348&gt;1,H348&gt;I348,I348&gt;J348),"n.a.",ROUND(G348*(H348+4*I348+J348)/6+0.00000001,2))</f>
        <v/>
      </c>
      <c r="L348" s="13" t="n">
        <v>0</v>
      </c>
      <c r="M348" s="14">
        <f>SUMIFS(Maßnahmen!$I$7:$I$126,Maßnahmen!$D$7:$D$126,C348,Maßnahmen!$H$7:$H$126,"&lt;&gt;verworfen")</f>
        <v/>
      </c>
      <c r="N348" s="14">
        <f>IF(ISNUMBER(K348),MAX(0,K348-L348-M348),"n.a.")</f>
        <v/>
      </c>
      <c r="O348" s="14" t="n">
        <v>1102</v>
      </c>
      <c r="P348" s="14">
        <f>IF(ISNUMBER(K348),K348-O348,"n.a.")</f>
        <v/>
      </c>
    </row>
    <row r="349" ht="32" customHeight="1">
      <c r="C349" s="10" t="inlineStr">
        <is>
          <t>PRJ-4f8e93da-RK-08</t>
        </is>
      </c>
      <c r="D349" s="10" t="inlineStr">
        <is>
          <t>P4102307430</t>
        </is>
      </c>
      <c r="E349" s="11" t="inlineStr">
        <is>
          <t>Gebäudehöhe &gt;22 m / Longfront-Bagger (+130–150 %)</t>
        </is>
      </c>
      <c r="F349" s="10" t="inlineStr">
        <is>
          <t>Termin</t>
        </is>
      </c>
      <c r="G349" s="12" t="n">
        <v>0.5</v>
      </c>
      <c r="H349" s="13" t="n">
        <v>1391</v>
      </c>
      <c r="I349" s="13" t="n">
        <v>2832</v>
      </c>
      <c r="J349" s="13" t="n">
        <v>5366</v>
      </c>
      <c r="K349" s="14">
        <f>IF(OR(COUNT(G349:J349)&lt;&gt;4,G349&lt;0,G349&gt;1,H349&gt;I349,I349&gt;J349),"n.a.",ROUND(G349*(H349+4*I349+J349)/6+0.00000001,2))</f>
        <v/>
      </c>
      <c r="L349" s="13" t="n">
        <v>0</v>
      </c>
      <c r="M349" s="14">
        <f>SUMIFS(Maßnahmen!$I$7:$I$126,Maßnahmen!$D$7:$D$126,C349,Maßnahmen!$H$7:$H$126,"&lt;&gt;verworfen")</f>
        <v/>
      </c>
      <c r="N349" s="14">
        <f>IF(ISNUMBER(K349),MAX(0,K349-L349-M349),"n.a.")</f>
        <v/>
      </c>
      <c r="O349" s="14" t="n">
        <v>1507.08</v>
      </c>
      <c r="P349" s="14">
        <f>IF(ISNUMBER(K349),K349-O349,"n.a.")</f>
        <v/>
      </c>
    </row>
    <row r="350" ht="32" customHeight="1">
      <c r="C350" s="10" t="inlineStr">
        <is>
          <t>PRJ-4f8e93da-RK-14</t>
        </is>
      </c>
      <c r="D350" s="10" t="inlineStr">
        <is>
          <t>P4102307430</t>
        </is>
      </c>
      <c r="E350" s="11" t="inlineStr">
        <is>
          <t>Rechtliche Auflagen / Entsorgungsnachweise (Formalismus)</t>
        </is>
      </c>
      <c r="F350" s="10" t="inlineStr">
        <is>
          <t>Genehmigung</t>
        </is>
      </c>
      <c r="G350" s="12" t="n">
        <v>0.382</v>
      </c>
      <c r="H350" s="13" t="n">
        <v>1491</v>
      </c>
      <c r="I350" s="13" t="n">
        <v>2931</v>
      </c>
      <c r="J350" s="13" t="n">
        <v>5565</v>
      </c>
      <c r="K350" s="14">
        <f>IF(OR(COUNT(G350:J350)&lt;&gt;4,G350&lt;0,G350&gt;1,H350&gt;I350,I350&gt;J350),"n.a.",ROUND(G350*(H350+4*I350+J350)/6+0.00000001,2))</f>
        <v/>
      </c>
      <c r="L350" s="13" t="n">
        <v>0</v>
      </c>
      <c r="M350" s="14">
        <f>SUMIFS(Maßnahmen!$I$7:$I$126,Maßnahmen!$D$7:$D$126,C350,Maßnahmen!$H$7:$H$126,"&lt;&gt;verworfen")</f>
        <v/>
      </c>
      <c r="N350" s="14">
        <f>IF(ISNUMBER(K350),MAX(0,K350-L350-M350),"n.a.")</f>
        <v/>
      </c>
      <c r="O350" s="14" t="n">
        <v>1195.66</v>
      </c>
      <c r="P350" s="14">
        <f>IF(ISNUMBER(K350),K350-O350,"n.a.")</f>
        <v/>
      </c>
    </row>
    <row r="351" ht="32" customHeight="1">
      <c r="C351" s="10" t="inlineStr">
        <is>
          <t>PRJ-4f8e93f2-RK-01</t>
        </is>
      </c>
      <c r="D351" s="10" t="inlineStr">
        <is>
          <t>P4102307427</t>
        </is>
      </c>
      <c r="E351" s="11" t="inlineStr">
        <is>
          <t>Schadstofffund / Schadstoffsanierung (Asbest, PAK, PCB, PCP)</t>
        </is>
      </c>
      <c r="F351" s="10" t="inlineStr">
        <is>
          <t>Schadstoffe</t>
        </is>
      </c>
      <c r="G351" s="12" t="n">
        <v>0.1</v>
      </c>
      <c r="H351" s="13" t="n">
        <v>1268</v>
      </c>
      <c r="I351" s="13" t="n">
        <v>3169</v>
      </c>
      <c r="J351" s="13" t="n">
        <v>6338</v>
      </c>
      <c r="K351" s="14">
        <f>IF(OR(COUNT(G351:J351)&lt;&gt;4,G351&lt;0,G351&gt;1,H351&gt;I351,I351&gt;J351),"n.a.",ROUND(G351*(H351+4*I351+J351)/6+0.00000001,2))</f>
        <v/>
      </c>
      <c r="L351" s="13" t="n">
        <v>0</v>
      </c>
      <c r="M351" s="14">
        <f>SUMIFS(Maßnahmen!$I$7:$I$126,Maßnahmen!$D$7:$D$126,C351,Maßnahmen!$H$7:$H$126,"&lt;&gt;verworfen")</f>
        <v/>
      </c>
      <c r="N351" s="14">
        <f>IF(ISNUMBER(K351),MAX(0,K351-L351-M351),"n.a.")</f>
        <v/>
      </c>
      <c r="O351" s="14" t="n">
        <v>338.03</v>
      </c>
      <c r="P351" s="14">
        <f>IF(ISNUMBER(K351),K351-O351,"n.a.")</f>
        <v/>
      </c>
    </row>
    <row r="352" ht="32" customHeight="1">
      <c r="C352" s="10" t="inlineStr">
        <is>
          <t>PRJ-4f8e93f2-RK-02</t>
        </is>
      </c>
      <c r="D352" s="10" t="inlineStr">
        <is>
          <t>P4102307427</t>
        </is>
      </c>
      <c r="E352" s="11" t="inlineStr">
        <is>
          <t>Arbeitsschutz kontaminierte Bereiche (TRGS 524)</t>
        </is>
      </c>
      <c r="F352" s="10" t="inlineStr">
        <is>
          <t>Schadstoffe</t>
        </is>
      </c>
      <c r="G352" s="12" t="n">
        <v>0.1</v>
      </c>
      <c r="H352" s="13" t="n">
        <v>317</v>
      </c>
      <c r="I352" s="13" t="n">
        <v>634</v>
      </c>
      <c r="J352" s="13" t="n">
        <v>1268</v>
      </c>
      <c r="K352" s="14">
        <f>IF(OR(COUNT(G352:J352)&lt;&gt;4,G352&lt;0,G352&gt;1,H352&gt;I352,I352&gt;J352),"n.a.",ROUND(G352*(H352+4*I352+J352)/6+0.00000001,2))</f>
        <v/>
      </c>
      <c r="L352" s="13" t="n">
        <v>0</v>
      </c>
      <c r="M352" s="14">
        <f>SUMIFS(Maßnahmen!$I$7:$I$126,Maßnahmen!$D$7:$D$126,C352,Maßnahmen!$H$7:$H$126,"&lt;&gt;verworfen")</f>
        <v/>
      </c>
      <c r="N352" s="14">
        <f>IF(ISNUMBER(K352),MAX(0,K352-L352-M352),"n.a.")</f>
        <v/>
      </c>
      <c r="O352" s="14" t="n">
        <v>68.68000000000001</v>
      </c>
      <c r="P352" s="14">
        <f>IF(ISNUMBER(K352),K352-O352,"n.a.")</f>
        <v/>
      </c>
    </row>
    <row r="353" ht="32" customHeight="1">
      <c r="C353" s="10" t="inlineStr">
        <is>
          <t>PRJ-4f8e93f2-RK-03</t>
        </is>
      </c>
      <c r="D353" s="10" t="inlineStr">
        <is>
          <t>P4102307427</t>
        </is>
      </c>
      <c r="E353" s="11" t="inlineStr">
        <is>
          <t>Entsorgungs-Mehrkosten / Entsorgungswege</t>
        </is>
      </c>
      <c r="F353" s="10" t="inlineStr">
        <is>
          <t>Entsorgung</t>
        </is>
      </c>
      <c r="G353" s="12" t="n">
        <v>0.503</v>
      </c>
      <c r="H353" s="13" t="n">
        <v>9398</v>
      </c>
      <c r="I353" s="13" t="n">
        <v>17397</v>
      </c>
      <c r="J353" s="13" t="n">
        <v>28696</v>
      </c>
      <c r="K353" s="14">
        <f>IF(OR(COUNT(G353:J353)&lt;&gt;4,G353&lt;0,G353&gt;1,H353&gt;I353,I353&gt;J353),"n.a.",ROUND(G353*(H353+4*I353+J353)/6+0.00000001,2))</f>
        <v/>
      </c>
      <c r="L353" s="13" t="n">
        <v>0</v>
      </c>
      <c r="M353" s="14">
        <f>SUMIFS(Maßnahmen!$I$7:$I$126,Maßnahmen!$D$7:$D$126,C353,Maßnahmen!$H$7:$H$126,"&lt;&gt;verworfen")</f>
        <v/>
      </c>
      <c r="N353" s="14">
        <f>IF(ISNUMBER(K353),MAX(0,K353-L353-M353),"n.a.")</f>
        <v/>
      </c>
      <c r="O353" s="14" t="n">
        <v>9027.34</v>
      </c>
      <c r="P353" s="14">
        <f>IF(ISNUMBER(K353),K353-O353,"n.a.")</f>
        <v/>
      </c>
    </row>
    <row r="354" ht="32" customHeight="1">
      <c r="C354" s="10" t="inlineStr">
        <is>
          <t>PRJ-4f8e93f2-RK-04</t>
        </is>
      </c>
      <c r="D354" s="10" t="inlineStr">
        <is>
          <t>P4102307427</t>
        </is>
      </c>
      <c r="E354" s="11" t="inlineStr">
        <is>
          <t>Baustofftrennung / Aufbereitung nicht wie geplant</t>
        </is>
      </c>
      <c r="F354" s="10" t="inlineStr">
        <is>
          <t>Entsorgung</t>
        </is>
      </c>
      <c r="G354" s="12" t="n">
        <v>0.08</v>
      </c>
      <c r="H354" s="13" t="n">
        <v>317</v>
      </c>
      <c r="I354" s="13" t="n">
        <v>634</v>
      </c>
      <c r="J354" s="13" t="n">
        <v>1268</v>
      </c>
      <c r="K354" s="14">
        <f>IF(OR(COUNT(G354:J354)&lt;&gt;4,G354&lt;0,G354&gt;1,H354&gt;I354,I354&gt;J354),"n.a.",ROUND(G354*(H354+4*I354+J354)/6+0.00000001,2))</f>
        <v/>
      </c>
      <c r="L354" s="13" t="n">
        <v>0</v>
      </c>
      <c r="M354" s="14">
        <f>SUMIFS(Maßnahmen!$I$7:$I$126,Maßnahmen!$D$7:$D$126,C354,Maßnahmen!$H$7:$H$126,"&lt;&gt;verworfen")</f>
        <v/>
      </c>
      <c r="N354" s="14">
        <f>IF(ISNUMBER(K354),MAX(0,K354-L354-M354),"n.a.")</f>
        <v/>
      </c>
      <c r="O354" s="14" t="n">
        <v>54.95</v>
      </c>
      <c r="P354" s="14">
        <f>IF(ISNUMBER(K354),K354-O354,"n.a.")</f>
        <v/>
      </c>
    </row>
    <row r="355" ht="32" customHeight="1">
      <c r="C355" s="10" t="inlineStr">
        <is>
          <t>PRJ-4f8e93f2-RK-05</t>
        </is>
      </c>
      <c r="D355" s="10" t="inlineStr">
        <is>
          <t>P4102307427</t>
        </is>
      </c>
      <c r="E355" s="11" t="inlineStr">
        <is>
          <t>Unbekannte Bauwerkskonstruktion / fehlende Pläne</t>
        </is>
      </c>
      <c r="F355" s="10" t="inlineStr">
        <is>
          <t>Statik</t>
        </is>
      </c>
      <c r="G355" s="12" t="n">
        <v>0.12</v>
      </c>
      <c r="H355" s="13" t="n">
        <v>2535</v>
      </c>
      <c r="I355" s="13" t="n">
        <v>5070</v>
      </c>
      <c r="J355" s="13" t="n">
        <v>9507</v>
      </c>
      <c r="K355" s="14">
        <f>IF(OR(COUNT(G355:J355)&lt;&gt;4,G355&lt;0,G355&gt;1,H355&gt;I355,I355&gt;J355),"n.a.",ROUND(G355*(H355+4*I355+J355)/6+0.00000001,2))</f>
        <v/>
      </c>
      <c r="L355" s="13" t="n">
        <v>0</v>
      </c>
      <c r="M355" s="14">
        <f>SUMIFS(Maßnahmen!$I$7:$I$126,Maßnahmen!$D$7:$D$126,C355,Maßnahmen!$H$7:$H$126,"&lt;&gt;verworfen")</f>
        <v/>
      </c>
      <c r="N355" s="14">
        <f>IF(ISNUMBER(K355),MAX(0,K355-L355-M355),"n.a.")</f>
        <v/>
      </c>
      <c r="O355" s="14" t="n">
        <v>646.4400000000001</v>
      </c>
      <c r="P355" s="14">
        <f>IF(ISNUMBER(K355),K355-O355,"n.a.")</f>
        <v/>
      </c>
    </row>
    <row r="356" ht="32" customHeight="1">
      <c r="C356" s="10" t="inlineStr">
        <is>
          <t>PRJ-4f8e93f2-RK-06</t>
        </is>
      </c>
      <c r="D356" s="10" t="inlineStr">
        <is>
          <t>P4102307427</t>
        </is>
      </c>
      <c r="E356" s="11" t="inlineStr">
        <is>
          <t>Statik / Einsturzsicherung während Abbruch</t>
        </is>
      </c>
      <c r="F356" s="10" t="inlineStr">
        <is>
          <t>Statik</t>
        </is>
      </c>
      <c r="G356" s="12" t="n">
        <v>0.28</v>
      </c>
      <c r="H356" s="13" t="n">
        <v>7999</v>
      </c>
      <c r="I356" s="13" t="n">
        <v>14600</v>
      </c>
      <c r="J356" s="13" t="n">
        <v>25134</v>
      </c>
      <c r="K356" s="14">
        <f>IF(OR(COUNT(G356:J356)&lt;&gt;4,G356&lt;0,G356&gt;1,H356&gt;I356,I356&gt;J356),"n.a.",ROUND(G356*(H356+4*I356+J356)/6+0.00000001,2))</f>
        <v/>
      </c>
      <c r="L356" s="13" t="n">
        <v>0</v>
      </c>
      <c r="M356" s="14">
        <f>SUMIFS(Maßnahmen!$I$7:$I$126,Maßnahmen!$D$7:$D$126,C356,Maßnahmen!$H$7:$H$126,"&lt;&gt;verworfen")</f>
        <v/>
      </c>
      <c r="N356" s="14">
        <f>IF(ISNUMBER(K356),MAX(0,K356-L356-M356),"n.a.")</f>
        <v/>
      </c>
      <c r="O356" s="14" t="n">
        <v>4271.54</v>
      </c>
      <c r="P356" s="14">
        <f>IF(ISNUMBER(K356),K356-O356,"n.a.")</f>
        <v/>
      </c>
    </row>
    <row r="357" ht="32" customHeight="1">
      <c r="C357" s="10" t="inlineStr">
        <is>
          <t>PRJ-4f8e93f2-RK-07</t>
        </is>
      </c>
      <c r="D357" s="10" t="inlineStr">
        <is>
          <t>P4102307427</t>
        </is>
      </c>
      <c r="E357" s="11" t="inlineStr">
        <is>
          <t>Unterirdische Tragkonstruktion / Fundamente</t>
        </is>
      </c>
      <c r="F357" s="10" t="inlineStr">
        <is>
          <t>Statik</t>
        </is>
      </c>
      <c r="G357" s="12" t="n">
        <v>0.6</v>
      </c>
      <c r="H357" s="13" t="n">
        <v>2349</v>
      </c>
      <c r="I357" s="13" t="n">
        <v>4520</v>
      </c>
      <c r="J357" s="13" t="n">
        <v>9267</v>
      </c>
      <c r="K357" s="14">
        <f>IF(OR(COUNT(G357:J357)&lt;&gt;4,G357&lt;0,G357&gt;1,H357&gt;I357,I357&gt;J357),"n.a.",ROUND(G357*(H357+4*I357+J357)/6+0.00000001,2))</f>
        <v/>
      </c>
      <c r="L357" s="13" t="n">
        <v>0</v>
      </c>
      <c r="M357" s="14">
        <f>SUMIFS(Maßnahmen!$I$7:$I$126,Maßnahmen!$D$7:$D$126,C357,Maßnahmen!$H$7:$H$126,"&lt;&gt;verworfen")</f>
        <v/>
      </c>
      <c r="N357" s="14">
        <f>IF(ISNUMBER(K357),MAX(0,K357-L357-M357),"n.a.")</f>
        <v/>
      </c>
      <c r="O357" s="14" t="n">
        <v>2969.6</v>
      </c>
      <c r="P357" s="14">
        <f>IF(ISNUMBER(K357),K357-O357,"n.a.")</f>
        <v/>
      </c>
    </row>
    <row r="358" ht="32" customHeight="1">
      <c r="C358" s="10" t="inlineStr">
        <is>
          <t>PRJ-4f8e93f2-RK-08</t>
        </is>
      </c>
      <c r="D358" s="10" t="inlineStr">
        <is>
          <t>P4102307427</t>
        </is>
      </c>
      <c r="E358" s="11" t="inlineStr">
        <is>
          <t>Gebäudehöhe &gt;22 m / Longfront-Bagger (+130–150 %)</t>
        </is>
      </c>
      <c r="F358" s="10" t="inlineStr">
        <is>
          <t>Termin</t>
        </is>
      </c>
      <c r="G358" s="12" t="n">
        <v>0.504</v>
      </c>
      <c r="H358" s="13" t="n">
        <v>4483</v>
      </c>
      <c r="I358" s="13" t="n">
        <v>9119</v>
      </c>
      <c r="J358" s="13" t="n">
        <v>17275</v>
      </c>
      <c r="K358" s="14">
        <f>IF(OR(COUNT(G358:J358)&lt;&gt;4,G358&lt;0,G358&gt;1,H358&gt;I358,I358&gt;J358),"n.a.",ROUND(G358*(H358+4*I358+J358)/6+0.00000001,2))</f>
        <v/>
      </c>
      <c r="L358" s="13" t="n">
        <v>0</v>
      </c>
      <c r="M358" s="14">
        <f>SUMIFS(Maßnahmen!$I$7:$I$126,Maßnahmen!$D$7:$D$126,C358,Maßnahmen!$H$7:$H$126,"&lt;&gt;verworfen")</f>
        <v/>
      </c>
      <c r="N358" s="14">
        <f>IF(ISNUMBER(K358),MAX(0,K358-L358-M358),"n.a.")</f>
        <v/>
      </c>
      <c r="O358" s="14" t="n">
        <v>4891.66</v>
      </c>
      <c r="P358" s="14">
        <f>IF(ISNUMBER(K358),K358-O358,"n.a.")</f>
        <v/>
      </c>
    </row>
    <row r="359" ht="32" customHeight="1">
      <c r="C359" s="10" t="inlineStr">
        <is>
          <t>PRJ-4f8e93f2-RK-09</t>
        </is>
      </c>
      <c r="D359" s="10" t="inlineStr">
        <is>
          <t>P4102307427</t>
        </is>
      </c>
      <c r="E359" s="11" t="inlineStr">
        <is>
          <t>Beennte Lage / nur Handabbruch möglich</t>
        </is>
      </c>
      <c r="F359" s="10" t="inlineStr">
        <is>
          <t>Termin</t>
        </is>
      </c>
      <c r="G359" s="12" t="n">
        <v>0.15</v>
      </c>
      <c r="H359" s="13" t="n">
        <v>507</v>
      </c>
      <c r="I359" s="13" t="n">
        <v>1268</v>
      </c>
      <c r="J359" s="13" t="n">
        <v>3169</v>
      </c>
      <c r="K359" s="14">
        <f>IF(OR(COUNT(G359:J359)&lt;&gt;4,G359&lt;0,G359&gt;1,H359&gt;I359,I359&gt;J359),"n.a.",ROUND(G359*(H359+4*I359+J359)/6+0.00000001,2))</f>
        <v/>
      </c>
      <c r="L359" s="13" t="n">
        <v>0</v>
      </c>
      <c r="M359" s="14">
        <f>SUMIFS(Maßnahmen!$I$7:$I$126,Maßnahmen!$D$7:$D$126,C359,Maßnahmen!$H$7:$H$126,"&lt;&gt;verworfen")</f>
        <v/>
      </c>
      <c r="N359" s="14">
        <f>IF(ISNUMBER(K359),MAX(0,K359-L359-M359),"n.a.")</f>
        <v/>
      </c>
      <c r="O359" s="14" t="n">
        <v>218.7</v>
      </c>
      <c r="P359" s="14">
        <f>IF(ISNUMBER(K359),K359-O359,"n.a.")</f>
        <v/>
      </c>
    </row>
    <row r="360" ht="32" customHeight="1">
      <c r="C360" s="10" t="inlineStr">
        <is>
          <t>PRJ-4f8e93f2-RK-11</t>
        </is>
      </c>
      <c r="D360" s="10" t="inlineStr">
        <is>
          <t>P4102307427</t>
        </is>
      </c>
      <c r="E360" s="11" t="inlineStr">
        <is>
          <t>Witterung / Ablaufstörung</t>
        </is>
      </c>
      <c r="F360" s="10" t="inlineStr">
        <is>
          <t>Termin</t>
        </is>
      </c>
      <c r="G360" s="12" t="n">
        <v>0.25</v>
      </c>
      <c r="H360" s="13" t="n">
        <v>634</v>
      </c>
      <c r="I360" s="13" t="n">
        <v>1901</v>
      </c>
      <c r="J360" s="13" t="n">
        <v>3803</v>
      </c>
      <c r="K360" s="14">
        <f>IF(OR(COUNT(G360:J360)&lt;&gt;4,G360&lt;0,G360&gt;1,H360&gt;I360,I360&gt;J360),"n.a.",ROUND(G360*(H360+4*I360+J360)/6+0.00000001,2))</f>
        <v/>
      </c>
      <c r="L360" s="13" t="n">
        <v>0</v>
      </c>
      <c r="M360" s="14">
        <f>SUMIFS(Maßnahmen!$I$7:$I$126,Maßnahmen!$D$7:$D$126,C360,Maßnahmen!$H$7:$H$126,"&lt;&gt;verworfen")</f>
        <v/>
      </c>
      <c r="N360" s="14">
        <f>IF(ISNUMBER(K360),MAX(0,K360-L360-M360),"n.a.")</f>
        <v/>
      </c>
      <c r="O360" s="14" t="n">
        <v>501.71</v>
      </c>
      <c r="P360" s="14">
        <f>IF(ISNUMBER(K360),K360-O360,"n.a.")</f>
        <v/>
      </c>
    </row>
    <row r="361" ht="32" customHeight="1">
      <c r="C361" s="10" t="inlineStr">
        <is>
          <t>PRJ-4f8e93f2-RK-12</t>
        </is>
      </c>
      <c r="D361" s="10" t="inlineStr">
        <is>
          <t>P4102307427</t>
        </is>
      </c>
      <c r="E361" s="11" t="inlineStr">
        <is>
          <t>Staubemissionen (höchster Aufwand laut Umfrage)</t>
        </is>
      </c>
      <c r="F361" s="10" t="inlineStr">
        <is>
          <t>Emissionen</t>
        </is>
      </c>
      <c r="G361" s="12" t="n">
        <v>0.1</v>
      </c>
      <c r="H361" s="13" t="n">
        <v>1901</v>
      </c>
      <c r="I361" s="13" t="n">
        <v>3803</v>
      </c>
      <c r="J361" s="13" t="n">
        <v>7606</v>
      </c>
      <c r="K361" s="14">
        <f>IF(OR(COUNT(G361:J361)&lt;&gt;4,G361&lt;0,G361&gt;1,H361&gt;I361,I361&gt;J361),"n.a.",ROUND(G361*(H361+4*I361+J361)/6+0.00000001,2))</f>
        <v/>
      </c>
      <c r="L361" s="13" t="n">
        <v>0</v>
      </c>
      <c r="M361" s="14">
        <f>SUMIFS(Maßnahmen!$I$7:$I$126,Maßnahmen!$D$7:$D$126,C361,Maßnahmen!$H$7:$H$126,"&lt;&gt;verworfen")</f>
        <v/>
      </c>
      <c r="N361" s="14">
        <f>IF(ISNUMBER(K361),MAX(0,K361-L361-M361),"n.a.")</f>
        <v/>
      </c>
      <c r="O361" s="14" t="n">
        <v>411.98</v>
      </c>
      <c r="P361" s="14">
        <f>IF(ISNUMBER(K361),K361-O361,"n.a.")</f>
        <v/>
      </c>
    </row>
    <row r="362" ht="32" customHeight="1">
      <c r="C362" s="10" t="inlineStr">
        <is>
          <t>PRJ-4f8e93f2-RK-13</t>
        </is>
      </c>
      <c r="D362" s="10" t="inlineStr">
        <is>
          <t>P4102307427</t>
        </is>
      </c>
      <c r="E362" s="11" t="inlineStr">
        <is>
          <t>Lärm- und Erschütterungsauflagen</t>
        </is>
      </c>
      <c r="F362" s="10" t="inlineStr">
        <is>
          <t>Emissionen</t>
        </is>
      </c>
      <c r="G362" s="12" t="n">
        <v>0.2</v>
      </c>
      <c r="H362" s="13" t="n">
        <v>1268</v>
      </c>
      <c r="I362" s="13" t="n">
        <v>3169</v>
      </c>
      <c r="J362" s="13" t="n">
        <v>6338</v>
      </c>
      <c r="K362" s="14">
        <f>IF(OR(COUNT(G362:J362)&lt;&gt;4,G362&lt;0,G362&gt;1,H362&gt;I362,I362&gt;J362),"n.a.",ROUND(G362*(H362+4*I362+J362)/6+0.00000001,2))</f>
        <v/>
      </c>
      <c r="L362" s="13" t="n">
        <v>0</v>
      </c>
      <c r="M362" s="14">
        <f>SUMIFS(Maßnahmen!$I$7:$I$126,Maßnahmen!$D$7:$D$126,C362,Maßnahmen!$H$7:$H$126,"&lt;&gt;verworfen")</f>
        <v/>
      </c>
      <c r="N362" s="14">
        <f>IF(ISNUMBER(K362),MAX(0,K362-L362-M362),"n.a.")</f>
        <v/>
      </c>
      <c r="O362" s="14" t="n">
        <v>676.0700000000001</v>
      </c>
      <c r="P362" s="14">
        <f>IF(ISNUMBER(K362),K362-O362,"n.a.")</f>
        <v/>
      </c>
    </row>
    <row r="363" ht="32" customHeight="1">
      <c r="C363" s="10" t="inlineStr">
        <is>
          <t>PRJ-4f8e93f2-RK-14</t>
        </is>
      </c>
      <c r="D363" s="10" t="inlineStr">
        <is>
          <t>P4102307427</t>
        </is>
      </c>
      <c r="E363" s="11" t="inlineStr">
        <is>
          <t>Rechtliche Auflagen / Entsorgungsnachweise (Formalismus)</t>
        </is>
      </c>
      <c r="F363" s="10" t="inlineStr">
        <is>
          <t>Genehmigung</t>
        </is>
      </c>
      <c r="G363" s="12" t="n">
        <v>0.386</v>
      </c>
      <c r="H363" s="13" t="n">
        <v>4800</v>
      </c>
      <c r="I363" s="13" t="n">
        <v>9435</v>
      </c>
      <c r="J363" s="13" t="n">
        <v>17909</v>
      </c>
      <c r="K363" s="14">
        <f>IF(OR(COUNT(G363:J363)&lt;&gt;4,G363&lt;0,G363&gt;1,H363&gt;I363,I363&gt;J363),"n.a.",ROUND(G363*(H363+4*I363+J363)/6+0.00000001,2))</f>
        <v/>
      </c>
      <c r="L363" s="13" t="n">
        <v>0</v>
      </c>
      <c r="M363" s="14">
        <f>SUMIFS(Maßnahmen!$I$7:$I$126,Maßnahmen!$D$7:$D$126,C363,Maßnahmen!$H$7:$H$126,"&lt;&gt;verworfen")</f>
        <v/>
      </c>
      <c r="N363" s="14">
        <f>IF(ISNUMBER(K363),MAX(0,K363-L363-M363),"n.a.")</f>
        <v/>
      </c>
      <c r="O363" s="14" t="n">
        <v>3888.89</v>
      </c>
      <c r="P363" s="14">
        <f>IF(ISNUMBER(K363),K363-O363,"n.a.")</f>
        <v/>
      </c>
    </row>
    <row r="364" ht="32" customHeight="1">
      <c r="C364" s="10" t="inlineStr">
        <is>
          <t>PRJ-4f8e93f2-RK-15</t>
        </is>
      </c>
      <c r="D364" s="10" t="inlineStr">
        <is>
          <t>P4102307427</t>
        </is>
      </c>
      <c r="E364" s="11" t="inlineStr">
        <is>
          <t>Konjunktur / Sekundärstoffpreise &amp; Gerätemiete</t>
        </is>
      </c>
      <c r="F364" s="10" t="inlineStr">
        <is>
          <t>Markt</t>
        </is>
      </c>
      <c r="G364" s="12" t="n">
        <v>0.12</v>
      </c>
      <c r="H364" s="13" t="n">
        <v>507</v>
      </c>
      <c r="I364" s="13" t="n">
        <v>1268</v>
      </c>
      <c r="J364" s="13" t="n">
        <v>3169</v>
      </c>
      <c r="K364" s="14">
        <f>IF(OR(COUNT(G364:J364)&lt;&gt;4,G364&lt;0,G364&gt;1,H364&gt;I364,I364&gt;J364),"n.a.",ROUND(G364*(H364+4*I364+J364)/6+0.00000001,2))</f>
        <v/>
      </c>
      <c r="L364" s="13" t="n">
        <v>0</v>
      </c>
      <c r="M364" s="14">
        <f>SUMIFS(Maßnahmen!$I$7:$I$126,Maßnahmen!$D$7:$D$126,C364,Maßnahmen!$H$7:$H$126,"&lt;&gt;verworfen")</f>
        <v/>
      </c>
      <c r="N364" s="14">
        <f>IF(ISNUMBER(K364),MAX(0,K364-L364-M364),"n.a.")</f>
        <v/>
      </c>
      <c r="O364" s="14" t="n">
        <v>174.96</v>
      </c>
      <c r="P364" s="14">
        <f>IF(ISNUMBER(K364),K364-O364,"n.a.")</f>
        <v/>
      </c>
    </row>
    <row r="365" ht="32" customHeight="1">
      <c r="C365" s="10" t="inlineStr">
        <is>
          <t>PRJ-4f8e93f3-RK-03</t>
        </is>
      </c>
      <c r="D365" s="10" t="inlineStr">
        <is>
          <t>P4102307426</t>
        </is>
      </c>
      <c r="E365" s="11" t="inlineStr">
        <is>
          <t>Entsorgungs-Mehrkosten / Entsorgungswege</t>
        </is>
      </c>
      <c r="F365" s="10" t="inlineStr">
        <is>
          <t>Entsorgung</t>
        </is>
      </c>
      <c r="G365" s="12" t="n">
        <v>0.55</v>
      </c>
      <c r="H365" s="13" t="n">
        <v>5799</v>
      </c>
      <c r="I365" s="13" t="n">
        <v>10619</v>
      </c>
      <c r="J365" s="13" t="n">
        <v>17361</v>
      </c>
      <c r="K365" s="14">
        <f>IF(OR(COUNT(G365:J365)&lt;&gt;4,G365&lt;0,G365&gt;1,H365&gt;I365,I365&gt;J365),"n.a.",ROUND(G365*(H365+4*I365+J365)/6+0.00000001,2))</f>
        <v/>
      </c>
      <c r="L365" s="13" t="n">
        <v>0</v>
      </c>
      <c r="M365" s="14">
        <f>SUMIFS(Maßnahmen!$I$7:$I$126,Maßnahmen!$D$7:$D$126,C365,Maßnahmen!$H$7:$H$126,"&lt;&gt;verworfen")</f>
        <v/>
      </c>
      <c r="N365" s="14">
        <f>IF(ISNUMBER(K365),MAX(0,K365-L365-M365),"n.a.")</f>
        <v/>
      </c>
      <c r="O365" s="14" t="n">
        <v>6016.63</v>
      </c>
      <c r="P365" s="14">
        <f>IF(ISNUMBER(K365),K365-O365,"n.a.")</f>
        <v/>
      </c>
    </row>
    <row r="366" ht="32" customHeight="1">
      <c r="C366" s="10" t="inlineStr">
        <is>
          <t>PRJ-4f8e93f3-RK-05</t>
        </is>
      </c>
      <c r="D366" s="10" t="inlineStr">
        <is>
          <t>P4102307426</t>
        </is>
      </c>
      <c r="E366" s="11" t="inlineStr">
        <is>
          <t>Unbekannte Bauwerkskonstruktion / fehlende Pläne</t>
        </is>
      </c>
      <c r="F366" s="10" t="inlineStr">
        <is>
          <t>Statik</t>
        </is>
      </c>
      <c r="G366" s="12" t="n">
        <v>0.12</v>
      </c>
      <c r="H366" s="13" t="n">
        <v>2207</v>
      </c>
      <c r="I366" s="13" t="n">
        <v>4098</v>
      </c>
      <c r="J366" s="13" t="n">
        <v>7249</v>
      </c>
      <c r="K366" s="14">
        <f>IF(OR(COUNT(G366:J366)&lt;&gt;4,G366&lt;0,G366&gt;1,H366&gt;I366,I366&gt;J366),"n.a.",ROUND(G366*(H366+4*I366+J366)/6+0.00000001,2))</f>
        <v/>
      </c>
      <c r="L366" s="13" t="n">
        <v>0</v>
      </c>
      <c r="M366" s="14">
        <f>SUMIFS(Maßnahmen!$I$7:$I$126,Maßnahmen!$D$7:$D$126,C366,Maßnahmen!$H$7:$H$126,"&lt;&gt;verworfen")</f>
        <v/>
      </c>
      <c r="N366" s="14">
        <f>IF(ISNUMBER(K366),MAX(0,K366-L366-M366),"n.a.")</f>
        <v/>
      </c>
      <c r="O366" s="14" t="n">
        <v>516.96</v>
      </c>
      <c r="P366" s="14">
        <f>IF(ISNUMBER(K366),K366-O366,"n.a.")</f>
        <v/>
      </c>
    </row>
    <row r="367" ht="32" customHeight="1">
      <c r="C367" s="10" t="inlineStr">
        <is>
          <t>PRJ-4f8e93f3-RK-06</t>
        </is>
      </c>
      <c r="D367" s="10" t="inlineStr">
        <is>
          <t>P4102307426</t>
        </is>
      </c>
      <c r="E367" s="11" t="inlineStr">
        <is>
          <t>Statik / Einsturzsicherung während Abbruch</t>
        </is>
      </c>
      <c r="F367" s="10" t="inlineStr">
        <is>
          <t>Statik</t>
        </is>
      </c>
      <c r="G367" s="12" t="n">
        <v>0.445</v>
      </c>
      <c r="H367" s="13" t="n">
        <v>4821</v>
      </c>
      <c r="I367" s="13" t="n">
        <v>8663</v>
      </c>
      <c r="J367" s="13" t="n">
        <v>14742</v>
      </c>
      <c r="K367" s="14">
        <f>IF(OR(COUNT(G367:J367)&lt;&gt;4,G367&lt;0,G367&gt;1,H367&gt;I367,I367&gt;J367),"n.a.",ROUND(G367*(H367+4*I367+J367)/6+0.00000001,2))</f>
        <v/>
      </c>
      <c r="L367" s="13" t="n">
        <v>0</v>
      </c>
      <c r="M367" s="14">
        <f>SUMIFS(Maßnahmen!$I$7:$I$126,Maßnahmen!$D$7:$D$126,C367,Maßnahmen!$H$7:$H$126,"&lt;&gt;verworfen")</f>
        <v/>
      </c>
      <c r="N367" s="14">
        <f>IF(ISNUMBER(K367),MAX(0,K367-L367-M367),"n.a.")</f>
        <v/>
      </c>
      <c r="O367" s="14" t="n">
        <v>4020.95</v>
      </c>
      <c r="P367" s="14">
        <f>IF(ISNUMBER(K367),K367-O367,"n.a.")</f>
        <v/>
      </c>
    </row>
    <row r="368" ht="32" customHeight="1">
      <c r="C368" s="10" t="inlineStr">
        <is>
          <t>PRJ-4f8e93f3-RK-07</t>
        </is>
      </c>
      <c r="D368" s="10" t="inlineStr">
        <is>
          <t>P4102307426</t>
        </is>
      </c>
      <c r="E368" s="11" t="inlineStr">
        <is>
          <t>Unterirdische Tragkonstruktion / Fundamente</t>
        </is>
      </c>
      <c r="F368" s="10" t="inlineStr">
        <is>
          <t>Statik</t>
        </is>
      </c>
      <c r="G368" s="12" t="n">
        <v>0.5</v>
      </c>
      <c r="H368" s="13" t="n">
        <v>1450</v>
      </c>
      <c r="I368" s="13" t="n">
        <v>2697</v>
      </c>
      <c r="J368" s="13" t="n">
        <v>5450</v>
      </c>
      <c r="K368" s="14">
        <f>IF(OR(COUNT(G368:J368)&lt;&gt;4,G368&lt;0,G368&gt;1,H368&gt;I368,I368&gt;J368),"n.a.",ROUND(G368*(H368+4*I368+J368)/6+0.00000001,2))</f>
        <v/>
      </c>
      <c r="L368" s="13" t="n">
        <v>0</v>
      </c>
      <c r="M368" s="14">
        <f>SUMIFS(Maßnahmen!$I$7:$I$126,Maßnahmen!$D$7:$D$126,C368,Maßnahmen!$H$7:$H$126,"&lt;&gt;verworfen")</f>
        <v/>
      </c>
      <c r="N368" s="14">
        <f>IF(ISNUMBER(K368),MAX(0,K368-L368-M368),"n.a.")</f>
        <v/>
      </c>
      <c r="O368" s="14" t="n">
        <v>1474</v>
      </c>
      <c r="P368" s="14">
        <f>IF(ISNUMBER(K368),K368-O368,"n.a.")</f>
        <v/>
      </c>
    </row>
    <row r="369" ht="32" customHeight="1">
      <c r="C369" s="10" t="inlineStr">
        <is>
          <t>PRJ-4f8e93f3-RK-08</t>
        </is>
      </c>
      <c r="D369" s="10" t="inlineStr">
        <is>
          <t>P4102307426</t>
        </is>
      </c>
      <c r="E369" s="11" t="inlineStr">
        <is>
          <t>Gebäudehöhe &gt;22 m / Longfront-Bagger (+130–150 %)</t>
        </is>
      </c>
      <c r="F369" s="10" t="inlineStr">
        <is>
          <t>Termin</t>
        </is>
      </c>
      <c r="G369" s="12" t="n">
        <v>0.414</v>
      </c>
      <c r="H369" s="13" t="n">
        <v>1659</v>
      </c>
      <c r="I369" s="13" t="n">
        <v>3465</v>
      </c>
      <c r="J369" s="13" t="n">
        <v>6594</v>
      </c>
      <c r="K369" s="14">
        <f>IF(OR(COUNT(G369:J369)&lt;&gt;4,G369&lt;0,G369&gt;1,H369&gt;I369,I369&gt;J369),"n.a.",ROUND(G369*(H369+4*I369+J369)/6+0.00000001,2))</f>
        <v/>
      </c>
      <c r="L369" s="13" t="n">
        <v>0</v>
      </c>
      <c r="M369" s="14">
        <f>SUMIFS(Maßnahmen!$I$7:$I$126,Maßnahmen!$D$7:$D$126,C369,Maßnahmen!$H$7:$H$126,"&lt;&gt;verworfen")</f>
        <v/>
      </c>
      <c r="N369" s="14">
        <f>IF(ISNUMBER(K369),MAX(0,K369-L369-M369),"n.a.")</f>
        <v/>
      </c>
      <c r="O369" s="14" t="n">
        <v>1525.8</v>
      </c>
      <c r="P369" s="14">
        <f>IF(ISNUMBER(K369),K369-O369,"n.a.")</f>
        <v/>
      </c>
    </row>
    <row r="370" ht="32" customHeight="1">
      <c r="C370" s="10" t="inlineStr">
        <is>
          <t>PRJ-4f8e93f3-RK-09</t>
        </is>
      </c>
      <c r="D370" s="10" t="inlineStr">
        <is>
          <t>P4102307426</t>
        </is>
      </c>
      <c r="E370" s="11" t="inlineStr">
        <is>
          <t>Beennte Lage / nur Handabbruch möglich</t>
        </is>
      </c>
      <c r="F370" s="10" t="inlineStr">
        <is>
          <t>Termin</t>
        </is>
      </c>
      <c r="G370" s="12" t="n">
        <v>0.22</v>
      </c>
      <c r="H370" s="13" t="n">
        <v>568</v>
      </c>
      <c r="I370" s="13" t="n">
        <v>1262</v>
      </c>
      <c r="J370" s="13" t="n">
        <v>2838</v>
      </c>
      <c r="K370" s="14">
        <f>IF(OR(COUNT(G370:J370)&lt;&gt;4,G370&lt;0,G370&gt;1,H370&gt;I370,I370&gt;J370),"n.a.",ROUND(G370*(H370+4*I370+J370)/6+0.00000001,2))</f>
        <v/>
      </c>
      <c r="L370" s="13" t="n">
        <v>0</v>
      </c>
      <c r="M370" s="14">
        <f>SUMIFS(Maßnahmen!$I$7:$I$126,Maßnahmen!$D$7:$D$126,C370,Maßnahmen!$H$7:$H$126,"&lt;&gt;verworfen")</f>
        <v/>
      </c>
      <c r="N370" s="14">
        <f>IF(ISNUMBER(K370),MAX(0,K370-L370-M370),"n.a.")</f>
        <v/>
      </c>
      <c r="O370" s="14" t="n">
        <v>309.98</v>
      </c>
      <c r="P370" s="14">
        <f>IF(ISNUMBER(K370),K370-O370,"n.a.")</f>
        <v/>
      </c>
    </row>
    <row r="371" ht="32" customHeight="1">
      <c r="C371" s="10" t="inlineStr">
        <is>
          <t>PRJ-4f8e93f3-RK-13</t>
        </is>
      </c>
      <c r="D371" s="10" t="inlineStr">
        <is>
          <t>P4102307426</t>
        </is>
      </c>
      <c r="E371" s="11" t="inlineStr">
        <is>
          <t>Lärm- und Erschütterungsauflagen</t>
        </is>
      </c>
      <c r="F371" s="10" t="inlineStr">
        <is>
          <t>Emissionen</t>
        </is>
      </c>
      <c r="G371" s="12" t="n">
        <v>0.311</v>
      </c>
      <c r="H371" s="13" t="n">
        <v>1389</v>
      </c>
      <c r="I371" s="13" t="n">
        <v>2965</v>
      </c>
      <c r="J371" s="13" t="n">
        <v>5550</v>
      </c>
      <c r="K371" s="14">
        <f>IF(OR(COUNT(G371:J371)&lt;&gt;4,G371&lt;0,G371&gt;1,H371&gt;I371,I371&gt;J371),"n.a.",ROUND(G371*(H371+4*I371+J371)/6+0.00000001,2))</f>
        <v/>
      </c>
      <c r="L371" s="13" t="n">
        <v>0</v>
      </c>
      <c r="M371" s="14">
        <f>SUMIFS(Maßnahmen!$I$7:$I$126,Maßnahmen!$D$7:$D$126,C371,Maßnahmen!$H$7:$H$126,"&lt;&gt;verworfen")</f>
        <v/>
      </c>
      <c r="N371" s="14">
        <f>IF(ISNUMBER(K371),MAX(0,K371-L371-M371),"n.a.")</f>
        <v/>
      </c>
      <c r="O371" s="14" t="n">
        <v>974.41</v>
      </c>
      <c r="P371" s="14">
        <f>IF(ISNUMBER(K371),K371-O371,"n.a.")</f>
        <v/>
      </c>
    </row>
    <row r="372" ht="32" customHeight="1">
      <c r="C372" s="10" t="inlineStr">
        <is>
          <t>PRJ-4f8e93f3-RK-14</t>
        </is>
      </c>
      <c r="D372" s="10" t="inlineStr">
        <is>
          <t>P4102307426</t>
        </is>
      </c>
      <c r="E372" s="11" t="inlineStr">
        <is>
          <t>Rechtliche Auflagen / Entsorgungsnachweise (Formalismus)</t>
        </is>
      </c>
      <c r="F372" s="10" t="inlineStr">
        <is>
          <t>Genehmigung</t>
        </is>
      </c>
      <c r="G372" s="12" t="n">
        <v>0.307</v>
      </c>
      <c r="H372" s="13" t="n">
        <v>1817</v>
      </c>
      <c r="I372" s="13" t="n">
        <v>3622</v>
      </c>
      <c r="J372" s="13" t="n">
        <v>6908</v>
      </c>
      <c r="K372" s="14">
        <f>IF(OR(COUNT(G372:J372)&lt;&gt;4,G372&lt;0,G372&gt;1,H372&gt;I372,I372&gt;J372),"n.a.",ROUND(G372*(H372+4*I372+J372)/6+0.00000001,2))</f>
        <v/>
      </c>
      <c r="L372" s="13" t="n">
        <v>0</v>
      </c>
      <c r="M372" s="14">
        <f>SUMIFS(Maßnahmen!$I$7:$I$126,Maßnahmen!$D$7:$D$126,C372,Maßnahmen!$H$7:$H$126,"&lt;&gt;verworfen")</f>
        <v/>
      </c>
      <c r="N372" s="14">
        <f>IF(ISNUMBER(K372),MAX(0,K372-L372-M372),"n.a.")</f>
        <v/>
      </c>
      <c r="O372" s="14" t="n">
        <v>1187.73</v>
      </c>
      <c r="P372" s="14">
        <f>IF(ISNUMBER(K372),K372-O372,"n.a.")</f>
        <v/>
      </c>
    </row>
    <row r="373" ht="32" customHeight="1">
      <c r="C373" s="10" t="inlineStr">
        <is>
          <t>PRJ-4f8e93b8-RK-01</t>
        </is>
      </c>
      <c r="D373" s="10" t="inlineStr">
        <is>
          <t>P4102307443</t>
        </is>
      </c>
      <c r="E373" s="11" t="inlineStr">
        <is>
          <t>Schadstofffund / Schadstoffsanierung (Asbest, PAK, PCB, PCP)</t>
        </is>
      </c>
      <c r="F373" s="10" t="inlineStr">
        <is>
          <t>Schadstoffe</t>
        </is>
      </c>
      <c r="G373" s="12" t="n">
        <v>0.1</v>
      </c>
      <c r="H373" s="13" t="n">
        <v>747</v>
      </c>
      <c r="I373" s="13" t="n">
        <v>1866</v>
      </c>
      <c r="J373" s="13" t="n">
        <v>3733</v>
      </c>
      <c r="K373" s="14">
        <f>IF(OR(COUNT(G373:J373)&lt;&gt;4,G373&lt;0,G373&gt;1,H373&gt;I373,I373&gt;J373),"n.a.",ROUND(G373*(H373+4*I373+J373)/6+0.00000001,2))</f>
        <v/>
      </c>
      <c r="L373" s="13" t="n">
        <v>0</v>
      </c>
      <c r="M373" s="14">
        <f>SUMIFS(Maßnahmen!$I$7:$I$126,Maßnahmen!$D$7:$D$126,C373,Maßnahmen!$H$7:$H$126,"&lt;&gt;verworfen")</f>
        <v/>
      </c>
      <c r="N373" s="14">
        <f>IF(ISNUMBER(K373),MAX(0,K373-L373-M373),"n.a.")</f>
        <v/>
      </c>
      <c r="O373" s="14" t="n">
        <v>199.07</v>
      </c>
      <c r="P373" s="14">
        <f>IF(ISNUMBER(K373),K373-O373,"n.a.")</f>
        <v/>
      </c>
    </row>
    <row r="374" ht="32" customHeight="1">
      <c r="C374" s="10" t="inlineStr">
        <is>
          <t>PRJ-4f8e93b8-RK-03</t>
        </is>
      </c>
      <c r="D374" s="10" t="inlineStr">
        <is>
          <t>P4102307443</t>
        </is>
      </c>
      <c r="E374" s="11" t="inlineStr">
        <is>
          <t>Entsorgungs-Mehrkosten / Entsorgungswege</t>
        </is>
      </c>
      <c r="F374" s="10" t="inlineStr">
        <is>
          <t>Entsorgung</t>
        </is>
      </c>
      <c r="G374" s="12" t="n">
        <v>0.528</v>
      </c>
      <c r="H374" s="13" t="n">
        <v>5882</v>
      </c>
      <c r="I374" s="13" t="n">
        <v>10854</v>
      </c>
      <c r="J374" s="13" t="n">
        <v>17856</v>
      </c>
      <c r="K374" s="14">
        <f>IF(OR(COUNT(G374:J374)&lt;&gt;4,G374&lt;0,G374&gt;1,H374&gt;I374,I374&gt;J374),"n.a.",ROUND(G374*(H374+4*I374+J374)/6+0.00000001,2))</f>
        <v/>
      </c>
      <c r="L374" s="13" t="n">
        <v>0</v>
      </c>
      <c r="M374" s="14">
        <f>SUMIFS(Maßnahmen!$I$7:$I$126,Maßnahmen!$D$7:$D$126,C374,Maßnahmen!$H$7:$H$126,"&lt;&gt;verworfen")</f>
        <v/>
      </c>
      <c r="N374" s="14">
        <f>IF(ISNUMBER(K374),MAX(0,K374-L374-M374),"n.a.")</f>
        <v/>
      </c>
      <c r="O374" s="14" t="n">
        <v>5909.55</v>
      </c>
      <c r="P374" s="14">
        <f>IF(ISNUMBER(K374),K374-O374,"n.a.")</f>
        <v/>
      </c>
    </row>
    <row r="375" ht="32" customHeight="1">
      <c r="C375" s="10" t="inlineStr">
        <is>
          <t>PRJ-4f8e93b8-RK-04</t>
        </is>
      </c>
      <c r="D375" s="10" t="inlineStr">
        <is>
          <t>P4102307443</t>
        </is>
      </c>
      <c r="E375" s="11" t="inlineStr">
        <is>
          <t>Baustofftrennung / Aufbereitung nicht wie geplant</t>
        </is>
      </c>
      <c r="F375" s="10" t="inlineStr">
        <is>
          <t>Entsorgung</t>
        </is>
      </c>
      <c r="G375" s="12" t="n">
        <v>0.08</v>
      </c>
      <c r="H375" s="13" t="n">
        <v>187</v>
      </c>
      <c r="I375" s="13" t="n">
        <v>373</v>
      </c>
      <c r="J375" s="13" t="n">
        <v>747</v>
      </c>
      <c r="K375" s="14">
        <f>IF(OR(COUNT(G375:J375)&lt;&gt;4,G375&lt;0,G375&gt;1,H375&gt;I375,I375&gt;J375),"n.a.",ROUND(G375*(H375+4*I375+J375)/6+0.00000001,2))</f>
        <v/>
      </c>
      <c r="L375" s="13" t="n">
        <v>0</v>
      </c>
      <c r="M375" s="14">
        <f>SUMIFS(Maßnahmen!$I$7:$I$126,Maßnahmen!$D$7:$D$126,C375,Maßnahmen!$H$7:$H$126,"&lt;&gt;verworfen")</f>
        <v/>
      </c>
      <c r="N375" s="14">
        <f>IF(ISNUMBER(K375),MAX(0,K375-L375-M375),"n.a.")</f>
        <v/>
      </c>
      <c r="O375" s="14" t="n">
        <v>32.35</v>
      </c>
      <c r="P375" s="14">
        <f>IF(ISNUMBER(K375),K375-O375,"n.a.")</f>
        <v/>
      </c>
    </row>
    <row r="376" ht="32" customHeight="1">
      <c r="C376" s="10" t="inlineStr">
        <is>
          <t>PRJ-4f8e93b8-RK-05</t>
        </is>
      </c>
      <c r="D376" s="10" t="inlineStr">
        <is>
          <t>P4102307443</t>
        </is>
      </c>
      <c r="E376" s="11" t="inlineStr">
        <is>
          <t>Unbekannte Bauwerkskonstruktion / fehlende Pläne</t>
        </is>
      </c>
      <c r="F376" s="10" t="inlineStr">
        <is>
          <t>Statik</t>
        </is>
      </c>
      <c r="G376" s="12" t="n">
        <v>0.12</v>
      </c>
      <c r="H376" s="13" t="n">
        <v>1493</v>
      </c>
      <c r="I376" s="13" t="n">
        <v>2986</v>
      </c>
      <c r="J376" s="13" t="n">
        <v>5599</v>
      </c>
      <c r="K376" s="14">
        <f>IF(OR(COUNT(G376:J376)&lt;&gt;4,G376&lt;0,G376&gt;1,H376&gt;I376,I376&gt;J376),"n.a.",ROUND(G376*(H376+4*I376+J376)/6+0.00000001,2))</f>
        <v/>
      </c>
      <c r="L376" s="13" t="n">
        <v>0</v>
      </c>
      <c r="M376" s="14">
        <f>SUMIFS(Maßnahmen!$I$7:$I$126,Maßnahmen!$D$7:$D$126,C376,Maßnahmen!$H$7:$H$126,"&lt;&gt;verworfen")</f>
        <v/>
      </c>
      <c r="N376" s="14">
        <f>IF(ISNUMBER(K376),MAX(0,K376-L376-M376),"n.a.")</f>
        <v/>
      </c>
      <c r="O376" s="14" t="n">
        <v>380.72</v>
      </c>
      <c r="P376" s="14">
        <f>IF(ISNUMBER(K376),K376-O376,"n.a.")</f>
        <v/>
      </c>
    </row>
    <row r="377" ht="32" customHeight="1">
      <c r="C377" s="10" t="inlineStr">
        <is>
          <t>PRJ-4f8e93b8-RK-06</t>
        </is>
      </c>
      <c r="D377" s="10" t="inlineStr">
        <is>
          <t>P4102307443</t>
        </is>
      </c>
      <c r="E377" s="11" t="inlineStr">
        <is>
          <t>Statik / Einsturzsicherung während Abbruch</t>
        </is>
      </c>
      <c r="F377" s="10" t="inlineStr">
        <is>
          <t>Statik</t>
        </is>
      </c>
      <c r="G377" s="12" t="n">
        <v>0.412</v>
      </c>
      <c r="H377" s="13" t="n">
        <v>4972</v>
      </c>
      <c r="I377" s="13" t="n">
        <v>9033</v>
      </c>
      <c r="J377" s="13" t="n">
        <v>15497</v>
      </c>
      <c r="K377" s="14">
        <f>IF(OR(COUNT(G377:J377)&lt;&gt;4,G377&lt;0,G377&gt;1,H377&gt;I377,I377&gt;J377),"n.a.",ROUND(G377*(H377+4*I377+J377)/6+0.00000001,2))</f>
        <v/>
      </c>
      <c r="L377" s="13" t="n">
        <v>0</v>
      </c>
      <c r="M377" s="14">
        <f>SUMIFS(Maßnahmen!$I$7:$I$126,Maßnahmen!$D$7:$D$126,C377,Maßnahmen!$H$7:$H$126,"&lt;&gt;verworfen")</f>
        <v/>
      </c>
      <c r="N377" s="14">
        <f>IF(ISNUMBER(K377),MAX(0,K377-L377-M377),"n.a.")</f>
        <v/>
      </c>
      <c r="O377" s="14" t="n">
        <v>3886.6</v>
      </c>
      <c r="P377" s="14">
        <f>IF(ISNUMBER(K377),K377-O377,"n.a.")</f>
        <v/>
      </c>
    </row>
    <row r="378" ht="32" customHeight="1">
      <c r="C378" s="10" t="inlineStr">
        <is>
          <t>PRJ-4f8e93b8-RK-07</t>
        </is>
      </c>
      <c r="D378" s="10" t="inlineStr">
        <is>
          <t>P4102307443</t>
        </is>
      </c>
      <c r="E378" s="11" t="inlineStr">
        <is>
          <t>Unterirdische Tragkonstruktion / Fundamente</t>
        </is>
      </c>
      <c r="F378" s="10" t="inlineStr">
        <is>
          <t>Statik</t>
        </is>
      </c>
      <c r="G378" s="12" t="n">
        <v>0.5</v>
      </c>
      <c r="H378" s="13" t="n">
        <v>1471</v>
      </c>
      <c r="I378" s="13" t="n">
        <v>2801</v>
      </c>
      <c r="J378" s="13" t="n">
        <v>5718</v>
      </c>
      <c r="K378" s="14">
        <f>IF(OR(COUNT(G378:J378)&lt;&gt;4,G378&lt;0,G378&gt;1,H378&gt;I378,I378&gt;J378),"n.a.",ROUND(G378*(H378+4*I378+J378)/6+0.00000001,2))</f>
        <v/>
      </c>
      <c r="L378" s="13" t="n">
        <v>0</v>
      </c>
      <c r="M378" s="14">
        <f>SUMIFS(Maßnahmen!$I$7:$I$126,Maßnahmen!$D$7:$D$126,C378,Maßnahmen!$H$7:$H$126,"&lt;&gt;verworfen")</f>
        <v/>
      </c>
      <c r="N378" s="14">
        <f>IF(ISNUMBER(K378),MAX(0,K378-L378-M378),"n.a.")</f>
        <v/>
      </c>
      <c r="O378" s="14" t="n">
        <v>1532.75</v>
      </c>
      <c r="P378" s="14">
        <f>IF(ISNUMBER(K378),K378-O378,"n.a.")</f>
        <v/>
      </c>
    </row>
    <row r="379" ht="32" customHeight="1">
      <c r="C379" s="10" t="inlineStr">
        <is>
          <t>PRJ-4f8e93b8-RK-08</t>
        </is>
      </c>
      <c r="D379" s="10" t="inlineStr">
        <is>
          <t>P4102307443</t>
        </is>
      </c>
      <c r="E379" s="11" t="inlineStr">
        <is>
          <t>Gebäudehöhe &gt;22 m / Longfront-Bagger (+130–150 %)</t>
        </is>
      </c>
      <c r="F379" s="10" t="inlineStr">
        <is>
          <t>Termin</t>
        </is>
      </c>
      <c r="G379" s="12" t="n">
        <v>0.6</v>
      </c>
      <c r="H379" s="13" t="n">
        <v>3360</v>
      </c>
      <c r="I379" s="13" t="n">
        <v>6719</v>
      </c>
      <c r="J379" s="13" t="n">
        <v>12692</v>
      </c>
      <c r="K379" s="14">
        <f>IF(OR(COUNT(G379:J379)&lt;&gt;4,G379&lt;0,G379&gt;1,H379&gt;I379,I379&gt;J379),"n.a.",ROUND(G379*(H379+4*I379+J379)/6+0.00000001,2))</f>
        <v/>
      </c>
      <c r="L379" s="13" t="n">
        <v>0</v>
      </c>
      <c r="M379" s="14">
        <f>SUMIFS(Maßnahmen!$I$7:$I$126,Maßnahmen!$D$7:$D$126,C379,Maßnahmen!$H$7:$H$126,"&lt;&gt;verworfen")</f>
        <v/>
      </c>
      <c r="N379" s="14">
        <f>IF(ISNUMBER(K379),MAX(0,K379-L379-M379),"n.a.")</f>
        <v/>
      </c>
      <c r="O379" s="14" t="n">
        <v>4292.8</v>
      </c>
      <c r="P379" s="14">
        <f>IF(ISNUMBER(K379),K379-O379,"n.a.")</f>
        <v/>
      </c>
    </row>
    <row r="380" ht="32" customHeight="1">
      <c r="C380" s="10" t="inlineStr">
        <is>
          <t>PRJ-4f8e93b8-RK-09</t>
        </is>
      </c>
      <c r="D380" s="10" t="inlineStr">
        <is>
          <t>P4102307443</t>
        </is>
      </c>
      <c r="E380" s="11" t="inlineStr">
        <is>
          <t>Beennte Lage / nur Handabbruch möglich</t>
        </is>
      </c>
      <c r="F380" s="10" t="inlineStr">
        <is>
          <t>Termin</t>
        </is>
      </c>
      <c r="G380" s="12" t="n">
        <v>0.15</v>
      </c>
      <c r="H380" s="13" t="n">
        <v>299</v>
      </c>
      <c r="I380" s="13" t="n">
        <v>747</v>
      </c>
      <c r="J380" s="13" t="n">
        <v>1866</v>
      </c>
      <c r="K380" s="14">
        <f>IF(OR(COUNT(G380:J380)&lt;&gt;4,G380&lt;0,G380&gt;1,H380&gt;I380,I380&gt;J380),"n.a.",ROUND(G380*(H380+4*I380+J380)/6+0.00000001,2))</f>
        <v/>
      </c>
      <c r="L380" s="13" t="n">
        <v>0</v>
      </c>
      <c r="M380" s="14">
        <f>SUMIFS(Maßnahmen!$I$7:$I$126,Maßnahmen!$D$7:$D$126,C380,Maßnahmen!$H$7:$H$126,"&lt;&gt;verworfen")</f>
        <v/>
      </c>
      <c r="N380" s="14">
        <f>IF(ISNUMBER(K380),MAX(0,K380-L380-M380),"n.a.")</f>
        <v/>
      </c>
      <c r="O380" s="14" t="n">
        <v>128.83</v>
      </c>
      <c r="P380" s="14">
        <f>IF(ISNUMBER(K380),K380-O380,"n.a.")</f>
        <v/>
      </c>
    </row>
    <row r="381" ht="32" customHeight="1">
      <c r="C381" s="10" t="inlineStr">
        <is>
          <t>PRJ-4f8e93b8-RK-10</t>
        </is>
      </c>
      <c r="D381" s="10" t="inlineStr">
        <is>
          <t>P4102307443</t>
        </is>
      </c>
      <c r="E381" s="11" t="inlineStr">
        <is>
          <t>Terminvorgabe Auftraggeber / Geräteauslastung</t>
        </is>
      </c>
      <c r="F381" s="10" t="inlineStr">
        <is>
          <t>Termin</t>
        </is>
      </c>
      <c r="G381" s="12" t="n">
        <v>0.08</v>
      </c>
      <c r="H381" s="13" t="n">
        <v>187</v>
      </c>
      <c r="I381" s="13" t="n">
        <v>373</v>
      </c>
      <c r="J381" s="13" t="n">
        <v>747</v>
      </c>
      <c r="K381" s="14">
        <f>IF(OR(COUNT(G381:J381)&lt;&gt;4,G381&lt;0,G381&gt;1,H381&gt;I381,I381&gt;J381),"n.a.",ROUND(G381*(H381+4*I381+J381)/6+0.00000001,2))</f>
        <v/>
      </c>
      <c r="L381" s="13" t="n">
        <v>0</v>
      </c>
      <c r="M381" s="14">
        <f>SUMIFS(Maßnahmen!$I$7:$I$126,Maßnahmen!$D$7:$D$126,C381,Maßnahmen!$H$7:$H$126,"&lt;&gt;verworfen")</f>
        <v/>
      </c>
      <c r="N381" s="14">
        <f>IF(ISNUMBER(K381),MAX(0,K381-L381-M381),"n.a.")</f>
        <v/>
      </c>
      <c r="O381" s="14" t="n">
        <v>32.35</v>
      </c>
      <c r="P381" s="14">
        <f>IF(ISNUMBER(K381),K381-O381,"n.a.")</f>
        <v/>
      </c>
    </row>
    <row r="382" ht="32" customHeight="1">
      <c r="C382" s="10" t="inlineStr">
        <is>
          <t>PRJ-4f8e93b8-RK-11</t>
        </is>
      </c>
      <c r="D382" s="10" t="inlineStr">
        <is>
          <t>P4102307443</t>
        </is>
      </c>
      <c r="E382" s="11" t="inlineStr">
        <is>
          <t>Witterung / Ablaufstörung</t>
        </is>
      </c>
      <c r="F382" s="10" t="inlineStr">
        <is>
          <t>Termin</t>
        </is>
      </c>
      <c r="G382" s="12" t="n">
        <v>0.25</v>
      </c>
      <c r="H382" s="13" t="n">
        <v>373</v>
      </c>
      <c r="I382" s="13" t="n">
        <v>1120</v>
      </c>
      <c r="J382" s="13" t="n">
        <v>2240</v>
      </c>
      <c r="K382" s="14">
        <f>IF(OR(COUNT(G382:J382)&lt;&gt;4,G382&lt;0,G382&gt;1,H382&gt;I382,I382&gt;J382),"n.a.",ROUND(G382*(H382+4*I382+J382)/6+0.00000001,2))</f>
        <v/>
      </c>
      <c r="L382" s="13" t="n">
        <v>0</v>
      </c>
      <c r="M382" s="14">
        <f>SUMIFS(Maßnahmen!$I$7:$I$126,Maßnahmen!$D$7:$D$126,C382,Maßnahmen!$H$7:$H$126,"&lt;&gt;verworfen")</f>
        <v/>
      </c>
      <c r="N382" s="14">
        <f>IF(ISNUMBER(K382),MAX(0,K382-L382-M382),"n.a.")</f>
        <v/>
      </c>
      <c r="O382" s="14" t="n">
        <v>295.54</v>
      </c>
      <c r="P382" s="14">
        <f>IF(ISNUMBER(K382),K382-O382,"n.a.")</f>
        <v/>
      </c>
    </row>
    <row r="383" ht="32" customHeight="1">
      <c r="C383" s="10" t="inlineStr">
        <is>
          <t>PRJ-4f8e93b8-RK-12</t>
        </is>
      </c>
      <c r="D383" s="10" t="inlineStr">
        <is>
          <t>P4102307443</t>
        </is>
      </c>
      <c r="E383" s="11" t="inlineStr">
        <is>
          <t>Staubemissionen (höchster Aufwand laut Umfrage)</t>
        </is>
      </c>
      <c r="F383" s="10" t="inlineStr">
        <is>
          <t>Emissionen</t>
        </is>
      </c>
      <c r="G383" s="12" t="n">
        <v>0.1</v>
      </c>
      <c r="H383" s="13" t="n">
        <v>1120</v>
      </c>
      <c r="I383" s="13" t="n">
        <v>2240</v>
      </c>
      <c r="J383" s="13" t="n">
        <v>4479</v>
      </c>
      <c r="K383" s="14">
        <f>IF(OR(COUNT(G383:J383)&lt;&gt;4,G383&lt;0,G383&gt;1,H383&gt;I383,I383&gt;J383),"n.a.",ROUND(G383*(H383+4*I383+J383)/6+0.00000001,2))</f>
        <v/>
      </c>
      <c r="L383" s="13" t="n">
        <v>0</v>
      </c>
      <c r="M383" s="14">
        <f>SUMIFS(Maßnahmen!$I$7:$I$126,Maßnahmen!$D$7:$D$126,C383,Maßnahmen!$H$7:$H$126,"&lt;&gt;verworfen")</f>
        <v/>
      </c>
      <c r="N383" s="14">
        <f>IF(ISNUMBER(K383),MAX(0,K383-L383-M383),"n.a.")</f>
        <v/>
      </c>
      <c r="O383" s="14" t="n">
        <v>242.65</v>
      </c>
      <c r="P383" s="14">
        <f>IF(ISNUMBER(K383),K383-O383,"n.a.")</f>
        <v/>
      </c>
    </row>
    <row r="384" ht="32" customHeight="1">
      <c r="C384" s="10" t="inlineStr">
        <is>
          <t>PRJ-4f8e93b8-RK-13</t>
        </is>
      </c>
      <c r="D384" s="10" t="inlineStr">
        <is>
          <t>P4102307443</t>
        </is>
      </c>
      <c r="E384" s="11" t="inlineStr">
        <is>
          <t>Lärm- und Erschütterungsauflagen</t>
        </is>
      </c>
      <c r="F384" s="10" t="inlineStr">
        <is>
          <t>Emissionen</t>
        </is>
      </c>
      <c r="G384" s="12" t="n">
        <v>0.2</v>
      </c>
      <c r="H384" s="13" t="n">
        <v>747</v>
      </c>
      <c r="I384" s="13" t="n">
        <v>1866</v>
      </c>
      <c r="J384" s="13" t="n">
        <v>3733</v>
      </c>
      <c r="K384" s="14">
        <f>IF(OR(COUNT(G384:J384)&lt;&gt;4,G384&lt;0,G384&gt;1,H384&gt;I384,I384&gt;J384),"n.a.",ROUND(G384*(H384+4*I384+J384)/6+0.00000001,2))</f>
        <v/>
      </c>
      <c r="L384" s="13" t="n">
        <v>0</v>
      </c>
      <c r="M384" s="14">
        <f>SUMIFS(Maßnahmen!$I$7:$I$126,Maßnahmen!$D$7:$D$126,C384,Maßnahmen!$H$7:$H$126,"&lt;&gt;verworfen")</f>
        <v/>
      </c>
      <c r="N384" s="14">
        <f>IF(ISNUMBER(K384),MAX(0,K384-L384-M384),"n.a.")</f>
        <v/>
      </c>
      <c r="O384" s="14" t="n">
        <v>398.13</v>
      </c>
      <c r="P384" s="14">
        <f>IF(ISNUMBER(K384),K384-O384,"n.a.")</f>
        <v/>
      </c>
    </row>
    <row r="385" ht="32" customHeight="1">
      <c r="C385" s="10" t="inlineStr">
        <is>
          <t>PRJ-4f8e93b8-RK-14</t>
        </is>
      </c>
      <c r="D385" s="10" t="inlineStr">
        <is>
          <t>P4102307443</t>
        </is>
      </c>
      <c r="E385" s="11" t="inlineStr">
        <is>
          <t>Rechtliche Auflagen / Entsorgungsnachweise (Formalismus)</t>
        </is>
      </c>
      <c r="F385" s="10" t="inlineStr">
        <is>
          <t>Genehmigung</t>
        </is>
      </c>
      <c r="G385" s="12" t="n">
        <v>0.4</v>
      </c>
      <c r="H385" s="13" t="n">
        <v>3546</v>
      </c>
      <c r="I385" s="13" t="n">
        <v>6906</v>
      </c>
      <c r="J385" s="13" t="n">
        <v>13065</v>
      </c>
      <c r="K385" s="14">
        <f>IF(OR(COUNT(G385:J385)&lt;&gt;4,G385&lt;0,G385&gt;1,H385&gt;I385,I385&gt;J385),"n.a.",ROUND(G385*(H385+4*I385+J385)/6+0.00000001,2))</f>
        <v/>
      </c>
      <c r="L385" s="13" t="n">
        <v>0</v>
      </c>
      <c r="M385" s="14">
        <f>SUMIFS(Maßnahmen!$I$7:$I$126,Maßnahmen!$D$7:$D$126,C385,Maßnahmen!$H$7:$H$126,"&lt;&gt;verworfen")</f>
        <v/>
      </c>
      <c r="N385" s="14">
        <f>IF(ISNUMBER(K385),MAX(0,K385-L385-M385),"n.a.")</f>
        <v/>
      </c>
      <c r="O385" s="14" t="n">
        <v>2949</v>
      </c>
      <c r="P385" s="14">
        <f>IF(ISNUMBER(K385),K385-O385,"n.a.")</f>
        <v/>
      </c>
    </row>
    <row r="386" ht="32" customHeight="1">
      <c r="C386" s="10" t="inlineStr">
        <is>
          <t>PRJ-4f8e93b8-RK-15</t>
        </is>
      </c>
      <c r="D386" s="10" t="inlineStr">
        <is>
          <t>P4102307443</t>
        </is>
      </c>
      <c r="E386" s="11" t="inlineStr">
        <is>
          <t>Konjunktur / Sekundärstoffpreise &amp; Gerätemiete</t>
        </is>
      </c>
      <c r="F386" s="10" t="inlineStr">
        <is>
          <t>Markt</t>
        </is>
      </c>
      <c r="G386" s="12" t="n">
        <v>0.12</v>
      </c>
      <c r="H386" s="13" t="n">
        <v>299</v>
      </c>
      <c r="I386" s="13" t="n">
        <v>747</v>
      </c>
      <c r="J386" s="13" t="n">
        <v>1866</v>
      </c>
      <c r="K386" s="14">
        <f>IF(OR(COUNT(G386:J386)&lt;&gt;4,G386&lt;0,G386&gt;1,H386&gt;I386,I386&gt;J386),"n.a.",ROUND(G386*(H386+4*I386+J386)/6+0.00000001,2))</f>
        <v/>
      </c>
      <c r="L386" s="13" t="n">
        <v>0</v>
      </c>
      <c r="M386" s="14">
        <f>SUMIFS(Maßnahmen!$I$7:$I$126,Maßnahmen!$D$7:$D$126,C386,Maßnahmen!$H$7:$H$126,"&lt;&gt;verworfen")</f>
        <v/>
      </c>
      <c r="N386" s="14">
        <f>IF(ISNUMBER(K386),MAX(0,K386-L386-M386),"n.a.")</f>
        <v/>
      </c>
      <c r="O386" s="14" t="n">
        <v>103.06</v>
      </c>
      <c r="P386" s="14">
        <f>IF(ISNUMBER(K386),K386-O386,"n.a.")</f>
        <v/>
      </c>
    </row>
    <row r="387" ht="32" customHeight="1">
      <c r="C387" s="10" t="inlineStr">
        <is>
          <t>PRJ-4a29275d-RK-03</t>
        </is>
      </c>
      <c r="D387" s="10" t="inlineStr">
        <is>
          <t>P4102658250</t>
        </is>
      </c>
      <c r="E387" s="11" t="inlineStr">
        <is>
          <t>Entsorgungs-Mehrkosten / Entsorgungswege</t>
        </is>
      </c>
      <c r="F387" s="10" t="inlineStr">
        <is>
          <t>Entsorgung</t>
        </is>
      </c>
      <c r="G387" s="12" t="n">
        <v>0.55</v>
      </c>
      <c r="H387" s="13" t="n">
        <v>220</v>
      </c>
      <c r="I387" s="13" t="n">
        <v>400</v>
      </c>
      <c r="J387" s="13" t="n">
        <v>649</v>
      </c>
      <c r="K387" s="14">
        <f>IF(OR(COUNT(G387:J387)&lt;&gt;4,G387&lt;0,G387&gt;1,H387&gt;I387,I387&gt;J387),"n.a.",ROUND(G387*(H387+4*I387+J387)/6+0.00000001,2))</f>
        <v/>
      </c>
      <c r="L387" s="13" t="n">
        <v>0</v>
      </c>
      <c r="M387" s="14">
        <f>SUMIFS(Maßnahmen!$I$7:$I$126,Maßnahmen!$D$7:$D$126,C387,Maßnahmen!$H$7:$H$126,"&lt;&gt;verworfen")</f>
        <v/>
      </c>
      <c r="N387" s="14">
        <f>IF(ISNUMBER(K387),MAX(0,K387-L387-M387),"n.a.")</f>
        <v/>
      </c>
      <c r="O387" s="14" t="n">
        <v>226.33</v>
      </c>
      <c r="P387" s="14">
        <f>IF(ISNUMBER(K387),K387-O387,"n.a.")</f>
        <v/>
      </c>
    </row>
    <row r="388" ht="32" customHeight="1">
      <c r="C388" s="10" t="inlineStr">
        <is>
          <t>PRJ-4a29275d-RK-04</t>
        </is>
      </c>
      <c r="D388" s="10" t="inlineStr">
        <is>
          <t>P4102658250</t>
        </is>
      </c>
      <c r="E388" s="11" t="inlineStr">
        <is>
          <t>Baustofftrennung / Aufbereitung nicht wie geplant</t>
        </is>
      </c>
      <c r="F388" s="10" t="inlineStr">
        <is>
          <t>Entsorgung</t>
        </is>
      </c>
      <c r="G388" s="12" t="n">
        <v>0.1</v>
      </c>
      <c r="H388" s="13" t="n">
        <v>20</v>
      </c>
      <c r="I388" s="13" t="n">
        <v>50</v>
      </c>
      <c r="J388" s="13" t="n">
        <v>100</v>
      </c>
      <c r="K388" s="14">
        <f>IF(OR(COUNT(G388:J388)&lt;&gt;4,G388&lt;0,G388&gt;1,H388&gt;I388,I388&gt;J388),"n.a.",ROUND(G388*(H388+4*I388+J388)/6+0.00000001,2))</f>
        <v/>
      </c>
      <c r="L388" s="13" t="n">
        <v>0</v>
      </c>
      <c r="M388" s="14">
        <f>SUMIFS(Maßnahmen!$I$7:$I$126,Maßnahmen!$D$7:$D$126,C388,Maßnahmen!$H$7:$H$126,"&lt;&gt;verworfen")</f>
        <v/>
      </c>
      <c r="N388" s="14">
        <f>IF(ISNUMBER(K388),MAX(0,K388-L388-M388),"n.a.")</f>
        <v/>
      </c>
      <c r="O388" s="14" t="n">
        <v>5.33</v>
      </c>
      <c r="P388" s="14">
        <f>IF(ISNUMBER(K388),K388-O388,"n.a.")</f>
        <v/>
      </c>
    </row>
    <row r="389" ht="32" customHeight="1">
      <c r="C389" s="10" t="inlineStr">
        <is>
          <t>PRJ-4a29275d-RK-05</t>
        </is>
      </c>
      <c r="D389" s="10" t="inlineStr">
        <is>
          <t>P4102658250</t>
        </is>
      </c>
      <c r="E389" s="11" t="inlineStr">
        <is>
          <t>Unbekannte Bauwerkskonstruktion / fehlende Pläne</t>
        </is>
      </c>
      <c r="F389" s="10" t="inlineStr">
        <is>
          <t>Statik</t>
        </is>
      </c>
      <c r="G389" s="12" t="n">
        <v>0.12</v>
      </c>
      <c r="H389" s="13" t="n">
        <v>40</v>
      </c>
      <c r="I389" s="13" t="n">
        <v>80</v>
      </c>
      <c r="J389" s="13" t="n">
        <v>150</v>
      </c>
      <c r="K389" s="14">
        <f>IF(OR(COUNT(G389:J389)&lt;&gt;4,G389&lt;0,G389&gt;1,H389&gt;I389,I389&gt;J389),"n.a.",ROUND(G389*(H389+4*I389+J389)/6+0.00000001,2))</f>
        <v/>
      </c>
      <c r="L389" s="13" t="n">
        <v>0</v>
      </c>
      <c r="M389" s="14">
        <f>SUMIFS(Maßnahmen!$I$7:$I$126,Maßnahmen!$D$7:$D$126,C389,Maßnahmen!$H$7:$H$126,"&lt;&gt;verworfen")</f>
        <v/>
      </c>
      <c r="N389" s="14">
        <f>IF(ISNUMBER(K389),MAX(0,K389-L389-M389),"n.a.")</f>
        <v/>
      </c>
      <c r="O389" s="14" t="n">
        <v>10.2</v>
      </c>
      <c r="P389" s="14">
        <f>IF(ISNUMBER(K389),K389-O389,"n.a.")</f>
        <v/>
      </c>
    </row>
    <row r="390" ht="32" customHeight="1">
      <c r="C390" s="10" t="inlineStr">
        <is>
          <t>PRJ-4a29275d-RK-06</t>
        </is>
      </c>
      <c r="D390" s="10" t="inlineStr">
        <is>
          <t>P4102658250</t>
        </is>
      </c>
      <c r="E390" s="11" t="inlineStr">
        <is>
          <t>Statik / Einsturzsicherung während Abbruch</t>
        </is>
      </c>
      <c r="F390" s="10" t="inlineStr">
        <is>
          <t>Statik</t>
        </is>
      </c>
      <c r="G390" s="12" t="n">
        <v>0.37</v>
      </c>
      <c r="H390" s="13" t="n">
        <v>180</v>
      </c>
      <c r="I390" s="13" t="n">
        <v>320</v>
      </c>
      <c r="J390" s="13" t="n">
        <v>540</v>
      </c>
      <c r="K390" s="14">
        <f>IF(OR(COUNT(G390:J390)&lt;&gt;4,G390&lt;0,G390&gt;1,H390&gt;I390,I390&gt;J390),"n.a.",ROUND(G390*(H390+4*I390+J390)/6+0.00000001,2))</f>
        <v/>
      </c>
      <c r="L390" s="13" t="n">
        <v>0</v>
      </c>
      <c r="M390" s="14">
        <f>SUMIFS(Maßnahmen!$I$7:$I$126,Maßnahmen!$D$7:$D$126,C390,Maßnahmen!$H$7:$H$126,"&lt;&gt;verworfen")</f>
        <v/>
      </c>
      <c r="N390" s="14">
        <f>IF(ISNUMBER(K390),MAX(0,K390-L390-M390),"n.a.")</f>
        <v/>
      </c>
      <c r="O390" s="14" t="n">
        <v>123.33</v>
      </c>
      <c r="P390" s="14">
        <f>IF(ISNUMBER(K390),K390-O390,"n.a.")</f>
        <v/>
      </c>
    </row>
    <row r="391" ht="32" customHeight="1">
      <c r="C391" s="10" t="inlineStr">
        <is>
          <t>PRJ-4a29275d-RK-07</t>
        </is>
      </c>
      <c r="D391" s="10" t="inlineStr">
        <is>
          <t>P4102658250</t>
        </is>
      </c>
      <c r="E391" s="11" t="inlineStr">
        <is>
          <t>Unterirdische Tragkonstruktion / Fundamente</t>
        </is>
      </c>
      <c r="F391" s="10" t="inlineStr">
        <is>
          <t>Statik</t>
        </is>
      </c>
      <c r="G391" s="12" t="n">
        <v>0.3</v>
      </c>
      <c r="H391" s="13" t="n">
        <v>55</v>
      </c>
      <c r="I391" s="13" t="n">
        <v>100</v>
      </c>
      <c r="J391" s="13" t="n">
        <v>200</v>
      </c>
      <c r="K391" s="14">
        <f>IF(OR(COUNT(G391:J391)&lt;&gt;4,G391&lt;0,G391&gt;1,H391&gt;I391,I391&gt;J391),"n.a.",ROUND(G391*(H391+4*I391+J391)/6+0.00000001,2))</f>
        <v/>
      </c>
      <c r="L391" s="13" t="n">
        <v>0</v>
      </c>
      <c r="M391" s="14">
        <f>SUMIFS(Maßnahmen!$I$7:$I$126,Maßnahmen!$D$7:$D$126,C391,Maßnahmen!$H$7:$H$126,"&lt;&gt;verworfen")</f>
        <v/>
      </c>
      <c r="N391" s="14">
        <f>IF(ISNUMBER(K391),MAX(0,K391-L391-M391),"n.a.")</f>
        <v/>
      </c>
      <c r="O391" s="14" t="n">
        <v>32.75</v>
      </c>
      <c r="P391" s="14">
        <f>IF(ISNUMBER(K391),K391-O391,"n.a.")</f>
        <v/>
      </c>
    </row>
    <row r="392" ht="32" customHeight="1">
      <c r="C392" s="10" t="inlineStr">
        <is>
          <t>PRJ-4a29275d-RK-08</t>
        </is>
      </c>
      <c r="D392" s="10" t="inlineStr">
        <is>
          <t>P4102658250</t>
        </is>
      </c>
      <c r="E392" s="11" t="inlineStr">
        <is>
          <t>Gebäudehöhe &gt;22 m / Longfront-Bagger (+130–150 %)</t>
        </is>
      </c>
      <c r="F392" s="10" t="inlineStr">
        <is>
          <t>Termin</t>
        </is>
      </c>
      <c r="G392" s="12" t="n">
        <v>0.472</v>
      </c>
      <c r="H392" s="13" t="n">
        <v>64</v>
      </c>
      <c r="I392" s="13" t="n">
        <v>132</v>
      </c>
      <c r="J392" s="13" t="n">
        <v>250</v>
      </c>
      <c r="K392" s="14">
        <f>IF(OR(COUNT(G392:J392)&lt;&gt;4,G392&lt;0,G392&gt;1,H392&gt;I392,I392&gt;J392),"n.a.",ROUND(G392*(H392+4*I392+J392)/6+0.00000001,2))</f>
        <v/>
      </c>
      <c r="L392" s="13" t="n">
        <v>0</v>
      </c>
      <c r="M392" s="14">
        <f>SUMIFS(Maßnahmen!$I$7:$I$126,Maßnahmen!$D$7:$D$126,C392,Maßnahmen!$H$7:$H$126,"&lt;&gt;verworfen")</f>
        <v/>
      </c>
      <c r="N392" s="14">
        <f>IF(ISNUMBER(K392),MAX(0,K392-L392-M392),"n.a.")</f>
        <v/>
      </c>
      <c r="O392" s="14" t="n">
        <v>66.23999999999999</v>
      </c>
      <c r="P392" s="14">
        <f>IF(ISNUMBER(K392),K392-O392,"n.a.")</f>
        <v/>
      </c>
    </row>
    <row r="393" ht="32" customHeight="1">
      <c r="C393" s="10" t="inlineStr">
        <is>
          <t>PRJ-4a29275d-RK-09</t>
        </is>
      </c>
      <c r="D393" s="10" t="inlineStr">
        <is>
          <t>P4102658250</t>
        </is>
      </c>
      <c r="E393" s="11" t="inlineStr">
        <is>
          <t>Beennte Lage / nur Handabbruch möglich</t>
        </is>
      </c>
      <c r="F393" s="10" t="inlineStr">
        <is>
          <t>Termin</t>
        </is>
      </c>
      <c r="G393" s="12" t="n">
        <v>0.15</v>
      </c>
      <c r="H393" s="13" t="n">
        <v>8</v>
      </c>
      <c r="I393" s="13" t="n">
        <v>20</v>
      </c>
      <c r="J393" s="13" t="n">
        <v>50</v>
      </c>
      <c r="K393" s="14">
        <f>IF(OR(COUNT(G393:J393)&lt;&gt;4,G393&lt;0,G393&gt;1,H393&gt;I393,I393&gt;J393),"n.a.",ROUND(G393*(H393+4*I393+J393)/6+0.00000001,2))</f>
        <v/>
      </c>
      <c r="L393" s="13" t="n">
        <v>0</v>
      </c>
      <c r="M393" s="14">
        <f>SUMIFS(Maßnahmen!$I$7:$I$126,Maßnahmen!$D$7:$D$126,C393,Maßnahmen!$H$7:$H$126,"&lt;&gt;verworfen")</f>
        <v/>
      </c>
      <c r="N393" s="14">
        <f>IF(ISNUMBER(K393),MAX(0,K393-L393-M393),"n.a.")</f>
        <v/>
      </c>
      <c r="O393" s="14" t="n">
        <v>3.45</v>
      </c>
      <c r="P393" s="14">
        <f>IF(ISNUMBER(K393),K393-O393,"n.a.")</f>
        <v/>
      </c>
    </row>
    <row r="394" ht="32" customHeight="1">
      <c r="C394" s="10" t="inlineStr">
        <is>
          <t>PRJ-4a29275d-RK-10</t>
        </is>
      </c>
      <c r="D394" s="10" t="inlineStr">
        <is>
          <t>P4102658250</t>
        </is>
      </c>
      <c r="E394" s="11" t="inlineStr">
        <is>
          <t>Terminvorgabe Auftraggeber / Geräteauslastung</t>
        </is>
      </c>
      <c r="F394" s="10" t="inlineStr">
        <is>
          <t>Termin</t>
        </is>
      </c>
      <c r="G394" s="12" t="n">
        <v>0.2</v>
      </c>
      <c r="H394" s="13" t="n">
        <v>8</v>
      </c>
      <c r="I394" s="13" t="n">
        <v>20</v>
      </c>
      <c r="J394" s="13" t="n">
        <v>50</v>
      </c>
      <c r="K394" s="14">
        <f>IF(OR(COUNT(G394:J394)&lt;&gt;4,G394&lt;0,G394&gt;1,H394&gt;I394,I394&gt;J394),"n.a.",ROUND(G394*(H394+4*I394+J394)/6+0.00000001,2))</f>
        <v/>
      </c>
      <c r="L394" s="13" t="n">
        <v>0</v>
      </c>
      <c r="M394" s="14">
        <f>SUMIFS(Maßnahmen!$I$7:$I$126,Maßnahmen!$D$7:$D$126,C394,Maßnahmen!$H$7:$H$126,"&lt;&gt;verworfen")</f>
        <v/>
      </c>
      <c r="N394" s="14">
        <f>IF(ISNUMBER(K394),MAX(0,K394-L394-M394),"n.a.")</f>
        <v/>
      </c>
      <c r="O394" s="14" t="n">
        <v>4.6</v>
      </c>
      <c r="P394" s="14">
        <f>IF(ISNUMBER(K394),K394-O394,"n.a.")</f>
        <v/>
      </c>
    </row>
    <row r="395" ht="32" customHeight="1">
      <c r="C395" s="10" t="inlineStr">
        <is>
          <t>PRJ-4a29275d-RK-11</t>
        </is>
      </c>
      <c r="D395" s="10" t="inlineStr">
        <is>
          <t>P4102658250</t>
        </is>
      </c>
      <c r="E395" s="11" t="inlineStr">
        <is>
          <t>Witterung / Ablaufstörung</t>
        </is>
      </c>
      <c r="F395" s="10" t="inlineStr">
        <is>
          <t>Termin</t>
        </is>
      </c>
      <c r="G395" s="12" t="n">
        <v>0.25</v>
      </c>
      <c r="H395" s="13" t="n">
        <v>10</v>
      </c>
      <c r="I395" s="13" t="n">
        <v>30</v>
      </c>
      <c r="J395" s="13" t="n">
        <v>60</v>
      </c>
      <c r="K395" s="14">
        <f>IF(OR(COUNT(G395:J395)&lt;&gt;4,G395&lt;0,G395&gt;1,H395&gt;I395,I395&gt;J395),"n.a.",ROUND(G395*(H395+4*I395+J395)/6+0.00000001,2))</f>
        <v/>
      </c>
      <c r="L395" s="13" t="n">
        <v>0</v>
      </c>
      <c r="M395" s="14">
        <f>SUMIFS(Maßnahmen!$I$7:$I$126,Maßnahmen!$D$7:$D$126,C395,Maßnahmen!$H$7:$H$126,"&lt;&gt;verworfen")</f>
        <v/>
      </c>
      <c r="N395" s="14">
        <f>IF(ISNUMBER(K395),MAX(0,K395-L395-M395),"n.a.")</f>
        <v/>
      </c>
      <c r="O395" s="14" t="n">
        <v>7.92</v>
      </c>
      <c r="P395" s="14">
        <f>IF(ISNUMBER(K395),K395-O395,"n.a.")</f>
        <v/>
      </c>
    </row>
    <row r="396" ht="32" customHeight="1">
      <c r="C396" s="10" t="inlineStr">
        <is>
          <t>PRJ-4a29275d-RK-12</t>
        </is>
      </c>
      <c r="D396" s="10" t="inlineStr">
        <is>
          <t>P4102658250</t>
        </is>
      </c>
      <c r="E396" s="11" t="inlineStr">
        <is>
          <t>Staubemissionen (höchster Aufwand laut Umfrage)</t>
        </is>
      </c>
      <c r="F396" s="10" t="inlineStr">
        <is>
          <t>Emissionen</t>
        </is>
      </c>
      <c r="G396" s="12" t="n">
        <v>0.106</v>
      </c>
      <c r="H396" s="13" t="n">
        <v>37</v>
      </c>
      <c r="I396" s="13" t="n">
        <v>68</v>
      </c>
      <c r="J396" s="13" t="n">
        <v>134</v>
      </c>
      <c r="K396" s="14">
        <f>IF(OR(COUNT(G396:J396)&lt;&gt;4,G396&lt;0,G396&gt;1,H396&gt;I396,I396&gt;J396),"n.a.",ROUND(G396*(H396+4*I396+J396)/6+0.00000001,2))</f>
        <v/>
      </c>
      <c r="L396" s="13" t="n">
        <v>0</v>
      </c>
      <c r="M396" s="14">
        <f>SUMIFS(Maßnahmen!$I$7:$I$126,Maßnahmen!$D$7:$D$126,C396,Maßnahmen!$H$7:$H$126,"&lt;&gt;verworfen")</f>
        <v/>
      </c>
      <c r="N396" s="14">
        <f>IF(ISNUMBER(K396),MAX(0,K396-L396-M396),"n.a.")</f>
        <v/>
      </c>
      <c r="O396" s="14" t="n">
        <v>7.83</v>
      </c>
      <c r="P396" s="14">
        <f>IF(ISNUMBER(K396),K396-O396,"n.a.")</f>
        <v/>
      </c>
    </row>
    <row r="397" ht="32" customHeight="1">
      <c r="C397" s="10" t="inlineStr">
        <is>
          <t>PRJ-4a29275d-RK-14</t>
        </is>
      </c>
      <c r="D397" s="10" t="inlineStr">
        <is>
          <t>P4102658250</t>
        </is>
      </c>
      <c r="E397" s="11" t="inlineStr">
        <is>
          <t>Rechtliche Auflagen / Entsorgungsnachweise (Formalismus)</t>
        </is>
      </c>
      <c r="F397" s="10" t="inlineStr">
        <is>
          <t>Genehmigung</t>
        </is>
      </c>
      <c r="G397" s="12" t="n">
        <v>0.358</v>
      </c>
      <c r="H397" s="13" t="n">
        <v>69</v>
      </c>
      <c r="I397" s="13" t="n">
        <v>137</v>
      </c>
      <c r="J397" s="13" t="n">
        <v>260</v>
      </c>
      <c r="K397" s="14">
        <f>IF(OR(COUNT(G397:J397)&lt;&gt;4,G397&lt;0,G397&gt;1,H397&gt;I397,I397&gt;J397),"n.a.",ROUND(G397*(H397+4*I397+J397)/6+0.00000001,2))</f>
        <v/>
      </c>
      <c r="L397" s="13" t="n">
        <v>0</v>
      </c>
      <c r="M397" s="14">
        <f>SUMIFS(Maßnahmen!$I$7:$I$126,Maßnahmen!$D$7:$D$126,C397,Maßnahmen!$H$7:$H$126,"&lt;&gt;verworfen")</f>
        <v/>
      </c>
      <c r="N397" s="14">
        <f>IF(ISNUMBER(K397),MAX(0,K397-L397-M397),"n.a.")</f>
        <v/>
      </c>
      <c r="O397" s="14" t="n">
        <v>52.33</v>
      </c>
      <c r="P397" s="14">
        <f>IF(ISNUMBER(K397),K397-O397,"n.a.")</f>
        <v/>
      </c>
    </row>
    <row r="398" ht="32" customHeight="1">
      <c r="C398" s="10" t="inlineStr">
        <is>
          <t>PRJ-52b1cf35-RK-01</t>
        </is>
      </c>
      <c r="D398" s="10" t="inlineStr">
        <is>
          <t>P4102157461</t>
        </is>
      </c>
      <c r="E398" s="11" t="inlineStr">
        <is>
          <t>Schadstofffund / Schadstoffsanierung (Asbest, PAK, PCB, PCP)</t>
        </is>
      </c>
      <c r="F398" s="10" t="inlineStr">
        <is>
          <t>Schadstoffe</t>
        </is>
      </c>
      <c r="G398" s="12" t="n">
        <v>0.1</v>
      </c>
      <c r="H398" s="13" t="n">
        <v>453</v>
      </c>
      <c r="I398" s="13" t="n">
        <v>1133</v>
      </c>
      <c r="J398" s="13" t="n">
        <v>2265</v>
      </c>
      <c r="K398" s="14">
        <f>IF(OR(COUNT(G398:J398)&lt;&gt;4,G398&lt;0,G398&gt;1,H398&gt;I398,I398&gt;J398),"n.a.",ROUND(G398*(H398+4*I398+J398)/6+0.00000001,2))</f>
        <v/>
      </c>
      <c r="L398" s="13" t="n">
        <v>0</v>
      </c>
      <c r="M398" s="14">
        <f>SUMIFS(Maßnahmen!$I$7:$I$126,Maßnahmen!$D$7:$D$126,C398,Maßnahmen!$H$7:$H$126,"&lt;&gt;verworfen")</f>
        <v/>
      </c>
      <c r="N398" s="14">
        <f>IF(ISNUMBER(K398),MAX(0,K398-L398-M398),"n.a.")</f>
        <v/>
      </c>
      <c r="O398" s="14" t="n">
        <v>120.83</v>
      </c>
      <c r="P398" s="14">
        <f>IF(ISNUMBER(K398),K398-O398,"n.a.")</f>
        <v/>
      </c>
    </row>
    <row r="399" ht="32" customHeight="1">
      <c r="C399" s="10" t="inlineStr">
        <is>
          <t>PRJ-52b1cf35-RK-02</t>
        </is>
      </c>
      <c r="D399" s="10" t="inlineStr">
        <is>
          <t>P4102157461</t>
        </is>
      </c>
      <c r="E399" s="11" t="inlineStr">
        <is>
          <t>Arbeitsschutz kontaminierte Bereiche (TRGS 524)</t>
        </is>
      </c>
      <c r="F399" s="10" t="inlineStr">
        <is>
          <t>Schadstoffe</t>
        </is>
      </c>
      <c r="G399" s="12" t="n">
        <v>0.1</v>
      </c>
      <c r="H399" s="13" t="n">
        <v>113</v>
      </c>
      <c r="I399" s="13" t="n">
        <v>227</v>
      </c>
      <c r="J399" s="13" t="n">
        <v>453</v>
      </c>
      <c r="K399" s="14">
        <f>IF(OR(COUNT(G399:J399)&lt;&gt;4,G399&lt;0,G399&gt;1,H399&gt;I399,I399&gt;J399),"n.a.",ROUND(G399*(H399+4*I399+J399)/6+0.00000001,2))</f>
        <v/>
      </c>
      <c r="L399" s="13" t="n">
        <v>0</v>
      </c>
      <c r="M399" s="14">
        <f>SUMIFS(Maßnahmen!$I$7:$I$126,Maßnahmen!$D$7:$D$126,C399,Maßnahmen!$H$7:$H$126,"&lt;&gt;verworfen")</f>
        <v/>
      </c>
      <c r="N399" s="14">
        <f>IF(ISNUMBER(K399),MAX(0,K399-L399-M399),"n.a.")</f>
        <v/>
      </c>
      <c r="O399" s="14" t="n">
        <v>24.57</v>
      </c>
      <c r="P399" s="14">
        <f>IF(ISNUMBER(K399),K399-O399,"n.a.")</f>
        <v/>
      </c>
    </row>
    <row r="400" ht="32" customHeight="1">
      <c r="C400" s="10" t="inlineStr">
        <is>
          <t>PRJ-52b1cf35-RK-03</t>
        </is>
      </c>
      <c r="D400" s="10" t="inlineStr">
        <is>
          <t>P4102157461</t>
        </is>
      </c>
      <c r="E400" s="11" t="inlineStr">
        <is>
          <t>Entsorgungs-Mehrkosten / Entsorgungswege</t>
        </is>
      </c>
      <c r="F400" s="10" t="inlineStr">
        <is>
          <t>Entsorgung</t>
        </is>
      </c>
      <c r="G400" s="12" t="n">
        <v>0.326</v>
      </c>
      <c r="H400" s="13" t="n">
        <v>1907</v>
      </c>
      <c r="I400" s="13" t="n">
        <v>3676</v>
      </c>
      <c r="J400" s="13" t="n">
        <v>6263</v>
      </c>
      <c r="K400" s="14">
        <f>IF(OR(COUNT(G400:J400)&lt;&gt;4,G400&lt;0,G400&gt;1,H400&gt;I400,I400&gt;J400),"n.a.",ROUND(G400*(H400+4*I400+J400)/6+0.00000001,2))</f>
        <v/>
      </c>
      <c r="L400" s="13" t="n">
        <v>0</v>
      </c>
      <c r="M400" s="14">
        <f>SUMIFS(Maßnahmen!$I$7:$I$126,Maßnahmen!$D$7:$D$126,C400,Maßnahmen!$H$7:$H$126,"&lt;&gt;verworfen")</f>
        <v/>
      </c>
      <c r="N400" s="14">
        <f>IF(ISNUMBER(K400),MAX(0,K400-L400-M400),"n.a.")</f>
        <v/>
      </c>
      <c r="O400" s="14" t="n">
        <v>1242.82</v>
      </c>
      <c r="P400" s="14">
        <f>IF(ISNUMBER(K400),K400-O400,"n.a.")</f>
        <v/>
      </c>
    </row>
    <row r="401" ht="32" customHeight="1">
      <c r="C401" s="10" t="inlineStr">
        <is>
          <t>PRJ-52b1cf35-RK-04</t>
        </is>
      </c>
      <c r="D401" s="10" t="inlineStr">
        <is>
          <t>P4102157461</t>
        </is>
      </c>
      <c r="E401" s="11" t="inlineStr">
        <is>
          <t>Baustofftrennung / Aufbereitung nicht wie geplant</t>
        </is>
      </c>
      <c r="F401" s="10" t="inlineStr">
        <is>
          <t>Entsorgung</t>
        </is>
      </c>
      <c r="G401" s="12" t="n">
        <v>0.08</v>
      </c>
      <c r="H401" s="13" t="n">
        <v>113</v>
      </c>
      <c r="I401" s="13" t="n">
        <v>227</v>
      </c>
      <c r="J401" s="13" t="n">
        <v>453</v>
      </c>
      <c r="K401" s="14">
        <f>IF(OR(COUNT(G401:J401)&lt;&gt;4,G401&lt;0,G401&gt;1,H401&gt;I401,I401&gt;J401),"n.a.",ROUND(G401*(H401+4*I401+J401)/6+0.00000001,2))</f>
        <v/>
      </c>
      <c r="L401" s="13" t="n">
        <v>0</v>
      </c>
      <c r="M401" s="14">
        <f>SUMIFS(Maßnahmen!$I$7:$I$126,Maßnahmen!$D$7:$D$126,C401,Maßnahmen!$H$7:$H$126,"&lt;&gt;verworfen")</f>
        <v/>
      </c>
      <c r="N401" s="14">
        <f>IF(ISNUMBER(K401),MAX(0,K401-L401-M401),"n.a.")</f>
        <v/>
      </c>
      <c r="O401" s="14" t="n">
        <v>19.65</v>
      </c>
      <c r="P401" s="14">
        <f>IF(ISNUMBER(K401),K401-O401,"n.a.")</f>
        <v/>
      </c>
    </row>
    <row r="402" ht="32" customHeight="1">
      <c r="C402" s="10" t="inlineStr">
        <is>
          <t>PRJ-52b1cf35-RK-05</t>
        </is>
      </c>
      <c r="D402" s="10" t="inlineStr">
        <is>
          <t>P4102157461</t>
        </is>
      </c>
      <c r="E402" s="11" t="inlineStr">
        <is>
          <t>Unbekannte Bauwerkskonstruktion / fehlende Pläne</t>
        </is>
      </c>
      <c r="F402" s="10" t="inlineStr">
        <is>
          <t>Statik</t>
        </is>
      </c>
      <c r="G402" s="12" t="n">
        <v>0.27</v>
      </c>
      <c r="H402" s="13" t="n">
        <v>1935</v>
      </c>
      <c r="I402" s="13" t="n">
        <v>3527</v>
      </c>
      <c r="J402" s="13" t="n">
        <v>6142</v>
      </c>
      <c r="K402" s="14">
        <f>IF(OR(COUNT(G402:J402)&lt;&gt;4,G402&lt;0,G402&gt;1,H402&gt;I402,I402&gt;J402),"n.a.",ROUND(G402*(H402+4*I402+J402)/6+0.00000001,2))</f>
        <v/>
      </c>
      <c r="L402" s="13" t="n">
        <v>0</v>
      </c>
      <c r="M402" s="14">
        <f>SUMIFS(Maßnahmen!$I$7:$I$126,Maßnahmen!$D$7:$D$126,C402,Maßnahmen!$H$7:$H$126,"&lt;&gt;verworfen")</f>
        <v/>
      </c>
      <c r="N402" s="14">
        <f>IF(ISNUMBER(K402),MAX(0,K402-L402-M402),"n.a.")</f>
        <v/>
      </c>
      <c r="O402" s="14" t="n">
        <v>998.33</v>
      </c>
      <c r="P402" s="14">
        <f>IF(ISNUMBER(K402),K402-O402,"n.a.")</f>
        <v/>
      </c>
    </row>
    <row r="403" ht="32" customHeight="1">
      <c r="C403" s="10" t="inlineStr">
        <is>
          <t>PRJ-52b1cf35-RK-06</t>
        </is>
      </c>
      <c r="D403" s="10" t="inlineStr">
        <is>
          <t>P4102157461</t>
        </is>
      </c>
      <c r="E403" s="11" t="inlineStr">
        <is>
          <t>Statik / Einsturzsicherung während Abbruch</t>
        </is>
      </c>
      <c r="F403" s="10" t="inlineStr">
        <is>
          <t>Statik</t>
        </is>
      </c>
      <c r="G403" s="12" t="n">
        <v>0.32</v>
      </c>
      <c r="H403" s="13" t="n">
        <v>1770</v>
      </c>
      <c r="I403" s="13" t="n">
        <v>3403</v>
      </c>
      <c r="J403" s="13" t="n">
        <v>6078</v>
      </c>
      <c r="K403" s="14">
        <f>IF(OR(COUNT(G403:J403)&lt;&gt;4,G403&lt;0,G403&gt;1,H403&gt;I403,I403&gt;J403),"n.a.",ROUND(G403*(H403+4*I403+J403)/6+0.00000001,2))</f>
        <v/>
      </c>
      <c r="L403" s="13" t="n">
        <v>0</v>
      </c>
      <c r="M403" s="14">
        <f>SUMIFS(Maßnahmen!$I$7:$I$126,Maßnahmen!$D$7:$D$126,C403,Maßnahmen!$H$7:$H$126,"&lt;&gt;verworfen")</f>
        <v/>
      </c>
      <c r="N403" s="14">
        <f>IF(ISNUMBER(K403),MAX(0,K403-L403-M403),"n.a.")</f>
        <v/>
      </c>
      <c r="O403" s="14" t="n">
        <v>1144.53</v>
      </c>
      <c r="P403" s="14">
        <f>IF(ISNUMBER(K403),K403-O403,"n.a.")</f>
        <v/>
      </c>
    </row>
    <row r="404" ht="32" customHeight="1">
      <c r="C404" s="10" t="inlineStr">
        <is>
          <t>PRJ-52b1cf35-RK-07</t>
        </is>
      </c>
      <c r="D404" s="10" t="inlineStr">
        <is>
          <t>P4102157461</t>
        </is>
      </c>
      <c r="E404" s="11" t="inlineStr">
        <is>
          <t>Unterirdische Tragkonstruktion / Fundamente</t>
        </is>
      </c>
      <c r="F404" s="10" t="inlineStr">
        <is>
          <t>Statik</t>
        </is>
      </c>
      <c r="G404" s="12" t="n">
        <v>0.5</v>
      </c>
      <c r="H404" s="13" t="n">
        <v>477</v>
      </c>
      <c r="I404" s="13" t="n">
        <v>1034</v>
      </c>
      <c r="J404" s="13" t="n">
        <v>2223</v>
      </c>
      <c r="K404" s="14">
        <f>IF(OR(COUNT(G404:J404)&lt;&gt;4,G404&lt;0,G404&gt;1,H404&gt;I404,I404&gt;J404),"n.a.",ROUND(G404*(H404+4*I404+J404)/6+0.00000001,2))</f>
        <v/>
      </c>
      <c r="L404" s="13" t="n">
        <v>0</v>
      </c>
      <c r="M404" s="14">
        <f>SUMIFS(Maßnahmen!$I$7:$I$126,Maßnahmen!$D$7:$D$126,C404,Maßnahmen!$H$7:$H$126,"&lt;&gt;verworfen")</f>
        <v/>
      </c>
      <c r="N404" s="14">
        <f>IF(ISNUMBER(K404),MAX(0,K404-L404-M404),"n.a.")</f>
        <v/>
      </c>
      <c r="O404" s="14" t="n">
        <v>569.67</v>
      </c>
      <c r="P404" s="14">
        <f>IF(ISNUMBER(K404),K404-O404,"n.a.")</f>
        <v/>
      </c>
    </row>
    <row r="405" ht="32" customHeight="1">
      <c r="C405" s="10" t="inlineStr">
        <is>
          <t>PRJ-52b1cf35-RK-08</t>
        </is>
      </c>
      <c r="D405" s="10" t="inlineStr">
        <is>
          <t>P4102157461</t>
        </is>
      </c>
      <c r="E405" s="11" t="inlineStr">
        <is>
          <t>Gebäudehöhe &gt;22 m / Longfront-Bagger (+130–150 %)</t>
        </is>
      </c>
      <c r="F405" s="10" t="inlineStr">
        <is>
          <t>Termin</t>
        </is>
      </c>
      <c r="G405" s="12" t="n">
        <v>0.46</v>
      </c>
      <c r="H405" s="13" t="n">
        <v>1404</v>
      </c>
      <c r="I405" s="13" t="n">
        <v>2888</v>
      </c>
      <c r="J405" s="13" t="n">
        <v>5481</v>
      </c>
      <c r="K405" s="14">
        <f>IF(OR(COUNT(G405:J405)&lt;&gt;4,G405&lt;0,G405&gt;1,H405&gt;I405,I405&gt;J405),"n.a.",ROUND(G405*(H405+4*I405+J405)/6+0.00000001,2))</f>
        <v/>
      </c>
      <c r="L405" s="13" t="n">
        <v>0</v>
      </c>
      <c r="M405" s="14">
        <f>SUMIFS(Maßnahmen!$I$7:$I$126,Maßnahmen!$D$7:$D$126,C405,Maßnahmen!$H$7:$H$126,"&lt;&gt;verworfen")</f>
        <v/>
      </c>
      <c r="N405" s="14">
        <f>IF(ISNUMBER(K405),MAX(0,K405-L405-M405),"n.a.")</f>
        <v/>
      </c>
      <c r="O405" s="14" t="n">
        <v>1413.5</v>
      </c>
      <c r="P405" s="14">
        <f>IF(ISNUMBER(K405),K405-O405,"n.a.")</f>
        <v/>
      </c>
    </row>
    <row r="406" ht="32" customHeight="1">
      <c r="C406" s="10" t="inlineStr">
        <is>
          <t>PRJ-52b1cf35-RK-09</t>
        </is>
      </c>
      <c r="D406" s="10" t="inlineStr">
        <is>
          <t>P4102157461</t>
        </is>
      </c>
      <c r="E406" s="11" t="inlineStr">
        <is>
          <t>Beennte Lage / nur Handabbruch möglich</t>
        </is>
      </c>
      <c r="F406" s="10" t="inlineStr">
        <is>
          <t>Termin</t>
        </is>
      </c>
      <c r="G406" s="12" t="n">
        <v>0.356</v>
      </c>
      <c r="H406" s="13" t="n">
        <v>524</v>
      </c>
      <c r="I406" s="13" t="n">
        <v>1139</v>
      </c>
      <c r="J406" s="13" t="n">
        <v>2505</v>
      </c>
      <c r="K406" s="14">
        <f>IF(OR(COUNT(G406:J406)&lt;&gt;4,G406&lt;0,G406&gt;1,H406&gt;I406,I406&gt;J406),"n.a.",ROUND(G406*(H406+4*I406+J406)/6+0.00000001,2))</f>
        <v/>
      </c>
      <c r="L406" s="13" t="n">
        <v>0</v>
      </c>
      <c r="M406" s="14">
        <f>SUMIFS(Maßnahmen!$I$7:$I$126,Maßnahmen!$D$7:$D$126,C406,Maßnahmen!$H$7:$H$126,"&lt;&gt;verworfen")</f>
        <v/>
      </c>
      <c r="N406" s="14">
        <f>IF(ISNUMBER(K406),MAX(0,K406-L406-M406),"n.a.")</f>
        <v/>
      </c>
      <c r="O406" s="14" t="n">
        <v>450.04</v>
      </c>
      <c r="P406" s="14">
        <f>IF(ISNUMBER(K406),K406-O406,"n.a.")</f>
        <v/>
      </c>
    </row>
    <row r="407" ht="32" customHeight="1">
      <c r="C407" s="10" t="inlineStr">
        <is>
          <t>PRJ-52b1cf35-RK-10</t>
        </is>
      </c>
      <c r="D407" s="10" t="inlineStr">
        <is>
          <t>P4102157461</t>
        </is>
      </c>
      <c r="E407" s="11" t="inlineStr">
        <is>
          <t>Terminvorgabe Auftraggeber / Geräteauslastung</t>
        </is>
      </c>
      <c r="F407" s="10" t="inlineStr">
        <is>
          <t>Termin</t>
        </is>
      </c>
      <c r="G407" s="12" t="n">
        <v>0.08</v>
      </c>
      <c r="H407" s="13" t="n">
        <v>113</v>
      </c>
      <c r="I407" s="13" t="n">
        <v>227</v>
      </c>
      <c r="J407" s="13" t="n">
        <v>453</v>
      </c>
      <c r="K407" s="14">
        <f>IF(OR(COUNT(G407:J407)&lt;&gt;4,G407&lt;0,G407&gt;1,H407&gt;I407,I407&gt;J407),"n.a.",ROUND(G407*(H407+4*I407+J407)/6+0.00000001,2))</f>
        <v/>
      </c>
      <c r="L407" s="13" t="n">
        <v>0</v>
      </c>
      <c r="M407" s="14">
        <f>SUMIFS(Maßnahmen!$I$7:$I$126,Maßnahmen!$D$7:$D$126,C407,Maßnahmen!$H$7:$H$126,"&lt;&gt;verworfen")</f>
        <v/>
      </c>
      <c r="N407" s="14">
        <f>IF(ISNUMBER(K407),MAX(0,K407-L407-M407),"n.a.")</f>
        <v/>
      </c>
      <c r="O407" s="14" t="n">
        <v>19.65</v>
      </c>
      <c r="P407" s="14">
        <f>IF(ISNUMBER(K407),K407-O407,"n.a.")</f>
        <v/>
      </c>
    </row>
    <row r="408" ht="32" customHeight="1">
      <c r="C408" s="10" t="inlineStr">
        <is>
          <t>PRJ-52b1cf35-RK-11</t>
        </is>
      </c>
      <c r="D408" s="10" t="inlineStr">
        <is>
          <t>P4102157461</t>
        </is>
      </c>
      <c r="E408" s="11" t="inlineStr">
        <is>
          <t>Witterung / Ablaufstörung</t>
        </is>
      </c>
      <c r="F408" s="10" t="inlineStr">
        <is>
          <t>Termin</t>
        </is>
      </c>
      <c r="G408" s="12" t="n">
        <v>0.25</v>
      </c>
      <c r="H408" s="13" t="n">
        <v>227</v>
      </c>
      <c r="I408" s="13" t="n">
        <v>680</v>
      </c>
      <c r="J408" s="13" t="n">
        <v>1359</v>
      </c>
      <c r="K408" s="14">
        <f>IF(OR(COUNT(G408:J408)&lt;&gt;4,G408&lt;0,G408&gt;1,H408&gt;I408,I408&gt;J408),"n.a.",ROUND(G408*(H408+4*I408+J408)/6+0.00000001,2))</f>
        <v/>
      </c>
      <c r="L408" s="13" t="n">
        <v>0</v>
      </c>
      <c r="M408" s="14">
        <f>SUMIFS(Maßnahmen!$I$7:$I$126,Maßnahmen!$D$7:$D$126,C408,Maßnahmen!$H$7:$H$126,"&lt;&gt;verworfen")</f>
        <v/>
      </c>
      <c r="N408" s="14">
        <f>IF(ISNUMBER(K408),MAX(0,K408-L408-M408),"n.a.")</f>
        <v/>
      </c>
      <c r="O408" s="14" t="n">
        <v>179.42</v>
      </c>
      <c r="P408" s="14">
        <f>IF(ISNUMBER(K408),K408-O408,"n.a.")</f>
        <v/>
      </c>
    </row>
    <row r="409" ht="32" customHeight="1">
      <c r="C409" s="10" t="inlineStr">
        <is>
          <t>PRJ-52b1cf35-RK-12</t>
        </is>
      </c>
      <c r="D409" s="10" t="inlineStr">
        <is>
          <t>P4102157461</t>
        </is>
      </c>
      <c r="E409" s="11" t="inlineStr">
        <is>
          <t>Staubemissionen (höchster Aufwand laut Umfrage)</t>
        </is>
      </c>
      <c r="F409" s="10" t="inlineStr">
        <is>
          <t>Emissionen</t>
        </is>
      </c>
      <c r="G409" s="12" t="n">
        <v>0.22</v>
      </c>
      <c r="H409" s="13" t="n">
        <v>680</v>
      </c>
      <c r="I409" s="13" t="n">
        <v>1359</v>
      </c>
      <c r="J409" s="13" t="n">
        <v>2718</v>
      </c>
      <c r="K409" s="14">
        <f>IF(OR(COUNT(G409:J409)&lt;&gt;4,G409&lt;0,G409&gt;1,H409&gt;I409,I409&gt;J409),"n.a.",ROUND(G409*(H409+4*I409+J409)/6+0.00000001,2))</f>
        <v/>
      </c>
      <c r="L409" s="13" t="n">
        <v>0</v>
      </c>
      <c r="M409" s="14">
        <f>SUMIFS(Maßnahmen!$I$7:$I$126,Maßnahmen!$D$7:$D$126,C409,Maßnahmen!$H$7:$H$126,"&lt;&gt;verworfen")</f>
        <v/>
      </c>
      <c r="N409" s="14">
        <f>IF(ISNUMBER(K409),MAX(0,K409-L409-M409),"n.a.")</f>
        <v/>
      </c>
      <c r="O409" s="14" t="n">
        <v>323.91</v>
      </c>
      <c r="P409" s="14">
        <f>IF(ISNUMBER(K409),K409-O409,"n.a.")</f>
        <v/>
      </c>
    </row>
    <row r="410" ht="32" customHeight="1">
      <c r="C410" s="10" t="inlineStr">
        <is>
          <t>PRJ-52b1cf35-RK-13</t>
        </is>
      </c>
      <c r="D410" s="10" t="inlineStr">
        <is>
          <t>P4102157461</t>
        </is>
      </c>
      <c r="E410" s="11" t="inlineStr">
        <is>
          <t>Lärm- und Erschütterungsauflagen</t>
        </is>
      </c>
      <c r="F410" s="10" t="inlineStr">
        <is>
          <t>Emissionen</t>
        </is>
      </c>
      <c r="G410" s="12" t="n">
        <v>0.467</v>
      </c>
      <c r="H410" s="13" t="n">
        <v>1276</v>
      </c>
      <c r="I410" s="13" t="n">
        <v>2642</v>
      </c>
      <c r="J410" s="13" t="n">
        <v>4872</v>
      </c>
      <c r="K410" s="14">
        <f>IF(OR(COUNT(G410:J410)&lt;&gt;4,G410&lt;0,G410&gt;1,H410&gt;I410,I410&gt;J410),"n.a.",ROUND(G410*(H410+4*I410+J410)/6+0.00000001,2))</f>
        <v/>
      </c>
      <c r="L410" s="13" t="n">
        <v>0</v>
      </c>
      <c r="M410" s="14">
        <f>SUMIFS(Maßnahmen!$I$7:$I$126,Maßnahmen!$D$7:$D$126,C410,Maßnahmen!$H$7:$H$126,"&lt;&gt;verworfen")</f>
        <v/>
      </c>
      <c r="N410" s="14">
        <f>IF(ISNUMBER(K410),MAX(0,K410-L410-M410),"n.a.")</f>
        <v/>
      </c>
      <c r="O410" s="14" t="n">
        <v>1301.06</v>
      </c>
      <c r="P410" s="14">
        <f>IF(ISNUMBER(K410),K410-O410,"n.a.")</f>
        <v/>
      </c>
    </row>
    <row r="411" ht="32" customHeight="1">
      <c r="C411" s="10" t="inlineStr">
        <is>
          <t>PRJ-52b1cf35-RK-14</t>
        </is>
      </c>
      <c r="D411" s="10" t="inlineStr">
        <is>
          <t>P4102157461</t>
        </is>
      </c>
      <c r="E411" s="11" t="inlineStr">
        <is>
          <t>Rechtliche Auflagen / Entsorgungsnachweise (Formalismus)</t>
        </is>
      </c>
      <c r="F411" s="10" t="inlineStr">
        <is>
          <t>Genehmigung</t>
        </is>
      </c>
      <c r="G411" s="12" t="n">
        <v>0.347</v>
      </c>
      <c r="H411" s="13" t="n">
        <v>1517</v>
      </c>
      <c r="I411" s="13" t="n">
        <v>3001</v>
      </c>
      <c r="J411" s="13" t="n">
        <v>5707</v>
      </c>
      <c r="K411" s="14">
        <f>IF(OR(COUNT(G411:J411)&lt;&gt;4,G411&lt;0,G411&gt;1,H411&gt;I411,I411&gt;J411),"n.a.",ROUND(G411*(H411+4*I411+J411)/6+0.00000001,2))</f>
        <v/>
      </c>
      <c r="L411" s="13" t="n">
        <v>0</v>
      </c>
      <c r="M411" s="14">
        <f>SUMIFS(Maßnahmen!$I$7:$I$126,Maßnahmen!$D$7:$D$126,C411,Maßnahmen!$H$7:$H$126,"&lt;&gt;verworfen")</f>
        <v/>
      </c>
      <c r="N411" s="14">
        <f>IF(ISNUMBER(K411),MAX(0,K411-L411-M411),"n.a.")</f>
        <v/>
      </c>
      <c r="O411" s="14" t="n">
        <v>1112.02</v>
      </c>
      <c r="P411" s="14">
        <f>IF(ISNUMBER(K411),K411-O411,"n.a.")</f>
        <v/>
      </c>
    </row>
    <row r="412" ht="32" customHeight="1">
      <c r="C412" s="10" t="inlineStr">
        <is>
          <t>PRJ-52b1cf35-RK-15</t>
        </is>
      </c>
      <c r="D412" s="10" t="inlineStr">
        <is>
          <t>P4102157461</t>
        </is>
      </c>
      <c r="E412" s="11" t="inlineStr">
        <is>
          <t>Konjunktur / Sekundärstoffpreise &amp; Gerätemiete</t>
        </is>
      </c>
      <c r="F412" s="10" t="inlineStr">
        <is>
          <t>Markt</t>
        </is>
      </c>
      <c r="G412" s="12" t="n">
        <v>0.12</v>
      </c>
      <c r="H412" s="13" t="n">
        <v>181</v>
      </c>
      <c r="I412" s="13" t="n">
        <v>453</v>
      </c>
      <c r="J412" s="13" t="n">
        <v>1133</v>
      </c>
      <c r="K412" s="14">
        <f>IF(OR(COUNT(G412:J412)&lt;&gt;4,G412&lt;0,G412&gt;1,H412&gt;I412,I412&gt;J412),"n.a.",ROUND(G412*(H412+4*I412+J412)/6+0.00000001,2))</f>
        <v/>
      </c>
      <c r="L412" s="13" t="n">
        <v>0</v>
      </c>
      <c r="M412" s="14">
        <f>SUMIFS(Maßnahmen!$I$7:$I$126,Maßnahmen!$D$7:$D$126,C412,Maßnahmen!$H$7:$H$126,"&lt;&gt;verworfen")</f>
        <v/>
      </c>
      <c r="N412" s="14">
        <f>IF(ISNUMBER(K412),MAX(0,K412-L412-M412),"n.a.")</f>
        <v/>
      </c>
      <c r="O412" s="14" t="n">
        <v>62.52</v>
      </c>
      <c r="P412" s="14">
        <f>IF(ISNUMBER(K412),K412-O412,"n.a.")</f>
        <v/>
      </c>
    </row>
    <row r="413" ht="32" customHeight="1">
      <c r="C413" s="10" t="inlineStr">
        <is>
          <t>PRJ-4a29271d-RK-01</t>
        </is>
      </c>
      <c r="D413" s="10" t="inlineStr">
        <is>
          <t>P4102658272</t>
        </is>
      </c>
      <c r="E413" s="11" t="inlineStr">
        <is>
          <t>Schadstofffund / Schadstoffsanierung (Asbest, PAK, PCB, PCP)</t>
        </is>
      </c>
      <c r="F413" s="10" t="inlineStr">
        <is>
          <t>Schadstoffe</t>
        </is>
      </c>
      <c r="G413" s="12" t="n">
        <v>0.1</v>
      </c>
      <c r="H413" s="13" t="n">
        <v>268</v>
      </c>
      <c r="I413" s="13" t="n">
        <v>669</v>
      </c>
      <c r="J413" s="13" t="n">
        <v>1338</v>
      </c>
      <c r="K413" s="14">
        <f>IF(OR(COUNT(G413:J413)&lt;&gt;4,G413&lt;0,G413&gt;1,H413&gt;I413,I413&gt;J413),"n.a.",ROUND(G413*(H413+4*I413+J413)/6+0.00000001,2))</f>
        <v/>
      </c>
      <c r="L413" s="13" t="n">
        <v>0</v>
      </c>
      <c r="M413" s="14">
        <f>SUMIFS(Maßnahmen!$I$7:$I$126,Maßnahmen!$D$7:$D$126,C413,Maßnahmen!$H$7:$H$126,"&lt;&gt;verworfen")</f>
        <v/>
      </c>
      <c r="N413" s="14">
        <f>IF(ISNUMBER(K413),MAX(0,K413-L413-M413),"n.a.")</f>
        <v/>
      </c>
      <c r="O413" s="14" t="n">
        <v>71.37</v>
      </c>
      <c r="P413" s="14">
        <f>IF(ISNUMBER(K413),K413-O413,"n.a.")</f>
        <v/>
      </c>
    </row>
    <row r="414" ht="32" customHeight="1">
      <c r="C414" s="10" t="inlineStr">
        <is>
          <t>PRJ-4a29271d-RK-02</t>
        </is>
      </c>
      <c r="D414" s="10" t="inlineStr">
        <is>
          <t>P4102658272</t>
        </is>
      </c>
      <c r="E414" s="11" t="inlineStr">
        <is>
          <t>Arbeitsschutz kontaminierte Bereiche (TRGS 524)</t>
        </is>
      </c>
      <c r="F414" s="10" t="inlineStr">
        <is>
          <t>Schadstoffe</t>
        </is>
      </c>
      <c r="G414" s="12" t="n">
        <v>0.1</v>
      </c>
      <c r="H414" s="13" t="n">
        <v>67</v>
      </c>
      <c r="I414" s="13" t="n">
        <v>134</v>
      </c>
      <c r="J414" s="13" t="n">
        <v>268</v>
      </c>
      <c r="K414" s="14">
        <f>IF(OR(COUNT(G414:J414)&lt;&gt;4,G414&lt;0,G414&gt;1,H414&gt;I414,I414&gt;J414),"n.a.",ROUND(G414*(H414+4*I414+J414)/6+0.00000001,2))</f>
        <v/>
      </c>
      <c r="L414" s="13" t="n">
        <v>0</v>
      </c>
      <c r="M414" s="14">
        <f>SUMIFS(Maßnahmen!$I$7:$I$126,Maßnahmen!$D$7:$D$126,C414,Maßnahmen!$H$7:$H$126,"&lt;&gt;verworfen")</f>
        <v/>
      </c>
      <c r="N414" s="14">
        <f>IF(ISNUMBER(K414),MAX(0,K414-L414-M414),"n.a.")</f>
        <v/>
      </c>
      <c r="O414" s="14" t="n">
        <v>14.52</v>
      </c>
      <c r="P414" s="14">
        <f>IF(ISNUMBER(K414),K414-O414,"n.a.")</f>
        <v/>
      </c>
    </row>
    <row r="415" ht="32" customHeight="1">
      <c r="C415" s="10" t="inlineStr">
        <is>
          <t>PRJ-4a29271d-RK-03</t>
        </is>
      </c>
      <c r="D415" s="10" t="inlineStr">
        <is>
          <t>P4102658272</t>
        </is>
      </c>
      <c r="E415" s="11" t="inlineStr">
        <is>
          <t>Entsorgungs-Mehrkosten / Entsorgungswege</t>
        </is>
      </c>
      <c r="F415" s="10" t="inlineStr">
        <is>
          <t>Entsorgung</t>
        </is>
      </c>
      <c r="G415" s="12" t="n">
        <v>0.362</v>
      </c>
      <c r="H415" s="13" t="n">
        <v>1296</v>
      </c>
      <c r="I415" s="13" t="n">
        <v>2469</v>
      </c>
      <c r="J415" s="13" t="n">
        <v>4167</v>
      </c>
      <c r="K415" s="14">
        <f>IF(OR(COUNT(G415:J415)&lt;&gt;4,G415&lt;0,G415&gt;1,H415&gt;I415,I415&gt;J415),"n.a.",ROUND(G415*(H415+4*I415+J415)/6+0.00000001,2))</f>
        <v/>
      </c>
      <c r="L415" s="13" t="n">
        <v>0</v>
      </c>
      <c r="M415" s="14">
        <f>SUMIFS(Maßnahmen!$I$7:$I$126,Maßnahmen!$D$7:$D$126,C415,Maßnahmen!$H$7:$H$126,"&lt;&gt;verworfen")</f>
        <v/>
      </c>
      <c r="N415" s="14">
        <f>IF(ISNUMBER(K415),MAX(0,K415-L415-M415),"n.a.")</f>
        <v/>
      </c>
      <c r="O415" s="14" t="n">
        <v>925.45</v>
      </c>
      <c r="P415" s="14">
        <f>IF(ISNUMBER(K415),K415-O415,"n.a.")</f>
        <v/>
      </c>
    </row>
    <row r="416" ht="32" customHeight="1">
      <c r="C416" s="10" t="inlineStr">
        <is>
          <t>PRJ-4a29271d-RK-04</t>
        </is>
      </c>
      <c r="D416" s="10" t="inlineStr">
        <is>
          <t>P4102658272</t>
        </is>
      </c>
      <c r="E416" s="11" t="inlineStr">
        <is>
          <t>Baustofftrennung / Aufbereitung nicht wie geplant</t>
        </is>
      </c>
      <c r="F416" s="10" t="inlineStr">
        <is>
          <t>Entsorgung</t>
        </is>
      </c>
      <c r="G416" s="12" t="n">
        <v>0.08</v>
      </c>
      <c r="H416" s="13" t="n">
        <v>67</v>
      </c>
      <c r="I416" s="13" t="n">
        <v>134</v>
      </c>
      <c r="J416" s="13" t="n">
        <v>268</v>
      </c>
      <c r="K416" s="14">
        <f>IF(OR(COUNT(G416:J416)&lt;&gt;4,G416&lt;0,G416&gt;1,H416&gt;I416,I416&gt;J416),"n.a.",ROUND(G416*(H416+4*I416+J416)/6+0.00000001,2))</f>
        <v/>
      </c>
      <c r="L416" s="13" t="n">
        <v>0</v>
      </c>
      <c r="M416" s="14">
        <f>SUMIFS(Maßnahmen!$I$7:$I$126,Maßnahmen!$D$7:$D$126,C416,Maßnahmen!$H$7:$H$126,"&lt;&gt;verworfen")</f>
        <v/>
      </c>
      <c r="N416" s="14">
        <f>IF(ISNUMBER(K416),MAX(0,K416-L416-M416),"n.a.")</f>
        <v/>
      </c>
      <c r="O416" s="14" t="n">
        <v>11.61</v>
      </c>
      <c r="P416" s="14">
        <f>IF(ISNUMBER(K416),K416-O416,"n.a.")</f>
        <v/>
      </c>
    </row>
    <row r="417" ht="32" customHeight="1">
      <c r="C417" s="10" t="inlineStr">
        <is>
          <t>PRJ-4a29271d-RK-05</t>
        </is>
      </c>
      <c r="D417" s="10" t="inlineStr">
        <is>
          <t>P4102658272</t>
        </is>
      </c>
      <c r="E417" s="11" t="inlineStr">
        <is>
          <t>Unbekannte Bauwerkskonstruktion / fehlende Pläne</t>
        </is>
      </c>
      <c r="F417" s="10" t="inlineStr">
        <is>
          <t>Statik</t>
        </is>
      </c>
      <c r="G417" s="12" t="n">
        <v>0.37</v>
      </c>
      <c r="H417" s="13" t="n">
        <v>4681</v>
      </c>
      <c r="I417" s="13" t="n">
        <v>6019</v>
      </c>
      <c r="J417" s="13" t="n">
        <v>8694</v>
      </c>
      <c r="K417" s="14">
        <f>IF(OR(COUNT(G417:J417)&lt;&gt;4,G417&lt;0,G417&gt;1,H417&gt;I417,I417&gt;J417),"n.a.",ROUND(G417*(H417+4*I417+J417)/6+0.00000001,2))</f>
        <v/>
      </c>
      <c r="L417" s="13" t="n">
        <v>0</v>
      </c>
      <c r="M417" s="14">
        <f>SUMIFS(Maßnahmen!$I$7:$I$126,Maßnahmen!$D$7:$D$126,C417,Maßnahmen!$H$7:$H$126,"&lt;&gt;verworfen")</f>
        <v/>
      </c>
      <c r="N417" s="14">
        <f>IF(ISNUMBER(K417),MAX(0,K417-L417-M417),"n.a.")</f>
        <v/>
      </c>
      <c r="O417" s="14" t="n">
        <v>2309.48</v>
      </c>
      <c r="P417" s="14">
        <f>IF(ISNUMBER(K417),K417-O417,"n.a.")</f>
        <v/>
      </c>
    </row>
    <row r="418" ht="32" customHeight="1">
      <c r="C418" s="10" t="inlineStr">
        <is>
          <t>PRJ-4a29271d-RK-06</t>
        </is>
      </c>
      <c r="D418" s="10" t="inlineStr">
        <is>
          <t>P4102658272</t>
        </is>
      </c>
      <c r="E418" s="11" t="inlineStr">
        <is>
          <t>Statik / Einsturzsicherung während Abbruch</t>
        </is>
      </c>
      <c r="F418" s="10" t="inlineStr">
        <is>
          <t>Statik</t>
        </is>
      </c>
      <c r="G418" s="12" t="n">
        <v>0.216</v>
      </c>
      <c r="H418" s="13" t="n">
        <v>1173</v>
      </c>
      <c r="I418" s="13" t="n">
        <v>2222</v>
      </c>
      <c r="J418" s="13" t="n">
        <v>3930</v>
      </c>
      <c r="K418" s="14">
        <f>IF(OR(COUNT(G418:J418)&lt;&gt;4,G418&lt;0,G418&gt;1,H418&gt;I418,I418&gt;J418),"n.a.",ROUND(G418*(H418+4*I418+J418)/6+0.00000001,2))</f>
        <v/>
      </c>
      <c r="L418" s="13" t="n">
        <v>0</v>
      </c>
      <c r="M418" s="14">
        <f>SUMIFS(Maßnahmen!$I$7:$I$126,Maßnahmen!$D$7:$D$126,C418,Maßnahmen!$H$7:$H$126,"&lt;&gt;verworfen")</f>
        <v/>
      </c>
      <c r="N418" s="14">
        <f>IF(ISNUMBER(K418),MAX(0,K418-L418-M418),"n.a.")</f>
        <v/>
      </c>
      <c r="O418" s="14" t="n">
        <v>503.68</v>
      </c>
      <c r="P418" s="14">
        <f>IF(ISNUMBER(K418),K418-O418,"n.a.")</f>
        <v/>
      </c>
    </row>
    <row r="419" ht="32" customHeight="1">
      <c r="C419" s="10" t="inlineStr">
        <is>
          <t>PRJ-4a29271d-RK-07</t>
        </is>
      </c>
      <c r="D419" s="10" t="inlineStr">
        <is>
          <t>P4102658272</t>
        </is>
      </c>
      <c r="E419" s="11" t="inlineStr">
        <is>
          <t>Unterirdische Tragkonstruktion / Fundamente</t>
        </is>
      </c>
      <c r="F419" s="10" t="inlineStr">
        <is>
          <t>Statik</t>
        </is>
      </c>
      <c r="G419" s="12" t="n">
        <v>0.5</v>
      </c>
      <c r="H419" s="13" t="n">
        <v>324</v>
      </c>
      <c r="I419" s="13" t="n">
        <v>679</v>
      </c>
      <c r="J419" s="13" t="n">
        <v>1440</v>
      </c>
      <c r="K419" s="14">
        <f>IF(OR(COUNT(G419:J419)&lt;&gt;4,G419&lt;0,G419&gt;1,H419&gt;I419,I419&gt;J419),"n.a.",ROUND(G419*(H419+4*I419+J419)/6+0.00000001,2))</f>
        <v/>
      </c>
      <c r="L419" s="13" t="n">
        <v>0</v>
      </c>
      <c r="M419" s="14">
        <f>SUMIFS(Maßnahmen!$I$7:$I$126,Maßnahmen!$D$7:$D$126,C419,Maßnahmen!$H$7:$H$126,"&lt;&gt;verworfen")</f>
        <v/>
      </c>
      <c r="N419" s="14">
        <f>IF(ISNUMBER(K419),MAX(0,K419-L419-M419),"n.a.")</f>
        <v/>
      </c>
      <c r="O419" s="14" t="n">
        <v>373.33</v>
      </c>
      <c r="P419" s="14">
        <f>IF(ISNUMBER(K419),K419-O419,"n.a.")</f>
        <v/>
      </c>
    </row>
    <row r="420" ht="32" customHeight="1">
      <c r="C420" s="10" t="inlineStr">
        <is>
          <t>PRJ-4a29271d-RK-08</t>
        </is>
      </c>
      <c r="D420" s="10" t="inlineStr">
        <is>
          <t>P4102658272</t>
        </is>
      </c>
      <c r="E420" s="11" t="inlineStr">
        <is>
          <t>Gebäudehöhe &gt;22 m / Longfront-Bagger (+130–150 %)</t>
        </is>
      </c>
      <c r="F420" s="10" t="inlineStr">
        <is>
          <t>Termin</t>
        </is>
      </c>
      <c r="G420" s="12" t="n">
        <v>0.2</v>
      </c>
      <c r="H420" s="13" t="n">
        <v>134</v>
      </c>
      <c r="I420" s="13" t="n">
        <v>401</v>
      </c>
      <c r="J420" s="13" t="n">
        <v>803</v>
      </c>
      <c r="K420" s="14">
        <f>IF(OR(COUNT(G420:J420)&lt;&gt;4,G420&lt;0,G420&gt;1,H420&gt;I420,I420&gt;J420),"n.a.",ROUND(G420*(H420+4*I420+J420)/6+0.00000001,2))</f>
        <v/>
      </c>
      <c r="L420" s="13" t="n">
        <v>0</v>
      </c>
      <c r="M420" s="14">
        <f>SUMIFS(Maßnahmen!$I$7:$I$126,Maßnahmen!$D$7:$D$126,C420,Maßnahmen!$H$7:$H$126,"&lt;&gt;verworfen")</f>
        <v/>
      </c>
      <c r="N420" s="14">
        <f>IF(ISNUMBER(K420),MAX(0,K420-L420-M420),"n.a.")</f>
        <v/>
      </c>
      <c r="O420" s="14" t="n">
        <v>84.7</v>
      </c>
      <c r="P420" s="14">
        <f>IF(ISNUMBER(K420),K420-O420,"n.a.")</f>
        <v/>
      </c>
    </row>
    <row r="421" ht="32" customHeight="1">
      <c r="C421" s="10" t="inlineStr">
        <is>
          <t>PRJ-4a29271d-RK-09</t>
        </is>
      </c>
      <c r="D421" s="10" t="inlineStr">
        <is>
          <t>P4102658272</t>
        </is>
      </c>
      <c r="E421" s="11" t="inlineStr">
        <is>
          <t>Beennte Lage / nur Handabbruch möglich</t>
        </is>
      </c>
      <c r="F421" s="10" t="inlineStr">
        <is>
          <t>Termin</t>
        </is>
      </c>
      <c r="G421" s="12" t="n">
        <v>0.5</v>
      </c>
      <c r="H421" s="13" t="n">
        <v>1949</v>
      </c>
      <c r="I421" s="13" t="n">
        <v>3951</v>
      </c>
      <c r="J421" s="13" t="n">
        <v>8036</v>
      </c>
      <c r="K421" s="14">
        <f>IF(OR(COUNT(G421:J421)&lt;&gt;4,G421&lt;0,G421&gt;1,H421&gt;I421,I421&gt;J421),"n.a.",ROUND(G421*(H421+4*I421+J421)/6+0.00000001,2))</f>
        <v/>
      </c>
      <c r="L421" s="13" t="n">
        <v>0</v>
      </c>
      <c r="M421" s="14">
        <f>SUMIFS(Maßnahmen!$I$7:$I$126,Maßnahmen!$D$7:$D$126,C421,Maßnahmen!$H$7:$H$126,"&lt;&gt;verworfen")</f>
        <v/>
      </c>
      <c r="N421" s="14">
        <f>IF(ISNUMBER(K421),MAX(0,K421-L421-M421),"n.a.")</f>
        <v/>
      </c>
      <c r="O421" s="14" t="n">
        <v>2149.08</v>
      </c>
      <c r="P421" s="14">
        <f>IF(ISNUMBER(K421),K421-O421,"n.a.")</f>
        <v/>
      </c>
    </row>
    <row r="422" ht="32" customHeight="1">
      <c r="C422" s="10" t="inlineStr">
        <is>
          <t>PRJ-4a6f9cc3-RK-01</t>
        </is>
      </c>
      <c r="D422" s="10" t="inlineStr">
        <is>
          <t>P4102608260</t>
        </is>
      </c>
      <c r="E422" s="11" t="inlineStr">
        <is>
          <t>Schadstofffund / Schadstoffsanierung (Asbest, PAK, PCB, PCP)</t>
        </is>
      </c>
      <c r="F422" s="10" t="inlineStr">
        <is>
          <t>Schadstoffe</t>
        </is>
      </c>
      <c r="G422" s="12" t="n">
        <v>0.663</v>
      </c>
      <c r="H422" s="13" t="n">
        <v>2493</v>
      </c>
      <c r="I422" s="13" t="n">
        <v>4851</v>
      </c>
      <c r="J422" s="13" t="n">
        <v>8914</v>
      </c>
      <c r="K422" s="14">
        <f>IF(OR(COUNT(G422:J422)&lt;&gt;4,G422&lt;0,G422&gt;1,H422&gt;I422,I422&gt;J422),"n.a.",ROUND(G422*(H422+4*I422+J422)/6+0.00000001,2))</f>
        <v/>
      </c>
      <c r="L422" s="13" t="n">
        <v>0</v>
      </c>
      <c r="M422" s="14">
        <f>SUMIFS(Maßnahmen!$I$7:$I$126,Maßnahmen!$D$7:$D$126,C422,Maßnahmen!$H$7:$H$126,"&lt;&gt;verworfen")</f>
        <v/>
      </c>
      <c r="N422" s="14">
        <f>IF(ISNUMBER(K422),MAX(0,K422-L422-M422),"n.a.")</f>
        <v/>
      </c>
      <c r="O422" s="14" t="n">
        <v>3404.62</v>
      </c>
      <c r="P422" s="14">
        <f>IF(ISNUMBER(K422),K422-O422,"n.a.")</f>
        <v/>
      </c>
    </row>
    <row r="423" ht="32" customHeight="1">
      <c r="C423" s="10" t="inlineStr">
        <is>
          <t>PRJ-4a6f9cc3-RK-02</t>
        </is>
      </c>
      <c r="D423" s="10" t="inlineStr">
        <is>
          <t>P4102608260</t>
        </is>
      </c>
      <c r="E423" s="11" t="inlineStr">
        <is>
          <t>Arbeitsschutz kontaminierte Bereiche (TRGS 524)</t>
        </is>
      </c>
      <c r="F423" s="10" t="inlineStr">
        <is>
          <t>Schadstoffe</t>
        </is>
      </c>
      <c r="G423" s="12" t="n">
        <v>0.1</v>
      </c>
      <c r="H423" s="13" t="n">
        <v>130</v>
      </c>
      <c r="I423" s="13" t="n">
        <v>261</v>
      </c>
      <c r="J423" s="13" t="n">
        <v>521</v>
      </c>
      <c r="K423" s="14">
        <f>IF(OR(COUNT(G423:J423)&lt;&gt;4,G423&lt;0,G423&gt;1,H423&gt;I423,I423&gt;J423),"n.a.",ROUND(G423*(H423+4*I423+J423)/6+0.00000001,2))</f>
        <v/>
      </c>
      <c r="L423" s="13" t="n">
        <v>0</v>
      </c>
      <c r="M423" s="14">
        <f>SUMIFS(Maßnahmen!$I$7:$I$126,Maßnahmen!$D$7:$D$126,C423,Maßnahmen!$H$7:$H$126,"&lt;&gt;verworfen")</f>
        <v/>
      </c>
      <c r="N423" s="14">
        <f>IF(ISNUMBER(K423),MAX(0,K423-L423-M423),"n.a.")</f>
        <v/>
      </c>
      <c r="O423" s="14" t="n">
        <v>28.25</v>
      </c>
      <c r="P423" s="14">
        <f>IF(ISNUMBER(K423),K423-O423,"n.a.")</f>
        <v/>
      </c>
    </row>
    <row r="424" ht="32" customHeight="1">
      <c r="C424" s="10" t="inlineStr">
        <is>
          <t>PRJ-4a6f9cc3-RK-03</t>
        </is>
      </c>
      <c r="D424" s="10" t="inlineStr">
        <is>
          <t>P4102608260</t>
        </is>
      </c>
      <c r="E424" s="11" t="inlineStr">
        <is>
          <t>Entsorgungs-Mehrkosten / Entsorgungswege</t>
        </is>
      </c>
      <c r="F424" s="10" t="inlineStr">
        <is>
          <t>Entsorgung</t>
        </is>
      </c>
      <c r="G424" s="12" t="n">
        <v>0.33</v>
      </c>
      <c r="H424" s="13" t="n">
        <v>2228</v>
      </c>
      <c r="I424" s="13" t="n">
        <v>4291</v>
      </c>
      <c r="J424" s="13" t="n">
        <v>7301</v>
      </c>
      <c r="K424" s="14">
        <f>IF(OR(COUNT(G424:J424)&lt;&gt;4,G424&lt;0,G424&gt;1,H424&gt;I424,I424&gt;J424),"n.a.",ROUND(G424*(H424+4*I424+J424)/6+0.00000001,2))</f>
        <v/>
      </c>
      <c r="L424" s="13" t="n">
        <v>0</v>
      </c>
      <c r="M424" s="14">
        <f>SUMIFS(Maßnahmen!$I$7:$I$126,Maßnahmen!$D$7:$D$126,C424,Maßnahmen!$H$7:$H$126,"&lt;&gt;verworfen")</f>
        <v/>
      </c>
      <c r="N424" s="14">
        <f>IF(ISNUMBER(K424),MAX(0,K424-L424-M424),"n.a.")</f>
        <v/>
      </c>
      <c r="O424" s="14" t="n">
        <v>1468.12</v>
      </c>
      <c r="P424" s="14">
        <f>IF(ISNUMBER(K424),K424-O424,"n.a.")</f>
        <v/>
      </c>
    </row>
    <row r="425" ht="32" customHeight="1">
      <c r="C425" s="10" t="inlineStr">
        <is>
          <t>PRJ-4a6f9cc3-RK-04</t>
        </is>
      </c>
      <c r="D425" s="10" t="inlineStr">
        <is>
          <t>P4102608260</t>
        </is>
      </c>
      <c r="E425" s="11" t="inlineStr">
        <is>
          <t>Baustofftrennung / Aufbereitung nicht wie geplant</t>
        </is>
      </c>
      <c r="F425" s="10" t="inlineStr">
        <is>
          <t>Entsorgung</t>
        </is>
      </c>
      <c r="G425" s="12" t="n">
        <v>0.08</v>
      </c>
      <c r="H425" s="13" t="n">
        <v>130</v>
      </c>
      <c r="I425" s="13" t="n">
        <v>261</v>
      </c>
      <c r="J425" s="13" t="n">
        <v>521</v>
      </c>
      <c r="K425" s="14">
        <f>IF(OR(COUNT(G425:J425)&lt;&gt;4,G425&lt;0,G425&gt;1,H425&gt;I425,I425&gt;J425),"n.a.",ROUND(G425*(H425+4*I425+J425)/6+0.00000001,2))</f>
        <v/>
      </c>
      <c r="L425" s="13" t="n">
        <v>0</v>
      </c>
      <c r="M425" s="14">
        <f>SUMIFS(Maßnahmen!$I$7:$I$126,Maßnahmen!$D$7:$D$126,C425,Maßnahmen!$H$7:$H$126,"&lt;&gt;verworfen")</f>
        <v/>
      </c>
      <c r="N425" s="14">
        <f>IF(ISNUMBER(K425),MAX(0,K425-L425-M425),"n.a.")</f>
        <v/>
      </c>
      <c r="O425" s="14" t="n">
        <v>22.6</v>
      </c>
      <c r="P425" s="14">
        <f>IF(ISNUMBER(K425),K425-O425,"n.a.")</f>
        <v/>
      </c>
    </row>
    <row r="426" ht="32" customHeight="1">
      <c r="C426" s="10" t="inlineStr">
        <is>
          <t>PRJ-4a6f9cc3-RK-05</t>
        </is>
      </c>
      <c r="D426" s="10" t="inlineStr">
        <is>
          <t>P4102608260</t>
        </is>
      </c>
      <c r="E426" s="11" t="inlineStr">
        <is>
          <t>Unbekannte Bauwerkskonstruktion / fehlende Pläne</t>
        </is>
      </c>
      <c r="F426" s="10" t="inlineStr">
        <is>
          <t>Statik</t>
        </is>
      </c>
      <c r="G426" s="12" t="n">
        <v>0.12</v>
      </c>
      <c r="H426" s="13" t="n">
        <v>1042</v>
      </c>
      <c r="I426" s="13" t="n">
        <v>2084</v>
      </c>
      <c r="J426" s="13" t="n">
        <v>3908</v>
      </c>
      <c r="K426" s="14">
        <f>IF(OR(COUNT(G426:J426)&lt;&gt;4,G426&lt;0,G426&gt;1,H426&gt;I426,I426&gt;J426),"n.a.",ROUND(G426*(H426+4*I426+J426)/6+0.00000001,2))</f>
        <v/>
      </c>
      <c r="L426" s="13" t="n">
        <v>0</v>
      </c>
      <c r="M426" s="14">
        <f>SUMIFS(Maßnahmen!$I$7:$I$126,Maßnahmen!$D$7:$D$126,C426,Maßnahmen!$H$7:$H$126,"&lt;&gt;verworfen")</f>
        <v/>
      </c>
      <c r="N426" s="14">
        <f>IF(ISNUMBER(K426),MAX(0,K426-L426-M426),"n.a.")</f>
        <v/>
      </c>
      <c r="O426" s="14" t="n">
        <v>265.72</v>
      </c>
      <c r="P426" s="14">
        <f>IF(ISNUMBER(K426),K426-O426,"n.a.")</f>
        <v/>
      </c>
    </row>
    <row r="427" ht="32" customHeight="1">
      <c r="C427" s="10" t="inlineStr">
        <is>
          <t>PRJ-4a6f9cc3-RK-06</t>
        </is>
      </c>
      <c r="D427" s="10" t="inlineStr">
        <is>
          <t>P4102608260</t>
        </is>
      </c>
      <c r="E427" s="11" t="inlineStr">
        <is>
          <t>Statik / Einsturzsicherung während Abbruch</t>
        </is>
      </c>
      <c r="F427" s="10" t="inlineStr">
        <is>
          <t>Statik</t>
        </is>
      </c>
      <c r="G427" s="12" t="n">
        <v>0.202</v>
      </c>
      <c r="H427" s="13" t="n">
        <v>2062</v>
      </c>
      <c r="I427" s="13" t="n">
        <v>3958</v>
      </c>
      <c r="J427" s="13" t="n">
        <v>7062</v>
      </c>
      <c r="K427" s="14">
        <f>IF(OR(COUNT(G427:J427)&lt;&gt;4,G427&lt;0,G427&gt;1,H427&gt;I427,I427&gt;J427),"n.a.",ROUND(G427*(H427+4*I427+J427)/6+0.00000001,2))</f>
        <v/>
      </c>
      <c r="L427" s="13" t="n">
        <v>0</v>
      </c>
      <c r="M427" s="14">
        <f>SUMIFS(Maßnahmen!$I$7:$I$126,Maßnahmen!$D$7:$D$126,C427,Maßnahmen!$H$7:$H$126,"&lt;&gt;verworfen")</f>
        <v/>
      </c>
      <c r="N427" s="14">
        <f>IF(ISNUMBER(K427),MAX(0,K427-L427-M427),"n.a.")</f>
        <v/>
      </c>
      <c r="O427" s="14" t="n">
        <v>840.1900000000001</v>
      </c>
      <c r="P427" s="14">
        <f>IF(ISNUMBER(K427),K427-O427,"n.a.")</f>
        <v/>
      </c>
    </row>
    <row r="428" ht="32" customHeight="1">
      <c r="C428" s="10" t="inlineStr">
        <is>
          <t>PRJ-4a6f9cc3-RK-07</t>
        </is>
      </c>
      <c r="D428" s="10" t="inlineStr">
        <is>
          <t>P4102608260</t>
        </is>
      </c>
      <c r="E428" s="11" t="inlineStr">
        <is>
          <t>Unterirdische Tragkonstruktion / Fundamente</t>
        </is>
      </c>
      <c r="F428" s="10" t="inlineStr">
        <is>
          <t>Statik</t>
        </is>
      </c>
      <c r="G428" s="12" t="n">
        <v>0.629</v>
      </c>
      <c r="H428" s="13" t="n">
        <v>557</v>
      </c>
      <c r="I428" s="13" t="n">
        <v>1204</v>
      </c>
      <c r="J428" s="13" t="n">
        <v>2583</v>
      </c>
      <c r="K428" s="14">
        <f>IF(OR(COUNT(G428:J428)&lt;&gt;4,G428&lt;0,G428&gt;1,H428&gt;I428,I428&gt;J428),"n.a.",ROUND(G428*(H428+4*I428+J428)/6+0.00000001,2))</f>
        <v/>
      </c>
      <c r="L428" s="13" t="n">
        <v>0</v>
      </c>
      <c r="M428" s="14">
        <f>SUMIFS(Maßnahmen!$I$7:$I$126,Maßnahmen!$D$7:$D$126,C428,Maßnahmen!$H$7:$H$126,"&lt;&gt;verworfen")</f>
        <v/>
      </c>
      <c r="N428" s="14">
        <f>IF(ISNUMBER(K428),MAX(0,K428-L428-M428),"n.a.")</f>
        <v/>
      </c>
      <c r="O428" s="14" t="n">
        <v>834.05</v>
      </c>
      <c r="P428" s="14">
        <f>IF(ISNUMBER(K428),K428-O428,"n.a.")</f>
        <v/>
      </c>
    </row>
    <row r="429" ht="32" customHeight="1">
      <c r="C429" s="10" t="inlineStr">
        <is>
          <t>PRJ-4a6f9cc3-RK-08</t>
        </is>
      </c>
      <c r="D429" s="10" t="inlineStr">
        <is>
          <t>P4102608260</t>
        </is>
      </c>
      <c r="E429" s="11" t="inlineStr">
        <is>
          <t>Gebäudehöhe &gt;22 m / Longfront-Bagger (+130–150 %)</t>
        </is>
      </c>
      <c r="F429" s="10" t="inlineStr">
        <is>
          <t>Termin</t>
        </is>
      </c>
      <c r="G429" s="12" t="n">
        <v>0.554</v>
      </c>
      <c r="H429" s="13" t="n">
        <v>2105</v>
      </c>
      <c r="I429" s="13" t="n">
        <v>4239</v>
      </c>
      <c r="J429" s="13" t="n">
        <v>8017</v>
      </c>
      <c r="K429" s="14">
        <f>IF(OR(COUNT(G429:J429)&lt;&gt;4,G429&lt;0,G429&gt;1,H429&gt;I429,I429&gt;J429),"n.a.",ROUND(G429*(H429+4*I429+J429)/6+0.00000001,2))</f>
        <v/>
      </c>
      <c r="L429" s="13" t="n">
        <v>0</v>
      </c>
      <c r="M429" s="14">
        <f>SUMIFS(Maßnahmen!$I$7:$I$126,Maßnahmen!$D$7:$D$126,C429,Maßnahmen!$H$7:$H$126,"&lt;&gt;verworfen")</f>
        <v/>
      </c>
      <c r="N429" s="14">
        <f>IF(ISNUMBER(K429),MAX(0,K429-L429-M429),"n.a.")</f>
        <v/>
      </c>
      <c r="O429" s="14" t="n">
        <v>2500.2</v>
      </c>
      <c r="P429" s="14">
        <f>IF(ISNUMBER(K429),K429-O429,"n.a.")</f>
        <v/>
      </c>
    </row>
    <row r="430" ht="32" customHeight="1">
      <c r="C430" s="10" t="inlineStr">
        <is>
          <t>PRJ-4a6f9cc3-RK-09</t>
        </is>
      </c>
      <c r="D430" s="10" t="inlineStr">
        <is>
          <t>P4102608260</t>
        </is>
      </c>
      <c r="E430" s="11" t="inlineStr">
        <is>
          <t>Beennte Lage / nur Handabbruch möglich</t>
        </is>
      </c>
      <c r="F430" s="10" t="inlineStr">
        <is>
          <t>Termin</t>
        </is>
      </c>
      <c r="G430" s="12" t="n">
        <v>0.15</v>
      </c>
      <c r="H430" s="13" t="n">
        <v>208</v>
      </c>
      <c r="I430" s="13" t="n">
        <v>521</v>
      </c>
      <c r="J430" s="13" t="n">
        <v>1303</v>
      </c>
      <c r="K430" s="14">
        <f>IF(OR(COUNT(G430:J430)&lt;&gt;4,G430&lt;0,G430&gt;1,H430&gt;I430,I430&gt;J430),"n.a.",ROUND(G430*(H430+4*I430+J430)/6+0.00000001,2))</f>
        <v/>
      </c>
      <c r="L430" s="13" t="n">
        <v>0</v>
      </c>
      <c r="M430" s="14">
        <f>SUMIFS(Maßnahmen!$I$7:$I$126,Maßnahmen!$D$7:$D$126,C430,Maßnahmen!$H$7:$H$126,"&lt;&gt;verworfen")</f>
        <v/>
      </c>
      <c r="N430" s="14">
        <f>IF(ISNUMBER(K430),MAX(0,K430-L430-M430),"n.a.")</f>
        <v/>
      </c>
      <c r="O430" s="14" t="n">
        <v>89.88</v>
      </c>
      <c r="P430" s="14">
        <f>IF(ISNUMBER(K430),K430-O430,"n.a.")</f>
        <v/>
      </c>
    </row>
    <row r="431" ht="32" customHeight="1">
      <c r="C431" s="10" t="inlineStr">
        <is>
          <t>PRJ-4a6f9cc3-RK-13</t>
        </is>
      </c>
      <c r="D431" s="10" t="inlineStr">
        <is>
          <t>P4102608260</t>
        </is>
      </c>
      <c r="E431" s="11" t="inlineStr">
        <is>
          <t>Lärm- und Erschütterungsauflagen</t>
        </is>
      </c>
      <c r="F431" s="10" t="inlineStr">
        <is>
          <t>Emissionen</t>
        </is>
      </c>
      <c r="G431" s="12" t="n">
        <v>0.2</v>
      </c>
      <c r="H431" s="13" t="n">
        <v>521</v>
      </c>
      <c r="I431" s="13" t="n">
        <v>1303</v>
      </c>
      <c r="J431" s="13" t="n">
        <v>2605</v>
      </c>
      <c r="K431" s="14">
        <f>IF(OR(COUNT(G431:J431)&lt;&gt;4,G431&lt;0,G431&gt;1,H431&gt;I431,I431&gt;J431),"n.a.",ROUND(G431*(H431+4*I431+J431)/6+0.00000001,2))</f>
        <v/>
      </c>
      <c r="L431" s="13" t="n">
        <v>0</v>
      </c>
      <c r="M431" s="14">
        <f>SUMIFS(Maßnahmen!$I$7:$I$126,Maßnahmen!$D$7:$D$126,C431,Maßnahmen!$H$7:$H$126,"&lt;&gt;verworfen")</f>
        <v/>
      </c>
      <c r="N431" s="14">
        <f>IF(ISNUMBER(K431),MAX(0,K431-L431-M431),"n.a.")</f>
        <v/>
      </c>
      <c r="O431" s="14" t="n">
        <v>277.93</v>
      </c>
      <c r="P431" s="14">
        <f>IF(ISNUMBER(K431),K431-O431,"n.a.")</f>
        <v/>
      </c>
    </row>
    <row r="432" ht="32" customHeight="1">
      <c r="C432" s="10" t="inlineStr">
        <is>
          <t>PRJ-4a6f9cc3-RK-14</t>
        </is>
      </c>
      <c r="D432" s="10" t="inlineStr">
        <is>
          <t>P4102608260</t>
        </is>
      </c>
      <c r="E432" s="11" t="inlineStr">
        <is>
          <t>Rechtliche Auflagen / Entsorgungsnachweise (Formalismus)</t>
        </is>
      </c>
      <c r="F432" s="10" t="inlineStr">
        <is>
          <t>Genehmigung</t>
        </is>
      </c>
      <c r="G432" s="12" t="n">
        <v>0.4</v>
      </c>
      <c r="H432" s="13" t="n">
        <v>2235</v>
      </c>
      <c r="I432" s="13" t="n">
        <v>4369</v>
      </c>
      <c r="J432" s="13" t="n">
        <v>8278</v>
      </c>
      <c r="K432" s="14">
        <f>IF(OR(COUNT(G432:J432)&lt;&gt;4,G432&lt;0,G432&gt;1,H432&gt;I432,I432&gt;J432),"n.a.",ROUND(G432*(H432+4*I432+J432)/6+0.00000001,2))</f>
        <v/>
      </c>
      <c r="L432" s="13" t="n">
        <v>0</v>
      </c>
      <c r="M432" s="14">
        <f>SUMIFS(Maßnahmen!$I$7:$I$126,Maßnahmen!$D$7:$D$126,C432,Maßnahmen!$H$7:$H$126,"&lt;&gt;verworfen")</f>
        <v/>
      </c>
      <c r="N432" s="14">
        <f>IF(ISNUMBER(K432),MAX(0,K432-L432-M432),"n.a.")</f>
        <v/>
      </c>
      <c r="O432" s="14" t="n">
        <v>1865.93</v>
      </c>
      <c r="P432" s="14">
        <f>IF(ISNUMBER(K432),K432-O432,"n.a.")</f>
        <v/>
      </c>
    </row>
    <row r="433" ht="32" customHeight="1">
      <c r="C433" s="10" t="inlineStr">
        <is>
          <t>PRJ-4a6f9cc3-RK-15</t>
        </is>
      </c>
      <c r="D433" s="10" t="inlineStr">
        <is>
          <t>P4102608260</t>
        </is>
      </c>
      <c r="E433" s="11" t="inlineStr">
        <is>
          <t>Konjunktur / Sekundärstoffpreise &amp; Gerätemiete</t>
        </is>
      </c>
      <c r="F433" s="10" t="inlineStr">
        <is>
          <t>Markt</t>
        </is>
      </c>
      <c r="G433" s="12" t="n">
        <v>0.12</v>
      </c>
      <c r="H433" s="13" t="n">
        <v>208</v>
      </c>
      <c r="I433" s="13" t="n">
        <v>521</v>
      </c>
      <c r="J433" s="13" t="n">
        <v>1303</v>
      </c>
      <c r="K433" s="14">
        <f>IF(OR(COUNT(G433:J433)&lt;&gt;4,G433&lt;0,G433&gt;1,H433&gt;I433,I433&gt;J433),"n.a.",ROUND(G433*(H433+4*I433+J433)/6+0.00000001,2))</f>
        <v/>
      </c>
      <c r="L433" s="13" t="n">
        <v>0</v>
      </c>
      <c r="M433" s="14">
        <f>SUMIFS(Maßnahmen!$I$7:$I$126,Maßnahmen!$D$7:$D$126,C433,Maßnahmen!$H$7:$H$126,"&lt;&gt;verworfen")</f>
        <v/>
      </c>
      <c r="N433" s="14">
        <f>IF(ISNUMBER(K433),MAX(0,K433-L433-M433),"n.a.")</f>
        <v/>
      </c>
      <c r="O433" s="14" t="n">
        <v>71.90000000000001</v>
      </c>
      <c r="P433" s="14">
        <f>IF(ISNUMBER(K433),K433-O433,"n.a.")</f>
        <v/>
      </c>
    </row>
    <row r="434" ht="32" customHeight="1">
      <c r="C434" s="10" t="inlineStr">
        <is>
          <t>PRJ-4f8e93b4-RK-01</t>
        </is>
      </c>
      <c r="D434" s="10" t="inlineStr">
        <is>
          <t>P4102307447</t>
        </is>
      </c>
      <c r="E434" s="11" t="inlineStr">
        <is>
          <t>Schadstofffund / Schadstoffsanierung (Asbest, PAK, PCB, PCP)</t>
        </is>
      </c>
      <c r="F434" s="10" t="inlineStr">
        <is>
          <t>Schadstoffe</t>
        </is>
      </c>
      <c r="G434" s="12" t="n">
        <v>0.1</v>
      </c>
      <c r="H434" s="13" t="n">
        <v>534</v>
      </c>
      <c r="I434" s="13" t="n">
        <v>1335</v>
      </c>
      <c r="J434" s="13" t="n">
        <v>2669</v>
      </c>
      <c r="K434" s="14">
        <f>IF(OR(COUNT(G434:J434)&lt;&gt;4,G434&lt;0,G434&gt;1,H434&gt;I434,I434&gt;J434),"n.a.",ROUND(G434*(H434+4*I434+J434)/6+0.00000001,2))</f>
        <v/>
      </c>
      <c r="L434" s="13" t="n">
        <v>0</v>
      </c>
      <c r="M434" s="14">
        <f>SUMIFS(Maßnahmen!$I$7:$I$126,Maßnahmen!$D$7:$D$126,C434,Maßnahmen!$H$7:$H$126,"&lt;&gt;verworfen")</f>
        <v/>
      </c>
      <c r="N434" s="14">
        <f>IF(ISNUMBER(K434),MAX(0,K434-L434-M434),"n.a.")</f>
        <v/>
      </c>
      <c r="O434" s="14" t="n">
        <v>142.38</v>
      </c>
      <c r="P434" s="14">
        <f>IF(ISNUMBER(K434),K434-O434,"n.a.")</f>
        <v/>
      </c>
    </row>
    <row r="435" ht="32" customHeight="1">
      <c r="C435" s="10" t="inlineStr">
        <is>
          <t>PRJ-4f8e93d1-RK-14</t>
        </is>
      </c>
      <c r="D435" s="10" t="inlineStr">
        <is>
          <t>P4102307439</t>
        </is>
      </c>
      <c r="E435" s="11" t="inlineStr">
        <is>
          <t>Rechtliche Auflagen / Entsorgungsnachweise (Formalismus)</t>
        </is>
      </c>
      <c r="F435" s="10" t="inlineStr">
        <is>
          <t>Genehmigung</t>
        </is>
      </c>
      <c r="G435" s="12" t="n">
        <v>0.12</v>
      </c>
      <c r="H435" s="13" t="n">
        <v>1186</v>
      </c>
      <c r="I435" s="13" t="n">
        <v>2767</v>
      </c>
      <c r="J435" s="13" t="n">
        <v>5534</v>
      </c>
      <c r="K435" s="14">
        <f>IF(OR(COUNT(G435:J435)&lt;&gt;4,G435&lt;0,G435&gt;1,H435&gt;I435,I435&gt;J435),"n.a.",ROUND(G435*(H435+4*I435+J435)/6+0.00000001,2))</f>
        <v/>
      </c>
      <c r="L435" s="13" t="n">
        <v>0</v>
      </c>
      <c r="M435" s="14">
        <f>SUMIFS(Maßnahmen!$I$7:$I$126,Maßnahmen!$D$7:$D$126,C435,Maßnahmen!$H$7:$H$126,"&lt;&gt;verworfen")</f>
        <v/>
      </c>
      <c r="N435" s="14">
        <f>IF(ISNUMBER(K435),MAX(0,K435-L435-M435),"n.a.")</f>
        <v/>
      </c>
      <c r="O435" s="14" t="n">
        <v>355.76</v>
      </c>
      <c r="P435" s="14">
        <f>IF(ISNUMBER(K435),K435-O435,"n.a.")</f>
        <v/>
      </c>
    </row>
    <row r="436" ht="32" customHeight="1">
      <c r="C436" s="10" t="inlineStr">
        <is>
          <t>PRJ-4f8e93b4-RK-02</t>
        </is>
      </c>
      <c r="D436" s="10" t="inlineStr">
        <is>
          <t>P4102307447</t>
        </is>
      </c>
      <c r="E436" s="11" t="inlineStr">
        <is>
          <t>Arbeitsschutz kontaminierte Bereiche (TRGS 524)</t>
        </is>
      </c>
      <c r="F436" s="10" t="inlineStr">
        <is>
          <t>Schadstoffe</t>
        </is>
      </c>
      <c r="G436" s="12" t="n">
        <v>0.1</v>
      </c>
      <c r="H436" s="13" t="n">
        <v>133</v>
      </c>
      <c r="I436" s="13" t="n">
        <v>267</v>
      </c>
      <c r="J436" s="13" t="n">
        <v>534</v>
      </c>
      <c r="K436" s="14">
        <f>IF(OR(COUNT(G436:J436)&lt;&gt;4,G436&lt;0,G436&gt;1,H436&gt;I436,I436&gt;J436),"n.a.",ROUND(G436*(H436+4*I436+J436)/6+0.00000001,2))</f>
        <v/>
      </c>
      <c r="L436" s="13" t="n">
        <v>0</v>
      </c>
      <c r="M436" s="14">
        <f>SUMIFS(Maßnahmen!$I$7:$I$126,Maßnahmen!$D$7:$D$126,C436,Maßnahmen!$H$7:$H$126,"&lt;&gt;verworfen")</f>
        <v/>
      </c>
      <c r="N436" s="14">
        <f>IF(ISNUMBER(K436),MAX(0,K436-L436-M436),"n.a.")</f>
        <v/>
      </c>
      <c r="O436" s="14" t="n">
        <v>28.92</v>
      </c>
      <c r="P436" s="14">
        <f>IF(ISNUMBER(K436),K436-O436,"n.a.")</f>
        <v/>
      </c>
    </row>
    <row r="437" ht="32" customHeight="1">
      <c r="C437" s="10" t="inlineStr">
        <is>
          <t>PRJ-4f8e93b4-RK-15</t>
        </is>
      </c>
      <c r="D437" s="10" t="inlineStr">
        <is>
          <t>P4102307447</t>
        </is>
      </c>
      <c r="E437" s="11" t="inlineStr">
        <is>
          <t>Konjunktur / Sekundärstoffpreise &amp; Gerätemiete</t>
        </is>
      </c>
      <c r="F437" s="10" t="inlineStr">
        <is>
          <t>Markt</t>
        </is>
      </c>
      <c r="G437" s="12" t="n">
        <v>0.12</v>
      </c>
      <c r="H437" s="13" t="n">
        <v>214</v>
      </c>
      <c r="I437" s="13" t="n">
        <v>534</v>
      </c>
      <c r="J437" s="13" t="n">
        <v>1335</v>
      </c>
      <c r="K437" s="14">
        <f>IF(OR(COUNT(G437:J437)&lt;&gt;4,G437&lt;0,G437&gt;1,H437&gt;I437,I437&gt;J437),"n.a.",ROUND(G437*(H437+4*I437+J437)/6+0.00000001,2))</f>
        <v/>
      </c>
      <c r="L437" s="13" t="n">
        <v>0</v>
      </c>
      <c r="M437" s="14">
        <f>SUMIFS(Maßnahmen!$I$7:$I$126,Maßnahmen!$D$7:$D$126,C437,Maßnahmen!$H$7:$H$126,"&lt;&gt;verworfen")</f>
        <v/>
      </c>
      <c r="N437" s="14">
        <f>IF(ISNUMBER(K437),MAX(0,K437-L437-M437),"n.a.")</f>
        <v/>
      </c>
      <c r="O437" s="14" t="n">
        <v>73.7</v>
      </c>
      <c r="P437" s="14">
        <f>IF(ISNUMBER(K437),K437-O437,"n.a.")</f>
        <v/>
      </c>
    </row>
    <row r="438" ht="32" customHeight="1">
      <c r="C438" s="10" t="inlineStr">
        <is>
          <t>PRJ-52b1cf4c-RK-08</t>
        </is>
      </c>
      <c r="D438" s="10" t="inlineStr">
        <is>
          <t>P4102157459</t>
        </is>
      </c>
      <c r="E438" s="11" t="inlineStr">
        <is>
          <t>Gebäudehöhe &gt;22 m / Longfront-Bagger (+130–150 %)</t>
        </is>
      </c>
      <c r="F438" s="10" t="inlineStr">
        <is>
          <t>Termin</t>
        </is>
      </c>
      <c r="G438" s="12" t="n">
        <v>0.2</v>
      </c>
      <c r="H438" s="13" t="n">
        <v>159</v>
      </c>
      <c r="I438" s="13" t="n">
        <v>478</v>
      </c>
      <c r="J438" s="13" t="n">
        <v>955</v>
      </c>
      <c r="K438" s="14">
        <f>IF(OR(COUNT(G438:J438)&lt;&gt;4,G438&lt;0,G438&gt;1,H438&gt;I438,I438&gt;J438),"n.a.",ROUND(G438*(H438+4*I438+J438)/6+0.00000001,2))</f>
        <v/>
      </c>
      <c r="L438" s="13" t="n">
        <v>0</v>
      </c>
      <c r="M438" s="14">
        <f>SUMIFS(Maßnahmen!$I$7:$I$126,Maßnahmen!$D$7:$D$126,C438,Maßnahmen!$H$7:$H$126,"&lt;&gt;verworfen")</f>
        <v/>
      </c>
      <c r="N438" s="14">
        <f>IF(ISNUMBER(K438),MAX(0,K438-L438-M438),"n.a.")</f>
        <v/>
      </c>
      <c r="O438" s="14" t="n">
        <v>100.87</v>
      </c>
      <c r="P438" s="14">
        <f>IF(ISNUMBER(K438),K438-O438,"n.a.")</f>
        <v/>
      </c>
    </row>
    <row r="439" ht="32" customHeight="1">
      <c r="C439" s="10" t="inlineStr">
        <is>
          <t>PRJ-52b1cf4c-RK-09</t>
        </is>
      </c>
      <c r="D439" s="10" t="inlineStr">
        <is>
          <t>P4102157459</t>
        </is>
      </c>
      <c r="E439" s="11" t="inlineStr">
        <is>
          <t>Beennte Lage / nur Handabbruch möglich</t>
        </is>
      </c>
      <c r="F439" s="10" t="inlineStr">
        <is>
          <t>Termin</t>
        </is>
      </c>
      <c r="G439" s="12" t="n">
        <v>0.4</v>
      </c>
      <c r="H439" s="13" t="n">
        <v>697</v>
      </c>
      <c r="I439" s="13" t="n">
        <v>1457</v>
      </c>
      <c r="J439" s="13" t="n">
        <v>3074</v>
      </c>
      <c r="K439" s="14">
        <f>IF(OR(COUNT(G439:J439)&lt;&gt;4,G439&lt;0,G439&gt;1,H439&gt;I439,I439&gt;J439),"n.a.",ROUND(G439*(H439+4*I439+J439)/6+0.00000001,2))</f>
        <v/>
      </c>
      <c r="L439" s="13" t="n">
        <v>0</v>
      </c>
      <c r="M439" s="14">
        <f>SUMIFS(Maßnahmen!$I$7:$I$126,Maßnahmen!$D$7:$D$126,C439,Maßnahmen!$H$7:$H$126,"&lt;&gt;verworfen")</f>
        <v/>
      </c>
      <c r="N439" s="14">
        <f>IF(ISNUMBER(K439),MAX(0,K439-L439-M439),"n.a.")</f>
        <v/>
      </c>
      <c r="O439" s="14" t="n">
        <v>639.9299999999999</v>
      </c>
      <c r="P439" s="14">
        <f>IF(ISNUMBER(K439),K439-O439,"n.a.")</f>
        <v/>
      </c>
    </row>
    <row r="440" ht="32" customHeight="1">
      <c r="C440" s="10" t="inlineStr">
        <is>
          <t>PRJ-52b1cf4c-RK-11</t>
        </is>
      </c>
      <c r="D440" s="10" t="inlineStr">
        <is>
          <t>P4102157459</t>
        </is>
      </c>
      <c r="E440" s="11" t="inlineStr">
        <is>
          <t>Witterung / Ablaufstörung</t>
        </is>
      </c>
      <c r="F440" s="10" t="inlineStr">
        <is>
          <t>Termin</t>
        </is>
      </c>
      <c r="G440" s="12" t="n">
        <v>0.15</v>
      </c>
      <c r="H440" s="13" t="n">
        <v>159</v>
      </c>
      <c r="I440" s="13" t="n">
        <v>478</v>
      </c>
      <c r="J440" s="13" t="n">
        <v>955</v>
      </c>
      <c r="K440" s="14">
        <f>IF(OR(COUNT(G440:J440)&lt;&gt;4,G440&lt;0,G440&gt;1,H440&gt;I440,I440&gt;J440),"n.a.",ROUND(G440*(H440+4*I440+J440)/6+0.00000001,2))</f>
        <v/>
      </c>
      <c r="L440" s="13" t="n">
        <v>0</v>
      </c>
      <c r="M440" s="14">
        <f>SUMIFS(Maßnahmen!$I$7:$I$126,Maßnahmen!$D$7:$D$126,C440,Maßnahmen!$H$7:$H$126,"&lt;&gt;verworfen")</f>
        <v/>
      </c>
      <c r="N440" s="14">
        <f>IF(ISNUMBER(K440),MAX(0,K440-L440-M440),"n.a.")</f>
        <v/>
      </c>
      <c r="O440" s="14" t="n">
        <v>75.65000000000001</v>
      </c>
      <c r="P440" s="14">
        <f>IF(ISNUMBER(K440),K440-O440,"n.a.")</f>
        <v/>
      </c>
    </row>
    <row r="441" ht="32" customHeight="1">
      <c r="C441" s="10" t="inlineStr">
        <is>
          <t>PRJ-52b1cf4c-RK-12</t>
        </is>
      </c>
      <c r="D441" s="10" t="inlineStr">
        <is>
          <t>P4102157459</t>
        </is>
      </c>
      <c r="E441" s="11" t="inlineStr">
        <is>
          <t>Staubemissionen (höchster Aufwand laut Umfrage)</t>
        </is>
      </c>
      <c r="F441" s="10" t="inlineStr">
        <is>
          <t>Emissionen</t>
        </is>
      </c>
      <c r="G441" s="12" t="n">
        <v>0.1</v>
      </c>
      <c r="H441" s="13" t="n">
        <v>478</v>
      </c>
      <c r="I441" s="13" t="n">
        <v>955</v>
      </c>
      <c r="J441" s="13" t="n">
        <v>1910</v>
      </c>
      <c r="K441" s="14">
        <f>IF(OR(COUNT(G441:J441)&lt;&gt;4,G441&lt;0,G441&gt;1,H441&gt;I441,I441&gt;J441),"n.a.",ROUND(G441*(H441+4*I441+J441)/6+0.00000001,2))</f>
        <v/>
      </c>
      <c r="L441" s="13" t="n">
        <v>0</v>
      </c>
      <c r="M441" s="14">
        <f>SUMIFS(Maßnahmen!$I$7:$I$126,Maßnahmen!$D$7:$D$126,C441,Maßnahmen!$H$7:$H$126,"&lt;&gt;verworfen")</f>
        <v/>
      </c>
      <c r="N441" s="14">
        <f>IF(ISNUMBER(K441),MAX(0,K441-L441-M441),"n.a.")</f>
        <v/>
      </c>
      <c r="O441" s="14" t="n">
        <v>103.47</v>
      </c>
      <c r="P441" s="14">
        <f>IF(ISNUMBER(K441),K441-O441,"n.a.")</f>
        <v/>
      </c>
    </row>
    <row r="442" ht="32" customHeight="1">
      <c r="C442" s="10" t="inlineStr">
        <is>
          <t>PRJ-52b1cf4c-RK-13</t>
        </is>
      </c>
      <c r="D442" s="10" t="inlineStr">
        <is>
          <t>P4102157459</t>
        </is>
      </c>
      <c r="E442" s="11" t="inlineStr">
        <is>
          <t>Lärm- und Erschütterungsauflagen</t>
        </is>
      </c>
      <c r="F442" s="10" t="inlineStr">
        <is>
          <t>Emissionen</t>
        </is>
      </c>
      <c r="G442" s="12" t="n">
        <v>0.593</v>
      </c>
      <c r="H442" s="13" t="n">
        <v>1685</v>
      </c>
      <c r="I442" s="13" t="n">
        <v>3301</v>
      </c>
      <c r="J442" s="13" t="n">
        <v>5919</v>
      </c>
      <c r="K442" s="14">
        <f>IF(OR(COUNT(G442:J442)&lt;&gt;4,G442&lt;0,G442&gt;1,H442&gt;I442,I442&gt;J442),"n.a.",ROUND(G442*(H442+4*I442+J442)/6+0.00000001,2))</f>
        <v/>
      </c>
      <c r="L442" s="13" t="n">
        <v>0</v>
      </c>
      <c r="M442" s="14">
        <f>SUMIFS(Maßnahmen!$I$7:$I$126,Maßnahmen!$D$7:$D$126,C442,Maßnahmen!$H$7:$H$126,"&lt;&gt;verworfen")</f>
        <v/>
      </c>
      <c r="N442" s="14">
        <f>IF(ISNUMBER(K442),MAX(0,K442-L442-M442),"n.a.")</f>
        <v/>
      </c>
      <c r="O442" s="14" t="n">
        <v>2056.52</v>
      </c>
      <c r="P442" s="14">
        <f>IF(ISNUMBER(K442),K442-O442,"n.a.")</f>
        <v/>
      </c>
    </row>
    <row r="443" ht="32" customHeight="1">
      <c r="C443" s="10" t="inlineStr">
        <is>
          <t>PRJ-52b1cf4c-RK-14</t>
        </is>
      </c>
      <c r="D443" s="10" t="inlineStr">
        <is>
          <t>P4102157459</t>
        </is>
      </c>
      <c r="E443" s="11" t="inlineStr">
        <is>
          <t>Rechtliche Auflagen / Entsorgungsnachweise (Formalismus)</t>
        </is>
      </c>
      <c r="F443" s="10" t="inlineStr">
        <is>
          <t>Genehmigung</t>
        </is>
      </c>
      <c r="G443" s="12" t="n">
        <v>0.12</v>
      </c>
      <c r="H443" s="13" t="n">
        <v>239</v>
      </c>
      <c r="I443" s="13" t="n">
        <v>557</v>
      </c>
      <c r="J443" s="13" t="n">
        <v>1114</v>
      </c>
      <c r="K443" s="14">
        <f>IF(OR(COUNT(G443:J443)&lt;&gt;4,G443&lt;0,G443&gt;1,H443&gt;I443,I443&gt;J443),"n.a.",ROUND(G443*(H443+4*I443+J443)/6+0.00000001,2))</f>
        <v/>
      </c>
      <c r="L443" s="13" t="n">
        <v>0</v>
      </c>
      <c r="M443" s="14">
        <f>SUMIFS(Maßnahmen!$I$7:$I$126,Maßnahmen!$D$7:$D$126,C443,Maßnahmen!$H$7:$H$126,"&lt;&gt;verworfen")</f>
        <v/>
      </c>
      <c r="N443" s="14">
        <f>IF(ISNUMBER(K443),MAX(0,K443-L443-M443),"n.a.")</f>
        <v/>
      </c>
      <c r="O443" s="14" t="n">
        <v>71.62</v>
      </c>
      <c r="P443" s="14">
        <f>IF(ISNUMBER(K443),K443-O443,"n.a.")</f>
        <v/>
      </c>
    </row>
    <row r="444" ht="32" customHeight="1">
      <c r="C444" s="10" t="inlineStr">
        <is>
          <t>PRJ-52b1cf4c-RK-15</t>
        </is>
      </c>
      <c r="D444" s="10" t="inlineStr">
        <is>
          <t>P4102157459</t>
        </is>
      </c>
      <c r="E444" s="11" t="inlineStr">
        <is>
          <t>Konjunktur / Sekundärstoffpreise &amp; Gerätemiete</t>
        </is>
      </c>
      <c r="F444" s="10" t="inlineStr">
        <is>
          <t>Markt</t>
        </is>
      </c>
      <c r="G444" s="12" t="n">
        <v>0.12</v>
      </c>
      <c r="H444" s="13" t="n">
        <v>127</v>
      </c>
      <c r="I444" s="13" t="n">
        <v>318</v>
      </c>
      <c r="J444" s="13" t="n">
        <v>796</v>
      </c>
      <c r="K444" s="14">
        <f>IF(OR(COUNT(G444:J444)&lt;&gt;4,G444&lt;0,G444&gt;1,H444&gt;I444,I444&gt;J444),"n.a.",ROUND(G444*(H444+4*I444+J444)/6+0.00000001,2))</f>
        <v/>
      </c>
      <c r="L444" s="13" t="n">
        <v>0</v>
      </c>
      <c r="M444" s="14">
        <f>SUMIFS(Maßnahmen!$I$7:$I$126,Maßnahmen!$D$7:$D$126,C444,Maßnahmen!$H$7:$H$126,"&lt;&gt;verworfen")</f>
        <v/>
      </c>
      <c r="N444" s="14">
        <f>IF(ISNUMBER(K444),MAX(0,K444-L444-M444),"n.a.")</f>
        <v/>
      </c>
      <c r="O444" s="14" t="n">
        <v>43.9</v>
      </c>
      <c r="P444" s="14">
        <f>IF(ISNUMBER(K444),K444-O444,"n.a.")</f>
        <v/>
      </c>
    </row>
    <row r="445" ht="32" customHeight="1">
      <c r="C445" s="10" t="inlineStr">
        <is>
          <t>PRJ-4f8e93f0-RK-01</t>
        </is>
      </c>
      <c r="D445" s="10" t="inlineStr">
        <is>
          <t>P4102307429</t>
        </is>
      </c>
      <c r="E445" s="11" t="inlineStr">
        <is>
          <t>Schadstofffund / Schadstoffsanierung (Asbest, PAK, PCB, PCP)</t>
        </is>
      </c>
      <c r="F445" s="10" t="inlineStr">
        <is>
          <t>Schadstoffe</t>
        </is>
      </c>
      <c r="G445" s="12" t="n">
        <v>0.1</v>
      </c>
      <c r="H445" s="13" t="n">
        <v>226</v>
      </c>
      <c r="I445" s="13" t="n">
        <v>565</v>
      </c>
      <c r="J445" s="13" t="n">
        <v>1130</v>
      </c>
      <c r="K445" s="14">
        <f>IF(OR(COUNT(G445:J445)&lt;&gt;4,G445&lt;0,G445&gt;1,H445&gt;I445,I445&gt;J445),"n.a.",ROUND(G445*(H445+4*I445+J445)/6+0.00000001,2))</f>
        <v/>
      </c>
      <c r="L445" s="13" t="n">
        <v>0</v>
      </c>
      <c r="M445" s="14">
        <f>SUMIFS(Maßnahmen!$I$7:$I$126,Maßnahmen!$D$7:$D$126,C445,Maßnahmen!$H$7:$H$126,"&lt;&gt;verworfen")</f>
        <v/>
      </c>
      <c r="N445" s="14">
        <f>IF(ISNUMBER(K445),MAX(0,K445-L445-M445),"n.a.")</f>
        <v/>
      </c>
      <c r="O445" s="14" t="n">
        <v>60.27</v>
      </c>
      <c r="P445" s="14">
        <f>IF(ISNUMBER(K445),K445-O445,"n.a.")</f>
        <v/>
      </c>
    </row>
    <row r="446" ht="32" customHeight="1">
      <c r="C446" s="10" t="inlineStr">
        <is>
          <t>PRJ-4f8e93f0-RK-02</t>
        </is>
      </c>
      <c r="D446" s="10" t="inlineStr">
        <is>
          <t>P4102307429</t>
        </is>
      </c>
      <c r="E446" s="11" t="inlineStr">
        <is>
          <t>Arbeitsschutz kontaminierte Bereiche (TRGS 524)</t>
        </is>
      </c>
      <c r="F446" s="10" t="inlineStr">
        <is>
          <t>Schadstoffe</t>
        </is>
      </c>
      <c r="G446" s="12" t="n">
        <v>0.1</v>
      </c>
      <c r="H446" s="13" t="n">
        <v>56</v>
      </c>
      <c r="I446" s="13" t="n">
        <v>113</v>
      </c>
      <c r="J446" s="13" t="n">
        <v>226</v>
      </c>
      <c r="K446" s="14">
        <f>IF(OR(COUNT(G446:J446)&lt;&gt;4,G446&lt;0,G446&gt;1,H446&gt;I446,I446&gt;J446),"n.a.",ROUND(G446*(H446+4*I446+J446)/6+0.00000001,2))</f>
        <v/>
      </c>
      <c r="L446" s="13" t="n">
        <v>0</v>
      </c>
      <c r="M446" s="14">
        <f>SUMIFS(Maßnahmen!$I$7:$I$126,Maßnahmen!$D$7:$D$126,C446,Maßnahmen!$H$7:$H$126,"&lt;&gt;verworfen")</f>
        <v/>
      </c>
      <c r="N446" s="14">
        <f>IF(ISNUMBER(K446),MAX(0,K446-L446-M446),"n.a.")</f>
        <v/>
      </c>
      <c r="O446" s="14" t="n">
        <v>12.23</v>
      </c>
      <c r="P446" s="14">
        <f>IF(ISNUMBER(K446),K446-O446,"n.a.")</f>
        <v/>
      </c>
    </row>
    <row r="447" ht="32" customHeight="1">
      <c r="C447" s="10" t="inlineStr">
        <is>
          <t>PRJ-4f8e93f0-RK-03</t>
        </is>
      </c>
      <c r="D447" s="10" t="inlineStr">
        <is>
          <t>P4102307429</t>
        </is>
      </c>
      <c r="E447" s="11" t="inlineStr">
        <is>
          <t>Entsorgungs-Mehrkosten / Entsorgungswege</t>
        </is>
      </c>
      <c r="F447" s="10" t="inlineStr">
        <is>
          <t>Entsorgung</t>
        </is>
      </c>
      <c r="G447" s="12" t="n">
        <v>0.422</v>
      </c>
      <c r="H447" s="13" t="n">
        <v>1342</v>
      </c>
      <c r="I447" s="13" t="n">
        <v>2519</v>
      </c>
      <c r="J447" s="13" t="n">
        <v>4200</v>
      </c>
      <c r="K447" s="14">
        <f>IF(OR(COUNT(G447:J447)&lt;&gt;4,G447&lt;0,G447&gt;1,H447&gt;I447,I447&gt;J447),"n.a.",ROUND(G447*(H447+4*I447+J447)/6+0.00000001,2))</f>
        <v/>
      </c>
      <c r="L447" s="13" t="n">
        <v>0</v>
      </c>
      <c r="M447" s="14">
        <f>SUMIFS(Maßnahmen!$I$7:$I$126,Maßnahmen!$D$7:$D$126,C447,Maßnahmen!$H$7:$H$126,"&lt;&gt;verworfen")</f>
        <v/>
      </c>
      <c r="N447" s="14">
        <f>IF(ISNUMBER(K447),MAX(0,K447-L447-M447),"n.a.")</f>
        <v/>
      </c>
      <c r="O447" s="14" t="n">
        <v>1098.47</v>
      </c>
      <c r="P447" s="14">
        <f>IF(ISNUMBER(K447),K447-O447,"n.a.")</f>
        <v/>
      </c>
    </row>
    <row r="448" ht="32" customHeight="1">
      <c r="C448" s="10" t="inlineStr">
        <is>
          <t>PRJ-4f8e93f0-RK-04</t>
        </is>
      </c>
      <c r="D448" s="10" t="inlineStr">
        <is>
          <t>P4102307429</t>
        </is>
      </c>
      <c r="E448" s="11" t="inlineStr">
        <is>
          <t>Baustofftrennung / Aufbereitung nicht wie geplant</t>
        </is>
      </c>
      <c r="F448" s="10" t="inlineStr">
        <is>
          <t>Entsorgung</t>
        </is>
      </c>
      <c r="G448" s="12" t="n">
        <v>0.08</v>
      </c>
      <c r="H448" s="13" t="n">
        <v>56</v>
      </c>
      <c r="I448" s="13" t="n">
        <v>113</v>
      </c>
      <c r="J448" s="13" t="n">
        <v>226</v>
      </c>
      <c r="K448" s="14">
        <f>IF(OR(COUNT(G448:J448)&lt;&gt;4,G448&lt;0,G448&gt;1,H448&gt;I448,I448&gt;J448),"n.a.",ROUND(G448*(H448+4*I448+J448)/6+0.00000001,2))</f>
        <v/>
      </c>
      <c r="L448" s="13" t="n">
        <v>0</v>
      </c>
      <c r="M448" s="14">
        <f>SUMIFS(Maßnahmen!$I$7:$I$126,Maßnahmen!$D$7:$D$126,C448,Maßnahmen!$H$7:$H$126,"&lt;&gt;verworfen")</f>
        <v/>
      </c>
      <c r="N448" s="14">
        <f>IF(ISNUMBER(K448),MAX(0,K448-L448-M448),"n.a.")</f>
        <v/>
      </c>
      <c r="O448" s="14" t="n">
        <v>9.789999999999999</v>
      </c>
      <c r="P448" s="14">
        <f>IF(ISNUMBER(K448),K448-O448,"n.a.")</f>
        <v/>
      </c>
    </row>
    <row r="449" ht="32" customHeight="1">
      <c r="C449" s="10" t="inlineStr">
        <is>
          <t>PRJ-4f8e93f0-RK-05</t>
        </is>
      </c>
      <c r="D449" s="10" t="inlineStr">
        <is>
          <t>P4102307429</t>
        </is>
      </c>
      <c r="E449" s="11" t="inlineStr">
        <is>
          <t>Unbekannte Bauwerkskonstruktion / fehlende Pläne</t>
        </is>
      </c>
      <c r="F449" s="10" t="inlineStr">
        <is>
          <t>Statik</t>
        </is>
      </c>
      <c r="G449" s="12" t="n">
        <v>0.22</v>
      </c>
      <c r="H449" s="13" t="n">
        <v>3954</v>
      </c>
      <c r="I449" s="13" t="n">
        <v>5083</v>
      </c>
      <c r="J449" s="13" t="n">
        <v>7342</v>
      </c>
      <c r="K449" s="14">
        <f>IF(OR(COUNT(G449:J449)&lt;&gt;4,G449&lt;0,G449&gt;1,H449&gt;I449,I449&gt;J449),"n.a.",ROUND(G449*(H449+4*I449+J449)/6+0.00000001,2))</f>
        <v/>
      </c>
      <c r="L449" s="13" t="n">
        <v>0</v>
      </c>
      <c r="M449" s="14">
        <f>SUMIFS(Maßnahmen!$I$7:$I$126,Maßnahmen!$D$7:$D$126,C449,Maßnahmen!$H$7:$H$126,"&lt;&gt;verworfen")</f>
        <v/>
      </c>
      <c r="N449" s="14">
        <f>IF(ISNUMBER(K449),MAX(0,K449-L449-M449),"n.a.")</f>
        <v/>
      </c>
      <c r="O449" s="14" t="n">
        <v>1159.69</v>
      </c>
      <c r="P449" s="14">
        <f>IF(ISNUMBER(K449),K449-O449,"n.a.")</f>
        <v/>
      </c>
    </row>
    <row r="450" ht="32" customHeight="1">
      <c r="C450" s="10" t="inlineStr">
        <is>
          <t>PRJ-4f8e93f0-RK-06</t>
        </is>
      </c>
      <c r="D450" s="10" t="inlineStr">
        <is>
          <t>P4102307429</t>
        </is>
      </c>
      <c r="E450" s="11" t="inlineStr">
        <is>
          <t>Statik / Einsturzsicherung während Abbruch</t>
        </is>
      </c>
      <c r="F450" s="10" t="inlineStr">
        <is>
          <t>Statik</t>
        </is>
      </c>
      <c r="G450" s="12" t="n">
        <v>0.244</v>
      </c>
      <c r="H450" s="13" t="n">
        <v>1176</v>
      </c>
      <c r="I450" s="13" t="n">
        <v>2186</v>
      </c>
      <c r="J450" s="13" t="n">
        <v>3814</v>
      </c>
      <c r="K450" s="14">
        <f>IF(OR(COUNT(G450:J450)&lt;&gt;4,G450&lt;0,G450&gt;1,H450&gt;I450,I450&gt;J450),"n.a.",ROUND(G450*(H450+4*I450+J450)/6+0.00000001,2))</f>
        <v/>
      </c>
      <c r="L450" s="13" t="n">
        <v>0</v>
      </c>
      <c r="M450" s="14">
        <f>SUMIFS(Maßnahmen!$I$7:$I$126,Maßnahmen!$D$7:$D$126,C450,Maßnahmen!$H$7:$H$126,"&lt;&gt;verworfen")</f>
        <v/>
      </c>
      <c r="N450" s="14">
        <f>IF(ISNUMBER(K450),MAX(0,K450-L450-M450),"n.a.")</f>
        <v/>
      </c>
      <c r="O450" s="14" t="n">
        <v>558.52</v>
      </c>
      <c r="P450" s="14">
        <f>IF(ISNUMBER(K450),K450-O450,"n.a.")</f>
        <v/>
      </c>
    </row>
    <row r="451" ht="32" customHeight="1">
      <c r="C451" s="10" t="inlineStr">
        <is>
          <t>PRJ-4f8e93f0-RK-07</t>
        </is>
      </c>
      <c r="D451" s="10" t="inlineStr">
        <is>
          <t>P4102307429</t>
        </is>
      </c>
      <c r="E451" s="11" t="inlineStr">
        <is>
          <t>Unterirdische Tragkonstruktion / Fundamente</t>
        </is>
      </c>
      <c r="F451" s="10" t="inlineStr">
        <is>
          <t>Statik</t>
        </is>
      </c>
      <c r="G451" s="12" t="n">
        <v>0.6</v>
      </c>
      <c r="H451" s="13" t="n">
        <v>336</v>
      </c>
      <c r="I451" s="13" t="n">
        <v>673</v>
      </c>
      <c r="J451" s="13" t="n">
        <v>1402</v>
      </c>
      <c r="K451" s="14">
        <f>IF(OR(COUNT(G451:J451)&lt;&gt;4,G451&lt;0,G451&gt;1,H451&gt;I451,I451&gt;J451),"n.a.",ROUND(G451*(H451+4*I451+J451)/6+0.00000001,2))</f>
        <v/>
      </c>
      <c r="L451" s="13" t="n">
        <v>0</v>
      </c>
      <c r="M451" s="14">
        <f>SUMIFS(Maßnahmen!$I$7:$I$126,Maßnahmen!$D$7:$D$126,C451,Maßnahmen!$H$7:$H$126,"&lt;&gt;verworfen")</f>
        <v/>
      </c>
      <c r="N451" s="14">
        <f>IF(ISNUMBER(K451),MAX(0,K451-L451-M451),"n.a.")</f>
        <v/>
      </c>
      <c r="O451" s="14" t="n">
        <v>443</v>
      </c>
      <c r="P451" s="14">
        <f>IF(ISNUMBER(K451),K451-O451,"n.a.")</f>
        <v/>
      </c>
    </row>
    <row r="452" ht="32" customHeight="1">
      <c r="C452" s="10" t="inlineStr">
        <is>
          <t>PRJ-4f8e93f0-RK-08</t>
        </is>
      </c>
      <c r="D452" s="10" t="inlineStr">
        <is>
          <t>P4102307429</t>
        </is>
      </c>
      <c r="E452" s="11" t="inlineStr">
        <is>
          <t>Gebäudehöhe &gt;22 m / Longfront-Bagger (+130–150 %)</t>
        </is>
      </c>
      <c r="F452" s="10" t="inlineStr">
        <is>
          <t>Termin</t>
        </is>
      </c>
      <c r="G452" s="12" t="n">
        <v>0.2</v>
      </c>
      <c r="H452" s="13" t="n">
        <v>113</v>
      </c>
      <c r="I452" s="13" t="n">
        <v>339</v>
      </c>
      <c r="J452" s="13" t="n">
        <v>678</v>
      </c>
      <c r="K452" s="14">
        <f>IF(OR(COUNT(G452:J452)&lt;&gt;4,G452&lt;0,G452&gt;1,H452&gt;I452,I452&gt;J452),"n.a.",ROUND(G452*(H452+4*I452+J452)/6+0.00000001,2))</f>
        <v/>
      </c>
      <c r="L452" s="13" t="n">
        <v>0</v>
      </c>
      <c r="M452" s="14">
        <f>SUMIFS(Maßnahmen!$I$7:$I$126,Maßnahmen!$D$7:$D$126,C452,Maßnahmen!$H$7:$H$126,"&lt;&gt;verworfen")</f>
        <v/>
      </c>
      <c r="N452" s="14">
        <f>IF(ISNUMBER(K452),MAX(0,K452-L452-M452),"n.a.")</f>
        <v/>
      </c>
      <c r="O452" s="14" t="n">
        <v>71.56999999999999</v>
      </c>
      <c r="P452" s="14">
        <f>IF(ISNUMBER(K452),K452-O452,"n.a.")</f>
        <v/>
      </c>
    </row>
    <row r="453" ht="32" customHeight="1">
      <c r="C453" s="10" t="inlineStr">
        <is>
          <t>PRJ-4f8e93f0-RK-09</t>
        </is>
      </c>
      <c r="D453" s="10" t="inlineStr">
        <is>
          <t>P4102307429</t>
        </is>
      </c>
      <c r="E453" s="11" t="inlineStr">
        <is>
          <t>Beennte Lage / nur Handabbruch möglich</t>
        </is>
      </c>
      <c r="F453" s="10" t="inlineStr">
        <is>
          <t>Termin</t>
        </is>
      </c>
      <c r="G453" s="12" t="n">
        <v>0.5</v>
      </c>
      <c r="H453" s="13" t="n">
        <v>1365</v>
      </c>
      <c r="I453" s="13" t="n">
        <v>2775</v>
      </c>
      <c r="J453" s="13" t="n">
        <v>5662</v>
      </c>
      <c r="K453" s="14">
        <f>IF(OR(COUNT(G453:J453)&lt;&gt;4,G453&lt;0,G453&gt;1,H453&gt;I453,I453&gt;J453),"n.a.",ROUND(G453*(H453+4*I453+J453)/6+0.00000001,2))</f>
        <v/>
      </c>
      <c r="L453" s="13" t="n">
        <v>0</v>
      </c>
      <c r="M453" s="14">
        <f>SUMIFS(Maßnahmen!$I$7:$I$126,Maßnahmen!$D$7:$D$126,C453,Maßnahmen!$H$7:$H$126,"&lt;&gt;verworfen")</f>
        <v/>
      </c>
      <c r="N453" s="14">
        <f>IF(ISNUMBER(K453),MAX(0,K453-L453-M453),"n.a.")</f>
        <v/>
      </c>
      <c r="O453" s="14" t="n">
        <v>1510.58</v>
      </c>
      <c r="P453" s="14">
        <f>IF(ISNUMBER(K453),K453-O453,"n.a.")</f>
        <v/>
      </c>
    </row>
    <row r="454" ht="32" customHeight="1">
      <c r="C454" s="10" t="inlineStr">
        <is>
          <t>PRJ-4f8e93f0-RK-10</t>
        </is>
      </c>
      <c r="D454" s="10" t="inlineStr">
        <is>
          <t>P4102307429</t>
        </is>
      </c>
      <c r="E454" s="11" t="inlineStr">
        <is>
          <t>Terminvorgabe Auftraggeber / Geräteauslastung</t>
        </is>
      </c>
      <c r="F454" s="10" t="inlineStr">
        <is>
          <t>Termin</t>
        </is>
      </c>
      <c r="G454" s="12" t="n">
        <v>0.08</v>
      </c>
      <c r="H454" s="13" t="n">
        <v>56</v>
      </c>
      <c r="I454" s="13" t="n">
        <v>113</v>
      </c>
      <c r="J454" s="13" t="n">
        <v>226</v>
      </c>
      <c r="K454" s="14">
        <f>IF(OR(COUNT(G454:J454)&lt;&gt;4,G454&lt;0,G454&gt;1,H454&gt;I454,I454&gt;J454),"n.a.",ROUND(G454*(H454+4*I454+J454)/6+0.00000001,2))</f>
        <v/>
      </c>
      <c r="L454" s="13" t="n">
        <v>0</v>
      </c>
      <c r="M454" s="14">
        <f>SUMIFS(Maßnahmen!$I$7:$I$126,Maßnahmen!$D$7:$D$126,C454,Maßnahmen!$H$7:$H$126,"&lt;&gt;verworfen")</f>
        <v/>
      </c>
      <c r="N454" s="14">
        <f>IF(ISNUMBER(K454),MAX(0,K454-L454-M454),"n.a.")</f>
        <v/>
      </c>
      <c r="O454" s="14" t="n">
        <v>9.789999999999999</v>
      </c>
      <c r="P454" s="14">
        <f>IF(ISNUMBER(K454),K454-O454,"n.a.")</f>
        <v/>
      </c>
    </row>
    <row r="455" ht="32" customHeight="1">
      <c r="C455" s="10" t="inlineStr">
        <is>
          <t>PRJ-4f8e93f0-RK-11</t>
        </is>
      </c>
      <c r="D455" s="10" t="inlineStr">
        <is>
          <t>P4102307429</t>
        </is>
      </c>
      <c r="E455" s="11" t="inlineStr">
        <is>
          <t>Witterung / Ablaufstörung</t>
        </is>
      </c>
      <c r="F455" s="10" t="inlineStr">
        <is>
          <t>Termin</t>
        </is>
      </c>
      <c r="G455" s="12" t="n">
        <v>0.15</v>
      </c>
      <c r="H455" s="13" t="n">
        <v>113</v>
      </c>
      <c r="I455" s="13" t="n">
        <v>339</v>
      </c>
      <c r="J455" s="13" t="n">
        <v>678</v>
      </c>
      <c r="K455" s="14">
        <f>IF(OR(COUNT(G455:J455)&lt;&gt;4,G455&lt;0,G455&gt;1,H455&gt;I455,I455&gt;J455),"n.a.",ROUND(G455*(H455+4*I455+J455)/6+0.00000001,2))</f>
        <v/>
      </c>
      <c r="L455" s="13" t="n">
        <v>0</v>
      </c>
      <c r="M455" s="14">
        <f>SUMIFS(Maßnahmen!$I$7:$I$126,Maßnahmen!$D$7:$D$126,C455,Maßnahmen!$H$7:$H$126,"&lt;&gt;verworfen")</f>
        <v/>
      </c>
      <c r="N455" s="14">
        <f>IF(ISNUMBER(K455),MAX(0,K455-L455-M455),"n.a.")</f>
        <v/>
      </c>
      <c r="O455" s="14" t="n">
        <v>53.68</v>
      </c>
      <c r="P455" s="14">
        <f>IF(ISNUMBER(K455),K455-O455,"n.a.")</f>
        <v/>
      </c>
    </row>
    <row r="456" ht="32" customHeight="1">
      <c r="C456" s="10" t="inlineStr">
        <is>
          <t>PRJ-4f8e93f0-RK-12</t>
        </is>
      </c>
      <c r="D456" s="10" t="inlineStr">
        <is>
          <t>P4102307429</t>
        </is>
      </c>
      <c r="E456" s="11" t="inlineStr">
        <is>
          <t>Staubemissionen (höchster Aufwand laut Umfrage)</t>
        </is>
      </c>
      <c r="F456" s="10" t="inlineStr">
        <is>
          <t>Emissionen</t>
        </is>
      </c>
      <c r="G456" s="12" t="n">
        <v>0.1</v>
      </c>
      <c r="H456" s="13" t="n">
        <v>339</v>
      </c>
      <c r="I456" s="13" t="n">
        <v>678</v>
      </c>
      <c r="J456" s="13" t="n">
        <v>1355</v>
      </c>
      <c r="K456" s="14">
        <f>IF(OR(COUNT(G456:J456)&lt;&gt;4,G456&lt;0,G456&gt;1,H456&gt;I456,I456&gt;J456),"n.a.",ROUND(G456*(H456+4*I456+J456)/6+0.00000001,2))</f>
        <v/>
      </c>
      <c r="L456" s="13" t="n">
        <v>0</v>
      </c>
      <c r="M456" s="14">
        <f>SUMIFS(Maßnahmen!$I$7:$I$126,Maßnahmen!$D$7:$D$126,C456,Maßnahmen!$H$7:$H$126,"&lt;&gt;verworfen")</f>
        <v/>
      </c>
      <c r="N456" s="14">
        <f>IF(ISNUMBER(K456),MAX(0,K456-L456-M456),"n.a.")</f>
        <v/>
      </c>
      <c r="O456" s="14" t="n">
        <v>73.43000000000001</v>
      </c>
      <c r="P456" s="14">
        <f>IF(ISNUMBER(K456),K456-O456,"n.a.")</f>
        <v/>
      </c>
    </row>
    <row r="457" ht="32" customHeight="1">
      <c r="C457" s="10" t="inlineStr">
        <is>
          <t>PRJ-4f8e93f0-RK-13</t>
        </is>
      </c>
      <c r="D457" s="10" t="inlineStr">
        <is>
          <t>P4102307429</t>
        </is>
      </c>
      <c r="E457" s="11" t="inlineStr">
        <is>
          <t>Lärm- und Erschütterungsauflagen</t>
        </is>
      </c>
      <c r="F457" s="10" t="inlineStr">
        <is>
          <t>Emissionen</t>
        </is>
      </c>
      <c r="G457" s="12" t="n">
        <v>0.6</v>
      </c>
      <c r="H457" s="13" t="n">
        <v>3284</v>
      </c>
      <c r="I457" s="13" t="n">
        <v>5083</v>
      </c>
      <c r="J457" s="13" t="n">
        <v>7342</v>
      </c>
      <c r="K457" s="14">
        <f>IF(OR(COUNT(G457:J457)&lt;&gt;4,G457&lt;0,G457&gt;1,H457&gt;I457,I457&gt;J457),"n.a.",ROUND(G457*(H457+4*I457+J457)/6+0.00000001,2))</f>
        <v/>
      </c>
      <c r="L457" s="13" t="n">
        <v>0</v>
      </c>
      <c r="M457" s="14">
        <f>SUMIFS(Maßnahmen!$I$7:$I$126,Maßnahmen!$D$7:$D$126,C457,Maßnahmen!$H$7:$H$126,"&lt;&gt;verworfen")</f>
        <v/>
      </c>
      <c r="N457" s="14">
        <f>IF(ISNUMBER(K457),MAX(0,K457-L457-M457),"n.a.")</f>
        <v/>
      </c>
      <c r="O457" s="14" t="n">
        <v>3095.8</v>
      </c>
      <c r="P457" s="14">
        <f>IF(ISNUMBER(K457),K457-O457,"n.a.")</f>
        <v/>
      </c>
    </row>
    <row r="458" ht="32" customHeight="1">
      <c r="C458" s="10" t="inlineStr">
        <is>
          <t>PRJ-4f8e93f0-RK-14</t>
        </is>
      </c>
      <c r="D458" s="10" t="inlineStr">
        <is>
          <t>P4102307429</t>
        </is>
      </c>
      <c r="E458" s="11" t="inlineStr">
        <is>
          <t>Rechtliche Auflagen / Entsorgungsnachweise (Formalismus)</t>
        </is>
      </c>
      <c r="F458" s="10" t="inlineStr">
        <is>
          <t>Genehmigung</t>
        </is>
      </c>
      <c r="G458" s="12" t="n">
        <v>0.12</v>
      </c>
      <c r="H458" s="13" t="n">
        <v>169</v>
      </c>
      <c r="I458" s="13" t="n">
        <v>395</v>
      </c>
      <c r="J458" s="13" t="n">
        <v>791</v>
      </c>
      <c r="K458" s="14">
        <f>IF(OR(COUNT(G458:J458)&lt;&gt;4,G458&lt;0,G458&gt;1,H458&gt;I458,I458&gt;J458),"n.a.",ROUND(G458*(H458+4*I458+J458)/6+0.00000001,2))</f>
        <v/>
      </c>
      <c r="L458" s="13" t="n">
        <v>0</v>
      </c>
      <c r="M458" s="14">
        <f>SUMIFS(Maßnahmen!$I$7:$I$126,Maßnahmen!$D$7:$D$126,C458,Maßnahmen!$H$7:$H$126,"&lt;&gt;verworfen")</f>
        <v/>
      </c>
      <c r="N458" s="14">
        <f>IF(ISNUMBER(K458),MAX(0,K458-L458-M458),"n.a.")</f>
        <v/>
      </c>
      <c r="O458" s="14" t="n">
        <v>50.8</v>
      </c>
      <c r="P458" s="14">
        <f>IF(ISNUMBER(K458),K458-O458,"n.a.")</f>
        <v/>
      </c>
    </row>
    <row r="459" ht="32" customHeight="1">
      <c r="C459" s="10" t="inlineStr">
        <is>
          <t>PRJ-4f8e93f0-RK-15</t>
        </is>
      </c>
      <c r="D459" s="10" t="inlineStr">
        <is>
          <t>P4102307429</t>
        </is>
      </c>
      <c r="E459" s="11" t="inlineStr">
        <is>
          <t>Konjunktur / Sekundärstoffpreise &amp; Gerätemiete</t>
        </is>
      </c>
      <c r="F459" s="10" t="inlineStr">
        <is>
          <t>Markt</t>
        </is>
      </c>
      <c r="G459" s="12" t="n">
        <v>0.12</v>
      </c>
      <c r="H459" s="13" t="n">
        <v>90</v>
      </c>
      <c r="I459" s="13" t="n">
        <v>226</v>
      </c>
      <c r="J459" s="13" t="n">
        <v>565</v>
      </c>
      <c r="K459" s="14">
        <f>IF(OR(COUNT(G459:J459)&lt;&gt;4,G459&lt;0,G459&gt;1,H459&gt;I459,I459&gt;J459),"n.a.",ROUND(G459*(H459+4*I459+J459)/6+0.00000001,2))</f>
        <v/>
      </c>
      <c r="L459" s="13" t="n">
        <v>0</v>
      </c>
      <c r="M459" s="14">
        <f>SUMIFS(Maßnahmen!$I$7:$I$126,Maßnahmen!$D$7:$D$126,C459,Maßnahmen!$H$7:$H$126,"&lt;&gt;verworfen")</f>
        <v/>
      </c>
      <c r="N459" s="14">
        <f>IF(ISNUMBER(K459),MAX(0,K459-L459-M459),"n.a.")</f>
        <v/>
      </c>
      <c r="O459" s="14" t="n">
        <v>31.18</v>
      </c>
      <c r="P459" s="14">
        <f>IF(ISNUMBER(K459),K459-O459,"n.a.")</f>
        <v/>
      </c>
    </row>
    <row r="460" ht="32" customHeight="1">
      <c r="C460" s="10" t="inlineStr">
        <is>
          <t>PRJ-4f8e93f6-RK-03</t>
        </is>
      </c>
      <c r="D460" s="10" t="inlineStr">
        <is>
          <t>P4102307423</t>
        </is>
      </c>
      <c r="E460" s="11" t="inlineStr">
        <is>
          <t>Entsorgungs-Mehrkosten / Entsorgungswege</t>
        </is>
      </c>
      <c r="F460" s="10" t="inlineStr">
        <is>
          <t>Entsorgung</t>
        </is>
      </c>
      <c r="G460" s="12" t="n">
        <v>0.476</v>
      </c>
      <c r="H460" s="13" t="n">
        <v>4293</v>
      </c>
      <c r="I460" s="13" t="n">
        <v>7978</v>
      </c>
      <c r="J460" s="13" t="n">
        <v>13201</v>
      </c>
      <c r="K460" s="14">
        <f>IF(OR(COUNT(G460:J460)&lt;&gt;4,G460&lt;0,G460&gt;1,H460&gt;I460,I460&gt;J460),"n.a.",ROUND(G460*(H460+4*I460+J460)/6+0.00000001,2))</f>
        <v/>
      </c>
      <c r="L460" s="13" t="n">
        <v>0</v>
      </c>
      <c r="M460" s="14">
        <f>SUMIFS(Maßnahmen!$I$7:$I$126,Maßnahmen!$D$7:$D$126,C460,Maßnahmen!$H$7:$H$126,"&lt;&gt;verworfen")</f>
        <v/>
      </c>
      <c r="N460" s="14">
        <f>IF(ISNUMBER(K460),MAX(0,K460-L460-M460),"n.a.")</f>
        <v/>
      </c>
      <c r="O460" s="14" t="n">
        <v>3919.54</v>
      </c>
      <c r="P460" s="14">
        <f>IF(ISNUMBER(K460),K460-O460,"n.a.")</f>
        <v/>
      </c>
    </row>
    <row r="461" ht="32" customHeight="1">
      <c r="C461" s="10" t="inlineStr">
        <is>
          <t>PRJ-4f8e93f6-RK-06</t>
        </is>
      </c>
      <c r="D461" s="10" t="inlineStr">
        <is>
          <t>P4102307423</t>
        </is>
      </c>
      <c r="E461" s="11" t="inlineStr">
        <is>
          <t>Statik / Einsturzsicherung während Abbruch</t>
        </is>
      </c>
      <c r="F461" s="10" t="inlineStr">
        <is>
          <t>Statik</t>
        </is>
      </c>
      <c r="G461" s="12" t="n">
        <v>0.388</v>
      </c>
      <c r="H461" s="13" t="n">
        <v>3685</v>
      </c>
      <c r="I461" s="13" t="n">
        <v>6761</v>
      </c>
      <c r="J461" s="13" t="n">
        <v>11686</v>
      </c>
      <c r="K461" s="14">
        <f>IF(OR(COUNT(G461:J461)&lt;&gt;4,G461&lt;0,G461&gt;1,H461&gt;I461,I461&gt;J461),"n.a.",ROUND(G461*(H461+4*I461+J461)/6+0.00000001,2))</f>
        <v/>
      </c>
      <c r="L461" s="13" t="n">
        <v>0</v>
      </c>
      <c r="M461" s="14">
        <f>SUMIFS(Maßnahmen!$I$7:$I$126,Maßnahmen!$D$7:$D$126,C461,Maßnahmen!$H$7:$H$126,"&lt;&gt;verworfen")</f>
        <v/>
      </c>
      <c r="N461" s="14">
        <f>IF(ISNUMBER(K461),MAX(0,K461-L461-M461),"n.a.")</f>
        <v/>
      </c>
      <c r="O461" s="14" t="n">
        <v>2742.84</v>
      </c>
      <c r="P461" s="14">
        <f>IF(ISNUMBER(K461),K461-O461,"n.a.")</f>
        <v/>
      </c>
    </row>
    <row r="462" ht="32" customHeight="1">
      <c r="C462" s="10" t="inlineStr">
        <is>
          <t>PRJ-4f8e93f6-RK-07</t>
        </is>
      </c>
      <c r="D462" s="10" t="inlineStr">
        <is>
          <t>P4102307423</t>
        </is>
      </c>
      <c r="E462" s="11" t="inlineStr">
        <is>
          <t>Unterirdische Tragkonstruktion / Fundamente</t>
        </is>
      </c>
      <c r="F462" s="10" t="inlineStr">
        <is>
          <t>Statik</t>
        </is>
      </c>
      <c r="G462" s="12" t="n">
        <v>0.5</v>
      </c>
      <c r="H462" s="13" t="n">
        <v>1073</v>
      </c>
      <c r="I462" s="13" t="n">
        <v>2089</v>
      </c>
      <c r="J462" s="13" t="n">
        <v>4305</v>
      </c>
      <c r="K462" s="14">
        <f>IF(OR(COUNT(G462:J462)&lt;&gt;4,G462&lt;0,G462&gt;1,H462&gt;I462,I462&gt;J462),"n.a.",ROUND(G462*(H462+4*I462+J462)/6+0.00000001,2))</f>
        <v/>
      </c>
      <c r="L462" s="13" t="n">
        <v>0</v>
      </c>
      <c r="M462" s="14">
        <f>SUMIFS(Maßnahmen!$I$7:$I$126,Maßnahmen!$D$7:$D$126,C462,Maßnahmen!$H$7:$H$126,"&lt;&gt;verworfen")</f>
        <v/>
      </c>
      <c r="N462" s="14">
        <f>IF(ISNUMBER(K462),MAX(0,K462-L462-M462),"n.a.")</f>
        <v/>
      </c>
      <c r="O462" s="14" t="n">
        <v>1144.5</v>
      </c>
      <c r="P462" s="14">
        <f>IF(ISNUMBER(K462),K462-O462,"n.a.")</f>
        <v/>
      </c>
    </row>
    <row r="463" ht="32" customHeight="1">
      <c r="C463" s="10" t="inlineStr">
        <is>
          <t>PRJ-4f8e93f6-RK-08</t>
        </is>
      </c>
      <c r="D463" s="10" t="inlineStr">
        <is>
          <t>P4102307423</t>
        </is>
      </c>
      <c r="E463" s="11" t="inlineStr">
        <is>
          <t>Gebäudehöhe &gt;22 m / Longfront-Bagger (+130–150 %)</t>
        </is>
      </c>
      <c r="F463" s="10" t="inlineStr">
        <is>
          <t>Termin</t>
        </is>
      </c>
      <c r="G463" s="12" t="n">
        <v>0.504</v>
      </c>
      <c r="H463" s="13" t="n">
        <v>2195</v>
      </c>
      <c r="I463" s="13" t="n">
        <v>4464</v>
      </c>
      <c r="J463" s="13" t="n">
        <v>8457</v>
      </c>
      <c r="K463" s="14">
        <f>IF(OR(COUNT(G463:J463)&lt;&gt;4,G463&lt;0,G463&gt;1,H463&gt;I463,I463&gt;J463),"n.a.",ROUND(G463*(H463+4*I463+J463)/6+0.00000001,2))</f>
        <v/>
      </c>
      <c r="L463" s="13" t="n">
        <v>0</v>
      </c>
      <c r="M463" s="14">
        <f>SUMIFS(Maßnahmen!$I$7:$I$126,Maßnahmen!$D$7:$D$126,C463,Maßnahmen!$H$7:$H$126,"&lt;&gt;verworfen")</f>
        <v/>
      </c>
      <c r="N463" s="14">
        <f>IF(ISNUMBER(K463),MAX(0,K463-L463-M463),"n.a.")</f>
        <v/>
      </c>
      <c r="O463" s="14" t="n">
        <v>2394.67</v>
      </c>
      <c r="P463" s="14">
        <f>IF(ISNUMBER(K463),K463-O463,"n.a.")</f>
        <v/>
      </c>
    </row>
    <row r="464" ht="32" customHeight="1">
      <c r="C464" s="10" t="inlineStr">
        <is>
          <t>PRJ-4f8e93f6-RK-14</t>
        </is>
      </c>
      <c r="D464" s="10" t="inlineStr">
        <is>
          <t>P4102307423</t>
        </is>
      </c>
      <c r="E464" s="11" t="inlineStr">
        <is>
          <t>Rechtliche Auflagen / Entsorgungsnachweise (Formalismus)</t>
        </is>
      </c>
      <c r="F464" s="10" t="inlineStr">
        <is>
          <t>Genehmigung</t>
        </is>
      </c>
      <c r="G464" s="12" t="n">
        <v>0.386</v>
      </c>
      <c r="H464" s="13" t="n">
        <v>2350</v>
      </c>
      <c r="I464" s="13" t="n">
        <v>4619</v>
      </c>
      <c r="J464" s="13" t="n">
        <v>8767</v>
      </c>
      <c r="K464" s="14">
        <f>IF(OR(COUNT(G464:J464)&lt;&gt;4,G464&lt;0,G464&gt;1,H464&gt;I464,I464&gt;J464),"n.a.",ROUND(G464*(H464+4*I464+J464)/6+0.00000001,2))</f>
        <v/>
      </c>
      <c r="L464" s="13" t="n">
        <v>0</v>
      </c>
      <c r="M464" s="14">
        <f>SUMIFS(Maßnahmen!$I$7:$I$126,Maßnahmen!$D$7:$D$126,C464,Maßnahmen!$H$7:$H$126,"&lt;&gt;verworfen")</f>
        <v/>
      </c>
      <c r="N464" s="14">
        <f>IF(ISNUMBER(K464),MAX(0,K464-L464-M464),"n.a.")</f>
        <v/>
      </c>
      <c r="O464" s="14" t="n">
        <v>1903.82</v>
      </c>
      <c r="P464" s="14">
        <f>IF(ISNUMBER(K464),K464-O464,"n.a.")</f>
        <v/>
      </c>
    </row>
    <row r="465" ht="32" customHeight="1">
      <c r="C465" s="10" t="inlineStr">
        <is>
          <t>PRJ-4a6f9cbc-RK-03</t>
        </is>
      </c>
      <c r="D465" s="10" t="inlineStr">
        <is>
          <t>P4102608267</t>
        </is>
      </c>
      <c r="E465" s="11" t="inlineStr">
        <is>
          <t>Entsorgungs-Mehrkosten / Entsorgungswege</t>
        </is>
      </c>
      <c r="F465" s="10" t="inlineStr">
        <is>
          <t>Entsorgung</t>
        </is>
      </c>
      <c r="G465" s="12" t="n">
        <v>0.282</v>
      </c>
      <c r="H465" s="13" t="n">
        <v>1364</v>
      </c>
      <c r="I465" s="13" t="n">
        <v>2689</v>
      </c>
      <c r="J465" s="13" t="n">
        <v>4655</v>
      </c>
      <c r="K465" s="14">
        <f>IF(OR(COUNT(G465:J465)&lt;&gt;4,G465&lt;0,G465&gt;1,H465&gt;I465,I465&gt;J465),"n.a.",ROUND(G465*(H465+4*I465+J465)/6+0.00000001,2))</f>
        <v/>
      </c>
      <c r="L465" s="13" t="n">
        <v>0</v>
      </c>
      <c r="M465" s="14">
        <f>SUMIFS(Maßnahmen!$I$7:$I$126,Maßnahmen!$D$7:$D$126,C465,Maßnahmen!$H$7:$H$126,"&lt;&gt;verworfen")</f>
        <v/>
      </c>
      <c r="N465" s="14">
        <f>IF(ISNUMBER(K465),MAX(0,K465-L465-M465),"n.a.")</f>
        <v/>
      </c>
      <c r="O465" s="14" t="n">
        <v>788.4299999999999</v>
      </c>
      <c r="P465" s="14">
        <f>IF(ISNUMBER(K465),K465-O465,"n.a.")</f>
        <v/>
      </c>
    </row>
    <row r="466" ht="32" customHeight="1">
      <c r="C466" s="10" t="inlineStr">
        <is>
          <t>PRJ-4a6f9cbc-RK-05</t>
        </is>
      </c>
      <c r="D466" s="10" t="inlineStr">
        <is>
          <t>P4102608267</t>
        </is>
      </c>
      <c r="E466" s="11" t="inlineStr">
        <is>
          <t>Unbekannte Bauwerkskonstruktion / fehlende Pläne</t>
        </is>
      </c>
      <c r="F466" s="10" t="inlineStr">
        <is>
          <t>Statik</t>
        </is>
      </c>
      <c r="G466" s="12" t="n">
        <v>0.12</v>
      </c>
      <c r="H466" s="13" t="n">
        <v>1710</v>
      </c>
      <c r="I466" s="13" t="n">
        <v>3118</v>
      </c>
      <c r="J466" s="13" t="n">
        <v>5430</v>
      </c>
      <c r="K466" s="14">
        <f>IF(OR(COUNT(G466:J466)&lt;&gt;4,G466&lt;0,G466&gt;1,H466&gt;I466,I466&gt;J466),"n.a.",ROUND(G466*(H466+4*I466+J466)/6+0.00000001,2))</f>
        <v/>
      </c>
      <c r="L466" s="13" t="n">
        <v>0</v>
      </c>
      <c r="M466" s="14">
        <f>SUMIFS(Maßnahmen!$I$7:$I$126,Maßnahmen!$D$7:$D$126,C466,Maßnahmen!$H$7:$H$126,"&lt;&gt;verworfen")</f>
        <v/>
      </c>
      <c r="N466" s="14">
        <f>IF(ISNUMBER(K466),MAX(0,K466-L466-M466),"n.a.")</f>
        <v/>
      </c>
      <c r="O466" s="14" t="n">
        <v>392.24</v>
      </c>
      <c r="P466" s="14">
        <f>IF(ISNUMBER(K466),K466-O466,"n.a.")</f>
        <v/>
      </c>
    </row>
    <row r="467" ht="32" customHeight="1">
      <c r="C467" s="10" t="inlineStr">
        <is>
          <t>PRJ-4a6f9cbc-RK-06</t>
        </is>
      </c>
      <c r="D467" s="10" t="inlineStr">
        <is>
          <t>P4102608267</t>
        </is>
      </c>
      <c r="E467" s="11" t="inlineStr">
        <is>
          <t>Statik / Einsturzsicherung während Abbruch</t>
        </is>
      </c>
      <c r="F467" s="10" t="inlineStr">
        <is>
          <t>Statik</t>
        </is>
      </c>
      <c r="G467" s="12" t="n">
        <v>0.3</v>
      </c>
      <c r="H467" s="13" t="n">
        <v>1324</v>
      </c>
      <c r="I467" s="13" t="n">
        <v>2609</v>
      </c>
      <c r="J467" s="13" t="n">
        <v>4736</v>
      </c>
      <c r="K467" s="14">
        <f>IF(OR(COUNT(G467:J467)&lt;&gt;4,G467&lt;0,G467&gt;1,H467&gt;I467,I467&gt;J467),"n.a.",ROUND(G467*(H467+4*I467+J467)/6+0.00000001,2))</f>
        <v/>
      </c>
      <c r="L467" s="13" t="n">
        <v>0</v>
      </c>
      <c r="M467" s="14">
        <f>SUMIFS(Maßnahmen!$I$7:$I$126,Maßnahmen!$D$7:$D$126,C467,Maßnahmen!$H$7:$H$126,"&lt;&gt;verworfen")</f>
        <v/>
      </c>
      <c r="N467" s="14">
        <f>IF(ISNUMBER(K467),MAX(0,K467-L467-M467),"n.a.")</f>
        <v/>
      </c>
      <c r="O467" s="14" t="n">
        <v>824.8</v>
      </c>
      <c r="P467" s="14">
        <f>IF(ISNUMBER(K467),K467-O467,"n.a.")</f>
        <v/>
      </c>
    </row>
    <row r="468" ht="32" customHeight="1">
      <c r="C468" s="10" t="inlineStr">
        <is>
          <t>PRJ-4a6f9cbc-RK-07</t>
        </is>
      </c>
      <c r="D468" s="10" t="inlineStr">
        <is>
          <t>P4102608267</t>
        </is>
      </c>
      <c r="E468" s="11" t="inlineStr">
        <is>
          <t>Unterirdische Tragkonstruktion / Fundamente</t>
        </is>
      </c>
      <c r="F468" s="10" t="inlineStr">
        <is>
          <t>Statik</t>
        </is>
      </c>
      <c r="G468" s="12" t="n">
        <v>0.5</v>
      </c>
      <c r="H468" s="13" t="n">
        <v>341</v>
      </c>
      <c r="I468" s="13" t="n">
        <v>787</v>
      </c>
      <c r="J468" s="13" t="n">
        <v>1726</v>
      </c>
      <c r="K468" s="14">
        <f>IF(OR(COUNT(G468:J468)&lt;&gt;4,G468&lt;0,G468&gt;1,H468&gt;I468,I468&gt;J468),"n.a.",ROUND(G468*(H468+4*I468+J468)/6+0.00000001,2))</f>
        <v/>
      </c>
      <c r="L468" s="13" t="n">
        <v>0</v>
      </c>
      <c r="M468" s="14">
        <f>SUMIFS(Maßnahmen!$I$7:$I$126,Maßnahmen!$D$7:$D$126,C468,Maßnahmen!$H$7:$H$126,"&lt;&gt;verworfen")</f>
        <v/>
      </c>
      <c r="N468" s="14">
        <f>IF(ISNUMBER(K468),MAX(0,K468-L468-M468),"n.a.")</f>
        <v/>
      </c>
      <c r="O468" s="14" t="n">
        <v>434.58</v>
      </c>
      <c r="P468" s="14">
        <f>IF(ISNUMBER(K468),K468-O468,"n.a.")</f>
        <v/>
      </c>
    </row>
    <row r="469" ht="32" customHeight="1">
      <c r="C469" s="10" t="inlineStr">
        <is>
          <t>PRJ-4a6f9cbc-RK-08</t>
        </is>
      </c>
      <c r="D469" s="10" t="inlineStr">
        <is>
          <t>P4102608267</t>
        </is>
      </c>
      <c r="E469" s="11" t="inlineStr">
        <is>
          <t>Gebäudehöhe &gt;22 m / Longfront-Bagger (+130–150 %)</t>
        </is>
      </c>
      <c r="F469" s="10" t="inlineStr">
        <is>
          <t>Termin</t>
        </is>
      </c>
      <c r="G469" s="12" t="n">
        <v>0.365</v>
      </c>
      <c r="H469" s="13" t="n">
        <v>861</v>
      </c>
      <c r="I469" s="13" t="n">
        <v>1840</v>
      </c>
      <c r="J469" s="13" t="n">
        <v>3516</v>
      </c>
      <c r="K469" s="14">
        <f>IF(OR(COUNT(G469:J469)&lt;&gt;4,G469&lt;0,G469&gt;1,H469&gt;I469,I469&gt;J469),"n.a.",ROUND(G469*(H469+4*I469+J469)/6+0.00000001,2))</f>
        <v/>
      </c>
      <c r="L469" s="13" t="n">
        <v>0</v>
      </c>
      <c r="M469" s="14">
        <f>SUMIFS(Maßnahmen!$I$7:$I$126,Maßnahmen!$D$7:$D$126,C469,Maßnahmen!$H$7:$H$126,"&lt;&gt;verworfen")</f>
        <v/>
      </c>
      <c r="N469" s="14">
        <f>IF(ISNUMBER(K469),MAX(0,K469-L469-M469),"n.a.")</f>
        <v/>
      </c>
      <c r="O469" s="14" t="n">
        <v>714</v>
      </c>
      <c r="P469" s="14">
        <f>IF(ISNUMBER(K469),K469-O469,"n.a.")</f>
        <v/>
      </c>
    </row>
    <row r="470" ht="32" customHeight="1">
      <c r="C470" s="10" t="inlineStr">
        <is>
          <t>PRJ-4a6f9cbc-RK-09</t>
        </is>
      </c>
      <c r="D470" s="10" t="inlineStr">
        <is>
          <t>P4102608267</t>
        </is>
      </c>
      <c r="E470" s="11" t="inlineStr">
        <is>
          <t>Beennte Lage / nur Handabbruch möglich</t>
        </is>
      </c>
      <c r="F470" s="10" t="inlineStr">
        <is>
          <t>Termin</t>
        </is>
      </c>
      <c r="G470" s="12" t="n">
        <v>0.256</v>
      </c>
      <c r="H470" s="13" t="n">
        <v>463</v>
      </c>
      <c r="I470" s="13" t="n">
        <v>1006</v>
      </c>
      <c r="J470" s="13" t="n">
        <v>2213</v>
      </c>
      <c r="K470" s="14">
        <f>IF(OR(COUNT(G470:J470)&lt;&gt;4,G470&lt;0,G470&gt;1,H470&gt;I470,I470&gt;J470),"n.a.",ROUND(G470*(H470+4*I470+J470)/6+0.00000001,2))</f>
        <v/>
      </c>
      <c r="L470" s="13" t="n">
        <v>0</v>
      </c>
      <c r="M470" s="14">
        <f>SUMIFS(Maßnahmen!$I$7:$I$126,Maßnahmen!$D$7:$D$126,C470,Maßnahmen!$H$7:$H$126,"&lt;&gt;verworfen")</f>
        <v/>
      </c>
      <c r="N470" s="14">
        <f>IF(ISNUMBER(K470),MAX(0,K470-L470-M470),"n.a.")</f>
        <v/>
      </c>
      <c r="O470" s="14" t="n">
        <v>285.87</v>
      </c>
      <c r="P470" s="14">
        <f>IF(ISNUMBER(K470),K470-O470,"n.a.")</f>
        <v/>
      </c>
    </row>
    <row r="471" ht="32" customHeight="1">
      <c r="C471" s="10" t="inlineStr">
        <is>
          <t>PRJ-4a6f9cbc-RK-12</t>
        </is>
      </c>
      <c r="D471" s="10" t="inlineStr">
        <is>
          <t>P4102608267</t>
        </is>
      </c>
      <c r="E471" s="11" t="inlineStr">
        <is>
          <t>Staubemissionen (höchster Aufwand laut Umfrage)</t>
        </is>
      </c>
      <c r="F471" s="10" t="inlineStr">
        <is>
          <t>Emissionen</t>
        </is>
      </c>
      <c r="G471" s="12" t="n">
        <v>0.102</v>
      </c>
      <c r="H471" s="13" t="n">
        <v>731</v>
      </c>
      <c r="I471" s="13" t="n">
        <v>1359</v>
      </c>
      <c r="J471" s="13" t="n">
        <v>2667</v>
      </c>
      <c r="K471" s="14">
        <f>IF(OR(COUNT(G471:J471)&lt;&gt;4,G471&lt;0,G471&gt;1,H471&gt;I471,I471&gt;J471),"n.a.",ROUND(G471*(H471+4*I471+J471)/6+0.00000001,2))</f>
        <v/>
      </c>
      <c r="L471" s="13" t="n">
        <v>0</v>
      </c>
      <c r="M471" s="14">
        <f>SUMIFS(Maßnahmen!$I$7:$I$126,Maßnahmen!$D$7:$D$126,C471,Maßnahmen!$H$7:$H$126,"&lt;&gt;verworfen")</f>
        <v/>
      </c>
      <c r="N471" s="14">
        <f>IF(ISNUMBER(K471),MAX(0,K471-L471-M471),"n.a.")</f>
        <v/>
      </c>
      <c r="O471" s="14" t="n">
        <v>150.18</v>
      </c>
      <c r="P471" s="14">
        <f>IF(ISNUMBER(K471),K471-O471,"n.a.")</f>
        <v/>
      </c>
    </row>
    <row r="472" ht="32" customHeight="1">
      <c r="C472" s="10" t="inlineStr">
        <is>
          <t>PRJ-4a6f9cbc-RK-13</t>
        </is>
      </c>
      <c r="D472" s="10" t="inlineStr">
        <is>
          <t>P4102608267</t>
        </is>
      </c>
      <c r="E472" s="11" t="inlineStr">
        <is>
          <t>Lärm- und Erschütterungsauflagen</t>
        </is>
      </c>
      <c r="F472" s="10" t="inlineStr">
        <is>
          <t>Emissionen</t>
        </is>
      </c>
      <c r="G472" s="12" t="n">
        <v>0.366</v>
      </c>
      <c r="H472" s="13" t="n">
        <v>1127</v>
      </c>
      <c r="I472" s="13" t="n">
        <v>2334</v>
      </c>
      <c r="J472" s="13" t="n">
        <v>4306</v>
      </c>
      <c r="K472" s="14">
        <f>IF(OR(COUNT(G472:J472)&lt;&gt;4,G472&lt;0,G472&gt;1,H472&gt;I472,I472&gt;J472),"n.a.",ROUND(G472*(H472+4*I472+J472)/6+0.00000001,2))</f>
        <v/>
      </c>
      <c r="L472" s="13" t="n">
        <v>0</v>
      </c>
      <c r="M472" s="14">
        <f>SUMIFS(Maßnahmen!$I$7:$I$126,Maßnahmen!$D$7:$D$126,C472,Maßnahmen!$H$7:$H$126,"&lt;&gt;verworfen")</f>
        <v/>
      </c>
      <c r="N472" s="14">
        <f>IF(ISNUMBER(K472),MAX(0,K472-L472-M472),"n.a.")</f>
        <v/>
      </c>
      <c r="O472" s="14" t="n">
        <v>900.91</v>
      </c>
      <c r="P472" s="14">
        <f>IF(ISNUMBER(K472),K472-O472,"n.a.")</f>
        <v/>
      </c>
    </row>
    <row r="473" ht="32" customHeight="1">
      <c r="C473" s="10" t="inlineStr">
        <is>
          <t>PRJ-4a6f9cbc-RK-14</t>
        </is>
      </c>
      <c r="D473" s="10" t="inlineStr">
        <is>
          <t>P4102608267</t>
        </is>
      </c>
      <c r="E473" s="11" t="inlineStr">
        <is>
          <t>Rechtliche Auflagen / Entsorgungsnachweise (Formalismus)</t>
        </is>
      </c>
      <c r="F473" s="10" t="inlineStr">
        <is>
          <t>Genehmigung</t>
        </is>
      </c>
      <c r="G473" s="12" t="n">
        <v>0.264</v>
      </c>
      <c r="H473" s="13" t="n">
        <v>962</v>
      </c>
      <c r="I473" s="13" t="n">
        <v>1941</v>
      </c>
      <c r="J473" s="13" t="n">
        <v>3717</v>
      </c>
      <c r="K473" s="14">
        <f>IF(OR(COUNT(G473:J473)&lt;&gt;4,G473&lt;0,G473&gt;1,H473&gt;I473,I473&gt;J473),"n.a.",ROUND(G473*(H473+4*I473+J473)/6+0.00000001,2))</f>
        <v/>
      </c>
      <c r="L473" s="13" t="n">
        <v>0</v>
      </c>
      <c r="M473" s="14">
        <f>SUMIFS(Maßnahmen!$I$7:$I$126,Maßnahmen!$D$7:$D$126,C473,Maßnahmen!$H$7:$H$126,"&lt;&gt;verworfen")</f>
        <v/>
      </c>
      <c r="N473" s="14">
        <f>IF(ISNUMBER(K473),MAX(0,K473-L473-M473),"n.a.")</f>
        <v/>
      </c>
      <c r="O473" s="14" t="n">
        <v>547.49</v>
      </c>
      <c r="P473" s="14">
        <f>IF(ISNUMBER(K473),K473-O473,"n.a.")</f>
        <v/>
      </c>
    </row>
    <row r="474" ht="32" customHeight="1">
      <c r="C474" s="10" t="inlineStr">
        <is>
          <t>PRJ-52b1cf4d-RK-05</t>
        </is>
      </c>
      <c r="D474" s="10" t="inlineStr">
        <is>
          <t>P4102157458</t>
        </is>
      </c>
      <c r="E474" s="11" t="inlineStr">
        <is>
          <t>Unbekannte Bauwerkskonstruktion / fehlende Pläne</t>
        </is>
      </c>
      <c r="F474" s="10" t="inlineStr">
        <is>
          <t>Statik</t>
        </is>
      </c>
      <c r="G474" s="12" t="n">
        <v>0.37</v>
      </c>
      <c r="H474" s="13" t="n">
        <v>1282</v>
      </c>
      <c r="I474" s="13" t="n">
        <v>2202</v>
      </c>
      <c r="J474" s="13" t="n">
        <v>3220</v>
      </c>
      <c r="K474" s="14">
        <f>IF(OR(COUNT(G474:J474)&lt;&gt;4,G474&lt;0,G474&gt;1,H474&gt;I474,I474&gt;J474),"n.a.",ROUND(G474*(H474+4*I474+J474)/6+0.00000001,2))</f>
        <v/>
      </c>
      <c r="L474" s="13" t="n">
        <v>0</v>
      </c>
      <c r="M474" s="14">
        <f>SUMIFS(Maßnahmen!$I$7:$I$126,Maßnahmen!$D$7:$D$126,C474,Maßnahmen!$H$7:$H$126,"&lt;&gt;verworfen")</f>
        <v/>
      </c>
      <c r="N474" s="14">
        <f>IF(ISNUMBER(K474),MAX(0,K474-L474-M474),"n.a.")</f>
        <v/>
      </c>
      <c r="O474" s="14" t="n">
        <v>820.78</v>
      </c>
      <c r="P474" s="14">
        <f>IF(ISNUMBER(K474),K474-O474,"n.a.")</f>
        <v/>
      </c>
    </row>
    <row r="475" ht="32" customHeight="1">
      <c r="C475" s="10" t="inlineStr">
        <is>
          <t>PRJ-52b1cf4d-RK-08</t>
        </is>
      </c>
      <c r="D475" s="10" t="inlineStr">
        <is>
          <t>P4102157458</t>
        </is>
      </c>
      <c r="E475" s="11" t="inlineStr">
        <is>
          <t>Gebäudehöhe &gt;22 m / Longfront-Bagger (+130–150 %)</t>
        </is>
      </c>
      <c r="F475" s="10" t="inlineStr">
        <is>
          <t>Termin</t>
        </is>
      </c>
      <c r="G475" s="12" t="n">
        <v>0.2</v>
      </c>
      <c r="H475" s="13" t="n">
        <v>50</v>
      </c>
      <c r="I475" s="13" t="n">
        <v>149</v>
      </c>
      <c r="J475" s="13" t="n">
        <v>297</v>
      </c>
      <c r="K475" s="14">
        <f>IF(OR(COUNT(G475:J475)&lt;&gt;4,G475&lt;0,G475&gt;1,H475&gt;I475,I475&gt;J475),"n.a.",ROUND(G475*(H475+4*I475+J475)/6+0.00000001,2))</f>
        <v/>
      </c>
      <c r="L475" s="13" t="n">
        <v>0</v>
      </c>
      <c r="M475" s="14">
        <f>SUMIFS(Maßnahmen!$I$7:$I$126,Maßnahmen!$D$7:$D$126,C475,Maßnahmen!$H$7:$H$126,"&lt;&gt;verworfen")</f>
        <v/>
      </c>
      <c r="N475" s="14">
        <f>IF(ISNUMBER(K475),MAX(0,K475-L475-M475),"n.a.")</f>
        <v/>
      </c>
      <c r="O475" s="14" t="n">
        <v>31.43</v>
      </c>
      <c r="P475" s="14">
        <f>IF(ISNUMBER(K475),K475-O475,"n.a.")</f>
        <v/>
      </c>
    </row>
    <row r="476" ht="32" customHeight="1">
      <c r="C476" s="10" t="inlineStr">
        <is>
          <t>PRJ-4f8e93d1-RK-15</t>
        </is>
      </c>
      <c r="D476" s="10" t="inlineStr">
        <is>
          <t>P4102307439</t>
        </is>
      </c>
      <c r="E476" s="11" t="inlineStr">
        <is>
          <t>Konjunktur / Sekundärstoffpreise &amp; Gerätemiete</t>
        </is>
      </c>
      <c r="F476" s="10" t="inlineStr">
        <is>
          <t>Markt</t>
        </is>
      </c>
      <c r="G476" s="12" t="n">
        <v>0.12</v>
      </c>
      <c r="H476" s="13" t="n">
        <v>632</v>
      </c>
      <c r="I476" s="13" t="n">
        <v>1581</v>
      </c>
      <c r="J476" s="13" t="n">
        <v>3953</v>
      </c>
      <c r="K476" s="14">
        <f>IF(OR(COUNT(G476:J476)&lt;&gt;4,G476&lt;0,G476&gt;1,H476&gt;I476,I476&gt;J476),"n.a.",ROUND(G476*(H476+4*I476+J476)/6+0.00000001,2))</f>
        <v/>
      </c>
      <c r="L476" s="13" t="n">
        <v>0</v>
      </c>
      <c r="M476" s="14">
        <f>SUMIFS(Maßnahmen!$I$7:$I$126,Maßnahmen!$D$7:$D$126,C476,Maßnahmen!$H$7:$H$126,"&lt;&gt;verworfen")</f>
        <v/>
      </c>
      <c r="N476" s="14">
        <f>IF(ISNUMBER(K476),MAX(0,K476-L476-M476),"n.a.")</f>
        <v/>
      </c>
      <c r="O476" s="14" t="n">
        <v>218.18</v>
      </c>
      <c r="P476" s="14">
        <f>IF(ISNUMBER(K476),K476-O476,"n.a.")</f>
        <v/>
      </c>
    </row>
    <row r="477" ht="32" customHeight="1">
      <c r="C477" s="10" t="inlineStr">
        <is>
          <t>PRJ-52b1cf4d-RK-09</t>
        </is>
      </c>
      <c r="D477" s="10" t="inlineStr">
        <is>
          <t>P4102157458</t>
        </is>
      </c>
      <c r="E477" s="11" t="inlineStr">
        <is>
          <t>Beennte Lage / nur Handabbruch möglich</t>
        </is>
      </c>
      <c r="F477" s="10" t="inlineStr">
        <is>
          <t>Termin</t>
        </is>
      </c>
      <c r="G477" s="12" t="n">
        <v>0.5</v>
      </c>
      <c r="H477" s="13" t="n">
        <v>401</v>
      </c>
      <c r="I477" s="13" t="n">
        <v>821</v>
      </c>
      <c r="J477" s="13" t="n">
        <v>1692</v>
      </c>
      <c r="K477" s="14">
        <f>IF(OR(COUNT(G477:J477)&lt;&gt;4,G477&lt;0,G477&gt;1,H477&gt;I477,I477&gt;J477),"n.a.",ROUND(G477*(H477+4*I477+J477)/6+0.00000001,2))</f>
        <v/>
      </c>
      <c r="L477" s="13" t="n">
        <v>0</v>
      </c>
      <c r="M477" s="14">
        <f>SUMIFS(Maßnahmen!$I$7:$I$126,Maßnahmen!$D$7:$D$126,C477,Maßnahmen!$H$7:$H$126,"&lt;&gt;verworfen")</f>
        <v/>
      </c>
      <c r="N477" s="14">
        <f>IF(ISNUMBER(K477),MAX(0,K477-L477-M477),"n.a.")</f>
        <v/>
      </c>
      <c r="O477" s="14" t="n">
        <v>448.08</v>
      </c>
      <c r="P477" s="14">
        <f>IF(ISNUMBER(K477),K477-O477,"n.a.")</f>
        <v/>
      </c>
    </row>
    <row r="478" ht="32" customHeight="1">
      <c r="C478" s="10" t="inlineStr">
        <is>
          <t>PRJ-52b1cf4d-RK-12</t>
        </is>
      </c>
      <c r="D478" s="10" t="inlineStr">
        <is>
          <t>P4102157458</t>
        </is>
      </c>
      <c r="E478" s="11" t="inlineStr">
        <is>
          <t>Staubemissionen (höchster Aufwand laut Umfrage)</t>
        </is>
      </c>
      <c r="F478" s="10" t="inlineStr">
        <is>
          <t>Emissionen</t>
        </is>
      </c>
      <c r="G478" s="12" t="n">
        <v>0.22</v>
      </c>
      <c r="H478" s="13" t="n">
        <v>149</v>
      </c>
      <c r="I478" s="13" t="n">
        <v>297</v>
      </c>
      <c r="J478" s="13" t="n">
        <v>594</v>
      </c>
      <c r="K478" s="14">
        <f>IF(OR(COUNT(G478:J478)&lt;&gt;4,G478&lt;0,G478&gt;1,H478&gt;I478,I478&gt;J478),"n.a.",ROUND(G478*(H478+4*I478+J478)/6+0.00000001,2))</f>
        <v/>
      </c>
      <c r="L478" s="13" t="n">
        <v>0</v>
      </c>
      <c r="M478" s="14">
        <f>SUMIFS(Maßnahmen!$I$7:$I$126,Maßnahmen!$D$7:$D$126,C478,Maßnahmen!$H$7:$H$126,"&lt;&gt;verworfen")</f>
        <v/>
      </c>
      <c r="N478" s="14">
        <f>IF(ISNUMBER(K478),MAX(0,K478-L478-M478),"n.a.")</f>
        <v/>
      </c>
      <c r="O478" s="14" t="n">
        <v>70.8</v>
      </c>
      <c r="P478" s="14">
        <f>IF(ISNUMBER(K478),K478-O478,"n.a.")</f>
        <v/>
      </c>
    </row>
    <row r="479" ht="32" customHeight="1">
      <c r="C479" s="10" t="inlineStr">
        <is>
          <t>PRJ-52b1cf4d-RK-13</t>
        </is>
      </c>
      <c r="D479" s="10" t="inlineStr">
        <is>
          <t>P4102157458</t>
        </is>
      </c>
      <c r="E479" s="11" t="inlineStr">
        <is>
          <t>Lärm- und Erschütterungsauflagen</t>
        </is>
      </c>
      <c r="F479" s="10" t="inlineStr">
        <is>
          <t>Emissionen</t>
        </is>
      </c>
      <c r="G479" s="12" t="n">
        <v>0.6</v>
      </c>
      <c r="H479" s="13" t="n">
        <v>966</v>
      </c>
      <c r="I479" s="13" t="n">
        <v>1837</v>
      </c>
      <c r="J479" s="13" t="n">
        <v>3220</v>
      </c>
      <c r="K479" s="14">
        <f>IF(OR(COUNT(G479:J479)&lt;&gt;4,G479&lt;0,G479&gt;1,H479&gt;I479,I479&gt;J479),"n.a.",ROUND(G479*(H479+4*I479+J479)/6+0.00000001,2))</f>
        <v/>
      </c>
      <c r="L479" s="13" t="n">
        <v>0</v>
      </c>
      <c r="M479" s="14">
        <f>SUMIFS(Maßnahmen!$I$7:$I$126,Maßnahmen!$D$7:$D$126,C479,Maßnahmen!$H$7:$H$126,"&lt;&gt;verworfen")</f>
        <v/>
      </c>
      <c r="N479" s="14">
        <f>IF(ISNUMBER(K479),MAX(0,K479-L479-M479),"n.a.")</f>
        <v/>
      </c>
      <c r="O479" s="14" t="n">
        <v>1153.4</v>
      </c>
      <c r="P479" s="14">
        <f>IF(ISNUMBER(K479),K479-O479,"n.a.")</f>
        <v/>
      </c>
    </row>
    <row r="480" ht="32" customHeight="1">
      <c r="C480" s="10" t="inlineStr">
        <is>
          <t>PRJ-52b1cf4d-RK-14</t>
        </is>
      </c>
      <c r="D480" s="10" t="inlineStr">
        <is>
          <t>P4102157458</t>
        </is>
      </c>
      <c r="E480" s="11" t="inlineStr">
        <is>
          <t>Rechtliche Auflagen / Entsorgungsnachweise (Formalismus)</t>
        </is>
      </c>
      <c r="F480" s="10" t="inlineStr">
        <is>
          <t>Genehmigung</t>
        </is>
      </c>
      <c r="G480" s="12" t="n">
        <v>0.12</v>
      </c>
      <c r="H480" s="13" t="n">
        <v>74</v>
      </c>
      <c r="I480" s="13" t="n">
        <v>173</v>
      </c>
      <c r="J480" s="13" t="n">
        <v>347</v>
      </c>
      <c r="K480" s="14">
        <f>IF(OR(COUNT(G480:J480)&lt;&gt;4,G480&lt;0,G480&gt;1,H480&gt;I480,I480&gt;J480),"n.a.",ROUND(G480*(H480+4*I480+J480)/6+0.00000001,2))</f>
        <v/>
      </c>
      <c r="L480" s="13" t="n">
        <v>0</v>
      </c>
      <c r="M480" s="14">
        <f>SUMIFS(Maßnahmen!$I$7:$I$126,Maßnahmen!$D$7:$D$126,C480,Maßnahmen!$H$7:$H$126,"&lt;&gt;verworfen")</f>
        <v/>
      </c>
      <c r="N480" s="14">
        <f>IF(ISNUMBER(K480),MAX(0,K480-L480-M480),"n.a.")</f>
        <v/>
      </c>
      <c r="O480" s="14" t="n">
        <v>22.26</v>
      </c>
      <c r="P480" s="14">
        <f>IF(ISNUMBER(K480),K480-O480,"n.a.")</f>
        <v/>
      </c>
    </row>
    <row r="481" ht="32" customHeight="1">
      <c r="C481" s="10" t="inlineStr">
        <is>
          <t>PRJ-52b1d76a-RK-01</t>
        </is>
      </c>
      <c r="D481" s="10" t="inlineStr">
        <is>
          <t>P4102157208</t>
        </is>
      </c>
      <c r="E481" s="11" t="inlineStr">
        <is>
          <t>Schadstofffund / Schadstoffsanierung (Asbest, PAK, PCB, PCP)</t>
        </is>
      </c>
      <c r="F481" s="10" t="inlineStr">
        <is>
          <t>Schadstoffe</t>
        </is>
      </c>
      <c r="G481" s="12" t="n">
        <v>0.7</v>
      </c>
      <c r="H481" s="13" t="n">
        <v>6730</v>
      </c>
      <c r="I481" s="13" t="n">
        <v>8653</v>
      </c>
      <c r="J481" s="13" t="n">
        <v>12499</v>
      </c>
      <c r="K481" s="14">
        <f>IF(OR(COUNT(G481:J481)&lt;&gt;4,G481&lt;0,G481&gt;1,H481&gt;I481,I481&gt;J481),"n.a.",ROUND(G481*(H481+4*I481+J481)/6+0.00000001,2))</f>
        <v/>
      </c>
      <c r="L481" s="13" t="n">
        <v>0</v>
      </c>
      <c r="M481" s="14">
        <f>SUMIFS(Maßnahmen!$I$7:$I$126,Maßnahmen!$D$7:$D$126,C481,Maßnahmen!$H$7:$H$126,"&lt;&gt;verworfen")</f>
        <v/>
      </c>
      <c r="N481" s="14">
        <f>IF(ISNUMBER(K481),MAX(0,K481-L481-M481),"n.a.")</f>
        <v/>
      </c>
      <c r="O481" s="14" t="n">
        <v>6281.45</v>
      </c>
      <c r="P481" s="14">
        <f>IF(ISNUMBER(K481),K481-O481,"n.a.")</f>
        <v/>
      </c>
    </row>
    <row r="482" ht="32" customHeight="1">
      <c r="C482" s="10" t="inlineStr">
        <is>
          <t>PRJ-52b1d76a-RK-02</t>
        </is>
      </c>
      <c r="D482" s="10" t="inlineStr">
        <is>
          <t>P4102157208</t>
        </is>
      </c>
      <c r="E482" s="11" t="inlineStr">
        <is>
          <t>Arbeitsschutz kontaminierte Bereiche (TRGS 524)</t>
        </is>
      </c>
      <c r="F482" s="10" t="inlineStr">
        <is>
          <t>Schadstoffe</t>
        </is>
      </c>
      <c r="G482" s="12" t="n">
        <v>0.1</v>
      </c>
      <c r="H482" s="13" t="n">
        <v>96</v>
      </c>
      <c r="I482" s="13" t="n">
        <v>192</v>
      </c>
      <c r="J482" s="13" t="n">
        <v>385</v>
      </c>
      <c r="K482" s="14">
        <f>IF(OR(COUNT(G482:J482)&lt;&gt;4,G482&lt;0,G482&gt;1,H482&gt;I482,I482&gt;J482),"n.a.",ROUND(G482*(H482+4*I482+J482)/6+0.00000001,2))</f>
        <v/>
      </c>
      <c r="L482" s="13" t="n">
        <v>0</v>
      </c>
      <c r="M482" s="14">
        <f>SUMIFS(Maßnahmen!$I$7:$I$126,Maßnahmen!$D$7:$D$126,C482,Maßnahmen!$H$7:$H$126,"&lt;&gt;verworfen")</f>
        <v/>
      </c>
      <c r="N482" s="14">
        <f>IF(ISNUMBER(K482),MAX(0,K482-L482-M482),"n.a.")</f>
        <v/>
      </c>
      <c r="O482" s="14" t="n">
        <v>20.82</v>
      </c>
      <c r="P482" s="14">
        <f>IF(ISNUMBER(K482),K482-O482,"n.a.")</f>
        <v/>
      </c>
    </row>
    <row r="483" ht="32" customHeight="1">
      <c r="C483" s="10" t="inlineStr">
        <is>
          <t>PRJ-39e56810-RK-11</t>
        </is>
      </c>
      <c r="D483" s="10" t="inlineStr">
        <is>
          <t>W4102504102</t>
        </is>
      </c>
      <c r="E483" s="11" t="inlineStr">
        <is>
          <t>Witterung / Ablaufstörung</t>
        </is>
      </c>
      <c r="F483" s="10" t="inlineStr">
        <is>
          <t>Termin</t>
        </is>
      </c>
      <c r="G483" s="12" t="n">
        <v>0.25</v>
      </c>
      <c r="H483" s="13" t="n">
        <v>10</v>
      </c>
      <c r="I483" s="13" t="n">
        <v>30</v>
      </c>
      <c r="J483" s="13" t="n">
        <v>60</v>
      </c>
      <c r="K483" s="14">
        <f>IF(OR(COUNT(G483:J483)&lt;&gt;4,G483&lt;0,G483&gt;1,H483&gt;I483,I483&gt;J483),"n.a.",ROUND(G483*(H483+4*I483+J483)/6+0.00000001,2))</f>
        <v/>
      </c>
      <c r="L483" s="13" t="n">
        <v>0</v>
      </c>
      <c r="M483" s="14">
        <f>SUMIFS(Maßnahmen!$I$7:$I$126,Maßnahmen!$D$7:$D$126,C483,Maßnahmen!$H$7:$H$126,"&lt;&gt;verworfen")</f>
        <v/>
      </c>
      <c r="N483" s="14">
        <f>IF(ISNUMBER(K483),MAX(0,K483-L483-M483),"n.a.")</f>
        <v/>
      </c>
      <c r="O483" s="14" t="n">
        <v>7.92</v>
      </c>
      <c r="P483" s="14">
        <f>IF(ISNUMBER(K483),K483-O483,"n.a.")</f>
        <v/>
      </c>
    </row>
    <row r="484" ht="32" customHeight="1">
      <c r="C484" s="10" t="inlineStr">
        <is>
          <t>PRJ-52b1d76a-RK-03</t>
        </is>
      </c>
      <c r="D484" s="10" t="inlineStr">
        <is>
          <t>P4102157208</t>
        </is>
      </c>
      <c r="E484" s="11" t="inlineStr">
        <is>
          <t>Entsorgungs-Mehrkosten / Entsorgungswege</t>
        </is>
      </c>
      <c r="F484" s="10" t="inlineStr">
        <is>
          <t>Entsorgung</t>
        </is>
      </c>
      <c r="G484" s="12" t="n">
        <v>0.513</v>
      </c>
      <c r="H484" s="13" t="n">
        <v>2926</v>
      </c>
      <c r="I484" s="13" t="n">
        <v>5408</v>
      </c>
      <c r="J484" s="13" t="n">
        <v>8911</v>
      </c>
      <c r="K484" s="14">
        <f>IF(OR(COUNT(G484:J484)&lt;&gt;4,G484&lt;0,G484&gt;1,H484&gt;I484,I484&gt;J484),"n.a.",ROUND(G484*(H484+4*I484+J484)/6+0.00000001,2))</f>
        <v/>
      </c>
      <c r="L484" s="13" t="n">
        <v>0</v>
      </c>
      <c r="M484" s="14">
        <f>SUMIFS(Maßnahmen!$I$7:$I$126,Maßnahmen!$D$7:$D$126,C484,Maßnahmen!$H$7:$H$126,"&lt;&gt;verworfen")</f>
        <v/>
      </c>
      <c r="N484" s="14">
        <f>IF(ISNUMBER(K484),MAX(0,K484-L484-M484),"n.a.")</f>
        <v/>
      </c>
      <c r="O484" s="14" t="n">
        <v>2861.6</v>
      </c>
      <c r="P484" s="14">
        <f>IF(ISNUMBER(K484),K484-O484,"n.a.")</f>
        <v/>
      </c>
    </row>
    <row r="485" ht="32" customHeight="1">
      <c r="C485" s="10" t="inlineStr">
        <is>
          <t>PRJ-52b1d76a-RK-04</t>
        </is>
      </c>
      <c r="D485" s="10" t="inlineStr">
        <is>
          <t>P4102157208</t>
        </is>
      </c>
      <c r="E485" s="11" t="inlineStr">
        <is>
          <t>Baustofftrennung / Aufbereitung nicht wie geplant</t>
        </is>
      </c>
      <c r="F485" s="10" t="inlineStr">
        <is>
          <t>Entsorgung</t>
        </is>
      </c>
      <c r="G485" s="12" t="n">
        <v>0.08</v>
      </c>
      <c r="H485" s="13" t="n">
        <v>96</v>
      </c>
      <c r="I485" s="13" t="n">
        <v>192</v>
      </c>
      <c r="J485" s="13" t="n">
        <v>385</v>
      </c>
      <c r="K485" s="14">
        <f>IF(OR(COUNT(G485:J485)&lt;&gt;4,G485&lt;0,G485&gt;1,H485&gt;I485,I485&gt;J485),"n.a.",ROUND(G485*(H485+4*I485+J485)/6+0.00000001,2))</f>
        <v/>
      </c>
      <c r="L485" s="13" t="n">
        <v>0</v>
      </c>
      <c r="M485" s="14">
        <f>SUMIFS(Maßnahmen!$I$7:$I$126,Maßnahmen!$D$7:$D$126,C485,Maßnahmen!$H$7:$H$126,"&lt;&gt;verworfen")</f>
        <v/>
      </c>
      <c r="N485" s="14">
        <f>IF(ISNUMBER(K485),MAX(0,K485-L485-M485),"n.a.")</f>
        <v/>
      </c>
      <c r="O485" s="14" t="n">
        <v>16.65</v>
      </c>
      <c r="P485" s="14">
        <f>IF(ISNUMBER(K485),K485-O485,"n.a.")</f>
        <v/>
      </c>
    </row>
    <row r="486" ht="32" customHeight="1">
      <c r="C486" s="10" t="inlineStr">
        <is>
          <t>PRJ-52b1d76a-RK-05</t>
        </is>
      </c>
      <c r="D486" s="10" t="inlineStr">
        <is>
          <t>P4102157208</t>
        </is>
      </c>
      <c r="E486" s="11" t="inlineStr">
        <is>
          <t>Unbekannte Bauwerkskonstruktion / fehlende Pläne</t>
        </is>
      </c>
      <c r="F486" s="10" t="inlineStr">
        <is>
          <t>Statik</t>
        </is>
      </c>
      <c r="G486" s="12" t="n">
        <v>0.22</v>
      </c>
      <c r="H486" s="13" t="n">
        <v>2546</v>
      </c>
      <c r="I486" s="13" t="n">
        <v>4499</v>
      </c>
      <c r="J486" s="13" t="n">
        <v>7622</v>
      </c>
      <c r="K486" s="14">
        <f>IF(OR(COUNT(G486:J486)&lt;&gt;4,G486&lt;0,G486&gt;1,H486&gt;I486,I486&gt;J486),"n.a.",ROUND(G486*(H486+4*I486+J486)/6+0.00000001,2))</f>
        <v/>
      </c>
      <c r="L486" s="13" t="n">
        <v>0</v>
      </c>
      <c r="M486" s="14">
        <f>SUMIFS(Maßnahmen!$I$7:$I$126,Maßnahmen!$D$7:$D$126,C486,Maßnahmen!$H$7:$H$126,"&lt;&gt;verworfen")</f>
        <v/>
      </c>
      <c r="N486" s="14">
        <f>IF(ISNUMBER(K486),MAX(0,K486-L486-M486),"n.a.")</f>
        <v/>
      </c>
      <c r="O486" s="14" t="n">
        <v>1032.68</v>
      </c>
      <c r="P486" s="14">
        <f>IF(ISNUMBER(K486),K486-O486,"n.a.")</f>
        <v/>
      </c>
    </row>
    <row r="487" ht="32" customHeight="1">
      <c r="C487" s="10" t="inlineStr">
        <is>
          <t>PRJ-52b1d76a-RK-06</t>
        </is>
      </c>
      <c r="D487" s="10" t="inlineStr">
        <is>
          <t>P4102157208</t>
        </is>
      </c>
      <c r="E487" s="11" t="inlineStr">
        <is>
          <t>Statik / Einsturzsicherung während Abbruch</t>
        </is>
      </c>
      <c r="F487" s="10" t="inlineStr">
        <is>
          <t>Statik</t>
        </is>
      </c>
      <c r="G487" s="12" t="n">
        <v>0.285</v>
      </c>
      <c r="H487" s="13" t="n">
        <v>2483</v>
      </c>
      <c r="I487" s="13" t="n">
        <v>4522</v>
      </c>
      <c r="J487" s="13" t="n">
        <v>7774</v>
      </c>
      <c r="K487" s="14">
        <f>IF(OR(COUNT(G487:J487)&lt;&gt;4,G487&lt;0,G487&gt;1,H487&gt;I487,I487&gt;J487),"n.a.",ROUND(G487*(H487+4*I487+J487)/6+0.00000001,2))</f>
        <v/>
      </c>
      <c r="L487" s="13" t="n">
        <v>0</v>
      </c>
      <c r="M487" s="14">
        <f>SUMIFS(Maßnahmen!$I$7:$I$126,Maßnahmen!$D$7:$D$126,C487,Maßnahmen!$H$7:$H$126,"&lt;&gt;verworfen")</f>
        <v/>
      </c>
      <c r="N487" s="14">
        <f>IF(ISNUMBER(K487),MAX(0,K487-L487-M487),"n.a.")</f>
        <v/>
      </c>
      <c r="O487" s="14" t="n">
        <v>1346.39</v>
      </c>
      <c r="P487" s="14">
        <f>IF(ISNUMBER(K487),K487-O487,"n.a.")</f>
        <v/>
      </c>
    </row>
    <row r="488" ht="32" customHeight="1">
      <c r="C488" s="10" t="inlineStr">
        <is>
          <t>PRJ-52b1d76a-RK-07</t>
        </is>
      </c>
      <c r="D488" s="10" t="inlineStr">
        <is>
          <t>P4102157208</t>
        </is>
      </c>
      <c r="E488" s="11" t="inlineStr">
        <is>
          <t>Unterirdische Tragkonstruktion / Fundamente</t>
        </is>
      </c>
      <c r="F488" s="10" t="inlineStr">
        <is>
          <t>Statik</t>
        </is>
      </c>
      <c r="G488" s="12" t="n">
        <v>0.454</v>
      </c>
      <c r="H488" s="13" t="n">
        <v>731</v>
      </c>
      <c r="I488" s="13" t="n">
        <v>1401</v>
      </c>
      <c r="J488" s="13" t="n">
        <v>2867</v>
      </c>
      <c r="K488" s="14">
        <f>IF(OR(COUNT(G488:J488)&lt;&gt;4,G488&lt;0,G488&gt;1,H488&gt;I488,I488&gt;J488),"n.a.",ROUND(G488*(H488+4*I488+J488)/6+0.00000001,2))</f>
        <v/>
      </c>
      <c r="L488" s="13" t="n">
        <v>0</v>
      </c>
      <c r="M488" s="14">
        <f>SUMIFS(Maßnahmen!$I$7:$I$126,Maßnahmen!$D$7:$D$126,C488,Maßnahmen!$H$7:$H$126,"&lt;&gt;verworfen")</f>
        <v/>
      </c>
      <c r="N488" s="14">
        <f>IF(ISNUMBER(K488),MAX(0,K488-L488-M488),"n.a.")</f>
        <v/>
      </c>
      <c r="O488" s="14" t="n">
        <v>696.28</v>
      </c>
      <c r="P488" s="14">
        <f>IF(ISNUMBER(K488),K488-O488,"n.a.")</f>
        <v/>
      </c>
    </row>
    <row r="489" ht="32" customHeight="1">
      <c r="C489" s="10" t="inlineStr">
        <is>
          <t>PRJ-52b1d76a-RK-08</t>
        </is>
      </c>
      <c r="D489" s="10" t="inlineStr">
        <is>
          <t>P4102157208</t>
        </is>
      </c>
      <c r="E489" s="11" t="inlineStr">
        <is>
          <t>Gebäudehöhe &gt;22 m / Longfront-Bagger (+130–150 %)</t>
        </is>
      </c>
      <c r="F489" s="10" t="inlineStr">
        <is>
          <t>Termin</t>
        </is>
      </c>
      <c r="G489" s="12" t="n">
        <v>0.231</v>
      </c>
      <c r="H489" s="13" t="n">
        <v>311</v>
      </c>
      <c r="I489" s="13" t="n">
        <v>800</v>
      </c>
      <c r="J489" s="13" t="n">
        <v>1570</v>
      </c>
      <c r="K489" s="14">
        <f>IF(OR(COUNT(G489:J489)&lt;&gt;4,G489&lt;0,G489&gt;1,H489&gt;I489,I489&gt;J489),"n.a.",ROUND(G489*(H489+4*I489+J489)/6+0.00000001,2))</f>
        <v/>
      </c>
      <c r="L489" s="13" t="n">
        <v>0</v>
      </c>
      <c r="M489" s="14">
        <f>SUMIFS(Maßnahmen!$I$7:$I$126,Maßnahmen!$D$7:$D$126,C489,Maßnahmen!$H$7:$H$126,"&lt;&gt;verworfen")</f>
        <v/>
      </c>
      <c r="N489" s="14">
        <f>IF(ISNUMBER(K489),MAX(0,K489-L489-M489),"n.a.")</f>
        <v/>
      </c>
      <c r="O489" s="14" t="n">
        <v>195.62</v>
      </c>
      <c r="P489" s="14">
        <f>IF(ISNUMBER(K489),K489-O489,"n.a.")</f>
        <v/>
      </c>
    </row>
    <row r="490" ht="32" customHeight="1">
      <c r="C490" s="10" t="inlineStr">
        <is>
          <t>PRJ-52b1d76a-RK-09</t>
        </is>
      </c>
      <c r="D490" s="10" t="inlineStr">
        <is>
          <t>P4102157208</t>
        </is>
      </c>
      <c r="E490" s="11" t="inlineStr">
        <is>
          <t>Beennte Lage / nur Handabbruch möglich</t>
        </is>
      </c>
      <c r="F490" s="10" t="inlineStr">
        <is>
          <t>Termin</t>
        </is>
      </c>
      <c r="G490" s="12" t="n">
        <v>0.366</v>
      </c>
      <c r="H490" s="13" t="n">
        <v>746</v>
      </c>
      <c r="I490" s="13" t="n">
        <v>1569</v>
      </c>
      <c r="J490" s="13" t="n">
        <v>3330</v>
      </c>
      <c r="K490" s="14">
        <f>IF(OR(COUNT(G490:J490)&lt;&gt;4,G490&lt;0,G490&gt;1,H490&gt;I490,I490&gt;J490),"n.a.",ROUND(G490*(H490+4*I490+J490)/6+0.00000001,2))</f>
        <v/>
      </c>
      <c r="L490" s="13" t="n">
        <v>0</v>
      </c>
      <c r="M490" s="14">
        <f>SUMIFS(Maßnahmen!$I$7:$I$126,Maßnahmen!$D$7:$D$126,C490,Maßnahmen!$H$7:$H$126,"&lt;&gt;verworfen")</f>
        <v/>
      </c>
      <c r="N490" s="14">
        <f>IF(ISNUMBER(K490),MAX(0,K490-L490-M490),"n.a.")</f>
        <v/>
      </c>
      <c r="O490" s="14" t="n">
        <v>631.47</v>
      </c>
      <c r="P490" s="14">
        <f>IF(ISNUMBER(K490),K490-O490,"n.a.")</f>
        <v/>
      </c>
    </row>
    <row r="491" ht="32" customHeight="1">
      <c r="C491" s="10" t="inlineStr">
        <is>
          <t>PRJ-52b1d76a-RK-10</t>
        </is>
      </c>
      <c r="D491" s="10" t="inlineStr">
        <is>
          <t>P4102157208</t>
        </is>
      </c>
      <c r="E491" s="11" t="inlineStr">
        <is>
          <t>Terminvorgabe Auftraggeber / Geräteauslastung</t>
        </is>
      </c>
      <c r="F491" s="10" t="inlineStr">
        <is>
          <t>Termin</t>
        </is>
      </c>
      <c r="G491" s="12" t="n">
        <v>0.08</v>
      </c>
      <c r="H491" s="13" t="n">
        <v>96</v>
      </c>
      <c r="I491" s="13" t="n">
        <v>192</v>
      </c>
      <c r="J491" s="13" t="n">
        <v>385</v>
      </c>
      <c r="K491" s="14">
        <f>IF(OR(COUNT(G491:J491)&lt;&gt;4,G491&lt;0,G491&gt;1,H491&gt;I491,I491&gt;J491),"n.a.",ROUND(G491*(H491+4*I491+J491)/6+0.00000001,2))</f>
        <v/>
      </c>
      <c r="L491" s="13" t="n">
        <v>0</v>
      </c>
      <c r="M491" s="14">
        <f>SUMIFS(Maßnahmen!$I$7:$I$126,Maßnahmen!$D$7:$D$126,C491,Maßnahmen!$H$7:$H$126,"&lt;&gt;verworfen")</f>
        <v/>
      </c>
      <c r="N491" s="14">
        <f>IF(ISNUMBER(K491),MAX(0,K491-L491-M491),"n.a.")</f>
        <v/>
      </c>
      <c r="O491" s="14" t="n">
        <v>16.65</v>
      </c>
      <c r="P491" s="14">
        <f>IF(ISNUMBER(K491),K491-O491,"n.a.")</f>
        <v/>
      </c>
    </row>
    <row r="492" ht="32" customHeight="1">
      <c r="C492" s="10" t="inlineStr">
        <is>
          <t>PRJ-52b1d76a-RK-11</t>
        </is>
      </c>
      <c r="D492" s="10" t="inlineStr">
        <is>
          <t>P4102157208</t>
        </is>
      </c>
      <c r="E492" s="11" t="inlineStr">
        <is>
          <t>Witterung / Ablaufstörung</t>
        </is>
      </c>
      <c r="F492" s="10" t="inlineStr">
        <is>
          <t>Termin</t>
        </is>
      </c>
      <c r="G492" s="12" t="n">
        <v>0.15</v>
      </c>
      <c r="H492" s="13" t="n">
        <v>192</v>
      </c>
      <c r="I492" s="13" t="n">
        <v>577</v>
      </c>
      <c r="J492" s="13" t="n">
        <v>1154</v>
      </c>
      <c r="K492" s="14">
        <f>IF(OR(COUNT(G492:J492)&lt;&gt;4,G492&lt;0,G492&gt;1,H492&gt;I492,I492&gt;J492),"n.a.",ROUND(G492*(H492+4*I492+J492)/6+0.00000001,2))</f>
        <v/>
      </c>
      <c r="L492" s="13" t="n">
        <v>0</v>
      </c>
      <c r="M492" s="14">
        <f>SUMIFS(Maßnahmen!$I$7:$I$126,Maßnahmen!$D$7:$D$126,C492,Maßnahmen!$H$7:$H$126,"&lt;&gt;verworfen")</f>
        <v/>
      </c>
      <c r="N492" s="14">
        <f>IF(ISNUMBER(K492),MAX(0,K492-L492-M492),"n.a.")</f>
        <v/>
      </c>
      <c r="O492" s="14" t="n">
        <v>91.34999999999999</v>
      </c>
      <c r="P492" s="14">
        <f>IF(ISNUMBER(K492),K492-O492,"n.a.")</f>
        <v/>
      </c>
    </row>
    <row r="493" ht="32" customHeight="1">
      <c r="C493" s="10" t="inlineStr">
        <is>
          <t>PRJ-52b1d76a-RK-12</t>
        </is>
      </c>
      <c r="D493" s="10" t="inlineStr">
        <is>
          <t>P4102157208</t>
        </is>
      </c>
      <c r="E493" s="11" t="inlineStr">
        <is>
          <t>Staubemissionen (höchster Aufwand laut Umfrage)</t>
        </is>
      </c>
      <c r="F493" s="10" t="inlineStr">
        <is>
          <t>Emissionen</t>
        </is>
      </c>
      <c r="G493" s="12" t="n">
        <v>0.1</v>
      </c>
      <c r="H493" s="13" t="n">
        <v>577</v>
      </c>
      <c r="I493" s="13" t="n">
        <v>1154</v>
      </c>
      <c r="J493" s="13" t="n">
        <v>2307</v>
      </c>
      <c r="K493" s="14">
        <f>IF(OR(COUNT(G493:J493)&lt;&gt;4,G493&lt;0,G493&gt;1,H493&gt;I493,I493&gt;J493),"n.a.",ROUND(G493*(H493+4*I493+J493)/6+0.00000001,2))</f>
        <v/>
      </c>
      <c r="L493" s="13" t="n">
        <v>0</v>
      </c>
      <c r="M493" s="14">
        <f>SUMIFS(Maßnahmen!$I$7:$I$126,Maßnahmen!$D$7:$D$126,C493,Maßnahmen!$H$7:$H$126,"&lt;&gt;verworfen")</f>
        <v/>
      </c>
      <c r="N493" s="14">
        <f>IF(ISNUMBER(K493),MAX(0,K493-L493-M493),"n.a.")</f>
        <v/>
      </c>
      <c r="O493" s="14" t="n">
        <v>125</v>
      </c>
      <c r="P493" s="14">
        <f>IF(ISNUMBER(K493),K493-O493,"n.a.")</f>
        <v/>
      </c>
    </row>
    <row r="494" ht="32" customHeight="1">
      <c r="C494" s="10" t="inlineStr">
        <is>
          <t>PRJ-52b1d76a-RK-13</t>
        </is>
      </c>
      <c r="D494" s="10" t="inlineStr">
        <is>
          <t>P4102157208</t>
        </is>
      </c>
      <c r="E494" s="11" t="inlineStr">
        <is>
          <t>Lärm- und Erschütterungsauflagen</t>
        </is>
      </c>
      <c r="F494" s="10" t="inlineStr">
        <is>
          <t>Emissionen</t>
        </is>
      </c>
      <c r="G494" s="12" t="n">
        <v>0.539</v>
      </c>
      <c r="H494" s="13" t="n">
        <v>1806</v>
      </c>
      <c r="I494" s="13" t="n">
        <v>3567</v>
      </c>
      <c r="J494" s="13" t="n">
        <v>6424</v>
      </c>
      <c r="K494" s="14">
        <f>IF(OR(COUNT(G494:J494)&lt;&gt;4,G494&lt;0,G494&gt;1,H494&gt;I494,I494&gt;J494),"n.a.",ROUND(G494*(H494+4*I494+J494)/6+0.00000001,2))</f>
        <v/>
      </c>
      <c r="L494" s="13" t="n">
        <v>0</v>
      </c>
      <c r="M494" s="14">
        <f>SUMIFS(Maßnahmen!$I$7:$I$126,Maßnahmen!$D$7:$D$126,C494,Maßnahmen!$H$7:$H$126,"&lt;&gt;verworfen")</f>
        <v/>
      </c>
      <c r="N494" s="14">
        <f>IF(ISNUMBER(K494),MAX(0,K494-L494-M494),"n.a.")</f>
        <v/>
      </c>
      <c r="O494" s="14" t="n">
        <v>2021.07</v>
      </c>
      <c r="P494" s="14">
        <f>IF(ISNUMBER(K494),K494-O494,"n.a.")</f>
        <v/>
      </c>
    </row>
    <row r="495" ht="32" customHeight="1">
      <c r="C495" s="10" t="inlineStr">
        <is>
          <t>PRJ-52b1d76a-RK-14</t>
        </is>
      </c>
      <c r="D495" s="10" t="inlineStr">
        <is>
          <t>P4102157208</t>
        </is>
      </c>
      <c r="E495" s="11" t="inlineStr">
        <is>
          <t>Rechtliche Auflagen / Entsorgungsnachweise (Formalismus)</t>
        </is>
      </c>
      <c r="F495" s="10" t="inlineStr">
        <is>
          <t>Genehmigung</t>
        </is>
      </c>
      <c r="G495" s="12" t="n">
        <v>0.147</v>
      </c>
      <c r="H495" s="13" t="n">
        <v>407</v>
      </c>
      <c r="I495" s="13" t="n">
        <v>896</v>
      </c>
      <c r="J495" s="13" t="n">
        <v>1762</v>
      </c>
      <c r="K495" s="14">
        <f>IF(OR(COUNT(G495:J495)&lt;&gt;4,G495&lt;0,G495&gt;1,H495&gt;I495,I495&gt;J495),"n.a.",ROUND(G495*(H495+4*I495+J495)/6+0.00000001,2))</f>
        <v/>
      </c>
      <c r="L495" s="13" t="n">
        <v>0</v>
      </c>
      <c r="M495" s="14">
        <f>SUMIFS(Maßnahmen!$I$7:$I$126,Maßnahmen!$D$7:$D$126,C495,Maßnahmen!$H$7:$H$126,"&lt;&gt;verworfen")</f>
        <v/>
      </c>
      <c r="N495" s="14">
        <f>IF(ISNUMBER(K495),MAX(0,K495-L495-M495),"n.a.")</f>
        <v/>
      </c>
      <c r="O495" s="14" t="n">
        <v>140.95</v>
      </c>
      <c r="P495" s="14">
        <f>IF(ISNUMBER(K495),K495-O495,"n.a.")</f>
        <v/>
      </c>
    </row>
    <row r="496" ht="32" customHeight="1">
      <c r="C496" s="10" t="inlineStr">
        <is>
          <t>PRJ-52b1d76a-RK-15</t>
        </is>
      </c>
      <c r="D496" s="10" t="inlineStr">
        <is>
          <t>P4102157208</t>
        </is>
      </c>
      <c r="E496" s="11" t="inlineStr">
        <is>
          <t>Konjunktur / Sekundärstoffpreise &amp; Gerätemiete</t>
        </is>
      </c>
      <c r="F496" s="10" t="inlineStr">
        <is>
          <t>Markt</t>
        </is>
      </c>
      <c r="G496" s="12" t="n">
        <v>0.12</v>
      </c>
      <c r="H496" s="13" t="n">
        <v>154</v>
      </c>
      <c r="I496" s="13" t="n">
        <v>385</v>
      </c>
      <c r="J496" s="13" t="n">
        <v>961</v>
      </c>
      <c r="K496" s="14">
        <f>IF(OR(COUNT(G496:J496)&lt;&gt;4,G496&lt;0,G496&gt;1,H496&gt;I496,I496&gt;J496),"n.a.",ROUND(G496*(H496+4*I496+J496)/6+0.00000001,2))</f>
        <v/>
      </c>
      <c r="L496" s="13" t="n">
        <v>0</v>
      </c>
      <c r="M496" s="14">
        <f>SUMIFS(Maßnahmen!$I$7:$I$126,Maßnahmen!$D$7:$D$126,C496,Maßnahmen!$H$7:$H$126,"&lt;&gt;verworfen")</f>
        <v/>
      </c>
      <c r="N496" s="14">
        <f>IF(ISNUMBER(K496),MAX(0,K496-L496-M496),"n.a.")</f>
        <v/>
      </c>
      <c r="O496" s="14" t="n">
        <v>53.1</v>
      </c>
      <c r="P496" s="14">
        <f>IF(ISNUMBER(K496),K496-O496,"n.a.")</f>
        <v/>
      </c>
    </row>
    <row r="497" ht="32" customHeight="1">
      <c r="C497" s="10" t="inlineStr">
        <is>
          <t>PRJ-4f8db9fb-RK-01</t>
        </is>
      </c>
      <c r="D497" s="10" t="inlineStr">
        <is>
          <t>P4102309046</t>
        </is>
      </c>
      <c r="E497" s="11" t="inlineStr">
        <is>
          <t>Schadstofffund / Schadstoffsanierung (Asbest, PAK, PCB, PCP)</t>
        </is>
      </c>
      <c r="F497" s="10" t="inlineStr">
        <is>
          <t>Schadstoffe</t>
        </is>
      </c>
      <c r="G497" s="12" t="n">
        <v>0.1</v>
      </c>
      <c r="H497" s="13" t="n">
        <v>316</v>
      </c>
      <c r="I497" s="13" t="n">
        <v>789</v>
      </c>
      <c r="J497" s="13" t="n">
        <v>1578</v>
      </c>
      <c r="K497" s="14">
        <f>IF(OR(COUNT(G497:J497)&lt;&gt;4,G497&lt;0,G497&gt;1,H497&gt;I497,I497&gt;J497),"n.a.",ROUND(G497*(H497+4*I497+J497)/6+0.00000001,2))</f>
        <v/>
      </c>
      <c r="L497" s="13" t="n">
        <v>0</v>
      </c>
      <c r="M497" s="14">
        <f>SUMIFS(Maßnahmen!$I$7:$I$126,Maßnahmen!$D$7:$D$126,C497,Maßnahmen!$H$7:$H$126,"&lt;&gt;verworfen")</f>
        <v/>
      </c>
      <c r="N497" s="14">
        <f>IF(ISNUMBER(K497),MAX(0,K497-L497-M497),"n.a.")</f>
        <v/>
      </c>
      <c r="O497" s="14" t="n">
        <v>84.17</v>
      </c>
      <c r="P497" s="14">
        <f>IF(ISNUMBER(K497),K497-O497,"n.a.")</f>
        <v/>
      </c>
    </row>
    <row r="498" ht="32" customHeight="1">
      <c r="C498" s="10" t="inlineStr">
        <is>
          <t>PRJ-4f8db9fb-RK-02</t>
        </is>
      </c>
      <c r="D498" s="10" t="inlineStr">
        <is>
          <t>P4102309046</t>
        </is>
      </c>
      <c r="E498" s="11" t="inlineStr">
        <is>
          <t>Arbeitsschutz kontaminierte Bereiche (TRGS 524)</t>
        </is>
      </c>
      <c r="F498" s="10" t="inlineStr">
        <is>
          <t>Schadstoffe</t>
        </is>
      </c>
      <c r="G498" s="12" t="n">
        <v>0.1</v>
      </c>
      <c r="H498" s="13" t="n">
        <v>79</v>
      </c>
      <c r="I498" s="13" t="n">
        <v>158</v>
      </c>
      <c r="J498" s="13" t="n">
        <v>316</v>
      </c>
      <c r="K498" s="14">
        <f>IF(OR(COUNT(G498:J498)&lt;&gt;4,G498&lt;0,G498&gt;1,H498&gt;I498,I498&gt;J498),"n.a.",ROUND(G498*(H498+4*I498+J498)/6+0.00000001,2))</f>
        <v/>
      </c>
      <c r="L498" s="13" t="n">
        <v>0</v>
      </c>
      <c r="M498" s="14">
        <f>SUMIFS(Maßnahmen!$I$7:$I$126,Maßnahmen!$D$7:$D$126,C498,Maßnahmen!$H$7:$H$126,"&lt;&gt;verworfen")</f>
        <v/>
      </c>
      <c r="N498" s="14">
        <f>IF(ISNUMBER(K498),MAX(0,K498-L498-M498),"n.a.")</f>
        <v/>
      </c>
      <c r="O498" s="14" t="n">
        <v>17.12</v>
      </c>
      <c r="P498" s="14">
        <f>IF(ISNUMBER(K498),K498-O498,"n.a.")</f>
        <v/>
      </c>
    </row>
    <row r="499" ht="32" customHeight="1">
      <c r="C499" s="10" t="inlineStr">
        <is>
          <t>PRJ-4f8db9fb-RK-03</t>
        </is>
      </c>
      <c r="D499" s="10" t="inlineStr">
        <is>
          <t>P4102309046</t>
        </is>
      </c>
      <c r="E499" s="11" t="inlineStr">
        <is>
          <t>Entsorgungs-Mehrkosten / Entsorgungswege</t>
        </is>
      </c>
      <c r="F499" s="10" t="inlineStr">
        <is>
          <t>Entsorgung</t>
        </is>
      </c>
      <c r="G499" s="12" t="n">
        <v>0.183</v>
      </c>
      <c r="H499" s="13" t="n">
        <v>508</v>
      </c>
      <c r="I499" s="13" t="n">
        <v>1125</v>
      </c>
      <c r="J499" s="13" t="n">
        <v>2106</v>
      </c>
      <c r="K499" s="14">
        <f>IF(OR(COUNT(G499:J499)&lt;&gt;4,G499&lt;0,G499&gt;1,H499&gt;I499,I499&gt;J499),"n.a.",ROUND(G499*(H499+4*I499+J499)/6+0.00000001,2))</f>
        <v/>
      </c>
      <c r="L499" s="13" t="n">
        <v>0</v>
      </c>
      <c r="M499" s="14">
        <f>SUMIFS(Maßnahmen!$I$7:$I$126,Maßnahmen!$D$7:$D$126,C499,Maßnahmen!$H$7:$H$126,"&lt;&gt;verworfen")</f>
        <v/>
      </c>
      <c r="N499" s="14">
        <f>IF(ISNUMBER(K499),MAX(0,K499-L499-M499),"n.a.")</f>
        <v/>
      </c>
      <c r="O499" s="14" t="n">
        <v>216.98</v>
      </c>
      <c r="P499" s="14">
        <f>IF(ISNUMBER(K499),K499-O499,"n.a.")</f>
        <v/>
      </c>
    </row>
    <row r="500" ht="32" customHeight="1">
      <c r="C500" s="10" t="inlineStr">
        <is>
          <t>PRJ-4f8db9fb-RK-04</t>
        </is>
      </c>
      <c r="D500" s="10" t="inlineStr">
        <is>
          <t>P4102309046</t>
        </is>
      </c>
      <c r="E500" s="11" t="inlineStr">
        <is>
          <t>Baustofftrennung / Aufbereitung nicht wie geplant</t>
        </is>
      </c>
      <c r="F500" s="10" t="inlineStr">
        <is>
          <t>Entsorgung</t>
        </is>
      </c>
      <c r="G500" s="12" t="n">
        <v>0.08</v>
      </c>
      <c r="H500" s="13" t="n">
        <v>79</v>
      </c>
      <c r="I500" s="13" t="n">
        <v>158</v>
      </c>
      <c r="J500" s="13" t="n">
        <v>316</v>
      </c>
      <c r="K500" s="14">
        <f>IF(OR(COUNT(G500:J500)&lt;&gt;4,G500&lt;0,G500&gt;1,H500&gt;I500,I500&gt;J500),"n.a.",ROUND(G500*(H500+4*I500+J500)/6+0.00000001,2))</f>
        <v/>
      </c>
      <c r="L500" s="13" t="n">
        <v>0</v>
      </c>
      <c r="M500" s="14">
        <f>SUMIFS(Maßnahmen!$I$7:$I$126,Maßnahmen!$D$7:$D$126,C500,Maßnahmen!$H$7:$H$126,"&lt;&gt;verworfen")</f>
        <v/>
      </c>
      <c r="N500" s="14">
        <f>IF(ISNUMBER(K500),MAX(0,K500-L500-M500),"n.a.")</f>
        <v/>
      </c>
      <c r="O500" s="14" t="n">
        <v>13.69</v>
      </c>
      <c r="P500" s="14">
        <f>IF(ISNUMBER(K500),K500-O500,"n.a.")</f>
        <v/>
      </c>
    </row>
    <row r="501" ht="32" customHeight="1">
      <c r="C501" s="10" t="inlineStr">
        <is>
          <t>PRJ-4f8db9fb-RK-05</t>
        </is>
      </c>
      <c r="D501" s="10" t="inlineStr">
        <is>
          <t>P4102309046</t>
        </is>
      </c>
      <c r="E501" s="11" t="inlineStr">
        <is>
          <t>Unbekannte Bauwerkskonstruktion / fehlende Pläne</t>
        </is>
      </c>
      <c r="F501" s="10" t="inlineStr">
        <is>
          <t>Statik</t>
        </is>
      </c>
      <c r="G501" s="12" t="n">
        <v>0.12</v>
      </c>
      <c r="H501" s="13" t="n">
        <v>631</v>
      </c>
      <c r="I501" s="13" t="n">
        <v>1262</v>
      </c>
      <c r="J501" s="13" t="n">
        <v>2367</v>
      </c>
      <c r="K501" s="14">
        <f>IF(OR(COUNT(G501:J501)&lt;&gt;4,G501&lt;0,G501&gt;1,H501&gt;I501,I501&gt;J501),"n.a.",ROUND(G501*(H501+4*I501+J501)/6+0.00000001,2))</f>
        <v/>
      </c>
      <c r="L501" s="13" t="n">
        <v>0</v>
      </c>
      <c r="M501" s="14">
        <f>SUMIFS(Maßnahmen!$I$7:$I$126,Maßnahmen!$D$7:$D$126,C501,Maßnahmen!$H$7:$H$126,"&lt;&gt;verworfen")</f>
        <v/>
      </c>
      <c r="N501" s="14">
        <f>IF(ISNUMBER(K501),MAX(0,K501-L501-M501),"n.a.")</f>
        <v/>
      </c>
      <c r="O501" s="14" t="n">
        <v>160.92</v>
      </c>
      <c r="P501" s="14">
        <f>IF(ISNUMBER(K501),K501-O501,"n.a.")</f>
        <v/>
      </c>
    </row>
    <row r="502" ht="32" customHeight="1">
      <c r="C502" s="10" t="inlineStr">
        <is>
          <t>PRJ-4f8db9fb-RK-06</t>
        </is>
      </c>
      <c r="D502" s="10" t="inlineStr">
        <is>
          <t>P4102309046</t>
        </is>
      </c>
      <c r="E502" s="11" t="inlineStr">
        <is>
          <t>Statik / Einsturzsicherung während Abbruch</t>
        </is>
      </c>
      <c r="F502" s="10" t="inlineStr">
        <is>
          <t>Statik</t>
        </is>
      </c>
      <c r="G502" s="12" t="n">
        <v>0.135</v>
      </c>
      <c r="H502" s="13" t="n">
        <v>617</v>
      </c>
      <c r="I502" s="13" t="n">
        <v>1344</v>
      </c>
      <c r="J502" s="13" t="n">
        <v>2593</v>
      </c>
      <c r="K502" s="14">
        <f>IF(OR(COUNT(G502:J502)&lt;&gt;4,G502&lt;0,G502&gt;1,H502&gt;I502,I502&gt;J502),"n.a.",ROUND(G502*(H502+4*I502+J502)/6+0.00000001,2))</f>
        <v/>
      </c>
      <c r="L502" s="13" t="n">
        <v>0</v>
      </c>
      <c r="M502" s="14">
        <f>SUMIFS(Maßnahmen!$I$7:$I$126,Maßnahmen!$D$7:$D$126,C502,Maßnahmen!$H$7:$H$126,"&lt;&gt;verworfen")</f>
        <v/>
      </c>
      <c r="N502" s="14">
        <f>IF(ISNUMBER(K502),MAX(0,K502-L502-M502),"n.a.")</f>
        <v/>
      </c>
      <c r="O502" s="14" t="n">
        <v>193.19</v>
      </c>
      <c r="P502" s="14">
        <f>IF(ISNUMBER(K502),K502-O502,"n.a.")</f>
        <v/>
      </c>
    </row>
    <row r="503" ht="32" customHeight="1">
      <c r="C503" s="10" t="inlineStr">
        <is>
          <t>PRJ-4f8db9fb-RK-07</t>
        </is>
      </c>
      <c r="D503" s="10" t="inlineStr">
        <is>
          <t>P4102309046</t>
        </is>
      </c>
      <c r="E503" s="11" t="inlineStr">
        <is>
          <t>Unterirdische Tragkonstruktion / Fundamente</t>
        </is>
      </c>
      <c r="F503" s="10" t="inlineStr">
        <is>
          <t>Statik</t>
        </is>
      </c>
      <c r="G503" s="12" t="n">
        <v>0.5</v>
      </c>
      <c r="H503" s="13" t="n">
        <v>127</v>
      </c>
      <c r="I503" s="13" t="n">
        <v>392</v>
      </c>
      <c r="J503" s="13" t="n">
        <v>933</v>
      </c>
      <c r="K503" s="14">
        <f>IF(OR(COUNT(G503:J503)&lt;&gt;4,G503&lt;0,G503&gt;1,H503&gt;I503,I503&gt;J503),"n.a.",ROUND(G503*(H503+4*I503+J503)/6+0.00000001,2))</f>
        <v/>
      </c>
      <c r="L503" s="13" t="n">
        <v>0</v>
      </c>
      <c r="M503" s="14">
        <f>SUMIFS(Maßnahmen!$I$7:$I$126,Maßnahmen!$D$7:$D$126,C503,Maßnahmen!$H$7:$H$126,"&lt;&gt;verworfen")</f>
        <v/>
      </c>
      <c r="N503" s="14">
        <f>IF(ISNUMBER(K503),MAX(0,K503-L503-M503),"n.a.")</f>
        <v/>
      </c>
      <c r="O503" s="14" t="n">
        <v>219</v>
      </c>
      <c r="P503" s="14">
        <f>IF(ISNUMBER(K503),K503-O503,"n.a.")</f>
        <v/>
      </c>
    </row>
    <row r="504" ht="32" customHeight="1">
      <c r="C504" s="10" t="inlineStr">
        <is>
          <t>PRJ-4f8db9fb-RK-08</t>
        </is>
      </c>
      <c r="D504" s="10" t="inlineStr">
        <is>
          <t>P4102309046</t>
        </is>
      </c>
      <c r="E504" s="11" t="inlineStr">
        <is>
          <t>Gebäudehöhe &gt;22 m / Longfront-Bagger (+130–150 %)</t>
        </is>
      </c>
      <c r="F504" s="10" t="inlineStr">
        <is>
          <t>Termin</t>
        </is>
      </c>
      <c r="G504" s="12" t="n">
        <v>0.506</v>
      </c>
      <c r="H504" s="13" t="n">
        <v>1125</v>
      </c>
      <c r="I504" s="13" t="n">
        <v>2286</v>
      </c>
      <c r="J504" s="13" t="n">
        <v>4331</v>
      </c>
      <c r="K504" s="14">
        <f>IF(OR(COUNT(G504:J504)&lt;&gt;4,G504&lt;0,G504&gt;1,H504&gt;I504,I504&gt;J504),"n.a.",ROUND(G504*(H504+4*I504+J504)/6+0.00000001,2))</f>
        <v/>
      </c>
      <c r="L504" s="13" t="n">
        <v>0</v>
      </c>
      <c r="M504" s="14">
        <f>SUMIFS(Maßnahmen!$I$7:$I$126,Maßnahmen!$D$7:$D$126,C504,Maßnahmen!$H$7:$H$126,"&lt;&gt;verworfen")</f>
        <v/>
      </c>
      <c r="N504" s="14">
        <f>IF(ISNUMBER(K504),MAX(0,K504-L504-M504),"n.a.")</f>
        <v/>
      </c>
      <c r="O504" s="14" t="n">
        <v>1231.27</v>
      </c>
      <c r="P504" s="14">
        <f>IF(ISNUMBER(K504),K504-O504,"n.a.")</f>
        <v/>
      </c>
    </row>
    <row r="505" ht="32" customHeight="1">
      <c r="C505" s="10" t="inlineStr">
        <is>
          <t>PRJ-4f8db9fb-RK-09</t>
        </is>
      </c>
      <c r="D505" s="10" t="inlineStr">
        <is>
          <t>P4102309046</t>
        </is>
      </c>
      <c r="E505" s="11" t="inlineStr">
        <is>
          <t>Beennte Lage / nur Handabbruch möglich</t>
        </is>
      </c>
      <c r="F505" s="10" t="inlineStr">
        <is>
          <t>Termin</t>
        </is>
      </c>
      <c r="G505" s="12" t="n">
        <v>0.15</v>
      </c>
      <c r="H505" s="13" t="n">
        <v>126</v>
      </c>
      <c r="I505" s="13" t="n">
        <v>316</v>
      </c>
      <c r="J505" s="13" t="n">
        <v>789</v>
      </c>
      <c r="K505" s="14">
        <f>IF(OR(COUNT(G505:J505)&lt;&gt;4,G505&lt;0,G505&gt;1,H505&gt;I505,I505&gt;J505),"n.a.",ROUND(G505*(H505+4*I505+J505)/6+0.00000001,2))</f>
        <v/>
      </c>
      <c r="L505" s="13" t="n">
        <v>0</v>
      </c>
      <c r="M505" s="14">
        <f>SUMIFS(Maßnahmen!$I$7:$I$126,Maßnahmen!$D$7:$D$126,C505,Maßnahmen!$H$7:$H$126,"&lt;&gt;verworfen")</f>
        <v/>
      </c>
      <c r="N505" s="14">
        <f>IF(ISNUMBER(K505),MAX(0,K505-L505-M505),"n.a.")</f>
        <v/>
      </c>
      <c r="O505" s="14" t="n">
        <v>54.48</v>
      </c>
      <c r="P505" s="14">
        <f>IF(ISNUMBER(K505),K505-O505,"n.a.")</f>
        <v/>
      </c>
    </row>
    <row r="506" ht="32" customHeight="1">
      <c r="C506" s="10" t="inlineStr">
        <is>
          <t>PRJ-4f8db9fb-RK-10</t>
        </is>
      </c>
      <c r="D506" s="10" t="inlineStr">
        <is>
          <t>P4102309046</t>
        </is>
      </c>
      <c r="E506" s="11" t="inlineStr">
        <is>
          <t>Terminvorgabe Auftraggeber / Geräteauslastung</t>
        </is>
      </c>
      <c r="F506" s="10" t="inlineStr">
        <is>
          <t>Termin</t>
        </is>
      </c>
      <c r="G506" s="12" t="n">
        <v>0.08</v>
      </c>
      <c r="H506" s="13" t="n">
        <v>79</v>
      </c>
      <c r="I506" s="13" t="n">
        <v>158</v>
      </c>
      <c r="J506" s="13" t="n">
        <v>316</v>
      </c>
      <c r="K506" s="14">
        <f>IF(OR(COUNT(G506:J506)&lt;&gt;4,G506&lt;0,G506&gt;1,H506&gt;I506,I506&gt;J506),"n.a.",ROUND(G506*(H506+4*I506+J506)/6+0.00000001,2))</f>
        <v/>
      </c>
      <c r="L506" s="13" t="n">
        <v>0</v>
      </c>
      <c r="M506" s="14">
        <f>SUMIFS(Maßnahmen!$I$7:$I$126,Maßnahmen!$D$7:$D$126,C506,Maßnahmen!$H$7:$H$126,"&lt;&gt;verworfen")</f>
        <v/>
      </c>
      <c r="N506" s="14">
        <f>IF(ISNUMBER(K506),MAX(0,K506-L506-M506),"n.a.")</f>
        <v/>
      </c>
      <c r="O506" s="14" t="n">
        <v>13.69</v>
      </c>
      <c r="P506" s="14">
        <f>IF(ISNUMBER(K506),K506-O506,"n.a.")</f>
        <v/>
      </c>
    </row>
    <row r="507" ht="32" customHeight="1">
      <c r="C507" s="10" t="inlineStr">
        <is>
          <t>PRJ-4f8db9fb-RK-11</t>
        </is>
      </c>
      <c r="D507" s="10" t="inlineStr">
        <is>
          <t>P4102309046</t>
        </is>
      </c>
      <c r="E507" s="11" t="inlineStr">
        <is>
          <t>Witterung / Ablaufstörung</t>
        </is>
      </c>
      <c r="F507" s="10" t="inlineStr">
        <is>
          <t>Termin</t>
        </is>
      </c>
      <c r="G507" s="12" t="n">
        <v>0.55</v>
      </c>
      <c r="H507" s="13" t="n">
        <v>773</v>
      </c>
      <c r="I507" s="13" t="n">
        <v>1397</v>
      </c>
      <c r="J507" s="13" t="n">
        <v>2793</v>
      </c>
      <c r="K507" s="14">
        <f>IF(OR(COUNT(G507:J507)&lt;&gt;4,G507&lt;0,G507&gt;1,H507&gt;I507,I507&gt;J507),"n.a.",ROUND(G507*(H507+4*I507+J507)/6+0.00000001,2))</f>
        <v/>
      </c>
      <c r="L507" s="13" t="n">
        <v>0</v>
      </c>
      <c r="M507" s="14">
        <f>SUMIFS(Maßnahmen!$I$7:$I$126,Maßnahmen!$D$7:$D$126,C507,Maßnahmen!$H$7:$H$126,"&lt;&gt;verworfen")</f>
        <v/>
      </c>
      <c r="N507" s="14">
        <f>IF(ISNUMBER(K507),MAX(0,K507-L507-M507),"n.a.")</f>
        <v/>
      </c>
      <c r="O507" s="14" t="n">
        <v>839.12</v>
      </c>
      <c r="P507" s="14">
        <f>IF(ISNUMBER(K507),K507-O507,"n.a.")</f>
        <v/>
      </c>
    </row>
    <row r="508" ht="32" customHeight="1">
      <c r="C508" s="10" t="inlineStr">
        <is>
          <t>PRJ-4f8db9fb-RK-12</t>
        </is>
      </c>
      <c r="D508" s="10" t="inlineStr">
        <is>
          <t>P4102309046</t>
        </is>
      </c>
      <c r="E508" s="11" t="inlineStr">
        <is>
          <t>Staubemissionen (höchster Aufwand laut Umfrage)</t>
        </is>
      </c>
      <c r="F508" s="10" t="inlineStr">
        <is>
          <t>Emissionen</t>
        </is>
      </c>
      <c r="G508" s="12" t="n">
        <v>0.1</v>
      </c>
      <c r="H508" s="13" t="n">
        <v>473</v>
      </c>
      <c r="I508" s="13" t="n">
        <v>947</v>
      </c>
      <c r="J508" s="13" t="n">
        <v>1893</v>
      </c>
      <c r="K508" s="14">
        <f>IF(OR(COUNT(G508:J508)&lt;&gt;4,G508&lt;0,G508&gt;1,H508&gt;I508,I508&gt;J508),"n.a.",ROUND(G508*(H508+4*I508+J508)/6+0.00000001,2))</f>
        <v/>
      </c>
      <c r="L508" s="13" t="n">
        <v>0</v>
      </c>
      <c r="M508" s="14">
        <f>SUMIFS(Maßnahmen!$I$7:$I$126,Maßnahmen!$D$7:$D$126,C508,Maßnahmen!$H$7:$H$126,"&lt;&gt;verworfen")</f>
        <v/>
      </c>
      <c r="N508" s="14">
        <f>IF(ISNUMBER(K508),MAX(0,K508-L508-M508),"n.a.")</f>
        <v/>
      </c>
      <c r="O508" s="14" t="n">
        <v>102.57</v>
      </c>
      <c r="P508" s="14">
        <f>IF(ISNUMBER(K508),K508-O508,"n.a.")</f>
        <v/>
      </c>
    </row>
    <row r="509" ht="32" customHeight="1">
      <c r="C509" s="10" t="inlineStr">
        <is>
          <t>PRJ-4f8db9fb-RK-13</t>
        </is>
      </c>
      <c r="D509" s="10" t="inlineStr">
        <is>
          <t>P4102309046</t>
        </is>
      </c>
      <c r="E509" s="11" t="inlineStr">
        <is>
          <t>Lärm- und Erschütterungsauflagen</t>
        </is>
      </c>
      <c r="F509" s="10" t="inlineStr">
        <is>
          <t>Emissionen</t>
        </is>
      </c>
      <c r="G509" s="12" t="n">
        <v>0.2</v>
      </c>
      <c r="H509" s="13" t="n">
        <v>316</v>
      </c>
      <c r="I509" s="13" t="n">
        <v>789</v>
      </c>
      <c r="J509" s="13" t="n">
        <v>1578</v>
      </c>
      <c r="K509" s="14">
        <f>IF(OR(COUNT(G509:J509)&lt;&gt;4,G509&lt;0,G509&gt;1,H509&gt;I509,I509&gt;J509),"n.a.",ROUND(G509*(H509+4*I509+J509)/6+0.00000001,2))</f>
        <v/>
      </c>
      <c r="L509" s="13" t="n">
        <v>0</v>
      </c>
      <c r="M509" s="14">
        <f>SUMIFS(Maßnahmen!$I$7:$I$126,Maßnahmen!$D$7:$D$126,C509,Maßnahmen!$H$7:$H$126,"&lt;&gt;verworfen")</f>
        <v/>
      </c>
      <c r="N509" s="14">
        <f>IF(ISNUMBER(K509),MAX(0,K509-L509-M509),"n.a.")</f>
        <v/>
      </c>
      <c r="O509" s="14" t="n">
        <v>168.33</v>
      </c>
      <c r="P509" s="14">
        <f>IF(ISNUMBER(K509),K509-O509,"n.a.")</f>
        <v/>
      </c>
    </row>
    <row r="510" ht="32" customHeight="1">
      <c r="C510" s="10" t="inlineStr">
        <is>
          <t>PRJ-4f8db9fb-RK-14</t>
        </is>
      </c>
      <c r="D510" s="10" t="inlineStr">
        <is>
          <t>P4102309046</t>
        </is>
      </c>
      <c r="E510" s="11" t="inlineStr">
        <is>
          <t>Rechtliche Auflagen / Entsorgungsnachweise (Formalismus)</t>
        </is>
      </c>
      <c r="F510" s="10" t="inlineStr">
        <is>
          <t>Genehmigung</t>
        </is>
      </c>
      <c r="G510" s="12" t="n">
        <v>0.388</v>
      </c>
      <c r="H510" s="13" t="n">
        <v>1203</v>
      </c>
      <c r="I510" s="13" t="n">
        <v>2365</v>
      </c>
      <c r="J510" s="13" t="n">
        <v>4488</v>
      </c>
      <c r="K510" s="14">
        <f>IF(OR(COUNT(G510:J510)&lt;&gt;4,G510&lt;0,G510&gt;1,H510&gt;I510,I510&gt;J510),"n.a.",ROUND(G510*(H510+4*I510+J510)/6+0.00000001,2))</f>
        <v/>
      </c>
      <c r="L510" s="13" t="n">
        <v>0</v>
      </c>
      <c r="M510" s="14">
        <f>SUMIFS(Maßnahmen!$I$7:$I$126,Maßnahmen!$D$7:$D$126,C510,Maßnahmen!$H$7:$H$126,"&lt;&gt;verworfen")</f>
        <v/>
      </c>
      <c r="N510" s="14">
        <f>IF(ISNUMBER(K510),MAX(0,K510-L510-M510),"n.a.")</f>
        <v/>
      </c>
      <c r="O510" s="14" t="n">
        <v>979.76</v>
      </c>
      <c r="P510" s="14">
        <f>IF(ISNUMBER(K510),K510-O510,"n.a.")</f>
        <v/>
      </c>
    </row>
    <row r="511" ht="32" customHeight="1">
      <c r="C511" s="10" t="inlineStr">
        <is>
          <t>PRJ-4f8db9fb-RK-15</t>
        </is>
      </c>
      <c r="D511" s="10" t="inlineStr">
        <is>
          <t>P4102309046</t>
        </is>
      </c>
      <c r="E511" s="11" t="inlineStr">
        <is>
          <t>Konjunktur / Sekundärstoffpreise &amp; Gerätemiete</t>
        </is>
      </c>
      <c r="F511" s="10" t="inlineStr">
        <is>
          <t>Markt</t>
        </is>
      </c>
      <c r="G511" s="12" t="n">
        <v>0.198</v>
      </c>
      <c r="H511" s="13" t="n">
        <v>742</v>
      </c>
      <c r="I511" s="13" t="n">
        <v>1054</v>
      </c>
      <c r="J511" s="13" t="n">
        <v>2328</v>
      </c>
      <c r="K511" s="14">
        <f>IF(OR(COUNT(G511:J511)&lt;&gt;4,G511&lt;0,G511&gt;1,H511&gt;I511,I511&gt;J511),"n.a.",ROUND(G511*(H511+4*I511+J511)/6+0.00000001,2))</f>
        <v/>
      </c>
      <c r="L511" s="13" t="n">
        <v>0</v>
      </c>
      <c r="M511" s="14">
        <f>SUMIFS(Maßnahmen!$I$7:$I$126,Maßnahmen!$D$7:$D$126,C511,Maßnahmen!$H$7:$H$126,"&lt;&gt;verworfen")</f>
        <v/>
      </c>
      <c r="N511" s="14">
        <f>IF(ISNUMBER(K511),MAX(0,K511-L511-M511),"n.a.")</f>
        <v/>
      </c>
      <c r="O511" s="14" t="n">
        <v>240.44</v>
      </c>
      <c r="P511" s="14">
        <f>IF(ISNUMBER(K511),K511-O511,"n.a.")</f>
        <v/>
      </c>
    </row>
    <row r="512" ht="32" customHeight="1">
      <c r="C512" s="10" t="inlineStr">
        <is>
          <t>PRJ-52b1cf32-RK-03</t>
        </is>
      </c>
      <c r="D512" s="10" t="inlineStr">
        <is>
          <t>P4102157464</t>
        </is>
      </c>
      <c r="E512" s="11" t="inlineStr">
        <is>
          <t>Entsorgungs-Mehrkosten / Entsorgungswege</t>
        </is>
      </c>
      <c r="F512" s="10" t="inlineStr">
        <is>
          <t>Entsorgung</t>
        </is>
      </c>
      <c r="G512" s="12" t="n">
        <v>0.252</v>
      </c>
      <c r="H512" s="13" t="n">
        <v>914</v>
      </c>
      <c r="I512" s="13" t="n">
        <v>1839</v>
      </c>
      <c r="J512" s="13" t="n">
        <v>3233</v>
      </c>
      <c r="K512" s="14">
        <f>IF(OR(COUNT(G512:J512)&lt;&gt;4,G512&lt;0,G512&gt;1,H512&gt;I512,I512&gt;J512),"n.a.",ROUND(G512*(H512+4*I512+J512)/6+0.00000001,2))</f>
        <v/>
      </c>
      <c r="L512" s="13" t="n">
        <v>0</v>
      </c>
      <c r="M512" s="14">
        <f>SUMIFS(Maßnahmen!$I$7:$I$126,Maßnahmen!$D$7:$D$126,C512,Maßnahmen!$H$7:$H$126,"&lt;&gt;verworfen")</f>
        <v/>
      </c>
      <c r="N512" s="14">
        <f>IF(ISNUMBER(K512),MAX(0,K512-L512-M512),"n.a.")</f>
        <v/>
      </c>
      <c r="O512" s="14" t="n">
        <v>483.13</v>
      </c>
      <c r="P512" s="14">
        <f>IF(ISNUMBER(K512),K512-O512,"n.a.")</f>
        <v/>
      </c>
    </row>
    <row r="513" ht="32" customHeight="1">
      <c r="C513" s="10" t="inlineStr">
        <is>
          <t>PRJ-52b1cf32-RK-05</t>
        </is>
      </c>
      <c r="D513" s="10" t="inlineStr">
        <is>
          <t>P4102157464</t>
        </is>
      </c>
      <c r="E513" s="11" t="inlineStr">
        <is>
          <t>Unbekannte Bauwerkskonstruktion / fehlende Pläne</t>
        </is>
      </c>
      <c r="F513" s="10" t="inlineStr">
        <is>
          <t>Statik</t>
        </is>
      </c>
      <c r="G513" s="12" t="n">
        <v>0.12</v>
      </c>
      <c r="H513" s="13" t="n">
        <v>1017</v>
      </c>
      <c r="I513" s="13" t="n">
        <v>1907</v>
      </c>
      <c r="J513" s="13" t="n">
        <v>3403</v>
      </c>
      <c r="K513" s="14">
        <f>IF(OR(COUNT(G513:J513)&lt;&gt;4,G513&lt;0,G513&gt;1,H513&gt;I513,I513&gt;J513),"n.a.",ROUND(G513*(H513+4*I513+J513)/6+0.00000001,2))</f>
        <v/>
      </c>
      <c r="L513" s="13" t="n">
        <v>0</v>
      </c>
      <c r="M513" s="14">
        <f>SUMIFS(Maßnahmen!$I$7:$I$126,Maßnahmen!$D$7:$D$126,C513,Maßnahmen!$H$7:$H$126,"&lt;&gt;verworfen")</f>
        <v/>
      </c>
      <c r="N513" s="14">
        <f>IF(ISNUMBER(K513),MAX(0,K513-L513-M513),"n.a.")</f>
        <v/>
      </c>
      <c r="O513" s="14" t="n">
        <v>240.96</v>
      </c>
      <c r="P513" s="14">
        <f>IF(ISNUMBER(K513),K513-O513,"n.a.")</f>
        <v/>
      </c>
    </row>
    <row r="514" ht="32" customHeight="1">
      <c r="C514" s="10" t="inlineStr">
        <is>
          <t>PRJ-52b1cf32-RK-06</t>
        </is>
      </c>
      <c r="D514" s="10" t="inlineStr">
        <is>
          <t>P4102157464</t>
        </is>
      </c>
      <c r="E514" s="11" t="inlineStr">
        <is>
          <t>Statik / Einsturzsicherung während Abbruch</t>
        </is>
      </c>
      <c r="F514" s="10" t="inlineStr">
        <is>
          <t>Statik</t>
        </is>
      </c>
      <c r="G514" s="12" t="n">
        <v>0.287</v>
      </c>
      <c r="H514" s="13" t="n">
        <v>925</v>
      </c>
      <c r="I514" s="13" t="n">
        <v>1861</v>
      </c>
      <c r="J514" s="13" t="n">
        <v>3425</v>
      </c>
      <c r="K514" s="14">
        <f>IF(OR(COUNT(G514:J514)&lt;&gt;4,G514&lt;0,G514&gt;1,H514&gt;I514,I514&gt;J514),"n.a.",ROUND(G514*(H514+4*I514+J514)/6+0.00000001,2))</f>
        <v/>
      </c>
      <c r="L514" s="13" t="n">
        <v>0</v>
      </c>
      <c r="M514" s="14">
        <f>SUMIFS(Maßnahmen!$I$7:$I$126,Maßnahmen!$D$7:$D$126,C514,Maßnahmen!$H$7:$H$126,"&lt;&gt;verworfen")</f>
        <v/>
      </c>
      <c r="N514" s="14">
        <f>IF(ISNUMBER(K514),MAX(0,K514-L514-M514),"n.a.")</f>
        <v/>
      </c>
      <c r="O514" s="14" t="n">
        <v>564.15</v>
      </c>
      <c r="P514" s="14">
        <f>IF(ISNUMBER(K514),K514-O514,"n.a.")</f>
        <v/>
      </c>
    </row>
    <row r="515" ht="32" customHeight="1">
      <c r="C515" s="10" t="inlineStr">
        <is>
          <t>PRJ-52b1cf32-RK-07</t>
        </is>
      </c>
      <c r="D515" s="10" t="inlineStr">
        <is>
          <t>P4102157464</t>
        </is>
      </c>
      <c r="E515" s="11" t="inlineStr">
        <is>
          <t>Unterirdische Tragkonstruktion / Fundamente</t>
        </is>
      </c>
      <c r="F515" s="10" t="inlineStr">
        <is>
          <t>Statik</t>
        </is>
      </c>
      <c r="G515" s="12" t="n">
        <v>0.5</v>
      </c>
      <c r="H515" s="13" t="n">
        <v>229</v>
      </c>
      <c r="I515" s="13" t="n">
        <v>557</v>
      </c>
      <c r="J515" s="13" t="n">
        <v>1245</v>
      </c>
      <c r="K515" s="14">
        <f>IF(OR(COUNT(G515:J515)&lt;&gt;4,G515&lt;0,G515&gt;1,H515&gt;I515,I515&gt;J515),"n.a.",ROUND(G515*(H515+4*I515+J515)/6+0.00000001,2))</f>
        <v/>
      </c>
      <c r="L515" s="13" t="n">
        <v>0</v>
      </c>
      <c r="M515" s="14">
        <f>SUMIFS(Maßnahmen!$I$7:$I$126,Maßnahmen!$D$7:$D$126,C515,Maßnahmen!$H$7:$H$126,"&lt;&gt;verworfen")</f>
        <v/>
      </c>
      <c r="N515" s="14">
        <f>IF(ISNUMBER(K515),MAX(0,K515-L515-M515),"n.a.")</f>
        <v/>
      </c>
      <c r="O515" s="14" t="n">
        <v>308.5</v>
      </c>
      <c r="P515" s="14">
        <f>IF(ISNUMBER(K515),K515-O515,"n.a.")</f>
        <v/>
      </c>
    </row>
    <row r="516" ht="32" customHeight="1">
      <c r="C516" s="10" t="inlineStr">
        <is>
          <t>PRJ-52b1cf32-RK-08</t>
        </is>
      </c>
      <c r="D516" s="10" t="inlineStr">
        <is>
          <t>P4102157464</t>
        </is>
      </c>
      <c r="E516" s="11" t="inlineStr">
        <is>
          <t>Gebäudehöhe &gt;22 m / Longfront-Bagger (+130–150 %)</t>
        </is>
      </c>
      <c r="F516" s="10" t="inlineStr">
        <is>
          <t>Termin</t>
        </is>
      </c>
      <c r="G516" s="12" t="n">
        <v>0.513</v>
      </c>
      <c r="H516" s="13" t="n">
        <v>1159</v>
      </c>
      <c r="I516" s="13" t="n">
        <v>2352</v>
      </c>
      <c r="J516" s="13" t="n">
        <v>4454</v>
      </c>
      <c r="K516" s="14">
        <f>IF(OR(COUNT(G516:J516)&lt;&gt;4,G516&lt;0,G516&gt;1,H516&gt;I516,I516&gt;J516),"n.a.",ROUND(G516*(H516+4*I516+J516)/6+0.00000001,2))</f>
        <v/>
      </c>
      <c r="L516" s="13" t="n">
        <v>0</v>
      </c>
      <c r="M516" s="14">
        <f>SUMIFS(Maßnahmen!$I$7:$I$126,Maßnahmen!$D$7:$D$126,C516,Maßnahmen!$H$7:$H$126,"&lt;&gt;verworfen")</f>
        <v/>
      </c>
      <c r="N516" s="14">
        <f>IF(ISNUMBER(K516),MAX(0,K516-L516-M516),"n.a.")</f>
        <v/>
      </c>
      <c r="O516" s="14" t="n">
        <v>1284.3</v>
      </c>
      <c r="P516" s="14">
        <f>IF(ISNUMBER(K516),K516-O516,"n.a.")</f>
        <v/>
      </c>
    </row>
    <row r="517" ht="32" customHeight="1">
      <c r="C517" s="10" t="inlineStr">
        <is>
          <t>PRJ-52b1cf32-RK-09</t>
        </is>
      </c>
      <c r="D517" s="10" t="inlineStr">
        <is>
          <t>P4102157464</t>
        </is>
      </c>
      <c r="E517" s="11" t="inlineStr">
        <is>
          <t>Beennte Lage / nur Handabbruch möglich</t>
        </is>
      </c>
      <c r="F517" s="10" t="inlineStr">
        <is>
          <t>Termin</t>
        </is>
      </c>
      <c r="G517" s="12" t="n">
        <v>0.205</v>
      </c>
      <c r="H517" s="13" t="n">
        <v>254</v>
      </c>
      <c r="I517" s="13" t="n">
        <v>571</v>
      </c>
      <c r="J517" s="13" t="n">
        <v>1302</v>
      </c>
      <c r="K517" s="14">
        <f>IF(OR(COUNT(G517:J517)&lt;&gt;4,G517&lt;0,G517&gt;1,H517&gt;I517,I517&gt;J517),"n.a.",ROUND(G517*(H517+4*I517+J517)/6+0.00000001,2))</f>
        <v/>
      </c>
      <c r="L517" s="13" t="n">
        <v>0</v>
      </c>
      <c r="M517" s="14">
        <f>SUMIFS(Maßnahmen!$I$7:$I$126,Maßnahmen!$D$7:$D$126,C517,Maßnahmen!$H$7:$H$126,"&lt;&gt;verworfen")</f>
        <v/>
      </c>
      <c r="N517" s="14">
        <f>IF(ISNUMBER(K517),MAX(0,K517-L517-M517),"n.a.")</f>
        <v/>
      </c>
      <c r="O517" s="14" t="n">
        <v>131.2</v>
      </c>
      <c r="P517" s="14">
        <f>IF(ISNUMBER(K517),K517-O517,"n.a.")</f>
        <v/>
      </c>
    </row>
    <row r="518" ht="32" customHeight="1">
      <c r="C518" s="10" t="inlineStr">
        <is>
          <t>PRJ-4f8e93ba-RK-13</t>
        </is>
      </c>
      <c r="D518" s="10" t="inlineStr">
        <is>
          <t>P4102307441</t>
        </is>
      </c>
      <c r="E518" s="11" t="inlineStr">
        <is>
          <t>Lärm- und Erschütterungsauflagen</t>
        </is>
      </c>
      <c r="F518" s="10" t="inlineStr">
        <is>
          <t>Emissionen</t>
        </is>
      </c>
      <c r="G518" s="12" t="n">
        <v>0.6</v>
      </c>
      <c r="H518" s="13" t="n">
        <v>5658</v>
      </c>
      <c r="I518" s="13" t="n">
        <v>7274</v>
      </c>
      <c r="J518" s="13" t="n">
        <v>10508</v>
      </c>
      <c r="K518" s="14">
        <f>IF(OR(COUNT(G518:J518)&lt;&gt;4,G518&lt;0,G518&gt;1,H518&gt;I518,I518&gt;J518),"n.a.",ROUND(G518*(H518+4*I518+J518)/6+0.00000001,2))</f>
        <v/>
      </c>
      <c r="L518" s="13" t="n">
        <v>0</v>
      </c>
      <c r="M518" s="14">
        <f>SUMIFS(Maßnahmen!$I$7:$I$126,Maßnahmen!$D$7:$D$126,C518,Maßnahmen!$H$7:$H$126,"&lt;&gt;verworfen")</f>
        <v/>
      </c>
      <c r="N518" s="14">
        <f>IF(ISNUMBER(K518),MAX(0,K518-L518-M518),"n.a.")</f>
        <v/>
      </c>
      <c r="O518" s="14" t="n">
        <v>4526.2</v>
      </c>
      <c r="P518" s="14">
        <f>IF(ISNUMBER(K518),K518-O518,"n.a.")</f>
        <v/>
      </c>
    </row>
    <row r="519" ht="32" customHeight="1">
      <c r="C519" s="10" t="inlineStr">
        <is>
          <t>PRJ-52b1cf32-RK-13</t>
        </is>
      </c>
      <c r="D519" s="10" t="inlineStr">
        <is>
          <t>P4102157464</t>
        </is>
      </c>
      <c r="E519" s="11" t="inlineStr">
        <is>
          <t>Lärm- und Erschütterungsauflagen</t>
        </is>
      </c>
      <c r="F519" s="10" t="inlineStr">
        <is>
          <t>Emissionen</t>
        </is>
      </c>
      <c r="G519" s="12" t="n">
        <v>0.287</v>
      </c>
      <c r="H519" s="13" t="n">
        <v>622</v>
      </c>
      <c r="I519" s="13" t="n">
        <v>1353</v>
      </c>
      <c r="J519" s="13" t="n">
        <v>2554</v>
      </c>
      <c r="K519" s="14">
        <f>IF(OR(COUNT(G519:J519)&lt;&gt;4,G519&lt;0,G519&gt;1,H519&gt;I519,I519&gt;J519),"n.a.",ROUND(G519*(H519+4*I519+J519)/6+0.00000001,2))</f>
        <v/>
      </c>
      <c r="L519" s="13" t="n">
        <v>0</v>
      </c>
      <c r="M519" s="14">
        <f>SUMIFS(Maßnahmen!$I$7:$I$126,Maßnahmen!$D$7:$D$126,C519,Maßnahmen!$H$7:$H$126,"&lt;&gt;verworfen")</f>
        <v/>
      </c>
      <c r="N519" s="14">
        <f>IF(ISNUMBER(K519),MAX(0,K519-L519-M519),"n.a.")</f>
        <v/>
      </c>
      <c r="O519" s="14" t="n">
        <v>410.79</v>
      </c>
      <c r="P519" s="14">
        <f>IF(ISNUMBER(K519),K519-O519,"n.a.")</f>
        <v/>
      </c>
    </row>
    <row r="520" ht="32" customHeight="1">
      <c r="C520" s="10" t="inlineStr">
        <is>
          <t>PRJ-52b1cf32-RK-14</t>
        </is>
      </c>
      <c r="D520" s="10" t="inlineStr">
        <is>
          <t>P4102157464</t>
        </is>
      </c>
      <c r="E520" s="11" t="inlineStr">
        <is>
          <t>Rechtliche Auflagen / Entsorgungsnachweise (Formalismus)</t>
        </is>
      </c>
      <c r="F520" s="10" t="inlineStr">
        <is>
          <t>Genehmigung</t>
        </is>
      </c>
      <c r="G520" s="12" t="n">
        <v>0.394</v>
      </c>
      <c r="H520" s="13" t="n">
        <v>1238</v>
      </c>
      <c r="I520" s="13" t="n">
        <v>2432</v>
      </c>
      <c r="J520" s="13" t="n">
        <v>4614</v>
      </c>
      <c r="K520" s="14">
        <f>IF(OR(COUNT(G520:J520)&lt;&gt;4,G520&lt;0,G520&gt;1,H520&gt;I520,I520&gt;J520),"n.a.",ROUND(G520*(H520+4*I520+J520)/6+0.00000001,2))</f>
        <v/>
      </c>
      <c r="L520" s="13" t="n">
        <v>0</v>
      </c>
      <c r="M520" s="14">
        <f>SUMIFS(Maßnahmen!$I$7:$I$126,Maßnahmen!$D$7:$D$126,C520,Maßnahmen!$H$7:$H$126,"&lt;&gt;verworfen")</f>
        <v/>
      </c>
      <c r="N520" s="14">
        <f>IF(ISNUMBER(K520),MAX(0,K520-L520-M520),"n.a.")</f>
        <v/>
      </c>
      <c r="O520" s="14" t="n">
        <v>1023.09</v>
      </c>
      <c r="P520" s="14">
        <f>IF(ISNUMBER(K520),K520-O520,"n.a.")</f>
        <v/>
      </c>
    </row>
    <row r="521" ht="32" customHeight="1">
      <c r="C521" s="10" t="inlineStr">
        <is>
          <t>PRJ-52b1cf71-RK-02</t>
        </is>
      </c>
      <c r="D521" s="10" t="inlineStr">
        <is>
          <t>P4102157443</t>
        </is>
      </c>
      <c r="E521" s="11" t="inlineStr">
        <is>
          <t>Arbeitsschutz kontaminierte Bereiche (TRGS 524)</t>
        </is>
      </c>
      <c r="F521" s="10" t="inlineStr">
        <is>
          <t>Schadstoffe</t>
        </is>
      </c>
      <c r="G521" s="12" t="n">
        <v>0.439</v>
      </c>
      <c r="H521" s="13" t="n">
        <v>20</v>
      </c>
      <c r="I521" s="13" t="n">
        <v>50</v>
      </c>
      <c r="J521" s="13" t="n">
        <v>100</v>
      </c>
      <c r="K521" s="14">
        <f>IF(OR(COUNT(G521:J521)&lt;&gt;4,G521&lt;0,G521&gt;1,H521&gt;I521,I521&gt;J521),"n.a.",ROUND(G521*(H521+4*I521+J521)/6+0.00000001,2))</f>
        <v/>
      </c>
      <c r="L521" s="13" t="n">
        <v>0</v>
      </c>
      <c r="M521" s="14">
        <f>SUMIFS(Maßnahmen!$I$7:$I$126,Maßnahmen!$D$7:$D$126,C521,Maßnahmen!$H$7:$H$126,"&lt;&gt;verworfen")</f>
        <v/>
      </c>
      <c r="N521" s="14">
        <f>IF(ISNUMBER(K521),MAX(0,K521-L521-M521),"n.a.")</f>
        <v/>
      </c>
      <c r="O521" s="14" t="n">
        <v>23.41</v>
      </c>
      <c r="P521" s="14">
        <f>IF(ISNUMBER(K521),K521-O521,"n.a.")</f>
        <v/>
      </c>
    </row>
    <row r="522" ht="32" customHeight="1">
      <c r="C522" s="10" t="inlineStr">
        <is>
          <t>PRJ-52b1cf71-RK-03</t>
        </is>
      </c>
      <c r="D522" s="10" t="inlineStr">
        <is>
          <t>P4102157443</t>
        </is>
      </c>
      <c r="E522" s="11" t="inlineStr">
        <is>
          <t>Entsorgungs-Mehrkosten / Entsorgungswege</t>
        </is>
      </c>
      <c r="F522" s="10" t="inlineStr">
        <is>
          <t>Entsorgung</t>
        </is>
      </c>
      <c r="G522" s="12" t="n">
        <v>0.27</v>
      </c>
      <c r="H522" s="13" t="n">
        <v>20</v>
      </c>
      <c r="I522" s="13" t="n">
        <v>50</v>
      </c>
      <c r="J522" s="13" t="n">
        <v>100</v>
      </c>
      <c r="K522" s="14">
        <f>IF(OR(COUNT(G522:J522)&lt;&gt;4,G522&lt;0,G522&gt;1,H522&gt;I522,I522&gt;J522),"n.a.",ROUND(G522*(H522+4*I522+J522)/6+0.00000001,2))</f>
        <v/>
      </c>
      <c r="L522" s="13" t="n">
        <v>0</v>
      </c>
      <c r="M522" s="14">
        <f>SUMIFS(Maßnahmen!$I$7:$I$126,Maßnahmen!$D$7:$D$126,C522,Maßnahmen!$H$7:$H$126,"&lt;&gt;verworfen")</f>
        <v/>
      </c>
      <c r="N522" s="14">
        <f>IF(ISNUMBER(K522),MAX(0,K522-L522-M522),"n.a.")</f>
        <v/>
      </c>
      <c r="O522" s="14" t="n">
        <v>14.4</v>
      </c>
      <c r="P522" s="14">
        <f>IF(ISNUMBER(K522),K522-O522,"n.a.")</f>
        <v/>
      </c>
    </row>
    <row r="523" ht="32" customHeight="1">
      <c r="C523" s="10" t="inlineStr">
        <is>
          <t>PRJ-52b1cf71-RK-05</t>
        </is>
      </c>
      <c r="D523" s="10" t="inlineStr">
        <is>
          <t>P4102157443</t>
        </is>
      </c>
      <c r="E523" s="11" t="inlineStr">
        <is>
          <t>Unbekannte Bauwerkskonstruktion / fehlende Pläne</t>
        </is>
      </c>
      <c r="F523" s="10" t="inlineStr">
        <is>
          <t>Statik</t>
        </is>
      </c>
      <c r="G523" s="12" t="n">
        <v>0.12</v>
      </c>
      <c r="H523" s="13" t="n">
        <v>52</v>
      </c>
      <c r="I523" s="13" t="n">
        <v>99</v>
      </c>
      <c r="J523" s="13" t="n">
        <v>181</v>
      </c>
      <c r="K523" s="14">
        <f>IF(OR(COUNT(G523:J523)&lt;&gt;4,G523&lt;0,G523&gt;1,H523&gt;I523,I523&gt;J523),"n.a.",ROUND(G523*(H523+4*I523+J523)/6+0.00000001,2))</f>
        <v/>
      </c>
      <c r="L523" s="13" t="n">
        <v>0</v>
      </c>
      <c r="M523" s="14">
        <f>SUMIFS(Maßnahmen!$I$7:$I$126,Maßnahmen!$D$7:$D$126,C523,Maßnahmen!$H$7:$H$126,"&lt;&gt;verworfen")</f>
        <v/>
      </c>
      <c r="N523" s="14">
        <f>IF(ISNUMBER(K523),MAX(0,K523-L523-M523),"n.a.")</f>
        <v/>
      </c>
      <c r="O523" s="14" t="n">
        <v>12.58</v>
      </c>
      <c r="P523" s="14">
        <f>IF(ISNUMBER(K523),K523-O523,"n.a.")</f>
        <v/>
      </c>
    </row>
    <row r="524" ht="32" customHeight="1">
      <c r="C524" s="10" t="inlineStr">
        <is>
          <t>PRJ-52b1cf71-RK-06</t>
        </is>
      </c>
      <c r="D524" s="10" t="inlineStr">
        <is>
          <t>P4102157443</t>
        </is>
      </c>
      <c r="E524" s="11" t="inlineStr">
        <is>
          <t>Statik / Einsturzsicherung während Abbruch</t>
        </is>
      </c>
      <c r="F524" s="10" t="inlineStr">
        <is>
          <t>Statik</t>
        </is>
      </c>
      <c r="G524" s="12" t="n">
        <v>0.24</v>
      </c>
      <c r="H524" s="13" t="n">
        <v>30</v>
      </c>
      <c r="I524" s="13" t="n">
        <v>70</v>
      </c>
      <c r="J524" s="13" t="n">
        <v>140</v>
      </c>
      <c r="K524" s="14">
        <f>IF(OR(COUNT(G524:J524)&lt;&gt;4,G524&lt;0,G524&gt;1,H524&gt;I524,I524&gt;J524),"n.a.",ROUND(G524*(H524+4*I524+J524)/6+0.00000001,2))</f>
        <v/>
      </c>
      <c r="L524" s="13" t="n">
        <v>0</v>
      </c>
      <c r="M524" s="14">
        <f>SUMIFS(Maßnahmen!$I$7:$I$126,Maßnahmen!$D$7:$D$126,C524,Maßnahmen!$H$7:$H$126,"&lt;&gt;verworfen")</f>
        <v/>
      </c>
      <c r="N524" s="14">
        <f>IF(ISNUMBER(K524),MAX(0,K524-L524-M524),"n.a.")</f>
        <v/>
      </c>
      <c r="O524" s="14" t="n">
        <v>18</v>
      </c>
      <c r="P524" s="14">
        <f>IF(ISNUMBER(K524),K524-O524,"n.a.")</f>
        <v/>
      </c>
    </row>
    <row r="525" ht="32" customHeight="1">
      <c r="C525" s="10" t="inlineStr">
        <is>
          <t>PRJ-52b1cf71-RK-07</t>
        </is>
      </c>
      <c r="D525" s="10" t="inlineStr">
        <is>
          <t>P4102157443</t>
        </is>
      </c>
      <c r="E525" s="11" t="inlineStr">
        <is>
          <t>Unterirdische Tragkonstruktion / Fundamente</t>
        </is>
      </c>
      <c r="F525" s="10" t="inlineStr">
        <is>
          <t>Statik</t>
        </is>
      </c>
      <c r="G525" s="12" t="n">
        <v>0.65</v>
      </c>
      <c r="H525" s="13" t="n">
        <v>5</v>
      </c>
      <c r="I525" s="13" t="n">
        <v>20</v>
      </c>
      <c r="J525" s="13" t="n">
        <v>50</v>
      </c>
      <c r="K525" s="14">
        <f>IF(OR(COUNT(G525:J525)&lt;&gt;4,G525&lt;0,G525&gt;1,H525&gt;I525,I525&gt;J525),"n.a.",ROUND(G525*(H525+4*I525+J525)/6+0.00000001,2))</f>
        <v/>
      </c>
      <c r="L525" s="13" t="n">
        <v>0</v>
      </c>
      <c r="M525" s="14">
        <f>SUMIFS(Maßnahmen!$I$7:$I$126,Maßnahmen!$D$7:$D$126,C525,Maßnahmen!$H$7:$H$126,"&lt;&gt;verworfen")</f>
        <v/>
      </c>
      <c r="N525" s="14">
        <f>IF(ISNUMBER(K525),MAX(0,K525-L525-M525),"n.a.")</f>
        <v/>
      </c>
      <c r="O525" s="14" t="n">
        <v>14.63</v>
      </c>
      <c r="P525" s="14">
        <f>IF(ISNUMBER(K525),K525-O525,"n.a.")</f>
        <v/>
      </c>
    </row>
    <row r="526" ht="32" customHeight="1">
      <c r="C526" s="10" t="inlineStr">
        <is>
          <t>PRJ-52b1cf71-RK-08</t>
        </is>
      </c>
      <c r="D526" s="10" t="inlineStr">
        <is>
          <t>P4102157443</t>
        </is>
      </c>
      <c r="E526" s="11" t="inlineStr">
        <is>
          <t>Gebäudehöhe &gt;22 m / Longfront-Bagger (+130–150 %)</t>
        </is>
      </c>
      <c r="F526" s="10" t="inlineStr">
        <is>
          <t>Termin</t>
        </is>
      </c>
      <c r="G526" s="12" t="n">
        <v>0.5649999999999999</v>
      </c>
      <c r="H526" s="13" t="n">
        <v>83</v>
      </c>
      <c r="I526" s="13" t="n">
        <v>167</v>
      </c>
      <c r="J526" s="13" t="n">
        <v>316</v>
      </c>
      <c r="K526" s="14">
        <f>IF(OR(COUNT(G526:J526)&lt;&gt;4,G526&lt;0,G526&gt;1,H526&gt;I526,I526&gt;J526),"n.a.",ROUND(G526*(H526+4*I526+J526)/6+0.00000001,2))</f>
        <v/>
      </c>
      <c r="L526" s="13" t="n">
        <v>0</v>
      </c>
      <c r="M526" s="14">
        <f>SUMIFS(Maßnahmen!$I$7:$I$126,Maßnahmen!$D$7:$D$126,C526,Maßnahmen!$H$7:$H$126,"&lt;&gt;verworfen")</f>
        <v/>
      </c>
      <c r="N526" s="14">
        <f>IF(ISNUMBER(K526),MAX(0,K526-L526-M526),"n.a.")</f>
        <v/>
      </c>
      <c r="O526" s="14" t="n">
        <v>100.48</v>
      </c>
      <c r="P526" s="14">
        <f>IF(ISNUMBER(K526),K526-O526,"n.a.")</f>
        <v/>
      </c>
    </row>
    <row r="527" ht="32" customHeight="1">
      <c r="C527" s="10" t="inlineStr">
        <is>
          <t>PRJ-52b1cf71-RK-09</t>
        </is>
      </c>
      <c r="D527" s="10" t="inlineStr">
        <is>
          <t>P4102157443</t>
        </is>
      </c>
      <c r="E527" s="11" t="inlineStr">
        <is>
          <t>Beennte Lage / nur Handabbruch möglich</t>
        </is>
      </c>
      <c r="F527" s="10" t="inlineStr">
        <is>
          <t>Termin</t>
        </is>
      </c>
      <c r="G527" s="12" t="n">
        <v>0.177</v>
      </c>
      <c r="H527" s="13" t="n">
        <v>12</v>
      </c>
      <c r="I527" s="13" t="n">
        <v>28</v>
      </c>
      <c r="J527" s="13" t="n">
        <v>66</v>
      </c>
      <c r="K527" s="14">
        <f>IF(OR(COUNT(G527:J527)&lt;&gt;4,G527&lt;0,G527&gt;1,H527&gt;I527,I527&gt;J527),"n.a.",ROUND(G527*(H527+4*I527+J527)/6+0.00000001,2))</f>
        <v/>
      </c>
      <c r="L527" s="13" t="n">
        <v>0</v>
      </c>
      <c r="M527" s="14">
        <f>SUMIFS(Maßnahmen!$I$7:$I$126,Maßnahmen!$D$7:$D$126,C527,Maßnahmen!$H$7:$H$126,"&lt;&gt;verworfen")</f>
        <v/>
      </c>
      <c r="N527" s="14">
        <f>IF(ISNUMBER(K527),MAX(0,K527-L527-M527),"n.a.")</f>
        <v/>
      </c>
      <c r="O527" s="14" t="n">
        <v>5.61</v>
      </c>
      <c r="P527" s="14">
        <f>IF(ISNUMBER(K527),K527-O527,"n.a.")</f>
        <v/>
      </c>
    </row>
    <row r="528" ht="32" customHeight="1">
      <c r="C528" s="10" t="inlineStr">
        <is>
          <t>PRJ-52b1cf71-RK-11</t>
        </is>
      </c>
      <c r="D528" s="10" t="inlineStr">
        <is>
          <t>P4102157443</t>
        </is>
      </c>
      <c r="E528" s="11" t="inlineStr">
        <is>
          <t>Witterung / Ablaufstörung</t>
        </is>
      </c>
      <c r="F528" s="10" t="inlineStr">
        <is>
          <t>Termin</t>
        </is>
      </c>
      <c r="G528" s="12" t="n">
        <v>0.25</v>
      </c>
      <c r="H528" s="13" t="n">
        <v>10</v>
      </c>
      <c r="I528" s="13" t="n">
        <v>30</v>
      </c>
      <c r="J528" s="13" t="n">
        <v>60</v>
      </c>
      <c r="K528" s="14">
        <f>IF(OR(COUNT(G528:J528)&lt;&gt;4,G528&lt;0,G528&gt;1,H528&gt;I528,I528&gt;J528),"n.a.",ROUND(G528*(H528+4*I528+J528)/6+0.00000001,2))</f>
        <v/>
      </c>
      <c r="L528" s="13" t="n">
        <v>0</v>
      </c>
      <c r="M528" s="14">
        <f>SUMIFS(Maßnahmen!$I$7:$I$126,Maßnahmen!$D$7:$D$126,C528,Maßnahmen!$H$7:$H$126,"&lt;&gt;verworfen")</f>
        <v/>
      </c>
      <c r="N528" s="14">
        <f>IF(ISNUMBER(K528),MAX(0,K528-L528-M528),"n.a.")</f>
        <v/>
      </c>
      <c r="O528" s="14" t="n">
        <v>7.92</v>
      </c>
      <c r="P528" s="14">
        <f>IF(ISNUMBER(K528),K528-O528,"n.a.")</f>
        <v/>
      </c>
    </row>
    <row r="529" ht="32" customHeight="1">
      <c r="C529" s="10" t="inlineStr">
        <is>
          <t>PRJ-52b1cf71-RK-13</t>
        </is>
      </c>
      <c r="D529" s="10" t="inlineStr">
        <is>
          <t>P4102157443</t>
        </is>
      </c>
      <c r="E529" s="11" t="inlineStr">
        <is>
          <t>Lärm- und Erschütterungsauflagen</t>
        </is>
      </c>
      <c r="F529" s="10" t="inlineStr">
        <is>
          <t>Emissionen</t>
        </is>
      </c>
      <c r="G529" s="12" t="n">
        <v>0.243</v>
      </c>
      <c r="H529" s="13" t="n">
        <v>29</v>
      </c>
      <c r="I529" s="13" t="n">
        <v>67</v>
      </c>
      <c r="J529" s="13" t="n">
        <v>130</v>
      </c>
      <c r="K529" s="14">
        <f>IF(OR(COUNT(G529:J529)&lt;&gt;4,G529&lt;0,G529&gt;1,H529&gt;I529,I529&gt;J529),"n.a.",ROUND(G529*(H529+4*I529+J529)/6+0.00000001,2))</f>
        <v/>
      </c>
      <c r="L529" s="13" t="n">
        <v>0</v>
      </c>
      <c r="M529" s="14">
        <f>SUMIFS(Maßnahmen!$I$7:$I$126,Maßnahmen!$D$7:$D$126,C529,Maßnahmen!$H$7:$H$126,"&lt;&gt;verworfen")</f>
        <v/>
      </c>
      <c r="N529" s="14">
        <f>IF(ISNUMBER(K529),MAX(0,K529-L529-M529),"n.a.")</f>
        <v/>
      </c>
      <c r="O529" s="14" t="n">
        <v>17.29</v>
      </c>
      <c r="P529" s="14">
        <f>IF(ISNUMBER(K529),K529-O529,"n.a.")</f>
        <v/>
      </c>
    </row>
    <row r="530" ht="32" customHeight="1">
      <c r="C530" s="10" t="inlineStr">
        <is>
          <t>PRJ-52b1cf71-RK-14</t>
        </is>
      </c>
      <c r="D530" s="10" t="inlineStr">
        <is>
          <t>P4102157443</t>
        </is>
      </c>
      <c r="E530" s="11" t="inlineStr">
        <is>
          <t>Rechtliche Auflagen / Entsorgungsnachweise (Formalismus)</t>
        </is>
      </c>
      <c r="F530" s="10" t="inlineStr">
        <is>
          <t>Genehmigung</t>
        </is>
      </c>
      <c r="G530" s="12" t="n">
        <v>0.4</v>
      </c>
      <c r="H530" s="13" t="n">
        <v>88</v>
      </c>
      <c r="I530" s="13" t="n">
        <v>172</v>
      </c>
      <c r="J530" s="13" t="n">
        <v>326</v>
      </c>
      <c r="K530" s="14">
        <f>IF(OR(COUNT(G530:J530)&lt;&gt;4,G530&lt;0,G530&gt;1,H530&gt;I530,I530&gt;J530),"n.a.",ROUND(G530*(H530+4*I530+J530)/6+0.00000001,2))</f>
        <v/>
      </c>
      <c r="L530" s="13" t="n">
        <v>0</v>
      </c>
      <c r="M530" s="14">
        <f>SUMIFS(Maßnahmen!$I$7:$I$126,Maßnahmen!$D$7:$D$126,C530,Maßnahmen!$H$7:$H$126,"&lt;&gt;verworfen")</f>
        <v/>
      </c>
      <c r="N530" s="14">
        <f>IF(ISNUMBER(K530),MAX(0,K530-L530-M530),"n.a.")</f>
        <v/>
      </c>
      <c r="O530" s="14" t="n">
        <v>73.47</v>
      </c>
      <c r="P530" s="14">
        <f>IF(ISNUMBER(K530),K530-O530,"n.a.")</f>
        <v/>
      </c>
    </row>
    <row r="531" ht="32" customHeight="1">
      <c r="C531" s="10" t="inlineStr">
        <is>
          <t>PRJ-52b1cf92-RK-02</t>
        </is>
      </c>
      <c r="D531" s="10" t="inlineStr">
        <is>
          <t>P4102157431</t>
        </is>
      </c>
      <c r="E531" s="11" t="inlineStr">
        <is>
          <t>Arbeitsschutz kontaminierte Bereiche (TRGS 524)</t>
        </is>
      </c>
      <c r="F531" s="10" t="inlineStr">
        <is>
          <t>Schadstoffe</t>
        </is>
      </c>
      <c r="G531" s="12" t="n">
        <v>0.47</v>
      </c>
      <c r="H531" s="13" t="n">
        <v>100</v>
      </c>
      <c r="I531" s="13" t="n">
        <v>250</v>
      </c>
      <c r="J531" s="13" t="n">
        <v>500</v>
      </c>
      <c r="K531" s="14">
        <f>IF(OR(COUNT(G531:J531)&lt;&gt;4,G531&lt;0,G531&gt;1,H531&gt;I531,I531&gt;J531),"n.a.",ROUND(G531*(H531+4*I531+J531)/6+0.00000001,2))</f>
        <v/>
      </c>
      <c r="L531" s="13" t="n">
        <v>0</v>
      </c>
      <c r="M531" s="14">
        <f>SUMIFS(Maßnahmen!$I$7:$I$126,Maßnahmen!$D$7:$D$126,C531,Maßnahmen!$H$7:$H$126,"&lt;&gt;verworfen")</f>
        <v/>
      </c>
      <c r="N531" s="14">
        <f>IF(ISNUMBER(K531),MAX(0,K531-L531-M531),"n.a.")</f>
        <v/>
      </c>
      <c r="O531" s="14" t="n">
        <v>125.33</v>
      </c>
      <c r="P531" s="14">
        <f>IF(ISNUMBER(K531),K531-O531,"n.a.")</f>
        <v/>
      </c>
    </row>
    <row r="532" ht="32" customHeight="1">
      <c r="C532" s="10" t="inlineStr">
        <is>
          <t>PRJ-52b1cf92-RK-03</t>
        </is>
      </c>
      <c r="D532" s="10" t="inlineStr">
        <is>
          <t>P4102157431</t>
        </is>
      </c>
      <c r="E532" s="11" t="inlineStr">
        <is>
          <t>Entsorgungs-Mehrkosten / Entsorgungswege</t>
        </is>
      </c>
      <c r="F532" s="10" t="inlineStr">
        <is>
          <t>Entsorgung</t>
        </is>
      </c>
      <c r="G532" s="12" t="n">
        <v>0.27</v>
      </c>
      <c r="H532" s="13" t="n">
        <v>100</v>
      </c>
      <c r="I532" s="13" t="n">
        <v>250</v>
      </c>
      <c r="J532" s="13" t="n">
        <v>500</v>
      </c>
      <c r="K532" s="14">
        <f>IF(OR(COUNT(G532:J532)&lt;&gt;4,G532&lt;0,G532&gt;1,H532&gt;I532,I532&gt;J532),"n.a.",ROUND(G532*(H532+4*I532+J532)/6+0.00000001,2))</f>
        <v/>
      </c>
      <c r="L532" s="13" t="n">
        <v>0</v>
      </c>
      <c r="M532" s="14">
        <f>SUMIFS(Maßnahmen!$I$7:$I$126,Maßnahmen!$D$7:$D$126,C532,Maßnahmen!$H$7:$H$126,"&lt;&gt;verworfen")</f>
        <v/>
      </c>
      <c r="N532" s="14">
        <f>IF(ISNUMBER(K532),MAX(0,K532-L532-M532),"n.a.")</f>
        <v/>
      </c>
      <c r="O532" s="14" t="n">
        <v>72</v>
      </c>
      <c r="P532" s="14">
        <f>IF(ISNUMBER(K532),K532-O532,"n.a.")</f>
        <v/>
      </c>
    </row>
    <row r="533" ht="32" customHeight="1">
      <c r="C533" s="10" t="inlineStr">
        <is>
          <t>PRJ-52b1cf92-RK-04</t>
        </is>
      </c>
      <c r="D533" s="10" t="inlineStr">
        <is>
          <t>P4102157431</t>
        </is>
      </c>
      <c r="E533" s="11" t="inlineStr">
        <is>
          <t>Baustofftrennung / Aufbereitung nicht wie geplant</t>
        </is>
      </c>
      <c r="F533" s="10" t="inlineStr">
        <is>
          <t>Entsorgung</t>
        </is>
      </c>
      <c r="G533" s="12" t="n">
        <v>0.1</v>
      </c>
      <c r="H533" s="13" t="n">
        <v>100</v>
      </c>
      <c r="I533" s="13" t="n">
        <v>250</v>
      </c>
      <c r="J533" s="13" t="n">
        <v>500</v>
      </c>
      <c r="K533" s="14">
        <f>IF(OR(COUNT(G533:J533)&lt;&gt;4,G533&lt;0,G533&gt;1,H533&gt;I533,I533&gt;J533),"n.a.",ROUND(G533*(H533+4*I533+J533)/6+0.00000001,2))</f>
        <v/>
      </c>
      <c r="L533" s="13" t="n">
        <v>0</v>
      </c>
      <c r="M533" s="14">
        <f>SUMIFS(Maßnahmen!$I$7:$I$126,Maßnahmen!$D$7:$D$126,C533,Maßnahmen!$H$7:$H$126,"&lt;&gt;verworfen")</f>
        <v/>
      </c>
      <c r="N533" s="14">
        <f>IF(ISNUMBER(K533),MAX(0,K533-L533-M533),"n.a.")</f>
        <v/>
      </c>
      <c r="O533" s="14" t="n">
        <v>26.67</v>
      </c>
      <c r="P533" s="14">
        <f>IF(ISNUMBER(K533),K533-O533,"n.a.")</f>
        <v/>
      </c>
    </row>
    <row r="534" ht="32" customHeight="1">
      <c r="C534" s="10" t="inlineStr">
        <is>
          <t>PRJ-52b1cf92-RK-05</t>
        </is>
      </c>
      <c r="D534" s="10" t="inlineStr">
        <is>
          <t>P4102157431</t>
        </is>
      </c>
      <c r="E534" s="11" t="inlineStr">
        <is>
          <t>Unbekannte Bauwerkskonstruktion / fehlende Pläne</t>
        </is>
      </c>
      <c r="F534" s="10" t="inlineStr">
        <is>
          <t>Statik</t>
        </is>
      </c>
      <c r="G534" s="12" t="n">
        <v>0.12</v>
      </c>
      <c r="H534" s="13" t="n">
        <v>200</v>
      </c>
      <c r="I534" s="13" t="n">
        <v>400</v>
      </c>
      <c r="J534" s="13" t="n">
        <v>750</v>
      </c>
      <c r="K534" s="14">
        <f>IF(OR(COUNT(G534:J534)&lt;&gt;4,G534&lt;0,G534&gt;1,H534&gt;I534,I534&gt;J534),"n.a.",ROUND(G534*(H534+4*I534+J534)/6+0.00000001,2))</f>
        <v/>
      </c>
      <c r="L534" s="13" t="n">
        <v>0</v>
      </c>
      <c r="M534" s="14">
        <f>SUMIFS(Maßnahmen!$I$7:$I$126,Maßnahmen!$D$7:$D$126,C534,Maßnahmen!$H$7:$H$126,"&lt;&gt;verworfen")</f>
        <v/>
      </c>
      <c r="N534" s="14">
        <f>IF(ISNUMBER(K534),MAX(0,K534-L534-M534),"n.a.")</f>
        <v/>
      </c>
      <c r="O534" s="14" t="n">
        <v>51</v>
      </c>
      <c r="P534" s="14">
        <f>IF(ISNUMBER(K534),K534-O534,"n.a.")</f>
        <v/>
      </c>
    </row>
    <row r="535" ht="32" customHeight="1">
      <c r="C535" s="10" t="inlineStr">
        <is>
          <t>PRJ-52b1cf92-RK-06</t>
        </is>
      </c>
      <c r="D535" s="10" t="inlineStr">
        <is>
          <t>P4102157431</t>
        </is>
      </c>
      <c r="E535" s="11" t="inlineStr">
        <is>
          <t>Statik / Einsturzsicherung während Abbruch</t>
        </is>
      </c>
      <c r="F535" s="10" t="inlineStr">
        <is>
          <t>Statik</t>
        </is>
      </c>
      <c r="G535" s="12" t="n">
        <v>0.24</v>
      </c>
      <c r="H535" s="13" t="n">
        <v>150</v>
      </c>
      <c r="I535" s="13" t="n">
        <v>350</v>
      </c>
      <c r="J535" s="13" t="n">
        <v>700</v>
      </c>
      <c r="K535" s="14">
        <f>IF(OR(COUNT(G535:J535)&lt;&gt;4,G535&lt;0,G535&gt;1,H535&gt;I535,I535&gt;J535),"n.a.",ROUND(G535*(H535+4*I535+J535)/6+0.00000001,2))</f>
        <v/>
      </c>
      <c r="L535" s="13" t="n">
        <v>0</v>
      </c>
      <c r="M535" s="14">
        <f>SUMIFS(Maßnahmen!$I$7:$I$126,Maßnahmen!$D$7:$D$126,C535,Maßnahmen!$H$7:$H$126,"&lt;&gt;verworfen")</f>
        <v/>
      </c>
      <c r="N535" s="14">
        <f>IF(ISNUMBER(K535),MAX(0,K535-L535-M535),"n.a.")</f>
        <v/>
      </c>
      <c r="O535" s="14" t="n">
        <v>90</v>
      </c>
      <c r="P535" s="14">
        <f>IF(ISNUMBER(K535),K535-O535,"n.a.")</f>
        <v/>
      </c>
    </row>
    <row r="536" ht="32" customHeight="1">
      <c r="C536" s="10" t="inlineStr">
        <is>
          <t>PRJ-52b1cf92-RK-07</t>
        </is>
      </c>
      <c r="D536" s="10" t="inlineStr">
        <is>
          <t>P4102157431</t>
        </is>
      </c>
      <c r="E536" s="11" t="inlineStr">
        <is>
          <t>Unterirdische Tragkonstruktion / Fundamente</t>
        </is>
      </c>
      <c r="F536" s="10" t="inlineStr">
        <is>
          <t>Statik</t>
        </is>
      </c>
      <c r="G536" s="12" t="n">
        <v>0.65</v>
      </c>
      <c r="H536" s="13" t="n">
        <v>25</v>
      </c>
      <c r="I536" s="13" t="n">
        <v>100</v>
      </c>
      <c r="J536" s="13" t="n">
        <v>250</v>
      </c>
      <c r="K536" s="14">
        <f>IF(OR(COUNT(G536:J536)&lt;&gt;4,G536&lt;0,G536&gt;1,H536&gt;I536,I536&gt;J536),"n.a.",ROUND(G536*(H536+4*I536+J536)/6+0.00000001,2))</f>
        <v/>
      </c>
      <c r="L536" s="13" t="n">
        <v>0</v>
      </c>
      <c r="M536" s="14">
        <f>SUMIFS(Maßnahmen!$I$7:$I$126,Maßnahmen!$D$7:$D$126,C536,Maßnahmen!$H$7:$H$126,"&lt;&gt;verworfen")</f>
        <v/>
      </c>
      <c r="N536" s="14">
        <f>IF(ISNUMBER(K536),MAX(0,K536-L536-M536),"n.a.")</f>
        <v/>
      </c>
      <c r="O536" s="14" t="n">
        <v>73.13</v>
      </c>
      <c r="P536" s="14">
        <f>IF(ISNUMBER(K536),K536-O536,"n.a.")</f>
        <v/>
      </c>
    </row>
    <row r="537" ht="32" customHeight="1">
      <c r="C537" s="10" t="inlineStr">
        <is>
          <t>PRJ-52b1cf92-RK-08</t>
        </is>
      </c>
      <c r="D537" s="10" t="inlineStr">
        <is>
          <t>P4102157431</t>
        </is>
      </c>
      <c r="E537" s="11" t="inlineStr">
        <is>
          <t>Gebäudehöhe &gt;22 m / Longfront-Bagger (+130–150 %)</t>
        </is>
      </c>
      <c r="F537" s="10" t="inlineStr">
        <is>
          <t>Termin</t>
        </is>
      </c>
      <c r="G537" s="12" t="n">
        <v>0.6</v>
      </c>
      <c r="H537" s="13" t="n">
        <v>450</v>
      </c>
      <c r="I537" s="13" t="n">
        <v>900</v>
      </c>
      <c r="J537" s="13" t="n">
        <v>1700</v>
      </c>
      <c r="K537" s="14">
        <f>IF(OR(COUNT(G537:J537)&lt;&gt;4,G537&lt;0,G537&gt;1,H537&gt;I537,I537&gt;J537),"n.a.",ROUND(G537*(H537+4*I537+J537)/6+0.00000001,2))</f>
        <v/>
      </c>
      <c r="L537" s="13" t="n">
        <v>0</v>
      </c>
      <c r="M537" s="14">
        <f>SUMIFS(Maßnahmen!$I$7:$I$126,Maßnahmen!$D$7:$D$126,C537,Maßnahmen!$H$7:$H$126,"&lt;&gt;verworfen")</f>
        <v/>
      </c>
      <c r="N537" s="14">
        <f>IF(ISNUMBER(K537),MAX(0,K537-L537-M537),"n.a.")</f>
        <v/>
      </c>
      <c r="O537" s="14" t="n">
        <v>575</v>
      </c>
      <c r="P537" s="14">
        <f>IF(ISNUMBER(K537),K537-O537,"n.a.")</f>
        <v/>
      </c>
    </row>
    <row r="538" ht="32" customHeight="1">
      <c r="C538" s="10" t="inlineStr">
        <is>
          <t>PRJ-52b1cf92-RK-09</t>
        </is>
      </c>
      <c r="D538" s="10" t="inlineStr">
        <is>
          <t>P4102157431</t>
        </is>
      </c>
      <c r="E538" s="11" t="inlineStr">
        <is>
          <t>Beennte Lage / nur Handabbruch möglich</t>
        </is>
      </c>
      <c r="F538" s="10" t="inlineStr">
        <is>
          <t>Termin</t>
        </is>
      </c>
      <c r="G538" s="12" t="n">
        <v>0.15</v>
      </c>
      <c r="H538" s="13" t="n">
        <v>40</v>
      </c>
      <c r="I538" s="13" t="n">
        <v>100</v>
      </c>
      <c r="J538" s="13" t="n">
        <v>250</v>
      </c>
      <c r="K538" s="14">
        <f>IF(OR(COUNT(G538:J538)&lt;&gt;4,G538&lt;0,G538&gt;1,H538&gt;I538,I538&gt;J538),"n.a.",ROUND(G538*(H538+4*I538+J538)/6+0.00000001,2))</f>
        <v/>
      </c>
      <c r="L538" s="13" t="n">
        <v>0</v>
      </c>
      <c r="M538" s="14">
        <f>SUMIFS(Maßnahmen!$I$7:$I$126,Maßnahmen!$D$7:$D$126,C538,Maßnahmen!$H$7:$H$126,"&lt;&gt;verworfen")</f>
        <v/>
      </c>
      <c r="N538" s="14">
        <f>IF(ISNUMBER(K538),MAX(0,K538-L538-M538),"n.a.")</f>
        <v/>
      </c>
      <c r="O538" s="14" t="n">
        <v>17.25</v>
      </c>
      <c r="P538" s="14">
        <f>IF(ISNUMBER(K538),K538-O538,"n.a.")</f>
        <v/>
      </c>
    </row>
    <row r="539" ht="32" customHeight="1">
      <c r="C539" s="10" t="inlineStr">
        <is>
          <t>PRJ-52b1cf92-RK-10</t>
        </is>
      </c>
      <c r="D539" s="10" t="inlineStr">
        <is>
          <t>P4102157431</t>
        </is>
      </c>
      <c r="E539" s="11" t="inlineStr">
        <is>
          <t>Terminvorgabe Auftraggeber / Geräteauslastung</t>
        </is>
      </c>
      <c r="F539" s="10" t="inlineStr">
        <is>
          <t>Termin</t>
        </is>
      </c>
      <c r="G539" s="12" t="n">
        <v>0.2</v>
      </c>
      <c r="H539" s="13" t="n">
        <v>40</v>
      </c>
      <c r="I539" s="13" t="n">
        <v>100</v>
      </c>
      <c r="J539" s="13" t="n">
        <v>250</v>
      </c>
      <c r="K539" s="14">
        <f>IF(OR(COUNT(G539:J539)&lt;&gt;4,G539&lt;0,G539&gt;1,H539&gt;I539,I539&gt;J539),"n.a.",ROUND(G539*(H539+4*I539+J539)/6+0.00000001,2))</f>
        <v/>
      </c>
      <c r="L539" s="13" t="n">
        <v>0</v>
      </c>
      <c r="M539" s="14">
        <f>SUMIFS(Maßnahmen!$I$7:$I$126,Maßnahmen!$D$7:$D$126,C539,Maßnahmen!$H$7:$H$126,"&lt;&gt;verworfen")</f>
        <v/>
      </c>
      <c r="N539" s="14">
        <f>IF(ISNUMBER(K539),MAX(0,K539-L539-M539),"n.a.")</f>
        <v/>
      </c>
      <c r="O539" s="14" t="n">
        <v>23</v>
      </c>
      <c r="P539" s="14">
        <f>IF(ISNUMBER(K539),K539-O539,"n.a.")</f>
        <v/>
      </c>
    </row>
    <row r="540" ht="32" customHeight="1">
      <c r="C540" s="10" t="inlineStr">
        <is>
          <t>PRJ-52b1cf92-RK-11</t>
        </is>
      </c>
      <c r="D540" s="10" t="inlineStr">
        <is>
          <t>P4102157431</t>
        </is>
      </c>
      <c r="E540" s="11" t="inlineStr">
        <is>
          <t>Witterung / Ablaufstörung</t>
        </is>
      </c>
      <c r="F540" s="10" t="inlineStr">
        <is>
          <t>Termin</t>
        </is>
      </c>
      <c r="G540" s="12" t="n">
        <v>0.25</v>
      </c>
      <c r="H540" s="13" t="n">
        <v>50</v>
      </c>
      <c r="I540" s="13" t="n">
        <v>150</v>
      </c>
      <c r="J540" s="13" t="n">
        <v>300</v>
      </c>
      <c r="K540" s="14">
        <f>IF(OR(COUNT(G540:J540)&lt;&gt;4,G540&lt;0,G540&gt;1,H540&gt;I540,I540&gt;J540),"n.a.",ROUND(G540*(H540+4*I540+J540)/6+0.00000001,2))</f>
        <v/>
      </c>
      <c r="L540" s="13" t="n">
        <v>0</v>
      </c>
      <c r="M540" s="14">
        <f>SUMIFS(Maßnahmen!$I$7:$I$126,Maßnahmen!$D$7:$D$126,C540,Maßnahmen!$H$7:$H$126,"&lt;&gt;verworfen")</f>
        <v/>
      </c>
      <c r="N540" s="14">
        <f>IF(ISNUMBER(K540),MAX(0,K540-L540-M540),"n.a.")</f>
        <v/>
      </c>
      <c r="O540" s="14" t="n">
        <v>39.58</v>
      </c>
      <c r="P540" s="14">
        <f>IF(ISNUMBER(K540),K540-O540,"n.a.")</f>
        <v/>
      </c>
    </row>
    <row r="541" ht="32" customHeight="1">
      <c r="C541" s="10" t="inlineStr">
        <is>
          <t>PRJ-52b1cf92-RK-12</t>
        </is>
      </c>
      <c r="D541" s="10" t="inlineStr">
        <is>
          <t>P4102157431</t>
        </is>
      </c>
      <c r="E541" s="11" t="inlineStr">
        <is>
          <t>Staubemissionen (höchster Aufwand laut Umfrage)</t>
        </is>
      </c>
      <c r="F541" s="10" t="inlineStr">
        <is>
          <t>Emissionen</t>
        </is>
      </c>
      <c r="G541" s="12" t="n">
        <v>0.1</v>
      </c>
      <c r="H541" s="13" t="n">
        <v>150</v>
      </c>
      <c r="I541" s="13" t="n">
        <v>300</v>
      </c>
      <c r="J541" s="13" t="n">
        <v>600</v>
      </c>
      <c r="K541" s="14">
        <f>IF(OR(COUNT(G541:J541)&lt;&gt;4,G541&lt;0,G541&gt;1,H541&gt;I541,I541&gt;J541),"n.a.",ROUND(G541*(H541+4*I541+J541)/6+0.00000001,2))</f>
        <v/>
      </c>
      <c r="L541" s="13" t="n">
        <v>0</v>
      </c>
      <c r="M541" s="14">
        <f>SUMIFS(Maßnahmen!$I$7:$I$126,Maßnahmen!$D$7:$D$126,C541,Maßnahmen!$H$7:$H$126,"&lt;&gt;verworfen")</f>
        <v/>
      </c>
      <c r="N541" s="14">
        <f>IF(ISNUMBER(K541),MAX(0,K541-L541-M541),"n.a.")</f>
        <v/>
      </c>
      <c r="O541" s="14" t="n">
        <v>32.5</v>
      </c>
      <c r="P541" s="14">
        <f>IF(ISNUMBER(K541),K541-O541,"n.a.")</f>
        <v/>
      </c>
    </row>
    <row r="542" ht="32" customHeight="1">
      <c r="C542" s="10" t="inlineStr">
        <is>
          <t>PRJ-52b1cf92-RK-13</t>
        </is>
      </c>
      <c r="D542" s="10" t="inlineStr">
        <is>
          <t>P4102157431</t>
        </is>
      </c>
      <c r="E542" s="11" t="inlineStr">
        <is>
          <t>Lärm- und Erschütterungsauflagen</t>
        </is>
      </c>
      <c r="F542" s="10" t="inlineStr">
        <is>
          <t>Emissionen</t>
        </is>
      </c>
      <c r="G542" s="12" t="n">
        <v>0.2</v>
      </c>
      <c r="H542" s="13" t="n">
        <v>100</v>
      </c>
      <c r="I542" s="13" t="n">
        <v>250</v>
      </c>
      <c r="J542" s="13" t="n">
        <v>500</v>
      </c>
      <c r="K542" s="14">
        <f>IF(OR(COUNT(G542:J542)&lt;&gt;4,G542&lt;0,G542&gt;1,H542&gt;I542,I542&gt;J542),"n.a.",ROUND(G542*(H542+4*I542+J542)/6+0.00000001,2))</f>
        <v/>
      </c>
      <c r="L542" s="13" t="n">
        <v>0</v>
      </c>
      <c r="M542" s="14">
        <f>SUMIFS(Maßnahmen!$I$7:$I$126,Maßnahmen!$D$7:$D$126,C542,Maßnahmen!$H$7:$H$126,"&lt;&gt;verworfen")</f>
        <v/>
      </c>
      <c r="N542" s="14">
        <f>IF(ISNUMBER(K542),MAX(0,K542-L542-M542),"n.a.")</f>
        <v/>
      </c>
      <c r="O542" s="14" t="n">
        <v>53.33</v>
      </c>
      <c r="P542" s="14">
        <f>IF(ISNUMBER(K542),K542-O542,"n.a.")</f>
        <v/>
      </c>
    </row>
    <row r="543" ht="32" customHeight="1">
      <c r="C543" s="10" t="inlineStr">
        <is>
          <t>PRJ-52b1cf92-RK-14</t>
        </is>
      </c>
      <c r="D543" s="10" t="inlineStr">
        <is>
          <t>P4102157431</t>
        </is>
      </c>
      <c r="E543" s="11" t="inlineStr">
        <is>
          <t>Rechtliche Auflagen / Entsorgungsnachweise (Formalismus)</t>
        </is>
      </c>
      <c r="F543" s="10" t="inlineStr">
        <is>
          <t>Genehmigung</t>
        </is>
      </c>
      <c r="G543" s="12" t="n">
        <v>0.4</v>
      </c>
      <c r="H543" s="13" t="n">
        <v>475</v>
      </c>
      <c r="I543" s="13" t="n">
        <v>925</v>
      </c>
      <c r="J543" s="13" t="n">
        <v>1750</v>
      </c>
      <c r="K543" s="14">
        <f>IF(OR(COUNT(G543:J543)&lt;&gt;4,G543&lt;0,G543&gt;1,H543&gt;I543,I543&gt;J543),"n.a.",ROUND(G543*(H543+4*I543+J543)/6+0.00000001,2))</f>
        <v/>
      </c>
      <c r="L543" s="13" t="n">
        <v>0</v>
      </c>
      <c r="M543" s="14">
        <f>SUMIFS(Maßnahmen!$I$7:$I$126,Maßnahmen!$D$7:$D$126,C543,Maßnahmen!$H$7:$H$126,"&lt;&gt;verworfen")</f>
        <v/>
      </c>
      <c r="N543" s="14">
        <f>IF(ISNUMBER(K543),MAX(0,K543-L543-M543),"n.a.")</f>
        <v/>
      </c>
      <c r="O543" s="14" t="n">
        <v>395</v>
      </c>
      <c r="P543" s="14">
        <f>IF(ISNUMBER(K543),K543-O543,"n.a.")</f>
        <v/>
      </c>
    </row>
    <row r="544" ht="32" customHeight="1">
      <c r="C544" s="10" t="inlineStr">
        <is>
          <t>PRJ-52b1cf92-RK-15</t>
        </is>
      </c>
      <c r="D544" s="10" t="inlineStr">
        <is>
          <t>P4102157431</t>
        </is>
      </c>
      <c r="E544" s="11" t="inlineStr">
        <is>
          <t>Konjunktur / Sekundärstoffpreise &amp; Gerätemiete</t>
        </is>
      </c>
      <c r="F544" s="10" t="inlineStr">
        <is>
          <t>Markt</t>
        </is>
      </c>
      <c r="G544" s="12" t="n">
        <v>0.12</v>
      </c>
      <c r="H544" s="13" t="n">
        <v>40</v>
      </c>
      <c r="I544" s="13" t="n">
        <v>100</v>
      </c>
      <c r="J544" s="13" t="n">
        <v>250</v>
      </c>
      <c r="K544" s="14">
        <f>IF(OR(COUNT(G544:J544)&lt;&gt;4,G544&lt;0,G544&gt;1,H544&gt;I544,I544&gt;J544),"n.a.",ROUND(G544*(H544+4*I544+J544)/6+0.00000001,2))</f>
        <v/>
      </c>
      <c r="L544" s="13" t="n">
        <v>0</v>
      </c>
      <c r="M544" s="14">
        <f>SUMIFS(Maßnahmen!$I$7:$I$126,Maßnahmen!$D$7:$D$126,C544,Maßnahmen!$H$7:$H$126,"&lt;&gt;verworfen")</f>
        <v/>
      </c>
      <c r="N544" s="14">
        <f>IF(ISNUMBER(K544),MAX(0,K544-L544-M544),"n.a.")</f>
        <v/>
      </c>
      <c r="O544" s="14" t="n">
        <v>13.8</v>
      </c>
      <c r="P544" s="14">
        <f>IF(ISNUMBER(K544),K544-O544,"n.a.")</f>
        <v/>
      </c>
    </row>
    <row r="545" ht="32" customHeight="1">
      <c r="C545" s="10" t="inlineStr">
        <is>
          <t>PRJ-52b1cf34-RK-05</t>
        </is>
      </c>
      <c r="D545" s="10" t="inlineStr">
        <is>
          <t>P4102157462</t>
        </is>
      </c>
      <c r="E545" s="11" t="inlineStr">
        <is>
          <t>Unbekannte Bauwerkskonstruktion / fehlende Pläne</t>
        </is>
      </c>
      <c r="F545" s="10" t="inlineStr">
        <is>
          <t>Statik</t>
        </is>
      </c>
      <c r="G545" s="12" t="n">
        <v>0.37</v>
      </c>
      <c r="H545" s="13" t="n">
        <v>2853</v>
      </c>
      <c r="I545" s="13" t="n">
        <v>5100</v>
      </c>
      <c r="J545" s="13" t="n">
        <v>8729</v>
      </c>
      <c r="K545" s="14">
        <f>IF(OR(COUNT(G545:J545)&lt;&gt;4,G545&lt;0,G545&gt;1,H545&gt;I545,I545&gt;J545),"n.a.",ROUND(G545*(H545+4*I545+J545)/6+0.00000001,2))</f>
        <v/>
      </c>
      <c r="L545" s="13" t="n">
        <v>0</v>
      </c>
      <c r="M545" s="14">
        <f>SUMIFS(Maßnahmen!$I$7:$I$126,Maßnahmen!$D$7:$D$126,C545,Maßnahmen!$H$7:$H$126,"&lt;&gt;verworfen")</f>
        <v/>
      </c>
      <c r="N545" s="14">
        <f>IF(ISNUMBER(K545),MAX(0,K545-L545-M545),"n.a.")</f>
        <v/>
      </c>
      <c r="O545" s="14" t="n">
        <v>1972.22</v>
      </c>
      <c r="P545" s="14">
        <f>IF(ISNUMBER(K545),K545-O545,"n.a.")</f>
        <v/>
      </c>
    </row>
    <row r="546" ht="32" customHeight="1">
      <c r="C546" s="10" t="inlineStr">
        <is>
          <t>PRJ-52b1cf34-RK-08</t>
        </is>
      </c>
      <c r="D546" s="10" t="inlineStr">
        <is>
          <t>P4102157462</t>
        </is>
      </c>
      <c r="E546" s="11" t="inlineStr">
        <is>
          <t>Gebäudehöhe &gt;22 m / Longfront-Bagger (+130–150 %)</t>
        </is>
      </c>
      <c r="F546" s="10" t="inlineStr">
        <is>
          <t>Termin</t>
        </is>
      </c>
      <c r="G546" s="12" t="n">
        <v>0.387</v>
      </c>
      <c r="H546" s="13" t="n">
        <v>1226</v>
      </c>
      <c r="I546" s="13" t="n">
        <v>2589</v>
      </c>
      <c r="J546" s="13" t="n">
        <v>4937</v>
      </c>
      <c r="K546" s="14">
        <f>IF(OR(COUNT(G546:J546)&lt;&gt;4,G546&lt;0,G546&gt;1,H546&gt;I546,I546&gt;J546),"n.a.",ROUND(G546*(H546+4*I546+J546)/6+0.00000001,2))</f>
        <v/>
      </c>
      <c r="L546" s="13" t="n">
        <v>0</v>
      </c>
      <c r="M546" s="14">
        <f>SUMIFS(Maßnahmen!$I$7:$I$126,Maßnahmen!$D$7:$D$126,C546,Maßnahmen!$H$7:$H$126,"&lt;&gt;verworfen")</f>
        <v/>
      </c>
      <c r="N546" s="14">
        <f>IF(ISNUMBER(K546),MAX(0,K546-L546-M546),"n.a.")</f>
        <v/>
      </c>
      <c r="O546" s="14" t="n">
        <v>1065.48</v>
      </c>
      <c r="P546" s="14">
        <f>IF(ISNUMBER(K546),K546-O546,"n.a.")</f>
        <v/>
      </c>
    </row>
    <row r="547" ht="32" customHeight="1">
      <c r="C547" s="10" t="inlineStr">
        <is>
          <t>PRJ-52b1cf34-RK-09</t>
        </is>
      </c>
      <c r="D547" s="10" t="inlineStr">
        <is>
          <t>P4102157462</t>
        </is>
      </c>
      <c r="E547" s="11" t="inlineStr">
        <is>
          <t>Beennte Lage / nur Handabbruch möglich</t>
        </is>
      </c>
      <c r="F547" s="10" t="inlineStr">
        <is>
          <t>Termin</t>
        </is>
      </c>
      <c r="G547" s="12" t="n">
        <v>0.414</v>
      </c>
      <c r="H547" s="13" t="n">
        <v>813</v>
      </c>
      <c r="I547" s="13" t="n">
        <v>1730</v>
      </c>
      <c r="J547" s="13" t="n">
        <v>3718</v>
      </c>
      <c r="K547" s="14">
        <f>IF(OR(COUNT(G547:J547)&lt;&gt;4,G547&lt;0,G547&gt;1,H547&gt;I547,I547&gt;J547),"n.a.",ROUND(G547*(H547+4*I547+J547)/6+0.00000001,2))</f>
        <v/>
      </c>
      <c r="L547" s="13" t="n">
        <v>0</v>
      </c>
      <c r="M547" s="14">
        <f>SUMIFS(Maßnahmen!$I$7:$I$126,Maßnahmen!$D$7:$D$126,C547,Maßnahmen!$H$7:$H$126,"&lt;&gt;verworfen")</f>
        <v/>
      </c>
      <c r="N547" s="14">
        <f>IF(ISNUMBER(K547),MAX(0,K547-L547-M547),"n.a.")</f>
        <v/>
      </c>
      <c r="O547" s="14" t="n">
        <v>790.12</v>
      </c>
      <c r="P547" s="14">
        <f>IF(ISNUMBER(K547),K547-O547,"n.a.")</f>
        <v/>
      </c>
    </row>
    <row r="548" ht="32" customHeight="1">
      <c r="C548" s="10" t="inlineStr">
        <is>
          <t>PRJ-52b1cf34-RK-12</t>
        </is>
      </c>
      <c r="D548" s="10" t="inlineStr">
        <is>
          <t>P4102157462</t>
        </is>
      </c>
      <c r="E548" s="11" t="inlineStr">
        <is>
          <t>Staubemissionen (höchster Aufwand laut Umfrage)</t>
        </is>
      </c>
      <c r="F548" s="10" t="inlineStr">
        <is>
          <t>Emissionen</t>
        </is>
      </c>
      <c r="G548" s="12" t="n">
        <v>0.22</v>
      </c>
      <c r="H548" s="13" t="n">
        <v>776</v>
      </c>
      <c r="I548" s="13" t="n">
        <v>1551</v>
      </c>
      <c r="J548" s="13" t="n">
        <v>3103</v>
      </c>
      <c r="K548" s="14">
        <f>IF(OR(COUNT(G548:J548)&lt;&gt;4,G548&lt;0,G548&gt;1,H548&gt;I548,I548&gt;J548),"n.a.",ROUND(G548*(H548+4*I548+J548)/6+0.00000001,2))</f>
        <v/>
      </c>
      <c r="L548" s="13" t="n">
        <v>0</v>
      </c>
      <c r="M548" s="14">
        <f>SUMIFS(Maßnahmen!$I$7:$I$126,Maßnahmen!$D$7:$D$126,C548,Maßnahmen!$H$7:$H$126,"&lt;&gt;verworfen")</f>
        <v/>
      </c>
      <c r="N548" s="14">
        <f>IF(ISNUMBER(K548),MAX(0,K548-L548-M548),"n.a.")</f>
        <v/>
      </c>
      <c r="O548" s="14" t="n">
        <v>369.71</v>
      </c>
      <c r="P548" s="14">
        <f>IF(ISNUMBER(K548),K548-O548,"n.a.")</f>
        <v/>
      </c>
    </row>
    <row r="549" ht="32" customHeight="1">
      <c r="C549" s="10" t="inlineStr">
        <is>
          <t>PRJ-52b1cf34-RK-13</t>
        </is>
      </c>
      <c r="D549" s="10" t="inlineStr">
        <is>
          <t>P4102157462</t>
        </is>
      </c>
      <c r="E549" s="11" t="inlineStr">
        <is>
          <t>Lärm- und Erschütterungsauflagen</t>
        </is>
      </c>
      <c r="F549" s="10" t="inlineStr">
        <is>
          <t>Emissionen</t>
        </is>
      </c>
      <c r="G549" s="12" t="n">
        <v>0.5580000000000001</v>
      </c>
      <c r="H549" s="13" t="n">
        <v>1972</v>
      </c>
      <c r="I549" s="13" t="n">
        <v>3961</v>
      </c>
      <c r="J549" s="13" t="n">
        <v>7194</v>
      </c>
      <c r="K549" s="14">
        <f>IF(OR(COUNT(G549:J549)&lt;&gt;4,G549&lt;0,G549&gt;1,H549&gt;I549,I549&gt;J549),"n.a.",ROUND(G549*(H549+4*I549+J549)/6+0.00000001,2))</f>
        <v/>
      </c>
      <c r="L549" s="13" t="n">
        <v>0</v>
      </c>
      <c r="M549" s="14">
        <f>SUMIFS(Maßnahmen!$I$7:$I$126,Maßnahmen!$D$7:$D$126,C549,Maßnahmen!$H$7:$H$126,"&lt;&gt;verworfen")</f>
        <v/>
      </c>
      <c r="N549" s="14">
        <f>IF(ISNUMBER(K549),MAX(0,K549-L549-M549),"n.a.")</f>
        <v/>
      </c>
      <c r="O549" s="14" t="n">
        <v>2325.93</v>
      </c>
      <c r="P549" s="14">
        <f>IF(ISNUMBER(K549),K549-O549,"n.a.")</f>
        <v/>
      </c>
    </row>
    <row r="550" ht="32" customHeight="1">
      <c r="C550" s="10" t="inlineStr">
        <is>
          <t>PRJ-52b1cf34-RK-14</t>
        </is>
      </c>
      <c r="D550" s="10" t="inlineStr">
        <is>
          <t>P4102157462</t>
        </is>
      </c>
      <c r="E550" s="11" t="inlineStr">
        <is>
          <t>Rechtliche Auflagen / Entsorgungsnachweise (Formalismus)</t>
        </is>
      </c>
      <c r="F550" s="10" t="inlineStr">
        <is>
          <t>Genehmigung</t>
        </is>
      </c>
      <c r="G550" s="12" t="n">
        <v>0.284</v>
      </c>
      <c r="H550" s="13" t="n">
        <v>1355</v>
      </c>
      <c r="I550" s="13" t="n">
        <v>2719</v>
      </c>
      <c r="J550" s="13" t="n">
        <v>5195</v>
      </c>
      <c r="K550" s="14">
        <f>IF(OR(COUNT(G550:J550)&lt;&gt;4,G550&lt;0,G550&gt;1,H550&gt;I550,I550&gt;J550),"n.a.",ROUND(G550*(H550+4*I550+J550)/6+0.00000001,2))</f>
        <v/>
      </c>
      <c r="L550" s="13" t="n">
        <v>0</v>
      </c>
      <c r="M550" s="14">
        <f>SUMIFS(Maßnahmen!$I$7:$I$126,Maßnahmen!$D$7:$D$126,C550,Maßnahmen!$H$7:$H$126,"&lt;&gt;verworfen")</f>
        <v/>
      </c>
      <c r="N550" s="14">
        <f>IF(ISNUMBER(K550),MAX(0,K550-L550-M550),"n.a.")</f>
        <v/>
      </c>
      <c r="O550" s="14" t="n">
        <v>824.83</v>
      </c>
      <c r="P550" s="14">
        <f>IF(ISNUMBER(K550),K550-O550,"n.a.")</f>
        <v/>
      </c>
    </row>
    <row r="551" ht="32" customHeight="1">
      <c r="C551" s="10" t="inlineStr">
        <is>
          <t>PRJ-4a292735-RK-02</t>
        </is>
      </c>
      <c r="D551" s="10" t="inlineStr">
        <is>
          <t>P4102658269</t>
        </is>
      </c>
      <c r="E551" s="11" t="inlineStr">
        <is>
          <t>Arbeitsschutz kontaminierte Bereiche (TRGS 524)</t>
        </is>
      </c>
      <c r="F551" s="10" t="inlineStr">
        <is>
          <t>Schadstoffe</t>
        </is>
      </c>
      <c r="G551" s="12" t="n">
        <v>0.1</v>
      </c>
      <c r="H551" s="13" t="n">
        <v>14</v>
      </c>
      <c r="I551" s="13" t="n">
        <v>27</v>
      </c>
      <c r="J551" s="13" t="n">
        <v>54</v>
      </c>
      <c r="K551" s="14">
        <f>IF(OR(COUNT(G551:J551)&lt;&gt;4,G551&lt;0,G551&gt;1,H551&gt;I551,I551&gt;J551),"n.a.",ROUND(G551*(H551+4*I551+J551)/6+0.00000001,2))</f>
        <v/>
      </c>
      <c r="L551" s="13" t="n">
        <v>0</v>
      </c>
      <c r="M551" s="14">
        <f>SUMIFS(Maßnahmen!$I$7:$I$126,Maßnahmen!$D$7:$D$126,C551,Maßnahmen!$H$7:$H$126,"&lt;&gt;verworfen")</f>
        <v/>
      </c>
      <c r="N551" s="14">
        <f>IF(ISNUMBER(K551),MAX(0,K551-L551-M551),"n.a.")</f>
        <v/>
      </c>
      <c r="O551" s="14" t="n">
        <v>2.93</v>
      </c>
      <c r="P551" s="14">
        <f>IF(ISNUMBER(K551),K551-O551,"n.a.")</f>
        <v/>
      </c>
    </row>
    <row r="552" ht="32" customHeight="1">
      <c r="C552" s="10" t="inlineStr">
        <is>
          <t>PRJ-4a292735-RK-03</t>
        </is>
      </c>
      <c r="D552" s="10" t="inlineStr">
        <is>
          <t>P4102658269</t>
        </is>
      </c>
      <c r="E552" s="11" t="inlineStr">
        <is>
          <t>Entsorgungs-Mehrkosten / Entsorgungswege</t>
        </is>
      </c>
      <c r="F552" s="10" t="inlineStr">
        <is>
          <t>Entsorgung</t>
        </is>
      </c>
      <c r="G552" s="12" t="n">
        <v>0.55</v>
      </c>
      <c r="H552" s="13" t="n">
        <v>511</v>
      </c>
      <c r="I552" s="13" t="n">
        <v>934</v>
      </c>
      <c r="J552" s="13" t="n">
        <v>1526</v>
      </c>
      <c r="K552" s="14">
        <f>IF(OR(COUNT(G552:J552)&lt;&gt;4,G552&lt;0,G552&gt;1,H552&gt;I552,I552&gt;J552),"n.a.",ROUND(G552*(H552+4*I552+J552)/6+0.00000001,2))</f>
        <v/>
      </c>
      <c r="L552" s="13" t="n">
        <v>0</v>
      </c>
      <c r="M552" s="14">
        <f>SUMIFS(Maßnahmen!$I$7:$I$126,Maßnahmen!$D$7:$D$126,C552,Maßnahmen!$H$7:$H$126,"&lt;&gt;verworfen")</f>
        <v/>
      </c>
      <c r="N552" s="14">
        <f>IF(ISNUMBER(K552),MAX(0,K552-L552-M552),"n.a.")</f>
        <v/>
      </c>
      <c r="O552" s="14" t="n">
        <v>529.1900000000001</v>
      </c>
      <c r="P552" s="14">
        <f>IF(ISNUMBER(K552),K552-O552,"n.a.")</f>
        <v/>
      </c>
    </row>
    <row r="553" ht="32" customHeight="1">
      <c r="C553" s="10" t="inlineStr">
        <is>
          <t>PRJ-4a292735-RK-05</t>
        </is>
      </c>
      <c r="D553" s="10" t="inlineStr">
        <is>
          <t>P4102658269</t>
        </is>
      </c>
      <c r="E553" s="11" t="inlineStr">
        <is>
          <t>Unbekannte Bauwerkskonstruktion / fehlende Pläne</t>
        </is>
      </c>
      <c r="F553" s="10" t="inlineStr">
        <is>
          <t>Statik</t>
        </is>
      </c>
      <c r="G553" s="12" t="n">
        <v>0.22</v>
      </c>
      <c r="H553" s="13" t="n">
        <v>948</v>
      </c>
      <c r="I553" s="13" t="n">
        <v>1219</v>
      </c>
      <c r="J553" s="13" t="n">
        <v>1760</v>
      </c>
      <c r="K553" s="14">
        <f>IF(OR(COUNT(G553:J553)&lt;&gt;4,G553&lt;0,G553&gt;1,H553&gt;I553,I553&gt;J553),"n.a.",ROUND(G553*(H553+4*I553+J553)/6+0.00000001,2))</f>
        <v/>
      </c>
      <c r="L553" s="13" t="n">
        <v>0</v>
      </c>
      <c r="M553" s="14">
        <f>SUMIFS(Maßnahmen!$I$7:$I$126,Maßnahmen!$D$7:$D$126,C553,Maßnahmen!$H$7:$H$126,"&lt;&gt;verworfen")</f>
        <v/>
      </c>
      <c r="N553" s="14">
        <f>IF(ISNUMBER(K553),MAX(0,K553-L553-M553),"n.a.")</f>
        <v/>
      </c>
      <c r="O553" s="14" t="n">
        <v>278.08</v>
      </c>
      <c r="P553" s="14">
        <f>IF(ISNUMBER(K553),K553-O553,"n.a.")</f>
        <v/>
      </c>
    </row>
    <row r="554" ht="32" customHeight="1">
      <c r="C554" s="10" t="inlineStr">
        <is>
          <t>PRJ-4a292735-RK-06</t>
        </is>
      </c>
      <c r="D554" s="10" t="inlineStr">
        <is>
          <t>P4102658269</t>
        </is>
      </c>
      <c r="E554" s="11" t="inlineStr">
        <is>
          <t>Statik / Einsturzsicherung während Abbruch</t>
        </is>
      </c>
      <c r="F554" s="10" t="inlineStr">
        <is>
          <t>Statik</t>
        </is>
      </c>
      <c r="G554" s="12" t="n">
        <v>0.45</v>
      </c>
      <c r="H554" s="13" t="n">
        <v>424</v>
      </c>
      <c r="I554" s="13" t="n">
        <v>760</v>
      </c>
      <c r="J554" s="13" t="n">
        <v>1292</v>
      </c>
      <c r="K554" s="14">
        <f>IF(OR(COUNT(G554:J554)&lt;&gt;4,G554&lt;0,G554&gt;1,H554&gt;I554,I554&gt;J554),"n.a.",ROUND(G554*(H554+4*I554+J554)/6+0.00000001,2))</f>
        <v/>
      </c>
      <c r="L554" s="13" t="n">
        <v>0</v>
      </c>
      <c r="M554" s="14">
        <f>SUMIFS(Maßnahmen!$I$7:$I$126,Maßnahmen!$D$7:$D$126,C554,Maßnahmen!$H$7:$H$126,"&lt;&gt;verworfen")</f>
        <v/>
      </c>
      <c r="N554" s="14">
        <f>IF(ISNUMBER(K554),MAX(0,K554-L554-M554),"n.a.")</f>
        <v/>
      </c>
      <c r="O554" s="14" t="n">
        <v>356.7</v>
      </c>
      <c r="P554" s="14">
        <f>IF(ISNUMBER(K554),K554-O554,"n.a.")</f>
        <v/>
      </c>
    </row>
    <row r="555" ht="32" customHeight="1">
      <c r="C555" s="10" t="inlineStr">
        <is>
          <t>PRJ-4a292735-RK-07</t>
        </is>
      </c>
      <c r="D555" s="10" t="inlineStr">
        <is>
          <t>P4102658269</t>
        </is>
      </c>
      <c r="E555" s="11" t="inlineStr">
        <is>
          <t>Unterirdische Tragkonstruktion / Fundamente</t>
        </is>
      </c>
      <c r="F555" s="10" t="inlineStr">
        <is>
          <t>Statik</t>
        </is>
      </c>
      <c r="G555" s="12" t="n">
        <v>0.5</v>
      </c>
      <c r="H555" s="13" t="n">
        <v>128</v>
      </c>
      <c r="I555" s="13" t="n">
        <v>237</v>
      </c>
      <c r="J555" s="13" t="n">
        <v>478</v>
      </c>
      <c r="K555" s="14">
        <f>IF(OR(COUNT(G555:J555)&lt;&gt;4,G555&lt;0,G555&gt;1,H555&gt;I555,I555&gt;J555),"n.a.",ROUND(G555*(H555+4*I555+J555)/6+0.00000001,2))</f>
        <v/>
      </c>
      <c r="L555" s="13" t="n">
        <v>0</v>
      </c>
      <c r="M555" s="14">
        <f>SUMIFS(Maßnahmen!$I$7:$I$126,Maßnahmen!$D$7:$D$126,C555,Maßnahmen!$H$7:$H$126,"&lt;&gt;verworfen")</f>
        <v/>
      </c>
      <c r="N555" s="14">
        <f>IF(ISNUMBER(K555),MAX(0,K555-L555-M555),"n.a.")</f>
        <v/>
      </c>
      <c r="O555" s="14" t="n">
        <v>129.5</v>
      </c>
      <c r="P555" s="14">
        <f>IF(ISNUMBER(K555),K555-O555,"n.a.")</f>
        <v/>
      </c>
    </row>
    <row r="556" ht="32" customHeight="1">
      <c r="C556" s="10" t="inlineStr">
        <is>
          <t>PRJ-4a292735-RK-08</t>
        </is>
      </c>
      <c r="D556" s="10" t="inlineStr">
        <is>
          <t>P4102658269</t>
        </is>
      </c>
      <c r="E556" s="11" t="inlineStr">
        <is>
          <t>Gebäudehöhe &gt;22 m / Longfront-Bagger (+130–150 %)</t>
        </is>
      </c>
      <c r="F556" s="10" t="inlineStr">
        <is>
          <t>Termin</t>
        </is>
      </c>
      <c r="G556" s="12" t="n">
        <v>0.2</v>
      </c>
      <c r="H556" s="13" t="n">
        <v>27</v>
      </c>
      <c r="I556" s="13" t="n">
        <v>81</v>
      </c>
      <c r="J556" s="13" t="n">
        <v>162</v>
      </c>
      <c r="K556" s="14">
        <f>IF(OR(COUNT(G556:J556)&lt;&gt;4,G556&lt;0,G556&gt;1,H556&gt;I556,I556&gt;J556),"n.a.",ROUND(G556*(H556+4*I556+J556)/6+0.00000001,2))</f>
        <v/>
      </c>
      <c r="L556" s="13" t="n">
        <v>0</v>
      </c>
      <c r="M556" s="14">
        <f>SUMIFS(Maßnahmen!$I$7:$I$126,Maßnahmen!$D$7:$D$126,C556,Maßnahmen!$H$7:$H$126,"&lt;&gt;verworfen")</f>
        <v/>
      </c>
      <c r="N556" s="14">
        <f>IF(ISNUMBER(K556),MAX(0,K556-L556-M556),"n.a.")</f>
        <v/>
      </c>
      <c r="O556" s="14" t="n">
        <v>17.1</v>
      </c>
      <c r="P556" s="14">
        <f>IF(ISNUMBER(K556),K556-O556,"n.a.")</f>
        <v/>
      </c>
    </row>
    <row r="557" ht="32" customHeight="1">
      <c r="C557" s="10" t="inlineStr">
        <is>
          <t>PRJ-4a292735-RK-09</t>
        </is>
      </c>
      <c r="D557" s="10" t="inlineStr">
        <is>
          <t>P4102658269</t>
        </is>
      </c>
      <c r="E557" s="11" t="inlineStr">
        <is>
          <t>Beennte Lage / nur Handabbruch möglich</t>
        </is>
      </c>
      <c r="F557" s="10" t="inlineStr">
        <is>
          <t>Termin</t>
        </is>
      </c>
      <c r="G557" s="12" t="n">
        <v>0.5</v>
      </c>
      <c r="H557" s="13" t="n">
        <v>507</v>
      </c>
      <c r="I557" s="13" t="n">
        <v>1025</v>
      </c>
      <c r="J557" s="13" t="n">
        <v>1760</v>
      </c>
      <c r="K557" s="14">
        <f>IF(OR(COUNT(G557:J557)&lt;&gt;4,G557&lt;0,G557&gt;1,H557&gt;I557,I557&gt;J557),"n.a.",ROUND(G557*(H557+4*I557+J557)/6+0.00000001,2))</f>
        <v/>
      </c>
      <c r="L557" s="13" t="n">
        <v>0</v>
      </c>
      <c r="M557" s="14">
        <f>SUMIFS(Maßnahmen!$I$7:$I$126,Maßnahmen!$D$7:$D$126,C557,Maßnahmen!$H$7:$H$126,"&lt;&gt;verworfen")</f>
        <v/>
      </c>
      <c r="N557" s="14">
        <f>IF(ISNUMBER(K557),MAX(0,K557-L557-M557),"n.a.")</f>
        <v/>
      </c>
      <c r="O557" s="14" t="n">
        <v>530.58</v>
      </c>
      <c r="P557" s="14">
        <f>IF(ISNUMBER(K557),K557-O557,"n.a.")</f>
        <v/>
      </c>
    </row>
    <row r="558" ht="32" customHeight="1">
      <c r="C558" s="10" t="inlineStr">
        <is>
          <t>PRJ-4a292735-RK-13</t>
        </is>
      </c>
      <c r="D558" s="10" t="inlineStr">
        <is>
          <t>P4102658269</t>
        </is>
      </c>
      <c r="E558" s="11" t="inlineStr">
        <is>
          <t>Lärm- und Erschütterungsauflagen</t>
        </is>
      </c>
      <c r="F558" s="10" t="inlineStr">
        <is>
          <t>Emissionen</t>
        </is>
      </c>
      <c r="G558" s="12" t="n">
        <v>0.6</v>
      </c>
      <c r="H558" s="13" t="n">
        <v>948</v>
      </c>
      <c r="I558" s="13" t="n">
        <v>1219</v>
      </c>
      <c r="J558" s="13" t="n">
        <v>1760</v>
      </c>
      <c r="K558" s="14">
        <f>IF(OR(COUNT(G558:J558)&lt;&gt;4,G558&lt;0,G558&gt;1,H558&gt;I558,I558&gt;J558),"n.a.",ROUND(G558*(H558+4*I558+J558)/6+0.00000001,2))</f>
        <v/>
      </c>
      <c r="L558" s="13" t="n">
        <v>0</v>
      </c>
      <c r="M558" s="14">
        <f>SUMIFS(Maßnahmen!$I$7:$I$126,Maßnahmen!$D$7:$D$126,C558,Maßnahmen!$H$7:$H$126,"&lt;&gt;verworfen")</f>
        <v/>
      </c>
      <c r="N558" s="14">
        <f>IF(ISNUMBER(K558),MAX(0,K558-L558-M558),"n.a.")</f>
        <v/>
      </c>
      <c r="O558" s="14" t="n">
        <v>758.4</v>
      </c>
      <c r="P558" s="14">
        <f>IF(ISNUMBER(K558),K558-O558,"n.a.")</f>
        <v/>
      </c>
    </row>
    <row r="559" ht="32" customHeight="1">
      <c r="C559" s="10" t="inlineStr">
        <is>
          <t>PRJ-4a292735-RK-14</t>
        </is>
      </c>
      <c r="D559" s="10" t="inlineStr">
        <is>
          <t>P4102658269</t>
        </is>
      </c>
      <c r="E559" s="11" t="inlineStr">
        <is>
          <t>Rechtliche Auflagen / Entsorgungsnachweise (Formalismus)</t>
        </is>
      </c>
      <c r="F559" s="10" t="inlineStr">
        <is>
          <t>Genehmigung</t>
        </is>
      </c>
      <c r="G559" s="12" t="n">
        <v>0.12</v>
      </c>
      <c r="H559" s="13" t="n">
        <v>41</v>
      </c>
      <c r="I559" s="13" t="n">
        <v>95</v>
      </c>
      <c r="J559" s="13" t="n">
        <v>190</v>
      </c>
      <c r="K559" s="14">
        <f>IF(OR(COUNT(G559:J559)&lt;&gt;4,G559&lt;0,G559&gt;1,H559&gt;I559,I559&gt;J559),"n.a.",ROUND(G559*(H559+4*I559+J559)/6+0.00000001,2))</f>
        <v/>
      </c>
      <c r="L559" s="13" t="n">
        <v>0</v>
      </c>
      <c r="M559" s="14">
        <f>SUMIFS(Maßnahmen!$I$7:$I$126,Maßnahmen!$D$7:$D$126,C559,Maßnahmen!$H$7:$H$126,"&lt;&gt;verworfen")</f>
        <v/>
      </c>
      <c r="N559" s="14">
        <f>IF(ISNUMBER(K559),MAX(0,K559-L559-M559),"n.a.")</f>
        <v/>
      </c>
      <c r="O559" s="14" t="n">
        <v>12.22</v>
      </c>
      <c r="P559" s="14">
        <f>IF(ISNUMBER(K559),K559-O559,"n.a.")</f>
        <v/>
      </c>
    </row>
    <row r="560" ht="32" customHeight="1">
      <c r="C560" s="10" t="inlineStr">
        <is>
          <t>PRJ-52b1cf31-RK-03</t>
        </is>
      </c>
      <c r="D560" s="10" t="inlineStr">
        <is>
          <t>P4102157465</t>
        </is>
      </c>
      <c r="E560" s="11" t="inlineStr">
        <is>
          <t>Entsorgungs-Mehrkosten / Entsorgungswege</t>
        </is>
      </c>
      <c r="F560" s="10" t="inlineStr">
        <is>
          <t>Entsorgung</t>
        </is>
      </c>
      <c r="G560" s="12" t="n">
        <v>0.489</v>
      </c>
      <c r="H560" s="13" t="n">
        <v>809</v>
      </c>
      <c r="I560" s="13" t="n">
        <v>1537</v>
      </c>
      <c r="J560" s="13" t="n">
        <v>2589</v>
      </c>
      <c r="K560" s="14">
        <f>IF(OR(COUNT(G560:J560)&lt;&gt;4,G560&lt;0,G560&gt;1,H560&gt;I560,I560&gt;J560),"n.a.",ROUND(G560*(H560+4*I560+J560)/6+0.00000001,2))</f>
        <v/>
      </c>
      <c r="L560" s="13" t="n">
        <v>0</v>
      </c>
      <c r="M560" s="14">
        <f>SUMIFS(Maßnahmen!$I$7:$I$126,Maßnahmen!$D$7:$D$126,C560,Maßnahmen!$H$7:$H$126,"&lt;&gt;verworfen")</f>
        <v/>
      </c>
      <c r="N560" s="14">
        <f>IF(ISNUMBER(K560),MAX(0,K560-L560-M560),"n.a.")</f>
        <v/>
      </c>
      <c r="O560" s="14" t="n">
        <v>778</v>
      </c>
      <c r="P560" s="14">
        <f>IF(ISNUMBER(K560),K560-O560,"n.a.")</f>
        <v/>
      </c>
    </row>
    <row r="561" ht="32" customHeight="1">
      <c r="C561" s="10" t="inlineStr">
        <is>
          <t>PRJ-52b1cf31-RK-05</t>
        </is>
      </c>
      <c r="D561" s="10" t="inlineStr">
        <is>
          <t>P4102157465</t>
        </is>
      </c>
      <c r="E561" s="11" t="inlineStr">
        <is>
          <t>Unbekannte Bauwerkskonstruktion / fehlende Pläne</t>
        </is>
      </c>
      <c r="F561" s="10" t="inlineStr">
        <is>
          <t>Statik</t>
        </is>
      </c>
      <c r="G561" s="12" t="n">
        <v>0.22</v>
      </c>
      <c r="H561" s="13" t="n">
        <v>1287</v>
      </c>
      <c r="I561" s="13" t="n">
        <v>2253</v>
      </c>
      <c r="J561" s="13" t="n">
        <v>3784</v>
      </c>
      <c r="K561" s="14">
        <f>IF(OR(COUNT(G561:J561)&lt;&gt;4,G561&lt;0,G561&gt;1,H561&gt;I561,I561&gt;J561),"n.a.",ROUND(G561*(H561+4*I561+J561)/6+0.00000001,2))</f>
        <v/>
      </c>
      <c r="L561" s="13" t="n">
        <v>0</v>
      </c>
      <c r="M561" s="14">
        <f>SUMIFS(Maßnahmen!$I$7:$I$126,Maßnahmen!$D$7:$D$126,C561,Maßnahmen!$H$7:$H$126,"&lt;&gt;verworfen")</f>
        <v/>
      </c>
      <c r="N561" s="14">
        <f>IF(ISNUMBER(K561),MAX(0,K561-L561-M561),"n.a.")</f>
        <v/>
      </c>
      <c r="O561" s="14" t="n">
        <v>516.38</v>
      </c>
      <c r="P561" s="14">
        <f>IF(ISNUMBER(K561),K561-O561,"n.a.")</f>
        <v/>
      </c>
    </row>
    <row r="562" ht="32" customHeight="1">
      <c r="C562" s="10" t="inlineStr">
        <is>
          <t>PRJ-52b1cf31-RK-06</t>
        </is>
      </c>
      <c r="D562" s="10" t="inlineStr">
        <is>
          <t>P4102157465</t>
        </is>
      </c>
      <c r="E562" s="11" t="inlineStr">
        <is>
          <t>Statik / Einsturzsicherung während Abbruch</t>
        </is>
      </c>
      <c r="F562" s="10" t="inlineStr">
        <is>
          <t>Statik</t>
        </is>
      </c>
      <c r="G562" s="12" t="n">
        <v>0.34</v>
      </c>
      <c r="H562" s="13" t="n">
        <v>728</v>
      </c>
      <c r="I562" s="13" t="n">
        <v>1376</v>
      </c>
      <c r="J562" s="13" t="n">
        <v>2429</v>
      </c>
      <c r="K562" s="14">
        <f>IF(OR(COUNT(G562:J562)&lt;&gt;4,G562&lt;0,G562&gt;1,H562&gt;I562,I562&gt;J562),"n.a.",ROUND(G562*(H562+4*I562+J562)/6+0.00000001,2))</f>
        <v/>
      </c>
      <c r="L562" s="13" t="n">
        <v>0</v>
      </c>
      <c r="M562" s="14">
        <f>SUMIFS(Maßnahmen!$I$7:$I$126,Maßnahmen!$D$7:$D$126,C562,Maßnahmen!$H$7:$H$126,"&lt;&gt;verworfen")</f>
        <v/>
      </c>
      <c r="N562" s="14">
        <f>IF(ISNUMBER(K562),MAX(0,K562-L562-M562),"n.a.")</f>
        <v/>
      </c>
      <c r="O562" s="14" t="n">
        <v>490.79</v>
      </c>
      <c r="P562" s="14">
        <f>IF(ISNUMBER(K562),K562-O562,"n.a.")</f>
        <v/>
      </c>
    </row>
    <row r="563" ht="32" customHeight="1">
      <c r="C563" s="10" t="inlineStr">
        <is>
          <t>PRJ-52b1cf31-RK-07</t>
        </is>
      </c>
      <c r="D563" s="10" t="inlineStr">
        <is>
          <t>P4102157465</t>
        </is>
      </c>
      <c r="E563" s="11" t="inlineStr">
        <is>
          <t>Unterirdische Tragkonstruktion / Fundamente</t>
        </is>
      </c>
      <c r="F563" s="10" t="inlineStr">
        <is>
          <t>Statik</t>
        </is>
      </c>
      <c r="G563" s="12" t="n">
        <v>0.5</v>
      </c>
      <c r="H563" s="13" t="n">
        <v>202</v>
      </c>
      <c r="I563" s="13" t="n">
        <v>421</v>
      </c>
      <c r="J563" s="13" t="n">
        <v>891</v>
      </c>
      <c r="K563" s="14">
        <f>IF(OR(COUNT(G563:J563)&lt;&gt;4,G563&lt;0,G563&gt;1,H563&gt;I563,I563&gt;J563),"n.a.",ROUND(G563*(H563+4*I563+J563)/6+0.00000001,2))</f>
        <v/>
      </c>
      <c r="L563" s="13" t="n">
        <v>0</v>
      </c>
      <c r="M563" s="14">
        <f>SUMIFS(Maßnahmen!$I$7:$I$126,Maßnahmen!$D$7:$D$126,C563,Maßnahmen!$H$7:$H$126,"&lt;&gt;verworfen")</f>
        <v/>
      </c>
      <c r="N563" s="14">
        <f>IF(ISNUMBER(K563),MAX(0,K563-L563-M563),"n.a.")</f>
        <v/>
      </c>
      <c r="O563" s="14" t="n">
        <v>231.42</v>
      </c>
      <c r="P563" s="14">
        <f>IF(ISNUMBER(K563),K563-O563,"n.a.")</f>
        <v/>
      </c>
    </row>
    <row r="564" ht="32" customHeight="1">
      <c r="C564" s="10" t="inlineStr">
        <is>
          <t>PRJ-52b1cf31-RK-08</t>
        </is>
      </c>
      <c r="D564" s="10" t="inlineStr">
        <is>
          <t>P4102157465</t>
        </is>
      </c>
      <c r="E564" s="11" t="inlineStr">
        <is>
          <t>Gebäudehöhe &gt;22 m / Longfront-Bagger (+130–150 %)</t>
        </is>
      </c>
      <c r="F564" s="10" t="inlineStr">
        <is>
          <t>Termin</t>
        </is>
      </c>
      <c r="G564" s="12" t="n">
        <v>0.248</v>
      </c>
      <c r="H564" s="13" t="n">
        <v>159</v>
      </c>
      <c r="I564" s="13" t="n">
        <v>390</v>
      </c>
      <c r="J564" s="13" t="n">
        <v>760</v>
      </c>
      <c r="K564" s="14">
        <f>IF(OR(COUNT(G564:J564)&lt;&gt;4,G564&lt;0,G564&gt;1,H564&gt;I564,I564&gt;J564),"n.a.",ROUND(G564*(H564+4*I564+J564)/6+0.00000001,2))</f>
        <v/>
      </c>
      <c r="L564" s="13" t="n">
        <v>0</v>
      </c>
      <c r="M564" s="14">
        <f>SUMIFS(Maßnahmen!$I$7:$I$126,Maßnahmen!$D$7:$D$126,C564,Maßnahmen!$H$7:$H$126,"&lt;&gt;verworfen")</f>
        <v/>
      </c>
      <c r="N564" s="14">
        <f>IF(ISNUMBER(K564),MAX(0,K564-L564-M564),"n.a.")</f>
        <v/>
      </c>
      <c r="O564" s="14" t="n">
        <v>102.47</v>
      </c>
      <c r="P564" s="14">
        <f>IF(ISNUMBER(K564),K564-O564,"n.a.")</f>
        <v/>
      </c>
    </row>
    <row r="565" ht="32" customHeight="1">
      <c r="C565" s="10" t="inlineStr">
        <is>
          <t>PRJ-52b1cf31-RK-09</t>
        </is>
      </c>
      <c r="D565" s="10" t="inlineStr">
        <is>
          <t>P4102157465</t>
        </is>
      </c>
      <c r="E565" s="11" t="inlineStr">
        <is>
          <t>Beennte Lage / nur Handabbruch möglich</t>
        </is>
      </c>
      <c r="F565" s="10" t="inlineStr">
        <is>
          <t>Termin</t>
        </is>
      </c>
      <c r="G565" s="12" t="n">
        <v>0.427</v>
      </c>
      <c r="H565" s="13" t="n">
        <v>386</v>
      </c>
      <c r="I565" s="13" t="n">
        <v>804</v>
      </c>
      <c r="J565" s="13" t="n">
        <v>1689</v>
      </c>
      <c r="K565" s="14">
        <f>IF(OR(COUNT(G565:J565)&lt;&gt;4,G565&lt;0,G565&gt;1,H565&gt;I565,I565&gt;J565),"n.a.",ROUND(G565*(H565+4*I565+J565)/6+0.00000001,2))</f>
        <v/>
      </c>
      <c r="L565" s="13" t="n">
        <v>0</v>
      </c>
      <c r="M565" s="14">
        <f>SUMIFS(Maßnahmen!$I$7:$I$126,Maßnahmen!$D$7:$D$126,C565,Maßnahmen!$H$7:$H$126,"&lt;&gt;verworfen")</f>
        <v/>
      </c>
      <c r="N565" s="14">
        <f>IF(ISNUMBER(K565),MAX(0,K565-L565-M565),"n.a.")</f>
        <v/>
      </c>
      <c r="O565" s="14" t="n">
        <v>376.54</v>
      </c>
      <c r="P565" s="14">
        <f>IF(ISNUMBER(K565),K565-O565,"n.a.")</f>
        <v/>
      </c>
    </row>
    <row r="566" ht="32" customHeight="1">
      <c r="C566" s="10" t="inlineStr">
        <is>
          <t>PRJ-52b1cf31-RK-13</t>
        </is>
      </c>
      <c r="D566" s="10" t="inlineStr">
        <is>
          <t>P4102157465</t>
        </is>
      </c>
      <c r="E566" s="11" t="inlineStr">
        <is>
          <t>Lärm- und Erschütterungsauflagen</t>
        </is>
      </c>
      <c r="F566" s="10" t="inlineStr">
        <is>
          <t>Emissionen</t>
        </is>
      </c>
      <c r="G566" s="12" t="n">
        <v>0.6</v>
      </c>
      <c r="H566" s="13" t="n">
        <v>932</v>
      </c>
      <c r="I566" s="13" t="n">
        <v>1817</v>
      </c>
      <c r="J566" s="13" t="n">
        <v>3250</v>
      </c>
      <c r="K566" s="14">
        <f>IF(OR(COUNT(G566:J566)&lt;&gt;4,G566&lt;0,G566&gt;1,H566&gt;I566,I566&gt;J566),"n.a.",ROUND(G566*(H566+4*I566+J566)/6+0.00000001,2))</f>
        <v/>
      </c>
      <c r="L566" s="13" t="n">
        <v>0</v>
      </c>
      <c r="M566" s="14">
        <f>SUMIFS(Maßnahmen!$I$7:$I$126,Maßnahmen!$D$7:$D$126,C566,Maßnahmen!$H$7:$H$126,"&lt;&gt;verworfen")</f>
        <v/>
      </c>
      <c r="N566" s="14">
        <f>IF(ISNUMBER(K566),MAX(0,K566-L566-M566),"n.a.")</f>
        <v/>
      </c>
      <c r="O566" s="14" t="n">
        <v>1145</v>
      </c>
      <c r="P566" s="14">
        <f>IF(ISNUMBER(K566),K566-O566,"n.a.")</f>
        <v/>
      </c>
    </row>
    <row r="567" ht="32" customHeight="1">
      <c r="C567" s="10" t="inlineStr">
        <is>
          <t>PRJ-52b1cf31-RK-14</t>
        </is>
      </c>
      <c r="D567" s="10" t="inlineStr">
        <is>
          <t>P4102157465</t>
        </is>
      </c>
      <c r="E567" s="11" t="inlineStr">
        <is>
          <t>Rechtliche Auflagen / Entsorgungsnachweise (Formalismus)</t>
        </is>
      </c>
      <c r="F567" s="10" t="inlineStr">
        <is>
          <t>Genehmigung</t>
        </is>
      </c>
      <c r="G567" s="12" t="n">
        <v>0.162</v>
      </c>
      <c r="H567" s="13" t="n">
        <v>200</v>
      </c>
      <c r="I567" s="13" t="n">
        <v>430</v>
      </c>
      <c r="J567" s="13" t="n">
        <v>841</v>
      </c>
      <c r="K567" s="14">
        <f>IF(OR(COUNT(G567:J567)&lt;&gt;4,G567&lt;0,G567&gt;1,H567&gt;I567,I567&gt;J567),"n.a.",ROUND(G567*(H567+4*I567+J567)/6+0.00000001,2))</f>
        <v/>
      </c>
      <c r="L567" s="13" t="n">
        <v>0</v>
      </c>
      <c r="M567" s="14">
        <f>SUMIFS(Maßnahmen!$I$7:$I$126,Maßnahmen!$D$7:$D$126,C567,Maßnahmen!$H$7:$H$126,"&lt;&gt;verworfen")</f>
        <v/>
      </c>
      <c r="N567" s="14">
        <f>IF(ISNUMBER(K567),MAX(0,K567-L567-M567),"n.a.")</f>
        <v/>
      </c>
      <c r="O567" s="14" t="n">
        <v>74.55</v>
      </c>
      <c r="P567" s="14">
        <f>IF(ISNUMBER(K567),K567-O567,"n.a.")</f>
        <v/>
      </c>
    </row>
    <row r="568" ht="32" customHeight="1">
      <c r="C568" s="10" t="inlineStr">
        <is>
          <t>PRJ-52b1cf30-RK-05</t>
        </is>
      </c>
      <c r="D568" s="10" t="inlineStr">
        <is>
          <t>P4102157466</t>
        </is>
      </c>
      <c r="E568" s="11" t="inlineStr">
        <is>
          <t>Unbekannte Bauwerkskonstruktion / fehlende Pläne</t>
        </is>
      </c>
      <c r="F568" s="10" t="inlineStr">
        <is>
          <t>Statik</t>
        </is>
      </c>
      <c r="G568" s="12" t="n">
        <v>0.27</v>
      </c>
      <c r="H568" s="13" t="n">
        <v>544</v>
      </c>
      <c r="I568" s="13" t="n">
        <v>1016</v>
      </c>
      <c r="J568" s="13" t="n">
        <v>1806</v>
      </c>
      <c r="K568" s="14">
        <f>IF(OR(COUNT(G568:J568)&lt;&gt;4,G568&lt;0,G568&gt;1,H568&gt;I568,I568&gt;J568),"n.a.",ROUND(G568*(H568+4*I568+J568)/6+0.00000001,2))</f>
        <v/>
      </c>
      <c r="L568" s="13" t="n">
        <v>0</v>
      </c>
      <c r="M568" s="14">
        <f>SUMIFS(Maßnahmen!$I$7:$I$126,Maßnahmen!$D$7:$D$126,C568,Maßnahmen!$H$7:$H$126,"&lt;&gt;verworfen")</f>
        <v/>
      </c>
      <c r="N568" s="14">
        <f>IF(ISNUMBER(K568),MAX(0,K568-L568-M568),"n.a.")</f>
        <v/>
      </c>
      <c r="O568" s="14" t="n">
        <v>288.63</v>
      </c>
      <c r="P568" s="14">
        <f>IF(ISNUMBER(K568),K568-O568,"n.a.")</f>
        <v/>
      </c>
    </row>
    <row r="569" ht="32" customHeight="1">
      <c r="C569" s="10" t="inlineStr">
        <is>
          <t>PRJ-52b1cf30-RK-06</t>
        </is>
      </c>
      <c r="D569" s="10" t="inlineStr">
        <is>
          <t>P4102157466</t>
        </is>
      </c>
      <c r="E569" s="11" t="inlineStr">
        <is>
          <t>Statik / Einsturzsicherung während Abbruch</t>
        </is>
      </c>
      <c r="F569" s="10" t="inlineStr">
        <is>
          <t>Statik</t>
        </is>
      </c>
      <c r="G569" s="12" t="n">
        <v>0.24</v>
      </c>
      <c r="H569" s="13" t="n">
        <v>246</v>
      </c>
      <c r="I569" s="13" t="n">
        <v>573</v>
      </c>
      <c r="J569" s="13" t="n">
        <v>1147</v>
      </c>
      <c r="K569" s="14">
        <f>IF(OR(COUNT(G569:J569)&lt;&gt;4,G569&lt;0,G569&gt;1,H569&gt;I569,I569&gt;J569),"n.a.",ROUND(G569*(H569+4*I569+J569)/6+0.00000001,2))</f>
        <v/>
      </c>
      <c r="L569" s="13" t="n">
        <v>0</v>
      </c>
      <c r="M569" s="14">
        <f>SUMIFS(Maßnahmen!$I$7:$I$126,Maßnahmen!$D$7:$D$126,C569,Maßnahmen!$H$7:$H$126,"&lt;&gt;verworfen")</f>
        <v/>
      </c>
      <c r="N569" s="14">
        <f>IF(ISNUMBER(K569),MAX(0,K569-L569-M569),"n.a.")</f>
        <v/>
      </c>
      <c r="O569" s="14" t="n">
        <v>147.4</v>
      </c>
      <c r="P569" s="14">
        <f>IF(ISNUMBER(K569),K569-O569,"n.a.")</f>
        <v/>
      </c>
    </row>
    <row r="570" ht="32" customHeight="1">
      <c r="C570" s="10" t="inlineStr">
        <is>
          <t>PRJ-52b1cf30-RK-13</t>
        </is>
      </c>
      <c r="D570" s="10" t="inlineStr">
        <is>
          <t>P4102157466</t>
        </is>
      </c>
      <c r="E570" s="11" t="inlineStr">
        <is>
          <t>Lärm- und Erschütterungsauflagen</t>
        </is>
      </c>
      <c r="F570" s="10" t="inlineStr">
        <is>
          <t>Emissionen</t>
        </is>
      </c>
      <c r="G570" s="12" t="n">
        <v>0.397</v>
      </c>
      <c r="H570" s="13" t="n">
        <v>337</v>
      </c>
      <c r="I570" s="13" t="n">
        <v>727</v>
      </c>
      <c r="J570" s="13" t="n">
        <v>1368</v>
      </c>
      <c r="K570" s="14">
        <f>IF(OR(COUNT(G570:J570)&lt;&gt;4,G570&lt;0,G570&gt;1,H570&gt;I570,I570&gt;J570),"n.a.",ROUND(G570*(H570+4*I570+J570)/6+0.00000001,2))</f>
        <v/>
      </c>
      <c r="L570" s="13" t="n">
        <v>0</v>
      </c>
      <c r="M570" s="14">
        <f>SUMIFS(Maßnahmen!$I$7:$I$126,Maßnahmen!$D$7:$D$126,C570,Maßnahmen!$H$7:$H$126,"&lt;&gt;verworfen")</f>
        <v/>
      </c>
      <c r="N570" s="14">
        <f>IF(ISNUMBER(K570),MAX(0,K570-L570-M570),"n.a.")</f>
        <v/>
      </c>
      <c r="O570" s="14" t="n">
        <v>305.23</v>
      </c>
      <c r="P570" s="14">
        <f>IF(ISNUMBER(K570),K570-O570,"n.a.")</f>
        <v/>
      </c>
    </row>
    <row r="571" ht="32" customHeight="1">
      <c r="C571" s="10" t="inlineStr">
        <is>
          <t>PRJ-52b1cf30-RK-14</t>
        </is>
      </c>
      <c r="D571" s="10" t="inlineStr">
        <is>
          <t>P4102157466</t>
        </is>
      </c>
      <c r="E571" s="11" t="inlineStr">
        <is>
          <t>Rechtliche Auflagen / Entsorgungsnachweise (Formalismus)</t>
        </is>
      </c>
      <c r="F571" s="10" t="inlineStr">
        <is>
          <t>Genehmigung</t>
        </is>
      </c>
      <c r="G571" s="12" t="n">
        <v>0.395</v>
      </c>
      <c r="H571" s="13" t="n">
        <v>637</v>
      </c>
      <c r="I571" s="13" t="n">
        <v>1251</v>
      </c>
      <c r="J571" s="13" t="n">
        <v>2373</v>
      </c>
      <c r="K571" s="14">
        <f>IF(OR(COUNT(G571:J571)&lt;&gt;4,G571&lt;0,G571&gt;1,H571&gt;I571,I571&gt;J571),"n.a.",ROUND(G571*(H571+4*I571+J571)/6+0.00000001,2))</f>
        <v/>
      </c>
      <c r="L571" s="13" t="n">
        <v>0</v>
      </c>
      <c r="M571" s="14">
        <f>SUMIFS(Maßnahmen!$I$7:$I$126,Maßnahmen!$D$7:$D$126,C571,Maßnahmen!$H$7:$H$126,"&lt;&gt;verworfen")</f>
        <v/>
      </c>
      <c r="N571" s="14">
        <f>IF(ISNUMBER(K571),MAX(0,K571-L571-M571),"n.a.")</f>
        <v/>
      </c>
      <c r="O571" s="14" t="n">
        <v>527.59</v>
      </c>
      <c r="P571" s="14">
        <f>IF(ISNUMBER(K571),K571-O571,"n.a.")</f>
        <v/>
      </c>
    </row>
    <row r="572" ht="32" customHeight="1">
      <c r="C572" s="10" t="inlineStr">
        <is>
          <t>PRJ-52b1cf30-RK-15</t>
        </is>
      </c>
      <c r="D572" s="10" t="inlineStr">
        <is>
          <t>P4102157466</t>
        </is>
      </c>
      <c r="E572" s="11" t="inlineStr">
        <is>
          <t>Konjunktur / Sekundärstoffpreise &amp; Gerätemiete</t>
        </is>
      </c>
      <c r="F572" s="10" t="inlineStr">
        <is>
          <t>Markt</t>
        </is>
      </c>
      <c r="G572" s="12" t="n">
        <v>0.12</v>
      </c>
      <c r="H572" s="13" t="n">
        <v>66</v>
      </c>
      <c r="I572" s="13" t="n">
        <v>164</v>
      </c>
      <c r="J572" s="13" t="n">
        <v>410</v>
      </c>
      <c r="K572" s="14">
        <f>IF(OR(COUNT(G572:J572)&lt;&gt;4,G572&lt;0,G572&gt;1,H572&gt;I572,I572&gt;J572),"n.a.",ROUND(G572*(H572+4*I572+J572)/6+0.00000001,2))</f>
        <v/>
      </c>
      <c r="L572" s="13" t="n">
        <v>0</v>
      </c>
      <c r="M572" s="14">
        <f>SUMIFS(Maßnahmen!$I$7:$I$126,Maßnahmen!$D$7:$D$126,C572,Maßnahmen!$H$7:$H$126,"&lt;&gt;verworfen")</f>
        <v/>
      </c>
      <c r="N572" s="14">
        <f>IF(ISNUMBER(K572),MAX(0,K572-L572-M572),"n.a.")</f>
        <v/>
      </c>
      <c r="O572" s="14" t="n">
        <v>22.64</v>
      </c>
      <c r="P572" s="14">
        <f>IF(ISNUMBER(K572),K572-O572,"n.a.")</f>
        <v/>
      </c>
    </row>
    <row r="573" ht="32" customHeight="1">
      <c r="C573" s="10" t="inlineStr">
        <is>
          <t>PRJ-4f8e93d2-RK-01</t>
        </is>
      </c>
      <c r="D573" s="10" t="inlineStr">
        <is>
          <t>P4102307438</t>
        </is>
      </c>
      <c r="E573" s="11" t="inlineStr">
        <is>
          <t>Schadstofffund / Schadstoffsanierung (Asbest, PAK, PCB, PCP)</t>
        </is>
      </c>
      <c r="F573" s="10" t="inlineStr">
        <is>
          <t>Schadstoffe</t>
        </is>
      </c>
      <c r="G573" s="12" t="n">
        <v>0.7</v>
      </c>
      <c r="H573" s="13" t="n">
        <v>8215</v>
      </c>
      <c r="I573" s="13" t="n">
        <v>15597</v>
      </c>
      <c r="J573" s="13" t="n">
        <v>28372</v>
      </c>
      <c r="K573" s="14">
        <f>IF(OR(COUNT(G573:J573)&lt;&gt;4,G573&lt;0,G573&gt;1,H573&gt;I573,I573&gt;J573),"n.a.",ROUND(G573*(H573+4*I573+J573)/6+0.00000001,2))</f>
        <v/>
      </c>
      <c r="L573" s="13" t="n">
        <v>0</v>
      </c>
      <c r="M573" s="14">
        <f>SUMIFS(Maßnahmen!$I$7:$I$126,Maßnahmen!$D$7:$D$126,C573,Maßnahmen!$H$7:$H$126,"&lt;&gt;verworfen")</f>
        <v/>
      </c>
      <c r="N573" s="14">
        <f>IF(ISNUMBER(K573),MAX(0,K573-L573-M573),"n.a.")</f>
        <v/>
      </c>
      <c r="O573" s="14" t="n">
        <v>11547.08</v>
      </c>
      <c r="P573" s="14">
        <f>IF(ISNUMBER(K573),K573-O573,"n.a.")</f>
        <v/>
      </c>
    </row>
    <row r="574" ht="32" customHeight="1">
      <c r="C574" s="10" t="inlineStr">
        <is>
          <t>PRJ-4f8e93d2-RK-02</t>
        </is>
      </c>
      <c r="D574" s="10" t="inlineStr">
        <is>
          <t>P4102307438</t>
        </is>
      </c>
      <c r="E574" s="11" t="inlineStr">
        <is>
          <t>Arbeitsschutz kontaminierte Bereiche (TRGS 524)</t>
        </is>
      </c>
      <c r="F574" s="10" t="inlineStr">
        <is>
          <t>Schadstoffe</t>
        </is>
      </c>
      <c r="G574" s="12" t="n">
        <v>0.1</v>
      </c>
      <c r="H574" s="13" t="n">
        <v>289</v>
      </c>
      <c r="I574" s="13" t="n">
        <v>579</v>
      </c>
      <c r="J574" s="13" t="n">
        <v>1158</v>
      </c>
      <c r="K574" s="14">
        <f>IF(OR(COUNT(G574:J574)&lt;&gt;4,G574&lt;0,G574&gt;1,H574&gt;I574,I574&gt;J574),"n.a.",ROUND(G574*(H574+4*I574+J574)/6+0.00000001,2))</f>
        <v/>
      </c>
      <c r="L574" s="13" t="n">
        <v>0</v>
      </c>
      <c r="M574" s="14">
        <f>SUMIFS(Maßnahmen!$I$7:$I$126,Maßnahmen!$D$7:$D$126,C574,Maßnahmen!$H$7:$H$126,"&lt;&gt;verworfen")</f>
        <v/>
      </c>
      <c r="N574" s="14">
        <f>IF(ISNUMBER(K574),MAX(0,K574-L574-M574),"n.a.")</f>
        <v/>
      </c>
      <c r="O574" s="14" t="n">
        <v>62.72</v>
      </c>
      <c r="P574" s="14">
        <f>IF(ISNUMBER(K574),K574-O574,"n.a.")</f>
        <v/>
      </c>
    </row>
    <row r="575" ht="32" customHeight="1">
      <c r="C575" s="10" t="inlineStr">
        <is>
          <t>PRJ-4f8e93d2-RK-03</t>
        </is>
      </c>
      <c r="D575" s="10" t="inlineStr">
        <is>
          <t>P4102307438</t>
        </is>
      </c>
      <c r="E575" s="11" t="inlineStr">
        <is>
          <t>Entsorgungs-Mehrkosten / Entsorgungswege</t>
        </is>
      </c>
      <c r="F575" s="10" t="inlineStr">
        <is>
          <t>Entsorgung</t>
        </is>
      </c>
      <c r="G575" s="12" t="n">
        <v>0.363</v>
      </c>
      <c r="H575" s="13" t="n">
        <v>5645</v>
      </c>
      <c r="I575" s="13" t="n">
        <v>10748</v>
      </c>
      <c r="J575" s="13" t="n">
        <v>18130</v>
      </c>
      <c r="K575" s="14">
        <f>IF(OR(COUNT(G575:J575)&lt;&gt;4,G575&lt;0,G575&gt;1,H575&gt;I575,I575&gt;J575),"n.a.",ROUND(G575*(H575+4*I575+J575)/6+0.00000001,2))</f>
        <v/>
      </c>
      <c r="L575" s="13" t="n">
        <v>0</v>
      </c>
      <c r="M575" s="14">
        <f>SUMIFS(Maßnahmen!$I$7:$I$126,Maßnahmen!$D$7:$D$126,C575,Maßnahmen!$H$7:$H$126,"&lt;&gt;verworfen")</f>
        <v/>
      </c>
      <c r="N575" s="14">
        <f>IF(ISNUMBER(K575),MAX(0,K575-L575-M575),"n.a.")</f>
        <v/>
      </c>
      <c r="O575" s="14" t="n">
        <v>4039.4</v>
      </c>
      <c r="P575" s="14">
        <f>IF(ISNUMBER(K575),K575-O575,"n.a.")</f>
        <v/>
      </c>
    </row>
    <row r="576" ht="32" customHeight="1">
      <c r="C576" s="10" t="inlineStr">
        <is>
          <t>PRJ-4f8e93d2-RK-04</t>
        </is>
      </c>
      <c r="D576" s="10" t="inlineStr">
        <is>
          <t>P4102307438</t>
        </is>
      </c>
      <c r="E576" s="11" t="inlineStr">
        <is>
          <t>Baustofftrennung / Aufbereitung nicht wie geplant</t>
        </is>
      </c>
      <c r="F576" s="10" t="inlineStr">
        <is>
          <t>Entsorgung</t>
        </is>
      </c>
      <c r="G576" s="12" t="n">
        <v>0.08</v>
      </c>
      <c r="H576" s="13" t="n">
        <v>289</v>
      </c>
      <c r="I576" s="13" t="n">
        <v>579</v>
      </c>
      <c r="J576" s="13" t="n">
        <v>1158</v>
      </c>
      <c r="K576" s="14">
        <f>IF(OR(COUNT(G576:J576)&lt;&gt;4,G576&lt;0,G576&gt;1,H576&gt;I576,I576&gt;J576),"n.a.",ROUND(G576*(H576+4*I576+J576)/6+0.00000001,2))</f>
        <v/>
      </c>
      <c r="L576" s="13" t="n">
        <v>0</v>
      </c>
      <c r="M576" s="14">
        <f>SUMIFS(Maßnahmen!$I$7:$I$126,Maßnahmen!$D$7:$D$126,C576,Maßnahmen!$H$7:$H$126,"&lt;&gt;verworfen")</f>
        <v/>
      </c>
      <c r="N576" s="14">
        <f>IF(ISNUMBER(K576),MAX(0,K576-L576-M576),"n.a.")</f>
        <v/>
      </c>
      <c r="O576" s="14" t="n">
        <v>50.17</v>
      </c>
      <c r="P576" s="14">
        <f>IF(ISNUMBER(K576),K576-O576,"n.a.")</f>
        <v/>
      </c>
    </row>
    <row r="577" ht="32" customHeight="1">
      <c r="C577" s="10" t="inlineStr">
        <is>
          <t>PRJ-4f8e93d2-RK-05</t>
        </is>
      </c>
      <c r="D577" s="10" t="inlineStr">
        <is>
          <t>P4102307438</t>
        </is>
      </c>
      <c r="E577" s="11" t="inlineStr">
        <is>
          <t>Unbekannte Bauwerkskonstruktion / fehlende Pläne</t>
        </is>
      </c>
      <c r="F577" s="10" t="inlineStr">
        <is>
          <t>Statik</t>
        </is>
      </c>
      <c r="G577" s="12" t="n">
        <v>0.12</v>
      </c>
      <c r="H577" s="13" t="n">
        <v>2448</v>
      </c>
      <c r="I577" s="13" t="n">
        <v>4851</v>
      </c>
      <c r="J577" s="13" t="n">
        <v>9036</v>
      </c>
      <c r="K577" s="14">
        <f>IF(OR(COUNT(G577:J577)&lt;&gt;4,G577&lt;0,G577&gt;1,H577&gt;I577,I577&gt;J577),"n.a.",ROUND(G577*(H577+4*I577+J577)/6+0.00000001,2))</f>
        <v/>
      </c>
      <c r="L577" s="13" t="n">
        <v>0</v>
      </c>
      <c r="M577" s="14">
        <f>SUMIFS(Maßnahmen!$I$7:$I$126,Maßnahmen!$D$7:$D$126,C577,Maßnahmen!$H$7:$H$126,"&lt;&gt;verworfen")</f>
        <v/>
      </c>
      <c r="N577" s="14">
        <f>IF(ISNUMBER(K577),MAX(0,K577-L577-M577),"n.a.")</f>
        <v/>
      </c>
      <c r="O577" s="14" t="n">
        <v>617.76</v>
      </c>
      <c r="P577" s="14">
        <f>IF(ISNUMBER(K577),K577-O577,"n.a.")</f>
        <v/>
      </c>
    </row>
    <row r="578" ht="32" customHeight="1">
      <c r="C578" s="10" t="inlineStr">
        <is>
          <t>PRJ-4f8e93d2-RK-06</t>
        </is>
      </c>
      <c r="D578" s="10" t="inlineStr">
        <is>
          <t>P4102307438</t>
        </is>
      </c>
      <c r="E578" s="11" t="inlineStr">
        <is>
          <t>Statik / Einsturzsicherung während Abbruch</t>
        </is>
      </c>
      <c r="F578" s="10" t="inlineStr">
        <is>
          <t>Statik</t>
        </is>
      </c>
      <c r="G578" s="12" t="n">
        <v>0.337</v>
      </c>
      <c r="H578" s="13" t="n">
        <v>5102</v>
      </c>
      <c r="I578" s="13" t="n">
        <v>9662</v>
      </c>
      <c r="J578" s="13" t="n">
        <v>17080</v>
      </c>
      <c r="K578" s="14">
        <f>IF(OR(COUNT(G578:J578)&lt;&gt;4,G578&lt;0,G578&gt;1,H578&gt;I578,I578&gt;J578),"n.a.",ROUND(G578*(H578+4*I578+J578)/6+0.00000001,2))</f>
        <v/>
      </c>
      <c r="L578" s="13" t="n">
        <v>0</v>
      </c>
      <c r="M578" s="14">
        <f>SUMIFS(Maßnahmen!$I$7:$I$126,Maßnahmen!$D$7:$D$126,C578,Maßnahmen!$H$7:$H$126,"&lt;&gt;verworfen")</f>
        <v/>
      </c>
      <c r="N578" s="14">
        <f>IF(ISNUMBER(K578),MAX(0,K578-L578-M578),"n.a.")</f>
        <v/>
      </c>
      <c r="O578" s="14" t="n">
        <v>3416.62</v>
      </c>
      <c r="P578" s="14">
        <f>IF(ISNUMBER(K578),K578-O578,"n.a.")</f>
        <v/>
      </c>
    </row>
    <row r="579" ht="32" customHeight="1">
      <c r="C579" s="10" t="inlineStr">
        <is>
          <t>PRJ-4f8e93d2-RK-07</t>
        </is>
      </c>
      <c r="D579" s="10" t="inlineStr">
        <is>
          <t>P4102307438</t>
        </is>
      </c>
      <c r="E579" s="11" t="inlineStr">
        <is>
          <t>Unterirdische Tragkonstruktion / Fundamente</t>
        </is>
      </c>
      <c r="F579" s="10" t="inlineStr">
        <is>
          <t>Statik</t>
        </is>
      </c>
      <c r="G579" s="12" t="n">
        <v>0.432</v>
      </c>
      <c r="H579" s="13" t="n">
        <v>1411</v>
      </c>
      <c r="I579" s="13" t="n">
        <v>2953</v>
      </c>
      <c r="J579" s="13" t="n">
        <v>6260</v>
      </c>
      <c r="K579" s="14">
        <f>IF(OR(COUNT(G579:J579)&lt;&gt;4,G579&lt;0,G579&gt;1,H579&gt;I579,I579&gt;J579),"n.a.",ROUND(G579*(H579+4*I579+J579)/6+0.00000001,2))</f>
        <v/>
      </c>
      <c r="L579" s="13" t="n">
        <v>0</v>
      </c>
      <c r="M579" s="14">
        <f>SUMIFS(Maßnahmen!$I$7:$I$126,Maßnahmen!$D$7:$D$126,C579,Maßnahmen!$H$7:$H$126,"&lt;&gt;verworfen")</f>
        <v/>
      </c>
      <c r="N579" s="14">
        <f>IF(ISNUMBER(K579),MAX(0,K579-L579-M579),"n.a.")</f>
        <v/>
      </c>
      <c r="O579" s="14" t="n">
        <v>1402.78</v>
      </c>
      <c r="P579" s="14">
        <f>IF(ISNUMBER(K579),K579-O579,"n.a.")</f>
        <v/>
      </c>
    </row>
    <row r="580" ht="32" customHeight="1">
      <c r="C580" s="10" t="inlineStr">
        <is>
          <t>PRJ-4f8e93d2-RK-08</t>
        </is>
      </c>
      <c r="D580" s="10" t="inlineStr">
        <is>
          <t>P4102307438</t>
        </is>
      </c>
      <c r="E580" s="11" t="inlineStr">
        <is>
          <t>Gebäudehöhe &gt;22 m / Longfront-Bagger (+130–150 %)</t>
        </is>
      </c>
      <c r="F580" s="10" t="inlineStr">
        <is>
          <t>Termin</t>
        </is>
      </c>
      <c r="G580" s="12" t="n">
        <v>0.573</v>
      </c>
      <c r="H580" s="13" t="n">
        <v>4898</v>
      </c>
      <c r="I580" s="13" t="n">
        <v>9835</v>
      </c>
      <c r="J580" s="13" t="n">
        <v>18591</v>
      </c>
      <c r="K580" s="14">
        <f>IF(OR(COUNT(G580:J580)&lt;&gt;4,G580&lt;0,G580&gt;1,H580&gt;I580,I580&gt;J580),"n.a.",ROUND(G580*(H580+4*I580+J580)/6+0.00000001,2))</f>
        <v/>
      </c>
      <c r="L580" s="13" t="n">
        <v>0</v>
      </c>
      <c r="M580" s="14">
        <f>SUMIFS(Maßnahmen!$I$7:$I$126,Maßnahmen!$D$7:$D$126,C580,Maßnahmen!$H$7:$H$126,"&lt;&gt;verworfen")</f>
        <v/>
      </c>
      <c r="N580" s="14">
        <f>IF(ISNUMBER(K580),MAX(0,K580-L580-M580),"n.a.")</f>
        <v/>
      </c>
      <c r="O580" s="14" t="n">
        <v>6000.17</v>
      </c>
      <c r="P580" s="14">
        <f>IF(ISNUMBER(K580),K580-O580,"n.a.")</f>
        <v/>
      </c>
    </row>
    <row r="581" ht="32" customHeight="1">
      <c r="C581" s="10" t="inlineStr">
        <is>
          <t>PRJ-4f8e93d2-RK-09</t>
        </is>
      </c>
      <c r="D581" s="10" t="inlineStr">
        <is>
          <t>P4102307438</t>
        </is>
      </c>
      <c r="E581" s="11" t="inlineStr">
        <is>
          <t>Beennte Lage / nur Handabbruch möglich</t>
        </is>
      </c>
      <c r="F581" s="10" t="inlineStr">
        <is>
          <t>Termin</t>
        </is>
      </c>
      <c r="G581" s="12" t="n">
        <v>0.155</v>
      </c>
      <c r="H581" s="13" t="n">
        <v>507</v>
      </c>
      <c r="I581" s="13" t="n">
        <v>1246</v>
      </c>
      <c r="J581" s="13" t="n">
        <v>3071</v>
      </c>
      <c r="K581" s="14">
        <f>IF(OR(COUNT(G581:J581)&lt;&gt;4,G581&lt;0,G581&gt;1,H581&gt;I581,I581&gt;J581),"n.a.",ROUND(G581*(H581+4*I581+J581)/6+0.00000001,2))</f>
        <v/>
      </c>
      <c r="L581" s="13" t="n">
        <v>0</v>
      </c>
      <c r="M581" s="14">
        <f>SUMIFS(Maßnahmen!$I$7:$I$126,Maßnahmen!$D$7:$D$126,C581,Maßnahmen!$H$7:$H$126,"&lt;&gt;verworfen")</f>
        <v/>
      </c>
      <c r="N581" s="14">
        <f>IF(ISNUMBER(K581),MAX(0,K581-L581-M581),"n.a.")</f>
        <v/>
      </c>
      <c r="O581" s="14" t="n">
        <v>221.19</v>
      </c>
      <c r="P581" s="14">
        <f>IF(ISNUMBER(K581),K581-O581,"n.a.")</f>
        <v/>
      </c>
    </row>
    <row r="582" ht="32" customHeight="1">
      <c r="C582" s="10" t="inlineStr">
        <is>
          <t>PRJ-4f8e93d2-RK-10</t>
        </is>
      </c>
      <c r="D582" s="10" t="inlineStr">
        <is>
          <t>P4102307438</t>
        </is>
      </c>
      <c r="E582" s="11" t="inlineStr">
        <is>
          <t>Terminvorgabe Auftraggeber / Geräteauslastung</t>
        </is>
      </c>
      <c r="F582" s="10" t="inlineStr">
        <is>
          <t>Termin</t>
        </is>
      </c>
      <c r="G582" s="12" t="n">
        <v>0.08</v>
      </c>
      <c r="H582" s="13" t="n">
        <v>289</v>
      </c>
      <c r="I582" s="13" t="n">
        <v>579</v>
      </c>
      <c r="J582" s="13" t="n">
        <v>1158</v>
      </c>
      <c r="K582" s="14">
        <f>IF(OR(COUNT(G582:J582)&lt;&gt;4,G582&lt;0,G582&gt;1,H582&gt;I582,I582&gt;J582),"n.a.",ROUND(G582*(H582+4*I582+J582)/6+0.00000001,2))</f>
        <v/>
      </c>
      <c r="L582" s="13" t="n">
        <v>0</v>
      </c>
      <c r="M582" s="14">
        <f>SUMIFS(Maßnahmen!$I$7:$I$126,Maßnahmen!$D$7:$D$126,C582,Maßnahmen!$H$7:$H$126,"&lt;&gt;verworfen")</f>
        <v/>
      </c>
      <c r="N582" s="14">
        <f>IF(ISNUMBER(K582),MAX(0,K582-L582-M582),"n.a.")</f>
        <v/>
      </c>
      <c r="O582" s="14" t="n">
        <v>50.17</v>
      </c>
      <c r="P582" s="14">
        <f>IF(ISNUMBER(K582),K582-O582,"n.a.")</f>
        <v/>
      </c>
    </row>
    <row r="583" ht="32" customHeight="1">
      <c r="C583" s="10" t="inlineStr">
        <is>
          <t>PRJ-4f8e93d2-RK-11</t>
        </is>
      </c>
      <c r="D583" s="10" t="inlineStr">
        <is>
          <t>P4102307438</t>
        </is>
      </c>
      <c r="E583" s="11" t="inlineStr">
        <is>
          <t>Witterung / Ablaufstörung</t>
        </is>
      </c>
      <c r="F583" s="10" t="inlineStr">
        <is>
          <t>Termin</t>
        </is>
      </c>
      <c r="G583" s="12" t="n">
        <v>0.55</v>
      </c>
      <c r="H583" s="13" t="n">
        <v>14988</v>
      </c>
      <c r="I583" s="13" t="n">
        <v>23350</v>
      </c>
      <c r="J583" s="13" t="n">
        <v>37631</v>
      </c>
      <c r="K583" s="14">
        <f>IF(OR(COUNT(G583:J583)&lt;&gt;4,G583&lt;0,G583&gt;1,H583&gt;I583,I583&gt;J583),"n.a.",ROUND(G583*(H583+4*I583+J583)/6+0.00000001,2))</f>
        <v/>
      </c>
      <c r="L583" s="13" t="n">
        <v>0</v>
      </c>
      <c r="M583" s="14">
        <f>SUMIFS(Maßnahmen!$I$7:$I$126,Maßnahmen!$D$7:$D$126,C583,Maßnahmen!$H$7:$H$126,"&lt;&gt;verworfen")</f>
        <v/>
      </c>
      <c r="N583" s="14">
        <f>IF(ISNUMBER(K583),MAX(0,K583-L583-M583),"n.a.")</f>
        <v/>
      </c>
      <c r="O583" s="14" t="n">
        <v>13385.08</v>
      </c>
      <c r="P583" s="14">
        <f>IF(ISNUMBER(K583),K583-O583,"n.a.")</f>
        <v/>
      </c>
    </row>
    <row r="584" ht="32" customHeight="1">
      <c r="C584" s="10" t="inlineStr">
        <is>
          <t>PRJ-4f8e93d2-RK-12</t>
        </is>
      </c>
      <c r="D584" s="10" t="inlineStr">
        <is>
          <t>P4102307438</t>
        </is>
      </c>
      <c r="E584" s="11" t="inlineStr">
        <is>
          <t>Staubemissionen (höchster Aufwand laut Umfrage)</t>
        </is>
      </c>
      <c r="F584" s="10" t="inlineStr">
        <is>
          <t>Emissionen</t>
        </is>
      </c>
      <c r="G584" s="12" t="n">
        <v>0.1</v>
      </c>
      <c r="H584" s="13" t="n">
        <v>1737</v>
      </c>
      <c r="I584" s="13" t="n">
        <v>3474</v>
      </c>
      <c r="J584" s="13" t="n">
        <v>6947</v>
      </c>
      <c r="K584" s="14">
        <f>IF(OR(COUNT(G584:J584)&lt;&gt;4,G584&lt;0,G584&gt;1,H584&gt;I584,I584&gt;J584),"n.a.",ROUND(G584*(H584+4*I584+J584)/6+0.00000001,2))</f>
        <v/>
      </c>
      <c r="L584" s="13" t="n">
        <v>0</v>
      </c>
      <c r="M584" s="14">
        <f>SUMIFS(Maßnahmen!$I$7:$I$126,Maßnahmen!$D$7:$D$126,C584,Maßnahmen!$H$7:$H$126,"&lt;&gt;verworfen")</f>
        <v/>
      </c>
      <c r="N584" s="14">
        <f>IF(ISNUMBER(K584),MAX(0,K584-L584-M584),"n.a.")</f>
        <v/>
      </c>
      <c r="O584" s="14" t="n">
        <v>376.33</v>
      </c>
      <c r="P584" s="14">
        <f>IF(ISNUMBER(K584),K584-O584,"n.a.")</f>
        <v/>
      </c>
    </row>
    <row r="585" ht="32" customHeight="1">
      <c r="C585" s="10" t="inlineStr">
        <is>
          <t>PRJ-4f8e93d2-RK-13</t>
        </is>
      </c>
      <c r="D585" s="10" t="inlineStr">
        <is>
          <t>P4102307438</t>
        </is>
      </c>
      <c r="E585" s="11" t="inlineStr">
        <is>
          <t>Lärm- und Erschütterungsauflagen</t>
        </is>
      </c>
      <c r="F585" s="10" t="inlineStr">
        <is>
          <t>Emissionen</t>
        </is>
      </c>
      <c r="G585" s="12" t="n">
        <v>0.208</v>
      </c>
      <c r="H585" s="13" t="n">
        <v>1263</v>
      </c>
      <c r="I585" s="13" t="n">
        <v>3088</v>
      </c>
      <c r="J585" s="13" t="n">
        <v>6124</v>
      </c>
      <c r="K585" s="14">
        <f>IF(OR(COUNT(G585:J585)&lt;&gt;4,G585&lt;0,G585&gt;1,H585&gt;I585,I585&gt;J585),"n.a.",ROUND(G585*(H585+4*I585+J585)/6+0.00000001,2))</f>
        <v/>
      </c>
      <c r="L585" s="13" t="n">
        <v>0</v>
      </c>
      <c r="M585" s="14">
        <f>SUMIFS(Maßnahmen!$I$7:$I$126,Maßnahmen!$D$7:$D$126,C585,Maßnahmen!$H$7:$H$126,"&lt;&gt;verworfen")</f>
        <v/>
      </c>
      <c r="N585" s="14">
        <f>IF(ISNUMBER(K585),MAX(0,K585-L585-M585),"n.a.")</f>
        <v/>
      </c>
      <c r="O585" s="14" t="n">
        <v>684.29</v>
      </c>
      <c r="P585" s="14">
        <f>IF(ISNUMBER(K585),K585-O585,"n.a.")</f>
        <v/>
      </c>
    </row>
    <row r="586" ht="32" customHeight="1">
      <c r="C586" s="10" t="inlineStr">
        <is>
          <t>PRJ-4f8e93d2-RK-14</t>
        </is>
      </c>
      <c r="D586" s="10" t="inlineStr">
        <is>
          <t>P4102307438</t>
        </is>
      </c>
      <c r="E586" s="11" t="inlineStr">
        <is>
          <t>Rechtliche Auflagen / Entsorgungsnachweise (Formalismus)</t>
        </is>
      </c>
      <c r="F586" s="10" t="inlineStr">
        <is>
          <t>Genehmigung</t>
        </is>
      </c>
      <c r="G586" s="12" t="n">
        <v>0.4</v>
      </c>
      <c r="H586" s="13" t="n">
        <v>5188</v>
      </c>
      <c r="I586" s="13" t="n">
        <v>10125</v>
      </c>
      <c r="J586" s="13" t="n">
        <v>19169</v>
      </c>
      <c r="K586" s="14">
        <f>IF(OR(COUNT(G586:J586)&lt;&gt;4,G586&lt;0,G586&gt;1,H586&gt;I586,I586&gt;J586),"n.a.",ROUND(G586*(H586+4*I586+J586)/6+0.00000001,2))</f>
        <v/>
      </c>
      <c r="L586" s="13" t="n">
        <v>0</v>
      </c>
      <c r="M586" s="14">
        <f>SUMIFS(Maßnahmen!$I$7:$I$126,Maßnahmen!$D$7:$D$126,C586,Maßnahmen!$H$7:$H$126,"&lt;&gt;verworfen")</f>
        <v/>
      </c>
      <c r="N586" s="14">
        <f>IF(ISNUMBER(K586),MAX(0,K586-L586-M586),"n.a.")</f>
        <v/>
      </c>
      <c r="O586" s="14" t="n">
        <v>4323.8</v>
      </c>
      <c r="P586" s="14">
        <f>IF(ISNUMBER(K586),K586-O586,"n.a.")</f>
        <v/>
      </c>
    </row>
    <row r="587" ht="32" customHeight="1">
      <c r="C587" s="10" t="inlineStr">
        <is>
          <t>PRJ-3830840d-RK-05</t>
        </is>
      </c>
      <c r="D587" s="10" t="inlineStr">
        <is>
          <t>W4102604414</t>
        </is>
      </c>
      <c r="E587" s="11" t="inlineStr">
        <is>
          <t>Unbekannte Bauwerkskonstruktion / fehlende Pläne</t>
        </is>
      </c>
      <c r="F587" s="10" t="inlineStr">
        <is>
          <t>Statik</t>
        </is>
      </c>
      <c r="G587" s="12" t="n">
        <v>0.12</v>
      </c>
      <c r="H587" s="13" t="n">
        <v>349</v>
      </c>
      <c r="I587" s="13" t="n">
        <v>697</v>
      </c>
      <c r="J587" s="13" t="n">
        <v>1307</v>
      </c>
      <c r="K587" s="14">
        <f>IF(OR(COUNT(G587:J587)&lt;&gt;4,G587&lt;0,G587&gt;1,H587&gt;I587,I587&gt;J587),"n.a.",ROUND(G587*(H587+4*I587+J587)/6+0.00000001,2))</f>
        <v/>
      </c>
      <c r="L587" s="13" t="n">
        <v>0</v>
      </c>
      <c r="M587" s="14">
        <f>SUMIFS(Maßnahmen!$I$7:$I$126,Maßnahmen!$D$7:$D$126,C587,Maßnahmen!$H$7:$H$126,"&lt;&gt;verworfen")</f>
        <v/>
      </c>
      <c r="N587" s="14">
        <f>IF(ISNUMBER(K587),MAX(0,K587-L587-M587),"n.a.")</f>
        <v/>
      </c>
      <c r="O587" s="14" t="n">
        <v>88.88</v>
      </c>
      <c r="P587" s="14">
        <f>IF(ISNUMBER(K587),K587-O587,"n.a.")</f>
        <v/>
      </c>
    </row>
    <row r="588" ht="32" customHeight="1">
      <c r="C588" s="10" t="inlineStr">
        <is>
          <t>PRJ-3830840d-RK-06</t>
        </is>
      </c>
      <c r="D588" s="10" t="inlineStr">
        <is>
          <t>W4102604414</t>
        </is>
      </c>
      <c r="E588" s="11" t="inlineStr">
        <is>
          <t>Statik / Einsturzsicherung während Abbruch</t>
        </is>
      </c>
      <c r="F588" s="10" t="inlineStr">
        <is>
          <t>Statik</t>
        </is>
      </c>
      <c r="G588" s="12" t="n">
        <v>0.12</v>
      </c>
      <c r="H588" s="13" t="n">
        <v>261</v>
      </c>
      <c r="I588" s="13" t="n">
        <v>610</v>
      </c>
      <c r="J588" s="13" t="n">
        <v>1220</v>
      </c>
      <c r="K588" s="14">
        <f>IF(OR(COUNT(G588:J588)&lt;&gt;4,G588&lt;0,G588&gt;1,H588&gt;I588,I588&gt;J588),"n.a.",ROUND(G588*(H588+4*I588+J588)/6+0.00000001,2))</f>
        <v/>
      </c>
      <c r="L588" s="13" t="n">
        <v>0</v>
      </c>
      <c r="M588" s="14">
        <f>SUMIFS(Maßnahmen!$I$7:$I$126,Maßnahmen!$D$7:$D$126,C588,Maßnahmen!$H$7:$H$126,"&lt;&gt;verworfen")</f>
        <v/>
      </c>
      <c r="N588" s="14">
        <f>IF(ISNUMBER(K588),MAX(0,K588-L588-M588),"n.a.")</f>
        <v/>
      </c>
      <c r="O588" s="14" t="n">
        <v>78.42</v>
      </c>
      <c r="P588" s="14">
        <f>IF(ISNUMBER(K588),K588-O588,"n.a.")</f>
        <v/>
      </c>
    </row>
    <row r="589" ht="32" customHeight="1">
      <c r="C589" s="10" t="inlineStr">
        <is>
          <t>PRJ-3830840d-RK-07</t>
        </is>
      </c>
      <c r="D589" s="10" t="inlineStr">
        <is>
          <t>W4102604414</t>
        </is>
      </c>
      <c r="E589" s="11" t="inlineStr">
        <is>
          <t>Unterirdische Tragkonstruktion / Fundamente</t>
        </is>
      </c>
      <c r="F589" s="10" t="inlineStr">
        <is>
          <t>Statik</t>
        </is>
      </c>
      <c r="G589" s="12" t="n">
        <v>0.6</v>
      </c>
      <c r="H589" s="13" t="n">
        <v>44</v>
      </c>
      <c r="I589" s="13" t="n">
        <v>174</v>
      </c>
      <c r="J589" s="13" t="n">
        <v>436</v>
      </c>
      <c r="K589" s="14">
        <f>IF(OR(COUNT(G589:J589)&lt;&gt;4,G589&lt;0,G589&gt;1,H589&gt;I589,I589&gt;J589),"n.a.",ROUND(G589*(H589+4*I589+J589)/6+0.00000001,2))</f>
        <v/>
      </c>
      <c r="L589" s="13" t="n">
        <v>0</v>
      </c>
      <c r="M589" s="14">
        <f>SUMIFS(Maßnahmen!$I$7:$I$126,Maßnahmen!$D$7:$D$126,C589,Maßnahmen!$H$7:$H$126,"&lt;&gt;verworfen")</f>
        <v/>
      </c>
      <c r="N589" s="14">
        <f>IF(ISNUMBER(K589),MAX(0,K589-L589-M589),"n.a.")</f>
        <v/>
      </c>
      <c r="O589" s="14" t="n">
        <v>117.6</v>
      </c>
      <c r="P589" s="14">
        <f>IF(ISNUMBER(K589),K589-O589,"n.a.")</f>
        <v/>
      </c>
    </row>
    <row r="590" ht="32" customHeight="1">
      <c r="C590" s="10" t="inlineStr">
        <is>
          <t>PRJ-3830840d-RK-08</t>
        </is>
      </c>
      <c r="D590" s="10" t="inlineStr">
        <is>
          <t>W4102604414</t>
        </is>
      </c>
      <c r="E590" s="11" t="inlineStr">
        <is>
          <t>Gebäudehöhe &gt;22 m / Longfront-Bagger (+130–150 %)</t>
        </is>
      </c>
      <c r="F590" s="10" t="inlineStr">
        <is>
          <t>Termin</t>
        </is>
      </c>
      <c r="G590" s="12" t="n">
        <v>0.6</v>
      </c>
      <c r="H590" s="13" t="n">
        <v>784</v>
      </c>
      <c r="I590" s="13" t="n">
        <v>1568</v>
      </c>
      <c r="J590" s="13" t="n">
        <v>2963</v>
      </c>
      <c r="K590" s="14">
        <f>IF(OR(COUNT(G590:J590)&lt;&gt;4,G590&lt;0,G590&gt;1,H590&gt;I590,I590&gt;J590),"n.a.",ROUND(G590*(H590+4*I590+J590)/6+0.00000001,2))</f>
        <v/>
      </c>
      <c r="L590" s="13" t="n">
        <v>0</v>
      </c>
      <c r="M590" s="14">
        <f>SUMIFS(Maßnahmen!$I$7:$I$126,Maßnahmen!$D$7:$D$126,C590,Maßnahmen!$H$7:$H$126,"&lt;&gt;verworfen")</f>
        <v/>
      </c>
      <c r="N590" s="14">
        <f>IF(ISNUMBER(K590),MAX(0,K590-L590-M590),"n.a.")</f>
        <v/>
      </c>
      <c r="O590" s="14" t="n">
        <v>1001.9</v>
      </c>
      <c r="P590" s="14">
        <f>IF(ISNUMBER(K590),K590-O590,"n.a.")</f>
        <v/>
      </c>
    </row>
    <row r="591" ht="32" customHeight="1">
      <c r="C591" s="10" t="inlineStr">
        <is>
          <t>PRJ-3830840d-RK-09</t>
        </is>
      </c>
      <c r="D591" s="10" t="inlineStr">
        <is>
          <t>W4102604414</t>
        </is>
      </c>
      <c r="E591" s="11" t="inlineStr">
        <is>
          <t>Beennte Lage / nur Handabbruch möglich</t>
        </is>
      </c>
      <c r="F591" s="10" t="inlineStr">
        <is>
          <t>Termin</t>
        </is>
      </c>
      <c r="G591" s="12" t="n">
        <v>0.15</v>
      </c>
      <c r="H591" s="13" t="n">
        <v>70</v>
      </c>
      <c r="I591" s="13" t="n">
        <v>174</v>
      </c>
      <c r="J591" s="13" t="n">
        <v>436</v>
      </c>
      <c r="K591" s="14">
        <f>IF(OR(COUNT(G591:J591)&lt;&gt;4,G591&lt;0,G591&gt;1,H591&gt;I591,I591&gt;J591),"n.a.",ROUND(G591*(H591+4*I591+J591)/6+0.00000001,2))</f>
        <v/>
      </c>
      <c r="L591" s="13" t="n">
        <v>0</v>
      </c>
      <c r="M591" s="14">
        <f>SUMIFS(Maßnahmen!$I$7:$I$126,Maßnahmen!$D$7:$D$126,C591,Maßnahmen!$H$7:$H$126,"&lt;&gt;verworfen")</f>
        <v/>
      </c>
      <c r="N591" s="14">
        <f>IF(ISNUMBER(K591),MAX(0,K591-L591-M591),"n.a.")</f>
        <v/>
      </c>
      <c r="O591" s="14" t="n">
        <v>30.05</v>
      </c>
      <c r="P591" s="14">
        <f>IF(ISNUMBER(K591),K591-O591,"n.a.")</f>
        <v/>
      </c>
    </row>
    <row r="592" ht="32" customHeight="1">
      <c r="C592" s="10" t="inlineStr">
        <is>
          <t>PRJ-3830840d-RK-10</t>
        </is>
      </c>
      <c r="D592" s="10" t="inlineStr">
        <is>
          <t>W4102604414</t>
        </is>
      </c>
      <c r="E592" s="11" t="inlineStr">
        <is>
          <t>Terminvorgabe Auftraggeber / Geräteauslastung</t>
        </is>
      </c>
      <c r="F592" s="10" t="inlineStr">
        <is>
          <t>Termin</t>
        </is>
      </c>
      <c r="G592" s="12" t="n">
        <v>0.1</v>
      </c>
      <c r="H592" s="13" t="n">
        <v>70</v>
      </c>
      <c r="I592" s="13" t="n">
        <v>174</v>
      </c>
      <c r="J592" s="13" t="n">
        <v>436</v>
      </c>
      <c r="K592" s="14">
        <f>IF(OR(COUNT(G592:J592)&lt;&gt;4,G592&lt;0,G592&gt;1,H592&gt;I592,I592&gt;J592),"n.a.",ROUND(G592*(H592+4*I592+J592)/6+0.00000001,2))</f>
        <v/>
      </c>
      <c r="L592" s="13" t="n">
        <v>0</v>
      </c>
      <c r="M592" s="14">
        <f>SUMIFS(Maßnahmen!$I$7:$I$126,Maßnahmen!$D$7:$D$126,C592,Maßnahmen!$H$7:$H$126,"&lt;&gt;verworfen")</f>
        <v/>
      </c>
      <c r="N592" s="14">
        <f>IF(ISNUMBER(K592),MAX(0,K592-L592-M592),"n.a.")</f>
        <v/>
      </c>
      <c r="O592" s="14" t="n">
        <v>20.03</v>
      </c>
      <c r="P592" s="14">
        <f>IF(ISNUMBER(K592),K592-O592,"n.a.")</f>
        <v/>
      </c>
    </row>
    <row r="593" ht="32" customHeight="1">
      <c r="C593" s="10" t="inlineStr">
        <is>
          <t>PRJ-3830840d-RK-12</t>
        </is>
      </c>
      <c r="D593" s="10" t="inlineStr">
        <is>
          <t>W4102604414</t>
        </is>
      </c>
      <c r="E593" s="11" t="inlineStr">
        <is>
          <t>Staubemissionen (höchster Aufwand laut Umfrage)</t>
        </is>
      </c>
      <c r="F593" s="10" t="inlineStr">
        <is>
          <t>Emissionen</t>
        </is>
      </c>
      <c r="G593" s="12" t="n">
        <v>0.1</v>
      </c>
      <c r="H593" s="13" t="n">
        <v>261</v>
      </c>
      <c r="I593" s="13" t="n">
        <v>523</v>
      </c>
      <c r="J593" s="13" t="n">
        <v>1046</v>
      </c>
      <c r="K593" s="14">
        <f>IF(OR(COUNT(G593:J593)&lt;&gt;4,G593&lt;0,G593&gt;1,H593&gt;I593,I593&gt;J593),"n.a.",ROUND(G593*(H593+4*I593+J593)/6+0.00000001,2))</f>
        <v/>
      </c>
      <c r="L593" s="13" t="n">
        <v>0</v>
      </c>
      <c r="M593" s="14">
        <f>SUMIFS(Maßnahmen!$I$7:$I$126,Maßnahmen!$D$7:$D$126,C593,Maßnahmen!$H$7:$H$126,"&lt;&gt;verworfen")</f>
        <v/>
      </c>
      <c r="N593" s="14">
        <f>IF(ISNUMBER(K593),MAX(0,K593-L593-M593),"n.a.")</f>
        <v/>
      </c>
      <c r="O593" s="14" t="n">
        <v>56.65</v>
      </c>
      <c r="P593" s="14">
        <f>IF(ISNUMBER(K593),K593-O593,"n.a.")</f>
        <v/>
      </c>
    </row>
    <row r="594" ht="32" customHeight="1">
      <c r="C594" s="10" t="inlineStr">
        <is>
          <t>PRJ-3830840d-RK-13</t>
        </is>
      </c>
      <c r="D594" s="10" t="inlineStr">
        <is>
          <t>W4102604414</t>
        </is>
      </c>
      <c r="E594" s="11" t="inlineStr">
        <is>
          <t>Lärm- und Erschütterungsauflagen</t>
        </is>
      </c>
      <c r="F594" s="10" t="inlineStr">
        <is>
          <t>Emissionen</t>
        </is>
      </c>
      <c r="G594" s="12" t="n">
        <v>0.2</v>
      </c>
      <c r="H594" s="13" t="n">
        <v>174</v>
      </c>
      <c r="I594" s="13" t="n">
        <v>436</v>
      </c>
      <c r="J594" s="13" t="n">
        <v>871</v>
      </c>
      <c r="K594" s="14">
        <f>IF(OR(COUNT(G594:J594)&lt;&gt;4,G594&lt;0,G594&gt;1,H594&gt;I594,I594&gt;J594),"n.a.",ROUND(G594*(H594+4*I594+J594)/6+0.00000001,2))</f>
        <v/>
      </c>
      <c r="L594" s="13" t="n">
        <v>0</v>
      </c>
      <c r="M594" s="14">
        <f>SUMIFS(Maßnahmen!$I$7:$I$126,Maßnahmen!$D$7:$D$126,C594,Maßnahmen!$H$7:$H$126,"&lt;&gt;verworfen")</f>
        <v/>
      </c>
      <c r="N594" s="14">
        <f>IF(ISNUMBER(K594),MAX(0,K594-L594-M594),"n.a.")</f>
        <v/>
      </c>
      <c r="O594" s="14" t="n">
        <v>92.97</v>
      </c>
      <c r="P594" s="14">
        <f>IF(ISNUMBER(K594),K594-O594,"n.a.")</f>
        <v/>
      </c>
    </row>
    <row r="595" ht="32" customHeight="1">
      <c r="C595" s="10" t="inlineStr">
        <is>
          <t>PRJ-3830840d-RK-14</t>
        </is>
      </c>
      <c r="D595" s="10" t="inlineStr">
        <is>
          <t>W4102604414</t>
        </is>
      </c>
      <c r="E595" s="11" t="inlineStr">
        <is>
          <t>Rechtliche Auflagen / Entsorgungsnachweise (Formalismus)</t>
        </is>
      </c>
      <c r="F595" s="10" t="inlineStr">
        <is>
          <t>Genehmigung</t>
        </is>
      </c>
      <c r="G595" s="12" t="n">
        <v>0.4</v>
      </c>
      <c r="H595" s="13" t="n">
        <v>828</v>
      </c>
      <c r="I595" s="13" t="n">
        <v>1612</v>
      </c>
      <c r="J595" s="13" t="n">
        <v>3050</v>
      </c>
      <c r="K595" s="14">
        <f>IF(OR(COUNT(G595:J595)&lt;&gt;4,G595&lt;0,G595&gt;1,H595&gt;I595,I595&gt;J595),"n.a.",ROUND(G595*(H595+4*I595+J595)/6+0.00000001,2))</f>
        <v/>
      </c>
      <c r="L595" s="13" t="n">
        <v>0</v>
      </c>
      <c r="M595" s="14">
        <f>SUMIFS(Maßnahmen!$I$7:$I$126,Maßnahmen!$D$7:$D$126,C595,Maßnahmen!$H$7:$H$126,"&lt;&gt;verworfen")</f>
        <v/>
      </c>
      <c r="N595" s="14">
        <f>IF(ISNUMBER(K595),MAX(0,K595-L595-M595),"n.a.")</f>
        <v/>
      </c>
      <c r="O595" s="14" t="n">
        <v>688.4</v>
      </c>
      <c r="P595" s="14">
        <f>IF(ISNUMBER(K595),K595-O595,"n.a.")</f>
        <v/>
      </c>
    </row>
    <row r="596" ht="32" customHeight="1">
      <c r="C596" s="10" t="inlineStr">
        <is>
          <t>PRJ-3830840d-RK-15</t>
        </is>
      </c>
      <c r="D596" s="10" t="inlineStr">
        <is>
          <t>W4102604414</t>
        </is>
      </c>
      <c r="E596" s="11" t="inlineStr">
        <is>
          <t>Konjunktur / Sekundärstoffpreise &amp; Gerätemiete</t>
        </is>
      </c>
      <c r="F596" s="10" t="inlineStr">
        <is>
          <t>Markt</t>
        </is>
      </c>
      <c r="G596" s="12" t="n">
        <v>0.12</v>
      </c>
      <c r="H596" s="13" t="n">
        <v>70</v>
      </c>
      <c r="I596" s="13" t="n">
        <v>174</v>
      </c>
      <c r="J596" s="13" t="n">
        <v>436</v>
      </c>
      <c r="K596" s="14">
        <f>IF(OR(COUNT(G596:J596)&lt;&gt;4,G596&lt;0,G596&gt;1,H596&gt;I596,I596&gt;J596),"n.a.",ROUND(G596*(H596+4*I596+J596)/6+0.00000001,2))</f>
        <v/>
      </c>
      <c r="L596" s="13" t="n">
        <v>0</v>
      </c>
      <c r="M596" s="14">
        <f>SUMIFS(Maßnahmen!$I$7:$I$126,Maßnahmen!$D$7:$D$126,C596,Maßnahmen!$H$7:$H$126,"&lt;&gt;verworfen")</f>
        <v/>
      </c>
      <c r="N596" s="14">
        <f>IF(ISNUMBER(K596),MAX(0,K596-L596-M596),"n.a.")</f>
        <v/>
      </c>
      <c r="O596" s="14" t="n">
        <v>24.04</v>
      </c>
      <c r="P596" s="14">
        <f>IF(ISNUMBER(K596),K596-O596,"n.a.")</f>
        <v/>
      </c>
    </row>
    <row r="597" ht="32" customHeight="1">
      <c r="C597" s="10" t="inlineStr">
        <is>
          <t>PRJ-4a2927b1-RK-05</t>
        </is>
      </c>
      <c r="D597" s="10" t="inlineStr">
        <is>
          <t>P4102658229</t>
        </is>
      </c>
      <c r="E597" s="11" t="inlineStr">
        <is>
          <t>Unbekannte Bauwerkskonstruktion / fehlende Pläne</t>
        </is>
      </c>
      <c r="F597" s="10" t="inlineStr">
        <is>
          <t>Statik</t>
        </is>
      </c>
      <c r="G597" s="12" t="n">
        <v>0.12</v>
      </c>
      <c r="H597" s="13" t="n">
        <v>36479</v>
      </c>
      <c r="I597" s="13" t="n">
        <v>66025</v>
      </c>
      <c r="J597" s="13" t="n">
        <v>114264</v>
      </c>
      <c r="K597" s="14">
        <f>IF(OR(COUNT(G597:J597)&lt;&gt;4,G597&lt;0,G597&gt;1,H597&gt;I597,I597&gt;J597),"n.a.",ROUND(G597*(H597+4*I597+J597)/6+0.00000001,2))</f>
        <v/>
      </c>
      <c r="L597" s="13" t="n">
        <v>0</v>
      </c>
      <c r="M597" s="14">
        <f>SUMIFS(Maßnahmen!$I$7:$I$126,Maßnahmen!$D$7:$D$126,C597,Maßnahmen!$H$7:$H$126,"&lt;&gt;verworfen")</f>
        <v/>
      </c>
      <c r="N597" s="14">
        <f>IF(ISNUMBER(K597),MAX(0,K597-L597-M597),"n.a.")</f>
        <v/>
      </c>
      <c r="O597" s="14" t="n">
        <v>8296.860000000001</v>
      </c>
      <c r="P597" s="14">
        <f>IF(ISNUMBER(K597),K597-O597,"n.a.")</f>
        <v/>
      </c>
    </row>
    <row r="598" ht="32" customHeight="1">
      <c r="C598" s="10" t="inlineStr">
        <is>
          <t>PRJ-4a2927b1-RK-06</t>
        </is>
      </c>
      <c r="D598" s="10" t="inlineStr">
        <is>
          <t>P4102658229</t>
        </is>
      </c>
      <c r="E598" s="11" t="inlineStr">
        <is>
          <t>Statik / Einsturzsicherung während Abbruch</t>
        </is>
      </c>
      <c r="F598" s="10" t="inlineStr">
        <is>
          <t>Statik</t>
        </is>
      </c>
      <c r="G598" s="12" t="n">
        <v>0.207</v>
      </c>
      <c r="H598" s="13" t="n">
        <v>32297</v>
      </c>
      <c r="I598" s="13" t="n">
        <v>61668</v>
      </c>
      <c r="J598" s="13" t="n">
        <v>109644</v>
      </c>
      <c r="K598" s="14">
        <f>IF(OR(COUNT(G598:J598)&lt;&gt;4,G598&lt;0,G598&gt;1,H598&gt;I598,I598&gt;J598),"n.a.",ROUND(G598*(H598+4*I598+J598)/6+0.00000001,2))</f>
        <v/>
      </c>
      <c r="L598" s="13" t="n">
        <v>0</v>
      </c>
      <c r="M598" s="14">
        <f>SUMIFS(Maßnahmen!$I$7:$I$126,Maßnahmen!$D$7:$D$126,C598,Maßnahmen!$H$7:$H$126,"&lt;&gt;verworfen")</f>
        <v/>
      </c>
      <c r="N598" s="14">
        <f>IF(ISNUMBER(K598),MAX(0,K598-L598-M598),"n.a.")</f>
        <v/>
      </c>
      <c r="O598" s="14" t="n">
        <v>13407.15</v>
      </c>
      <c r="P598" s="14">
        <f>IF(ISNUMBER(K598),K598-O598,"n.a.")</f>
        <v/>
      </c>
    </row>
    <row r="599" ht="32" customHeight="1">
      <c r="C599" s="10" t="inlineStr">
        <is>
          <t>PRJ-4a2927b1-RK-07</t>
        </is>
      </c>
      <c r="D599" s="10" t="inlineStr">
        <is>
          <t>P4102658229</t>
        </is>
      </c>
      <c r="E599" s="11" t="inlineStr">
        <is>
          <t>Unterirdische Tragkonstruktion / Fundamente</t>
        </is>
      </c>
      <c r="F599" s="10" t="inlineStr">
        <is>
          <t>Statik</t>
        </is>
      </c>
      <c r="G599" s="12" t="n">
        <v>0.502</v>
      </c>
      <c r="H599" s="13" t="n">
        <v>8806</v>
      </c>
      <c r="I599" s="13" t="n">
        <v>18793</v>
      </c>
      <c r="J599" s="13" t="n">
        <v>40136</v>
      </c>
      <c r="K599" s="14">
        <f>IF(OR(COUNT(G599:J599)&lt;&gt;4,G599&lt;0,G599&gt;1,H599&gt;I599,I599&gt;J599),"n.a.",ROUND(G599*(H599+4*I599+J599)/6+0.00000001,2))</f>
        <v/>
      </c>
      <c r="L599" s="13" t="n">
        <v>0</v>
      </c>
      <c r="M599" s="14">
        <f>SUMIFS(Maßnahmen!$I$7:$I$126,Maßnahmen!$D$7:$D$126,C599,Maßnahmen!$H$7:$H$126,"&lt;&gt;verworfen")</f>
        <v/>
      </c>
      <c r="N599" s="14">
        <f>IF(ISNUMBER(K599),MAX(0,K599-L599-M599),"n.a.")</f>
        <v/>
      </c>
      <c r="O599" s="14" t="n">
        <v>10384.2</v>
      </c>
      <c r="P599" s="14">
        <f>IF(ISNUMBER(K599),K599-O599,"n.a.")</f>
        <v/>
      </c>
    </row>
    <row r="600" ht="32" customHeight="1">
      <c r="C600" s="10" t="inlineStr">
        <is>
          <t>PRJ-4a2927b1-RK-08</t>
        </is>
      </c>
      <c r="D600" s="10" t="inlineStr">
        <is>
          <t>P4102658229</t>
        </is>
      </c>
      <c r="E600" s="11" t="inlineStr">
        <is>
          <t>Gebäudehöhe &gt;22 m / Longfront-Bagger (+130–150 %)</t>
        </is>
      </c>
      <c r="F600" s="10" t="inlineStr">
        <is>
          <t>Termin</t>
        </is>
      </c>
      <c r="G600" s="12" t="n">
        <v>0.339</v>
      </c>
      <c r="H600" s="13" t="n">
        <v>14842</v>
      </c>
      <c r="I600" s="13" t="n">
        <v>32239</v>
      </c>
      <c r="J600" s="13" t="n">
        <v>61748</v>
      </c>
      <c r="K600" s="14">
        <f>IF(OR(COUNT(G600:J600)&lt;&gt;4,G600&lt;0,G600&gt;1,H600&gt;I600,I600&gt;J600),"n.a.",ROUND(G600*(H600+4*I600+J600)/6+0.00000001,2))</f>
        <v/>
      </c>
      <c r="L600" s="13" t="n">
        <v>0</v>
      </c>
      <c r="M600" s="14">
        <f>SUMIFS(Maßnahmen!$I$7:$I$126,Maßnahmen!$D$7:$D$126,C600,Maßnahmen!$H$7:$H$126,"&lt;&gt;verworfen")</f>
        <v/>
      </c>
      <c r="N600" s="14">
        <f>IF(ISNUMBER(K600),MAX(0,K600-L600-M600),"n.a.")</f>
        <v/>
      </c>
      <c r="O600" s="14" t="n">
        <v>11613.35</v>
      </c>
      <c r="P600" s="14">
        <f>IF(ISNUMBER(K600),K600-O600,"n.a.")</f>
        <v/>
      </c>
    </row>
    <row r="601" ht="32" customHeight="1">
      <c r="C601" s="10" t="inlineStr">
        <is>
          <t>PRJ-4a2927b1-RK-09</t>
        </is>
      </c>
      <c r="D601" s="10" t="inlineStr">
        <is>
          <t>P4102658229</t>
        </is>
      </c>
      <c r="E601" s="11" t="inlineStr">
        <is>
          <t>Beennte Lage / nur Handabbruch möglich</t>
        </is>
      </c>
      <c r="F601" s="10" t="inlineStr">
        <is>
          <t>Termin</t>
        </is>
      </c>
      <c r="G601" s="12" t="n">
        <v>0.274</v>
      </c>
      <c r="H601" s="13" t="n">
        <v>10069</v>
      </c>
      <c r="I601" s="13" t="n">
        <v>21706</v>
      </c>
      <c r="J601" s="13" t="n">
        <v>47332</v>
      </c>
      <c r="K601" s="14">
        <f>IF(OR(COUNT(G601:J601)&lt;&gt;4,G601&lt;0,G601&gt;1,H601&gt;I601,I601&gt;J601),"n.a.",ROUND(G601*(H601+4*I601+J601)/6+0.00000001,2))</f>
        <v/>
      </c>
      <c r="L601" s="13" t="n">
        <v>0</v>
      </c>
      <c r="M601" s="14">
        <f>SUMIFS(Maßnahmen!$I$7:$I$126,Maßnahmen!$D$7:$D$126,C601,Maßnahmen!$H$7:$H$126,"&lt;&gt;verworfen")</f>
        <v/>
      </c>
      <c r="N601" s="14">
        <f>IF(ISNUMBER(K601),MAX(0,K601-L601-M601),"n.a.")</f>
        <v/>
      </c>
      <c r="O601" s="14" t="n">
        <v>6586.28</v>
      </c>
      <c r="P601" s="14">
        <f>IF(ISNUMBER(K601),K601-O601,"n.a.")</f>
        <v/>
      </c>
    </row>
    <row r="602" ht="32" customHeight="1">
      <c r="C602" s="10" t="inlineStr">
        <is>
          <t>PRJ-4f8e93ba-RK-14</t>
        </is>
      </c>
      <c r="D602" s="10" t="inlineStr">
        <is>
          <t>P4102307441</t>
        </is>
      </c>
      <c r="E602" s="11" t="inlineStr">
        <is>
          <t>Rechtliche Auflagen / Entsorgungsnachweise (Formalismus)</t>
        </is>
      </c>
      <c r="F602" s="10" t="inlineStr">
        <is>
          <t>Genehmigung</t>
        </is>
      </c>
      <c r="G602" s="12" t="n">
        <v>0.12</v>
      </c>
      <c r="H602" s="13" t="n">
        <v>242</v>
      </c>
      <c r="I602" s="13" t="n">
        <v>566</v>
      </c>
      <c r="J602" s="13" t="n">
        <v>1132</v>
      </c>
      <c r="K602" s="14">
        <f>IF(OR(COUNT(G602:J602)&lt;&gt;4,G602&lt;0,G602&gt;1,H602&gt;I602,I602&gt;J602),"n.a.",ROUND(G602*(H602+4*I602+J602)/6+0.00000001,2))</f>
        <v/>
      </c>
      <c r="L602" s="13" t="n">
        <v>0</v>
      </c>
      <c r="M602" s="14">
        <f>SUMIFS(Maßnahmen!$I$7:$I$126,Maßnahmen!$D$7:$D$126,C602,Maßnahmen!$H$7:$H$126,"&lt;&gt;verworfen")</f>
        <v/>
      </c>
      <c r="N602" s="14">
        <f>IF(ISNUMBER(K602),MAX(0,K602-L602-M602),"n.a.")</f>
        <v/>
      </c>
      <c r="O602" s="14" t="n">
        <v>72.76000000000001</v>
      </c>
      <c r="P602" s="14">
        <f>IF(ISNUMBER(K602),K602-O602,"n.a.")</f>
        <v/>
      </c>
    </row>
    <row r="603" ht="32" customHeight="1">
      <c r="C603" s="10" t="inlineStr">
        <is>
          <t>PRJ-4a2927b1-RK-12</t>
        </is>
      </c>
      <c r="D603" s="10" t="inlineStr">
        <is>
          <t>P4102658229</t>
        </is>
      </c>
      <c r="E603" s="11" t="inlineStr">
        <is>
          <t>Staubemissionen (höchster Aufwand laut Umfrage)</t>
        </is>
      </c>
      <c r="F603" s="10" t="inlineStr">
        <is>
          <t>Emissionen</t>
        </is>
      </c>
      <c r="G603" s="12" t="n">
        <v>0.1</v>
      </c>
      <c r="H603" s="13" t="n">
        <v>11903</v>
      </c>
      <c r="I603" s="13" t="n">
        <v>23691</v>
      </c>
      <c r="J603" s="13" t="n">
        <v>47325</v>
      </c>
      <c r="K603" s="14">
        <f>IF(OR(COUNT(G603:J603)&lt;&gt;4,G603&lt;0,G603&gt;1,H603&gt;I603,I603&gt;J603),"n.a.",ROUND(G603*(H603+4*I603+J603)/6+0.00000001,2))</f>
        <v/>
      </c>
      <c r="L603" s="13" t="n">
        <v>0</v>
      </c>
      <c r="M603" s="14">
        <f>SUMIFS(Maßnahmen!$I$7:$I$126,Maßnahmen!$D$7:$D$126,C603,Maßnahmen!$H$7:$H$126,"&lt;&gt;verworfen")</f>
        <v/>
      </c>
      <c r="N603" s="14">
        <f>IF(ISNUMBER(K603),MAX(0,K603-L603-M603),"n.a.")</f>
        <v/>
      </c>
      <c r="O603" s="14" t="n">
        <v>2566.53</v>
      </c>
      <c r="P603" s="14">
        <f>IF(ISNUMBER(K603),K603-O603,"n.a.")</f>
        <v/>
      </c>
    </row>
    <row r="604" ht="32" customHeight="1">
      <c r="C604" s="10" t="inlineStr">
        <is>
          <t>PRJ-4a2927b1-RK-13</t>
        </is>
      </c>
      <c r="D604" s="10" t="inlineStr">
        <is>
          <t>P4102658229</t>
        </is>
      </c>
      <c r="E604" s="11" t="inlineStr">
        <is>
          <t>Lärm- und Erschütterungsauflagen</t>
        </is>
      </c>
      <c r="F604" s="10" t="inlineStr">
        <is>
          <t>Emissionen</t>
        </is>
      </c>
      <c r="G604" s="12" t="n">
        <v>0.395</v>
      </c>
      <c r="H604" s="13" t="n">
        <v>24479</v>
      </c>
      <c r="I604" s="13" t="n">
        <v>50106</v>
      </c>
      <c r="J604" s="13" t="n">
        <v>91891</v>
      </c>
      <c r="K604" s="14">
        <f>IF(OR(COUNT(G604:J604)&lt;&gt;4,G604&lt;0,G604&gt;1,H604&gt;I604,I604&gt;J604),"n.a.",ROUND(G604*(H604+4*I604+J604)/6+0.00000001,2))</f>
        <v/>
      </c>
      <c r="L604" s="13" t="n">
        <v>0</v>
      </c>
      <c r="M604" s="14">
        <f>SUMIFS(Maßnahmen!$I$7:$I$126,Maßnahmen!$D$7:$D$126,C604,Maßnahmen!$H$7:$H$126,"&lt;&gt;verworfen")</f>
        <v/>
      </c>
      <c r="N604" s="14">
        <f>IF(ISNUMBER(K604),MAX(0,K604-L604-M604),"n.a.")</f>
        <v/>
      </c>
      <c r="O604" s="14" t="n">
        <v>20855.61</v>
      </c>
      <c r="P604" s="14">
        <f>IF(ISNUMBER(K604),K604-O604,"n.a.")</f>
        <v/>
      </c>
    </row>
    <row r="605" ht="32" customHeight="1">
      <c r="C605" s="10" t="inlineStr">
        <is>
          <t>PRJ-4a2927b1-RK-14</t>
        </is>
      </c>
      <c r="D605" s="10" t="inlineStr">
        <is>
          <t>P4102658229</t>
        </is>
      </c>
      <c r="E605" s="11" t="inlineStr">
        <is>
          <t>Rechtliche Auflagen / Entsorgungsnachweise (Formalismus)</t>
        </is>
      </c>
      <c r="F605" s="10" t="inlineStr">
        <is>
          <t>Genehmigung</t>
        </is>
      </c>
      <c r="G605" s="12" t="n">
        <v>0.242</v>
      </c>
      <c r="H605" s="13" t="n">
        <v>16802</v>
      </c>
      <c r="I605" s="13" t="n">
        <v>34199</v>
      </c>
      <c r="J605" s="13" t="n">
        <v>65668</v>
      </c>
      <c r="K605" s="14">
        <f>IF(OR(COUNT(G605:J605)&lt;&gt;4,G605&lt;0,G605&gt;1,H605&gt;I605,I605&gt;J605),"n.a.",ROUND(G605*(H605+4*I605+J605)/6+0.00000001,2))</f>
        <v/>
      </c>
      <c r="L605" s="13" t="n">
        <v>0</v>
      </c>
      <c r="M605" s="14">
        <f>SUMIFS(Maßnahmen!$I$7:$I$126,Maßnahmen!$D$7:$D$126,C605,Maßnahmen!$H$7:$H$126,"&lt;&gt;verworfen")</f>
        <v/>
      </c>
      <c r="N605" s="14">
        <f>IF(ISNUMBER(K605),MAX(0,K605-L605-M605),"n.a.")</f>
        <v/>
      </c>
      <c r="O605" s="14" t="n">
        <v>8843.73</v>
      </c>
      <c r="P605" s="14">
        <f>IF(ISNUMBER(K605),K605-O605,"n.a.")</f>
        <v/>
      </c>
    </row>
    <row r="606" ht="32" customHeight="1">
      <c r="C606" s="10" t="inlineStr">
        <is>
          <t>PRJ-4f8e93b9-RK-01</t>
        </is>
      </c>
      <c r="D606" s="10" t="inlineStr">
        <is>
          <t>P4102307442</t>
        </is>
      </c>
      <c r="E606" s="11" t="inlineStr">
        <is>
          <t>Schadstofffund / Schadstoffsanierung (Asbest, PAK, PCB, PCP)</t>
        </is>
      </c>
      <c r="F606" s="10" t="inlineStr">
        <is>
          <t>Schadstoffe</t>
        </is>
      </c>
      <c r="G606" s="12" t="n">
        <v>0.7</v>
      </c>
      <c r="H606" s="13" t="n">
        <v>24214</v>
      </c>
      <c r="I606" s="13" t="n">
        <v>31132</v>
      </c>
      <c r="J606" s="13" t="n">
        <v>44968</v>
      </c>
      <c r="K606" s="14">
        <f>IF(OR(COUNT(G606:J606)&lt;&gt;4,G606&lt;0,G606&gt;1,H606&gt;I606,I606&gt;J606),"n.a.",ROUND(G606*(H606+4*I606+J606)/6+0.00000001,2))</f>
        <v/>
      </c>
      <c r="L606" s="13" t="n">
        <v>0</v>
      </c>
      <c r="M606" s="14">
        <f>SUMIFS(Maßnahmen!$I$7:$I$126,Maßnahmen!$D$7:$D$126,C606,Maßnahmen!$H$7:$H$126,"&lt;&gt;verworfen")</f>
        <v/>
      </c>
      <c r="N606" s="14">
        <f>IF(ISNUMBER(K606),MAX(0,K606-L606-M606),"n.a.")</f>
        <v/>
      </c>
      <c r="O606" s="14" t="n">
        <v>22599.5</v>
      </c>
      <c r="P606" s="14">
        <f>IF(ISNUMBER(K606),K606-O606,"n.a.")</f>
        <v/>
      </c>
    </row>
    <row r="607" ht="32" customHeight="1">
      <c r="C607" s="10" t="inlineStr">
        <is>
          <t>PRJ-4f8e93b9-RK-02</t>
        </is>
      </c>
      <c r="D607" s="10" t="inlineStr">
        <is>
          <t>P4102307442</t>
        </is>
      </c>
      <c r="E607" s="11" t="inlineStr">
        <is>
          <t>Arbeitsschutz kontaminierte Bereiche (TRGS 524)</t>
        </is>
      </c>
      <c r="F607" s="10" t="inlineStr">
        <is>
          <t>Schadstoffe</t>
        </is>
      </c>
      <c r="G607" s="12" t="n">
        <v>0.1</v>
      </c>
      <c r="H607" s="13" t="n">
        <v>346</v>
      </c>
      <c r="I607" s="13" t="n">
        <v>692</v>
      </c>
      <c r="J607" s="13" t="n">
        <v>1384</v>
      </c>
      <c r="K607" s="14">
        <f>IF(OR(COUNT(G607:J607)&lt;&gt;4,G607&lt;0,G607&gt;1,H607&gt;I607,I607&gt;J607),"n.a.",ROUND(G607*(H607+4*I607+J607)/6+0.00000001,2))</f>
        <v/>
      </c>
      <c r="L607" s="13" t="n">
        <v>0</v>
      </c>
      <c r="M607" s="14">
        <f>SUMIFS(Maßnahmen!$I$7:$I$126,Maßnahmen!$D$7:$D$126,C607,Maßnahmen!$H$7:$H$126,"&lt;&gt;verworfen")</f>
        <v/>
      </c>
      <c r="N607" s="14">
        <f>IF(ISNUMBER(K607),MAX(0,K607-L607-M607),"n.a.")</f>
        <v/>
      </c>
      <c r="O607" s="14" t="n">
        <v>74.97</v>
      </c>
      <c r="P607" s="14">
        <f>IF(ISNUMBER(K607),K607-O607,"n.a.")</f>
        <v/>
      </c>
    </row>
    <row r="608" ht="32" customHeight="1">
      <c r="C608" s="10" t="inlineStr">
        <is>
          <t>PRJ-4f8e93b9-RK-03</t>
        </is>
      </c>
      <c r="D608" s="10" t="inlineStr">
        <is>
          <t>P4102307442</t>
        </is>
      </c>
      <c r="E608" s="11" t="inlineStr">
        <is>
          <t>Entsorgungs-Mehrkosten / Entsorgungswege</t>
        </is>
      </c>
      <c r="F608" s="10" t="inlineStr">
        <is>
          <t>Entsorgung</t>
        </is>
      </c>
      <c r="G608" s="12" t="n">
        <v>0.183</v>
      </c>
      <c r="H608" s="13" t="n">
        <v>2214</v>
      </c>
      <c r="I608" s="13" t="n">
        <v>4913</v>
      </c>
      <c r="J608" s="13" t="n">
        <v>9202</v>
      </c>
      <c r="K608" s="14">
        <f>IF(OR(COUNT(G608:J608)&lt;&gt;4,G608&lt;0,G608&gt;1,H608&gt;I608,I608&gt;J608),"n.a.",ROUND(G608*(H608+4*I608+J608)/6+0.00000001,2))</f>
        <v/>
      </c>
      <c r="L608" s="13" t="n">
        <v>0</v>
      </c>
      <c r="M608" s="14">
        <f>SUMIFS(Maßnahmen!$I$7:$I$126,Maßnahmen!$D$7:$D$126,C608,Maßnahmen!$H$7:$H$126,"&lt;&gt;verworfen")</f>
        <v/>
      </c>
      <c r="N608" s="14">
        <f>IF(ISNUMBER(K608),MAX(0,K608-L608-M608),"n.a.")</f>
        <v/>
      </c>
      <c r="O608" s="14" t="n">
        <v>947.5700000000001</v>
      </c>
      <c r="P608" s="14">
        <f>IF(ISNUMBER(K608),K608-O608,"n.a.")</f>
        <v/>
      </c>
    </row>
    <row r="609" ht="32" customHeight="1">
      <c r="C609" s="10" t="inlineStr">
        <is>
          <t>PRJ-4f8e93b9-RK-04</t>
        </is>
      </c>
      <c r="D609" s="10" t="inlineStr">
        <is>
          <t>P4102307442</t>
        </is>
      </c>
      <c r="E609" s="11" t="inlineStr">
        <is>
          <t>Baustofftrennung / Aufbereitung nicht wie geplant</t>
        </is>
      </c>
      <c r="F609" s="10" t="inlineStr">
        <is>
          <t>Entsorgung</t>
        </is>
      </c>
      <c r="G609" s="12" t="n">
        <v>0.08</v>
      </c>
      <c r="H609" s="13" t="n">
        <v>346</v>
      </c>
      <c r="I609" s="13" t="n">
        <v>692</v>
      </c>
      <c r="J609" s="13" t="n">
        <v>1384</v>
      </c>
      <c r="K609" s="14">
        <f>IF(OR(COUNT(G609:J609)&lt;&gt;4,G609&lt;0,G609&gt;1,H609&gt;I609,I609&gt;J609),"n.a.",ROUND(G609*(H609+4*I609+J609)/6+0.00000001,2))</f>
        <v/>
      </c>
      <c r="L609" s="13" t="n">
        <v>0</v>
      </c>
      <c r="M609" s="14">
        <f>SUMIFS(Maßnahmen!$I$7:$I$126,Maßnahmen!$D$7:$D$126,C609,Maßnahmen!$H$7:$H$126,"&lt;&gt;verworfen")</f>
        <v/>
      </c>
      <c r="N609" s="14">
        <f>IF(ISNUMBER(K609),MAX(0,K609-L609-M609),"n.a.")</f>
        <v/>
      </c>
      <c r="O609" s="14" t="n">
        <v>59.97</v>
      </c>
      <c r="P609" s="14">
        <f>IF(ISNUMBER(K609),K609-O609,"n.a.")</f>
        <v/>
      </c>
    </row>
    <row r="610" ht="32" customHeight="1">
      <c r="C610" s="10" t="inlineStr">
        <is>
          <t>PRJ-4f8e93b9-RK-05</t>
        </is>
      </c>
      <c r="D610" s="10" t="inlineStr">
        <is>
          <t>P4102307442</t>
        </is>
      </c>
      <c r="E610" s="11" t="inlineStr">
        <is>
          <t>Unbekannte Bauwerkskonstruktion / fehlende Pläne</t>
        </is>
      </c>
      <c r="F610" s="10" t="inlineStr">
        <is>
          <t>Statik</t>
        </is>
      </c>
      <c r="G610" s="12" t="n">
        <v>0.12</v>
      </c>
      <c r="H610" s="13" t="n">
        <v>2863</v>
      </c>
      <c r="I610" s="13" t="n">
        <v>5695</v>
      </c>
      <c r="J610" s="13" t="n">
        <v>10633</v>
      </c>
      <c r="K610" s="14">
        <f>IF(OR(COUNT(G610:J610)&lt;&gt;4,G610&lt;0,G610&gt;1,H610&gt;I610,I610&gt;J610),"n.a.",ROUND(G610*(H610+4*I610+J610)/6+0.00000001,2))</f>
        <v/>
      </c>
      <c r="L610" s="13" t="n">
        <v>0</v>
      </c>
      <c r="M610" s="14">
        <f>SUMIFS(Maßnahmen!$I$7:$I$126,Maßnahmen!$D$7:$D$126,C610,Maßnahmen!$H$7:$H$126,"&lt;&gt;verworfen")</f>
        <v/>
      </c>
      <c r="N610" s="14">
        <f>IF(ISNUMBER(K610),MAX(0,K610-L610-M610),"n.a.")</f>
        <v/>
      </c>
      <c r="O610" s="14" t="n">
        <v>725.52</v>
      </c>
      <c r="P610" s="14">
        <f>IF(ISNUMBER(K610),K610-O610,"n.a.")</f>
        <v/>
      </c>
    </row>
    <row r="611" ht="32" customHeight="1">
      <c r="C611" s="10" t="inlineStr">
        <is>
          <t>PRJ-4f8e93b9-RK-06</t>
        </is>
      </c>
      <c r="D611" s="10" t="inlineStr">
        <is>
          <t>P4102307442</t>
        </is>
      </c>
      <c r="E611" s="11" t="inlineStr">
        <is>
          <t>Statik / Einsturzsicherung während Abbruch</t>
        </is>
      </c>
      <c r="F611" s="10" t="inlineStr">
        <is>
          <t>Statik</t>
        </is>
      </c>
      <c r="G611" s="12" t="n">
        <v>0.255</v>
      </c>
      <c r="H611" s="13" t="n">
        <v>2698</v>
      </c>
      <c r="I611" s="13" t="n">
        <v>5881</v>
      </c>
      <c r="J611" s="13" t="n">
        <v>11347</v>
      </c>
      <c r="K611" s="14">
        <f>IF(OR(COUNT(G611:J611)&lt;&gt;4,G611&lt;0,G611&gt;1,H611&gt;I611,I611&gt;J611),"n.a.",ROUND(G611*(H611+4*I611+J611)/6+0.00000001,2))</f>
        <v/>
      </c>
      <c r="L611" s="13" t="n">
        <v>0</v>
      </c>
      <c r="M611" s="14">
        <f>SUMIFS(Maßnahmen!$I$7:$I$126,Maßnahmen!$D$7:$D$126,C611,Maßnahmen!$H$7:$H$126,"&lt;&gt;verworfen")</f>
        <v/>
      </c>
      <c r="N611" s="14">
        <f>IF(ISNUMBER(K611),MAX(0,K611-L611-M611),"n.a.")</f>
        <v/>
      </c>
      <c r="O611" s="14" t="n">
        <v>1596.68</v>
      </c>
      <c r="P611" s="14">
        <f>IF(ISNUMBER(K611),K611-O611,"n.a.")</f>
        <v/>
      </c>
    </row>
    <row r="612" ht="32" customHeight="1">
      <c r="C612" s="10" t="inlineStr">
        <is>
          <t>PRJ-4f8e93b9-RK-07</t>
        </is>
      </c>
      <c r="D612" s="10" t="inlineStr">
        <is>
          <t>P4102307442</t>
        </is>
      </c>
      <c r="E612" s="11" t="inlineStr">
        <is>
          <t>Unterirdische Tragkonstruktion / Fundamente</t>
        </is>
      </c>
      <c r="F612" s="10" t="inlineStr">
        <is>
          <t>Statik</t>
        </is>
      </c>
      <c r="G612" s="12" t="n">
        <v>0.5</v>
      </c>
      <c r="H612" s="13" t="n">
        <v>554</v>
      </c>
      <c r="I612" s="13" t="n">
        <v>1716</v>
      </c>
      <c r="J612" s="13" t="n">
        <v>4082</v>
      </c>
      <c r="K612" s="14">
        <f>IF(OR(COUNT(G612:J612)&lt;&gt;4,G612&lt;0,G612&gt;1,H612&gt;I612,I612&gt;J612),"n.a.",ROUND(G612*(H612+4*I612+J612)/6+0.00000001,2))</f>
        <v/>
      </c>
      <c r="L612" s="13" t="n">
        <v>0</v>
      </c>
      <c r="M612" s="14">
        <f>SUMIFS(Maßnahmen!$I$7:$I$126,Maßnahmen!$D$7:$D$126,C612,Maßnahmen!$H$7:$H$126,"&lt;&gt;verworfen")</f>
        <v/>
      </c>
      <c r="N612" s="14">
        <f>IF(ISNUMBER(K612),MAX(0,K612-L612-M612),"n.a.")</f>
        <v/>
      </c>
      <c r="O612" s="14" t="n">
        <v>958.33</v>
      </c>
      <c r="P612" s="14">
        <f>IF(ISNUMBER(K612),K612-O612,"n.a.")</f>
        <v/>
      </c>
    </row>
    <row r="613" ht="32" customHeight="1">
      <c r="C613" s="10" t="inlineStr">
        <is>
          <t>PRJ-4f8e93b9-RK-08</t>
        </is>
      </c>
      <c r="D613" s="10" t="inlineStr">
        <is>
          <t>P4102307442</t>
        </is>
      </c>
      <c r="E613" s="11" t="inlineStr">
        <is>
          <t>Gebäudehöhe &gt;22 m / Longfront-Bagger (+130–150 %)</t>
        </is>
      </c>
      <c r="F613" s="10" t="inlineStr">
        <is>
          <t>Termin</t>
        </is>
      </c>
      <c r="G613" s="12" t="n">
        <v>0.574</v>
      </c>
      <c r="H613" s="13" t="n">
        <v>5869</v>
      </c>
      <c r="I613" s="13" t="n">
        <v>11782</v>
      </c>
      <c r="J613" s="13" t="n">
        <v>22270</v>
      </c>
      <c r="K613" s="14">
        <f>IF(OR(COUNT(G613:J613)&lt;&gt;4,G613&lt;0,G613&gt;1,H613&gt;I613,I613&gt;J613),"n.a.",ROUND(G613*(H613+4*I613+J613)/6+0.00000001,2))</f>
        <v/>
      </c>
      <c r="L613" s="13" t="n">
        <v>0</v>
      </c>
      <c r="M613" s="14">
        <f>SUMIFS(Maßnahmen!$I$7:$I$126,Maßnahmen!$D$7:$D$126,C613,Maßnahmen!$H$7:$H$126,"&lt;&gt;verworfen")</f>
        <v/>
      </c>
      <c r="N613" s="14">
        <f>IF(ISNUMBER(K613),MAX(0,K613-L613-M613),"n.a.")</f>
        <v/>
      </c>
      <c r="O613" s="14" t="n">
        <v>7200.54</v>
      </c>
      <c r="P613" s="14">
        <f>IF(ISNUMBER(K613),K613-O613,"n.a.")</f>
        <v/>
      </c>
    </row>
    <row r="614" ht="32" customHeight="1">
      <c r="C614" s="10" t="inlineStr">
        <is>
          <t>PRJ-4f8e93b9-RK-09</t>
        </is>
      </c>
      <c r="D614" s="10" t="inlineStr">
        <is>
          <t>P4102307442</t>
        </is>
      </c>
      <c r="E614" s="11" t="inlineStr">
        <is>
          <t>Beennte Lage / nur Handabbruch möglich</t>
        </is>
      </c>
      <c r="F614" s="10" t="inlineStr">
        <is>
          <t>Termin</t>
        </is>
      </c>
      <c r="G614" s="12" t="n">
        <v>0.153</v>
      </c>
      <c r="H614" s="13" t="n">
        <v>585</v>
      </c>
      <c r="I614" s="13" t="n">
        <v>1448</v>
      </c>
      <c r="J614" s="13" t="n">
        <v>3587</v>
      </c>
      <c r="K614" s="14">
        <f>IF(OR(COUNT(G614:J614)&lt;&gt;4,G614&lt;0,G614&gt;1,H614&gt;I614,I614&gt;J614),"n.a.",ROUND(G614*(H614+4*I614+J614)/6+0.00000001,2))</f>
        <v/>
      </c>
      <c r="L614" s="13" t="n">
        <v>0</v>
      </c>
      <c r="M614" s="14">
        <f>SUMIFS(Maßnahmen!$I$7:$I$126,Maßnahmen!$D$7:$D$126,C614,Maßnahmen!$H$7:$H$126,"&lt;&gt;verworfen")</f>
        <v/>
      </c>
      <c r="N614" s="14">
        <f>IF(ISNUMBER(K614),MAX(0,K614-L614-M614),"n.a.")</f>
        <v/>
      </c>
      <c r="O614" s="14" t="n">
        <v>254.08</v>
      </c>
      <c r="P614" s="14">
        <f>IF(ISNUMBER(K614),K614-O614,"n.a.")</f>
        <v/>
      </c>
    </row>
    <row r="615" ht="32" customHeight="1">
      <c r="C615" s="10" t="inlineStr">
        <is>
          <t>PRJ-4f8e93b9-RK-10</t>
        </is>
      </c>
      <c r="D615" s="10" t="inlineStr">
        <is>
          <t>P4102307442</t>
        </is>
      </c>
      <c r="E615" s="11" t="inlineStr">
        <is>
          <t>Terminvorgabe Auftraggeber / Geräteauslastung</t>
        </is>
      </c>
      <c r="F615" s="10" t="inlineStr">
        <is>
          <t>Termin</t>
        </is>
      </c>
      <c r="G615" s="12" t="n">
        <v>0.08</v>
      </c>
      <c r="H615" s="13" t="n">
        <v>346</v>
      </c>
      <c r="I615" s="13" t="n">
        <v>692</v>
      </c>
      <c r="J615" s="13" t="n">
        <v>1384</v>
      </c>
      <c r="K615" s="14">
        <f>IF(OR(COUNT(G615:J615)&lt;&gt;4,G615&lt;0,G615&gt;1,H615&gt;I615,I615&gt;J615),"n.a.",ROUND(G615*(H615+4*I615+J615)/6+0.00000001,2))</f>
        <v/>
      </c>
      <c r="L615" s="13" t="n">
        <v>0</v>
      </c>
      <c r="M615" s="14">
        <f>SUMIFS(Maßnahmen!$I$7:$I$126,Maßnahmen!$D$7:$D$126,C615,Maßnahmen!$H$7:$H$126,"&lt;&gt;verworfen")</f>
        <v/>
      </c>
      <c r="N615" s="14">
        <f>IF(ISNUMBER(K615),MAX(0,K615-L615-M615),"n.a.")</f>
        <v/>
      </c>
      <c r="O615" s="14" t="n">
        <v>59.97</v>
      </c>
      <c r="P615" s="14">
        <f>IF(ISNUMBER(K615),K615-O615,"n.a.")</f>
        <v/>
      </c>
    </row>
    <row r="616" ht="32" customHeight="1">
      <c r="C616" s="10" t="inlineStr">
        <is>
          <t>PRJ-4f8e93b9-RK-11</t>
        </is>
      </c>
      <c r="D616" s="10" t="inlineStr">
        <is>
          <t>P4102307442</t>
        </is>
      </c>
      <c r="E616" s="11" t="inlineStr">
        <is>
          <t>Witterung / Ablaufstörung</t>
        </is>
      </c>
      <c r="F616" s="10" t="inlineStr">
        <is>
          <t>Termin</t>
        </is>
      </c>
      <c r="G616" s="12" t="n">
        <v>0.55</v>
      </c>
      <c r="H616" s="13" t="n">
        <v>9924</v>
      </c>
      <c r="I616" s="13" t="n">
        <v>15924</v>
      </c>
      <c r="J616" s="13" t="n">
        <v>31848</v>
      </c>
      <c r="K616" s="14">
        <f>IF(OR(COUNT(G616:J616)&lt;&gt;4,G616&lt;0,G616&gt;1,H616&gt;I616,I616&gt;J616),"n.a.",ROUND(G616*(H616+4*I616+J616)/6+0.00000001,2))</f>
        <v/>
      </c>
      <c r="L616" s="13" t="n">
        <v>0</v>
      </c>
      <c r="M616" s="14">
        <f>SUMIFS(Maßnahmen!$I$7:$I$126,Maßnahmen!$D$7:$D$126,C616,Maßnahmen!$H$7:$H$126,"&lt;&gt;verworfen")</f>
        <v/>
      </c>
      <c r="N616" s="14">
        <f>IF(ISNUMBER(K616),MAX(0,K616-L616-M616),"n.a.")</f>
        <v/>
      </c>
      <c r="O616" s="14" t="n">
        <v>9667.9</v>
      </c>
      <c r="P616" s="14">
        <f>IF(ISNUMBER(K616),K616-O616,"n.a.")</f>
        <v/>
      </c>
    </row>
    <row r="617" ht="32" customHeight="1">
      <c r="C617" s="10" t="inlineStr">
        <is>
          <t>PRJ-4f8e93b9-RK-12</t>
        </is>
      </c>
      <c r="D617" s="10" t="inlineStr">
        <is>
          <t>P4102307442</t>
        </is>
      </c>
      <c r="E617" s="11" t="inlineStr">
        <is>
          <t>Staubemissionen (höchster Aufwand laut Umfrage)</t>
        </is>
      </c>
      <c r="F617" s="10" t="inlineStr">
        <is>
          <t>Emissionen</t>
        </is>
      </c>
      <c r="G617" s="12" t="n">
        <v>0.1</v>
      </c>
      <c r="H617" s="13" t="n">
        <v>2075</v>
      </c>
      <c r="I617" s="13" t="n">
        <v>4151</v>
      </c>
      <c r="J617" s="13" t="n">
        <v>8302</v>
      </c>
      <c r="K617" s="14">
        <f>IF(OR(COUNT(G617:J617)&lt;&gt;4,G617&lt;0,G617&gt;1,H617&gt;I617,I617&gt;J617),"n.a.",ROUND(G617*(H617+4*I617+J617)/6+0.00000001,2))</f>
        <v/>
      </c>
      <c r="L617" s="13" t="n">
        <v>0</v>
      </c>
      <c r="M617" s="14">
        <f>SUMIFS(Maßnahmen!$I$7:$I$126,Maßnahmen!$D$7:$D$126,C617,Maßnahmen!$H$7:$H$126,"&lt;&gt;verworfen")</f>
        <v/>
      </c>
      <c r="N617" s="14">
        <f>IF(ISNUMBER(K617),MAX(0,K617-L617-M617),"n.a.")</f>
        <v/>
      </c>
      <c r="O617" s="14" t="n">
        <v>449.68</v>
      </c>
      <c r="P617" s="14">
        <f>IF(ISNUMBER(K617),K617-O617,"n.a.")</f>
        <v/>
      </c>
    </row>
    <row r="618" ht="32" customHeight="1">
      <c r="C618" s="10" t="inlineStr">
        <is>
          <t>PRJ-4f8e93b9-RK-13</t>
        </is>
      </c>
      <c r="D618" s="10" t="inlineStr">
        <is>
          <t>P4102307442</t>
        </is>
      </c>
      <c r="E618" s="11" t="inlineStr">
        <is>
          <t>Lärm- und Erschütterungsauflagen</t>
        </is>
      </c>
      <c r="F618" s="10" t="inlineStr">
        <is>
          <t>Emissionen</t>
        </is>
      </c>
      <c r="G618" s="12" t="n">
        <v>0.205</v>
      </c>
      <c r="H618" s="13" t="n">
        <v>1460</v>
      </c>
      <c r="I618" s="13" t="n">
        <v>3600</v>
      </c>
      <c r="J618" s="13" t="n">
        <v>7161</v>
      </c>
      <c r="K618" s="14">
        <f>IF(OR(COUNT(G618:J618)&lt;&gt;4,G618&lt;0,G618&gt;1,H618&gt;I618,I618&gt;J618),"n.a.",ROUND(G618*(H618+4*I618+J618)/6+0.00000001,2))</f>
        <v/>
      </c>
      <c r="L618" s="13" t="n">
        <v>0</v>
      </c>
      <c r="M618" s="14">
        <f>SUMIFS(Maßnahmen!$I$7:$I$126,Maßnahmen!$D$7:$D$126,C618,Maßnahmen!$H$7:$H$126,"&lt;&gt;verworfen")</f>
        <v/>
      </c>
      <c r="N618" s="14">
        <f>IF(ISNUMBER(K618),MAX(0,K618-L618-M618),"n.a.")</f>
        <v/>
      </c>
      <c r="O618" s="14" t="n">
        <v>786.55</v>
      </c>
      <c r="P618" s="14">
        <f>IF(ISNUMBER(K618),K618-O618,"n.a.")</f>
        <v/>
      </c>
    </row>
    <row r="619" ht="32" customHeight="1">
      <c r="C619" s="10" t="inlineStr">
        <is>
          <t>PRJ-4f8e93b9-RK-14</t>
        </is>
      </c>
      <c r="D619" s="10" t="inlineStr">
        <is>
          <t>P4102307442</t>
        </is>
      </c>
      <c r="E619" s="11" t="inlineStr">
        <is>
          <t>Rechtliche Auflagen / Entsorgungsnachweise (Formalismus)</t>
        </is>
      </c>
      <c r="F619" s="10" t="inlineStr">
        <is>
          <t>Genehmigung</t>
        </is>
      </c>
      <c r="G619" s="12" t="n">
        <v>0.4</v>
      </c>
      <c r="H619" s="13" t="n">
        <v>6215</v>
      </c>
      <c r="I619" s="13" t="n">
        <v>12128</v>
      </c>
      <c r="J619" s="13" t="n">
        <v>22962</v>
      </c>
      <c r="K619" s="14">
        <f>IF(OR(COUNT(G619:J619)&lt;&gt;4,G619&lt;0,G619&gt;1,H619&gt;I619,I619&gt;J619),"n.a.",ROUND(G619*(H619+4*I619+J619)/6+0.00000001,2))</f>
        <v/>
      </c>
      <c r="L619" s="13" t="n">
        <v>0</v>
      </c>
      <c r="M619" s="14">
        <f>SUMIFS(Maßnahmen!$I$7:$I$126,Maßnahmen!$D$7:$D$126,C619,Maßnahmen!$H$7:$H$126,"&lt;&gt;verworfen")</f>
        <v/>
      </c>
      <c r="N619" s="14">
        <f>IF(ISNUMBER(K619),MAX(0,K619-L619-M619),"n.a.")</f>
        <v/>
      </c>
      <c r="O619" s="14" t="n">
        <v>5179.27</v>
      </c>
      <c r="P619" s="14">
        <f>IF(ISNUMBER(K619),K619-O619,"n.a.")</f>
        <v/>
      </c>
    </row>
    <row r="620" ht="32" customHeight="1">
      <c r="C620" s="10" t="inlineStr">
        <is>
          <t>PRJ-4f8e93b9-RK-15</t>
        </is>
      </c>
      <c r="D620" s="10" t="inlineStr">
        <is>
          <t>P4102307442</t>
        </is>
      </c>
      <c r="E620" s="11" t="inlineStr">
        <is>
          <t>Konjunktur / Sekundärstoffpreise &amp; Gerätemiete</t>
        </is>
      </c>
      <c r="F620" s="10" t="inlineStr">
        <is>
          <t>Markt</t>
        </is>
      </c>
      <c r="G620" s="12" t="n">
        <v>0.387</v>
      </c>
      <c r="H620" s="13" t="n">
        <v>9786</v>
      </c>
      <c r="I620" s="13" t="n">
        <v>12463</v>
      </c>
      <c r="J620" s="13" t="n">
        <v>26540</v>
      </c>
      <c r="K620" s="14">
        <f>IF(OR(COUNT(G620:J620)&lt;&gt;4,G620&lt;0,G620&gt;1,H620&gt;I620,I620&gt;J620),"n.a.",ROUND(G620*(H620+4*I620+J620)/6+0.00000001,2))</f>
        <v/>
      </c>
      <c r="L620" s="13" t="n">
        <v>0</v>
      </c>
      <c r="M620" s="14">
        <f>SUMIFS(Maßnahmen!$I$7:$I$126,Maßnahmen!$D$7:$D$126,C620,Maßnahmen!$H$7:$H$126,"&lt;&gt;verworfen")</f>
        <v/>
      </c>
      <c r="N620" s="14">
        <f>IF(ISNUMBER(K620),MAX(0,K620-L620-M620),"n.a.")</f>
        <v/>
      </c>
      <c r="O620" s="14" t="n">
        <v>5558.48</v>
      </c>
      <c r="P620" s="14">
        <f>IF(ISNUMBER(K620),K620-O620,"n.a.")</f>
        <v/>
      </c>
    </row>
    <row r="621" ht="32" customHeight="1">
      <c r="C621" s="10" t="inlineStr">
        <is>
          <t>PRJ-38307c8d-RK-01</t>
        </is>
      </c>
      <c r="D621" s="10" t="inlineStr">
        <is>
          <t>W4102604612</t>
        </is>
      </c>
      <c r="E621" s="11" t="inlineStr">
        <is>
          <t>Schadstofffund / Schadstoffsanierung (Asbest, PAK, PCB, PCP)</t>
        </is>
      </c>
      <c r="F621" s="10" t="inlineStr">
        <is>
          <t>Schadstoffe</t>
        </is>
      </c>
      <c r="G621" s="12" t="n">
        <v>0.1</v>
      </c>
      <c r="H621" s="13" t="n">
        <v>20</v>
      </c>
      <c r="I621" s="13" t="n">
        <v>50</v>
      </c>
      <c r="J621" s="13" t="n">
        <v>100</v>
      </c>
      <c r="K621" s="14">
        <f>IF(OR(COUNT(G621:J621)&lt;&gt;4,G621&lt;0,G621&gt;1,H621&gt;I621,I621&gt;J621),"n.a.",ROUND(G621*(H621+4*I621+J621)/6+0.00000001,2))</f>
        <v/>
      </c>
      <c r="L621" s="13" t="n">
        <v>0</v>
      </c>
      <c r="M621" s="14">
        <f>SUMIFS(Maßnahmen!$I$7:$I$126,Maßnahmen!$D$7:$D$126,C621,Maßnahmen!$H$7:$H$126,"&lt;&gt;verworfen")</f>
        <v/>
      </c>
      <c r="N621" s="14">
        <f>IF(ISNUMBER(K621),MAX(0,K621-L621-M621),"n.a.")</f>
        <v/>
      </c>
      <c r="O621" s="14" t="n">
        <v>5.33</v>
      </c>
      <c r="P621" s="14">
        <f>IF(ISNUMBER(K621),K621-O621,"n.a.")</f>
        <v/>
      </c>
    </row>
    <row r="622" ht="32" customHeight="1">
      <c r="C622" s="10" t="inlineStr">
        <is>
          <t>PRJ-38307c8d-RK-02</t>
        </is>
      </c>
      <c r="D622" s="10" t="inlineStr">
        <is>
          <t>W4102604612</t>
        </is>
      </c>
      <c r="E622" s="11" t="inlineStr">
        <is>
          <t>Arbeitsschutz kontaminierte Bereiche (TRGS 524)</t>
        </is>
      </c>
      <c r="F622" s="10" t="inlineStr">
        <is>
          <t>Schadstoffe</t>
        </is>
      </c>
      <c r="G622" s="12" t="n">
        <v>0.47</v>
      </c>
      <c r="H622" s="13" t="n">
        <v>20</v>
      </c>
      <c r="I622" s="13" t="n">
        <v>50</v>
      </c>
      <c r="J622" s="13" t="n">
        <v>100</v>
      </c>
      <c r="K622" s="14">
        <f>IF(OR(COUNT(G622:J622)&lt;&gt;4,G622&lt;0,G622&gt;1,H622&gt;I622,I622&gt;J622),"n.a.",ROUND(G622*(H622+4*I622+J622)/6+0.00000001,2))</f>
        <v/>
      </c>
      <c r="L622" s="13" t="n">
        <v>0</v>
      </c>
      <c r="M622" s="14">
        <f>SUMIFS(Maßnahmen!$I$7:$I$126,Maßnahmen!$D$7:$D$126,C622,Maßnahmen!$H$7:$H$126,"&lt;&gt;verworfen")</f>
        <v/>
      </c>
      <c r="N622" s="14">
        <f>IF(ISNUMBER(K622),MAX(0,K622-L622-M622),"n.a.")</f>
        <v/>
      </c>
      <c r="O622" s="14" t="n">
        <v>25.07</v>
      </c>
      <c r="P622" s="14">
        <f>IF(ISNUMBER(K622),K622-O622,"n.a.")</f>
        <v/>
      </c>
    </row>
    <row r="623" ht="32" customHeight="1">
      <c r="C623" s="10" t="inlineStr">
        <is>
          <t>PRJ-38307c8d-RK-03</t>
        </is>
      </c>
      <c r="D623" s="10" t="inlineStr">
        <is>
          <t>W4102604612</t>
        </is>
      </c>
      <c r="E623" s="11" t="inlineStr">
        <is>
          <t>Entsorgungs-Mehrkosten / Entsorgungswege</t>
        </is>
      </c>
      <c r="F623" s="10" t="inlineStr">
        <is>
          <t>Entsorgung</t>
        </is>
      </c>
      <c r="G623" s="12" t="n">
        <v>0.15</v>
      </c>
      <c r="H623" s="13" t="n">
        <v>20</v>
      </c>
      <c r="I623" s="13" t="n">
        <v>50</v>
      </c>
      <c r="J623" s="13" t="n">
        <v>100</v>
      </c>
      <c r="K623" s="14">
        <f>IF(OR(COUNT(G623:J623)&lt;&gt;4,G623&lt;0,G623&gt;1,H623&gt;I623,I623&gt;J623),"n.a.",ROUND(G623*(H623+4*I623+J623)/6+0.00000001,2))</f>
        <v/>
      </c>
      <c r="L623" s="13" t="n">
        <v>0</v>
      </c>
      <c r="M623" s="14">
        <f>SUMIFS(Maßnahmen!$I$7:$I$126,Maßnahmen!$D$7:$D$126,C623,Maßnahmen!$H$7:$H$126,"&lt;&gt;verworfen")</f>
        <v/>
      </c>
      <c r="N623" s="14">
        <f>IF(ISNUMBER(K623),MAX(0,K623-L623-M623),"n.a.")</f>
        <v/>
      </c>
      <c r="O623" s="14" t="n">
        <v>8</v>
      </c>
      <c r="P623" s="14">
        <f>IF(ISNUMBER(K623),K623-O623,"n.a.")</f>
        <v/>
      </c>
    </row>
    <row r="624" ht="32" customHeight="1">
      <c r="C624" s="10" t="inlineStr">
        <is>
          <t>PRJ-38307c8d-RK-04</t>
        </is>
      </c>
      <c r="D624" s="10" t="inlineStr">
        <is>
          <t>W4102604612</t>
        </is>
      </c>
      <c r="E624" s="11" t="inlineStr">
        <is>
          <t>Baustofftrennung / Aufbereitung nicht wie geplant</t>
        </is>
      </c>
      <c r="F624" s="10" t="inlineStr">
        <is>
          <t>Entsorgung</t>
        </is>
      </c>
      <c r="G624" s="12" t="n">
        <v>0.1</v>
      </c>
      <c r="H624" s="13" t="n">
        <v>20</v>
      </c>
      <c r="I624" s="13" t="n">
        <v>50</v>
      </c>
      <c r="J624" s="13" t="n">
        <v>100</v>
      </c>
      <c r="K624" s="14">
        <f>IF(OR(COUNT(G624:J624)&lt;&gt;4,G624&lt;0,G624&gt;1,H624&gt;I624,I624&gt;J624),"n.a.",ROUND(G624*(H624+4*I624+J624)/6+0.00000001,2))</f>
        <v/>
      </c>
      <c r="L624" s="13" t="n">
        <v>0</v>
      </c>
      <c r="M624" s="14">
        <f>SUMIFS(Maßnahmen!$I$7:$I$126,Maßnahmen!$D$7:$D$126,C624,Maßnahmen!$H$7:$H$126,"&lt;&gt;verworfen")</f>
        <v/>
      </c>
      <c r="N624" s="14">
        <f>IF(ISNUMBER(K624),MAX(0,K624-L624-M624),"n.a.")</f>
        <v/>
      </c>
      <c r="O624" s="14" t="n">
        <v>5.33</v>
      </c>
      <c r="P624" s="14">
        <f>IF(ISNUMBER(K624),K624-O624,"n.a.")</f>
        <v/>
      </c>
    </row>
    <row r="625" ht="32" customHeight="1">
      <c r="C625" s="10" t="inlineStr">
        <is>
          <t>PRJ-38307c8d-RK-05</t>
        </is>
      </c>
      <c r="D625" s="10" t="inlineStr">
        <is>
          <t>W4102604612</t>
        </is>
      </c>
      <c r="E625" s="11" t="inlineStr">
        <is>
          <t>Unbekannte Bauwerkskonstruktion / fehlende Pläne</t>
        </is>
      </c>
      <c r="F625" s="10" t="inlineStr">
        <is>
          <t>Statik</t>
        </is>
      </c>
      <c r="G625" s="12" t="n">
        <v>0.12</v>
      </c>
      <c r="H625" s="13" t="n">
        <v>40</v>
      </c>
      <c r="I625" s="13" t="n">
        <v>80</v>
      </c>
      <c r="J625" s="13" t="n">
        <v>150</v>
      </c>
      <c r="K625" s="14">
        <f>IF(OR(COUNT(G625:J625)&lt;&gt;4,G625&lt;0,G625&gt;1,H625&gt;I625,I625&gt;J625),"n.a.",ROUND(G625*(H625+4*I625+J625)/6+0.00000001,2))</f>
        <v/>
      </c>
      <c r="L625" s="13" t="n">
        <v>0</v>
      </c>
      <c r="M625" s="14">
        <f>SUMIFS(Maßnahmen!$I$7:$I$126,Maßnahmen!$D$7:$D$126,C625,Maßnahmen!$H$7:$H$126,"&lt;&gt;verworfen")</f>
        <v/>
      </c>
      <c r="N625" s="14">
        <f>IF(ISNUMBER(K625),MAX(0,K625-L625-M625),"n.a.")</f>
        <v/>
      </c>
      <c r="O625" s="14" t="n">
        <v>10.2</v>
      </c>
      <c r="P625" s="14">
        <f>IF(ISNUMBER(K625),K625-O625,"n.a.")</f>
        <v/>
      </c>
    </row>
    <row r="626" ht="32" customHeight="1">
      <c r="C626" s="10" t="inlineStr">
        <is>
          <t>PRJ-38307c8d-RK-06</t>
        </is>
      </c>
      <c r="D626" s="10" t="inlineStr">
        <is>
          <t>W4102604612</t>
        </is>
      </c>
      <c r="E626" s="11" t="inlineStr">
        <is>
          <t>Statik / Einsturzsicherung während Abbruch</t>
        </is>
      </c>
      <c r="F626" s="10" t="inlineStr">
        <is>
          <t>Statik</t>
        </is>
      </c>
      <c r="G626" s="12" t="n">
        <v>0.12</v>
      </c>
      <c r="H626" s="13" t="n">
        <v>30</v>
      </c>
      <c r="I626" s="13" t="n">
        <v>70</v>
      </c>
      <c r="J626" s="13" t="n">
        <v>140</v>
      </c>
      <c r="K626" s="14">
        <f>IF(OR(COUNT(G626:J626)&lt;&gt;4,G626&lt;0,G626&gt;1,H626&gt;I626,I626&gt;J626),"n.a.",ROUND(G626*(H626+4*I626+J626)/6+0.00000001,2))</f>
        <v/>
      </c>
      <c r="L626" s="13" t="n">
        <v>0</v>
      </c>
      <c r="M626" s="14">
        <f>SUMIFS(Maßnahmen!$I$7:$I$126,Maßnahmen!$D$7:$D$126,C626,Maßnahmen!$H$7:$H$126,"&lt;&gt;verworfen")</f>
        <v/>
      </c>
      <c r="N626" s="14">
        <f>IF(ISNUMBER(K626),MAX(0,K626-L626-M626),"n.a.")</f>
        <v/>
      </c>
      <c r="O626" s="14" t="n">
        <v>9</v>
      </c>
      <c r="P626" s="14">
        <f>IF(ISNUMBER(K626),K626-O626,"n.a.")</f>
        <v/>
      </c>
    </row>
    <row r="627" ht="32" customHeight="1">
      <c r="C627" s="10" t="inlineStr">
        <is>
          <t>PRJ-38307c8d-RK-07</t>
        </is>
      </c>
      <c r="D627" s="10" t="inlineStr">
        <is>
          <t>W4102604612</t>
        </is>
      </c>
      <c r="E627" s="11" t="inlineStr">
        <is>
          <t>Unterirdische Tragkonstruktion / Fundamente</t>
        </is>
      </c>
      <c r="F627" s="10" t="inlineStr">
        <is>
          <t>Statik</t>
        </is>
      </c>
      <c r="G627" s="12" t="n">
        <v>0.5</v>
      </c>
      <c r="H627" s="13" t="n">
        <v>5</v>
      </c>
      <c r="I627" s="13" t="n">
        <v>20</v>
      </c>
      <c r="J627" s="13" t="n">
        <v>50</v>
      </c>
      <c r="K627" s="14">
        <f>IF(OR(COUNT(G627:J627)&lt;&gt;4,G627&lt;0,G627&gt;1,H627&gt;I627,I627&gt;J627),"n.a.",ROUND(G627*(H627+4*I627+J627)/6+0.00000001,2))</f>
        <v/>
      </c>
      <c r="L627" s="13" t="n">
        <v>0</v>
      </c>
      <c r="M627" s="14">
        <f>SUMIFS(Maßnahmen!$I$7:$I$126,Maßnahmen!$D$7:$D$126,C627,Maßnahmen!$H$7:$H$126,"&lt;&gt;verworfen")</f>
        <v/>
      </c>
      <c r="N627" s="14">
        <f>IF(ISNUMBER(K627),MAX(0,K627-L627-M627),"n.a.")</f>
        <v/>
      </c>
      <c r="O627" s="14" t="n">
        <v>11.25</v>
      </c>
      <c r="P627" s="14">
        <f>IF(ISNUMBER(K627),K627-O627,"n.a.")</f>
        <v/>
      </c>
    </row>
    <row r="628" ht="32" customHeight="1">
      <c r="C628" s="10" t="inlineStr">
        <is>
          <t>PRJ-38307c8d-RK-08</t>
        </is>
      </c>
      <c r="D628" s="10" t="inlineStr">
        <is>
          <t>W4102604612</t>
        </is>
      </c>
      <c r="E628" s="11" t="inlineStr">
        <is>
          <t>Gebäudehöhe &gt;22 m / Longfront-Bagger (+130–150 %)</t>
        </is>
      </c>
      <c r="F628" s="10" t="inlineStr">
        <is>
          <t>Termin</t>
        </is>
      </c>
      <c r="G628" s="12" t="n">
        <v>0.6</v>
      </c>
      <c r="H628" s="13" t="n">
        <v>90</v>
      </c>
      <c r="I628" s="13" t="n">
        <v>180</v>
      </c>
      <c r="J628" s="13" t="n">
        <v>340</v>
      </c>
      <c r="K628" s="14">
        <f>IF(OR(COUNT(G628:J628)&lt;&gt;4,G628&lt;0,G628&gt;1,H628&gt;I628,I628&gt;J628),"n.a.",ROUND(G628*(H628+4*I628+J628)/6+0.00000001,2))</f>
        <v/>
      </c>
      <c r="L628" s="13" t="n">
        <v>0</v>
      </c>
      <c r="M628" s="14">
        <f>SUMIFS(Maßnahmen!$I$7:$I$126,Maßnahmen!$D$7:$D$126,C628,Maßnahmen!$H$7:$H$126,"&lt;&gt;verworfen")</f>
        <v/>
      </c>
      <c r="N628" s="14">
        <f>IF(ISNUMBER(K628),MAX(0,K628-L628-M628),"n.a.")</f>
        <v/>
      </c>
      <c r="O628" s="14" t="n">
        <v>115</v>
      </c>
      <c r="P628" s="14">
        <f>IF(ISNUMBER(K628),K628-O628,"n.a.")</f>
        <v/>
      </c>
    </row>
    <row r="629" ht="32" customHeight="1">
      <c r="C629" s="10" t="inlineStr">
        <is>
          <t>PRJ-38307c8d-RK-09</t>
        </is>
      </c>
      <c r="D629" s="10" t="inlineStr">
        <is>
          <t>W4102604612</t>
        </is>
      </c>
      <c r="E629" s="11" t="inlineStr">
        <is>
          <t>Beennte Lage / nur Handabbruch möglich</t>
        </is>
      </c>
      <c r="F629" s="10" t="inlineStr">
        <is>
          <t>Termin</t>
        </is>
      </c>
      <c r="G629" s="12" t="n">
        <v>0.15</v>
      </c>
      <c r="H629" s="13" t="n">
        <v>8</v>
      </c>
      <c r="I629" s="13" t="n">
        <v>20</v>
      </c>
      <c r="J629" s="13" t="n">
        <v>50</v>
      </c>
      <c r="K629" s="14">
        <f>IF(OR(COUNT(G629:J629)&lt;&gt;4,G629&lt;0,G629&gt;1,H629&gt;I629,I629&gt;J629),"n.a.",ROUND(G629*(H629+4*I629+J629)/6+0.00000001,2))</f>
        <v/>
      </c>
      <c r="L629" s="13" t="n">
        <v>0</v>
      </c>
      <c r="M629" s="14">
        <f>SUMIFS(Maßnahmen!$I$7:$I$126,Maßnahmen!$D$7:$D$126,C629,Maßnahmen!$H$7:$H$126,"&lt;&gt;verworfen")</f>
        <v/>
      </c>
      <c r="N629" s="14">
        <f>IF(ISNUMBER(K629),MAX(0,K629-L629-M629),"n.a.")</f>
        <v/>
      </c>
      <c r="O629" s="14" t="n">
        <v>3.45</v>
      </c>
      <c r="P629" s="14">
        <f>IF(ISNUMBER(K629),K629-O629,"n.a.")</f>
        <v/>
      </c>
    </row>
    <row r="630" ht="32" customHeight="1">
      <c r="C630" s="10" t="inlineStr">
        <is>
          <t>PRJ-38307c8d-RK-10</t>
        </is>
      </c>
      <c r="D630" s="10" t="inlineStr">
        <is>
          <t>W4102604612</t>
        </is>
      </c>
      <c r="E630" s="11" t="inlineStr">
        <is>
          <t>Terminvorgabe Auftraggeber / Geräteauslastung</t>
        </is>
      </c>
      <c r="F630" s="10" t="inlineStr">
        <is>
          <t>Termin</t>
        </is>
      </c>
      <c r="G630" s="12" t="n">
        <v>0.1</v>
      </c>
      <c r="H630" s="13" t="n">
        <v>8</v>
      </c>
      <c r="I630" s="13" t="n">
        <v>20</v>
      </c>
      <c r="J630" s="13" t="n">
        <v>50</v>
      </c>
      <c r="K630" s="14">
        <f>IF(OR(COUNT(G630:J630)&lt;&gt;4,G630&lt;0,G630&gt;1,H630&gt;I630,I630&gt;J630),"n.a.",ROUND(G630*(H630+4*I630+J630)/6+0.00000001,2))</f>
        <v/>
      </c>
      <c r="L630" s="13" t="n">
        <v>0</v>
      </c>
      <c r="M630" s="14">
        <f>SUMIFS(Maßnahmen!$I$7:$I$126,Maßnahmen!$D$7:$D$126,C630,Maßnahmen!$H$7:$H$126,"&lt;&gt;verworfen")</f>
        <v/>
      </c>
      <c r="N630" s="14">
        <f>IF(ISNUMBER(K630),MAX(0,K630-L630-M630),"n.a.")</f>
        <v/>
      </c>
      <c r="O630" s="14" t="n">
        <v>2.3</v>
      </c>
      <c r="P630" s="14">
        <f>IF(ISNUMBER(K630),K630-O630,"n.a.")</f>
        <v/>
      </c>
    </row>
    <row r="631" ht="32" customHeight="1">
      <c r="C631" s="10" t="inlineStr">
        <is>
          <t>PRJ-38307c8d-RK-11</t>
        </is>
      </c>
      <c r="D631" s="10" t="inlineStr">
        <is>
          <t>W4102604612</t>
        </is>
      </c>
      <c r="E631" s="11" t="inlineStr">
        <is>
          <t>Witterung / Ablaufstörung</t>
        </is>
      </c>
      <c r="F631" s="10" t="inlineStr">
        <is>
          <t>Termin</t>
        </is>
      </c>
      <c r="G631" s="12" t="n">
        <v>0.25</v>
      </c>
      <c r="H631" s="13" t="n">
        <v>10</v>
      </c>
      <c r="I631" s="13" t="n">
        <v>30</v>
      </c>
      <c r="J631" s="13" t="n">
        <v>60</v>
      </c>
      <c r="K631" s="14">
        <f>IF(OR(COUNT(G631:J631)&lt;&gt;4,G631&lt;0,G631&gt;1,H631&gt;I631,I631&gt;J631),"n.a.",ROUND(G631*(H631+4*I631+J631)/6+0.00000001,2))</f>
        <v/>
      </c>
      <c r="L631" s="13" t="n">
        <v>0</v>
      </c>
      <c r="M631" s="14">
        <f>SUMIFS(Maßnahmen!$I$7:$I$126,Maßnahmen!$D$7:$D$126,C631,Maßnahmen!$H$7:$H$126,"&lt;&gt;verworfen")</f>
        <v/>
      </c>
      <c r="N631" s="14">
        <f>IF(ISNUMBER(K631),MAX(0,K631-L631-M631),"n.a.")</f>
        <v/>
      </c>
      <c r="O631" s="14" t="n">
        <v>7.92</v>
      </c>
      <c r="P631" s="14">
        <f>IF(ISNUMBER(K631),K631-O631,"n.a.")</f>
        <v/>
      </c>
    </row>
    <row r="632" ht="32" customHeight="1">
      <c r="C632" s="10" t="inlineStr">
        <is>
          <t>PRJ-38307c8d-RK-12</t>
        </is>
      </c>
      <c r="D632" s="10" t="inlineStr">
        <is>
          <t>W4102604612</t>
        </is>
      </c>
      <c r="E632" s="11" t="inlineStr">
        <is>
          <t>Staubemissionen (höchster Aufwand laut Umfrage)</t>
        </is>
      </c>
      <c r="F632" s="10" t="inlineStr">
        <is>
          <t>Emissionen</t>
        </is>
      </c>
      <c r="G632" s="12" t="n">
        <v>0.1</v>
      </c>
      <c r="H632" s="13" t="n">
        <v>30</v>
      </c>
      <c r="I632" s="13" t="n">
        <v>60</v>
      </c>
      <c r="J632" s="13" t="n">
        <v>120</v>
      </c>
      <c r="K632" s="14">
        <f>IF(OR(COUNT(G632:J632)&lt;&gt;4,G632&lt;0,G632&gt;1,H632&gt;I632,I632&gt;J632),"n.a.",ROUND(G632*(H632+4*I632+J632)/6+0.00000001,2))</f>
        <v/>
      </c>
      <c r="L632" s="13" t="n">
        <v>0</v>
      </c>
      <c r="M632" s="14">
        <f>SUMIFS(Maßnahmen!$I$7:$I$126,Maßnahmen!$D$7:$D$126,C632,Maßnahmen!$H$7:$H$126,"&lt;&gt;verworfen")</f>
        <v/>
      </c>
      <c r="N632" s="14">
        <f>IF(ISNUMBER(K632),MAX(0,K632-L632-M632),"n.a.")</f>
        <v/>
      </c>
      <c r="O632" s="14" t="n">
        <v>6.5</v>
      </c>
      <c r="P632" s="14">
        <f>IF(ISNUMBER(K632),K632-O632,"n.a.")</f>
        <v/>
      </c>
    </row>
    <row r="633" ht="32" customHeight="1">
      <c r="C633" s="10" t="inlineStr">
        <is>
          <t>PRJ-38307c8d-RK-13</t>
        </is>
      </c>
      <c r="D633" s="10" t="inlineStr">
        <is>
          <t>W4102604612</t>
        </is>
      </c>
      <c r="E633" s="11" t="inlineStr">
        <is>
          <t>Lärm- und Erschütterungsauflagen</t>
        </is>
      </c>
      <c r="F633" s="10" t="inlineStr">
        <is>
          <t>Emissionen</t>
        </is>
      </c>
      <c r="G633" s="12" t="n">
        <v>0.2</v>
      </c>
      <c r="H633" s="13" t="n">
        <v>20</v>
      </c>
      <c r="I633" s="13" t="n">
        <v>50</v>
      </c>
      <c r="J633" s="13" t="n">
        <v>100</v>
      </c>
      <c r="K633" s="14">
        <f>IF(OR(COUNT(G633:J633)&lt;&gt;4,G633&lt;0,G633&gt;1,H633&gt;I633,I633&gt;J633),"n.a.",ROUND(G633*(H633+4*I633+J633)/6+0.00000001,2))</f>
        <v/>
      </c>
      <c r="L633" s="13" t="n">
        <v>0</v>
      </c>
      <c r="M633" s="14">
        <f>SUMIFS(Maßnahmen!$I$7:$I$126,Maßnahmen!$D$7:$D$126,C633,Maßnahmen!$H$7:$H$126,"&lt;&gt;verworfen")</f>
        <v/>
      </c>
      <c r="N633" s="14">
        <f>IF(ISNUMBER(K633),MAX(0,K633-L633-M633),"n.a.")</f>
        <v/>
      </c>
      <c r="O633" s="14" t="n">
        <v>10.67</v>
      </c>
      <c r="P633" s="14">
        <f>IF(ISNUMBER(K633),K633-O633,"n.a.")</f>
        <v/>
      </c>
    </row>
    <row r="634" ht="32" customHeight="1">
      <c r="C634" s="10" t="inlineStr">
        <is>
          <t>PRJ-38307c8d-RK-14</t>
        </is>
      </c>
      <c r="D634" s="10" t="inlineStr">
        <is>
          <t>W4102604612</t>
        </is>
      </c>
      <c r="E634" s="11" t="inlineStr">
        <is>
          <t>Rechtliche Auflagen / Entsorgungsnachweise (Formalismus)</t>
        </is>
      </c>
      <c r="F634" s="10" t="inlineStr">
        <is>
          <t>Genehmigung</t>
        </is>
      </c>
      <c r="G634" s="12" t="n">
        <v>0.4</v>
      </c>
      <c r="H634" s="13" t="n">
        <v>95</v>
      </c>
      <c r="I634" s="13" t="n">
        <v>185</v>
      </c>
      <c r="J634" s="13" t="n">
        <v>350</v>
      </c>
      <c r="K634" s="14">
        <f>IF(OR(COUNT(G634:J634)&lt;&gt;4,G634&lt;0,G634&gt;1,H634&gt;I634,I634&gt;J634),"n.a.",ROUND(G634*(H634+4*I634+J634)/6+0.00000001,2))</f>
        <v/>
      </c>
      <c r="L634" s="13" t="n">
        <v>0</v>
      </c>
      <c r="M634" s="14">
        <f>SUMIFS(Maßnahmen!$I$7:$I$126,Maßnahmen!$D$7:$D$126,C634,Maßnahmen!$H$7:$H$126,"&lt;&gt;verworfen")</f>
        <v/>
      </c>
      <c r="N634" s="14">
        <f>IF(ISNUMBER(K634),MAX(0,K634-L634-M634),"n.a.")</f>
        <v/>
      </c>
      <c r="O634" s="14" t="n">
        <v>79</v>
      </c>
      <c r="P634" s="14">
        <f>IF(ISNUMBER(K634),K634-O634,"n.a.")</f>
        <v/>
      </c>
    </row>
    <row r="635" ht="32" customHeight="1">
      <c r="C635" s="10" t="inlineStr">
        <is>
          <t>PRJ-38307c8d-RK-15</t>
        </is>
      </c>
      <c r="D635" s="10" t="inlineStr">
        <is>
          <t>W4102604612</t>
        </is>
      </c>
      <c r="E635" s="11" t="inlineStr">
        <is>
          <t>Konjunktur / Sekundärstoffpreise &amp; Gerätemiete</t>
        </is>
      </c>
      <c r="F635" s="10" t="inlineStr">
        <is>
          <t>Markt</t>
        </is>
      </c>
      <c r="G635" s="12" t="n">
        <v>0.12</v>
      </c>
      <c r="H635" s="13" t="n">
        <v>8</v>
      </c>
      <c r="I635" s="13" t="n">
        <v>20</v>
      </c>
      <c r="J635" s="13" t="n">
        <v>50</v>
      </c>
      <c r="K635" s="14">
        <f>IF(OR(COUNT(G635:J635)&lt;&gt;4,G635&lt;0,G635&gt;1,H635&gt;I635,I635&gt;J635),"n.a.",ROUND(G635*(H635+4*I635+J635)/6+0.00000001,2))</f>
        <v/>
      </c>
      <c r="L635" s="13" t="n">
        <v>0</v>
      </c>
      <c r="M635" s="14">
        <f>SUMIFS(Maßnahmen!$I$7:$I$126,Maßnahmen!$D$7:$D$126,C635,Maßnahmen!$H$7:$H$126,"&lt;&gt;verworfen")</f>
        <v/>
      </c>
      <c r="N635" s="14">
        <f>IF(ISNUMBER(K635),MAX(0,K635-L635-M635),"n.a.")</f>
        <v/>
      </c>
      <c r="O635" s="14" t="n">
        <v>2.76</v>
      </c>
      <c r="P635" s="14">
        <f>IF(ISNUMBER(K635),K635-O635,"n.a.")</f>
        <v/>
      </c>
    </row>
    <row r="636" ht="32" customHeight="1">
      <c r="C636" s="10" t="inlineStr">
        <is>
          <t>PRJ-4f8e93b3-RK-01</t>
        </is>
      </c>
      <c r="D636" s="10" t="inlineStr">
        <is>
          <t>P4102307448</t>
        </is>
      </c>
      <c r="E636" s="11" t="inlineStr">
        <is>
          <t>Schadstofffund / Schadstoffsanierung (Asbest, PAK, PCB, PCP)</t>
        </is>
      </c>
      <c r="F636" s="10" t="inlineStr">
        <is>
          <t>Schadstoffe</t>
        </is>
      </c>
      <c r="G636" s="12" t="n">
        <v>0.1</v>
      </c>
      <c r="H636" s="13" t="n">
        <v>20</v>
      </c>
      <c r="I636" s="13" t="n">
        <v>50</v>
      </c>
      <c r="J636" s="13" t="n">
        <v>100</v>
      </c>
      <c r="K636" s="14">
        <f>IF(OR(COUNT(G636:J636)&lt;&gt;4,G636&lt;0,G636&gt;1,H636&gt;I636,I636&gt;J636),"n.a.",ROUND(G636*(H636+4*I636+J636)/6+0.00000001,2))</f>
        <v/>
      </c>
      <c r="L636" s="13" t="n">
        <v>0</v>
      </c>
      <c r="M636" s="14">
        <f>SUMIFS(Maßnahmen!$I$7:$I$126,Maßnahmen!$D$7:$D$126,C636,Maßnahmen!$H$7:$H$126,"&lt;&gt;verworfen")</f>
        <v/>
      </c>
      <c r="N636" s="14">
        <f>IF(ISNUMBER(K636),MAX(0,K636-L636-M636),"n.a.")</f>
        <v/>
      </c>
      <c r="O636" s="14" t="n">
        <v>5.33</v>
      </c>
      <c r="P636" s="14">
        <f>IF(ISNUMBER(K636),K636-O636,"n.a.")</f>
        <v/>
      </c>
    </row>
    <row r="637" ht="32" customHeight="1">
      <c r="C637" s="10" t="inlineStr">
        <is>
          <t>PRJ-4f8e93b3-RK-02</t>
        </is>
      </c>
      <c r="D637" s="10" t="inlineStr">
        <is>
          <t>P4102307448</t>
        </is>
      </c>
      <c r="E637" s="11" t="inlineStr">
        <is>
          <t>Arbeitsschutz kontaminierte Bereiche (TRGS 524)</t>
        </is>
      </c>
      <c r="F637" s="10" t="inlineStr">
        <is>
          <t>Schadstoffe</t>
        </is>
      </c>
      <c r="G637" s="12" t="n">
        <v>0.1</v>
      </c>
      <c r="H637" s="13" t="n">
        <v>5</v>
      </c>
      <c r="I637" s="13" t="n">
        <v>10</v>
      </c>
      <c r="J637" s="13" t="n">
        <v>20</v>
      </c>
      <c r="K637" s="14">
        <f>IF(OR(COUNT(G637:J637)&lt;&gt;4,G637&lt;0,G637&gt;1,H637&gt;I637,I637&gt;J637),"n.a.",ROUND(G637*(H637+4*I637+J637)/6+0.00000001,2))</f>
        <v/>
      </c>
      <c r="L637" s="13" t="n">
        <v>0</v>
      </c>
      <c r="M637" s="14">
        <f>SUMIFS(Maßnahmen!$I$7:$I$126,Maßnahmen!$D$7:$D$126,C637,Maßnahmen!$H$7:$H$126,"&lt;&gt;verworfen")</f>
        <v/>
      </c>
      <c r="N637" s="14">
        <f>IF(ISNUMBER(K637),MAX(0,K637-L637-M637),"n.a.")</f>
        <v/>
      </c>
      <c r="O637" s="14" t="n">
        <v>1.08</v>
      </c>
      <c r="P637" s="14">
        <f>IF(ISNUMBER(K637),K637-O637,"n.a.")</f>
        <v/>
      </c>
    </row>
    <row r="638" ht="32" customHeight="1">
      <c r="C638" s="10" t="inlineStr">
        <is>
          <t>PRJ-4f8e93b3-RK-03</t>
        </is>
      </c>
      <c r="D638" s="10" t="inlineStr">
        <is>
          <t>P4102307448</t>
        </is>
      </c>
      <c r="E638" s="11" t="inlineStr">
        <is>
          <t>Entsorgungs-Mehrkosten / Entsorgungswege</t>
        </is>
      </c>
      <c r="F638" s="10" t="inlineStr">
        <is>
          <t>Entsorgung</t>
        </is>
      </c>
      <c r="G638" s="12" t="n">
        <v>0.27</v>
      </c>
      <c r="H638" s="13" t="n">
        <v>20</v>
      </c>
      <c r="I638" s="13" t="n">
        <v>50</v>
      </c>
      <c r="J638" s="13" t="n">
        <v>100</v>
      </c>
      <c r="K638" s="14">
        <f>IF(OR(COUNT(G638:J638)&lt;&gt;4,G638&lt;0,G638&gt;1,H638&gt;I638,I638&gt;J638),"n.a.",ROUND(G638*(H638+4*I638+J638)/6+0.00000001,2))</f>
        <v/>
      </c>
      <c r="L638" s="13" t="n">
        <v>0</v>
      </c>
      <c r="M638" s="14">
        <f>SUMIFS(Maßnahmen!$I$7:$I$126,Maßnahmen!$D$7:$D$126,C638,Maßnahmen!$H$7:$H$126,"&lt;&gt;verworfen")</f>
        <v/>
      </c>
      <c r="N638" s="14">
        <f>IF(ISNUMBER(K638),MAX(0,K638-L638-M638),"n.a.")</f>
        <v/>
      </c>
      <c r="O638" s="14" t="n">
        <v>14.4</v>
      </c>
      <c r="P638" s="14">
        <f>IF(ISNUMBER(K638),K638-O638,"n.a.")</f>
        <v/>
      </c>
    </row>
    <row r="639" ht="32" customHeight="1">
      <c r="C639" s="10" t="inlineStr">
        <is>
          <t>PRJ-4f8e93b3-RK-04</t>
        </is>
      </c>
      <c r="D639" s="10" t="inlineStr">
        <is>
          <t>P4102307448</t>
        </is>
      </c>
      <c r="E639" s="11" t="inlineStr">
        <is>
          <t>Baustofftrennung / Aufbereitung nicht wie geplant</t>
        </is>
      </c>
      <c r="F639" s="10" t="inlineStr">
        <is>
          <t>Entsorgung</t>
        </is>
      </c>
      <c r="G639" s="12" t="n">
        <v>0.08</v>
      </c>
      <c r="H639" s="13" t="n">
        <v>5</v>
      </c>
      <c r="I639" s="13" t="n">
        <v>10</v>
      </c>
      <c r="J639" s="13" t="n">
        <v>20</v>
      </c>
      <c r="K639" s="14">
        <f>IF(OR(COUNT(G639:J639)&lt;&gt;4,G639&lt;0,G639&gt;1,H639&gt;I639,I639&gt;J639),"n.a.",ROUND(G639*(H639+4*I639+J639)/6+0.00000001,2))</f>
        <v/>
      </c>
      <c r="L639" s="13" t="n">
        <v>0</v>
      </c>
      <c r="M639" s="14">
        <f>SUMIFS(Maßnahmen!$I$7:$I$126,Maßnahmen!$D$7:$D$126,C639,Maßnahmen!$H$7:$H$126,"&lt;&gt;verworfen")</f>
        <v/>
      </c>
      <c r="N639" s="14">
        <f>IF(ISNUMBER(K639),MAX(0,K639-L639-M639),"n.a.")</f>
        <v/>
      </c>
      <c r="O639" s="14" t="n">
        <v>0.87</v>
      </c>
      <c r="P639" s="14">
        <f>IF(ISNUMBER(K639),K639-O639,"n.a.")</f>
        <v/>
      </c>
    </row>
    <row r="640" ht="32" customHeight="1">
      <c r="C640" s="10" t="inlineStr">
        <is>
          <t>PRJ-4f8e93b3-RK-05</t>
        </is>
      </c>
      <c r="D640" s="10" t="inlineStr">
        <is>
          <t>P4102307448</t>
        </is>
      </c>
      <c r="E640" s="11" t="inlineStr">
        <is>
          <t>Unbekannte Bauwerkskonstruktion / fehlende Pläne</t>
        </is>
      </c>
      <c r="F640" s="10" t="inlineStr">
        <is>
          <t>Statik</t>
        </is>
      </c>
      <c r="G640" s="12" t="n">
        <v>0.12</v>
      </c>
      <c r="H640" s="13" t="n">
        <v>40</v>
      </c>
      <c r="I640" s="13" t="n">
        <v>80</v>
      </c>
      <c r="J640" s="13" t="n">
        <v>150</v>
      </c>
      <c r="K640" s="14">
        <f>IF(OR(COUNT(G640:J640)&lt;&gt;4,G640&lt;0,G640&gt;1,H640&gt;I640,I640&gt;J640),"n.a.",ROUND(G640*(H640+4*I640+J640)/6+0.00000001,2))</f>
        <v/>
      </c>
      <c r="L640" s="13" t="n">
        <v>0</v>
      </c>
      <c r="M640" s="14">
        <f>SUMIFS(Maßnahmen!$I$7:$I$126,Maßnahmen!$D$7:$D$126,C640,Maßnahmen!$H$7:$H$126,"&lt;&gt;verworfen")</f>
        <v/>
      </c>
      <c r="N640" s="14">
        <f>IF(ISNUMBER(K640),MAX(0,K640-L640-M640),"n.a.")</f>
        <v/>
      </c>
      <c r="O640" s="14" t="n">
        <v>10.2</v>
      </c>
      <c r="P640" s="14">
        <f>IF(ISNUMBER(K640),K640-O640,"n.a.")</f>
        <v/>
      </c>
    </row>
    <row r="641" ht="32" customHeight="1">
      <c r="C641" s="10" t="inlineStr">
        <is>
          <t>PRJ-4f8e93b3-RK-06</t>
        </is>
      </c>
      <c r="D641" s="10" t="inlineStr">
        <is>
          <t>P4102307448</t>
        </is>
      </c>
      <c r="E641" s="11" t="inlineStr">
        <is>
          <t>Statik / Einsturzsicherung während Abbruch</t>
        </is>
      </c>
      <c r="F641" s="10" t="inlineStr">
        <is>
          <t>Statik</t>
        </is>
      </c>
      <c r="G641" s="12" t="n">
        <v>0.24</v>
      </c>
      <c r="H641" s="13" t="n">
        <v>30</v>
      </c>
      <c r="I641" s="13" t="n">
        <v>70</v>
      </c>
      <c r="J641" s="13" t="n">
        <v>140</v>
      </c>
      <c r="K641" s="14">
        <f>IF(OR(COUNT(G641:J641)&lt;&gt;4,G641&lt;0,G641&gt;1,H641&gt;I641,I641&gt;J641),"n.a.",ROUND(G641*(H641+4*I641+J641)/6+0.00000001,2))</f>
        <v/>
      </c>
      <c r="L641" s="13" t="n">
        <v>0</v>
      </c>
      <c r="M641" s="14">
        <f>SUMIFS(Maßnahmen!$I$7:$I$126,Maßnahmen!$D$7:$D$126,C641,Maßnahmen!$H$7:$H$126,"&lt;&gt;verworfen")</f>
        <v/>
      </c>
      <c r="N641" s="14">
        <f>IF(ISNUMBER(K641),MAX(0,K641-L641-M641),"n.a.")</f>
        <v/>
      </c>
      <c r="O641" s="14" t="n">
        <v>18</v>
      </c>
      <c r="P641" s="14">
        <f>IF(ISNUMBER(K641),K641-O641,"n.a.")</f>
        <v/>
      </c>
    </row>
    <row r="642" ht="32" customHeight="1">
      <c r="C642" s="10" t="inlineStr">
        <is>
          <t>PRJ-4f8e93b3-RK-07</t>
        </is>
      </c>
      <c r="D642" s="10" t="inlineStr">
        <is>
          <t>P4102307448</t>
        </is>
      </c>
      <c r="E642" s="11" t="inlineStr">
        <is>
          <t>Unterirdische Tragkonstruktion / Fundamente</t>
        </is>
      </c>
      <c r="F642" s="10" t="inlineStr">
        <is>
          <t>Statik</t>
        </is>
      </c>
      <c r="G642" s="12" t="n">
        <v>0.5</v>
      </c>
      <c r="H642" s="13" t="n">
        <v>5</v>
      </c>
      <c r="I642" s="13" t="n">
        <v>20</v>
      </c>
      <c r="J642" s="13" t="n">
        <v>50</v>
      </c>
      <c r="K642" s="14">
        <f>IF(OR(COUNT(G642:J642)&lt;&gt;4,G642&lt;0,G642&gt;1,H642&gt;I642,I642&gt;J642),"n.a.",ROUND(G642*(H642+4*I642+J642)/6+0.00000001,2))</f>
        <v/>
      </c>
      <c r="L642" s="13" t="n">
        <v>0</v>
      </c>
      <c r="M642" s="14">
        <f>SUMIFS(Maßnahmen!$I$7:$I$126,Maßnahmen!$D$7:$D$126,C642,Maßnahmen!$H$7:$H$126,"&lt;&gt;verworfen")</f>
        <v/>
      </c>
      <c r="N642" s="14">
        <f>IF(ISNUMBER(K642),MAX(0,K642-L642-M642),"n.a.")</f>
        <v/>
      </c>
      <c r="O642" s="14" t="n">
        <v>11.25</v>
      </c>
      <c r="P642" s="14">
        <f>IF(ISNUMBER(K642),K642-O642,"n.a.")</f>
        <v/>
      </c>
    </row>
    <row r="643" ht="32" customHeight="1">
      <c r="C643" s="10" t="inlineStr">
        <is>
          <t>PRJ-4f8e93b3-RK-08</t>
        </is>
      </c>
      <c r="D643" s="10" t="inlineStr">
        <is>
          <t>P4102307448</t>
        </is>
      </c>
      <c r="E643" s="11" t="inlineStr">
        <is>
          <t>Gebäudehöhe &gt;22 m / Longfront-Bagger (+130–150 %)</t>
        </is>
      </c>
      <c r="F643" s="10" t="inlineStr">
        <is>
          <t>Termin</t>
        </is>
      </c>
      <c r="G643" s="12" t="n">
        <v>0.6</v>
      </c>
      <c r="H643" s="13" t="n">
        <v>90</v>
      </c>
      <c r="I643" s="13" t="n">
        <v>180</v>
      </c>
      <c r="J643" s="13" t="n">
        <v>340</v>
      </c>
      <c r="K643" s="14">
        <f>IF(OR(COUNT(G643:J643)&lt;&gt;4,G643&lt;0,G643&gt;1,H643&gt;I643,I643&gt;J643),"n.a.",ROUND(G643*(H643+4*I643+J643)/6+0.00000001,2))</f>
        <v/>
      </c>
      <c r="L643" s="13" t="n">
        <v>0</v>
      </c>
      <c r="M643" s="14">
        <f>SUMIFS(Maßnahmen!$I$7:$I$126,Maßnahmen!$D$7:$D$126,C643,Maßnahmen!$H$7:$H$126,"&lt;&gt;verworfen")</f>
        <v/>
      </c>
      <c r="N643" s="14">
        <f>IF(ISNUMBER(K643),MAX(0,K643-L643-M643),"n.a.")</f>
        <v/>
      </c>
      <c r="O643" s="14" t="n">
        <v>115</v>
      </c>
      <c r="P643" s="14">
        <f>IF(ISNUMBER(K643),K643-O643,"n.a.")</f>
        <v/>
      </c>
    </row>
    <row r="644" ht="32" customHeight="1">
      <c r="C644" s="10" t="inlineStr">
        <is>
          <t>PRJ-4f8e93b3-RK-09</t>
        </is>
      </c>
      <c r="D644" s="10" t="inlineStr">
        <is>
          <t>P4102307448</t>
        </is>
      </c>
      <c r="E644" s="11" t="inlineStr">
        <is>
          <t>Beennte Lage / nur Handabbruch möglich</t>
        </is>
      </c>
      <c r="F644" s="10" t="inlineStr">
        <is>
          <t>Termin</t>
        </is>
      </c>
      <c r="G644" s="12" t="n">
        <v>0.15</v>
      </c>
      <c r="H644" s="13" t="n">
        <v>8</v>
      </c>
      <c r="I644" s="13" t="n">
        <v>20</v>
      </c>
      <c r="J644" s="13" t="n">
        <v>50</v>
      </c>
      <c r="K644" s="14">
        <f>IF(OR(COUNT(G644:J644)&lt;&gt;4,G644&lt;0,G644&gt;1,H644&gt;I644,I644&gt;J644),"n.a.",ROUND(G644*(H644+4*I644+J644)/6+0.00000001,2))</f>
        <v/>
      </c>
      <c r="L644" s="13" t="n">
        <v>0</v>
      </c>
      <c r="M644" s="14">
        <f>SUMIFS(Maßnahmen!$I$7:$I$126,Maßnahmen!$D$7:$D$126,C644,Maßnahmen!$H$7:$H$126,"&lt;&gt;verworfen")</f>
        <v/>
      </c>
      <c r="N644" s="14">
        <f>IF(ISNUMBER(K644),MAX(0,K644-L644-M644),"n.a.")</f>
        <v/>
      </c>
      <c r="O644" s="14" t="n">
        <v>3.45</v>
      </c>
      <c r="P644" s="14">
        <f>IF(ISNUMBER(K644),K644-O644,"n.a.")</f>
        <v/>
      </c>
    </row>
    <row r="645" ht="32" customHeight="1">
      <c r="C645" s="10" t="inlineStr">
        <is>
          <t>PRJ-4f8e93b3-RK-10</t>
        </is>
      </c>
      <c r="D645" s="10" t="inlineStr">
        <is>
          <t>P4102307448</t>
        </is>
      </c>
      <c r="E645" s="11" t="inlineStr">
        <is>
          <t>Terminvorgabe Auftraggeber / Geräteauslastung</t>
        </is>
      </c>
      <c r="F645" s="10" t="inlineStr">
        <is>
          <t>Termin</t>
        </is>
      </c>
      <c r="G645" s="12" t="n">
        <v>0.08</v>
      </c>
      <c r="H645" s="13" t="n">
        <v>5</v>
      </c>
      <c r="I645" s="13" t="n">
        <v>10</v>
      </c>
      <c r="J645" s="13" t="n">
        <v>20</v>
      </c>
      <c r="K645" s="14">
        <f>IF(OR(COUNT(G645:J645)&lt;&gt;4,G645&lt;0,G645&gt;1,H645&gt;I645,I645&gt;J645),"n.a.",ROUND(G645*(H645+4*I645+J645)/6+0.00000001,2))</f>
        <v/>
      </c>
      <c r="L645" s="13" t="n">
        <v>0</v>
      </c>
      <c r="M645" s="14">
        <f>SUMIFS(Maßnahmen!$I$7:$I$126,Maßnahmen!$D$7:$D$126,C645,Maßnahmen!$H$7:$H$126,"&lt;&gt;verworfen")</f>
        <v/>
      </c>
      <c r="N645" s="14">
        <f>IF(ISNUMBER(K645),MAX(0,K645-L645-M645),"n.a.")</f>
        <v/>
      </c>
      <c r="O645" s="14" t="n">
        <v>0.87</v>
      </c>
      <c r="P645" s="14">
        <f>IF(ISNUMBER(K645),K645-O645,"n.a.")</f>
        <v/>
      </c>
    </row>
    <row r="646" ht="32" customHeight="1">
      <c r="C646" s="10" t="inlineStr">
        <is>
          <t>PRJ-4f8e93b3-RK-11</t>
        </is>
      </c>
      <c r="D646" s="10" t="inlineStr">
        <is>
          <t>P4102307448</t>
        </is>
      </c>
      <c r="E646" s="11" t="inlineStr">
        <is>
          <t>Witterung / Ablaufstörung</t>
        </is>
      </c>
      <c r="F646" s="10" t="inlineStr">
        <is>
          <t>Termin</t>
        </is>
      </c>
      <c r="G646" s="12" t="n">
        <v>0.25</v>
      </c>
      <c r="H646" s="13" t="n">
        <v>10</v>
      </c>
      <c r="I646" s="13" t="n">
        <v>30</v>
      </c>
      <c r="J646" s="13" t="n">
        <v>60</v>
      </c>
      <c r="K646" s="14">
        <f>IF(OR(COUNT(G646:J646)&lt;&gt;4,G646&lt;0,G646&gt;1,H646&gt;I646,I646&gt;J646),"n.a.",ROUND(G646*(H646+4*I646+J646)/6+0.00000001,2))</f>
        <v/>
      </c>
      <c r="L646" s="13" t="n">
        <v>0</v>
      </c>
      <c r="M646" s="14">
        <f>SUMIFS(Maßnahmen!$I$7:$I$126,Maßnahmen!$D$7:$D$126,C646,Maßnahmen!$H$7:$H$126,"&lt;&gt;verworfen")</f>
        <v/>
      </c>
      <c r="N646" s="14">
        <f>IF(ISNUMBER(K646),MAX(0,K646-L646-M646),"n.a.")</f>
        <v/>
      </c>
      <c r="O646" s="14" t="n">
        <v>7.92</v>
      </c>
      <c r="P646" s="14">
        <f>IF(ISNUMBER(K646),K646-O646,"n.a.")</f>
        <v/>
      </c>
    </row>
    <row r="647" ht="32" customHeight="1">
      <c r="C647" s="10" t="inlineStr">
        <is>
          <t>PRJ-4f8e93b3-RK-12</t>
        </is>
      </c>
      <c r="D647" s="10" t="inlineStr">
        <is>
          <t>P4102307448</t>
        </is>
      </c>
      <c r="E647" s="11" t="inlineStr">
        <is>
          <t>Staubemissionen (höchster Aufwand laut Umfrage)</t>
        </is>
      </c>
      <c r="F647" s="10" t="inlineStr">
        <is>
          <t>Emissionen</t>
        </is>
      </c>
      <c r="G647" s="12" t="n">
        <v>0.1</v>
      </c>
      <c r="H647" s="13" t="n">
        <v>30</v>
      </c>
      <c r="I647" s="13" t="n">
        <v>60</v>
      </c>
      <c r="J647" s="13" t="n">
        <v>120</v>
      </c>
      <c r="K647" s="14">
        <f>IF(OR(COUNT(G647:J647)&lt;&gt;4,G647&lt;0,G647&gt;1,H647&gt;I647,I647&gt;J647),"n.a.",ROUND(G647*(H647+4*I647+J647)/6+0.00000001,2))</f>
        <v/>
      </c>
      <c r="L647" s="13" t="n">
        <v>0</v>
      </c>
      <c r="M647" s="14">
        <f>SUMIFS(Maßnahmen!$I$7:$I$126,Maßnahmen!$D$7:$D$126,C647,Maßnahmen!$H$7:$H$126,"&lt;&gt;verworfen")</f>
        <v/>
      </c>
      <c r="N647" s="14">
        <f>IF(ISNUMBER(K647),MAX(0,K647-L647-M647),"n.a.")</f>
        <v/>
      </c>
      <c r="O647" s="14" t="n">
        <v>6.5</v>
      </c>
      <c r="P647" s="14">
        <f>IF(ISNUMBER(K647),K647-O647,"n.a.")</f>
        <v/>
      </c>
    </row>
    <row r="648" ht="32" customHeight="1">
      <c r="C648" s="10" t="inlineStr">
        <is>
          <t>PRJ-4f8e93b3-RK-13</t>
        </is>
      </c>
      <c r="D648" s="10" t="inlineStr">
        <is>
          <t>P4102307448</t>
        </is>
      </c>
      <c r="E648" s="11" t="inlineStr">
        <is>
          <t>Lärm- und Erschütterungsauflagen</t>
        </is>
      </c>
      <c r="F648" s="10" t="inlineStr">
        <is>
          <t>Emissionen</t>
        </is>
      </c>
      <c r="G648" s="12" t="n">
        <v>0.2</v>
      </c>
      <c r="H648" s="13" t="n">
        <v>20</v>
      </c>
      <c r="I648" s="13" t="n">
        <v>50</v>
      </c>
      <c r="J648" s="13" t="n">
        <v>100</v>
      </c>
      <c r="K648" s="14">
        <f>IF(OR(COUNT(G648:J648)&lt;&gt;4,G648&lt;0,G648&gt;1,H648&gt;I648,I648&gt;J648),"n.a.",ROUND(G648*(H648+4*I648+J648)/6+0.00000001,2))</f>
        <v/>
      </c>
      <c r="L648" s="13" t="n">
        <v>0</v>
      </c>
      <c r="M648" s="14">
        <f>SUMIFS(Maßnahmen!$I$7:$I$126,Maßnahmen!$D$7:$D$126,C648,Maßnahmen!$H$7:$H$126,"&lt;&gt;verworfen")</f>
        <v/>
      </c>
      <c r="N648" s="14">
        <f>IF(ISNUMBER(K648),MAX(0,K648-L648-M648),"n.a.")</f>
        <v/>
      </c>
      <c r="O648" s="14" t="n">
        <v>10.67</v>
      </c>
      <c r="P648" s="14">
        <f>IF(ISNUMBER(K648),K648-O648,"n.a.")</f>
        <v/>
      </c>
    </row>
    <row r="649" ht="32" customHeight="1">
      <c r="C649" s="10" t="inlineStr">
        <is>
          <t>PRJ-4f8e93b3-RK-14</t>
        </is>
      </c>
      <c r="D649" s="10" t="inlineStr">
        <is>
          <t>P4102307448</t>
        </is>
      </c>
      <c r="E649" s="11" t="inlineStr">
        <is>
          <t>Rechtliche Auflagen / Entsorgungsnachweise (Formalismus)</t>
        </is>
      </c>
      <c r="F649" s="10" t="inlineStr">
        <is>
          <t>Genehmigung</t>
        </is>
      </c>
      <c r="G649" s="12" t="n">
        <v>0.4</v>
      </c>
      <c r="H649" s="13" t="n">
        <v>95</v>
      </c>
      <c r="I649" s="13" t="n">
        <v>185</v>
      </c>
      <c r="J649" s="13" t="n">
        <v>350</v>
      </c>
      <c r="K649" s="14">
        <f>IF(OR(COUNT(G649:J649)&lt;&gt;4,G649&lt;0,G649&gt;1,H649&gt;I649,I649&gt;J649),"n.a.",ROUND(G649*(H649+4*I649+J649)/6+0.00000001,2))</f>
        <v/>
      </c>
      <c r="L649" s="13" t="n">
        <v>0</v>
      </c>
      <c r="M649" s="14">
        <f>SUMIFS(Maßnahmen!$I$7:$I$126,Maßnahmen!$D$7:$D$126,C649,Maßnahmen!$H$7:$H$126,"&lt;&gt;verworfen")</f>
        <v/>
      </c>
      <c r="N649" s="14">
        <f>IF(ISNUMBER(K649),MAX(0,K649-L649-M649),"n.a.")</f>
        <v/>
      </c>
      <c r="O649" s="14" t="n">
        <v>79</v>
      </c>
      <c r="P649" s="14">
        <f>IF(ISNUMBER(K649),K649-O649,"n.a.")</f>
        <v/>
      </c>
    </row>
    <row r="650" ht="32" customHeight="1">
      <c r="C650" s="10" t="inlineStr">
        <is>
          <t>PRJ-4f8e93b3-RK-15</t>
        </is>
      </c>
      <c r="D650" s="10" t="inlineStr">
        <is>
          <t>P4102307448</t>
        </is>
      </c>
      <c r="E650" s="11" t="inlineStr">
        <is>
          <t>Konjunktur / Sekundärstoffpreise &amp; Gerätemiete</t>
        </is>
      </c>
      <c r="F650" s="10" t="inlineStr">
        <is>
          <t>Markt</t>
        </is>
      </c>
      <c r="G650" s="12" t="n">
        <v>0.12</v>
      </c>
      <c r="H650" s="13" t="n">
        <v>8</v>
      </c>
      <c r="I650" s="13" t="n">
        <v>20</v>
      </c>
      <c r="J650" s="13" t="n">
        <v>50</v>
      </c>
      <c r="K650" s="14">
        <f>IF(OR(COUNT(G650:J650)&lt;&gt;4,G650&lt;0,G650&gt;1,H650&gt;I650,I650&gt;J650),"n.a.",ROUND(G650*(H650+4*I650+J650)/6+0.00000001,2))</f>
        <v/>
      </c>
      <c r="L650" s="13" t="n">
        <v>0</v>
      </c>
      <c r="M650" s="14">
        <f>SUMIFS(Maßnahmen!$I$7:$I$126,Maßnahmen!$D$7:$D$126,C650,Maßnahmen!$H$7:$H$126,"&lt;&gt;verworfen")</f>
        <v/>
      </c>
      <c r="N650" s="14">
        <f>IF(ISNUMBER(K650),MAX(0,K650-L650-M650),"n.a.")</f>
        <v/>
      </c>
      <c r="O650" s="14" t="n">
        <v>2.76</v>
      </c>
      <c r="P650" s="14">
        <f>IF(ISNUMBER(K650),K650-O650,"n.a.")</f>
        <v/>
      </c>
    </row>
    <row r="651" ht="32" customHeight="1">
      <c r="C651" s="10" t="inlineStr">
        <is>
          <t>PRJ-4a6f9d1e-RK-10</t>
        </is>
      </c>
      <c r="D651" s="10" t="inlineStr">
        <is>
          <t>P4102608232</t>
        </is>
      </c>
      <c r="E651" s="11" t="inlineStr">
        <is>
          <t>Terminvorgabe Auftraggeber / Geräteauslastung</t>
        </is>
      </c>
      <c r="F651" s="10" t="inlineStr">
        <is>
          <t>Termin</t>
        </is>
      </c>
      <c r="G651" s="12" t="n">
        <v>0.1</v>
      </c>
      <c r="H651" s="13" t="n">
        <v>40</v>
      </c>
      <c r="I651" s="13" t="n">
        <v>100</v>
      </c>
      <c r="J651" s="13" t="n">
        <v>250</v>
      </c>
      <c r="K651" s="14">
        <f>IF(OR(COUNT(G651:J651)&lt;&gt;4,G651&lt;0,G651&gt;1,H651&gt;I651,I651&gt;J651),"n.a.",ROUND(G651*(H651+4*I651+J651)/6+0.00000001,2))</f>
        <v/>
      </c>
      <c r="L651" s="13" t="n">
        <v>0</v>
      </c>
      <c r="M651" s="14">
        <f>SUMIFS(Maßnahmen!$I$7:$I$126,Maßnahmen!$D$7:$D$126,C651,Maßnahmen!$H$7:$H$126,"&lt;&gt;verworfen")</f>
        <v/>
      </c>
      <c r="N651" s="14">
        <f>IF(ISNUMBER(K651),MAX(0,K651-L651-M651),"n.a.")</f>
        <v/>
      </c>
      <c r="O651" s="14" t="n">
        <v>11.5</v>
      </c>
      <c r="P651" s="14">
        <f>IF(ISNUMBER(K651),K651-O651,"n.a.")</f>
        <v/>
      </c>
    </row>
    <row r="652" ht="32" customHeight="1">
      <c r="C652" s="10" t="inlineStr">
        <is>
          <t>PRJ-4a6f9d1e-RK-11</t>
        </is>
      </c>
      <c r="D652" s="10" t="inlineStr">
        <is>
          <t>P4102608232</t>
        </is>
      </c>
      <c r="E652" s="11" t="inlineStr">
        <is>
          <t>Witterung / Ablaufstörung</t>
        </is>
      </c>
      <c r="F652" s="10" t="inlineStr">
        <is>
          <t>Termin</t>
        </is>
      </c>
      <c r="G652" s="12" t="n">
        <v>0.25</v>
      </c>
      <c r="H652" s="13" t="n">
        <v>50</v>
      </c>
      <c r="I652" s="13" t="n">
        <v>150</v>
      </c>
      <c r="J652" s="13" t="n">
        <v>300</v>
      </c>
      <c r="K652" s="14">
        <f>IF(OR(COUNT(G652:J652)&lt;&gt;4,G652&lt;0,G652&gt;1,H652&gt;I652,I652&gt;J652),"n.a.",ROUND(G652*(H652+4*I652+J652)/6+0.00000001,2))</f>
        <v/>
      </c>
      <c r="L652" s="13" t="n">
        <v>0</v>
      </c>
      <c r="M652" s="14">
        <f>SUMIFS(Maßnahmen!$I$7:$I$126,Maßnahmen!$D$7:$D$126,C652,Maßnahmen!$H$7:$H$126,"&lt;&gt;verworfen")</f>
        <v/>
      </c>
      <c r="N652" s="14">
        <f>IF(ISNUMBER(K652),MAX(0,K652-L652-M652),"n.a.")</f>
        <v/>
      </c>
      <c r="O652" s="14" t="n">
        <v>39.58</v>
      </c>
      <c r="P652" s="14">
        <f>IF(ISNUMBER(K652),K652-O652,"n.a.")</f>
        <v/>
      </c>
    </row>
    <row r="653" ht="32" customHeight="1">
      <c r="C653" s="10" t="inlineStr">
        <is>
          <t>PRJ-4a6f9d1e-RK-12</t>
        </is>
      </c>
      <c r="D653" s="10" t="inlineStr">
        <is>
          <t>P4102608232</t>
        </is>
      </c>
      <c r="E653" s="11" t="inlineStr">
        <is>
          <t>Staubemissionen (höchster Aufwand laut Umfrage)</t>
        </is>
      </c>
      <c r="F653" s="10" t="inlineStr">
        <is>
          <t>Emissionen</t>
        </is>
      </c>
      <c r="G653" s="12" t="n">
        <v>0.1</v>
      </c>
      <c r="H653" s="13" t="n">
        <v>150</v>
      </c>
      <c r="I653" s="13" t="n">
        <v>300</v>
      </c>
      <c r="J653" s="13" t="n">
        <v>600</v>
      </c>
      <c r="K653" s="14">
        <f>IF(OR(COUNT(G653:J653)&lt;&gt;4,G653&lt;0,G653&gt;1,H653&gt;I653,I653&gt;J653),"n.a.",ROUND(G653*(H653+4*I653+J653)/6+0.00000001,2))</f>
        <v/>
      </c>
      <c r="L653" s="13" t="n">
        <v>0</v>
      </c>
      <c r="M653" s="14">
        <f>SUMIFS(Maßnahmen!$I$7:$I$126,Maßnahmen!$D$7:$D$126,C653,Maßnahmen!$H$7:$H$126,"&lt;&gt;verworfen")</f>
        <v/>
      </c>
      <c r="N653" s="14">
        <f>IF(ISNUMBER(K653),MAX(0,K653-L653-M653),"n.a.")</f>
        <v/>
      </c>
      <c r="O653" s="14" t="n">
        <v>32.5</v>
      </c>
      <c r="P653" s="14">
        <f>IF(ISNUMBER(K653),K653-O653,"n.a.")</f>
        <v/>
      </c>
    </row>
    <row r="654" ht="32" customHeight="1">
      <c r="C654" s="10" t="inlineStr">
        <is>
          <t>PRJ-4a6f9d1e-RK-13</t>
        </is>
      </c>
      <c r="D654" s="10" t="inlineStr">
        <is>
          <t>P4102608232</t>
        </is>
      </c>
      <c r="E654" s="11" t="inlineStr">
        <is>
          <t>Lärm- und Erschütterungsauflagen</t>
        </is>
      </c>
      <c r="F654" s="10" t="inlineStr">
        <is>
          <t>Emissionen</t>
        </is>
      </c>
      <c r="G654" s="12" t="n">
        <v>0.2</v>
      </c>
      <c r="H654" s="13" t="n">
        <v>100</v>
      </c>
      <c r="I654" s="13" t="n">
        <v>250</v>
      </c>
      <c r="J654" s="13" t="n">
        <v>500</v>
      </c>
      <c r="K654" s="14">
        <f>IF(OR(COUNT(G654:J654)&lt;&gt;4,G654&lt;0,G654&gt;1,H654&gt;I654,I654&gt;J654),"n.a.",ROUND(G654*(H654+4*I654+J654)/6+0.00000001,2))</f>
        <v/>
      </c>
      <c r="L654" s="13" t="n">
        <v>0</v>
      </c>
      <c r="M654" s="14">
        <f>SUMIFS(Maßnahmen!$I$7:$I$126,Maßnahmen!$D$7:$D$126,C654,Maßnahmen!$H$7:$H$126,"&lt;&gt;verworfen")</f>
        <v/>
      </c>
      <c r="N654" s="14">
        <f>IF(ISNUMBER(K654),MAX(0,K654-L654-M654),"n.a.")</f>
        <v/>
      </c>
      <c r="O654" s="14" t="n">
        <v>53.33</v>
      </c>
      <c r="P654" s="14">
        <f>IF(ISNUMBER(K654),K654-O654,"n.a.")</f>
        <v/>
      </c>
    </row>
    <row r="655" ht="32" customHeight="1">
      <c r="C655" s="10" t="inlineStr">
        <is>
          <t>PRJ-4a6f9d1e-RK-14</t>
        </is>
      </c>
      <c r="D655" s="10" t="inlineStr">
        <is>
          <t>P4102608232</t>
        </is>
      </c>
      <c r="E655" s="11" t="inlineStr">
        <is>
          <t>Rechtliche Auflagen / Entsorgungsnachweise (Formalismus)</t>
        </is>
      </c>
      <c r="F655" s="10" t="inlineStr">
        <is>
          <t>Genehmigung</t>
        </is>
      </c>
      <c r="G655" s="12" t="n">
        <v>0.4</v>
      </c>
      <c r="H655" s="13" t="n">
        <v>475</v>
      </c>
      <c r="I655" s="13" t="n">
        <v>925</v>
      </c>
      <c r="J655" s="13" t="n">
        <v>1750</v>
      </c>
      <c r="K655" s="14">
        <f>IF(OR(COUNT(G655:J655)&lt;&gt;4,G655&lt;0,G655&gt;1,H655&gt;I655,I655&gt;J655),"n.a.",ROUND(G655*(H655+4*I655+J655)/6+0.00000001,2))</f>
        <v/>
      </c>
      <c r="L655" s="13" t="n">
        <v>0</v>
      </c>
      <c r="M655" s="14">
        <f>SUMIFS(Maßnahmen!$I$7:$I$126,Maßnahmen!$D$7:$D$126,C655,Maßnahmen!$H$7:$H$126,"&lt;&gt;verworfen")</f>
        <v/>
      </c>
      <c r="N655" s="14">
        <f>IF(ISNUMBER(K655),MAX(0,K655-L655-M655),"n.a.")</f>
        <v/>
      </c>
      <c r="O655" s="14" t="n">
        <v>395</v>
      </c>
      <c r="P655" s="14">
        <f>IF(ISNUMBER(K655),K655-O655,"n.a.")</f>
        <v/>
      </c>
    </row>
    <row r="656" ht="32" customHeight="1">
      <c r="C656" s="10" t="inlineStr">
        <is>
          <t>PRJ-4a6f9d1e-RK-15</t>
        </is>
      </c>
      <c r="D656" s="10" t="inlineStr">
        <is>
          <t>P4102608232</t>
        </is>
      </c>
      <c r="E656" s="11" t="inlineStr">
        <is>
          <t>Konjunktur / Sekundärstoffpreise &amp; Gerätemiete</t>
        </is>
      </c>
      <c r="F656" s="10" t="inlineStr">
        <is>
          <t>Markt</t>
        </is>
      </c>
      <c r="G656" s="12" t="n">
        <v>0.12</v>
      </c>
      <c r="H656" s="13" t="n">
        <v>40</v>
      </c>
      <c r="I656" s="13" t="n">
        <v>100</v>
      </c>
      <c r="J656" s="13" t="n">
        <v>250</v>
      </c>
      <c r="K656" s="14">
        <f>IF(OR(COUNT(G656:J656)&lt;&gt;4,G656&lt;0,G656&gt;1,H656&gt;I656,I656&gt;J656),"n.a.",ROUND(G656*(H656+4*I656+J656)/6+0.00000001,2))</f>
        <v/>
      </c>
      <c r="L656" s="13" t="n">
        <v>0</v>
      </c>
      <c r="M656" s="14">
        <f>SUMIFS(Maßnahmen!$I$7:$I$126,Maßnahmen!$D$7:$D$126,C656,Maßnahmen!$H$7:$H$126,"&lt;&gt;verworfen")</f>
        <v/>
      </c>
      <c r="N656" s="14">
        <f>IF(ISNUMBER(K656),MAX(0,K656-L656-M656),"n.a.")</f>
        <v/>
      </c>
      <c r="O656" s="14" t="n">
        <v>13.8</v>
      </c>
      <c r="P656" s="14">
        <f>IF(ISNUMBER(K656),K656-O656,"n.a.")</f>
        <v/>
      </c>
    </row>
    <row r="657" ht="32" customHeight="1">
      <c r="C657" s="10" t="inlineStr">
        <is>
          <t>PRJ-4a6f9cbb-RK-02</t>
        </is>
      </c>
      <c r="D657" s="10" t="inlineStr">
        <is>
          <t>P4102608268</t>
        </is>
      </c>
      <c r="E657" s="11" t="inlineStr">
        <is>
          <t>Arbeitsschutz kontaminierte Bereiche (TRGS 524)</t>
        </is>
      </c>
      <c r="F657" s="10" t="inlineStr">
        <is>
          <t>Schadstoffe</t>
        </is>
      </c>
      <c r="G657" s="12" t="n">
        <v>0.1</v>
      </c>
      <c r="H657" s="13" t="n">
        <v>5</v>
      </c>
      <c r="I657" s="13" t="n">
        <v>10</v>
      </c>
      <c r="J657" s="13" t="n">
        <v>20</v>
      </c>
      <c r="K657" s="14">
        <f>IF(OR(COUNT(G657:J657)&lt;&gt;4,G657&lt;0,G657&gt;1,H657&gt;I657,I657&gt;J657),"n.a.",ROUND(G657*(H657+4*I657+J657)/6+0.00000001,2))</f>
        <v/>
      </c>
      <c r="L657" s="13" t="n">
        <v>0</v>
      </c>
      <c r="M657" s="14">
        <f>SUMIFS(Maßnahmen!$I$7:$I$126,Maßnahmen!$D$7:$D$126,C657,Maßnahmen!$H$7:$H$126,"&lt;&gt;verworfen")</f>
        <v/>
      </c>
      <c r="N657" s="14">
        <f>IF(ISNUMBER(K657),MAX(0,K657-L657-M657),"n.a.")</f>
        <v/>
      </c>
      <c r="O657" s="14" t="n">
        <v>1.08</v>
      </c>
      <c r="P657" s="14">
        <f>IF(ISNUMBER(K657),K657-O657,"n.a.")</f>
        <v/>
      </c>
    </row>
    <row r="658" ht="32" customHeight="1">
      <c r="C658" s="10" t="inlineStr">
        <is>
          <t>PRJ-4a6f9cbb-RK-03</t>
        </is>
      </c>
      <c r="D658" s="10" t="inlineStr">
        <is>
          <t>P4102608268</t>
        </is>
      </c>
      <c r="E658" s="11" t="inlineStr">
        <is>
          <t>Entsorgungs-Mehrkosten / Entsorgungswege</t>
        </is>
      </c>
      <c r="F658" s="10" t="inlineStr">
        <is>
          <t>Entsorgung</t>
        </is>
      </c>
      <c r="G658" s="12" t="n">
        <v>0.55</v>
      </c>
      <c r="H658" s="13" t="n">
        <v>207</v>
      </c>
      <c r="I658" s="13" t="n">
        <v>377</v>
      </c>
      <c r="J658" s="13" t="n">
        <v>614</v>
      </c>
      <c r="K658" s="14">
        <f>IF(OR(COUNT(G658:J658)&lt;&gt;4,G658&lt;0,G658&gt;1,H658&gt;I658,I658&gt;J658),"n.a.",ROUND(G658*(H658+4*I658+J658)/6+0.00000001,2))</f>
        <v/>
      </c>
      <c r="L658" s="13" t="n">
        <v>0</v>
      </c>
      <c r="M658" s="14">
        <f>SUMIFS(Maßnahmen!$I$7:$I$126,Maßnahmen!$D$7:$D$126,C658,Maßnahmen!$H$7:$H$126,"&lt;&gt;verworfen")</f>
        <v/>
      </c>
      <c r="N658" s="14">
        <f>IF(ISNUMBER(K658),MAX(0,K658-L658-M658),"n.a.")</f>
        <v/>
      </c>
      <c r="O658" s="14" t="n">
        <v>213.49</v>
      </c>
      <c r="P658" s="14">
        <f>IF(ISNUMBER(K658),K658-O658,"n.a.")</f>
        <v/>
      </c>
    </row>
    <row r="659" ht="32" customHeight="1">
      <c r="C659" s="10" t="inlineStr">
        <is>
          <t>PRJ-4a6f9cbb-RK-05</t>
        </is>
      </c>
      <c r="D659" s="10" t="inlineStr">
        <is>
          <t>P4102608268</t>
        </is>
      </c>
      <c r="E659" s="11" t="inlineStr">
        <is>
          <t>Unbekannte Bauwerkskonstruktion / fehlende Pläne</t>
        </is>
      </c>
      <c r="F659" s="10" t="inlineStr">
        <is>
          <t>Statik</t>
        </is>
      </c>
      <c r="G659" s="12" t="n">
        <v>0.22</v>
      </c>
      <c r="H659" s="13" t="n">
        <v>350</v>
      </c>
      <c r="I659" s="13" t="n">
        <v>450</v>
      </c>
      <c r="J659" s="13" t="n">
        <v>650</v>
      </c>
      <c r="K659" s="14">
        <f>IF(OR(COUNT(G659:J659)&lt;&gt;4,G659&lt;0,G659&gt;1,H659&gt;I659,I659&gt;J659),"n.a.",ROUND(G659*(H659+4*I659+J659)/6+0.00000001,2))</f>
        <v/>
      </c>
      <c r="L659" s="13" t="n">
        <v>0</v>
      </c>
      <c r="M659" s="14">
        <f>SUMIFS(Maßnahmen!$I$7:$I$126,Maßnahmen!$D$7:$D$126,C659,Maßnahmen!$H$7:$H$126,"&lt;&gt;verworfen")</f>
        <v/>
      </c>
      <c r="N659" s="14">
        <f>IF(ISNUMBER(K659),MAX(0,K659-L659-M659),"n.a.")</f>
        <v/>
      </c>
      <c r="O659" s="14" t="n">
        <v>102.67</v>
      </c>
      <c r="P659" s="14">
        <f>IF(ISNUMBER(K659),K659-O659,"n.a.")</f>
        <v/>
      </c>
    </row>
    <row r="660" ht="32" customHeight="1">
      <c r="C660" s="10" t="inlineStr">
        <is>
          <t>PRJ-4a6f9cbb-RK-06</t>
        </is>
      </c>
      <c r="D660" s="10" t="inlineStr">
        <is>
          <t>P4102608268</t>
        </is>
      </c>
      <c r="E660" s="11" t="inlineStr">
        <is>
          <t>Statik / Einsturzsicherung während Abbruch</t>
        </is>
      </c>
      <c r="F660" s="10" t="inlineStr">
        <is>
          <t>Statik</t>
        </is>
      </c>
      <c r="G660" s="12" t="n">
        <v>0.45</v>
      </c>
      <c r="H660" s="13" t="n">
        <v>170</v>
      </c>
      <c r="I660" s="13" t="n">
        <v>303</v>
      </c>
      <c r="J660" s="13" t="n">
        <v>514</v>
      </c>
      <c r="K660" s="14">
        <f>IF(OR(COUNT(G660:J660)&lt;&gt;4,G660&lt;0,G660&gt;1,H660&gt;I660,I660&gt;J660),"n.a.",ROUND(G660*(H660+4*I660+J660)/6+0.00000001,2))</f>
        <v/>
      </c>
      <c r="L660" s="13" t="n">
        <v>0</v>
      </c>
      <c r="M660" s="14">
        <f>SUMIFS(Maßnahmen!$I$7:$I$126,Maßnahmen!$D$7:$D$126,C660,Maßnahmen!$H$7:$H$126,"&lt;&gt;verworfen")</f>
        <v/>
      </c>
      <c r="N660" s="14">
        <f>IF(ISNUMBER(K660),MAX(0,K660-L660-M660),"n.a.")</f>
        <v/>
      </c>
      <c r="O660" s="14" t="n">
        <v>142.2</v>
      </c>
      <c r="P660" s="14">
        <f>IF(ISNUMBER(K660),K660-O660,"n.a.")</f>
        <v/>
      </c>
    </row>
    <row r="661" ht="32" customHeight="1">
      <c r="C661" s="10" t="inlineStr">
        <is>
          <t>PRJ-4a6f9cbb-RK-07</t>
        </is>
      </c>
      <c r="D661" s="10" t="inlineStr">
        <is>
          <t>P4102608268</t>
        </is>
      </c>
      <c r="E661" s="11" t="inlineStr">
        <is>
          <t>Unterirdische Tragkonstruktion / Fundamente</t>
        </is>
      </c>
      <c r="F661" s="10" t="inlineStr">
        <is>
          <t>Statik</t>
        </is>
      </c>
      <c r="G661" s="12" t="n">
        <v>0.5</v>
      </c>
      <c r="H661" s="13" t="n">
        <v>52</v>
      </c>
      <c r="I661" s="13" t="n">
        <v>95</v>
      </c>
      <c r="J661" s="13" t="n">
        <v>190</v>
      </c>
      <c r="K661" s="14">
        <f>IF(OR(COUNT(G661:J661)&lt;&gt;4,G661&lt;0,G661&gt;1,H661&gt;I661,I661&gt;J661),"n.a.",ROUND(G661*(H661+4*I661+J661)/6+0.00000001,2))</f>
        <v/>
      </c>
      <c r="L661" s="13" t="n">
        <v>0</v>
      </c>
      <c r="M661" s="14">
        <f>SUMIFS(Maßnahmen!$I$7:$I$126,Maßnahmen!$D$7:$D$126,C661,Maßnahmen!$H$7:$H$126,"&lt;&gt;verworfen")</f>
        <v/>
      </c>
      <c r="N661" s="14">
        <f>IF(ISNUMBER(K661),MAX(0,K661-L661-M661),"n.a.")</f>
        <v/>
      </c>
      <c r="O661" s="14" t="n">
        <v>51.83</v>
      </c>
      <c r="P661" s="14">
        <f>IF(ISNUMBER(K661),K661-O661,"n.a.")</f>
        <v/>
      </c>
    </row>
    <row r="662" ht="32" customHeight="1">
      <c r="C662" s="10" t="inlineStr">
        <is>
          <t>PRJ-4a6f9cbb-RK-08</t>
        </is>
      </c>
      <c r="D662" s="10" t="inlineStr">
        <is>
          <t>P4102608268</t>
        </is>
      </c>
      <c r="E662" s="11" t="inlineStr">
        <is>
          <t>Gebäudehöhe &gt;22 m / Longfront-Bagger (+130–150 %)</t>
        </is>
      </c>
      <c r="F662" s="10" t="inlineStr">
        <is>
          <t>Termin</t>
        </is>
      </c>
      <c r="G662" s="12" t="n">
        <v>0.2</v>
      </c>
      <c r="H662" s="13" t="n">
        <v>10</v>
      </c>
      <c r="I662" s="13" t="n">
        <v>30</v>
      </c>
      <c r="J662" s="13" t="n">
        <v>60</v>
      </c>
      <c r="K662" s="14">
        <f>IF(OR(COUNT(G662:J662)&lt;&gt;4,G662&lt;0,G662&gt;1,H662&gt;I662,I662&gt;J662),"n.a.",ROUND(G662*(H662+4*I662+J662)/6+0.00000001,2))</f>
        <v/>
      </c>
      <c r="L662" s="13" t="n">
        <v>0</v>
      </c>
      <c r="M662" s="14">
        <f>SUMIFS(Maßnahmen!$I$7:$I$126,Maßnahmen!$D$7:$D$126,C662,Maßnahmen!$H$7:$H$126,"&lt;&gt;verworfen")</f>
        <v/>
      </c>
      <c r="N662" s="14">
        <f>IF(ISNUMBER(K662),MAX(0,K662-L662-M662),"n.a.")</f>
        <v/>
      </c>
      <c r="O662" s="14" t="n">
        <v>6.33</v>
      </c>
      <c r="P662" s="14">
        <f>IF(ISNUMBER(K662),K662-O662,"n.a.")</f>
        <v/>
      </c>
    </row>
    <row r="663" ht="32" customHeight="1">
      <c r="C663" s="10" t="inlineStr">
        <is>
          <t>PRJ-4a6f9cbb-RK-09</t>
        </is>
      </c>
      <c r="D663" s="10" t="inlineStr">
        <is>
          <t>P4102608268</t>
        </is>
      </c>
      <c r="E663" s="11" t="inlineStr">
        <is>
          <t>Beennte Lage / nur Handabbruch möglich</t>
        </is>
      </c>
      <c r="F663" s="10" t="inlineStr">
        <is>
          <t>Termin</t>
        </is>
      </c>
      <c r="G663" s="12" t="n">
        <v>0.5</v>
      </c>
      <c r="H663" s="13" t="n">
        <v>350</v>
      </c>
      <c r="I663" s="13" t="n">
        <v>450</v>
      </c>
      <c r="J663" s="13" t="n">
        <v>650</v>
      </c>
      <c r="K663" s="14">
        <f>IF(OR(COUNT(G663:J663)&lt;&gt;4,G663&lt;0,G663&gt;1,H663&gt;I663,I663&gt;J663),"n.a.",ROUND(G663*(H663+4*I663+J663)/6+0.00000001,2))</f>
        <v/>
      </c>
      <c r="L663" s="13" t="n">
        <v>0</v>
      </c>
      <c r="M663" s="14">
        <f>SUMIFS(Maßnahmen!$I$7:$I$126,Maßnahmen!$D$7:$D$126,C663,Maßnahmen!$H$7:$H$126,"&lt;&gt;verworfen")</f>
        <v/>
      </c>
      <c r="N663" s="14">
        <f>IF(ISNUMBER(K663),MAX(0,K663-L663-M663),"n.a.")</f>
        <v/>
      </c>
      <c r="O663" s="14" t="n">
        <v>233.33</v>
      </c>
      <c r="P663" s="14">
        <f>IF(ISNUMBER(K663),K663-O663,"n.a.")</f>
        <v/>
      </c>
    </row>
    <row r="664" ht="32" customHeight="1">
      <c r="C664" s="10" t="inlineStr">
        <is>
          <t>PRJ-4a6f9cbb-RK-11</t>
        </is>
      </c>
      <c r="D664" s="10" t="inlineStr">
        <is>
          <t>P4102608268</t>
        </is>
      </c>
      <c r="E664" s="11" t="inlineStr">
        <is>
          <t>Witterung / Ablaufstörung</t>
        </is>
      </c>
      <c r="F664" s="10" t="inlineStr">
        <is>
          <t>Termin</t>
        </is>
      </c>
      <c r="G664" s="12" t="n">
        <v>0.15</v>
      </c>
      <c r="H664" s="13" t="n">
        <v>10</v>
      </c>
      <c r="I664" s="13" t="n">
        <v>30</v>
      </c>
      <c r="J664" s="13" t="n">
        <v>60</v>
      </c>
      <c r="K664" s="14">
        <f>IF(OR(COUNT(G664:J664)&lt;&gt;4,G664&lt;0,G664&gt;1,H664&gt;I664,I664&gt;J664),"n.a.",ROUND(G664*(H664+4*I664+J664)/6+0.00000001,2))</f>
        <v/>
      </c>
      <c r="L664" s="13" t="n">
        <v>0</v>
      </c>
      <c r="M664" s="14">
        <f>SUMIFS(Maßnahmen!$I$7:$I$126,Maßnahmen!$D$7:$D$126,C664,Maßnahmen!$H$7:$H$126,"&lt;&gt;verworfen")</f>
        <v/>
      </c>
      <c r="N664" s="14">
        <f>IF(ISNUMBER(K664),MAX(0,K664-L664-M664),"n.a.")</f>
        <v/>
      </c>
      <c r="O664" s="14" t="n">
        <v>4.75</v>
      </c>
      <c r="P664" s="14">
        <f>IF(ISNUMBER(K664),K664-O664,"n.a.")</f>
        <v/>
      </c>
    </row>
    <row r="665" ht="32" customHeight="1">
      <c r="C665" s="10" t="inlineStr">
        <is>
          <t>PRJ-4a6f9cbb-RK-13</t>
        </is>
      </c>
      <c r="D665" s="10" t="inlineStr">
        <is>
          <t>P4102608268</t>
        </is>
      </c>
      <c r="E665" s="11" t="inlineStr">
        <is>
          <t>Lärm- und Erschütterungsauflagen</t>
        </is>
      </c>
      <c r="F665" s="10" t="inlineStr">
        <is>
          <t>Emissionen</t>
        </is>
      </c>
      <c r="G665" s="12" t="n">
        <v>0.6</v>
      </c>
      <c r="H665" s="13" t="n">
        <v>350</v>
      </c>
      <c r="I665" s="13" t="n">
        <v>450</v>
      </c>
      <c r="J665" s="13" t="n">
        <v>650</v>
      </c>
      <c r="K665" s="14">
        <f>IF(OR(COUNT(G665:J665)&lt;&gt;4,G665&lt;0,G665&gt;1,H665&gt;I665,I665&gt;J665),"n.a.",ROUND(G665*(H665+4*I665+J665)/6+0.00000001,2))</f>
        <v/>
      </c>
      <c r="L665" s="13" t="n">
        <v>0</v>
      </c>
      <c r="M665" s="14">
        <f>SUMIFS(Maßnahmen!$I$7:$I$126,Maßnahmen!$D$7:$D$126,C665,Maßnahmen!$H$7:$H$126,"&lt;&gt;verworfen")</f>
        <v/>
      </c>
      <c r="N665" s="14">
        <f>IF(ISNUMBER(K665),MAX(0,K665-L665-M665),"n.a.")</f>
        <v/>
      </c>
      <c r="O665" s="14" t="n">
        <v>280</v>
      </c>
      <c r="P665" s="14">
        <f>IF(ISNUMBER(K665),K665-O665,"n.a.")</f>
        <v/>
      </c>
    </row>
    <row r="666" ht="32" customHeight="1">
      <c r="C666" s="10" t="inlineStr">
        <is>
          <t>PRJ-4a6f9cbb-RK-14</t>
        </is>
      </c>
      <c r="D666" s="10" t="inlineStr">
        <is>
          <t>P4102608268</t>
        </is>
      </c>
      <c r="E666" s="11" t="inlineStr">
        <is>
          <t>Rechtliche Auflagen / Entsorgungsnachweise (Formalismus)</t>
        </is>
      </c>
      <c r="F666" s="10" t="inlineStr">
        <is>
          <t>Genehmigung</t>
        </is>
      </c>
      <c r="G666" s="12" t="n">
        <v>0.12</v>
      </c>
      <c r="H666" s="13" t="n">
        <v>15</v>
      </c>
      <c r="I666" s="13" t="n">
        <v>35</v>
      </c>
      <c r="J666" s="13" t="n">
        <v>70</v>
      </c>
      <c r="K666" s="14">
        <f>IF(OR(COUNT(G666:J666)&lt;&gt;4,G666&lt;0,G666&gt;1,H666&gt;I666,I666&gt;J666),"n.a.",ROUND(G666*(H666+4*I666+J666)/6+0.00000001,2))</f>
        <v/>
      </c>
      <c r="L666" s="13" t="n">
        <v>0</v>
      </c>
      <c r="M666" s="14">
        <f>SUMIFS(Maßnahmen!$I$7:$I$126,Maßnahmen!$D$7:$D$126,C666,Maßnahmen!$H$7:$H$126,"&lt;&gt;verworfen")</f>
        <v/>
      </c>
      <c r="N666" s="14">
        <f>IF(ISNUMBER(K666),MAX(0,K666-L666-M666),"n.a.")</f>
        <v/>
      </c>
      <c r="O666" s="14" t="n">
        <v>4.5</v>
      </c>
      <c r="P666" s="14">
        <f>IF(ISNUMBER(K666),K666-O666,"n.a.")</f>
        <v/>
      </c>
    </row>
    <row r="667" ht="32" customHeight="1">
      <c r="C667" s="10" t="inlineStr">
        <is>
          <t>PRJ-4f8e93f7-RK-03</t>
        </is>
      </c>
      <c r="D667" s="10" t="inlineStr">
        <is>
          <t>P4102307422</t>
        </is>
      </c>
      <c r="E667" s="11" t="inlineStr">
        <is>
          <t>Entsorgungs-Mehrkosten / Entsorgungswege</t>
        </is>
      </c>
      <c r="F667" s="10" t="inlineStr">
        <is>
          <t>Entsorgung</t>
        </is>
      </c>
      <c r="G667" s="12" t="n">
        <v>0.521</v>
      </c>
      <c r="H667" s="13" t="n">
        <v>2788</v>
      </c>
      <c r="I667" s="13" t="n">
        <v>5148</v>
      </c>
      <c r="J667" s="13" t="n">
        <v>8476</v>
      </c>
      <c r="K667" s="14">
        <f>IF(OR(COUNT(G667:J667)&lt;&gt;4,G667&lt;0,G667&gt;1,H667&gt;I667,I667&gt;J667),"n.a.",ROUND(G667*(H667+4*I667+J667)/6+0.00000001,2))</f>
        <v/>
      </c>
      <c r="L667" s="13" t="n">
        <v>0</v>
      </c>
      <c r="M667" s="14">
        <f>SUMIFS(Maßnahmen!$I$7:$I$126,Maßnahmen!$D$7:$D$126,C667,Maßnahmen!$H$7:$H$126,"&lt;&gt;verworfen")</f>
        <v/>
      </c>
      <c r="N667" s="14">
        <f>IF(ISNUMBER(K667),MAX(0,K667-L667-M667),"n.a.")</f>
        <v/>
      </c>
      <c r="O667" s="14" t="n">
        <v>2766.16</v>
      </c>
      <c r="P667" s="14">
        <f>IF(ISNUMBER(K667),K667-O667,"n.a.")</f>
        <v/>
      </c>
    </row>
    <row r="668" ht="32" customHeight="1">
      <c r="C668" s="10" t="inlineStr">
        <is>
          <t>PRJ-4f8e93f7-RK-06</t>
        </is>
      </c>
      <c r="D668" s="10" t="inlineStr">
        <is>
          <t>P4102307422</t>
        </is>
      </c>
      <c r="E668" s="11" t="inlineStr">
        <is>
          <t>Statik / Einsturzsicherung während Abbruch</t>
        </is>
      </c>
      <c r="F668" s="10" t="inlineStr">
        <is>
          <t>Statik</t>
        </is>
      </c>
      <c r="G668" s="12" t="n">
        <v>0.289</v>
      </c>
      <c r="H668" s="13" t="n">
        <v>2361</v>
      </c>
      <c r="I668" s="13" t="n">
        <v>4294</v>
      </c>
      <c r="J668" s="13" t="n">
        <v>7375</v>
      </c>
      <c r="K668" s="14">
        <f>IF(OR(COUNT(G668:J668)&lt;&gt;4,G668&lt;0,G668&gt;1,H668&gt;I668,I668&gt;J668),"n.a.",ROUND(G668*(H668+4*I668+J668)/6+0.00000001,2))</f>
        <v/>
      </c>
      <c r="L668" s="13" t="n">
        <v>0</v>
      </c>
      <c r="M668" s="14">
        <f>SUMIFS(Maßnahmen!$I$7:$I$126,Maßnahmen!$D$7:$D$126,C668,Maßnahmen!$H$7:$H$126,"&lt;&gt;verworfen")</f>
        <v/>
      </c>
      <c r="N668" s="14">
        <f>IF(ISNUMBER(K668),MAX(0,K668-L668-M668),"n.a.")</f>
        <v/>
      </c>
      <c r="O668" s="14" t="n">
        <v>1296.26</v>
      </c>
      <c r="P668" s="14">
        <f>IF(ISNUMBER(K668),K668-O668,"n.a.")</f>
        <v/>
      </c>
    </row>
    <row r="669" ht="32" customHeight="1">
      <c r="C669" s="10" t="inlineStr">
        <is>
          <t>PRJ-4f8e93f7-RK-07</t>
        </is>
      </c>
      <c r="D669" s="10" t="inlineStr">
        <is>
          <t>P4102307422</t>
        </is>
      </c>
      <c r="E669" s="11" t="inlineStr">
        <is>
          <t>Unterirdische Tragkonstruktion / Fundamente</t>
        </is>
      </c>
      <c r="F669" s="10" t="inlineStr">
        <is>
          <t>Statik</t>
        </is>
      </c>
      <c r="G669" s="12" t="n">
        <v>0.418</v>
      </c>
      <c r="H669" s="13" t="n">
        <v>697</v>
      </c>
      <c r="I669" s="13" t="n">
        <v>1331</v>
      </c>
      <c r="J669" s="13" t="n">
        <v>2721</v>
      </c>
      <c r="K669" s="14">
        <f>IF(OR(COUNT(G669:J669)&lt;&gt;4,G669&lt;0,G669&gt;1,H669&gt;I669,I669&gt;J669),"n.a.",ROUND(G669*(H669+4*I669+J669)/6+0.00000001,2))</f>
        <v/>
      </c>
      <c r="L669" s="13" t="n">
        <v>0</v>
      </c>
      <c r="M669" s="14">
        <f>SUMIFS(Maßnahmen!$I$7:$I$126,Maßnahmen!$D$7:$D$126,C669,Maßnahmen!$H$7:$H$126,"&lt;&gt;verworfen")</f>
        <v/>
      </c>
      <c r="N669" s="14">
        <f>IF(ISNUMBER(K669),MAX(0,K669-L669-M669),"n.a.")</f>
        <v/>
      </c>
      <c r="O669" s="14" t="n">
        <v>609.03</v>
      </c>
      <c r="P669" s="14">
        <f>IF(ISNUMBER(K669),K669-O669,"n.a.")</f>
        <v/>
      </c>
    </row>
    <row r="670" ht="32" customHeight="1">
      <c r="C670" s="10" t="inlineStr">
        <is>
          <t>PRJ-4f8e93f7-RK-08</t>
        </is>
      </c>
      <c r="D670" s="10" t="inlineStr">
        <is>
          <t>P4102307422</t>
        </is>
      </c>
      <c r="E670" s="11" t="inlineStr">
        <is>
          <t>Gebäudehöhe &gt;22 m / Longfront-Bagger (+130–150 %)</t>
        </is>
      </c>
      <c r="F670" s="10" t="inlineStr">
        <is>
          <t>Termin</t>
        </is>
      </c>
      <c r="G670" s="12" t="n">
        <v>0.504</v>
      </c>
      <c r="H670" s="13" t="n">
        <v>1274</v>
      </c>
      <c r="I670" s="13" t="n">
        <v>2591</v>
      </c>
      <c r="J670" s="13" t="n">
        <v>4909</v>
      </c>
      <c r="K670" s="14">
        <f>IF(OR(COUNT(G670:J670)&lt;&gt;4,G670&lt;0,G670&gt;1,H670&gt;I670,I670&gt;J670),"n.a.",ROUND(G670*(H670+4*I670+J670)/6+0.00000001,2))</f>
        <v/>
      </c>
      <c r="L670" s="13" t="n">
        <v>0</v>
      </c>
      <c r="M670" s="14">
        <f>SUMIFS(Maßnahmen!$I$7:$I$126,Maßnahmen!$D$7:$D$126,C670,Maßnahmen!$H$7:$H$126,"&lt;&gt;verworfen")</f>
        <v/>
      </c>
      <c r="N670" s="14">
        <f>IF(ISNUMBER(K670),MAX(0,K670-L670-M670),"n.a.")</f>
        <v/>
      </c>
      <c r="O670" s="14" t="n">
        <v>1389.95</v>
      </c>
      <c r="P670" s="14">
        <f>IF(ISNUMBER(K670),K670-O670,"n.a.")</f>
        <v/>
      </c>
    </row>
    <row r="671" ht="32" customHeight="1">
      <c r="C671" s="10" t="inlineStr">
        <is>
          <t>PRJ-4f8e93f7-RK-12</t>
        </is>
      </c>
      <c r="D671" s="10" t="inlineStr">
        <is>
          <t>P4102307422</t>
        </is>
      </c>
      <c r="E671" s="11" t="inlineStr">
        <is>
          <t>Staubemissionen (höchster Aufwand laut Umfrage)</t>
        </is>
      </c>
      <c r="F671" s="10" t="inlineStr">
        <is>
          <t>Emissionen</t>
        </is>
      </c>
      <c r="G671" s="12" t="n">
        <v>0.1</v>
      </c>
      <c r="H671" s="13" t="n">
        <v>540</v>
      </c>
      <c r="I671" s="13" t="n">
        <v>1080</v>
      </c>
      <c r="J671" s="13" t="n">
        <v>2159</v>
      </c>
      <c r="K671" s="14">
        <f>IF(OR(COUNT(G671:J671)&lt;&gt;4,G671&lt;0,G671&gt;1,H671&gt;I671,I671&gt;J671),"n.a.",ROUND(G671*(H671+4*I671+J671)/6+0.00000001,2))</f>
        <v/>
      </c>
      <c r="L671" s="13" t="n">
        <v>0</v>
      </c>
      <c r="M671" s="14">
        <f>SUMIFS(Maßnahmen!$I$7:$I$126,Maßnahmen!$D$7:$D$126,C671,Maßnahmen!$H$7:$H$126,"&lt;&gt;verworfen")</f>
        <v/>
      </c>
      <c r="N671" s="14">
        <f>IF(ISNUMBER(K671),MAX(0,K671-L671-M671),"n.a.")</f>
        <v/>
      </c>
      <c r="O671" s="14" t="n">
        <v>116.98</v>
      </c>
      <c r="P671" s="14">
        <f>IF(ISNUMBER(K671),K671-O671,"n.a.")</f>
        <v/>
      </c>
    </row>
    <row r="672" ht="32" customHeight="1">
      <c r="C672" s="10" t="inlineStr">
        <is>
          <t>PRJ-4f8e93f7-RK-13</t>
        </is>
      </c>
      <c r="D672" s="10" t="inlineStr">
        <is>
          <t>P4102307422</t>
        </is>
      </c>
      <c r="E672" s="11" t="inlineStr">
        <is>
          <t>Lärm- und Erschütterungsauflagen</t>
        </is>
      </c>
      <c r="F672" s="10" t="inlineStr">
        <is>
          <t>Emissionen</t>
        </is>
      </c>
      <c r="G672" s="12" t="n">
        <v>0.2</v>
      </c>
      <c r="H672" s="13" t="n">
        <v>360</v>
      </c>
      <c r="I672" s="13" t="n">
        <v>900</v>
      </c>
      <c r="J672" s="13" t="n">
        <v>1800</v>
      </c>
      <c r="K672" s="14">
        <f>IF(OR(COUNT(G672:J672)&lt;&gt;4,G672&lt;0,G672&gt;1,H672&gt;I672,I672&gt;J672),"n.a.",ROUND(G672*(H672+4*I672+J672)/6+0.00000001,2))</f>
        <v/>
      </c>
      <c r="L672" s="13" t="n">
        <v>0</v>
      </c>
      <c r="M672" s="14">
        <f>SUMIFS(Maßnahmen!$I$7:$I$126,Maßnahmen!$D$7:$D$126,C672,Maßnahmen!$H$7:$H$126,"&lt;&gt;verworfen")</f>
        <v/>
      </c>
      <c r="N672" s="14">
        <f>IF(ISNUMBER(K672),MAX(0,K672-L672-M672),"n.a.")</f>
        <v/>
      </c>
      <c r="O672" s="14" t="n">
        <v>192</v>
      </c>
      <c r="P672" s="14">
        <f>IF(ISNUMBER(K672),K672-O672,"n.a.")</f>
        <v/>
      </c>
    </row>
    <row r="673" ht="32" customHeight="1">
      <c r="C673" s="10" t="inlineStr">
        <is>
          <t>PRJ-4f8e93f7-RK-14</t>
        </is>
      </c>
      <c r="D673" s="10" t="inlineStr">
        <is>
          <t>P4102307422</t>
        </is>
      </c>
      <c r="E673" s="11" t="inlineStr">
        <is>
          <t>Rechtliche Auflagen / Entsorgungsnachweise (Formalismus)</t>
        </is>
      </c>
      <c r="F673" s="10" t="inlineStr">
        <is>
          <t>Genehmigung</t>
        </is>
      </c>
      <c r="G673" s="12" t="n">
        <v>0.386</v>
      </c>
      <c r="H673" s="13" t="n">
        <v>1364</v>
      </c>
      <c r="I673" s="13" t="n">
        <v>2681</v>
      </c>
      <c r="J673" s="13" t="n">
        <v>5089</v>
      </c>
      <c r="K673" s="14">
        <f>IF(OR(COUNT(G673:J673)&lt;&gt;4,G673&lt;0,G673&gt;1,H673&gt;I673,I673&gt;J673),"n.a.",ROUND(G673*(H673+4*I673+J673)/6+0.00000001,2))</f>
        <v/>
      </c>
      <c r="L673" s="13" t="n">
        <v>0</v>
      </c>
      <c r="M673" s="14">
        <f>SUMIFS(Maßnahmen!$I$7:$I$126,Maßnahmen!$D$7:$D$126,C673,Maßnahmen!$H$7:$H$126,"&lt;&gt;verworfen")</f>
        <v/>
      </c>
      <c r="N673" s="14">
        <f>IF(ISNUMBER(K673),MAX(0,K673-L673-M673),"n.a.")</f>
        <v/>
      </c>
      <c r="O673" s="14" t="n">
        <v>1105.05</v>
      </c>
      <c r="P673" s="14">
        <f>IF(ISNUMBER(K673),K673-O673,"n.a.")</f>
        <v/>
      </c>
    </row>
    <row r="674" ht="32" customHeight="1">
      <c r="C674" s="10" t="inlineStr">
        <is>
          <t>PRJ-4f8e93f7-RK-15</t>
        </is>
      </c>
      <c r="D674" s="10" t="inlineStr">
        <is>
          <t>P4102307422</t>
        </is>
      </c>
      <c r="E674" s="11" t="inlineStr">
        <is>
          <t>Konjunktur / Sekundärstoffpreise &amp; Gerätemiete</t>
        </is>
      </c>
      <c r="F674" s="10" t="inlineStr">
        <is>
          <t>Markt</t>
        </is>
      </c>
      <c r="G674" s="12" t="n">
        <v>0.12</v>
      </c>
      <c r="H674" s="13" t="n">
        <v>144</v>
      </c>
      <c r="I674" s="13" t="n">
        <v>360</v>
      </c>
      <c r="J674" s="13" t="n">
        <v>900</v>
      </c>
      <c r="K674" s="14">
        <f>IF(OR(COUNT(G674:J674)&lt;&gt;4,G674&lt;0,G674&gt;1,H674&gt;I674,I674&gt;J674),"n.a.",ROUND(G674*(H674+4*I674+J674)/6+0.00000001,2))</f>
        <v/>
      </c>
      <c r="L674" s="13" t="n">
        <v>0</v>
      </c>
      <c r="M674" s="14">
        <f>SUMIFS(Maßnahmen!$I$7:$I$126,Maßnahmen!$D$7:$D$126,C674,Maßnahmen!$H$7:$H$126,"&lt;&gt;verworfen")</f>
        <v/>
      </c>
      <c r="N674" s="14">
        <f>IF(ISNUMBER(K674),MAX(0,K674-L674-M674),"n.a.")</f>
        <v/>
      </c>
      <c r="O674" s="14" t="n">
        <v>49.68</v>
      </c>
      <c r="P674" s="14">
        <f>IF(ISNUMBER(K674),K674-O674,"n.a.")</f>
        <v/>
      </c>
    </row>
    <row r="675" ht="32" customHeight="1">
      <c r="C675" s="10" t="inlineStr">
        <is>
          <t>PRJ-4a715fd4-RK-05</t>
        </is>
      </c>
      <c r="D675" s="10" t="inlineStr">
        <is>
          <t>P4102604612</t>
        </is>
      </c>
      <c r="E675" s="11" t="inlineStr">
        <is>
          <t>Unbekannte Bauwerkskonstruktion / fehlende Pläne</t>
        </is>
      </c>
      <c r="F675" s="10" t="inlineStr">
        <is>
          <t>Statik</t>
        </is>
      </c>
      <c r="G675" s="12" t="n">
        <v>0.12</v>
      </c>
      <c r="H675" s="13" t="n">
        <v>430</v>
      </c>
      <c r="I675" s="13" t="n">
        <v>848</v>
      </c>
      <c r="J675" s="13" t="n">
        <v>1571</v>
      </c>
      <c r="K675" s="14">
        <f>IF(OR(COUNT(G675:J675)&lt;&gt;4,G675&lt;0,G675&gt;1,H675&gt;I675,I675&gt;J675),"n.a.",ROUND(G675*(H675+4*I675+J675)/6+0.00000001,2))</f>
        <v/>
      </c>
      <c r="L675" s="13" t="n">
        <v>0</v>
      </c>
      <c r="M675" s="14">
        <f>SUMIFS(Maßnahmen!$I$7:$I$126,Maßnahmen!$D$7:$D$126,C675,Maßnahmen!$H$7:$H$126,"&lt;&gt;verworfen")</f>
        <v/>
      </c>
      <c r="N675" s="14">
        <f>IF(ISNUMBER(K675),MAX(0,K675-L675-M675),"n.a.")</f>
        <v/>
      </c>
      <c r="O675" s="14" t="n">
        <v>107.86</v>
      </c>
      <c r="P675" s="14">
        <f>IF(ISNUMBER(K675),K675-O675,"n.a.")</f>
        <v/>
      </c>
    </row>
    <row r="676" ht="32" customHeight="1">
      <c r="C676" s="10" t="inlineStr">
        <is>
          <t>PRJ-4a715fd4-RK-08</t>
        </is>
      </c>
      <c r="D676" s="10" t="inlineStr">
        <is>
          <t>P4102604612</t>
        </is>
      </c>
      <c r="E676" s="11" t="inlineStr">
        <is>
          <t>Gebäudehöhe &gt;22 m / Longfront-Bagger (+130–150 %)</t>
        </is>
      </c>
      <c r="F676" s="10" t="inlineStr">
        <is>
          <t>Termin</t>
        </is>
      </c>
      <c r="G676" s="12" t="n">
        <v>0.589</v>
      </c>
      <c r="H676" s="13" t="n">
        <v>858</v>
      </c>
      <c r="I676" s="13" t="n">
        <v>1719</v>
      </c>
      <c r="J676" s="13" t="n">
        <v>3248</v>
      </c>
      <c r="K676" s="14">
        <f>IF(OR(COUNT(G676:J676)&lt;&gt;4,G676&lt;0,G676&gt;1,H676&gt;I676,I676&gt;J676),"n.a.",ROUND(G676*(H676+4*I676+J676)/6+0.00000001,2))</f>
        <v/>
      </c>
      <c r="L676" s="13" t="n">
        <v>0</v>
      </c>
      <c r="M676" s="14">
        <f>SUMIFS(Maßnahmen!$I$7:$I$126,Maßnahmen!$D$7:$D$126,C676,Maßnahmen!$H$7:$H$126,"&lt;&gt;verworfen")</f>
        <v/>
      </c>
      <c r="N676" s="14">
        <f>IF(ISNUMBER(K676),MAX(0,K676-L676-M676),"n.a.")</f>
        <v/>
      </c>
      <c r="O676" s="14" t="n">
        <v>1078.07</v>
      </c>
      <c r="P676" s="14">
        <f>IF(ISNUMBER(K676),K676-O676,"n.a.")</f>
        <v/>
      </c>
    </row>
    <row r="677" ht="32" customHeight="1">
      <c r="C677" s="10" t="inlineStr">
        <is>
          <t>PRJ-4a715fd4-RK-09</t>
        </is>
      </c>
      <c r="D677" s="10" t="inlineStr">
        <is>
          <t>P4102604612</t>
        </is>
      </c>
      <c r="E677" s="11" t="inlineStr">
        <is>
          <t>Beennte Lage / nur Handabbruch möglich</t>
        </is>
      </c>
      <c r="F677" s="10" t="inlineStr">
        <is>
          <t>Termin</t>
        </is>
      </c>
      <c r="G677" s="12" t="n">
        <v>0.159</v>
      </c>
      <c r="H677" s="13" t="n">
        <v>91</v>
      </c>
      <c r="I677" s="13" t="n">
        <v>222</v>
      </c>
      <c r="J677" s="13" t="n">
        <v>541</v>
      </c>
      <c r="K677" s="14">
        <f>IF(OR(COUNT(G677:J677)&lt;&gt;4,G677&lt;0,G677&gt;1,H677&gt;I677,I677&gt;J677),"n.a.",ROUND(G677*(H677+4*I677+J677)/6+0.00000001,2))</f>
        <v/>
      </c>
      <c r="L677" s="13" t="n">
        <v>0</v>
      </c>
      <c r="M677" s="14">
        <f>SUMIFS(Maßnahmen!$I$7:$I$126,Maßnahmen!$D$7:$D$126,C677,Maßnahmen!$H$7:$H$126,"&lt;&gt;verworfen")</f>
        <v/>
      </c>
      <c r="N677" s="14">
        <f>IF(ISNUMBER(K677),MAX(0,K677-L677-M677),"n.a.")</f>
        <v/>
      </c>
      <c r="O677" s="14" t="n">
        <v>40.28</v>
      </c>
      <c r="P677" s="14">
        <f>IF(ISNUMBER(K677),K677-O677,"n.a.")</f>
        <v/>
      </c>
    </row>
    <row r="678" ht="32" customHeight="1">
      <c r="C678" s="10" t="inlineStr">
        <is>
          <t>PRJ-4a6f9cbd-RK-05</t>
        </is>
      </c>
      <c r="D678" s="10" t="inlineStr">
        <is>
          <t>P4102608266</t>
        </is>
      </c>
      <c r="E678" s="11" t="inlineStr">
        <is>
          <t>Unbekannte Bauwerkskonstruktion / fehlende Pläne</t>
        </is>
      </c>
      <c r="F678" s="10" t="inlineStr">
        <is>
          <t>Statik</t>
        </is>
      </c>
      <c r="G678" s="12" t="n">
        <v>0.12</v>
      </c>
      <c r="H678" s="13" t="n">
        <v>40</v>
      </c>
      <c r="I678" s="13" t="n">
        <v>80</v>
      </c>
      <c r="J678" s="13" t="n">
        <v>150</v>
      </c>
      <c r="K678" s="14">
        <f>IF(OR(COUNT(G678:J678)&lt;&gt;4,G678&lt;0,G678&gt;1,H678&gt;I678,I678&gt;J678),"n.a.",ROUND(G678*(H678+4*I678+J678)/6+0.00000001,2))</f>
        <v/>
      </c>
      <c r="L678" s="13" t="n">
        <v>0</v>
      </c>
      <c r="M678" s="14">
        <f>SUMIFS(Maßnahmen!$I$7:$I$126,Maßnahmen!$D$7:$D$126,C678,Maßnahmen!$H$7:$H$126,"&lt;&gt;verworfen")</f>
        <v/>
      </c>
      <c r="N678" s="14">
        <f>IF(ISNUMBER(K678),MAX(0,K678-L678-M678),"n.a.")</f>
        <v/>
      </c>
      <c r="O678" s="14" t="n">
        <v>10.2</v>
      </c>
      <c r="P678" s="14">
        <f>IF(ISNUMBER(K678),K678-O678,"n.a.")</f>
        <v/>
      </c>
    </row>
    <row r="679" ht="32" customHeight="1">
      <c r="C679" s="10" t="inlineStr">
        <is>
          <t>PRJ-4a6f9cbd-RK-06</t>
        </is>
      </c>
      <c r="D679" s="10" t="inlineStr">
        <is>
          <t>P4102608266</t>
        </is>
      </c>
      <c r="E679" s="11" t="inlineStr">
        <is>
          <t>Statik / Einsturzsicherung während Abbruch</t>
        </is>
      </c>
      <c r="F679" s="10" t="inlineStr">
        <is>
          <t>Statik</t>
        </is>
      </c>
      <c r="G679" s="12" t="n">
        <v>0.45</v>
      </c>
      <c r="H679" s="13" t="n">
        <v>179</v>
      </c>
      <c r="I679" s="13" t="n">
        <v>318</v>
      </c>
      <c r="J679" s="13" t="n">
        <v>536</v>
      </c>
      <c r="K679" s="14">
        <f>IF(OR(COUNT(G679:J679)&lt;&gt;4,G679&lt;0,G679&gt;1,H679&gt;I679,I679&gt;J679),"n.a.",ROUND(G679*(H679+4*I679+J679)/6+0.00000001,2))</f>
        <v/>
      </c>
      <c r="L679" s="13" t="n">
        <v>0</v>
      </c>
      <c r="M679" s="14">
        <f>SUMIFS(Maßnahmen!$I$7:$I$126,Maßnahmen!$D$7:$D$126,C679,Maßnahmen!$H$7:$H$126,"&lt;&gt;verworfen")</f>
        <v/>
      </c>
      <c r="N679" s="14">
        <f>IF(ISNUMBER(K679),MAX(0,K679-L679-M679),"n.a.")</f>
        <v/>
      </c>
      <c r="O679" s="14" t="n">
        <v>149.03</v>
      </c>
      <c r="P679" s="14">
        <f>IF(ISNUMBER(K679),K679-O679,"n.a.")</f>
        <v/>
      </c>
    </row>
    <row r="680" ht="32" customHeight="1">
      <c r="C680" s="10" t="inlineStr">
        <is>
          <t>PRJ-4a6f9cbd-RK-07</t>
        </is>
      </c>
      <c r="D680" s="10" t="inlineStr">
        <is>
          <t>P4102608266</t>
        </is>
      </c>
      <c r="E680" s="11" t="inlineStr">
        <is>
          <t>Unterirdische Tragkonstruktion / Fundamente</t>
        </is>
      </c>
      <c r="F680" s="10" t="inlineStr">
        <is>
          <t>Statik</t>
        </is>
      </c>
      <c r="G680" s="12" t="n">
        <v>0.3</v>
      </c>
      <c r="H680" s="13" t="n">
        <v>55</v>
      </c>
      <c r="I680" s="13" t="n">
        <v>99</v>
      </c>
      <c r="J680" s="13" t="n">
        <v>199</v>
      </c>
      <c r="K680" s="14">
        <f>IF(OR(COUNT(G680:J680)&lt;&gt;4,G680&lt;0,G680&gt;1,H680&gt;I680,I680&gt;J680),"n.a.",ROUND(G680*(H680+4*I680+J680)/6+0.00000001,2))</f>
        <v/>
      </c>
      <c r="L680" s="13" t="n">
        <v>0</v>
      </c>
      <c r="M680" s="14">
        <f>SUMIFS(Maßnahmen!$I$7:$I$126,Maßnahmen!$D$7:$D$126,C680,Maßnahmen!$H$7:$H$126,"&lt;&gt;verworfen")</f>
        <v/>
      </c>
      <c r="N680" s="14">
        <f>IF(ISNUMBER(K680),MAX(0,K680-L680-M680),"n.a.")</f>
        <v/>
      </c>
      <c r="O680" s="14" t="n">
        <v>32.5</v>
      </c>
      <c r="P680" s="14">
        <f>IF(ISNUMBER(K680),K680-O680,"n.a.")</f>
        <v/>
      </c>
    </row>
    <row r="681" ht="32" customHeight="1">
      <c r="C681" s="10" t="inlineStr">
        <is>
          <t>PRJ-4a6f9cbd-RK-08</t>
        </is>
      </c>
      <c r="D681" s="10" t="inlineStr">
        <is>
          <t>P4102608266</t>
        </is>
      </c>
      <c r="E681" s="11" t="inlineStr">
        <is>
          <t>Gebäudehöhe &gt;22 m / Longfront-Bagger (+130–150 %)</t>
        </is>
      </c>
      <c r="F681" s="10" t="inlineStr">
        <is>
          <t>Termin</t>
        </is>
      </c>
      <c r="G681" s="12" t="n">
        <v>0.504</v>
      </c>
      <c r="H681" s="13" t="n">
        <v>71</v>
      </c>
      <c r="I681" s="13" t="n">
        <v>144</v>
      </c>
      <c r="J681" s="13" t="n">
        <v>273</v>
      </c>
      <c r="K681" s="14">
        <f>IF(OR(COUNT(G681:J681)&lt;&gt;4,G681&lt;0,G681&gt;1,H681&gt;I681,I681&gt;J681),"n.a.",ROUND(G681*(H681+4*I681+J681)/6+0.00000001,2))</f>
        <v/>
      </c>
      <c r="L681" s="13" t="n">
        <v>0</v>
      </c>
      <c r="M681" s="14">
        <f>SUMIFS(Maßnahmen!$I$7:$I$126,Maßnahmen!$D$7:$D$126,C681,Maßnahmen!$H$7:$H$126,"&lt;&gt;verworfen")</f>
        <v/>
      </c>
      <c r="N681" s="14">
        <f>IF(ISNUMBER(K681),MAX(0,K681-L681-M681),"n.a.")</f>
        <v/>
      </c>
      <c r="O681" s="14" t="n">
        <v>77.28</v>
      </c>
      <c r="P681" s="14">
        <f>IF(ISNUMBER(K681),K681-O681,"n.a.")</f>
        <v/>
      </c>
    </row>
    <row r="682" ht="32" customHeight="1">
      <c r="C682" s="10" t="inlineStr">
        <is>
          <t>PRJ-4a6f9cbd-RK-09</t>
        </is>
      </c>
      <c r="D682" s="10" t="inlineStr">
        <is>
          <t>P4102608266</t>
        </is>
      </c>
      <c r="E682" s="11" t="inlineStr">
        <is>
          <t>Beennte Lage / nur Handabbruch möglich</t>
        </is>
      </c>
      <c r="F682" s="10" t="inlineStr">
        <is>
          <t>Termin</t>
        </is>
      </c>
      <c r="G682" s="12" t="n">
        <v>0.15</v>
      </c>
      <c r="H682" s="13" t="n">
        <v>8</v>
      </c>
      <c r="I682" s="13" t="n">
        <v>20</v>
      </c>
      <c r="J682" s="13" t="n">
        <v>50</v>
      </c>
      <c r="K682" s="14">
        <f>IF(OR(COUNT(G682:J682)&lt;&gt;4,G682&lt;0,G682&gt;1,H682&gt;I682,I682&gt;J682),"n.a.",ROUND(G682*(H682+4*I682+J682)/6+0.00000001,2))</f>
        <v/>
      </c>
      <c r="L682" s="13" t="n">
        <v>0</v>
      </c>
      <c r="M682" s="14">
        <f>SUMIFS(Maßnahmen!$I$7:$I$126,Maßnahmen!$D$7:$D$126,C682,Maßnahmen!$H$7:$H$126,"&lt;&gt;verworfen")</f>
        <v/>
      </c>
      <c r="N682" s="14">
        <f>IF(ISNUMBER(K682),MAX(0,K682-L682-M682),"n.a.")</f>
        <v/>
      </c>
      <c r="O682" s="14" t="n">
        <v>3.45</v>
      </c>
      <c r="P682" s="14">
        <f>IF(ISNUMBER(K682),K682-O682,"n.a.")</f>
        <v/>
      </c>
    </row>
    <row r="683" ht="32" customHeight="1">
      <c r="C683" s="10" t="inlineStr">
        <is>
          <t>PRJ-4a6f9cbd-RK-10</t>
        </is>
      </c>
      <c r="D683" s="10" t="inlineStr">
        <is>
          <t>P4102608266</t>
        </is>
      </c>
      <c r="E683" s="11" t="inlineStr">
        <is>
          <t>Terminvorgabe Auftraggeber / Geräteauslastung</t>
        </is>
      </c>
      <c r="F683" s="10" t="inlineStr">
        <is>
          <t>Termin</t>
        </is>
      </c>
      <c r="G683" s="12" t="n">
        <v>0.08</v>
      </c>
      <c r="H683" s="13" t="n">
        <v>5</v>
      </c>
      <c r="I683" s="13" t="n">
        <v>10</v>
      </c>
      <c r="J683" s="13" t="n">
        <v>20</v>
      </c>
      <c r="K683" s="14">
        <f>IF(OR(COUNT(G683:J683)&lt;&gt;4,G683&lt;0,G683&gt;1,H683&gt;I683,I683&gt;J683),"n.a.",ROUND(G683*(H683+4*I683+J683)/6+0.00000001,2))</f>
        <v/>
      </c>
      <c r="L683" s="13" t="n">
        <v>0</v>
      </c>
      <c r="M683" s="14">
        <f>SUMIFS(Maßnahmen!$I$7:$I$126,Maßnahmen!$D$7:$D$126,C683,Maßnahmen!$H$7:$H$126,"&lt;&gt;verworfen")</f>
        <v/>
      </c>
      <c r="N683" s="14">
        <f>IF(ISNUMBER(K683),MAX(0,K683-L683-M683),"n.a.")</f>
        <v/>
      </c>
      <c r="O683" s="14" t="n">
        <v>0.87</v>
      </c>
      <c r="P683" s="14">
        <f>IF(ISNUMBER(K683),K683-O683,"n.a.")</f>
        <v/>
      </c>
    </row>
    <row r="684" ht="32" customHeight="1">
      <c r="C684" s="10" t="inlineStr">
        <is>
          <t>PRJ-4a6f9cbd-RK-11</t>
        </is>
      </c>
      <c r="D684" s="10" t="inlineStr">
        <is>
          <t>P4102608266</t>
        </is>
      </c>
      <c r="E684" s="11" t="inlineStr">
        <is>
          <t>Witterung / Ablaufstörung</t>
        </is>
      </c>
      <c r="F684" s="10" t="inlineStr">
        <is>
          <t>Termin</t>
        </is>
      </c>
      <c r="G684" s="12" t="n">
        <v>0.25</v>
      </c>
      <c r="H684" s="13" t="n">
        <v>10</v>
      </c>
      <c r="I684" s="13" t="n">
        <v>30</v>
      </c>
      <c r="J684" s="13" t="n">
        <v>60</v>
      </c>
      <c r="K684" s="14">
        <f>IF(OR(COUNT(G684:J684)&lt;&gt;4,G684&lt;0,G684&gt;1,H684&gt;I684,I684&gt;J684),"n.a.",ROUND(G684*(H684+4*I684+J684)/6+0.00000001,2))</f>
        <v/>
      </c>
      <c r="L684" s="13" t="n">
        <v>0</v>
      </c>
      <c r="M684" s="14">
        <f>SUMIFS(Maßnahmen!$I$7:$I$126,Maßnahmen!$D$7:$D$126,C684,Maßnahmen!$H$7:$H$126,"&lt;&gt;verworfen")</f>
        <v/>
      </c>
      <c r="N684" s="14">
        <f>IF(ISNUMBER(K684),MAX(0,K684-L684-M684),"n.a.")</f>
        <v/>
      </c>
      <c r="O684" s="14" t="n">
        <v>7.92</v>
      </c>
      <c r="P684" s="14">
        <f>IF(ISNUMBER(K684),K684-O684,"n.a.")</f>
        <v/>
      </c>
    </row>
    <row r="685" ht="32" customHeight="1">
      <c r="C685" s="10" t="inlineStr">
        <is>
          <t>PRJ-4a6f9cbd-RK-12</t>
        </is>
      </c>
      <c r="D685" s="10" t="inlineStr">
        <is>
          <t>P4102608266</t>
        </is>
      </c>
      <c r="E685" s="11" t="inlineStr">
        <is>
          <t>Staubemissionen (höchster Aufwand laut Umfrage)</t>
        </is>
      </c>
      <c r="F685" s="10" t="inlineStr">
        <is>
          <t>Emissionen</t>
        </is>
      </c>
      <c r="G685" s="12" t="n">
        <v>0.1</v>
      </c>
      <c r="H685" s="13" t="n">
        <v>30</v>
      </c>
      <c r="I685" s="13" t="n">
        <v>60</v>
      </c>
      <c r="J685" s="13" t="n">
        <v>120</v>
      </c>
      <c r="K685" s="14">
        <f>IF(OR(COUNT(G685:J685)&lt;&gt;4,G685&lt;0,G685&gt;1,H685&gt;I685,I685&gt;J685),"n.a.",ROUND(G685*(H685+4*I685+J685)/6+0.00000001,2))</f>
        <v/>
      </c>
      <c r="L685" s="13" t="n">
        <v>0</v>
      </c>
      <c r="M685" s="14">
        <f>SUMIFS(Maßnahmen!$I$7:$I$126,Maßnahmen!$D$7:$D$126,C685,Maßnahmen!$H$7:$H$126,"&lt;&gt;verworfen")</f>
        <v/>
      </c>
      <c r="N685" s="14">
        <f>IF(ISNUMBER(K685),MAX(0,K685-L685-M685),"n.a.")</f>
        <v/>
      </c>
      <c r="O685" s="14" t="n">
        <v>6.5</v>
      </c>
      <c r="P685" s="14">
        <f>IF(ISNUMBER(K685),K685-O685,"n.a.")</f>
        <v/>
      </c>
    </row>
    <row r="686" ht="32" customHeight="1">
      <c r="C686" s="10" t="inlineStr">
        <is>
          <t>PRJ-4a6f9cbd-RK-13</t>
        </is>
      </c>
      <c r="D686" s="10" t="inlineStr">
        <is>
          <t>P4102608266</t>
        </is>
      </c>
      <c r="E686" s="11" t="inlineStr">
        <is>
          <t>Lärm- und Erschütterungsauflagen</t>
        </is>
      </c>
      <c r="F686" s="10" t="inlineStr">
        <is>
          <t>Emissionen</t>
        </is>
      </c>
      <c r="G686" s="12" t="n">
        <v>0.2</v>
      </c>
      <c r="H686" s="13" t="n">
        <v>20</v>
      </c>
      <c r="I686" s="13" t="n">
        <v>50</v>
      </c>
      <c r="J686" s="13" t="n">
        <v>100</v>
      </c>
      <c r="K686" s="14">
        <f>IF(OR(COUNT(G686:J686)&lt;&gt;4,G686&lt;0,G686&gt;1,H686&gt;I686,I686&gt;J686),"n.a.",ROUND(G686*(H686+4*I686+J686)/6+0.00000001,2))</f>
        <v/>
      </c>
      <c r="L686" s="13" t="n">
        <v>0</v>
      </c>
      <c r="M686" s="14">
        <f>SUMIFS(Maßnahmen!$I$7:$I$126,Maßnahmen!$D$7:$D$126,C686,Maßnahmen!$H$7:$H$126,"&lt;&gt;verworfen")</f>
        <v/>
      </c>
      <c r="N686" s="14">
        <f>IF(ISNUMBER(K686),MAX(0,K686-L686-M686),"n.a.")</f>
        <v/>
      </c>
      <c r="O686" s="14" t="n">
        <v>10.67</v>
      </c>
      <c r="P686" s="14">
        <f>IF(ISNUMBER(K686),K686-O686,"n.a.")</f>
        <v/>
      </c>
    </row>
    <row r="687" ht="32" customHeight="1">
      <c r="C687" s="10" t="inlineStr">
        <is>
          <t>PRJ-4a6f9cbd-RK-14</t>
        </is>
      </c>
      <c r="D687" s="10" t="inlineStr">
        <is>
          <t>P4102608266</t>
        </is>
      </c>
      <c r="E687" s="11" t="inlineStr">
        <is>
          <t>Rechtliche Auflagen / Entsorgungsnachweise (Formalismus)</t>
        </is>
      </c>
      <c r="F687" s="10" t="inlineStr">
        <is>
          <t>Genehmigung</t>
        </is>
      </c>
      <c r="G687" s="12" t="n">
        <v>0.386</v>
      </c>
      <c r="H687" s="13" t="n">
        <v>76</v>
      </c>
      <c r="I687" s="13" t="n">
        <v>149</v>
      </c>
      <c r="J687" s="13" t="n">
        <v>283</v>
      </c>
      <c r="K687" s="14">
        <f>IF(OR(COUNT(G687:J687)&lt;&gt;4,G687&lt;0,G687&gt;1,H687&gt;I687,I687&gt;J687),"n.a.",ROUND(G687*(H687+4*I687+J687)/6+0.00000001,2))</f>
        <v/>
      </c>
      <c r="L687" s="13" t="n">
        <v>0</v>
      </c>
      <c r="M687" s="14">
        <f>SUMIFS(Maßnahmen!$I$7:$I$126,Maßnahmen!$D$7:$D$126,C687,Maßnahmen!$H$7:$H$126,"&lt;&gt;verworfen")</f>
        <v/>
      </c>
      <c r="N687" s="14">
        <f>IF(ISNUMBER(K687),MAX(0,K687-L687-M687),"n.a.")</f>
        <v/>
      </c>
      <c r="O687" s="14" t="n">
        <v>61.44</v>
      </c>
      <c r="P687" s="14">
        <f>IF(ISNUMBER(K687),K687-O687,"n.a.")</f>
        <v/>
      </c>
    </row>
    <row r="688" ht="32" customHeight="1">
      <c r="C688" s="10" t="inlineStr">
        <is>
          <t>PRJ-4a6f9cbd-RK-15</t>
        </is>
      </c>
      <c r="D688" s="10" t="inlineStr">
        <is>
          <t>P4102608266</t>
        </is>
      </c>
      <c r="E688" s="11" t="inlineStr">
        <is>
          <t>Konjunktur / Sekundärstoffpreise &amp; Gerätemiete</t>
        </is>
      </c>
      <c r="F688" s="10" t="inlineStr">
        <is>
          <t>Markt</t>
        </is>
      </c>
      <c r="G688" s="12" t="n">
        <v>0.2</v>
      </c>
      <c r="H688" s="13" t="n">
        <v>8</v>
      </c>
      <c r="I688" s="13" t="n">
        <v>20</v>
      </c>
      <c r="J688" s="13" t="n">
        <v>50</v>
      </c>
      <c r="K688" s="14">
        <f>IF(OR(COUNT(G688:J688)&lt;&gt;4,G688&lt;0,G688&gt;1,H688&gt;I688,I688&gt;J688),"n.a.",ROUND(G688*(H688+4*I688+J688)/6+0.00000001,2))</f>
        <v/>
      </c>
      <c r="L688" s="13" t="n">
        <v>0</v>
      </c>
      <c r="M688" s="14">
        <f>SUMIFS(Maßnahmen!$I$7:$I$126,Maßnahmen!$D$7:$D$126,C688,Maßnahmen!$H$7:$H$126,"&lt;&gt;verworfen")</f>
        <v/>
      </c>
      <c r="N688" s="14">
        <f>IF(ISNUMBER(K688),MAX(0,K688-L688-M688),"n.a.")</f>
        <v/>
      </c>
      <c r="O688" s="14" t="n">
        <v>4.6</v>
      </c>
      <c r="P688" s="14">
        <f>IF(ISNUMBER(K688),K688-O688,"n.a.")</f>
        <v/>
      </c>
    </row>
    <row r="689" ht="32" customHeight="1">
      <c r="C689" s="10" t="inlineStr">
        <is>
          <t>PRJ-4a292719-RK-01</t>
        </is>
      </c>
      <c r="D689" s="10" t="inlineStr">
        <is>
          <t>P4102658276</t>
        </is>
      </c>
      <c r="E689" s="11" t="inlineStr">
        <is>
          <t>Schadstofffund / Schadstoffsanierung (Asbest, PAK, PCB, PCP)</t>
        </is>
      </c>
      <c r="F689" s="10" t="inlineStr">
        <is>
          <t>Schadstoffe</t>
        </is>
      </c>
      <c r="G689" s="12" t="n">
        <v>0.7</v>
      </c>
      <c r="H689" s="13" t="n">
        <v>9956</v>
      </c>
      <c r="I689" s="13" t="n">
        <v>15328</v>
      </c>
      <c r="J689" s="13" t="n">
        <v>22140</v>
      </c>
      <c r="K689" s="14">
        <f>IF(OR(COUNT(G689:J689)&lt;&gt;4,G689&lt;0,G689&gt;1,H689&gt;I689,I689&gt;J689),"n.a.",ROUND(G689*(H689+4*I689+J689)/6+0.00000001,2))</f>
        <v/>
      </c>
      <c r="L689" s="13" t="n">
        <v>0</v>
      </c>
      <c r="M689" s="14">
        <f>SUMIFS(Maßnahmen!$I$7:$I$126,Maßnahmen!$D$7:$D$126,C689,Maßnahmen!$H$7:$H$126,"&lt;&gt;verworfen")</f>
        <v/>
      </c>
      <c r="N689" s="14">
        <f>IF(ISNUMBER(K689),MAX(0,K689-L689-M689),"n.a.")</f>
        <v/>
      </c>
      <c r="O689" s="14" t="n">
        <v>10897.6</v>
      </c>
      <c r="P689" s="14">
        <f>IF(ISNUMBER(K689),K689-O689,"n.a.")</f>
        <v/>
      </c>
    </row>
    <row r="690" ht="32" customHeight="1">
      <c r="C690" s="10" t="inlineStr">
        <is>
          <t>PRJ-4a292719-RK-02</t>
        </is>
      </c>
      <c r="D690" s="10" t="inlineStr">
        <is>
          <t>P4102658276</t>
        </is>
      </c>
      <c r="E690" s="11" t="inlineStr">
        <is>
          <t>Arbeitsschutz kontaminierte Bereiche (TRGS 524)</t>
        </is>
      </c>
      <c r="F690" s="10" t="inlineStr">
        <is>
          <t>Schadstoffe</t>
        </is>
      </c>
      <c r="G690" s="12" t="n">
        <v>0.1</v>
      </c>
      <c r="H690" s="13" t="n">
        <v>170</v>
      </c>
      <c r="I690" s="13" t="n">
        <v>341</v>
      </c>
      <c r="J690" s="13" t="n">
        <v>681</v>
      </c>
      <c r="K690" s="14">
        <f>IF(OR(COUNT(G690:J690)&lt;&gt;4,G690&lt;0,G690&gt;1,H690&gt;I690,I690&gt;J690),"n.a.",ROUND(G690*(H690+4*I690+J690)/6+0.00000001,2))</f>
        <v/>
      </c>
      <c r="L690" s="13" t="n">
        <v>0</v>
      </c>
      <c r="M690" s="14">
        <f>SUMIFS(Maßnahmen!$I$7:$I$126,Maßnahmen!$D$7:$D$126,C690,Maßnahmen!$H$7:$H$126,"&lt;&gt;verworfen")</f>
        <v/>
      </c>
      <c r="N690" s="14">
        <f>IF(ISNUMBER(K690),MAX(0,K690-L690-M690),"n.a.")</f>
        <v/>
      </c>
      <c r="O690" s="14" t="n">
        <v>36.92</v>
      </c>
      <c r="P690" s="14">
        <f>IF(ISNUMBER(K690),K690-O690,"n.a.")</f>
        <v/>
      </c>
    </row>
    <row r="691" ht="32" customHeight="1">
      <c r="C691" s="10" t="inlineStr">
        <is>
          <t>PRJ-4a292719-RK-03</t>
        </is>
      </c>
      <c r="D691" s="10" t="inlineStr">
        <is>
          <t>P4102658276</t>
        </is>
      </c>
      <c r="E691" s="11" t="inlineStr">
        <is>
          <t>Entsorgungs-Mehrkosten / Entsorgungswege</t>
        </is>
      </c>
      <c r="F691" s="10" t="inlineStr">
        <is>
          <t>Entsorgung</t>
        </is>
      </c>
      <c r="G691" s="12" t="n">
        <v>0.15</v>
      </c>
      <c r="H691" s="13" t="n">
        <v>681</v>
      </c>
      <c r="I691" s="13" t="n">
        <v>1703</v>
      </c>
      <c r="J691" s="13" t="n">
        <v>3406</v>
      </c>
      <c r="K691" s="14">
        <f>IF(OR(COUNT(G691:J691)&lt;&gt;4,G691&lt;0,G691&gt;1,H691&gt;I691,I691&gt;J691),"n.a.",ROUND(G691*(H691+4*I691+J691)/6+0.00000001,2))</f>
        <v/>
      </c>
      <c r="L691" s="13" t="n">
        <v>0</v>
      </c>
      <c r="M691" s="14">
        <f>SUMIFS(Maßnahmen!$I$7:$I$126,Maßnahmen!$D$7:$D$126,C691,Maßnahmen!$H$7:$H$126,"&lt;&gt;verworfen")</f>
        <v/>
      </c>
      <c r="N691" s="14">
        <f>IF(ISNUMBER(K691),MAX(0,K691-L691-M691),"n.a.")</f>
        <v/>
      </c>
      <c r="O691" s="14" t="n">
        <v>272.48</v>
      </c>
      <c r="P691" s="14">
        <f>IF(ISNUMBER(K691),K691-O691,"n.a.")</f>
        <v/>
      </c>
    </row>
    <row r="692" ht="32" customHeight="1">
      <c r="C692" s="10" t="inlineStr">
        <is>
          <t>PRJ-4a292719-RK-04</t>
        </is>
      </c>
      <c r="D692" s="10" t="inlineStr">
        <is>
          <t>P4102658276</t>
        </is>
      </c>
      <c r="E692" s="11" t="inlineStr">
        <is>
          <t>Baustofftrennung / Aufbereitung nicht wie geplant</t>
        </is>
      </c>
      <c r="F692" s="10" t="inlineStr">
        <is>
          <t>Entsorgung</t>
        </is>
      </c>
      <c r="G692" s="12" t="n">
        <v>0.08</v>
      </c>
      <c r="H692" s="13" t="n">
        <v>170</v>
      </c>
      <c r="I692" s="13" t="n">
        <v>341</v>
      </c>
      <c r="J692" s="13" t="n">
        <v>681</v>
      </c>
      <c r="K692" s="14">
        <f>IF(OR(COUNT(G692:J692)&lt;&gt;4,G692&lt;0,G692&gt;1,H692&gt;I692,I692&gt;J692),"n.a.",ROUND(G692*(H692+4*I692+J692)/6+0.00000001,2))</f>
        <v/>
      </c>
      <c r="L692" s="13" t="n">
        <v>0</v>
      </c>
      <c r="M692" s="14">
        <f>SUMIFS(Maßnahmen!$I$7:$I$126,Maßnahmen!$D$7:$D$126,C692,Maßnahmen!$H$7:$H$126,"&lt;&gt;verworfen")</f>
        <v/>
      </c>
      <c r="N692" s="14">
        <f>IF(ISNUMBER(K692),MAX(0,K692-L692-M692),"n.a.")</f>
        <v/>
      </c>
      <c r="O692" s="14" t="n">
        <v>29.53</v>
      </c>
      <c r="P692" s="14">
        <f>IF(ISNUMBER(K692),K692-O692,"n.a.")</f>
        <v/>
      </c>
    </row>
    <row r="693" ht="32" customHeight="1">
      <c r="C693" s="10" t="inlineStr">
        <is>
          <t>PRJ-4a292719-RK-05</t>
        </is>
      </c>
      <c r="D693" s="10" t="inlineStr">
        <is>
          <t>P4102658276</t>
        </is>
      </c>
      <c r="E693" s="11" t="inlineStr">
        <is>
          <t>Unbekannte Bauwerkskonstruktion / fehlende Pläne</t>
        </is>
      </c>
      <c r="F693" s="10" t="inlineStr">
        <is>
          <t>Statik</t>
        </is>
      </c>
      <c r="G693" s="12" t="n">
        <v>0.37</v>
      </c>
      <c r="H693" s="13" t="n">
        <v>3679</v>
      </c>
      <c r="I693" s="13" t="n">
        <v>6586</v>
      </c>
      <c r="J693" s="13" t="n">
        <v>11288</v>
      </c>
      <c r="K693" s="14">
        <f>IF(OR(COUNT(G693:J693)&lt;&gt;4,G693&lt;0,G693&gt;1,H693&gt;I693,I693&gt;J693),"n.a.",ROUND(G693*(H693+4*I693+J693)/6+0.00000001,2))</f>
        <v/>
      </c>
      <c r="L693" s="13" t="n">
        <v>0</v>
      </c>
      <c r="M693" s="14">
        <f>SUMIFS(Maßnahmen!$I$7:$I$126,Maßnahmen!$D$7:$D$126,C693,Maßnahmen!$H$7:$H$126,"&lt;&gt;verworfen")</f>
        <v/>
      </c>
      <c r="N693" s="14">
        <f>IF(ISNUMBER(K693),MAX(0,K693-L693-M693),"n.a.")</f>
        <v/>
      </c>
      <c r="O693" s="14" t="n">
        <v>2547.51</v>
      </c>
      <c r="P693" s="14">
        <f>IF(ISNUMBER(K693),K693-O693,"n.a.")</f>
        <v/>
      </c>
    </row>
    <row r="694" ht="32" customHeight="1">
      <c r="C694" s="10" t="inlineStr">
        <is>
          <t>PRJ-4a292719-RK-06</t>
        </is>
      </c>
      <c r="D694" s="10" t="inlineStr">
        <is>
          <t>P4102658276</t>
        </is>
      </c>
      <c r="E694" s="11" t="inlineStr">
        <is>
          <t>Statik / Einsturzsicherung während Abbruch</t>
        </is>
      </c>
      <c r="F694" s="10" t="inlineStr">
        <is>
          <t>Statik</t>
        </is>
      </c>
      <c r="G694" s="12" t="n">
        <v>0.24</v>
      </c>
      <c r="H694" s="13" t="n">
        <v>1022</v>
      </c>
      <c r="I694" s="13" t="n">
        <v>2384</v>
      </c>
      <c r="J694" s="13" t="n">
        <v>4769</v>
      </c>
      <c r="K694" s="14">
        <f>IF(OR(COUNT(G694:J694)&lt;&gt;4,G694&lt;0,G694&gt;1,H694&gt;I694,I694&gt;J694),"n.a.",ROUND(G694*(H694+4*I694+J694)/6+0.00000001,2))</f>
        <v/>
      </c>
      <c r="L694" s="13" t="n">
        <v>0</v>
      </c>
      <c r="M694" s="14">
        <f>SUMIFS(Maßnahmen!$I$7:$I$126,Maßnahmen!$D$7:$D$126,C694,Maßnahmen!$H$7:$H$126,"&lt;&gt;verworfen")</f>
        <v/>
      </c>
      <c r="N694" s="14">
        <f>IF(ISNUMBER(K694),MAX(0,K694-L694-M694),"n.a.")</f>
        <v/>
      </c>
      <c r="O694" s="14" t="n">
        <v>613.08</v>
      </c>
      <c r="P694" s="14">
        <f>IF(ISNUMBER(K694),K694-O694,"n.a.")</f>
        <v/>
      </c>
    </row>
    <row r="695" ht="32" customHeight="1">
      <c r="C695" s="10" t="inlineStr">
        <is>
          <t>PRJ-4a292719-RK-07</t>
        </is>
      </c>
      <c r="D695" s="10" t="inlineStr">
        <is>
          <t>P4102658276</t>
        </is>
      </c>
      <c r="E695" s="11" t="inlineStr">
        <is>
          <t>Unterirdische Tragkonstruktion / Fundamente</t>
        </is>
      </c>
      <c r="F695" s="10" t="inlineStr">
        <is>
          <t>Statik</t>
        </is>
      </c>
      <c r="G695" s="12" t="n">
        <v>0.4</v>
      </c>
      <c r="H695" s="13" t="n">
        <v>170</v>
      </c>
      <c r="I695" s="13" t="n">
        <v>681</v>
      </c>
      <c r="J695" s="13" t="n">
        <v>1703</v>
      </c>
      <c r="K695" s="14">
        <f>IF(OR(COUNT(G695:J695)&lt;&gt;4,G695&lt;0,G695&gt;1,H695&gt;I695,I695&gt;J695),"n.a.",ROUND(G695*(H695+4*I695+J695)/6+0.00000001,2))</f>
        <v/>
      </c>
      <c r="L695" s="13" t="n">
        <v>0</v>
      </c>
      <c r="M695" s="14">
        <f>SUMIFS(Maßnahmen!$I$7:$I$126,Maßnahmen!$D$7:$D$126,C695,Maßnahmen!$H$7:$H$126,"&lt;&gt;verworfen")</f>
        <v/>
      </c>
      <c r="N695" s="14">
        <f>IF(ISNUMBER(K695),MAX(0,K695-L695-M695),"n.a.")</f>
        <v/>
      </c>
      <c r="O695" s="14" t="n">
        <v>306.47</v>
      </c>
      <c r="P695" s="14">
        <f>IF(ISNUMBER(K695),K695-O695,"n.a.")</f>
        <v/>
      </c>
    </row>
    <row r="696" ht="32" customHeight="1">
      <c r="C696" s="10" t="inlineStr">
        <is>
          <t>PRJ-4a292719-RK-08</t>
        </is>
      </c>
      <c r="D696" s="10" t="inlineStr">
        <is>
          <t>P4102658276</t>
        </is>
      </c>
      <c r="E696" s="11" t="inlineStr">
        <is>
          <t>Gebäudehöhe &gt;22 m / Longfront-Bagger (+130–150 %)</t>
        </is>
      </c>
      <c r="F696" s="10" t="inlineStr">
        <is>
          <t>Termin</t>
        </is>
      </c>
      <c r="G696" s="12" t="n">
        <v>0.372</v>
      </c>
      <c r="H696" s="13" t="n">
        <v>1512</v>
      </c>
      <c r="I696" s="13" t="n">
        <v>3218</v>
      </c>
      <c r="J696" s="13" t="n">
        <v>6143</v>
      </c>
      <c r="K696" s="14">
        <f>IF(OR(COUNT(G696:J696)&lt;&gt;4,G696&lt;0,G696&gt;1,H696&gt;I696,I696&gt;J696),"n.a.",ROUND(G696*(H696+4*I696+J696)/6+0.00000001,2))</f>
        <v/>
      </c>
      <c r="L696" s="13" t="n">
        <v>0</v>
      </c>
      <c r="M696" s="14">
        <f>SUMIFS(Maßnahmen!$I$7:$I$126,Maßnahmen!$D$7:$D$126,C696,Maßnahmen!$H$7:$H$126,"&lt;&gt;verworfen")</f>
        <v/>
      </c>
      <c r="N696" s="14">
        <f>IF(ISNUMBER(K696),MAX(0,K696-L696-M696),"n.a.")</f>
        <v/>
      </c>
      <c r="O696" s="14" t="n">
        <v>1272.67</v>
      </c>
      <c r="P696" s="14">
        <f>IF(ISNUMBER(K696),K696-O696,"n.a.")</f>
        <v/>
      </c>
    </row>
    <row r="697" ht="32" customHeight="1">
      <c r="C697" s="10" t="inlineStr">
        <is>
          <t>PRJ-4a292719-RK-09</t>
        </is>
      </c>
      <c r="D697" s="10" t="inlineStr">
        <is>
          <t>P4102658276</t>
        </is>
      </c>
      <c r="E697" s="11" t="inlineStr">
        <is>
          <t>Beennte Lage / nur Handabbruch möglich</t>
        </is>
      </c>
      <c r="F697" s="10" t="inlineStr">
        <is>
          <t>Termin</t>
        </is>
      </c>
      <c r="G697" s="12" t="n">
        <v>0.409</v>
      </c>
      <c r="H697" s="13" t="n">
        <v>1045</v>
      </c>
      <c r="I697" s="13" t="n">
        <v>2226</v>
      </c>
      <c r="J697" s="13" t="n">
        <v>4792</v>
      </c>
      <c r="K697" s="14">
        <f>IF(OR(COUNT(G697:J697)&lt;&gt;4,G697&lt;0,G697&gt;1,H697&gt;I697,I697&gt;J697),"n.a.",ROUND(G697*(H697+4*I697+J697)/6+0.00000001,2))</f>
        <v/>
      </c>
      <c r="L697" s="13" t="n">
        <v>0</v>
      </c>
      <c r="M697" s="14">
        <f>SUMIFS(Maßnahmen!$I$7:$I$126,Maßnahmen!$D$7:$D$126,C697,Maßnahmen!$H$7:$H$126,"&lt;&gt;verworfen")</f>
        <v/>
      </c>
      <c r="N697" s="14">
        <f>IF(ISNUMBER(K697),MAX(0,K697-L697-M697),"n.a.")</f>
        <v/>
      </c>
      <c r="O697" s="14" t="n">
        <v>1004.84</v>
      </c>
      <c r="P697" s="14">
        <f>IF(ISNUMBER(K697),K697-O697,"n.a.")</f>
        <v/>
      </c>
    </row>
    <row r="698" ht="32" customHeight="1">
      <c r="C698" s="10" t="inlineStr">
        <is>
          <t>PRJ-4a292719-RK-10</t>
        </is>
      </c>
      <c r="D698" s="10" t="inlineStr">
        <is>
          <t>P4102658276</t>
        </is>
      </c>
      <c r="E698" s="11" t="inlineStr">
        <is>
          <t>Terminvorgabe Auftraggeber / Geräteauslastung</t>
        </is>
      </c>
      <c r="F698" s="10" t="inlineStr">
        <is>
          <t>Termin</t>
        </is>
      </c>
      <c r="G698" s="12" t="n">
        <v>0.08</v>
      </c>
      <c r="H698" s="13" t="n">
        <v>170</v>
      </c>
      <c r="I698" s="13" t="n">
        <v>341</v>
      </c>
      <c r="J698" s="13" t="n">
        <v>681</v>
      </c>
      <c r="K698" s="14">
        <f>IF(OR(COUNT(G698:J698)&lt;&gt;4,G698&lt;0,G698&gt;1,H698&gt;I698,I698&gt;J698),"n.a.",ROUND(G698*(H698+4*I698+J698)/6+0.00000001,2))</f>
        <v/>
      </c>
      <c r="L698" s="13" t="n">
        <v>0</v>
      </c>
      <c r="M698" s="14">
        <f>SUMIFS(Maßnahmen!$I$7:$I$126,Maßnahmen!$D$7:$D$126,C698,Maßnahmen!$H$7:$H$126,"&lt;&gt;verworfen")</f>
        <v/>
      </c>
      <c r="N698" s="14">
        <f>IF(ISNUMBER(K698),MAX(0,K698-L698-M698),"n.a.")</f>
        <v/>
      </c>
      <c r="O698" s="14" t="n">
        <v>29.53</v>
      </c>
      <c r="P698" s="14">
        <f>IF(ISNUMBER(K698),K698-O698,"n.a.")</f>
        <v/>
      </c>
    </row>
    <row r="699" ht="32" customHeight="1">
      <c r="C699" s="10" t="inlineStr">
        <is>
          <t>PRJ-4a292719-RK-11</t>
        </is>
      </c>
      <c r="D699" s="10" t="inlineStr">
        <is>
          <t>P4102658276</t>
        </is>
      </c>
      <c r="E699" s="11" t="inlineStr">
        <is>
          <t>Witterung / Ablaufstörung</t>
        </is>
      </c>
      <c r="F699" s="10" t="inlineStr">
        <is>
          <t>Termin</t>
        </is>
      </c>
      <c r="G699" s="12" t="n">
        <v>0.25</v>
      </c>
      <c r="H699" s="13" t="n">
        <v>341</v>
      </c>
      <c r="I699" s="13" t="n">
        <v>1022</v>
      </c>
      <c r="J699" s="13" t="n">
        <v>2044</v>
      </c>
      <c r="K699" s="14">
        <f>IF(OR(COUNT(G699:J699)&lt;&gt;4,G699&lt;0,G699&gt;1,H699&gt;I699,I699&gt;J699),"n.a.",ROUND(G699*(H699+4*I699+J699)/6+0.00000001,2))</f>
        <v/>
      </c>
      <c r="L699" s="13" t="n">
        <v>0</v>
      </c>
      <c r="M699" s="14">
        <f>SUMIFS(Maßnahmen!$I$7:$I$126,Maßnahmen!$D$7:$D$126,C699,Maßnahmen!$H$7:$H$126,"&lt;&gt;verworfen")</f>
        <v/>
      </c>
      <c r="N699" s="14">
        <f>IF(ISNUMBER(K699),MAX(0,K699-L699-M699),"n.a.")</f>
        <v/>
      </c>
      <c r="O699" s="14" t="n">
        <v>269.71</v>
      </c>
      <c r="P699" s="14">
        <f>IF(ISNUMBER(K699),K699-O699,"n.a.")</f>
        <v/>
      </c>
    </row>
    <row r="700" ht="32" customHeight="1">
      <c r="C700" s="10" t="inlineStr">
        <is>
          <t>PRJ-4a292719-RK-12</t>
        </is>
      </c>
      <c r="D700" s="10" t="inlineStr">
        <is>
          <t>P4102658276</t>
        </is>
      </c>
      <c r="E700" s="11" t="inlineStr">
        <is>
          <t>Staubemissionen (höchster Aufwand laut Umfrage)</t>
        </is>
      </c>
      <c r="F700" s="10" t="inlineStr">
        <is>
          <t>Emissionen</t>
        </is>
      </c>
      <c r="G700" s="12" t="n">
        <v>0.22</v>
      </c>
      <c r="H700" s="13" t="n">
        <v>1022</v>
      </c>
      <c r="I700" s="13" t="n">
        <v>2044</v>
      </c>
      <c r="J700" s="13" t="n">
        <v>4087</v>
      </c>
      <c r="K700" s="14">
        <f>IF(OR(COUNT(G700:J700)&lt;&gt;4,G700&lt;0,G700&gt;1,H700&gt;I700,I700&gt;J700),"n.a.",ROUND(G700*(H700+4*I700+J700)/6+0.00000001,2))</f>
        <v/>
      </c>
      <c r="L700" s="13" t="n">
        <v>0</v>
      </c>
      <c r="M700" s="14">
        <f>SUMIFS(Maßnahmen!$I$7:$I$126,Maßnahmen!$D$7:$D$126,C700,Maßnahmen!$H$7:$H$126,"&lt;&gt;verworfen")</f>
        <v/>
      </c>
      <c r="N700" s="14">
        <f>IF(ISNUMBER(K700),MAX(0,K700-L700-M700),"n.a.")</f>
        <v/>
      </c>
      <c r="O700" s="14" t="n">
        <v>487.12</v>
      </c>
      <c r="P700" s="14">
        <f>IF(ISNUMBER(K700),K700-O700,"n.a.")</f>
        <v/>
      </c>
    </row>
    <row r="701" ht="32" customHeight="1">
      <c r="C701" s="10" t="inlineStr">
        <is>
          <t>PRJ-4a292719-RK-13</t>
        </is>
      </c>
      <c r="D701" s="10" t="inlineStr">
        <is>
          <t>P4102658276</t>
        </is>
      </c>
      <c r="E701" s="11" t="inlineStr">
        <is>
          <t>Lärm- und Erschütterungsauflagen</t>
        </is>
      </c>
      <c r="F701" s="10" t="inlineStr">
        <is>
          <t>Emissionen</t>
        </is>
      </c>
      <c r="G701" s="12" t="n">
        <v>0.549</v>
      </c>
      <c r="H701" s="13" t="n">
        <v>2535</v>
      </c>
      <c r="I701" s="13" t="n">
        <v>5101</v>
      </c>
      <c r="J701" s="13" t="n">
        <v>9276</v>
      </c>
      <c r="K701" s="14">
        <f>IF(OR(COUNT(G701:J701)&lt;&gt;4,G701&lt;0,G701&gt;1,H701&gt;I701,I701&gt;J701),"n.a.",ROUND(G701*(H701+4*I701+J701)/6+0.00000001,2))</f>
        <v/>
      </c>
      <c r="L701" s="13" t="n">
        <v>0</v>
      </c>
      <c r="M701" s="14">
        <f>SUMIFS(Maßnahmen!$I$7:$I$126,Maßnahmen!$D$7:$D$126,C701,Maßnahmen!$H$7:$H$126,"&lt;&gt;verworfen")</f>
        <v/>
      </c>
      <c r="N701" s="14">
        <f>IF(ISNUMBER(K701),MAX(0,K701-L701-M701),"n.a.")</f>
        <v/>
      </c>
      <c r="O701" s="14" t="n">
        <v>2947.67</v>
      </c>
      <c r="P701" s="14">
        <f>IF(ISNUMBER(K701),K701-O701,"n.a.")</f>
        <v/>
      </c>
    </row>
    <row r="702" ht="32" customHeight="1">
      <c r="C702" s="10" t="inlineStr">
        <is>
          <t>PRJ-4a292719-RK-14</t>
        </is>
      </c>
      <c r="D702" s="10" t="inlineStr">
        <is>
          <t>P4102658276</t>
        </is>
      </c>
      <c r="E702" s="11" t="inlineStr">
        <is>
          <t>Rechtliche Auflagen / Entsorgungsnachweise (Formalismus)</t>
        </is>
      </c>
      <c r="F702" s="10" t="inlineStr">
        <is>
          <t>Genehmigung</t>
        </is>
      </c>
      <c r="G702" s="12" t="n">
        <v>0.27</v>
      </c>
      <c r="H702" s="13" t="n">
        <v>1682</v>
      </c>
      <c r="I702" s="13" t="n">
        <v>3388</v>
      </c>
      <c r="J702" s="13" t="n">
        <v>6484</v>
      </c>
      <c r="K702" s="14">
        <f>IF(OR(COUNT(G702:J702)&lt;&gt;4,G702&lt;0,G702&gt;1,H702&gt;I702,I702&gt;J702),"n.a.",ROUND(G702*(H702+4*I702+J702)/6+0.00000001,2))</f>
        <v/>
      </c>
      <c r="L702" s="13" t="n">
        <v>0</v>
      </c>
      <c r="M702" s="14">
        <f>SUMIFS(Maßnahmen!$I$7:$I$126,Maßnahmen!$D$7:$D$126,C702,Maßnahmen!$H$7:$H$126,"&lt;&gt;verworfen")</f>
        <v/>
      </c>
      <c r="N702" s="14">
        <f>IF(ISNUMBER(K702),MAX(0,K702-L702-M702),"n.a.")</f>
        <v/>
      </c>
      <c r="O702" s="14" t="n">
        <v>977.3099999999999</v>
      </c>
      <c r="P702" s="14">
        <f>IF(ISNUMBER(K702),K702-O702,"n.a.")</f>
        <v/>
      </c>
    </row>
    <row r="703" ht="32" customHeight="1">
      <c r="C703" s="10" t="inlineStr">
        <is>
          <t>PRJ-4a292719-RK-15</t>
        </is>
      </c>
      <c r="D703" s="10" t="inlineStr">
        <is>
          <t>P4102658276</t>
        </is>
      </c>
      <c r="E703" s="11" t="inlineStr">
        <is>
          <t>Konjunktur / Sekundärstoffpreise &amp; Gerätemiete</t>
        </is>
      </c>
      <c r="F703" s="10" t="inlineStr">
        <is>
          <t>Markt</t>
        </is>
      </c>
      <c r="G703" s="12" t="n">
        <v>0.2</v>
      </c>
      <c r="H703" s="13" t="n">
        <v>272</v>
      </c>
      <c r="I703" s="13" t="n">
        <v>681</v>
      </c>
      <c r="J703" s="13" t="n">
        <v>1703</v>
      </c>
      <c r="K703" s="14">
        <f>IF(OR(COUNT(G703:J703)&lt;&gt;4,G703&lt;0,G703&gt;1,H703&gt;I703,I703&gt;J703),"n.a.",ROUND(G703*(H703+4*I703+J703)/6+0.00000001,2))</f>
        <v/>
      </c>
      <c r="L703" s="13" t="n">
        <v>0</v>
      </c>
      <c r="M703" s="14">
        <f>SUMIFS(Maßnahmen!$I$7:$I$126,Maßnahmen!$D$7:$D$126,C703,Maßnahmen!$H$7:$H$126,"&lt;&gt;verworfen")</f>
        <v/>
      </c>
      <c r="N703" s="14">
        <f>IF(ISNUMBER(K703),MAX(0,K703-L703-M703),"n.a.")</f>
        <v/>
      </c>
      <c r="O703" s="14" t="n">
        <v>156.63</v>
      </c>
      <c r="P703" s="14">
        <f>IF(ISNUMBER(K703),K703-O703,"n.a.")</f>
        <v/>
      </c>
    </row>
    <row r="704" ht="32" customHeight="1">
      <c r="C704" s="10" t="inlineStr">
        <is>
          <t>PRJ-40724224-RK-01</t>
        </is>
      </c>
      <c r="D704" s="10" t="inlineStr">
        <is>
          <t>W4102154611</t>
        </is>
      </c>
      <c r="E704" s="11" t="inlineStr">
        <is>
          <t>Schadstofffund / Schadstoffsanierung (Asbest, PAK, PCB, PCP)</t>
        </is>
      </c>
      <c r="F704" s="10" t="inlineStr">
        <is>
          <t>Schadstoffe</t>
        </is>
      </c>
      <c r="G704" s="12" t="n">
        <v>0.1</v>
      </c>
      <c r="H704" s="13" t="n">
        <v>272</v>
      </c>
      <c r="I704" s="13" t="n">
        <v>679</v>
      </c>
      <c r="J704" s="13" t="n">
        <v>1359</v>
      </c>
      <c r="K704" s="14">
        <f>IF(OR(COUNT(G704:J704)&lt;&gt;4,G704&lt;0,G704&gt;1,H704&gt;I704,I704&gt;J704),"n.a.",ROUND(G704*(H704+4*I704+J704)/6+0.00000001,2))</f>
        <v/>
      </c>
      <c r="L704" s="13" t="n">
        <v>0</v>
      </c>
      <c r="M704" s="14">
        <f>SUMIFS(Maßnahmen!$I$7:$I$126,Maßnahmen!$D$7:$D$126,C704,Maßnahmen!$H$7:$H$126,"&lt;&gt;verworfen")</f>
        <v/>
      </c>
      <c r="N704" s="14">
        <f>IF(ISNUMBER(K704),MAX(0,K704-L704-M704),"n.a.")</f>
        <v/>
      </c>
      <c r="O704" s="14" t="n">
        <v>72.45</v>
      </c>
      <c r="P704" s="14">
        <f>IF(ISNUMBER(K704),K704-O704,"n.a.")</f>
        <v/>
      </c>
    </row>
    <row r="705" ht="32" customHeight="1">
      <c r="C705" s="10" t="inlineStr">
        <is>
          <t>PRJ-40724224-RK-02</t>
        </is>
      </c>
      <c r="D705" s="10" t="inlineStr">
        <is>
          <t>W4102154611</t>
        </is>
      </c>
      <c r="E705" s="11" t="inlineStr">
        <is>
          <t>Arbeitsschutz kontaminierte Bereiche (TRGS 524)</t>
        </is>
      </c>
      <c r="F705" s="10" t="inlineStr">
        <is>
          <t>Schadstoffe</t>
        </is>
      </c>
      <c r="G705" s="12" t="n">
        <v>0.106</v>
      </c>
      <c r="H705" s="13" t="n">
        <v>68</v>
      </c>
      <c r="I705" s="13" t="n">
        <v>136</v>
      </c>
      <c r="J705" s="13" t="n">
        <v>272</v>
      </c>
      <c r="K705" s="14">
        <f>IF(OR(COUNT(G705:J705)&lt;&gt;4,G705&lt;0,G705&gt;1,H705&gt;I705,I705&gt;J705),"n.a.",ROUND(G705*(H705+4*I705+J705)/6+0.00000001,2))</f>
        <v/>
      </c>
      <c r="L705" s="13" t="n">
        <v>0</v>
      </c>
      <c r="M705" s="14">
        <f>SUMIFS(Maßnahmen!$I$7:$I$126,Maßnahmen!$D$7:$D$126,C705,Maßnahmen!$H$7:$H$126,"&lt;&gt;verworfen")</f>
        <v/>
      </c>
      <c r="N705" s="14">
        <f>IF(ISNUMBER(K705),MAX(0,K705-L705-M705),"n.a.")</f>
        <v/>
      </c>
      <c r="O705" s="14" t="n">
        <v>15.62</v>
      </c>
      <c r="P705" s="14">
        <f>IF(ISNUMBER(K705),K705-O705,"n.a.")</f>
        <v/>
      </c>
    </row>
    <row r="706" ht="32" customHeight="1">
      <c r="C706" s="10" t="inlineStr">
        <is>
          <t>PRJ-40724224-RK-03</t>
        </is>
      </c>
      <c r="D706" s="10" t="inlineStr">
        <is>
          <t>W4102154611</t>
        </is>
      </c>
      <c r="E706" s="11" t="inlineStr">
        <is>
          <t>Entsorgungs-Mehrkosten / Entsorgungswege</t>
        </is>
      </c>
      <c r="F706" s="10" t="inlineStr">
        <is>
          <t>Entsorgung</t>
        </is>
      </c>
      <c r="G706" s="12" t="n">
        <v>0.15</v>
      </c>
      <c r="H706" s="13" t="n">
        <v>272</v>
      </c>
      <c r="I706" s="13" t="n">
        <v>679</v>
      </c>
      <c r="J706" s="13" t="n">
        <v>1359</v>
      </c>
      <c r="K706" s="14">
        <f>IF(OR(COUNT(G706:J706)&lt;&gt;4,G706&lt;0,G706&gt;1,H706&gt;I706,I706&gt;J706),"n.a.",ROUND(G706*(H706+4*I706+J706)/6+0.00000001,2))</f>
        <v/>
      </c>
      <c r="L706" s="13" t="n">
        <v>0</v>
      </c>
      <c r="M706" s="14">
        <f>SUMIFS(Maßnahmen!$I$7:$I$126,Maßnahmen!$D$7:$D$126,C706,Maßnahmen!$H$7:$H$126,"&lt;&gt;verworfen")</f>
        <v/>
      </c>
      <c r="N706" s="14">
        <f>IF(ISNUMBER(K706),MAX(0,K706-L706-M706),"n.a.")</f>
        <v/>
      </c>
      <c r="O706" s="14" t="n">
        <v>108.68</v>
      </c>
      <c r="P706" s="14">
        <f>IF(ISNUMBER(K706),K706-O706,"n.a.")</f>
        <v/>
      </c>
    </row>
    <row r="707" ht="32" customHeight="1">
      <c r="C707" s="10" t="inlineStr">
        <is>
          <t>PRJ-40724224-RK-04</t>
        </is>
      </c>
      <c r="D707" s="10" t="inlineStr">
        <is>
          <t>W4102154611</t>
        </is>
      </c>
      <c r="E707" s="11" t="inlineStr">
        <is>
          <t>Baustofftrennung / Aufbereitung nicht wie geplant</t>
        </is>
      </c>
      <c r="F707" s="10" t="inlineStr">
        <is>
          <t>Entsorgung</t>
        </is>
      </c>
      <c r="G707" s="12" t="n">
        <v>0.08</v>
      </c>
      <c r="H707" s="13" t="n">
        <v>68</v>
      </c>
      <c r="I707" s="13" t="n">
        <v>136</v>
      </c>
      <c r="J707" s="13" t="n">
        <v>272</v>
      </c>
      <c r="K707" s="14">
        <f>IF(OR(COUNT(G707:J707)&lt;&gt;4,G707&lt;0,G707&gt;1,H707&gt;I707,I707&gt;J707),"n.a.",ROUND(G707*(H707+4*I707+J707)/6+0.00000001,2))</f>
        <v/>
      </c>
      <c r="L707" s="13" t="n">
        <v>0</v>
      </c>
      <c r="M707" s="14">
        <f>SUMIFS(Maßnahmen!$I$7:$I$126,Maßnahmen!$D$7:$D$126,C707,Maßnahmen!$H$7:$H$126,"&lt;&gt;verworfen")</f>
        <v/>
      </c>
      <c r="N707" s="14">
        <f>IF(ISNUMBER(K707),MAX(0,K707-L707-M707),"n.a.")</f>
        <v/>
      </c>
      <c r="O707" s="14" t="n">
        <v>11.79</v>
      </c>
      <c r="P707" s="14">
        <f>IF(ISNUMBER(K707),K707-O707,"n.a.")</f>
        <v/>
      </c>
    </row>
    <row r="708" ht="32" customHeight="1">
      <c r="C708" s="10" t="inlineStr">
        <is>
          <t>PRJ-40724224-RK-08</t>
        </is>
      </c>
      <c r="D708" s="10" t="inlineStr">
        <is>
          <t>W4102154611</t>
        </is>
      </c>
      <c r="E708" s="11" t="inlineStr">
        <is>
          <t>Gebäudehöhe &gt;22 m / Longfront-Bagger (+130–150 %)</t>
        </is>
      </c>
      <c r="F708" s="10" t="inlineStr">
        <is>
          <t>Termin</t>
        </is>
      </c>
      <c r="G708" s="12" t="n">
        <v>0.6</v>
      </c>
      <c r="H708" s="13" t="n">
        <v>1223</v>
      </c>
      <c r="I708" s="13" t="n">
        <v>2446</v>
      </c>
      <c r="J708" s="13" t="n">
        <v>4620</v>
      </c>
      <c r="K708" s="14">
        <f>IF(OR(COUNT(G708:J708)&lt;&gt;4,G708&lt;0,G708&gt;1,H708&gt;I708,I708&gt;J708),"n.a.",ROUND(G708*(H708+4*I708+J708)/6+0.00000001,2))</f>
        <v/>
      </c>
      <c r="L708" s="13" t="n">
        <v>0</v>
      </c>
      <c r="M708" s="14">
        <f>SUMIFS(Maßnahmen!$I$7:$I$126,Maßnahmen!$D$7:$D$126,C708,Maßnahmen!$H$7:$H$126,"&lt;&gt;verworfen")</f>
        <v/>
      </c>
      <c r="N708" s="14">
        <f>IF(ISNUMBER(K708),MAX(0,K708-L708-M708),"n.a.")</f>
        <v/>
      </c>
      <c r="O708" s="14" t="n">
        <v>1562.7</v>
      </c>
      <c r="P708" s="14">
        <f>IF(ISNUMBER(K708),K708-O708,"n.a.")</f>
        <v/>
      </c>
    </row>
    <row r="709" ht="32" customHeight="1">
      <c r="C709" s="10" t="inlineStr">
        <is>
          <t>PRJ-40724224-RK-09</t>
        </is>
      </c>
      <c r="D709" s="10" t="inlineStr">
        <is>
          <t>W4102154611</t>
        </is>
      </c>
      <c r="E709" s="11" t="inlineStr">
        <is>
          <t>Beennte Lage / nur Handabbruch möglich</t>
        </is>
      </c>
      <c r="F709" s="10" t="inlineStr">
        <is>
          <t>Termin</t>
        </is>
      </c>
      <c r="G709" s="12" t="n">
        <v>0.1</v>
      </c>
      <c r="H709" s="13" t="n">
        <v>68</v>
      </c>
      <c r="I709" s="13" t="n">
        <v>136</v>
      </c>
      <c r="J709" s="13" t="n">
        <v>272</v>
      </c>
      <c r="K709" s="14">
        <f>IF(OR(COUNT(G709:J709)&lt;&gt;4,G709&lt;0,G709&gt;1,H709&gt;I709,I709&gt;J709),"n.a.",ROUND(G709*(H709+4*I709+J709)/6+0.00000001,2))</f>
        <v/>
      </c>
      <c r="L709" s="13" t="n">
        <v>0</v>
      </c>
      <c r="M709" s="14">
        <f>SUMIFS(Maßnahmen!$I$7:$I$126,Maßnahmen!$D$7:$D$126,C709,Maßnahmen!$H$7:$H$126,"&lt;&gt;verworfen")</f>
        <v/>
      </c>
      <c r="N709" s="14">
        <f>IF(ISNUMBER(K709),MAX(0,K709-L709-M709),"n.a.")</f>
        <v/>
      </c>
      <c r="O709" s="14" t="n">
        <v>14.73</v>
      </c>
      <c r="P709" s="14">
        <f>IF(ISNUMBER(K709),K709-O709,"n.a.")</f>
        <v/>
      </c>
    </row>
    <row r="710" ht="32" customHeight="1">
      <c r="C710" s="10" t="inlineStr">
        <is>
          <t>PRJ-40724224-RK-10</t>
        </is>
      </c>
      <c r="D710" s="10" t="inlineStr">
        <is>
          <t>W4102154611</t>
        </is>
      </c>
      <c r="E710" s="11" t="inlineStr">
        <is>
          <t>Terminvorgabe Auftraggeber / Geräteauslastung</t>
        </is>
      </c>
      <c r="F710" s="10" t="inlineStr">
        <is>
          <t>Termin</t>
        </is>
      </c>
      <c r="G710" s="12" t="n">
        <v>0.08</v>
      </c>
      <c r="H710" s="13" t="n">
        <v>68</v>
      </c>
      <c r="I710" s="13" t="n">
        <v>136</v>
      </c>
      <c r="J710" s="13" t="n">
        <v>272</v>
      </c>
      <c r="K710" s="14">
        <f>IF(OR(COUNT(G710:J710)&lt;&gt;4,G710&lt;0,G710&gt;1,H710&gt;I710,I710&gt;J710),"n.a.",ROUND(G710*(H710+4*I710+J710)/6+0.00000001,2))</f>
        <v/>
      </c>
      <c r="L710" s="13" t="n">
        <v>0</v>
      </c>
      <c r="M710" s="14">
        <f>SUMIFS(Maßnahmen!$I$7:$I$126,Maßnahmen!$D$7:$D$126,C710,Maßnahmen!$H$7:$H$126,"&lt;&gt;verworfen")</f>
        <v/>
      </c>
      <c r="N710" s="14">
        <f>IF(ISNUMBER(K710),MAX(0,K710-L710-M710),"n.a.")</f>
        <v/>
      </c>
      <c r="O710" s="14" t="n">
        <v>11.79</v>
      </c>
      <c r="P710" s="14">
        <f>IF(ISNUMBER(K710),K710-O710,"n.a.")</f>
        <v/>
      </c>
    </row>
    <row r="711" ht="32" customHeight="1">
      <c r="C711" s="10" t="inlineStr">
        <is>
          <t>PRJ-40724224-RK-11</t>
        </is>
      </c>
      <c r="D711" s="10" t="inlineStr">
        <is>
          <t>W4102154611</t>
        </is>
      </c>
      <c r="E711" s="11" t="inlineStr">
        <is>
          <t>Witterung / Ablaufstörung</t>
        </is>
      </c>
      <c r="F711" s="10" t="inlineStr">
        <is>
          <t>Termin</t>
        </is>
      </c>
      <c r="G711" s="12" t="n">
        <v>0.25</v>
      </c>
      <c r="H711" s="13" t="n">
        <v>136</v>
      </c>
      <c r="I711" s="13" t="n">
        <v>408</v>
      </c>
      <c r="J711" s="13" t="n">
        <v>815</v>
      </c>
      <c r="K711" s="14">
        <f>IF(OR(COUNT(G711:J711)&lt;&gt;4,G711&lt;0,G711&gt;1,H711&gt;I711,I711&gt;J711),"n.a.",ROUND(G711*(H711+4*I711+J711)/6+0.00000001,2))</f>
        <v/>
      </c>
      <c r="L711" s="13" t="n">
        <v>0</v>
      </c>
      <c r="M711" s="14">
        <f>SUMIFS(Maßnahmen!$I$7:$I$126,Maßnahmen!$D$7:$D$126,C711,Maßnahmen!$H$7:$H$126,"&lt;&gt;verworfen")</f>
        <v/>
      </c>
      <c r="N711" s="14">
        <f>IF(ISNUMBER(K711),MAX(0,K711-L711-M711),"n.a.")</f>
        <v/>
      </c>
      <c r="O711" s="14" t="n">
        <v>107.63</v>
      </c>
      <c r="P711" s="14">
        <f>IF(ISNUMBER(K711),K711-O711,"n.a.")</f>
        <v/>
      </c>
    </row>
    <row r="712" ht="32" customHeight="1">
      <c r="C712" s="10" t="inlineStr">
        <is>
          <t>PRJ-40724224-RK-12</t>
        </is>
      </c>
      <c r="D712" s="10" t="inlineStr">
        <is>
          <t>W4102154611</t>
        </is>
      </c>
      <c r="E712" s="11" t="inlineStr">
        <is>
          <t>Staubemissionen (höchster Aufwand laut Umfrage)</t>
        </is>
      </c>
      <c r="F712" s="10" t="inlineStr">
        <is>
          <t>Emissionen</t>
        </is>
      </c>
      <c r="G712" s="12" t="n">
        <v>0.1</v>
      </c>
      <c r="H712" s="13" t="n">
        <v>408</v>
      </c>
      <c r="I712" s="13" t="n">
        <v>815</v>
      </c>
      <c r="J712" s="13" t="n">
        <v>1631</v>
      </c>
      <c r="K712" s="14">
        <f>IF(OR(COUNT(G712:J712)&lt;&gt;4,G712&lt;0,G712&gt;1,H712&gt;I712,I712&gt;J712),"n.a.",ROUND(G712*(H712+4*I712+J712)/6+0.00000001,2))</f>
        <v/>
      </c>
      <c r="L712" s="13" t="n">
        <v>0</v>
      </c>
      <c r="M712" s="14">
        <f>SUMIFS(Maßnahmen!$I$7:$I$126,Maßnahmen!$D$7:$D$126,C712,Maßnahmen!$H$7:$H$126,"&lt;&gt;verworfen")</f>
        <v/>
      </c>
      <c r="N712" s="14">
        <f>IF(ISNUMBER(K712),MAX(0,K712-L712-M712),"n.a.")</f>
        <v/>
      </c>
      <c r="O712" s="14" t="n">
        <v>88.31999999999999</v>
      </c>
      <c r="P712" s="14">
        <f>IF(ISNUMBER(K712),K712-O712,"n.a.")</f>
        <v/>
      </c>
    </row>
    <row r="713" ht="32" customHeight="1">
      <c r="C713" s="10" t="inlineStr">
        <is>
          <t>PRJ-40724224-RK-13</t>
        </is>
      </c>
      <c r="D713" s="10" t="inlineStr">
        <is>
          <t>W4102154611</t>
        </is>
      </c>
      <c r="E713" s="11" t="inlineStr">
        <is>
          <t>Lärm- und Erschütterungsauflagen</t>
        </is>
      </c>
      <c r="F713" s="10" t="inlineStr">
        <is>
          <t>Emissionen</t>
        </is>
      </c>
      <c r="G713" s="12" t="n">
        <v>0.15</v>
      </c>
      <c r="H713" s="13" t="n">
        <v>68</v>
      </c>
      <c r="I713" s="13" t="n">
        <v>136</v>
      </c>
      <c r="J713" s="13" t="n">
        <v>272</v>
      </c>
      <c r="K713" s="14">
        <f>IF(OR(COUNT(G713:J713)&lt;&gt;4,G713&lt;0,G713&gt;1,H713&gt;I713,I713&gt;J713),"n.a.",ROUND(G713*(H713+4*I713+J713)/6+0.00000001,2))</f>
        <v/>
      </c>
      <c r="L713" s="13" t="n">
        <v>0</v>
      </c>
      <c r="M713" s="14">
        <f>SUMIFS(Maßnahmen!$I$7:$I$126,Maßnahmen!$D$7:$D$126,C713,Maßnahmen!$H$7:$H$126,"&lt;&gt;verworfen")</f>
        <v/>
      </c>
      <c r="N713" s="14">
        <f>IF(ISNUMBER(K713),MAX(0,K713-L713-M713),"n.a.")</f>
        <v/>
      </c>
      <c r="O713" s="14" t="n">
        <v>22.1</v>
      </c>
      <c r="P713" s="14">
        <f>IF(ISNUMBER(K713),K713-O713,"n.a.")</f>
        <v/>
      </c>
    </row>
    <row r="714" ht="32" customHeight="1">
      <c r="C714" s="10" t="inlineStr">
        <is>
          <t>PRJ-40724224-RK-14</t>
        </is>
      </c>
      <c r="D714" s="10" t="inlineStr">
        <is>
          <t>W4102154611</t>
        </is>
      </c>
      <c r="E714" s="11" t="inlineStr">
        <is>
          <t>Rechtliche Auflagen / Entsorgungsnachweise (Formalismus)</t>
        </is>
      </c>
      <c r="F714" s="10" t="inlineStr">
        <is>
          <t>Genehmigung</t>
        </is>
      </c>
      <c r="G714" s="12" t="n">
        <v>0.4</v>
      </c>
      <c r="H714" s="13" t="n">
        <v>1291</v>
      </c>
      <c r="I714" s="13" t="n">
        <v>2514</v>
      </c>
      <c r="J714" s="13" t="n">
        <v>4756</v>
      </c>
      <c r="K714" s="14">
        <f>IF(OR(COUNT(G714:J714)&lt;&gt;4,G714&lt;0,G714&gt;1,H714&gt;I714,I714&gt;J714),"n.a.",ROUND(G714*(H714+4*I714+J714)/6+0.00000001,2))</f>
        <v/>
      </c>
      <c r="L714" s="13" t="n">
        <v>0</v>
      </c>
      <c r="M714" s="14">
        <f>SUMIFS(Maßnahmen!$I$7:$I$126,Maßnahmen!$D$7:$D$126,C714,Maßnahmen!$H$7:$H$126,"&lt;&gt;verworfen")</f>
        <v/>
      </c>
      <c r="N714" s="14">
        <f>IF(ISNUMBER(K714),MAX(0,K714-L714-M714),"n.a.")</f>
        <v/>
      </c>
      <c r="O714" s="14" t="n">
        <v>1073.53</v>
      </c>
      <c r="P714" s="14">
        <f>IF(ISNUMBER(K714),K714-O714,"n.a.")</f>
        <v/>
      </c>
    </row>
    <row r="715" ht="32" customHeight="1">
      <c r="C715" s="10" t="inlineStr">
        <is>
          <t>PRJ-4f8e97f4-RK-13</t>
        </is>
      </c>
      <c r="D715" s="10" t="inlineStr">
        <is>
          <t>P4102307304</t>
        </is>
      </c>
      <c r="E715" s="11" t="inlineStr">
        <is>
          <t>Lärm- und Erschütterungsauflagen</t>
        </is>
      </c>
      <c r="F715" s="10" t="inlineStr">
        <is>
          <t>Emissionen</t>
        </is>
      </c>
      <c r="G715" s="12" t="n">
        <v>0.2</v>
      </c>
      <c r="H715" s="13" t="n">
        <v>20</v>
      </c>
      <c r="I715" s="13" t="n">
        <v>50</v>
      </c>
      <c r="J715" s="13" t="n">
        <v>100</v>
      </c>
      <c r="K715" s="14">
        <f>IF(OR(COUNT(G715:J715)&lt;&gt;4,G715&lt;0,G715&gt;1,H715&gt;I715,I715&gt;J715),"n.a.",ROUND(G715*(H715+4*I715+J715)/6+0.00000001,2))</f>
        <v/>
      </c>
      <c r="L715" s="13" t="n">
        <v>0</v>
      </c>
      <c r="M715" s="14">
        <f>SUMIFS(Maßnahmen!$I$7:$I$126,Maßnahmen!$D$7:$D$126,C715,Maßnahmen!$H$7:$H$126,"&lt;&gt;verworfen")</f>
        <v/>
      </c>
      <c r="N715" s="14">
        <f>IF(ISNUMBER(K715),MAX(0,K715-L715-M715),"n.a.")</f>
        <v/>
      </c>
      <c r="O715" s="14" t="n">
        <v>10.67</v>
      </c>
      <c r="P715" s="14">
        <f>IF(ISNUMBER(K715),K715-O715,"n.a.")</f>
        <v/>
      </c>
    </row>
    <row r="716" ht="32" customHeight="1">
      <c r="C716" s="10" t="inlineStr">
        <is>
          <t>PRJ-4f8e97f4-RK-14</t>
        </is>
      </c>
      <c r="D716" s="10" t="inlineStr">
        <is>
          <t>P4102307304</t>
        </is>
      </c>
      <c r="E716" s="11" t="inlineStr">
        <is>
          <t>Rechtliche Auflagen / Entsorgungsnachweise (Formalismus)</t>
        </is>
      </c>
      <c r="F716" s="10" t="inlineStr">
        <is>
          <t>Genehmigung</t>
        </is>
      </c>
      <c r="G716" s="12" t="n">
        <v>0.12</v>
      </c>
      <c r="H716" s="13" t="n">
        <v>15</v>
      </c>
      <c r="I716" s="13" t="n">
        <v>35</v>
      </c>
      <c r="J716" s="13" t="n">
        <v>70</v>
      </c>
      <c r="K716" s="14">
        <f>IF(OR(COUNT(G716:J716)&lt;&gt;4,G716&lt;0,G716&gt;1,H716&gt;I716,I716&gt;J716),"n.a.",ROUND(G716*(H716+4*I716+J716)/6+0.00000001,2))</f>
        <v/>
      </c>
      <c r="L716" s="13" t="n">
        <v>0</v>
      </c>
      <c r="M716" s="14">
        <f>SUMIFS(Maßnahmen!$I$7:$I$126,Maßnahmen!$D$7:$D$126,C716,Maßnahmen!$H$7:$H$126,"&lt;&gt;verworfen")</f>
        <v/>
      </c>
      <c r="N716" s="14">
        <f>IF(ISNUMBER(K716),MAX(0,K716-L716-M716),"n.a.")</f>
        <v/>
      </c>
      <c r="O716" s="14" t="n">
        <v>4.5</v>
      </c>
      <c r="P716" s="14">
        <f>IF(ISNUMBER(K716),K716-O716,"n.a.")</f>
        <v/>
      </c>
    </row>
    <row r="717" ht="32" customHeight="1">
      <c r="C717" s="10" t="inlineStr">
        <is>
          <t>PRJ-4f8e97f4-RK-15</t>
        </is>
      </c>
      <c r="D717" s="10" t="inlineStr">
        <is>
          <t>P4102307304</t>
        </is>
      </c>
      <c r="E717" s="11" t="inlineStr">
        <is>
          <t>Konjunktur / Sekundärstoffpreise &amp; Gerätemiete</t>
        </is>
      </c>
      <c r="F717" s="10" t="inlineStr">
        <is>
          <t>Markt</t>
        </is>
      </c>
      <c r="G717" s="12" t="n">
        <v>0.12</v>
      </c>
      <c r="H717" s="13" t="n">
        <v>8</v>
      </c>
      <c r="I717" s="13" t="n">
        <v>20</v>
      </c>
      <c r="J717" s="13" t="n">
        <v>50</v>
      </c>
      <c r="K717" s="14">
        <f>IF(OR(COUNT(G717:J717)&lt;&gt;4,G717&lt;0,G717&gt;1,H717&gt;I717,I717&gt;J717),"n.a.",ROUND(G717*(H717+4*I717+J717)/6+0.00000001,2))</f>
        <v/>
      </c>
      <c r="L717" s="13" t="n">
        <v>0</v>
      </c>
      <c r="M717" s="14">
        <f>SUMIFS(Maßnahmen!$I$7:$I$126,Maßnahmen!$D$7:$D$126,C717,Maßnahmen!$H$7:$H$126,"&lt;&gt;verworfen")</f>
        <v/>
      </c>
      <c r="N717" s="14">
        <f>IF(ISNUMBER(K717),MAX(0,K717-L717-M717),"n.a.")</f>
        <v/>
      </c>
      <c r="O717" s="14" t="n">
        <v>2.76</v>
      </c>
      <c r="P717" s="14">
        <f>IF(ISNUMBER(K717),K717-O717,"n.a.")</f>
        <v/>
      </c>
    </row>
    <row r="718" ht="32" customHeight="1">
      <c r="C718" s="10" t="inlineStr">
        <is>
          <t>PRJ-52b1cf6d-RK-13</t>
        </is>
      </c>
      <c r="D718" s="10" t="inlineStr">
        <is>
          <t>P4102157447</t>
        </is>
      </c>
      <c r="E718" s="11" t="inlineStr">
        <is>
          <t>Lärm- und Erschütterungsauflagen</t>
        </is>
      </c>
      <c r="F718" s="10" t="inlineStr">
        <is>
          <t>Emissionen</t>
        </is>
      </c>
      <c r="G718" s="12" t="n">
        <v>0.2</v>
      </c>
      <c r="H718" s="13" t="n">
        <v>100</v>
      </c>
      <c r="I718" s="13" t="n">
        <v>250</v>
      </c>
      <c r="J718" s="13" t="n">
        <v>500</v>
      </c>
      <c r="K718" s="14">
        <f>IF(OR(COUNT(G718:J718)&lt;&gt;4,G718&lt;0,G718&gt;1,H718&gt;I718,I718&gt;J718),"n.a.",ROUND(G718*(H718+4*I718+J718)/6+0.00000001,2))</f>
        <v/>
      </c>
      <c r="L718" s="13" t="n">
        <v>0</v>
      </c>
      <c r="M718" s="14">
        <f>SUMIFS(Maßnahmen!$I$7:$I$126,Maßnahmen!$D$7:$D$126,C718,Maßnahmen!$H$7:$H$126,"&lt;&gt;verworfen")</f>
        <v/>
      </c>
      <c r="N718" s="14">
        <f>IF(ISNUMBER(K718),MAX(0,K718-L718-M718),"n.a.")</f>
        <v/>
      </c>
      <c r="O718" s="14" t="n">
        <v>53.33</v>
      </c>
      <c r="P718" s="14">
        <f>IF(ISNUMBER(K718),K718-O718,"n.a.")</f>
        <v/>
      </c>
    </row>
    <row r="719" ht="32" customHeight="1">
      <c r="C719" s="10" t="inlineStr">
        <is>
          <t>PRJ-52b1cf6d-RK-14</t>
        </is>
      </c>
      <c r="D719" s="10" t="inlineStr">
        <is>
          <t>P4102157447</t>
        </is>
      </c>
      <c r="E719" s="11" t="inlineStr">
        <is>
          <t>Rechtliche Auflagen / Entsorgungsnachweise (Formalismus)</t>
        </is>
      </c>
      <c r="F719" s="10" t="inlineStr">
        <is>
          <t>Genehmigung</t>
        </is>
      </c>
      <c r="G719" s="12" t="n">
        <v>0.4</v>
      </c>
      <c r="H719" s="13" t="n">
        <v>475</v>
      </c>
      <c r="I719" s="13" t="n">
        <v>925</v>
      </c>
      <c r="J719" s="13" t="n">
        <v>1750</v>
      </c>
      <c r="K719" s="14">
        <f>IF(OR(COUNT(G719:J719)&lt;&gt;4,G719&lt;0,G719&gt;1,H719&gt;I719,I719&gt;J719),"n.a.",ROUND(G719*(H719+4*I719+J719)/6+0.00000001,2))</f>
        <v/>
      </c>
      <c r="L719" s="13" t="n">
        <v>0</v>
      </c>
      <c r="M719" s="14">
        <f>SUMIFS(Maßnahmen!$I$7:$I$126,Maßnahmen!$D$7:$D$126,C719,Maßnahmen!$H$7:$H$126,"&lt;&gt;verworfen")</f>
        <v/>
      </c>
      <c r="N719" s="14">
        <f>IF(ISNUMBER(K719),MAX(0,K719-L719-M719),"n.a.")</f>
        <v/>
      </c>
      <c r="O719" s="14" t="n">
        <v>395</v>
      </c>
      <c r="P719" s="14">
        <f>IF(ISNUMBER(K719),K719-O719,"n.a.")</f>
        <v/>
      </c>
    </row>
    <row r="720" ht="32" customHeight="1">
      <c r="C720" s="10" t="inlineStr">
        <is>
          <t>PRJ-52b1cf6d-RK-15</t>
        </is>
      </c>
      <c r="D720" s="10" t="inlineStr">
        <is>
          <t>P4102157447</t>
        </is>
      </c>
      <c r="E720" s="11" t="inlineStr">
        <is>
          <t>Konjunktur / Sekundärstoffpreise &amp; Gerätemiete</t>
        </is>
      </c>
      <c r="F720" s="10" t="inlineStr">
        <is>
          <t>Markt</t>
        </is>
      </c>
      <c r="G720" s="12" t="n">
        <v>0.12</v>
      </c>
      <c r="H720" s="13" t="n">
        <v>40</v>
      </c>
      <c r="I720" s="13" t="n">
        <v>100</v>
      </c>
      <c r="J720" s="13" t="n">
        <v>250</v>
      </c>
      <c r="K720" s="14">
        <f>IF(OR(COUNT(G720:J720)&lt;&gt;4,G720&lt;0,G720&gt;1,H720&gt;I720,I720&gt;J720),"n.a.",ROUND(G720*(H720+4*I720+J720)/6+0.00000001,2))</f>
        <v/>
      </c>
      <c r="L720" s="13" t="n">
        <v>0</v>
      </c>
      <c r="M720" s="14">
        <f>SUMIFS(Maßnahmen!$I$7:$I$126,Maßnahmen!$D$7:$D$126,C720,Maßnahmen!$H$7:$H$126,"&lt;&gt;verworfen")</f>
        <v/>
      </c>
      <c r="N720" s="14">
        <f>IF(ISNUMBER(K720),MAX(0,K720-L720-M720),"n.a.")</f>
        <v/>
      </c>
      <c r="O720" s="14" t="n">
        <v>13.8</v>
      </c>
      <c r="P720" s="14">
        <f>IF(ISNUMBER(K720),K720-O720,"n.a.")</f>
        <v/>
      </c>
    </row>
    <row r="721" ht="32" customHeight="1">
      <c r="C721" s="10" t="inlineStr">
        <is>
          <t>PRJ-4072363f-RK-01</t>
        </is>
      </c>
      <c r="D721" s="10" t="inlineStr">
        <is>
          <t>W4102154968</t>
        </is>
      </c>
      <c r="E721" s="11" t="inlineStr">
        <is>
          <t>Schadstofffund / Schadstoffsanierung (Asbest, PAK, PCB, PCP)</t>
        </is>
      </c>
      <c r="F721" s="10" t="inlineStr">
        <is>
          <t>Schadstoffe</t>
        </is>
      </c>
      <c r="G721" s="12" t="n">
        <v>0.1</v>
      </c>
      <c r="H721" s="13" t="n">
        <v>20</v>
      </c>
      <c r="I721" s="13" t="n">
        <v>50</v>
      </c>
      <c r="J721" s="13" t="n">
        <v>100</v>
      </c>
      <c r="K721" s="14">
        <f>IF(OR(COUNT(G721:J721)&lt;&gt;4,G721&lt;0,G721&gt;1,H721&gt;I721,I721&gt;J721),"n.a.",ROUND(G721*(H721+4*I721+J721)/6+0.00000001,2))</f>
        <v/>
      </c>
      <c r="L721" s="13" t="n">
        <v>0</v>
      </c>
      <c r="M721" s="14">
        <f>SUMIFS(Maßnahmen!$I$7:$I$126,Maßnahmen!$D$7:$D$126,C721,Maßnahmen!$H$7:$H$126,"&lt;&gt;verworfen")</f>
        <v/>
      </c>
      <c r="N721" s="14">
        <f>IF(ISNUMBER(K721),MAX(0,K721-L721-M721),"n.a.")</f>
        <v/>
      </c>
      <c r="O721" s="14" t="n">
        <v>5.33</v>
      </c>
      <c r="P721" s="14">
        <f>IF(ISNUMBER(K721),K721-O721,"n.a.")</f>
        <v/>
      </c>
    </row>
    <row r="722" ht="32" customHeight="1">
      <c r="C722" s="10" t="inlineStr">
        <is>
          <t>PRJ-4072363f-RK-02</t>
        </is>
      </c>
      <c r="D722" s="10" t="inlineStr">
        <is>
          <t>W4102154968</t>
        </is>
      </c>
      <c r="E722" s="11" t="inlineStr">
        <is>
          <t>Arbeitsschutz kontaminierte Bereiche (TRGS 524)</t>
        </is>
      </c>
      <c r="F722" s="10" t="inlineStr">
        <is>
          <t>Schadstoffe</t>
        </is>
      </c>
      <c r="G722" s="12" t="n">
        <v>0.47</v>
      </c>
      <c r="H722" s="13" t="n">
        <v>20</v>
      </c>
      <c r="I722" s="13" t="n">
        <v>50</v>
      </c>
      <c r="J722" s="13" t="n">
        <v>100</v>
      </c>
      <c r="K722" s="14">
        <f>IF(OR(COUNT(G722:J722)&lt;&gt;4,G722&lt;0,G722&gt;1,H722&gt;I722,I722&gt;J722),"n.a.",ROUND(G722*(H722+4*I722+J722)/6+0.00000001,2))</f>
        <v/>
      </c>
      <c r="L722" s="13" t="n">
        <v>0</v>
      </c>
      <c r="M722" s="14">
        <f>SUMIFS(Maßnahmen!$I$7:$I$126,Maßnahmen!$D$7:$D$126,C722,Maßnahmen!$H$7:$H$126,"&lt;&gt;verworfen")</f>
        <v/>
      </c>
      <c r="N722" s="14">
        <f>IF(ISNUMBER(K722),MAX(0,K722-L722-M722),"n.a.")</f>
        <v/>
      </c>
      <c r="O722" s="14" t="n">
        <v>25.07</v>
      </c>
      <c r="P722" s="14">
        <f>IF(ISNUMBER(K722),K722-O722,"n.a.")</f>
        <v/>
      </c>
    </row>
    <row r="723" ht="32" customHeight="1">
      <c r="C723" s="10" t="inlineStr">
        <is>
          <t>PRJ-4072363f-RK-03</t>
        </is>
      </c>
      <c r="D723" s="10" t="inlineStr">
        <is>
          <t>W4102154968</t>
        </is>
      </c>
      <c r="E723" s="11" t="inlineStr">
        <is>
          <t>Entsorgungs-Mehrkosten / Entsorgungswege</t>
        </is>
      </c>
      <c r="F723" s="10" t="inlineStr">
        <is>
          <t>Entsorgung</t>
        </is>
      </c>
      <c r="G723" s="12" t="n">
        <v>0.27</v>
      </c>
      <c r="H723" s="13" t="n">
        <v>20</v>
      </c>
      <c r="I723" s="13" t="n">
        <v>50</v>
      </c>
      <c r="J723" s="13" t="n">
        <v>100</v>
      </c>
      <c r="K723" s="14">
        <f>IF(OR(COUNT(G723:J723)&lt;&gt;4,G723&lt;0,G723&gt;1,H723&gt;I723,I723&gt;J723),"n.a.",ROUND(G723*(H723+4*I723+J723)/6+0.00000001,2))</f>
        <v/>
      </c>
      <c r="L723" s="13" t="n">
        <v>0</v>
      </c>
      <c r="M723" s="14">
        <f>SUMIFS(Maßnahmen!$I$7:$I$126,Maßnahmen!$D$7:$D$126,C723,Maßnahmen!$H$7:$H$126,"&lt;&gt;verworfen")</f>
        <v/>
      </c>
      <c r="N723" s="14">
        <f>IF(ISNUMBER(K723),MAX(0,K723-L723-M723),"n.a.")</f>
        <v/>
      </c>
      <c r="O723" s="14" t="n">
        <v>14.4</v>
      </c>
      <c r="P723" s="14">
        <f>IF(ISNUMBER(K723),K723-O723,"n.a.")</f>
        <v/>
      </c>
    </row>
    <row r="724" ht="32" customHeight="1">
      <c r="C724" s="10" t="inlineStr">
        <is>
          <t>PRJ-4072363f-RK-04</t>
        </is>
      </c>
      <c r="D724" s="10" t="inlineStr">
        <is>
          <t>W4102154968</t>
        </is>
      </c>
      <c r="E724" s="11" t="inlineStr">
        <is>
          <t>Baustofftrennung / Aufbereitung nicht wie geplant</t>
        </is>
      </c>
      <c r="F724" s="10" t="inlineStr">
        <is>
          <t>Entsorgung</t>
        </is>
      </c>
      <c r="G724" s="12" t="n">
        <v>0.1</v>
      </c>
      <c r="H724" s="13" t="n">
        <v>20</v>
      </c>
      <c r="I724" s="13" t="n">
        <v>50</v>
      </c>
      <c r="J724" s="13" t="n">
        <v>100</v>
      </c>
      <c r="K724" s="14">
        <f>IF(OR(COUNT(G724:J724)&lt;&gt;4,G724&lt;0,G724&gt;1,H724&gt;I724,I724&gt;J724),"n.a.",ROUND(G724*(H724+4*I724+J724)/6+0.00000001,2))</f>
        <v/>
      </c>
      <c r="L724" s="13" t="n">
        <v>0</v>
      </c>
      <c r="M724" s="14">
        <f>SUMIFS(Maßnahmen!$I$7:$I$126,Maßnahmen!$D$7:$D$126,C724,Maßnahmen!$H$7:$H$126,"&lt;&gt;verworfen")</f>
        <v/>
      </c>
      <c r="N724" s="14">
        <f>IF(ISNUMBER(K724),MAX(0,K724-L724-M724),"n.a.")</f>
        <v/>
      </c>
      <c r="O724" s="14" t="n">
        <v>5.33</v>
      </c>
      <c r="P724" s="14">
        <f>IF(ISNUMBER(K724),K724-O724,"n.a.")</f>
        <v/>
      </c>
    </row>
    <row r="725" ht="32" customHeight="1">
      <c r="C725" s="10" t="inlineStr">
        <is>
          <t>PRJ-4072363f-RK-05</t>
        </is>
      </c>
      <c r="D725" s="10" t="inlineStr">
        <is>
          <t>W4102154968</t>
        </is>
      </c>
      <c r="E725" s="11" t="inlineStr">
        <is>
          <t>Unbekannte Bauwerkskonstruktion / fehlende Pläne</t>
        </is>
      </c>
      <c r="F725" s="10" t="inlineStr">
        <is>
          <t>Statik</t>
        </is>
      </c>
      <c r="G725" s="12" t="n">
        <v>0.12</v>
      </c>
      <c r="H725" s="13" t="n">
        <v>40</v>
      </c>
      <c r="I725" s="13" t="n">
        <v>80</v>
      </c>
      <c r="J725" s="13" t="n">
        <v>150</v>
      </c>
      <c r="K725" s="14">
        <f>IF(OR(COUNT(G725:J725)&lt;&gt;4,G725&lt;0,G725&gt;1,H725&gt;I725,I725&gt;J725),"n.a.",ROUND(G725*(H725+4*I725+J725)/6+0.00000001,2))</f>
        <v/>
      </c>
      <c r="L725" s="13" t="n">
        <v>0</v>
      </c>
      <c r="M725" s="14">
        <f>SUMIFS(Maßnahmen!$I$7:$I$126,Maßnahmen!$D$7:$D$126,C725,Maßnahmen!$H$7:$H$126,"&lt;&gt;verworfen")</f>
        <v/>
      </c>
      <c r="N725" s="14">
        <f>IF(ISNUMBER(K725),MAX(0,K725-L725-M725),"n.a.")</f>
        <v/>
      </c>
      <c r="O725" s="14" t="n">
        <v>10.2</v>
      </c>
      <c r="P725" s="14">
        <f>IF(ISNUMBER(K725),K725-O725,"n.a.")</f>
        <v/>
      </c>
    </row>
    <row r="726" ht="32" customHeight="1">
      <c r="C726" s="10" t="inlineStr">
        <is>
          <t>PRJ-4072363f-RK-06</t>
        </is>
      </c>
      <c r="D726" s="10" t="inlineStr">
        <is>
          <t>W4102154968</t>
        </is>
      </c>
      <c r="E726" s="11" t="inlineStr">
        <is>
          <t>Statik / Einsturzsicherung während Abbruch</t>
        </is>
      </c>
      <c r="F726" s="10" t="inlineStr">
        <is>
          <t>Statik</t>
        </is>
      </c>
      <c r="G726" s="12" t="n">
        <v>0.24</v>
      </c>
      <c r="H726" s="13" t="n">
        <v>30</v>
      </c>
      <c r="I726" s="13" t="n">
        <v>70</v>
      </c>
      <c r="J726" s="13" t="n">
        <v>140</v>
      </c>
      <c r="K726" s="14">
        <f>IF(OR(COUNT(G726:J726)&lt;&gt;4,G726&lt;0,G726&gt;1,H726&gt;I726,I726&gt;J726),"n.a.",ROUND(G726*(H726+4*I726+J726)/6+0.00000001,2))</f>
        <v/>
      </c>
      <c r="L726" s="13" t="n">
        <v>0</v>
      </c>
      <c r="M726" s="14">
        <f>SUMIFS(Maßnahmen!$I$7:$I$126,Maßnahmen!$D$7:$D$126,C726,Maßnahmen!$H$7:$H$126,"&lt;&gt;verworfen")</f>
        <v/>
      </c>
      <c r="N726" s="14">
        <f>IF(ISNUMBER(K726),MAX(0,K726-L726-M726),"n.a.")</f>
        <v/>
      </c>
      <c r="O726" s="14" t="n">
        <v>18</v>
      </c>
      <c r="P726" s="14">
        <f>IF(ISNUMBER(K726),K726-O726,"n.a.")</f>
        <v/>
      </c>
    </row>
    <row r="727" ht="32" customHeight="1">
      <c r="C727" s="10" t="inlineStr">
        <is>
          <t>PRJ-4072363f-RK-11</t>
        </is>
      </c>
      <c r="D727" s="10" t="inlineStr">
        <is>
          <t>W4102154968</t>
        </is>
      </c>
      <c r="E727" s="11" t="inlineStr">
        <is>
          <t>Witterung / Ablaufstörung</t>
        </is>
      </c>
      <c r="F727" s="10" t="inlineStr">
        <is>
          <t>Termin</t>
        </is>
      </c>
      <c r="G727" s="12" t="n">
        <v>0.25</v>
      </c>
      <c r="H727" s="13" t="n">
        <v>10</v>
      </c>
      <c r="I727" s="13" t="n">
        <v>30</v>
      </c>
      <c r="J727" s="13" t="n">
        <v>60</v>
      </c>
      <c r="K727" s="14">
        <f>IF(OR(COUNT(G727:J727)&lt;&gt;4,G727&lt;0,G727&gt;1,H727&gt;I727,I727&gt;J727),"n.a.",ROUND(G727*(H727+4*I727+J727)/6+0.00000001,2))</f>
        <v/>
      </c>
      <c r="L727" s="13" t="n">
        <v>0</v>
      </c>
      <c r="M727" s="14">
        <f>SUMIFS(Maßnahmen!$I$7:$I$126,Maßnahmen!$D$7:$D$126,C727,Maßnahmen!$H$7:$H$126,"&lt;&gt;verworfen")</f>
        <v/>
      </c>
      <c r="N727" s="14">
        <f>IF(ISNUMBER(K727),MAX(0,K727-L727-M727),"n.a.")</f>
        <v/>
      </c>
      <c r="O727" s="14" t="n">
        <v>7.92</v>
      </c>
      <c r="P727" s="14">
        <f>IF(ISNUMBER(K727),K727-O727,"n.a.")</f>
        <v/>
      </c>
    </row>
    <row r="728" ht="32" customHeight="1">
      <c r="C728" s="10" t="inlineStr">
        <is>
          <t>PRJ-4072363f-RK-12</t>
        </is>
      </c>
      <c r="D728" s="10" t="inlineStr">
        <is>
          <t>W4102154968</t>
        </is>
      </c>
      <c r="E728" s="11" t="inlineStr">
        <is>
          <t>Staubemissionen (höchster Aufwand laut Umfrage)</t>
        </is>
      </c>
      <c r="F728" s="10" t="inlineStr">
        <is>
          <t>Emissionen</t>
        </is>
      </c>
      <c r="G728" s="12" t="n">
        <v>0.1</v>
      </c>
      <c r="H728" s="13" t="n">
        <v>30</v>
      </c>
      <c r="I728" s="13" t="n">
        <v>60</v>
      </c>
      <c r="J728" s="13" t="n">
        <v>120</v>
      </c>
      <c r="K728" s="14">
        <f>IF(OR(COUNT(G728:J728)&lt;&gt;4,G728&lt;0,G728&gt;1,H728&gt;I728,I728&gt;J728),"n.a.",ROUND(G728*(H728+4*I728+J728)/6+0.00000001,2))</f>
        <v/>
      </c>
      <c r="L728" s="13" t="n">
        <v>0</v>
      </c>
      <c r="M728" s="14">
        <f>SUMIFS(Maßnahmen!$I$7:$I$126,Maßnahmen!$D$7:$D$126,C728,Maßnahmen!$H$7:$H$126,"&lt;&gt;verworfen")</f>
        <v/>
      </c>
      <c r="N728" s="14">
        <f>IF(ISNUMBER(K728),MAX(0,K728-L728-M728),"n.a.")</f>
        <v/>
      </c>
      <c r="O728" s="14" t="n">
        <v>6.5</v>
      </c>
      <c r="P728" s="14">
        <f>IF(ISNUMBER(K728),K728-O728,"n.a.")</f>
        <v/>
      </c>
    </row>
    <row r="729" ht="32" customHeight="1">
      <c r="C729" s="10" t="inlineStr">
        <is>
          <t>PRJ-4072363f-RK-13</t>
        </is>
      </c>
      <c r="D729" s="10" t="inlineStr">
        <is>
          <t>W4102154968</t>
        </is>
      </c>
      <c r="E729" s="11" t="inlineStr">
        <is>
          <t>Lärm- und Erschütterungsauflagen</t>
        </is>
      </c>
      <c r="F729" s="10" t="inlineStr">
        <is>
          <t>Emissionen</t>
        </is>
      </c>
      <c r="G729" s="12" t="n">
        <v>0.2</v>
      </c>
      <c r="H729" s="13" t="n">
        <v>20</v>
      </c>
      <c r="I729" s="13" t="n">
        <v>50</v>
      </c>
      <c r="J729" s="13" t="n">
        <v>100</v>
      </c>
      <c r="K729" s="14">
        <f>IF(OR(COUNT(G729:J729)&lt;&gt;4,G729&lt;0,G729&gt;1,H729&gt;I729,I729&gt;J729),"n.a.",ROUND(G729*(H729+4*I729+J729)/6+0.00000001,2))</f>
        <v/>
      </c>
      <c r="L729" s="13" t="n">
        <v>0</v>
      </c>
      <c r="M729" s="14">
        <f>SUMIFS(Maßnahmen!$I$7:$I$126,Maßnahmen!$D$7:$D$126,C729,Maßnahmen!$H$7:$H$126,"&lt;&gt;verworfen")</f>
        <v/>
      </c>
      <c r="N729" s="14">
        <f>IF(ISNUMBER(K729),MAX(0,K729-L729-M729),"n.a.")</f>
        <v/>
      </c>
      <c r="O729" s="14" t="n">
        <v>10.67</v>
      </c>
      <c r="P729" s="14">
        <f>IF(ISNUMBER(K729),K729-O729,"n.a.")</f>
        <v/>
      </c>
    </row>
    <row r="730" ht="32" customHeight="1">
      <c r="C730" s="10" t="inlineStr">
        <is>
          <t>PRJ-4072363f-RK-14</t>
        </is>
      </c>
      <c r="D730" s="10" t="inlineStr">
        <is>
          <t>W4102154968</t>
        </is>
      </c>
      <c r="E730" s="11" t="inlineStr">
        <is>
          <t>Rechtliche Auflagen / Entsorgungsnachweise (Formalismus)</t>
        </is>
      </c>
      <c r="F730" s="10" t="inlineStr">
        <is>
          <t>Genehmigung</t>
        </is>
      </c>
      <c r="G730" s="12" t="n">
        <v>0.4</v>
      </c>
      <c r="H730" s="13" t="n">
        <v>95</v>
      </c>
      <c r="I730" s="13" t="n">
        <v>185</v>
      </c>
      <c r="J730" s="13" t="n">
        <v>350</v>
      </c>
      <c r="K730" s="14">
        <f>IF(OR(COUNT(G730:J730)&lt;&gt;4,G730&lt;0,G730&gt;1,H730&gt;I730,I730&gt;J730),"n.a.",ROUND(G730*(H730+4*I730+J730)/6+0.00000001,2))</f>
        <v/>
      </c>
      <c r="L730" s="13" t="n">
        <v>0</v>
      </c>
      <c r="M730" s="14">
        <f>SUMIFS(Maßnahmen!$I$7:$I$126,Maßnahmen!$D$7:$D$126,C730,Maßnahmen!$H$7:$H$126,"&lt;&gt;verworfen")</f>
        <v/>
      </c>
      <c r="N730" s="14">
        <f>IF(ISNUMBER(K730),MAX(0,K730-L730-M730),"n.a.")</f>
        <v/>
      </c>
      <c r="O730" s="14" t="n">
        <v>79</v>
      </c>
      <c r="P730" s="14">
        <f>IF(ISNUMBER(K730),K730-O730,"n.a.")</f>
        <v/>
      </c>
    </row>
    <row r="731" ht="32" customHeight="1">
      <c r="C731" s="10" t="inlineStr">
        <is>
          <t>PRJ-4072363f-RK-15</t>
        </is>
      </c>
      <c r="D731" s="10" t="inlineStr">
        <is>
          <t>W4102154968</t>
        </is>
      </c>
      <c r="E731" s="11" t="inlineStr">
        <is>
          <t>Konjunktur / Sekundärstoffpreise &amp; Gerätemiete</t>
        </is>
      </c>
      <c r="F731" s="10" t="inlineStr">
        <is>
          <t>Markt</t>
        </is>
      </c>
      <c r="G731" s="12" t="n">
        <v>0.12</v>
      </c>
      <c r="H731" s="13" t="n">
        <v>8</v>
      </c>
      <c r="I731" s="13" t="n">
        <v>20</v>
      </c>
      <c r="J731" s="13" t="n">
        <v>50</v>
      </c>
      <c r="K731" s="14">
        <f>IF(OR(COUNT(G731:J731)&lt;&gt;4,G731&lt;0,G731&gt;1,H731&gt;I731,I731&gt;J731),"n.a.",ROUND(G731*(H731+4*I731+J731)/6+0.00000001,2))</f>
        <v/>
      </c>
      <c r="L731" s="13" t="n">
        <v>0</v>
      </c>
      <c r="M731" s="14">
        <f>SUMIFS(Maßnahmen!$I$7:$I$126,Maßnahmen!$D$7:$D$126,C731,Maßnahmen!$H$7:$H$126,"&lt;&gt;verworfen")</f>
        <v/>
      </c>
      <c r="N731" s="14">
        <f>IF(ISNUMBER(K731),MAX(0,K731-L731-M731),"n.a.")</f>
        <v/>
      </c>
      <c r="O731" s="14" t="n">
        <v>2.76</v>
      </c>
      <c r="P731" s="14">
        <f>IF(ISNUMBER(K731),K731-O731,"n.a.")</f>
        <v/>
      </c>
    </row>
    <row r="732" ht="32" customHeight="1">
      <c r="C732" s="10" t="inlineStr">
        <is>
          <t>PRJ-3d4db0d0-RK-06</t>
        </is>
      </c>
      <c r="D732" s="10" t="inlineStr">
        <is>
          <t>W4102307411</t>
        </is>
      </c>
      <c r="E732" s="11" t="inlineStr">
        <is>
          <t>Statik / Einsturzsicherung während Abbruch</t>
        </is>
      </c>
      <c r="F732" s="10" t="inlineStr">
        <is>
          <t>Statik</t>
        </is>
      </c>
      <c r="G732" s="12" t="n">
        <v>0.24</v>
      </c>
      <c r="H732" s="13" t="n">
        <v>30</v>
      </c>
      <c r="I732" s="13" t="n">
        <v>70</v>
      </c>
      <c r="J732" s="13" t="n">
        <v>140</v>
      </c>
      <c r="K732" s="14">
        <f>IF(OR(COUNT(G732:J732)&lt;&gt;4,G732&lt;0,G732&gt;1,H732&gt;I732,I732&gt;J732),"n.a.",ROUND(G732*(H732+4*I732+J732)/6+0.00000001,2))</f>
        <v/>
      </c>
      <c r="L732" s="13" t="n">
        <v>0</v>
      </c>
      <c r="M732" s="14">
        <f>SUMIFS(Maßnahmen!$I$7:$I$126,Maßnahmen!$D$7:$D$126,C732,Maßnahmen!$H$7:$H$126,"&lt;&gt;verworfen")</f>
        <v/>
      </c>
      <c r="N732" s="14">
        <f>IF(ISNUMBER(K732),MAX(0,K732-L732-M732),"n.a.")</f>
        <v/>
      </c>
      <c r="O732" s="14" t="n">
        <v>18</v>
      </c>
      <c r="P732" s="14">
        <f>IF(ISNUMBER(K732),K732-O732,"n.a.")</f>
        <v/>
      </c>
    </row>
    <row r="733" ht="32" customHeight="1">
      <c r="C733" s="10" t="inlineStr">
        <is>
          <t>PRJ-3d4db0d0-RK-07</t>
        </is>
      </c>
      <c r="D733" s="10" t="inlineStr">
        <is>
          <t>W4102307411</t>
        </is>
      </c>
      <c r="E733" s="11" t="inlineStr">
        <is>
          <t>Unterirdische Tragkonstruktion / Fundamente</t>
        </is>
      </c>
      <c r="F733" s="10" t="inlineStr">
        <is>
          <t>Statik</t>
        </is>
      </c>
      <c r="G733" s="12" t="n">
        <v>0.4</v>
      </c>
      <c r="H733" s="13" t="n">
        <v>5</v>
      </c>
      <c r="I733" s="13" t="n">
        <v>20</v>
      </c>
      <c r="J733" s="13" t="n">
        <v>50</v>
      </c>
      <c r="K733" s="14">
        <f>IF(OR(COUNT(G733:J733)&lt;&gt;4,G733&lt;0,G733&gt;1,H733&gt;I733,I733&gt;J733),"n.a.",ROUND(G733*(H733+4*I733+J733)/6+0.00000001,2))</f>
        <v/>
      </c>
      <c r="L733" s="13" t="n">
        <v>0</v>
      </c>
      <c r="M733" s="14">
        <f>SUMIFS(Maßnahmen!$I$7:$I$126,Maßnahmen!$D$7:$D$126,C733,Maßnahmen!$H$7:$H$126,"&lt;&gt;verworfen")</f>
        <v/>
      </c>
      <c r="N733" s="14">
        <f>IF(ISNUMBER(K733),MAX(0,K733-L733-M733),"n.a.")</f>
        <v/>
      </c>
      <c r="O733" s="14" t="n">
        <v>9</v>
      </c>
      <c r="P733" s="14">
        <f>IF(ISNUMBER(K733),K733-O733,"n.a.")</f>
        <v/>
      </c>
    </row>
    <row r="734" ht="32" customHeight="1">
      <c r="C734" s="10" t="inlineStr">
        <is>
          <t>PRJ-3d4db0d0-RK-08</t>
        </is>
      </c>
      <c r="D734" s="10" t="inlineStr">
        <is>
          <t>W4102307411</t>
        </is>
      </c>
      <c r="E734" s="11" t="inlineStr">
        <is>
          <t>Gebäudehöhe &gt;22 m / Longfront-Bagger (+130–150 %)</t>
        </is>
      </c>
      <c r="F734" s="10" t="inlineStr">
        <is>
          <t>Termin</t>
        </is>
      </c>
      <c r="G734" s="12" t="n">
        <v>0.6</v>
      </c>
      <c r="H734" s="13" t="n">
        <v>90</v>
      </c>
      <c r="I734" s="13" t="n">
        <v>180</v>
      </c>
      <c r="J734" s="13" t="n">
        <v>340</v>
      </c>
      <c r="K734" s="14">
        <f>IF(OR(COUNT(G734:J734)&lt;&gt;4,G734&lt;0,G734&gt;1,H734&gt;I734,I734&gt;J734),"n.a.",ROUND(G734*(H734+4*I734+J734)/6+0.00000001,2))</f>
        <v/>
      </c>
      <c r="L734" s="13" t="n">
        <v>0</v>
      </c>
      <c r="M734" s="14">
        <f>SUMIFS(Maßnahmen!$I$7:$I$126,Maßnahmen!$D$7:$D$126,C734,Maßnahmen!$H$7:$H$126,"&lt;&gt;verworfen")</f>
        <v/>
      </c>
      <c r="N734" s="14">
        <f>IF(ISNUMBER(K734),MAX(0,K734-L734-M734),"n.a.")</f>
        <v/>
      </c>
      <c r="O734" s="14" t="n">
        <v>115</v>
      </c>
      <c r="P734" s="14">
        <f>IF(ISNUMBER(K734),K734-O734,"n.a.")</f>
        <v/>
      </c>
    </row>
    <row r="735" ht="32" customHeight="1">
      <c r="C735" s="10" t="inlineStr">
        <is>
          <t>PRJ-3d4db0d0-RK-09</t>
        </is>
      </c>
      <c r="D735" s="10" t="inlineStr">
        <is>
          <t>W4102307411</t>
        </is>
      </c>
      <c r="E735" s="11" t="inlineStr">
        <is>
          <t>Beennte Lage / nur Handabbruch möglich</t>
        </is>
      </c>
      <c r="F735" s="10" t="inlineStr">
        <is>
          <t>Termin</t>
        </is>
      </c>
      <c r="G735" s="12" t="n">
        <v>0.15</v>
      </c>
      <c r="H735" s="13" t="n">
        <v>8</v>
      </c>
      <c r="I735" s="13" t="n">
        <v>20</v>
      </c>
      <c r="J735" s="13" t="n">
        <v>50</v>
      </c>
      <c r="K735" s="14">
        <f>IF(OR(COUNT(G735:J735)&lt;&gt;4,G735&lt;0,G735&gt;1,H735&gt;I735,I735&gt;J735),"n.a.",ROUND(G735*(H735+4*I735+J735)/6+0.00000001,2))</f>
        <v/>
      </c>
      <c r="L735" s="13" t="n">
        <v>0</v>
      </c>
      <c r="M735" s="14">
        <f>SUMIFS(Maßnahmen!$I$7:$I$126,Maßnahmen!$D$7:$D$126,C735,Maßnahmen!$H$7:$H$126,"&lt;&gt;verworfen")</f>
        <v/>
      </c>
      <c r="N735" s="14">
        <f>IF(ISNUMBER(K735),MAX(0,K735-L735-M735),"n.a.")</f>
        <v/>
      </c>
      <c r="O735" s="14" t="n">
        <v>3.45</v>
      </c>
      <c r="P735" s="14">
        <f>IF(ISNUMBER(K735),K735-O735,"n.a.")</f>
        <v/>
      </c>
    </row>
    <row r="736" ht="32" customHeight="1">
      <c r="C736" s="10" t="inlineStr">
        <is>
          <t>PRJ-3d4db0d0-RK-10</t>
        </is>
      </c>
      <c r="D736" s="10" t="inlineStr">
        <is>
          <t>W4102307411</t>
        </is>
      </c>
      <c r="E736" s="11" t="inlineStr">
        <is>
          <t>Terminvorgabe Auftraggeber / Geräteauslastung</t>
        </is>
      </c>
      <c r="F736" s="10" t="inlineStr">
        <is>
          <t>Termin</t>
        </is>
      </c>
      <c r="G736" s="12" t="n">
        <v>0.1</v>
      </c>
      <c r="H736" s="13" t="n">
        <v>8</v>
      </c>
      <c r="I736" s="13" t="n">
        <v>20</v>
      </c>
      <c r="J736" s="13" t="n">
        <v>50</v>
      </c>
      <c r="K736" s="14">
        <f>IF(OR(COUNT(G736:J736)&lt;&gt;4,G736&lt;0,G736&gt;1,H736&gt;I736,I736&gt;J736),"n.a.",ROUND(G736*(H736+4*I736+J736)/6+0.00000001,2))</f>
        <v/>
      </c>
      <c r="L736" s="13" t="n">
        <v>0</v>
      </c>
      <c r="M736" s="14">
        <f>SUMIFS(Maßnahmen!$I$7:$I$126,Maßnahmen!$D$7:$D$126,C736,Maßnahmen!$H$7:$H$126,"&lt;&gt;verworfen")</f>
        <v/>
      </c>
      <c r="N736" s="14">
        <f>IF(ISNUMBER(K736),MAX(0,K736-L736-M736),"n.a.")</f>
        <v/>
      </c>
      <c r="O736" s="14" t="n">
        <v>2.3</v>
      </c>
      <c r="P736" s="14">
        <f>IF(ISNUMBER(K736),K736-O736,"n.a.")</f>
        <v/>
      </c>
    </row>
    <row r="737" ht="32" customHeight="1">
      <c r="C737" s="10" t="inlineStr">
        <is>
          <t>PRJ-3d4db0d0-RK-11</t>
        </is>
      </c>
      <c r="D737" s="10" t="inlineStr">
        <is>
          <t>W4102307411</t>
        </is>
      </c>
      <c r="E737" s="11" t="inlineStr">
        <is>
          <t>Witterung / Ablaufstörung</t>
        </is>
      </c>
      <c r="F737" s="10" t="inlineStr">
        <is>
          <t>Termin</t>
        </is>
      </c>
      <c r="G737" s="12" t="n">
        <v>0.25</v>
      </c>
      <c r="H737" s="13" t="n">
        <v>10</v>
      </c>
      <c r="I737" s="13" t="n">
        <v>30</v>
      </c>
      <c r="J737" s="13" t="n">
        <v>60</v>
      </c>
      <c r="K737" s="14">
        <f>IF(OR(COUNT(G737:J737)&lt;&gt;4,G737&lt;0,G737&gt;1,H737&gt;I737,I737&gt;J737),"n.a.",ROUND(G737*(H737+4*I737+J737)/6+0.00000001,2))</f>
        <v/>
      </c>
      <c r="L737" s="13" t="n">
        <v>0</v>
      </c>
      <c r="M737" s="14">
        <f>SUMIFS(Maßnahmen!$I$7:$I$126,Maßnahmen!$D$7:$D$126,C737,Maßnahmen!$H$7:$H$126,"&lt;&gt;verworfen")</f>
        <v/>
      </c>
      <c r="N737" s="14">
        <f>IF(ISNUMBER(K737),MAX(0,K737-L737-M737),"n.a.")</f>
        <v/>
      </c>
      <c r="O737" s="14" t="n">
        <v>7.92</v>
      </c>
      <c r="P737" s="14">
        <f>IF(ISNUMBER(K737),K737-O737,"n.a.")</f>
        <v/>
      </c>
    </row>
    <row r="738" ht="32" customHeight="1">
      <c r="C738" s="10" t="inlineStr">
        <is>
          <t>PRJ-3d4db0d0-RK-12</t>
        </is>
      </c>
      <c r="D738" s="10" t="inlineStr">
        <is>
          <t>W4102307411</t>
        </is>
      </c>
      <c r="E738" s="11" t="inlineStr">
        <is>
          <t>Staubemissionen (höchster Aufwand laut Umfrage)</t>
        </is>
      </c>
      <c r="F738" s="10" t="inlineStr">
        <is>
          <t>Emissionen</t>
        </is>
      </c>
      <c r="G738" s="12" t="n">
        <v>0.1</v>
      </c>
      <c r="H738" s="13" t="n">
        <v>30</v>
      </c>
      <c r="I738" s="13" t="n">
        <v>60</v>
      </c>
      <c r="J738" s="13" t="n">
        <v>120</v>
      </c>
      <c r="K738" s="14">
        <f>IF(OR(COUNT(G738:J738)&lt;&gt;4,G738&lt;0,G738&gt;1,H738&gt;I738,I738&gt;J738),"n.a.",ROUND(G738*(H738+4*I738+J738)/6+0.00000001,2))</f>
        <v/>
      </c>
      <c r="L738" s="13" t="n">
        <v>0</v>
      </c>
      <c r="M738" s="14">
        <f>SUMIFS(Maßnahmen!$I$7:$I$126,Maßnahmen!$D$7:$D$126,C738,Maßnahmen!$H$7:$H$126,"&lt;&gt;verworfen")</f>
        <v/>
      </c>
      <c r="N738" s="14">
        <f>IF(ISNUMBER(K738),MAX(0,K738-L738-M738),"n.a.")</f>
        <v/>
      </c>
      <c r="O738" s="14" t="n">
        <v>6.5</v>
      </c>
      <c r="P738" s="14">
        <f>IF(ISNUMBER(K738),K738-O738,"n.a.")</f>
        <v/>
      </c>
    </row>
    <row r="739" ht="32" customHeight="1">
      <c r="C739" s="10" t="inlineStr">
        <is>
          <t>PRJ-3d4efac5-RK-10</t>
        </is>
      </c>
      <c r="D739" s="10" t="inlineStr">
        <is>
          <t>W4102304947</t>
        </is>
      </c>
      <c r="E739" s="11" t="inlineStr">
        <is>
          <t>Terminvorgabe Auftraggeber / Geräteauslastung</t>
        </is>
      </c>
      <c r="F739" s="10" t="inlineStr">
        <is>
          <t>Termin</t>
        </is>
      </c>
      <c r="G739" s="12" t="n">
        <v>0.1</v>
      </c>
      <c r="H739" s="13" t="n">
        <v>8</v>
      </c>
      <c r="I739" s="13" t="n">
        <v>20</v>
      </c>
      <c r="J739" s="13" t="n">
        <v>50</v>
      </c>
      <c r="K739" s="14">
        <f>IF(OR(COUNT(G739:J739)&lt;&gt;4,G739&lt;0,G739&gt;1,H739&gt;I739,I739&gt;J739),"n.a.",ROUND(G739*(H739+4*I739+J739)/6+0.00000001,2))</f>
        <v/>
      </c>
      <c r="L739" s="13" t="n">
        <v>0</v>
      </c>
      <c r="M739" s="14">
        <f>SUMIFS(Maßnahmen!$I$7:$I$126,Maßnahmen!$D$7:$D$126,C739,Maßnahmen!$H$7:$H$126,"&lt;&gt;verworfen")</f>
        <v/>
      </c>
      <c r="N739" s="14">
        <f>IF(ISNUMBER(K739),MAX(0,K739-L739-M739),"n.a.")</f>
        <v/>
      </c>
      <c r="O739" s="14" t="n">
        <v>2.3</v>
      </c>
      <c r="P739" s="14">
        <f>IF(ISNUMBER(K739),K739-O739,"n.a.")</f>
        <v/>
      </c>
    </row>
    <row r="740" ht="32" customHeight="1">
      <c r="C740" s="10" t="inlineStr">
        <is>
          <t>PRJ-3d4efac5-RK-11</t>
        </is>
      </c>
      <c r="D740" s="10" t="inlineStr">
        <is>
          <t>W4102304947</t>
        </is>
      </c>
      <c r="E740" s="11" t="inlineStr">
        <is>
          <t>Witterung / Ablaufstörung</t>
        </is>
      </c>
      <c r="F740" s="10" t="inlineStr">
        <is>
          <t>Termin</t>
        </is>
      </c>
      <c r="G740" s="12" t="n">
        <v>0.25</v>
      </c>
      <c r="H740" s="13" t="n">
        <v>10</v>
      </c>
      <c r="I740" s="13" t="n">
        <v>30</v>
      </c>
      <c r="J740" s="13" t="n">
        <v>60</v>
      </c>
      <c r="K740" s="14">
        <f>IF(OR(COUNT(G740:J740)&lt;&gt;4,G740&lt;0,G740&gt;1,H740&gt;I740,I740&gt;J740),"n.a.",ROUND(G740*(H740+4*I740+J740)/6+0.00000001,2))</f>
        <v/>
      </c>
      <c r="L740" s="13" t="n">
        <v>0</v>
      </c>
      <c r="M740" s="14">
        <f>SUMIFS(Maßnahmen!$I$7:$I$126,Maßnahmen!$D$7:$D$126,C740,Maßnahmen!$H$7:$H$126,"&lt;&gt;verworfen")</f>
        <v/>
      </c>
      <c r="N740" s="14">
        <f>IF(ISNUMBER(K740),MAX(0,K740-L740-M740),"n.a.")</f>
        <v/>
      </c>
      <c r="O740" s="14" t="n">
        <v>7.92</v>
      </c>
      <c r="P740" s="14">
        <f>IF(ISNUMBER(K740),K740-O740,"n.a.")</f>
        <v/>
      </c>
    </row>
    <row r="741" ht="32" customHeight="1">
      <c r="C741" s="10" t="inlineStr">
        <is>
          <t>PRJ-3d4efac5-RK-12</t>
        </is>
      </c>
      <c r="D741" s="10" t="inlineStr">
        <is>
          <t>W4102304947</t>
        </is>
      </c>
      <c r="E741" s="11" t="inlineStr">
        <is>
          <t>Staubemissionen (höchster Aufwand laut Umfrage)</t>
        </is>
      </c>
      <c r="F741" s="10" t="inlineStr">
        <is>
          <t>Emissionen</t>
        </is>
      </c>
      <c r="G741" s="12" t="n">
        <v>0.1</v>
      </c>
      <c r="H741" s="13" t="n">
        <v>30</v>
      </c>
      <c r="I741" s="13" t="n">
        <v>60</v>
      </c>
      <c r="J741" s="13" t="n">
        <v>120</v>
      </c>
      <c r="K741" s="14">
        <f>IF(OR(COUNT(G741:J741)&lt;&gt;4,G741&lt;0,G741&gt;1,H741&gt;I741,I741&gt;J741),"n.a.",ROUND(G741*(H741+4*I741+J741)/6+0.00000001,2))</f>
        <v/>
      </c>
      <c r="L741" s="13" t="n">
        <v>0</v>
      </c>
      <c r="M741" s="14">
        <f>SUMIFS(Maßnahmen!$I$7:$I$126,Maßnahmen!$D$7:$D$126,C741,Maßnahmen!$H$7:$H$126,"&lt;&gt;verworfen")</f>
        <v/>
      </c>
      <c r="N741" s="14">
        <f>IF(ISNUMBER(K741),MAX(0,K741-L741-M741),"n.a.")</f>
        <v/>
      </c>
      <c r="O741" s="14" t="n">
        <v>6.5</v>
      </c>
      <c r="P741" s="14">
        <f>IF(ISNUMBER(K741),K741-O741,"n.a.")</f>
        <v/>
      </c>
    </row>
    <row r="742" ht="32" customHeight="1">
      <c r="C742" s="10" t="inlineStr">
        <is>
          <t>PRJ-3d4efac5-RK-14</t>
        </is>
      </c>
      <c r="D742" s="10" t="inlineStr">
        <is>
          <t>W4102304947</t>
        </is>
      </c>
      <c r="E742" s="11" t="inlineStr">
        <is>
          <t>Rechtliche Auflagen / Entsorgungsnachweise (Formalismus)</t>
        </is>
      </c>
      <c r="F742" s="10" t="inlineStr">
        <is>
          <t>Genehmigung</t>
        </is>
      </c>
      <c r="G742" s="12" t="n">
        <v>0.4</v>
      </c>
      <c r="H742" s="13" t="n">
        <v>95</v>
      </c>
      <c r="I742" s="13" t="n">
        <v>185</v>
      </c>
      <c r="J742" s="13" t="n">
        <v>350</v>
      </c>
      <c r="K742" s="14">
        <f>IF(OR(COUNT(G742:J742)&lt;&gt;4,G742&lt;0,G742&gt;1,H742&gt;I742,I742&gt;J742),"n.a.",ROUND(G742*(H742+4*I742+J742)/6+0.00000001,2))</f>
        <v/>
      </c>
      <c r="L742" s="13" t="n">
        <v>0</v>
      </c>
      <c r="M742" s="14">
        <f>SUMIFS(Maßnahmen!$I$7:$I$126,Maßnahmen!$D$7:$D$126,C742,Maßnahmen!$H$7:$H$126,"&lt;&gt;verworfen")</f>
        <v/>
      </c>
      <c r="N742" s="14">
        <f>IF(ISNUMBER(K742),MAX(0,K742-L742-M742),"n.a.")</f>
        <v/>
      </c>
      <c r="O742" s="14" t="n">
        <v>79</v>
      </c>
      <c r="P742" s="14">
        <f>IF(ISNUMBER(K742),K742-O742,"n.a.")</f>
        <v/>
      </c>
    </row>
    <row r="743" ht="32" customHeight="1">
      <c r="C743" s="10" t="inlineStr">
        <is>
          <t>PRJ-3d4efac5-RK-15</t>
        </is>
      </c>
      <c r="D743" s="10" t="inlineStr">
        <is>
          <t>W4102304947</t>
        </is>
      </c>
      <c r="E743" s="11" t="inlineStr">
        <is>
          <t>Konjunktur / Sekundärstoffpreise &amp; Gerätemiete</t>
        </is>
      </c>
      <c r="F743" s="10" t="inlineStr">
        <is>
          <t>Markt</t>
        </is>
      </c>
      <c r="G743" s="12" t="n">
        <v>0.12</v>
      </c>
      <c r="H743" s="13" t="n">
        <v>8</v>
      </c>
      <c r="I743" s="13" t="n">
        <v>20</v>
      </c>
      <c r="J743" s="13" t="n">
        <v>50</v>
      </c>
      <c r="K743" s="14">
        <f>IF(OR(COUNT(G743:J743)&lt;&gt;4,G743&lt;0,G743&gt;1,H743&gt;I743,I743&gt;J743),"n.a.",ROUND(G743*(H743+4*I743+J743)/6+0.00000001,2))</f>
        <v/>
      </c>
      <c r="L743" s="13" t="n">
        <v>0</v>
      </c>
      <c r="M743" s="14">
        <f>SUMIFS(Maßnahmen!$I$7:$I$126,Maßnahmen!$D$7:$D$126,C743,Maßnahmen!$H$7:$H$126,"&lt;&gt;verworfen")</f>
        <v/>
      </c>
      <c r="N743" s="14">
        <f>IF(ISNUMBER(K743),MAX(0,K743-L743-M743),"n.a.")</f>
        <v/>
      </c>
      <c r="O743" s="14" t="n">
        <v>2.76</v>
      </c>
      <c r="P743" s="14">
        <f>IF(ISNUMBER(K743),K743-O743,"n.a.")</f>
        <v/>
      </c>
    </row>
    <row r="744" ht="32" customHeight="1">
      <c r="C744" s="10" t="inlineStr">
        <is>
          <t>PRJ-39e5492c-RK-01</t>
        </is>
      </c>
      <c r="D744" s="10" t="inlineStr">
        <is>
          <t>W4102504975</t>
        </is>
      </c>
      <c r="E744" s="11" t="inlineStr">
        <is>
          <t>Schadstofffund / Schadstoffsanierung (Asbest, PAK, PCB, PCP)</t>
        </is>
      </c>
      <c r="F744" s="10" t="inlineStr">
        <is>
          <t>Schadstoffe</t>
        </is>
      </c>
      <c r="G744" s="12" t="n">
        <v>0.1</v>
      </c>
      <c r="H744" s="13" t="n">
        <v>130</v>
      </c>
      <c r="I744" s="13" t="n">
        <v>326</v>
      </c>
      <c r="J744" s="13" t="n">
        <v>652</v>
      </c>
      <c r="K744" s="14">
        <f>IF(OR(COUNT(G744:J744)&lt;&gt;4,G744&lt;0,G744&gt;1,H744&gt;I744,I744&gt;J744),"n.a.",ROUND(G744*(H744+4*I744+J744)/6+0.00000001,2))</f>
        <v/>
      </c>
      <c r="L744" s="13" t="n">
        <v>0</v>
      </c>
      <c r="M744" s="14">
        <f>SUMIFS(Maßnahmen!$I$7:$I$126,Maßnahmen!$D$7:$D$126,C744,Maßnahmen!$H$7:$H$126,"&lt;&gt;verworfen")</f>
        <v/>
      </c>
      <c r="N744" s="14">
        <f>IF(ISNUMBER(K744),MAX(0,K744-L744-M744),"n.a.")</f>
        <v/>
      </c>
      <c r="O744" s="14" t="n">
        <v>34.77</v>
      </c>
      <c r="P744" s="14">
        <f>IF(ISNUMBER(K744),K744-O744,"n.a.")</f>
        <v/>
      </c>
    </row>
    <row r="745" ht="32" customHeight="1">
      <c r="C745" s="10" t="inlineStr">
        <is>
          <t>PRJ-39e5492c-RK-02</t>
        </is>
      </c>
      <c r="D745" s="10" t="inlineStr">
        <is>
          <t>W4102504975</t>
        </is>
      </c>
      <c r="E745" s="11" t="inlineStr">
        <is>
          <t>Arbeitsschutz kontaminierte Bereiche (TRGS 524)</t>
        </is>
      </c>
      <c r="F745" s="10" t="inlineStr">
        <is>
          <t>Schadstoffe</t>
        </is>
      </c>
      <c r="G745" s="12" t="n">
        <v>0.47</v>
      </c>
      <c r="H745" s="13" t="n">
        <v>130</v>
      </c>
      <c r="I745" s="13" t="n">
        <v>326</v>
      </c>
      <c r="J745" s="13" t="n">
        <v>652</v>
      </c>
      <c r="K745" s="14">
        <f>IF(OR(COUNT(G745:J745)&lt;&gt;4,G745&lt;0,G745&gt;1,H745&gt;I745,I745&gt;J745),"n.a.",ROUND(G745*(H745+4*I745+J745)/6+0.00000001,2))</f>
        <v/>
      </c>
      <c r="L745" s="13" t="n">
        <v>0</v>
      </c>
      <c r="M745" s="14">
        <f>SUMIFS(Maßnahmen!$I$7:$I$126,Maßnahmen!$D$7:$D$126,C745,Maßnahmen!$H$7:$H$126,"&lt;&gt;verworfen")</f>
        <v/>
      </c>
      <c r="N745" s="14">
        <f>IF(ISNUMBER(K745),MAX(0,K745-L745-M745),"n.a.")</f>
        <v/>
      </c>
      <c r="O745" s="14" t="n">
        <v>163.4</v>
      </c>
      <c r="P745" s="14">
        <f>IF(ISNUMBER(K745),K745-O745,"n.a.")</f>
        <v/>
      </c>
    </row>
    <row r="746" ht="32" customHeight="1">
      <c r="C746" s="10" t="inlineStr">
        <is>
          <t>PRJ-39e5492c-RK-03</t>
        </is>
      </c>
      <c r="D746" s="10" t="inlineStr">
        <is>
          <t>W4102504975</t>
        </is>
      </c>
      <c r="E746" s="11" t="inlineStr">
        <is>
          <t>Entsorgungs-Mehrkosten / Entsorgungswege</t>
        </is>
      </c>
      <c r="F746" s="10" t="inlineStr">
        <is>
          <t>Entsorgung</t>
        </is>
      </c>
      <c r="G746" s="12" t="n">
        <v>0.15</v>
      </c>
      <c r="H746" s="13" t="n">
        <v>130</v>
      </c>
      <c r="I746" s="13" t="n">
        <v>326</v>
      </c>
      <c r="J746" s="13" t="n">
        <v>652</v>
      </c>
      <c r="K746" s="14">
        <f>IF(OR(COUNT(G746:J746)&lt;&gt;4,G746&lt;0,G746&gt;1,H746&gt;I746,I746&gt;J746),"n.a.",ROUND(G746*(H746+4*I746+J746)/6+0.00000001,2))</f>
        <v/>
      </c>
      <c r="L746" s="13" t="n">
        <v>0</v>
      </c>
      <c r="M746" s="14">
        <f>SUMIFS(Maßnahmen!$I$7:$I$126,Maßnahmen!$D$7:$D$126,C746,Maßnahmen!$H$7:$H$126,"&lt;&gt;verworfen")</f>
        <v/>
      </c>
      <c r="N746" s="14">
        <f>IF(ISNUMBER(K746),MAX(0,K746-L746-M746),"n.a.")</f>
        <v/>
      </c>
      <c r="O746" s="14" t="n">
        <v>52.15</v>
      </c>
      <c r="P746" s="14">
        <f>IF(ISNUMBER(K746),K746-O746,"n.a.")</f>
        <v/>
      </c>
    </row>
    <row r="747" ht="32" customHeight="1">
      <c r="C747" s="10" t="inlineStr">
        <is>
          <t>PRJ-39e5492c-RK-04</t>
        </is>
      </c>
      <c r="D747" s="10" t="inlineStr">
        <is>
          <t>W4102504975</t>
        </is>
      </c>
      <c r="E747" s="11" t="inlineStr">
        <is>
          <t>Baustofftrennung / Aufbereitung nicht wie geplant</t>
        </is>
      </c>
      <c r="F747" s="10" t="inlineStr">
        <is>
          <t>Entsorgung</t>
        </is>
      </c>
      <c r="G747" s="12" t="n">
        <v>0.1</v>
      </c>
      <c r="H747" s="13" t="n">
        <v>130</v>
      </c>
      <c r="I747" s="13" t="n">
        <v>326</v>
      </c>
      <c r="J747" s="13" t="n">
        <v>652</v>
      </c>
      <c r="K747" s="14">
        <f>IF(OR(COUNT(G747:J747)&lt;&gt;4,G747&lt;0,G747&gt;1,H747&gt;I747,I747&gt;J747),"n.a.",ROUND(G747*(H747+4*I747+J747)/6+0.00000001,2))</f>
        <v/>
      </c>
      <c r="L747" s="13" t="n">
        <v>0</v>
      </c>
      <c r="M747" s="14">
        <f>SUMIFS(Maßnahmen!$I$7:$I$126,Maßnahmen!$D$7:$D$126,C747,Maßnahmen!$H$7:$H$126,"&lt;&gt;verworfen")</f>
        <v/>
      </c>
      <c r="N747" s="14">
        <f>IF(ISNUMBER(K747),MAX(0,K747-L747-M747),"n.a.")</f>
        <v/>
      </c>
      <c r="O747" s="14" t="n">
        <v>34.77</v>
      </c>
      <c r="P747" s="14">
        <f>IF(ISNUMBER(K747),K747-O747,"n.a.")</f>
        <v/>
      </c>
    </row>
    <row r="748" ht="32" customHeight="1">
      <c r="C748" s="10" t="inlineStr">
        <is>
          <t>PRJ-39e5492c-RK-05</t>
        </is>
      </c>
      <c r="D748" s="10" t="inlineStr">
        <is>
          <t>W4102504975</t>
        </is>
      </c>
      <c r="E748" s="11" t="inlineStr">
        <is>
          <t>Unbekannte Bauwerkskonstruktion / fehlende Pläne</t>
        </is>
      </c>
      <c r="F748" s="10" t="inlineStr">
        <is>
          <t>Statik</t>
        </is>
      </c>
      <c r="G748" s="12" t="n">
        <v>0.12</v>
      </c>
      <c r="H748" s="13" t="n">
        <v>261</v>
      </c>
      <c r="I748" s="13" t="n">
        <v>521</v>
      </c>
      <c r="J748" s="13" t="n">
        <v>978</v>
      </c>
      <c r="K748" s="14">
        <f>IF(OR(COUNT(G748:J748)&lt;&gt;4,G748&lt;0,G748&gt;1,H748&gt;I748,I748&gt;J748),"n.a.",ROUND(G748*(H748+4*I748+J748)/6+0.00000001,2))</f>
        <v/>
      </c>
      <c r="L748" s="13" t="n">
        <v>0</v>
      </c>
      <c r="M748" s="14">
        <f>SUMIFS(Maßnahmen!$I$7:$I$126,Maßnahmen!$D$7:$D$126,C748,Maßnahmen!$H$7:$H$126,"&lt;&gt;verworfen")</f>
        <v/>
      </c>
      <c r="N748" s="14">
        <f>IF(ISNUMBER(K748),MAX(0,K748-L748-M748),"n.a.")</f>
        <v/>
      </c>
      <c r="O748" s="14" t="n">
        <v>66.45999999999999</v>
      </c>
      <c r="P748" s="14">
        <f>IF(ISNUMBER(K748),K748-O748,"n.a.")</f>
        <v/>
      </c>
    </row>
    <row r="749" ht="32" customHeight="1">
      <c r="C749" s="10" t="inlineStr">
        <is>
          <t>PRJ-39e5492c-RK-06</t>
        </is>
      </c>
      <c r="D749" s="10" t="inlineStr">
        <is>
          <t>W4102504975</t>
        </is>
      </c>
      <c r="E749" s="11" t="inlineStr">
        <is>
          <t>Statik / Einsturzsicherung während Abbruch</t>
        </is>
      </c>
      <c r="F749" s="10" t="inlineStr">
        <is>
          <t>Statik</t>
        </is>
      </c>
      <c r="G749" s="12" t="n">
        <v>0.12</v>
      </c>
      <c r="H749" s="13" t="n">
        <v>196</v>
      </c>
      <c r="I749" s="13" t="n">
        <v>456</v>
      </c>
      <c r="J749" s="13" t="n">
        <v>912</v>
      </c>
      <c r="K749" s="14">
        <f>IF(OR(COUNT(G749:J749)&lt;&gt;4,G749&lt;0,G749&gt;1,H749&gt;I749,I749&gt;J749),"n.a.",ROUND(G749*(H749+4*I749+J749)/6+0.00000001,2))</f>
        <v/>
      </c>
      <c r="L749" s="13" t="n">
        <v>0</v>
      </c>
      <c r="M749" s="14">
        <f>SUMIFS(Maßnahmen!$I$7:$I$126,Maßnahmen!$D$7:$D$126,C749,Maßnahmen!$H$7:$H$126,"&lt;&gt;verworfen")</f>
        <v/>
      </c>
      <c r="N749" s="14">
        <f>IF(ISNUMBER(K749),MAX(0,K749-L749-M749),"n.a.")</f>
        <v/>
      </c>
      <c r="O749" s="14" t="n">
        <v>58.64</v>
      </c>
      <c r="P749" s="14">
        <f>IF(ISNUMBER(K749),K749-O749,"n.a.")</f>
        <v/>
      </c>
    </row>
    <row r="750" ht="32" customHeight="1">
      <c r="C750" s="10" t="inlineStr">
        <is>
          <t>PRJ-39e5492c-RK-07</t>
        </is>
      </c>
      <c r="D750" s="10" t="inlineStr">
        <is>
          <t>W4102504975</t>
        </is>
      </c>
      <c r="E750" s="11" t="inlineStr">
        <is>
          <t>Unterirdische Tragkonstruktion / Fundamente</t>
        </is>
      </c>
      <c r="F750" s="10" t="inlineStr">
        <is>
          <t>Statik</t>
        </is>
      </c>
      <c r="G750" s="12" t="n">
        <v>0.5</v>
      </c>
      <c r="H750" s="13" t="n">
        <v>33</v>
      </c>
      <c r="I750" s="13" t="n">
        <v>130</v>
      </c>
      <c r="J750" s="13" t="n">
        <v>326</v>
      </c>
      <c r="K750" s="14">
        <f>IF(OR(COUNT(G750:J750)&lt;&gt;4,G750&lt;0,G750&gt;1,H750&gt;I750,I750&gt;J750),"n.a.",ROUND(G750*(H750+4*I750+J750)/6+0.00000001,2))</f>
        <v/>
      </c>
      <c r="L750" s="13" t="n">
        <v>0</v>
      </c>
      <c r="M750" s="14">
        <f>SUMIFS(Maßnahmen!$I$7:$I$126,Maßnahmen!$D$7:$D$126,C750,Maßnahmen!$H$7:$H$126,"&lt;&gt;verworfen")</f>
        <v/>
      </c>
      <c r="N750" s="14">
        <f>IF(ISNUMBER(K750),MAX(0,K750-L750-M750),"n.a.")</f>
        <v/>
      </c>
      <c r="O750" s="14" t="n">
        <v>73.25</v>
      </c>
      <c r="P750" s="14">
        <f>IF(ISNUMBER(K750),K750-O750,"n.a.")</f>
        <v/>
      </c>
    </row>
    <row r="751" ht="32" customHeight="1">
      <c r="C751" s="10" t="inlineStr">
        <is>
          <t>PRJ-39e5492c-RK-08</t>
        </is>
      </c>
      <c r="D751" s="10" t="inlineStr">
        <is>
          <t>W4102504975</t>
        </is>
      </c>
      <c r="E751" s="11" t="inlineStr">
        <is>
          <t>Gebäudehöhe &gt;22 m / Longfront-Bagger (+130–150 %)</t>
        </is>
      </c>
      <c r="F751" s="10" t="inlineStr">
        <is>
          <t>Termin</t>
        </is>
      </c>
      <c r="G751" s="12" t="n">
        <v>0.6</v>
      </c>
      <c r="H751" s="13" t="n">
        <v>587</v>
      </c>
      <c r="I751" s="13" t="n">
        <v>1173</v>
      </c>
      <c r="J751" s="13" t="n">
        <v>2216</v>
      </c>
      <c r="K751" s="14">
        <f>IF(OR(COUNT(G751:J751)&lt;&gt;4,G751&lt;0,G751&gt;1,H751&gt;I751,I751&gt;J751),"n.a.",ROUND(G751*(H751+4*I751+J751)/6+0.00000001,2))</f>
        <v/>
      </c>
      <c r="L751" s="13" t="n">
        <v>0</v>
      </c>
      <c r="M751" s="14">
        <f>SUMIFS(Maßnahmen!$I$7:$I$126,Maßnahmen!$D$7:$D$126,C751,Maßnahmen!$H$7:$H$126,"&lt;&gt;verworfen")</f>
        <v/>
      </c>
      <c r="N751" s="14">
        <f>IF(ISNUMBER(K751),MAX(0,K751-L751-M751),"n.a.")</f>
        <v/>
      </c>
      <c r="O751" s="14" t="n">
        <v>749.5</v>
      </c>
      <c r="P751" s="14">
        <f>IF(ISNUMBER(K751),K751-O751,"n.a.")</f>
        <v/>
      </c>
    </row>
    <row r="752" ht="32" customHeight="1">
      <c r="C752" s="10" t="inlineStr">
        <is>
          <t>PRJ-39e5492c-RK-09</t>
        </is>
      </c>
      <c r="D752" s="10" t="inlineStr">
        <is>
          <t>W4102504975</t>
        </is>
      </c>
      <c r="E752" s="11" t="inlineStr">
        <is>
          <t>Beennte Lage / nur Handabbruch möglich</t>
        </is>
      </c>
      <c r="F752" s="10" t="inlineStr">
        <is>
          <t>Termin</t>
        </is>
      </c>
      <c r="G752" s="12" t="n">
        <v>0.15</v>
      </c>
      <c r="H752" s="13" t="n">
        <v>52</v>
      </c>
      <c r="I752" s="13" t="n">
        <v>130</v>
      </c>
      <c r="J752" s="13" t="n">
        <v>326</v>
      </c>
      <c r="K752" s="14">
        <f>IF(OR(COUNT(G752:J752)&lt;&gt;4,G752&lt;0,G752&gt;1,H752&gt;I752,I752&gt;J752),"n.a.",ROUND(G752*(H752+4*I752+J752)/6+0.00000001,2))</f>
        <v/>
      </c>
      <c r="L752" s="13" t="n">
        <v>0</v>
      </c>
      <c r="M752" s="14">
        <f>SUMIFS(Maßnahmen!$I$7:$I$126,Maßnahmen!$D$7:$D$126,C752,Maßnahmen!$H$7:$H$126,"&lt;&gt;verworfen")</f>
        <v/>
      </c>
      <c r="N752" s="14">
        <f>IF(ISNUMBER(K752),MAX(0,K752-L752-M752),"n.a.")</f>
        <v/>
      </c>
      <c r="O752" s="14" t="n">
        <v>22.45</v>
      </c>
      <c r="P752" s="14">
        <f>IF(ISNUMBER(K752),K752-O752,"n.a.")</f>
        <v/>
      </c>
    </row>
    <row r="753" ht="32" customHeight="1">
      <c r="C753" s="10" t="inlineStr">
        <is>
          <t>PRJ-39e5492c-RK-10</t>
        </is>
      </c>
      <c r="D753" s="10" t="inlineStr">
        <is>
          <t>W4102504975</t>
        </is>
      </c>
      <c r="E753" s="11" t="inlineStr">
        <is>
          <t>Terminvorgabe Auftraggeber / Geräteauslastung</t>
        </is>
      </c>
      <c r="F753" s="10" t="inlineStr">
        <is>
          <t>Termin</t>
        </is>
      </c>
      <c r="G753" s="12" t="n">
        <v>0.1</v>
      </c>
      <c r="H753" s="13" t="n">
        <v>52</v>
      </c>
      <c r="I753" s="13" t="n">
        <v>130</v>
      </c>
      <c r="J753" s="13" t="n">
        <v>326</v>
      </c>
      <c r="K753" s="14">
        <f>IF(OR(COUNT(G753:J753)&lt;&gt;4,G753&lt;0,G753&gt;1,H753&gt;I753,I753&gt;J753),"n.a.",ROUND(G753*(H753+4*I753+J753)/6+0.00000001,2))</f>
        <v/>
      </c>
      <c r="L753" s="13" t="n">
        <v>0</v>
      </c>
      <c r="M753" s="14">
        <f>SUMIFS(Maßnahmen!$I$7:$I$126,Maßnahmen!$D$7:$D$126,C753,Maßnahmen!$H$7:$H$126,"&lt;&gt;verworfen")</f>
        <v/>
      </c>
      <c r="N753" s="14">
        <f>IF(ISNUMBER(K753),MAX(0,K753-L753-M753),"n.a.")</f>
        <v/>
      </c>
      <c r="O753" s="14" t="n">
        <v>14.97</v>
      </c>
      <c r="P753" s="14">
        <f>IF(ISNUMBER(K753),K753-O753,"n.a.")</f>
        <v/>
      </c>
    </row>
    <row r="754" ht="32" customHeight="1">
      <c r="C754" s="10" t="inlineStr">
        <is>
          <t>PRJ-39e5492c-RK-11</t>
        </is>
      </c>
      <c r="D754" s="10" t="inlineStr">
        <is>
          <t>W4102504975</t>
        </is>
      </c>
      <c r="E754" s="11" t="inlineStr">
        <is>
          <t>Witterung / Ablaufstörung</t>
        </is>
      </c>
      <c r="F754" s="10" t="inlineStr">
        <is>
          <t>Termin</t>
        </is>
      </c>
      <c r="G754" s="12" t="n">
        <v>0.25</v>
      </c>
      <c r="H754" s="13" t="n">
        <v>65</v>
      </c>
      <c r="I754" s="13" t="n">
        <v>196</v>
      </c>
      <c r="J754" s="13" t="n">
        <v>391</v>
      </c>
      <c r="K754" s="14">
        <f>IF(OR(COUNT(G754:J754)&lt;&gt;4,G754&lt;0,G754&gt;1,H754&gt;I754,I754&gt;J754),"n.a.",ROUND(G754*(H754+4*I754+J754)/6+0.00000001,2))</f>
        <v/>
      </c>
      <c r="L754" s="13" t="n">
        <v>0</v>
      </c>
      <c r="M754" s="14">
        <f>SUMIFS(Maßnahmen!$I$7:$I$126,Maßnahmen!$D$7:$D$126,C754,Maßnahmen!$H$7:$H$126,"&lt;&gt;verworfen")</f>
        <v/>
      </c>
      <c r="N754" s="14">
        <f>IF(ISNUMBER(K754),MAX(0,K754-L754-M754),"n.a.")</f>
        <v/>
      </c>
      <c r="O754" s="14" t="n">
        <v>51.67</v>
      </c>
      <c r="P754" s="14">
        <f>IF(ISNUMBER(K754),K754-O754,"n.a.")</f>
        <v/>
      </c>
    </row>
    <row r="755" ht="32" customHeight="1">
      <c r="C755" s="10" t="inlineStr">
        <is>
          <t>PRJ-39e5492c-RK-12</t>
        </is>
      </c>
      <c r="D755" s="10" t="inlineStr">
        <is>
          <t>W4102504975</t>
        </is>
      </c>
      <c r="E755" s="11" t="inlineStr">
        <is>
          <t>Staubemissionen (höchster Aufwand laut Umfrage)</t>
        </is>
      </c>
      <c r="F755" s="10" t="inlineStr">
        <is>
          <t>Emissionen</t>
        </is>
      </c>
      <c r="G755" s="12" t="n">
        <v>0.1</v>
      </c>
      <c r="H755" s="13" t="n">
        <v>196</v>
      </c>
      <c r="I755" s="13" t="n">
        <v>391</v>
      </c>
      <c r="J755" s="13" t="n">
        <v>782</v>
      </c>
      <c r="K755" s="14">
        <f>IF(OR(COUNT(G755:J755)&lt;&gt;4,G755&lt;0,G755&gt;1,H755&gt;I755,I755&gt;J755),"n.a.",ROUND(G755*(H755+4*I755+J755)/6+0.00000001,2))</f>
        <v/>
      </c>
      <c r="L755" s="13" t="n">
        <v>0</v>
      </c>
      <c r="M755" s="14">
        <f>SUMIFS(Maßnahmen!$I$7:$I$126,Maßnahmen!$D$7:$D$126,C755,Maßnahmen!$H$7:$H$126,"&lt;&gt;verworfen")</f>
        <v/>
      </c>
      <c r="N755" s="14">
        <f>IF(ISNUMBER(K755),MAX(0,K755-L755-M755),"n.a.")</f>
        <v/>
      </c>
      <c r="O755" s="14" t="n">
        <v>42.37</v>
      </c>
      <c r="P755" s="14">
        <f>IF(ISNUMBER(K755),K755-O755,"n.a.")</f>
        <v/>
      </c>
    </row>
    <row r="756" ht="32" customHeight="1">
      <c r="C756" s="10" t="inlineStr">
        <is>
          <t>PRJ-39e5492c-RK-13</t>
        </is>
      </c>
      <c r="D756" s="10" t="inlineStr">
        <is>
          <t>W4102504975</t>
        </is>
      </c>
      <c r="E756" s="11" t="inlineStr">
        <is>
          <t>Lärm- und Erschütterungsauflagen</t>
        </is>
      </c>
      <c r="F756" s="10" t="inlineStr">
        <is>
          <t>Emissionen</t>
        </is>
      </c>
      <c r="G756" s="12" t="n">
        <v>0.2</v>
      </c>
      <c r="H756" s="13" t="n">
        <v>130</v>
      </c>
      <c r="I756" s="13" t="n">
        <v>326</v>
      </c>
      <c r="J756" s="13" t="n">
        <v>652</v>
      </c>
      <c r="K756" s="14">
        <f>IF(OR(COUNT(G756:J756)&lt;&gt;4,G756&lt;0,G756&gt;1,H756&gt;I756,I756&gt;J756),"n.a.",ROUND(G756*(H756+4*I756+J756)/6+0.00000001,2))</f>
        <v/>
      </c>
      <c r="L756" s="13" t="n">
        <v>0</v>
      </c>
      <c r="M756" s="14">
        <f>SUMIFS(Maßnahmen!$I$7:$I$126,Maßnahmen!$D$7:$D$126,C756,Maßnahmen!$H$7:$H$126,"&lt;&gt;verworfen")</f>
        <v/>
      </c>
      <c r="N756" s="14">
        <f>IF(ISNUMBER(K756),MAX(0,K756-L756-M756),"n.a.")</f>
        <v/>
      </c>
      <c r="O756" s="14" t="n">
        <v>69.53</v>
      </c>
      <c r="P756" s="14">
        <f>IF(ISNUMBER(K756),K756-O756,"n.a.")</f>
        <v/>
      </c>
    </row>
    <row r="757" ht="32" customHeight="1">
      <c r="C757" s="10" t="inlineStr">
        <is>
          <t>PRJ-39e5492c-RK-14</t>
        </is>
      </c>
      <c r="D757" s="10" t="inlineStr">
        <is>
          <t>W4102504975</t>
        </is>
      </c>
      <c r="E757" s="11" t="inlineStr">
        <is>
          <t>Rechtliche Auflagen / Entsorgungsnachweise (Formalismus)</t>
        </is>
      </c>
      <c r="F757" s="10" t="inlineStr">
        <is>
          <t>Genehmigung</t>
        </is>
      </c>
      <c r="G757" s="12" t="n">
        <v>0.4</v>
      </c>
      <c r="H757" s="13" t="n">
        <v>619</v>
      </c>
      <c r="I757" s="13" t="n">
        <v>1206</v>
      </c>
      <c r="J757" s="13" t="n">
        <v>2281</v>
      </c>
      <c r="K757" s="14">
        <f>IF(OR(COUNT(G757:J757)&lt;&gt;4,G757&lt;0,G757&gt;1,H757&gt;I757,I757&gt;J757),"n.a.",ROUND(G757*(H757+4*I757+J757)/6+0.00000001,2))</f>
        <v/>
      </c>
      <c r="L757" s="13" t="n">
        <v>0</v>
      </c>
      <c r="M757" s="14">
        <f>SUMIFS(Maßnahmen!$I$7:$I$126,Maßnahmen!$D$7:$D$126,C757,Maßnahmen!$H$7:$H$126,"&lt;&gt;verworfen")</f>
        <v/>
      </c>
      <c r="N757" s="14">
        <f>IF(ISNUMBER(K757),MAX(0,K757-L757-M757),"n.a.")</f>
        <v/>
      </c>
      <c r="O757" s="14" t="n">
        <v>514.9299999999999</v>
      </c>
      <c r="P757" s="14">
        <f>IF(ISNUMBER(K757),K757-O757,"n.a.")</f>
        <v/>
      </c>
    </row>
    <row r="758" ht="32" customHeight="1">
      <c r="C758" s="10" t="inlineStr">
        <is>
          <t>PRJ-39e5492c-RK-15</t>
        </is>
      </c>
      <c r="D758" s="10" t="inlineStr">
        <is>
          <t>W4102504975</t>
        </is>
      </c>
      <c r="E758" s="11" t="inlineStr">
        <is>
          <t>Konjunktur / Sekundärstoffpreise &amp; Gerätemiete</t>
        </is>
      </c>
      <c r="F758" s="10" t="inlineStr">
        <is>
          <t>Markt</t>
        </is>
      </c>
      <c r="G758" s="12" t="n">
        <v>0.12</v>
      </c>
      <c r="H758" s="13" t="n">
        <v>52</v>
      </c>
      <c r="I758" s="13" t="n">
        <v>130</v>
      </c>
      <c r="J758" s="13" t="n">
        <v>326</v>
      </c>
      <c r="K758" s="14">
        <f>IF(OR(COUNT(G758:J758)&lt;&gt;4,G758&lt;0,G758&gt;1,H758&gt;I758,I758&gt;J758),"n.a.",ROUND(G758*(H758+4*I758+J758)/6+0.00000001,2))</f>
        <v/>
      </c>
      <c r="L758" s="13" t="n">
        <v>0</v>
      </c>
      <c r="M758" s="14">
        <f>SUMIFS(Maßnahmen!$I$7:$I$126,Maßnahmen!$D$7:$D$126,C758,Maßnahmen!$H$7:$H$126,"&lt;&gt;verworfen")</f>
        <v/>
      </c>
      <c r="N758" s="14">
        <f>IF(ISNUMBER(K758),MAX(0,K758-L758-M758),"n.a.")</f>
        <v/>
      </c>
      <c r="O758" s="14" t="n">
        <v>17.96</v>
      </c>
      <c r="P758" s="14">
        <f>IF(ISNUMBER(K758),K758-O758,"n.a.")</f>
        <v/>
      </c>
    </row>
    <row r="759" ht="32" customHeight="1">
      <c r="C759" s="10" t="inlineStr">
        <is>
          <t>PRJ-3d4f0dec-RK-01</t>
        </is>
      </c>
      <c r="D759" s="10" t="inlineStr">
        <is>
          <t>W4102304412</t>
        </is>
      </c>
      <c r="E759" s="11" t="inlineStr">
        <is>
          <t>Schadstofffund / Schadstoffsanierung (Asbest, PAK, PCB, PCP)</t>
        </is>
      </c>
      <c r="F759" s="10" t="inlineStr">
        <is>
          <t>Schadstoffe</t>
        </is>
      </c>
      <c r="G759" s="12" t="n">
        <v>0.1</v>
      </c>
      <c r="H759" s="13" t="n">
        <v>50</v>
      </c>
      <c r="I759" s="13" t="n">
        <v>124</v>
      </c>
      <c r="J759" s="13" t="n">
        <v>249</v>
      </c>
      <c r="K759" s="14">
        <f>IF(OR(COUNT(G759:J759)&lt;&gt;4,G759&lt;0,G759&gt;1,H759&gt;I759,I759&gt;J759),"n.a.",ROUND(G759*(H759+4*I759+J759)/6+0.00000001,2))</f>
        <v/>
      </c>
      <c r="L759" s="13" t="n">
        <v>0</v>
      </c>
      <c r="M759" s="14">
        <f>SUMIFS(Maßnahmen!$I$7:$I$126,Maßnahmen!$D$7:$D$126,C759,Maßnahmen!$H$7:$H$126,"&lt;&gt;verworfen")</f>
        <v/>
      </c>
      <c r="N759" s="14">
        <f>IF(ISNUMBER(K759),MAX(0,K759-L759-M759),"n.a.")</f>
        <v/>
      </c>
      <c r="O759" s="14" t="n">
        <v>13.25</v>
      </c>
      <c r="P759" s="14">
        <f>IF(ISNUMBER(K759),K759-O759,"n.a.")</f>
        <v/>
      </c>
    </row>
    <row r="760" ht="32" customHeight="1">
      <c r="C760" s="10" t="inlineStr">
        <is>
          <t>PRJ-3d4f0dec-RK-02</t>
        </is>
      </c>
      <c r="D760" s="10" t="inlineStr">
        <is>
          <t>W4102304412</t>
        </is>
      </c>
      <c r="E760" s="11" t="inlineStr">
        <is>
          <t>Arbeitsschutz kontaminierte Bereiche (TRGS 524)</t>
        </is>
      </c>
      <c r="F760" s="10" t="inlineStr">
        <is>
          <t>Schadstoffe</t>
        </is>
      </c>
      <c r="G760" s="12" t="n">
        <v>0.47</v>
      </c>
      <c r="H760" s="13" t="n">
        <v>50</v>
      </c>
      <c r="I760" s="13" t="n">
        <v>124</v>
      </c>
      <c r="J760" s="13" t="n">
        <v>249</v>
      </c>
      <c r="K760" s="14">
        <f>IF(OR(COUNT(G760:J760)&lt;&gt;4,G760&lt;0,G760&gt;1,H760&gt;I760,I760&gt;J760),"n.a.",ROUND(G760*(H760+4*I760+J760)/6+0.00000001,2))</f>
        <v/>
      </c>
      <c r="L760" s="13" t="n">
        <v>0</v>
      </c>
      <c r="M760" s="14">
        <f>SUMIFS(Maßnahmen!$I$7:$I$126,Maßnahmen!$D$7:$D$126,C760,Maßnahmen!$H$7:$H$126,"&lt;&gt;verworfen")</f>
        <v/>
      </c>
      <c r="N760" s="14">
        <f>IF(ISNUMBER(K760),MAX(0,K760-L760-M760),"n.a.")</f>
        <v/>
      </c>
      <c r="O760" s="14" t="n">
        <v>62.28</v>
      </c>
      <c r="P760" s="14">
        <f>IF(ISNUMBER(K760),K760-O760,"n.a.")</f>
        <v/>
      </c>
    </row>
    <row r="761" ht="32" customHeight="1">
      <c r="C761" s="10" t="inlineStr">
        <is>
          <t>PRJ-3d4f0dec-RK-03</t>
        </is>
      </c>
      <c r="D761" s="10" t="inlineStr">
        <is>
          <t>W4102304412</t>
        </is>
      </c>
      <c r="E761" s="11" t="inlineStr">
        <is>
          <t>Entsorgungs-Mehrkosten / Entsorgungswege</t>
        </is>
      </c>
      <c r="F761" s="10" t="inlineStr">
        <is>
          <t>Entsorgung</t>
        </is>
      </c>
      <c r="G761" s="12" t="n">
        <v>0.15</v>
      </c>
      <c r="H761" s="13" t="n">
        <v>50</v>
      </c>
      <c r="I761" s="13" t="n">
        <v>124</v>
      </c>
      <c r="J761" s="13" t="n">
        <v>249</v>
      </c>
      <c r="K761" s="14">
        <f>IF(OR(COUNT(G761:J761)&lt;&gt;4,G761&lt;0,G761&gt;1,H761&gt;I761,I761&gt;J761),"n.a.",ROUND(G761*(H761+4*I761+J761)/6+0.00000001,2))</f>
        <v/>
      </c>
      <c r="L761" s="13" t="n">
        <v>0</v>
      </c>
      <c r="M761" s="14">
        <f>SUMIFS(Maßnahmen!$I$7:$I$126,Maßnahmen!$D$7:$D$126,C761,Maßnahmen!$H$7:$H$126,"&lt;&gt;verworfen")</f>
        <v/>
      </c>
      <c r="N761" s="14">
        <f>IF(ISNUMBER(K761),MAX(0,K761-L761-M761),"n.a.")</f>
        <v/>
      </c>
      <c r="O761" s="14" t="n">
        <v>19.88</v>
      </c>
      <c r="P761" s="14">
        <f>IF(ISNUMBER(K761),K761-O761,"n.a.")</f>
        <v/>
      </c>
    </row>
    <row r="762" ht="32" customHeight="1">
      <c r="C762" s="10" t="inlineStr">
        <is>
          <t>PRJ-3d4f0dec-RK-04</t>
        </is>
      </c>
      <c r="D762" s="10" t="inlineStr">
        <is>
          <t>W4102304412</t>
        </is>
      </c>
      <c r="E762" s="11" t="inlineStr">
        <is>
          <t>Baustofftrennung / Aufbereitung nicht wie geplant</t>
        </is>
      </c>
      <c r="F762" s="10" t="inlineStr">
        <is>
          <t>Entsorgung</t>
        </is>
      </c>
      <c r="G762" s="12" t="n">
        <v>0.1</v>
      </c>
      <c r="H762" s="13" t="n">
        <v>50</v>
      </c>
      <c r="I762" s="13" t="n">
        <v>124</v>
      </c>
      <c r="J762" s="13" t="n">
        <v>249</v>
      </c>
      <c r="K762" s="14">
        <f>IF(OR(COUNT(G762:J762)&lt;&gt;4,G762&lt;0,G762&gt;1,H762&gt;I762,I762&gt;J762),"n.a.",ROUND(G762*(H762+4*I762+J762)/6+0.00000001,2))</f>
        <v/>
      </c>
      <c r="L762" s="13" t="n">
        <v>0</v>
      </c>
      <c r="M762" s="14">
        <f>SUMIFS(Maßnahmen!$I$7:$I$126,Maßnahmen!$D$7:$D$126,C762,Maßnahmen!$H$7:$H$126,"&lt;&gt;verworfen")</f>
        <v/>
      </c>
      <c r="N762" s="14">
        <f>IF(ISNUMBER(K762),MAX(0,K762-L762-M762),"n.a.")</f>
        <v/>
      </c>
      <c r="O762" s="14" t="n">
        <v>13.25</v>
      </c>
      <c r="P762" s="14">
        <f>IF(ISNUMBER(K762),K762-O762,"n.a.")</f>
        <v/>
      </c>
    </row>
    <row r="763" ht="32" customHeight="1">
      <c r="C763" s="10" t="inlineStr">
        <is>
          <t>PRJ-3d4f0dec-RK-05</t>
        </is>
      </c>
      <c r="D763" s="10" t="inlineStr">
        <is>
          <t>W4102304412</t>
        </is>
      </c>
      <c r="E763" s="11" t="inlineStr">
        <is>
          <t>Unbekannte Bauwerkskonstruktion / fehlende Pläne</t>
        </is>
      </c>
      <c r="F763" s="10" t="inlineStr">
        <is>
          <t>Statik</t>
        </is>
      </c>
      <c r="G763" s="12" t="n">
        <v>0.12</v>
      </c>
      <c r="H763" s="13" t="n">
        <v>100</v>
      </c>
      <c r="I763" s="13" t="n">
        <v>199</v>
      </c>
      <c r="J763" s="13" t="n">
        <v>373</v>
      </c>
      <c r="K763" s="14">
        <f>IF(OR(COUNT(G763:J763)&lt;&gt;4,G763&lt;0,G763&gt;1,H763&gt;I763,I763&gt;J763),"n.a.",ROUND(G763*(H763+4*I763+J763)/6+0.00000001,2))</f>
        <v/>
      </c>
      <c r="L763" s="13" t="n">
        <v>0</v>
      </c>
      <c r="M763" s="14">
        <f>SUMIFS(Maßnahmen!$I$7:$I$126,Maßnahmen!$D$7:$D$126,C763,Maßnahmen!$H$7:$H$126,"&lt;&gt;verworfen")</f>
        <v/>
      </c>
      <c r="N763" s="14">
        <f>IF(ISNUMBER(K763),MAX(0,K763-L763-M763),"n.a.")</f>
        <v/>
      </c>
      <c r="O763" s="14" t="n">
        <v>25.38</v>
      </c>
      <c r="P763" s="14">
        <f>IF(ISNUMBER(K763),K763-O763,"n.a.")</f>
        <v/>
      </c>
    </row>
    <row r="764" ht="32" customHeight="1">
      <c r="C764" s="10" t="inlineStr">
        <is>
          <t>PRJ-3d4f0dec-RK-06</t>
        </is>
      </c>
      <c r="D764" s="10" t="inlineStr">
        <is>
          <t>W4102304412</t>
        </is>
      </c>
      <c r="E764" s="11" t="inlineStr">
        <is>
          <t>Statik / Einsturzsicherung während Abbruch</t>
        </is>
      </c>
      <c r="F764" s="10" t="inlineStr">
        <is>
          <t>Statik</t>
        </is>
      </c>
      <c r="G764" s="12" t="n">
        <v>0.12</v>
      </c>
      <c r="H764" s="13" t="n">
        <v>75</v>
      </c>
      <c r="I764" s="13" t="n">
        <v>174</v>
      </c>
      <c r="J764" s="13" t="n">
        <v>348</v>
      </c>
      <c r="K764" s="14">
        <f>IF(OR(COUNT(G764:J764)&lt;&gt;4,G764&lt;0,G764&gt;1,H764&gt;I764,I764&gt;J764),"n.a.",ROUND(G764*(H764+4*I764+J764)/6+0.00000001,2))</f>
        <v/>
      </c>
      <c r="L764" s="13" t="n">
        <v>0</v>
      </c>
      <c r="M764" s="14">
        <f>SUMIFS(Maßnahmen!$I$7:$I$126,Maßnahmen!$D$7:$D$126,C764,Maßnahmen!$H$7:$H$126,"&lt;&gt;verworfen")</f>
        <v/>
      </c>
      <c r="N764" s="14">
        <f>IF(ISNUMBER(K764),MAX(0,K764-L764-M764),"n.a.")</f>
        <v/>
      </c>
      <c r="O764" s="14" t="n">
        <v>22.38</v>
      </c>
      <c r="P764" s="14">
        <f>IF(ISNUMBER(K764),K764-O764,"n.a.")</f>
        <v/>
      </c>
    </row>
    <row r="765" ht="32" customHeight="1">
      <c r="C765" s="10" t="inlineStr">
        <is>
          <t>PRJ-3d4f0dec-RK-07</t>
        </is>
      </c>
      <c r="D765" s="10" t="inlineStr">
        <is>
          <t>W4102304412</t>
        </is>
      </c>
      <c r="E765" s="11" t="inlineStr">
        <is>
          <t>Unterirdische Tragkonstruktion / Fundamente</t>
        </is>
      </c>
      <c r="F765" s="10" t="inlineStr">
        <is>
          <t>Statik</t>
        </is>
      </c>
      <c r="G765" s="12" t="n">
        <v>0.5</v>
      </c>
      <c r="H765" s="13" t="n">
        <v>12</v>
      </c>
      <c r="I765" s="13" t="n">
        <v>50</v>
      </c>
      <c r="J765" s="13" t="n">
        <v>124</v>
      </c>
      <c r="K765" s="14">
        <f>IF(OR(COUNT(G765:J765)&lt;&gt;4,G765&lt;0,G765&gt;1,H765&gt;I765,I765&gt;J765),"n.a.",ROUND(G765*(H765+4*I765+J765)/6+0.00000001,2))</f>
        <v/>
      </c>
      <c r="L765" s="13" t="n">
        <v>0</v>
      </c>
      <c r="M765" s="14">
        <f>SUMIFS(Maßnahmen!$I$7:$I$126,Maßnahmen!$D$7:$D$126,C765,Maßnahmen!$H$7:$H$126,"&lt;&gt;verworfen")</f>
        <v/>
      </c>
      <c r="N765" s="14">
        <f>IF(ISNUMBER(K765),MAX(0,K765-L765-M765),"n.a.")</f>
        <v/>
      </c>
      <c r="O765" s="14" t="n">
        <v>28</v>
      </c>
      <c r="P765" s="14">
        <f>IF(ISNUMBER(K765),K765-O765,"n.a.")</f>
        <v/>
      </c>
    </row>
    <row r="766" ht="32" customHeight="1">
      <c r="C766" s="10" t="inlineStr">
        <is>
          <t>PRJ-3d4f0dec-RK-08</t>
        </is>
      </c>
      <c r="D766" s="10" t="inlineStr">
        <is>
          <t>W4102304412</t>
        </is>
      </c>
      <c r="E766" s="11" t="inlineStr">
        <is>
          <t>Gebäudehöhe &gt;22 m / Longfront-Bagger (+130–150 %)</t>
        </is>
      </c>
      <c r="F766" s="10" t="inlineStr">
        <is>
          <t>Termin</t>
        </is>
      </c>
      <c r="G766" s="12" t="n">
        <v>0.6</v>
      </c>
      <c r="H766" s="13" t="n">
        <v>224</v>
      </c>
      <c r="I766" s="13" t="n">
        <v>448</v>
      </c>
      <c r="J766" s="13" t="n">
        <v>846</v>
      </c>
      <c r="K766" s="14">
        <f>IF(OR(COUNT(G766:J766)&lt;&gt;4,G766&lt;0,G766&gt;1,H766&gt;I766,I766&gt;J766),"n.a.",ROUND(G766*(H766+4*I766+J766)/6+0.00000001,2))</f>
        <v/>
      </c>
      <c r="L766" s="13" t="n">
        <v>0</v>
      </c>
      <c r="M766" s="14">
        <f>SUMIFS(Maßnahmen!$I$7:$I$126,Maßnahmen!$D$7:$D$126,C766,Maßnahmen!$H$7:$H$126,"&lt;&gt;verworfen")</f>
        <v/>
      </c>
      <c r="N766" s="14">
        <f>IF(ISNUMBER(K766),MAX(0,K766-L766-M766),"n.a.")</f>
        <v/>
      </c>
      <c r="O766" s="14" t="n">
        <v>286.2</v>
      </c>
      <c r="P766" s="14">
        <f>IF(ISNUMBER(K766),K766-O766,"n.a.")</f>
        <v/>
      </c>
    </row>
    <row r="767" ht="32" customHeight="1">
      <c r="C767" s="10" t="inlineStr">
        <is>
          <t>PRJ-3d4f0dec-RK-09</t>
        </is>
      </c>
      <c r="D767" s="10" t="inlineStr">
        <is>
          <t>W4102304412</t>
        </is>
      </c>
      <c r="E767" s="11" t="inlineStr">
        <is>
          <t>Beennte Lage / nur Handabbruch möglich</t>
        </is>
      </c>
      <c r="F767" s="10" t="inlineStr">
        <is>
          <t>Termin</t>
        </is>
      </c>
      <c r="G767" s="12" t="n">
        <v>0.15</v>
      </c>
      <c r="H767" s="13" t="n">
        <v>20</v>
      </c>
      <c r="I767" s="13" t="n">
        <v>50</v>
      </c>
      <c r="J767" s="13" t="n">
        <v>124</v>
      </c>
      <c r="K767" s="14">
        <f>IF(OR(COUNT(G767:J767)&lt;&gt;4,G767&lt;0,G767&gt;1,H767&gt;I767,I767&gt;J767),"n.a.",ROUND(G767*(H767+4*I767+J767)/6+0.00000001,2))</f>
        <v/>
      </c>
      <c r="L767" s="13" t="n">
        <v>0</v>
      </c>
      <c r="M767" s="14">
        <f>SUMIFS(Maßnahmen!$I$7:$I$126,Maßnahmen!$D$7:$D$126,C767,Maßnahmen!$H$7:$H$126,"&lt;&gt;verworfen")</f>
        <v/>
      </c>
      <c r="N767" s="14">
        <f>IF(ISNUMBER(K767),MAX(0,K767-L767-M767),"n.a.")</f>
        <v/>
      </c>
      <c r="O767" s="14" t="n">
        <v>8.6</v>
      </c>
      <c r="P767" s="14">
        <f>IF(ISNUMBER(K767),K767-O767,"n.a.")</f>
        <v/>
      </c>
    </row>
    <row r="768" ht="32" customHeight="1">
      <c r="C768" s="10" t="inlineStr">
        <is>
          <t>PRJ-3d4f0dec-RK-10</t>
        </is>
      </c>
      <c r="D768" s="10" t="inlineStr">
        <is>
          <t>W4102304412</t>
        </is>
      </c>
      <c r="E768" s="11" t="inlineStr">
        <is>
          <t>Terminvorgabe Auftraggeber / Geräteauslastung</t>
        </is>
      </c>
      <c r="F768" s="10" t="inlineStr">
        <is>
          <t>Termin</t>
        </is>
      </c>
      <c r="G768" s="12" t="n">
        <v>0.1</v>
      </c>
      <c r="H768" s="13" t="n">
        <v>20</v>
      </c>
      <c r="I768" s="13" t="n">
        <v>50</v>
      </c>
      <c r="J768" s="13" t="n">
        <v>124</v>
      </c>
      <c r="K768" s="14">
        <f>IF(OR(COUNT(G768:J768)&lt;&gt;4,G768&lt;0,G768&gt;1,H768&gt;I768,I768&gt;J768),"n.a.",ROUND(G768*(H768+4*I768+J768)/6+0.00000001,2))</f>
        <v/>
      </c>
      <c r="L768" s="13" t="n">
        <v>0</v>
      </c>
      <c r="M768" s="14">
        <f>SUMIFS(Maßnahmen!$I$7:$I$126,Maßnahmen!$D$7:$D$126,C768,Maßnahmen!$H$7:$H$126,"&lt;&gt;verworfen")</f>
        <v/>
      </c>
      <c r="N768" s="14">
        <f>IF(ISNUMBER(K768),MAX(0,K768-L768-M768),"n.a.")</f>
        <v/>
      </c>
      <c r="O768" s="14" t="n">
        <v>5.73</v>
      </c>
      <c r="P768" s="14">
        <f>IF(ISNUMBER(K768),K768-O768,"n.a.")</f>
        <v/>
      </c>
    </row>
    <row r="769" ht="32" customHeight="1">
      <c r="C769" s="10" t="inlineStr">
        <is>
          <t>PRJ-3d4f0dec-RK-11</t>
        </is>
      </c>
      <c r="D769" s="10" t="inlineStr">
        <is>
          <t>W4102304412</t>
        </is>
      </c>
      <c r="E769" s="11" t="inlineStr">
        <is>
          <t>Witterung / Ablaufstörung</t>
        </is>
      </c>
      <c r="F769" s="10" t="inlineStr">
        <is>
          <t>Termin</t>
        </is>
      </c>
      <c r="G769" s="12" t="n">
        <v>0.25</v>
      </c>
      <c r="H769" s="13" t="n">
        <v>25</v>
      </c>
      <c r="I769" s="13" t="n">
        <v>75</v>
      </c>
      <c r="J769" s="13" t="n">
        <v>149</v>
      </c>
      <c r="K769" s="14">
        <f>IF(OR(COUNT(G769:J769)&lt;&gt;4,G769&lt;0,G769&gt;1,H769&gt;I769,I769&gt;J769),"n.a.",ROUND(G769*(H769+4*I769+J769)/6+0.00000001,2))</f>
        <v/>
      </c>
      <c r="L769" s="13" t="n">
        <v>0</v>
      </c>
      <c r="M769" s="14">
        <f>SUMIFS(Maßnahmen!$I$7:$I$126,Maßnahmen!$D$7:$D$126,C769,Maßnahmen!$H$7:$H$126,"&lt;&gt;verworfen")</f>
        <v/>
      </c>
      <c r="N769" s="14">
        <f>IF(ISNUMBER(K769),MAX(0,K769-L769-M769),"n.a.")</f>
        <v/>
      </c>
      <c r="O769" s="14" t="n">
        <v>19.75</v>
      </c>
      <c r="P769" s="14">
        <f>IF(ISNUMBER(K769),K769-O769,"n.a.")</f>
        <v/>
      </c>
    </row>
    <row r="770" ht="32" customHeight="1">
      <c r="C770" s="10" t="inlineStr">
        <is>
          <t>PRJ-3d4f0dec-RK-12</t>
        </is>
      </c>
      <c r="D770" s="10" t="inlineStr">
        <is>
          <t>W4102304412</t>
        </is>
      </c>
      <c r="E770" s="11" t="inlineStr">
        <is>
          <t>Staubemissionen (höchster Aufwand laut Umfrage)</t>
        </is>
      </c>
      <c r="F770" s="10" t="inlineStr">
        <is>
          <t>Emissionen</t>
        </is>
      </c>
      <c r="G770" s="12" t="n">
        <v>0.1</v>
      </c>
      <c r="H770" s="13" t="n">
        <v>75</v>
      </c>
      <c r="I770" s="13" t="n">
        <v>149</v>
      </c>
      <c r="J770" s="13" t="n">
        <v>299</v>
      </c>
      <c r="K770" s="14">
        <f>IF(OR(COUNT(G770:J770)&lt;&gt;4,G770&lt;0,G770&gt;1,H770&gt;I770,I770&gt;J770),"n.a.",ROUND(G770*(H770+4*I770+J770)/6+0.00000001,2))</f>
        <v/>
      </c>
      <c r="L770" s="13" t="n">
        <v>0</v>
      </c>
      <c r="M770" s="14">
        <f>SUMIFS(Maßnahmen!$I$7:$I$126,Maßnahmen!$D$7:$D$126,C770,Maßnahmen!$H$7:$H$126,"&lt;&gt;verworfen")</f>
        <v/>
      </c>
      <c r="N770" s="14">
        <f>IF(ISNUMBER(K770),MAX(0,K770-L770-M770),"n.a.")</f>
        <v/>
      </c>
      <c r="O770" s="14" t="n">
        <v>16.17</v>
      </c>
      <c r="P770" s="14">
        <f>IF(ISNUMBER(K770),K770-O770,"n.a.")</f>
        <v/>
      </c>
    </row>
    <row r="771" ht="32" customHeight="1">
      <c r="C771" s="10" t="inlineStr">
        <is>
          <t>PRJ-3d4f0dec-RK-13</t>
        </is>
      </c>
      <c r="D771" s="10" t="inlineStr">
        <is>
          <t>W4102304412</t>
        </is>
      </c>
      <c r="E771" s="11" t="inlineStr">
        <is>
          <t>Lärm- und Erschütterungsauflagen</t>
        </is>
      </c>
      <c r="F771" s="10" t="inlineStr">
        <is>
          <t>Emissionen</t>
        </is>
      </c>
      <c r="G771" s="12" t="n">
        <v>0.2</v>
      </c>
      <c r="H771" s="13" t="n">
        <v>50</v>
      </c>
      <c r="I771" s="13" t="n">
        <v>124</v>
      </c>
      <c r="J771" s="13" t="n">
        <v>249</v>
      </c>
      <c r="K771" s="14">
        <f>IF(OR(COUNT(G771:J771)&lt;&gt;4,G771&lt;0,G771&gt;1,H771&gt;I771,I771&gt;J771),"n.a.",ROUND(G771*(H771+4*I771+J771)/6+0.00000001,2))</f>
        <v/>
      </c>
      <c r="L771" s="13" t="n">
        <v>0</v>
      </c>
      <c r="M771" s="14">
        <f>SUMIFS(Maßnahmen!$I$7:$I$126,Maßnahmen!$D$7:$D$126,C771,Maßnahmen!$H$7:$H$126,"&lt;&gt;verworfen")</f>
        <v/>
      </c>
      <c r="N771" s="14">
        <f>IF(ISNUMBER(K771),MAX(0,K771-L771-M771),"n.a.")</f>
        <v/>
      </c>
      <c r="O771" s="14" t="n">
        <v>26.5</v>
      </c>
      <c r="P771" s="14">
        <f>IF(ISNUMBER(K771),K771-O771,"n.a.")</f>
        <v/>
      </c>
    </row>
    <row r="772" ht="32" customHeight="1">
      <c r="C772" s="10" t="inlineStr">
        <is>
          <t>PRJ-3d4f0dec-RK-14</t>
        </is>
      </c>
      <c r="D772" s="10" t="inlineStr">
        <is>
          <t>W4102304412</t>
        </is>
      </c>
      <c r="E772" s="11" t="inlineStr">
        <is>
          <t>Rechtliche Auflagen / Entsorgungsnachweise (Formalismus)</t>
        </is>
      </c>
      <c r="F772" s="10" t="inlineStr">
        <is>
          <t>Genehmigung</t>
        </is>
      </c>
      <c r="G772" s="12" t="n">
        <v>0.4</v>
      </c>
      <c r="H772" s="13" t="n">
        <v>236</v>
      </c>
      <c r="I772" s="13" t="n">
        <v>460</v>
      </c>
      <c r="J772" s="13" t="n">
        <v>871</v>
      </c>
      <c r="K772" s="14">
        <f>IF(OR(COUNT(G772:J772)&lt;&gt;4,G772&lt;0,G772&gt;1,H772&gt;I772,I772&gt;J772),"n.a.",ROUND(G772*(H772+4*I772+J772)/6+0.00000001,2))</f>
        <v/>
      </c>
      <c r="L772" s="13" t="n">
        <v>0</v>
      </c>
      <c r="M772" s="14">
        <f>SUMIFS(Maßnahmen!$I$7:$I$126,Maßnahmen!$D$7:$D$126,C772,Maßnahmen!$H$7:$H$126,"&lt;&gt;verworfen")</f>
        <v/>
      </c>
      <c r="N772" s="14">
        <f>IF(ISNUMBER(K772),MAX(0,K772-L772-M772),"n.a.")</f>
        <v/>
      </c>
      <c r="O772" s="14" t="n">
        <v>196.47</v>
      </c>
      <c r="P772" s="14">
        <f>IF(ISNUMBER(K772),K772-O772,"n.a.")</f>
        <v/>
      </c>
    </row>
    <row r="773" ht="32" customHeight="1">
      <c r="C773" s="10" t="inlineStr">
        <is>
          <t>PRJ-3d4f0dec-RK-15</t>
        </is>
      </c>
      <c r="D773" s="10" t="inlineStr">
        <is>
          <t>W4102304412</t>
        </is>
      </c>
      <c r="E773" s="11" t="inlineStr">
        <is>
          <t>Konjunktur / Sekundärstoffpreise &amp; Gerätemiete</t>
        </is>
      </c>
      <c r="F773" s="10" t="inlineStr">
        <is>
          <t>Markt</t>
        </is>
      </c>
      <c r="G773" s="12" t="n">
        <v>0.12</v>
      </c>
      <c r="H773" s="13" t="n">
        <v>20</v>
      </c>
      <c r="I773" s="13" t="n">
        <v>50</v>
      </c>
      <c r="J773" s="13" t="n">
        <v>124</v>
      </c>
      <c r="K773" s="14">
        <f>IF(OR(COUNT(G773:J773)&lt;&gt;4,G773&lt;0,G773&gt;1,H773&gt;I773,I773&gt;J773),"n.a.",ROUND(G773*(H773+4*I773+J773)/6+0.00000001,2))</f>
        <v/>
      </c>
      <c r="L773" s="13" t="n">
        <v>0</v>
      </c>
      <c r="M773" s="14">
        <f>SUMIFS(Maßnahmen!$I$7:$I$126,Maßnahmen!$D$7:$D$126,C773,Maßnahmen!$H$7:$H$126,"&lt;&gt;verworfen")</f>
        <v/>
      </c>
      <c r="N773" s="14">
        <f>IF(ISNUMBER(K773),MAX(0,K773-L773-M773),"n.a.")</f>
        <v/>
      </c>
      <c r="O773" s="14" t="n">
        <v>6.88</v>
      </c>
      <c r="P773" s="14">
        <f>IF(ISNUMBER(K773),K773-O773,"n.a.")</f>
        <v/>
      </c>
    </row>
    <row r="774" ht="32" customHeight="1">
      <c r="C774" s="10" t="inlineStr">
        <is>
          <t>PRJ-39e56810-RK-01</t>
        </is>
      </c>
      <c r="D774" s="10" t="inlineStr">
        <is>
          <t>W4102504102</t>
        </is>
      </c>
      <c r="E774" s="11" t="inlineStr">
        <is>
          <t>Schadstofffund / Schadstoffsanierung (Asbest, PAK, PCB, PCP)</t>
        </is>
      </c>
      <c r="F774" s="10" t="inlineStr">
        <is>
          <t>Schadstoffe</t>
        </is>
      </c>
      <c r="G774" s="12" t="n">
        <v>0.1</v>
      </c>
      <c r="H774" s="13" t="n">
        <v>20</v>
      </c>
      <c r="I774" s="13" t="n">
        <v>50</v>
      </c>
      <c r="J774" s="13" t="n">
        <v>100</v>
      </c>
      <c r="K774" s="14">
        <f>IF(OR(COUNT(G774:J774)&lt;&gt;4,G774&lt;0,G774&gt;1,H774&gt;I774,I774&gt;J774),"n.a.",ROUND(G774*(H774+4*I774+J774)/6+0.00000001,2))</f>
        <v/>
      </c>
      <c r="L774" s="13" t="n">
        <v>0</v>
      </c>
      <c r="M774" s="14">
        <f>SUMIFS(Maßnahmen!$I$7:$I$126,Maßnahmen!$D$7:$D$126,C774,Maßnahmen!$H$7:$H$126,"&lt;&gt;verworfen")</f>
        <v/>
      </c>
      <c r="N774" s="14">
        <f>IF(ISNUMBER(K774),MAX(0,K774-L774-M774),"n.a.")</f>
        <v/>
      </c>
      <c r="O774" s="14" t="n">
        <v>5.33</v>
      </c>
      <c r="P774" s="14">
        <f>IF(ISNUMBER(K774),K774-O774,"n.a.")</f>
        <v/>
      </c>
    </row>
    <row r="775" ht="32" customHeight="1">
      <c r="C775" s="10" t="inlineStr">
        <is>
          <t>PRJ-39e56810-RK-02</t>
        </is>
      </c>
      <c r="D775" s="10" t="inlineStr">
        <is>
          <t>W4102504102</t>
        </is>
      </c>
      <c r="E775" s="11" t="inlineStr">
        <is>
          <t>Arbeitsschutz kontaminierte Bereiche (TRGS 524)</t>
        </is>
      </c>
      <c r="F775" s="10" t="inlineStr">
        <is>
          <t>Schadstoffe</t>
        </is>
      </c>
      <c r="G775" s="12" t="n">
        <v>0.47</v>
      </c>
      <c r="H775" s="13" t="n">
        <v>20</v>
      </c>
      <c r="I775" s="13" t="n">
        <v>50</v>
      </c>
      <c r="J775" s="13" t="n">
        <v>100</v>
      </c>
      <c r="K775" s="14">
        <f>IF(OR(COUNT(G775:J775)&lt;&gt;4,G775&lt;0,G775&gt;1,H775&gt;I775,I775&gt;J775),"n.a.",ROUND(G775*(H775+4*I775+J775)/6+0.00000001,2))</f>
        <v/>
      </c>
      <c r="L775" s="13" t="n">
        <v>0</v>
      </c>
      <c r="M775" s="14">
        <f>SUMIFS(Maßnahmen!$I$7:$I$126,Maßnahmen!$D$7:$D$126,C775,Maßnahmen!$H$7:$H$126,"&lt;&gt;verworfen")</f>
        <v/>
      </c>
      <c r="N775" s="14">
        <f>IF(ISNUMBER(K775),MAX(0,K775-L775-M775),"n.a.")</f>
        <v/>
      </c>
      <c r="O775" s="14" t="n">
        <v>25.07</v>
      </c>
      <c r="P775" s="14">
        <f>IF(ISNUMBER(K775),K775-O775,"n.a.")</f>
        <v/>
      </c>
    </row>
    <row r="776" ht="32" customHeight="1">
      <c r="C776" s="10" t="inlineStr">
        <is>
          <t>PRJ-39e56810-RK-03</t>
        </is>
      </c>
      <c r="D776" s="10" t="inlineStr">
        <is>
          <t>W4102504102</t>
        </is>
      </c>
      <c r="E776" s="11" t="inlineStr">
        <is>
          <t>Entsorgungs-Mehrkosten / Entsorgungswege</t>
        </is>
      </c>
      <c r="F776" s="10" t="inlineStr">
        <is>
          <t>Entsorgung</t>
        </is>
      </c>
      <c r="G776" s="12" t="n">
        <v>0.27</v>
      </c>
      <c r="H776" s="13" t="n">
        <v>20</v>
      </c>
      <c r="I776" s="13" t="n">
        <v>50</v>
      </c>
      <c r="J776" s="13" t="n">
        <v>100</v>
      </c>
      <c r="K776" s="14">
        <f>IF(OR(COUNT(G776:J776)&lt;&gt;4,G776&lt;0,G776&gt;1,H776&gt;I776,I776&gt;J776),"n.a.",ROUND(G776*(H776+4*I776+J776)/6+0.00000001,2))</f>
        <v/>
      </c>
      <c r="L776" s="13" t="n">
        <v>0</v>
      </c>
      <c r="M776" s="14">
        <f>SUMIFS(Maßnahmen!$I$7:$I$126,Maßnahmen!$D$7:$D$126,C776,Maßnahmen!$H$7:$H$126,"&lt;&gt;verworfen")</f>
        <v/>
      </c>
      <c r="N776" s="14">
        <f>IF(ISNUMBER(K776),MAX(0,K776-L776-M776),"n.a.")</f>
        <v/>
      </c>
      <c r="O776" s="14" t="n">
        <v>14.4</v>
      </c>
      <c r="P776" s="14">
        <f>IF(ISNUMBER(K776),K776-O776,"n.a.")</f>
        <v/>
      </c>
    </row>
    <row r="777" ht="32" customHeight="1">
      <c r="C777" s="10" t="inlineStr">
        <is>
          <t>PRJ-39e56810-RK-04</t>
        </is>
      </c>
      <c r="D777" s="10" t="inlineStr">
        <is>
          <t>W4102504102</t>
        </is>
      </c>
      <c r="E777" s="11" t="inlineStr">
        <is>
          <t>Baustofftrennung / Aufbereitung nicht wie geplant</t>
        </is>
      </c>
      <c r="F777" s="10" t="inlineStr">
        <is>
          <t>Entsorgung</t>
        </is>
      </c>
      <c r="G777" s="12" t="n">
        <v>0.1</v>
      </c>
      <c r="H777" s="13" t="n">
        <v>20</v>
      </c>
      <c r="I777" s="13" t="n">
        <v>50</v>
      </c>
      <c r="J777" s="13" t="n">
        <v>100</v>
      </c>
      <c r="K777" s="14">
        <f>IF(OR(COUNT(G777:J777)&lt;&gt;4,G777&lt;0,G777&gt;1,H777&gt;I777,I777&gt;J777),"n.a.",ROUND(G777*(H777+4*I777+J777)/6+0.00000001,2))</f>
        <v/>
      </c>
      <c r="L777" s="13" t="n">
        <v>0</v>
      </c>
      <c r="M777" s="14">
        <f>SUMIFS(Maßnahmen!$I$7:$I$126,Maßnahmen!$D$7:$D$126,C777,Maßnahmen!$H$7:$H$126,"&lt;&gt;verworfen")</f>
        <v/>
      </c>
      <c r="N777" s="14">
        <f>IF(ISNUMBER(K777),MAX(0,K777-L777-M777),"n.a.")</f>
        <v/>
      </c>
      <c r="O777" s="14" t="n">
        <v>5.33</v>
      </c>
      <c r="P777" s="14">
        <f>IF(ISNUMBER(K777),K777-O777,"n.a.")</f>
        <v/>
      </c>
    </row>
    <row r="778" ht="32" customHeight="1">
      <c r="C778" s="10" t="inlineStr">
        <is>
          <t>PRJ-39e56810-RK-05</t>
        </is>
      </c>
      <c r="D778" s="10" t="inlineStr">
        <is>
          <t>W4102504102</t>
        </is>
      </c>
      <c r="E778" s="11" t="inlineStr">
        <is>
          <t>Unbekannte Bauwerkskonstruktion / fehlende Pläne</t>
        </is>
      </c>
      <c r="F778" s="10" t="inlineStr">
        <is>
          <t>Statik</t>
        </is>
      </c>
      <c r="G778" s="12" t="n">
        <v>0.12</v>
      </c>
      <c r="H778" s="13" t="n">
        <v>40</v>
      </c>
      <c r="I778" s="13" t="n">
        <v>80</v>
      </c>
      <c r="J778" s="13" t="n">
        <v>150</v>
      </c>
      <c r="K778" s="14">
        <f>IF(OR(COUNT(G778:J778)&lt;&gt;4,G778&lt;0,G778&gt;1,H778&gt;I778,I778&gt;J778),"n.a.",ROUND(G778*(H778+4*I778+J778)/6+0.00000001,2))</f>
        <v/>
      </c>
      <c r="L778" s="13" t="n">
        <v>0</v>
      </c>
      <c r="M778" s="14">
        <f>SUMIFS(Maßnahmen!$I$7:$I$126,Maßnahmen!$D$7:$D$126,C778,Maßnahmen!$H$7:$H$126,"&lt;&gt;verworfen")</f>
        <v/>
      </c>
      <c r="N778" s="14">
        <f>IF(ISNUMBER(K778),MAX(0,K778-L778-M778),"n.a.")</f>
        <v/>
      </c>
      <c r="O778" s="14" t="n">
        <v>10.2</v>
      </c>
      <c r="P778" s="14">
        <f>IF(ISNUMBER(K778),K778-O778,"n.a.")</f>
        <v/>
      </c>
    </row>
    <row r="779" ht="32" customHeight="1">
      <c r="C779" s="10" t="inlineStr">
        <is>
          <t>PRJ-39e56810-RK-06</t>
        </is>
      </c>
      <c r="D779" s="10" t="inlineStr">
        <is>
          <t>W4102504102</t>
        </is>
      </c>
      <c r="E779" s="11" t="inlineStr">
        <is>
          <t>Statik / Einsturzsicherung während Abbruch</t>
        </is>
      </c>
      <c r="F779" s="10" t="inlineStr">
        <is>
          <t>Statik</t>
        </is>
      </c>
      <c r="G779" s="12" t="n">
        <v>0.24</v>
      </c>
      <c r="H779" s="13" t="n">
        <v>30</v>
      </c>
      <c r="I779" s="13" t="n">
        <v>70</v>
      </c>
      <c r="J779" s="13" t="n">
        <v>140</v>
      </c>
      <c r="K779" s="14">
        <f>IF(OR(COUNT(G779:J779)&lt;&gt;4,G779&lt;0,G779&gt;1,H779&gt;I779,I779&gt;J779),"n.a.",ROUND(G779*(H779+4*I779+J779)/6+0.00000001,2))</f>
        <v/>
      </c>
      <c r="L779" s="13" t="n">
        <v>0</v>
      </c>
      <c r="M779" s="14">
        <f>SUMIFS(Maßnahmen!$I$7:$I$126,Maßnahmen!$D$7:$D$126,C779,Maßnahmen!$H$7:$H$126,"&lt;&gt;verworfen")</f>
        <v/>
      </c>
      <c r="N779" s="14">
        <f>IF(ISNUMBER(K779),MAX(0,K779-L779-M779),"n.a.")</f>
        <v/>
      </c>
      <c r="O779" s="14" t="n">
        <v>18</v>
      </c>
      <c r="P779" s="14">
        <f>IF(ISNUMBER(K779),K779-O779,"n.a.")</f>
        <v/>
      </c>
    </row>
    <row r="780" ht="32" customHeight="1">
      <c r="C780" s="10" t="inlineStr">
        <is>
          <t>PRJ-39e56810-RK-07</t>
        </is>
      </c>
      <c r="D780" s="10" t="inlineStr">
        <is>
          <t>W4102504102</t>
        </is>
      </c>
      <c r="E780" s="11" t="inlineStr">
        <is>
          <t>Unterirdische Tragkonstruktion / Fundamente</t>
        </is>
      </c>
      <c r="F780" s="10" t="inlineStr">
        <is>
          <t>Statik</t>
        </is>
      </c>
      <c r="G780" s="12" t="n">
        <v>0.4</v>
      </c>
      <c r="H780" s="13" t="n">
        <v>5</v>
      </c>
      <c r="I780" s="13" t="n">
        <v>20</v>
      </c>
      <c r="J780" s="13" t="n">
        <v>50</v>
      </c>
      <c r="K780" s="14">
        <f>IF(OR(COUNT(G780:J780)&lt;&gt;4,G780&lt;0,G780&gt;1,H780&gt;I780,I780&gt;J780),"n.a.",ROUND(G780*(H780+4*I780+J780)/6+0.00000001,2))</f>
        <v/>
      </c>
      <c r="L780" s="13" t="n">
        <v>0</v>
      </c>
      <c r="M780" s="14">
        <f>SUMIFS(Maßnahmen!$I$7:$I$126,Maßnahmen!$D$7:$D$126,C780,Maßnahmen!$H$7:$H$126,"&lt;&gt;verworfen")</f>
        <v/>
      </c>
      <c r="N780" s="14">
        <f>IF(ISNUMBER(K780),MAX(0,K780-L780-M780),"n.a.")</f>
        <v/>
      </c>
      <c r="O780" s="14" t="n">
        <v>9</v>
      </c>
      <c r="P780" s="14">
        <f>IF(ISNUMBER(K780),K780-O780,"n.a.")</f>
        <v/>
      </c>
    </row>
    <row r="781" ht="32" customHeight="1">
      <c r="C781" s="10" t="inlineStr">
        <is>
          <t>PRJ-39e56810-RK-08</t>
        </is>
      </c>
      <c r="D781" s="10" t="inlineStr">
        <is>
          <t>W4102504102</t>
        </is>
      </c>
      <c r="E781" s="11" t="inlineStr">
        <is>
          <t>Gebäudehöhe &gt;22 m / Longfront-Bagger (+130–150 %)</t>
        </is>
      </c>
      <c r="F781" s="10" t="inlineStr">
        <is>
          <t>Termin</t>
        </is>
      </c>
      <c r="G781" s="12" t="n">
        <v>0.6</v>
      </c>
      <c r="H781" s="13" t="n">
        <v>90</v>
      </c>
      <c r="I781" s="13" t="n">
        <v>180</v>
      </c>
      <c r="J781" s="13" t="n">
        <v>340</v>
      </c>
      <c r="K781" s="14">
        <f>IF(OR(COUNT(G781:J781)&lt;&gt;4,G781&lt;0,G781&gt;1,H781&gt;I781,I781&gt;J781),"n.a.",ROUND(G781*(H781+4*I781+J781)/6+0.00000001,2))</f>
        <v/>
      </c>
      <c r="L781" s="13" t="n">
        <v>0</v>
      </c>
      <c r="M781" s="14">
        <f>SUMIFS(Maßnahmen!$I$7:$I$126,Maßnahmen!$D$7:$D$126,C781,Maßnahmen!$H$7:$H$126,"&lt;&gt;verworfen")</f>
        <v/>
      </c>
      <c r="N781" s="14">
        <f>IF(ISNUMBER(K781),MAX(0,K781-L781-M781),"n.a.")</f>
        <v/>
      </c>
      <c r="O781" s="14" t="n">
        <v>115</v>
      </c>
      <c r="P781" s="14">
        <f>IF(ISNUMBER(K781),K781-O781,"n.a.")</f>
        <v/>
      </c>
    </row>
    <row r="782" ht="32" customHeight="1">
      <c r="C782" s="10" t="inlineStr">
        <is>
          <t>PRJ-39e56810-RK-09</t>
        </is>
      </c>
      <c r="D782" s="10" t="inlineStr">
        <is>
          <t>W4102504102</t>
        </is>
      </c>
      <c r="E782" s="11" t="inlineStr">
        <is>
          <t>Beennte Lage / nur Handabbruch möglich</t>
        </is>
      </c>
      <c r="F782" s="10" t="inlineStr">
        <is>
          <t>Termin</t>
        </is>
      </c>
      <c r="G782" s="12" t="n">
        <v>0.15</v>
      </c>
      <c r="H782" s="13" t="n">
        <v>8</v>
      </c>
      <c r="I782" s="13" t="n">
        <v>20</v>
      </c>
      <c r="J782" s="13" t="n">
        <v>50</v>
      </c>
      <c r="K782" s="14">
        <f>IF(OR(COUNT(G782:J782)&lt;&gt;4,G782&lt;0,G782&gt;1,H782&gt;I782,I782&gt;J782),"n.a.",ROUND(G782*(H782+4*I782+J782)/6+0.00000001,2))</f>
        <v/>
      </c>
      <c r="L782" s="13" t="n">
        <v>0</v>
      </c>
      <c r="M782" s="14">
        <f>SUMIFS(Maßnahmen!$I$7:$I$126,Maßnahmen!$D$7:$D$126,C782,Maßnahmen!$H$7:$H$126,"&lt;&gt;verworfen")</f>
        <v/>
      </c>
      <c r="N782" s="14">
        <f>IF(ISNUMBER(K782),MAX(0,K782-L782-M782),"n.a.")</f>
        <v/>
      </c>
      <c r="O782" s="14" t="n">
        <v>3.45</v>
      </c>
      <c r="P782" s="14">
        <f>IF(ISNUMBER(K782),K782-O782,"n.a.")</f>
        <v/>
      </c>
    </row>
    <row r="783" ht="32" customHeight="1">
      <c r="C783" s="10" t="inlineStr">
        <is>
          <t>PRJ-39e56810-RK-10</t>
        </is>
      </c>
      <c r="D783" s="10" t="inlineStr">
        <is>
          <t>W4102504102</t>
        </is>
      </c>
      <c r="E783" s="11" t="inlineStr">
        <is>
          <t>Terminvorgabe Auftraggeber / Geräteauslastung</t>
        </is>
      </c>
      <c r="F783" s="10" t="inlineStr">
        <is>
          <t>Termin</t>
        </is>
      </c>
      <c r="G783" s="12" t="n">
        <v>0.1</v>
      </c>
      <c r="H783" s="13" t="n">
        <v>8</v>
      </c>
      <c r="I783" s="13" t="n">
        <v>20</v>
      </c>
      <c r="J783" s="13" t="n">
        <v>50</v>
      </c>
      <c r="K783" s="14">
        <f>IF(OR(COUNT(G783:J783)&lt;&gt;4,G783&lt;0,G783&gt;1,H783&gt;I783,I783&gt;J783),"n.a.",ROUND(G783*(H783+4*I783+J783)/6+0.00000001,2))</f>
        <v/>
      </c>
      <c r="L783" s="13" t="n">
        <v>0</v>
      </c>
      <c r="M783" s="14">
        <f>SUMIFS(Maßnahmen!$I$7:$I$126,Maßnahmen!$D$7:$D$126,C783,Maßnahmen!$H$7:$H$126,"&lt;&gt;verworfen")</f>
        <v/>
      </c>
      <c r="N783" s="14">
        <f>IF(ISNUMBER(K783),MAX(0,K783-L783-M783),"n.a.")</f>
        <v/>
      </c>
      <c r="O783" s="14" t="n">
        <v>2.3</v>
      </c>
      <c r="P783" s="14">
        <f>IF(ISNUMBER(K783),K783-O783,"n.a.")</f>
        <v/>
      </c>
    </row>
    <row r="784" ht="32" customHeight="1">
      <c r="C784" s="10" t="inlineStr">
        <is>
          <t>PRJ-39e56810-RK-12</t>
        </is>
      </c>
      <c r="D784" s="10" t="inlineStr">
        <is>
          <t>W4102504102</t>
        </is>
      </c>
      <c r="E784" s="11" t="inlineStr">
        <is>
          <t>Staubemissionen (höchster Aufwand laut Umfrage)</t>
        </is>
      </c>
      <c r="F784" s="10" t="inlineStr">
        <is>
          <t>Emissionen</t>
        </is>
      </c>
      <c r="G784" s="12" t="n">
        <v>0.1</v>
      </c>
      <c r="H784" s="13" t="n">
        <v>30</v>
      </c>
      <c r="I784" s="13" t="n">
        <v>60</v>
      </c>
      <c r="J784" s="13" t="n">
        <v>120</v>
      </c>
      <c r="K784" s="14">
        <f>IF(OR(COUNT(G784:J784)&lt;&gt;4,G784&lt;0,G784&gt;1,H784&gt;I784,I784&gt;J784),"n.a.",ROUND(G784*(H784+4*I784+J784)/6+0.00000001,2))</f>
        <v/>
      </c>
      <c r="L784" s="13" t="n">
        <v>0</v>
      </c>
      <c r="M784" s="14">
        <f>SUMIFS(Maßnahmen!$I$7:$I$126,Maßnahmen!$D$7:$D$126,C784,Maßnahmen!$H$7:$H$126,"&lt;&gt;verworfen")</f>
        <v/>
      </c>
      <c r="N784" s="14">
        <f>IF(ISNUMBER(K784),MAX(0,K784-L784-M784),"n.a.")</f>
        <v/>
      </c>
      <c r="O784" s="14" t="n">
        <v>6.5</v>
      </c>
      <c r="P784" s="14">
        <f>IF(ISNUMBER(K784),K784-O784,"n.a.")</f>
        <v/>
      </c>
    </row>
    <row r="785" ht="32" customHeight="1">
      <c r="C785" s="10" t="inlineStr">
        <is>
          <t>PRJ-39e56810-RK-13</t>
        </is>
      </c>
      <c r="D785" s="10" t="inlineStr">
        <is>
          <t>W4102504102</t>
        </is>
      </c>
      <c r="E785" s="11" t="inlineStr">
        <is>
          <t>Lärm- und Erschütterungsauflagen</t>
        </is>
      </c>
      <c r="F785" s="10" t="inlineStr">
        <is>
          <t>Emissionen</t>
        </is>
      </c>
      <c r="G785" s="12" t="n">
        <v>0.2</v>
      </c>
      <c r="H785" s="13" t="n">
        <v>20</v>
      </c>
      <c r="I785" s="13" t="n">
        <v>50</v>
      </c>
      <c r="J785" s="13" t="n">
        <v>100</v>
      </c>
      <c r="K785" s="14">
        <f>IF(OR(COUNT(G785:J785)&lt;&gt;4,G785&lt;0,G785&gt;1,H785&gt;I785,I785&gt;J785),"n.a.",ROUND(G785*(H785+4*I785+J785)/6+0.00000001,2))</f>
        <v/>
      </c>
      <c r="L785" s="13" t="n">
        <v>0</v>
      </c>
      <c r="M785" s="14">
        <f>SUMIFS(Maßnahmen!$I$7:$I$126,Maßnahmen!$D$7:$D$126,C785,Maßnahmen!$H$7:$H$126,"&lt;&gt;verworfen")</f>
        <v/>
      </c>
      <c r="N785" s="14">
        <f>IF(ISNUMBER(K785),MAX(0,K785-L785-M785),"n.a.")</f>
        <v/>
      </c>
      <c r="O785" s="14" t="n">
        <v>10.67</v>
      </c>
      <c r="P785" s="14">
        <f>IF(ISNUMBER(K785),K785-O785,"n.a.")</f>
        <v/>
      </c>
    </row>
    <row r="786" ht="32" customHeight="1">
      <c r="C786" s="10" t="inlineStr">
        <is>
          <t>PRJ-39e56810-RK-14</t>
        </is>
      </c>
      <c r="D786" s="10" t="inlineStr">
        <is>
          <t>W4102504102</t>
        </is>
      </c>
      <c r="E786" s="11" t="inlineStr">
        <is>
          <t>Rechtliche Auflagen / Entsorgungsnachweise (Formalismus)</t>
        </is>
      </c>
      <c r="F786" s="10" t="inlineStr">
        <is>
          <t>Genehmigung</t>
        </is>
      </c>
      <c r="G786" s="12" t="n">
        <v>0.4</v>
      </c>
      <c r="H786" s="13" t="n">
        <v>95</v>
      </c>
      <c r="I786" s="13" t="n">
        <v>185</v>
      </c>
      <c r="J786" s="13" t="n">
        <v>350</v>
      </c>
      <c r="K786" s="14">
        <f>IF(OR(COUNT(G786:J786)&lt;&gt;4,G786&lt;0,G786&gt;1,H786&gt;I786,I786&gt;J786),"n.a.",ROUND(G786*(H786+4*I786+J786)/6+0.00000001,2))</f>
        <v/>
      </c>
      <c r="L786" s="13" t="n">
        <v>0</v>
      </c>
      <c r="M786" s="14">
        <f>SUMIFS(Maßnahmen!$I$7:$I$126,Maßnahmen!$D$7:$D$126,C786,Maßnahmen!$H$7:$H$126,"&lt;&gt;verworfen")</f>
        <v/>
      </c>
      <c r="N786" s="14">
        <f>IF(ISNUMBER(K786),MAX(0,K786-L786-M786),"n.a.")</f>
        <v/>
      </c>
      <c r="O786" s="14" t="n">
        <v>79</v>
      </c>
      <c r="P786" s="14">
        <f>IF(ISNUMBER(K786),K786-O786,"n.a.")</f>
        <v/>
      </c>
    </row>
    <row r="787" ht="32" customHeight="1">
      <c r="C787" s="10" t="inlineStr">
        <is>
          <t>PRJ-39e56810-RK-15</t>
        </is>
      </c>
      <c r="D787" s="10" t="inlineStr">
        <is>
          <t>W4102504102</t>
        </is>
      </c>
      <c r="E787" s="11" t="inlineStr">
        <is>
          <t>Konjunktur / Sekundärstoffpreise &amp; Gerätemiete</t>
        </is>
      </c>
      <c r="F787" s="10" t="inlineStr">
        <is>
          <t>Markt</t>
        </is>
      </c>
      <c r="G787" s="12" t="n">
        <v>0.12</v>
      </c>
      <c r="H787" s="13" t="n">
        <v>8</v>
      </c>
      <c r="I787" s="13" t="n">
        <v>20</v>
      </c>
      <c r="J787" s="13" t="n">
        <v>50</v>
      </c>
      <c r="K787" s="14">
        <f>IF(OR(COUNT(G787:J787)&lt;&gt;4,G787&lt;0,G787&gt;1,H787&gt;I787,I787&gt;J787),"n.a.",ROUND(G787*(H787+4*I787+J787)/6+0.00000001,2))</f>
        <v/>
      </c>
      <c r="L787" s="13" t="n">
        <v>0</v>
      </c>
      <c r="M787" s="14">
        <f>SUMIFS(Maßnahmen!$I$7:$I$126,Maßnahmen!$D$7:$D$126,C787,Maßnahmen!$H$7:$H$126,"&lt;&gt;verworfen")</f>
        <v/>
      </c>
      <c r="N787" s="14">
        <f>IF(ISNUMBER(K787),MAX(0,K787-L787-M787),"n.a.")</f>
        <v/>
      </c>
      <c r="O787" s="14" t="n">
        <v>2.76</v>
      </c>
      <c r="P787" s="14">
        <f>IF(ISNUMBER(K787),K787-O787,"n.a.")</f>
        <v/>
      </c>
    </row>
    <row r="788" ht="32" customHeight="1">
      <c r="C788" s="10" t="inlineStr">
        <is>
          <t>PRJ-40724604-RK-01</t>
        </is>
      </c>
      <c r="D788" s="10" t="inlineStr">
        <is>
          <t>W4102154501</t>
        </is>
      </c>
      <c r="E788" s="11" t="inlineStr">
        <is>
          <t>Schadstofffund / Schadstoffsanierung (Asbest, PAK, PCB, PCP)</t>
        </is>
      </c>
      <c r="F788" s="10" t="inlineStr">
        <is>
          <t>Schadstoffe</t>
        </is>
      </c>
      <c r="G788" s="12" t="n">
        <v>0.1</v>
      </c>
      <c r="H788" s="13" t="n">
        <v>152</v>
      </c>
      <c r="I788" s="13" t="n">
        <v>379</v>
      </c>
      <c r="J788" s="13" t="n">
        <v>758</v>
      </c>
      <c r="K788" s="14">
        <f>IF(OR(COUNT(G788:J788)&lt;&gt;4,G788&lt;0,G788&gt;1,H788&gt;I788,I788&gt;J788),"n.a.",ROUND(G788*(H788+4*I788+J788)/6+0.00000001,2))</f>
        <v/>
      </c>
      <c r="L788" s="13" t="n">
        <v>0</v>
      </c>
      <c r="M788" s="14">
        <f>SUMIFS(Maßnahmen!$I$7:$I$126,Maßnahmen!$D$7:$D$126,C788,Maßnahmen!$H$7:$H$126,"&lt;&gt;verworfen")</f>
        <v/>
      </c>
      <c r="N788" s="14">
        <f>IF(ISNUMBER(K788),MAX(0,K788-L788-M788),"n.a.")</f>
        <v/>
      </c>
      <c r="O788" s="14" t="n">
        <v>40.43</v>
      </c>
      <c r="P788" s="14">
        <f>IF(ISNUMBER(K788),K788-O788,"n.a.")</f>
        <v/>
      </c>
    </row>
    <row r="789" ht="32" customHeight="1">
      <c r="C789" s="10" t="inlineStr">
        <is>
          <t>PRJ-40724604-RK-02</t>
        </is>
      </c>
      <c r="D789" s="10" t="inlineStr">
        <is>
          <t>W4102154501</t>
        </is>
      </c>
      <c r="E789" s="11" t="inlineStr">
        <is>
          <t>Arbeitsschutz kontaminierte Bereiche (TRGS 524)</t>
        </is>
      </c>
      <c r="F789" s="10" t="inlineStr">
        <is>
          <t>Schadstoffe</t>
        </is>
      </c>
      <c r="G789" s="12" t="n">
        <v>0.47</v>
      </c>
      <c r="H789" s="13" t="n">
        <v>152</v>
      </c>
      <c r="I789" s="13" t="n">
        <v>379</v>
      </c>
      <c r="J789" s="13" t="n">
        <v>758</v>
      </c>
      <c r="K789" s="14">
        <f>IF(OR(COUNT(G789:J789)&lt;&gt;4,G789&lt;0,G789&gt;1,H789&gt;I789,I789&gt;J789),"n.a.",ROUND(G789*(H789+4*I789+J789)/6+0.00000001,2))</f>
        <v/>
      </c>
      <c r="L789" s="13" t="n">
        <v>0</v>
      </c>
      <c r="M789" s="14">
        <f>SUMIFS(Maßnahmen!$I$7:$I$126,Maßnahmen!$D$7:$D$126,C789,Maßnahmen!$H$7:$H$126,"&lt;&gt;verworfen")</f>
        <v/>
      </c>
      <c r="N789" s="14">
        <f>IF(ISNUMBER(K789),MAX(0,K789-L789-M789),"n.a.")</f>
        <v/>
      </c>
      <c r="O789" s="14" t="n">
        <v>190.04</v>
      </c>
      <c r="P789" s="14">
        <f>IF(ISNUMBER(K789),K789-O789,"n.a.")</f>
        <v/>
      </c>
    </row>
    <row r="790" ht="32" customHeight="1">
      <c r="C790" s="10" t="inlineStr">
        <is>
          <t>PRJ-40724604-RK-03</t>
        </is>
      </c>
      <c r="D790" s="10" t="inlineStr">
        <is>
          <t>W4102154501</t>
        </is>
      </c>
      <c r="E790" s="11" t="inlineStr">
        <is>
          <t>Entsorgungs-Mehrkosten / Entsorgungswege</t>
        </is>
      </c>
      <c r="F790" s="10" t="inlineStr">
        <is>
          <t>Entsorgung</t>
        </is>
      </c>
      <c r="G790" s="12" t="n">
        <v>0.15</v>
      </c>
      <c r="H790" s="13" t="n">
        <v>152</v>
      </c>
      <c r="I790" s="13" t="n">
        <v>379</v>
      </c>
      <c r="J790" s="13" t="n">
        <v>758</v>
      </c>
      <c r="K790" s="14">
        <f>IF(OR(COUNT(G790:J790)&lt;&gt;4,G790&lt;0,G790&gt;1,H790&gt;I790,I790&gt;J790),"n.a.",ROUND(G790*(H790+4*I790+J790)/6+0.00000001,2))</f>
        <v/>
      </c>
      <c r="L790" s="13" t="n">
        <v>0</v>
      </c>
      <c r="M790" s="14">
        <f>SUMIFS(Maßnahmen!$I$7:$I$126,Maßnahmen!$D$7:$D$126,C790,Maßnahmen!$H$7:$H$126,"&lt;&gt;verworfen")</f>
        <v/>
      </c>
      <c r="N790" s="14">
        <f>IF(ISNUMBER(K790),MAX(0,K790-L790-M790),"n.a.")</f>
        <v/>
      </c>
      <c r="O790" s="14" t="n">
        <v>60.65</v>
      </c>
      <c r="P790" s="14">
        <f>IF(ISNUMBER(K790),K790-O790,"n.a.")</f>
        <v/>
      </c>
    </row>
    <row r="791" ht="32" customHeight="1">
      <c r="C791" s="10" t="inlineStr">
        <is>
          <t>PRJ-40724604-RK-04</t>
        </is>
      </c>
      <c r="D791" s="10" t="inlineStr">
        <is>
          <t>W4102154501</t>
        </is>
      </c>
      <c r="E791" s="11" t="inlineStr">
        <is>
          <t>Baustofftrennung / Aufbereitung nicht wie geplant</t>
        </is>
      </c>
      <c r="F791" s="10" t="inlineStr">
        <is>
          <t>Entsorgung</t>
        </is>
      </c>
      <c r="G791" s="12" t="n">
        <v>0.1</v>
      </c>
      <c r="H791" s="13" t="n">
        <v>152</v>
      </c>
      <c r="I791" s="13" t="n">
        <v>379</v>
      </c>
      <c r="J791" s="13" t="n">
        <v>758</v>
      </c>
      <c r="K791" s="14">
        <f>IF(OR(COUNT(G791:J791)&lt;&gt;4,G791&lt;0,G791&gt;1,H791&gt;I791,I791&gt;J791),"n.a.",ROUND(G791*(H791+4*I791+J791)/6+0.00000001,2))</f>
        <v/>
      </c>
      <c r="L791" s="13" t="n">
        <v>0</v>
      </c>
      <c r="M791" s="14">
        <f>SUMIFS(Maßnahmen!$I$7:$I$126,Maßnahmen!$D$7:$D$126,C791,Maßnahmen!$H$7:$H$126,"&lt;&gt;verworfen")</f>
        <v/>
      </c>
      <c r="N791" s="14">
        <f>IF(ISNUMBER(K791),MAX(0,K791-L791-M791),"n.a.")</f>
        <v/>
      </c>
      <c r="O791" s="14" t="n">
        <v>40.43</v>
      </c>
      <c r="P791" s="14">
        <f>IF(ISNUMBER(K791),K791-O791,"n.a.")</f>
        <v/>
      </c>
    </row>
    <row r="792" ht="32" customHeight="1">
      <c r="C792" s="10" t="inlineStr">
        <is>
          <t>PRJ-40724604-RK-05</t>
        </is>
      </c>
      <c r="D792" s="10" t="inlineStr">
        <is>
          <t>W4102154501</t>
        </is>
      </c>
      <c r="E792" s="11" t="inlineStr">
        <is>
          <t>Unbekannte Bauwerkskonstruktion / fehlende Pläne</t>
        </is>
      </c>
      <c r="F792" s="10" t="inlineStr">
        <is>
          <t>Statik</t>
        </is>
      </c>
      <c r="G792" s="12" t="n">
        <v>0.12</v>
      </c>
      <c r="H792" s="13" t="n">
        <v>38</v>
      </c>
      <c r="I792" s="13" t="n">
        <v>76</v>
      </c>
      <c r="J792" s="13" t="n">
        <v>152</v>
      </c>
      <c r="K792" s="14">
        <f>IF(OR(COUNT(G792:J792)&lt;&gt;4,G792&lt;0,G792&gt;1,H792&gt;I792,I792&gt;J792),"n.a.",ROUND(G792*(H792+4*I792+J792)/6+0.00000001,2))</f>
        <v/>
      </c>
      <c r="L792" s="13" t="n">
        <v>0</v>
      </c>
      <c r="M792" s="14">
        <f>SUMIFS(Maßnahmen!$I$7:$I$126,Maßnahmen!$D$7:$D$126,C792,Maßnahmen!$H$7:$H$126,"&lt;&gt;verworfen")</f>
        <v/>
      </c>
      <c r="N792" s="14">
        <f>IF(ISNUMBER(K792),MAX(0,K792-L792-M792),"n.a.")</f>
        <v/>
      </c>
      <c r="O792" s="14" t="n">
        <v>9.880000000000001</v>
      </c>
      <c r="P792" s="14">
        <f>IF(ISNUMBER(K792),K792-O792,"n.a.")</f>
        <v/>
      </c>
    </row>
    <row r="793" ht="32" customHeight="1">
      <c r="C793" s="10" t="inlineStr">
        <is>
          <t>PRJ-40724604-RK-06</t>
        </is>
      </c>
      <c r="D793" s="10" t="inlineStr">
        <is>
          <t>W4102154501</t>
        </is>
      </c>
      <c r="E793" s="11" t="inlineStr">
        <is>
          <t>Statik / Einsturzsicherung während Abbruch</t>
        </is>
      </c>
      <c r="F793" s="10" t="inlineStr">
        <is>
          <t>Statik</t>
        </is>
      </c>
      <c r="G793" s="12" t="n">
        <v>0.12</v>
      </c>
      <c r="H793" s="13" t="n">
        <v>227</v>
      </c>
      <c r="I793" s="13" t="n">
        <v>531</v>
      </c>
      <c r="J793" s="13" t="n">
        <v>1061</v>
      </c>
      <c r="K793" s="14">
        <f>IF(OR(COUNT(G793:J793)&lt;&gt;4,G793&lt;0,G793&gt;1,H793&gt;I793,I793&gt;J793),"n.a.",ROUND(G793*(H793+4*I793+J793)/6+0.00000001,2))</f>
        <v/>
      </c>
      <c r="L793" s="13" t="n">
        <v>0</v>
      </c>
      <c r="M793" s="14">
        <f>SUMIFS(Maßnahmen!$I$7:$I$126,Maßnahmen!$D$7:$D$126,C793,Maßnahmen!$H$7:$H$126,"&lt;&gt;verworfen")</f>
        <v/>
      </c>
      <c r="N793" s="14">
        <f>IF(ISNUMBER(K793),MAX(0,K793-L793-M793),"n.a.")</f>
        <v/>
      </c>
      <c r="O793" s="14" t="n">
        <v>68.23999999999999</v>
      </c>
      <c r="P793" s="14">
        <f>IF(ISNUMBER(K793),K793-O793,"n.a.")</f>
        <v/>
      </c>
    </row>
    <row r="794" ht="32" customHeight="1">
      <c r="C794" s="10" t="inlineStr">
        <is>
          <t>PRJ-40724604-RK-07</t>
        </is>
      </c>
      <c r="D794" s="10" t="inlineStr">
        <is>
          <t>W4102154501</t>
        </is>
      </c>
      <c r="E794" s="11" t="inlineStr">
        <is>
          <t>Unterirdische Tragkonstruktion / Fundamente</t>
        </is>
      </c>
      <c r="F794" s="10" t="inlineStr">
        <is>
          <t>Statik</t>
        </is>
      </c>
      <c r="G794" s="12" t="n">
        <v>0.5</v>
      </c>
      <c r="H794" s="13" t="n">
        <v>38</v>
      </c>
      <c r="I794" s="13" t="n">
        <v>152</v>
      </c>
      <c r="J794" s="13" t="n">
        <v>379</v>
      </c>
      <c r="K794" s="14">
        <f>IF(OR(COUNT(G794:J794)&lt;&gt;4,G794&lt;0,G794&gt;1,H794&gt;I794,I794&gt;J794),"n.a.",ROUND(G794*(H794+4*I794+J794)/6+0.00000001,2))</f>
        <v/>
      </c>
      <c r="L794" s="13" t="n">
        <v>0</v>
      </c>
      <c r="M794" s="14">
        <f>SUMIFS(Maßnahmen!$I$7:$I$126,Maßnahmen!$D$7:$D$126,C794,Maßnahmen!$H$7:$H$126,"&lt;&gt;verworfen")</f>
        <v/>
      </c>
      <c r="N794" s="14">
        <f>IF(ISNUMBER(K794),MAX(0,K794-L794-M794),"n.a.")</f>
        <v/>
      </c>
      <c r="O794" s="14" t="n">
        <v>85.42</v>
      </c>
      <c r="P794" s="14">
        <f>IF(ISNUMBER(K794),K794-O794,"n.a.")</f>
        <v/>
      </c>
    </row>
    <row r="795" ht="32" customHeight="1">
      <c r="C795" s="10" t="inlineStr">
        <is>
          <t>PRJ-40724604-RK-08</t>
        </is>
      </c>
      <c r="D795" s="10" t="inlineStr">
        <is>
          <t>W4102154501</t>
        </is>
      </c>
      <c r="E795" s="11" t="inlineStr">
        <is>
          <t>Gebäudehöhe &gt;22 m / Longfront-Bagger (+130–150 %)</t>
        </is>
      </c>
      <c r="F795" s="10" t="inlineStr">
        <is>
          <t>Termin</t>
        </is>
      </c>
      <c r="G795" s="12" t="n">
        <v>0.6</v>
      </c>
      <c r="H795" s="13" t="n">
        <v>682</v>
      </c>
      <c r="I795" s="13" t="n">
        <v>1365</v>
      </c>
      <c r="J795" s="13" t="n">
        <v>2578</v>
      </c>
      <c r="K795" s="14">
        <f>IF(OR(COUNT(G795:J795)&lt;&gt;4,G795&lt;0,G795&gt;1,H795&gt;I795,I795&gt;J795),"n.a.",ROUND(G795*(H795+4*I795+J795)/6+0.00000001,2))</f>
        <v/>
      </c>
      <c r="L795" s="13" t="n">
        <v>0</v>
      </c>
      <c r="M795" s="14">
        <f>SUMIFS(Maßnahmen!$I$7:$I$126,Maßnahmen!$D$7:$D$126,C795,Maßnahmen!$H$7:$H$126,"&lt;&gt;verworfen")</f>
        <v/>
      </c>
      <c r="N795" s="14">
        <f>IF(ISNUMBER(K795),MAX(0,K795-L795-M795),"n.a.")</f>
        <v/>
      </c>
      <c r="O795" s="14" t="n">
        <v>872</v>
      </c>
      <c r="P795" s="14">
        <f>IF(ISNUMBER(K795),K795-O795,"n.a.")</f>
        <v/>
      </c>
    </row>
    <row r="796" ht="32" customHeight="1">
      <c r="C796" s="10" t="inlineStr">
        <is>
          <t>PRJ-40724604-RK-09</t>
        </is>
      </c>
      <c r="D796" s="10" t="inlineStr">
        <is>
          <t>W4102154501</t>
        </is>
      </c>
      <c r="E796" s="11" t="inlineStr">
        <is>
          <t>Beennte Lage / nur Handabbruch möglich</t>
        </is>
      </c>
      <c r="F796" s="10" t="inlineStr">
        <is>
          <t>Termin</t>
        </is>
      </c>
      <c r="G796" s="12" t="n">
        <v>0.1</v>
      </c>
      <c r="H796" s="13" t="n">
        <v>38</v>
      </c>
      <c r="I796" s="13" t="n">
        <v>76</v>
      </c>
      <c r="J796" s="13" t="n">
        <v>152</v>
      </c>
      <c r="K796" s="14">
        <f>IF(OR(COUNT(G796:J796)&lt;&gt;4,G796&lt;0,G796&gt;1,H796&gt;I796,I796&gt;J796),"n.a.",ROUND(G796*(H796+4*I796+J796)/6+0.00000001,2))</f>
        <v/>
      </c>
      <c r="L796" s="13" t="n">
        <v>0</v>
      </c>
      <c r="M796" s="14">
        <f>SUMIFS(Maßnahmen!$I$7:$I$126,Maßnahmen!$D$7:$D$126,C796,Maßnahmen!$H$7:$H$126,"&lt;&gt;verworfen")</f>
        <v/>
      </c>
      <c r="N796" s="14">
        <f>IF(ISNUMBER(K796),MAX(0,K796-L796-M796),"n.a.")</f>
        <v/>
      </c>
      <c r="O796" s="14" t="n">
        <v>8.23</v>
      </c>
      <c r="P796" s="14">
        <f>IF(ISNUMBER(K796),K796-O796,"n.a.")</f>
        <v/>
      </c>
    </row>
    <row r="797" ht="32" customHeight="1">
      <c r="C797" s="10" t="inlineStr">
        <is>
          <t>PRJ-40724604-RK-10</t>
        </is>
      </c>
      <c r="D797" s="10" t="inlineStr">
        <is>
          <t>W4102154501</t>
        </is>
      </c>
      <c r="E797" s="11" t="inlineStr">
        <is>
          <t>Terminvorgabe Auftraggeber / Geräteauslastung</t>
        </is>
      </c>
      <c r="F797" s="10" t="inlineStr">
        <is>
          <t>Termin</t>
        </is>
      </c>
      <c r="G797" s="12" t="n">
        <v>0.1</v>
      </c>
      <c r="H797" s="13" t="n">
        <v>61</v>
      </c>
      <c r="I797" s="13" t="n">
        <v>152</v>
      </c>
      <c r="J797" s="13" t="n">
        <v>379</v>
      </c>
      <c r="K797" s="14">
        <f>IF(OR(COUNT(G797:J797)&lt;&gt;4,G797&lt;0,G797&gt;1,H797&gt;I797,I797&gt;J797),"n.a.",ROUND(G797*(H797+4*I797+J797)/6+0.00000001,2))</f>
        <v/>
      </c>
      <c r="L797" s="13" t="n">
        <v>0</v>
      </c>
      <c r="M797" s="14">
        <f>SUMIFS(Maßnahmen!$I$7:$I$126,Maßnahmen!$D$7:$D$126,C797,Maßnahmen!$H$7:$H$126,"&lt;&gt;verworfen")</f>
        <v/>
      </c>
      <c r="N797" s="14">
        <f>IF(ISNUMBER(K797),MAX(0,K797-L797-M797),"n.a.")</f>
        <v/>
      </c>
      <c r="O797" s="14" t="n">
        <v>17.47</v>
      </c>
      <c r="P797" s="14">
        <f>IF(ISNUMBER(K797),K797-O797,"n.a.")</f>
        <v/>
      </c>
    </row>
    <row r="798" ht="32" customHeight="1">
      <c r="C798" s="10" t="inlineStr">
        <is>
          <t>PRJ-40724604-RK-11</t>
        </is>
      </c>
      <c r="D798" s="10" t="inlineStr">
        <is>
          <t>W4102154501</t>
        </is>
      </c>
      <c r="E798" s="11" t="inlineStr">
        <is>
          <t>Witterung / Ablaufstörung</t>
        </is>
      </c>
      <c r="F798" s="10" t="inlineStr">
        <is>
          <t>Termin</t>
        </is>
      </c>
      <c r="G798" s="12" t="n">
        <v>0.25</v>
      </c>
      <c r="H798" s="13" t="n">
        <v>76</v>
      </c>
      <c r="I798" s="13" t="n">
        <v>227</v>
      </c>
      <c r="J798" s="13" t="n">
        <v>455</v>
      </c>
      <c r="K798" s="14">
        <f>IF(OR(COUNT(G798:J798)&lt;&gt;4,G798&lt;0,G798&gt;1,H798&gt;I798,I798&gt;J798),"n.a.",ROUND(G798*(H798+4*I798+J798)/6+0.00000001,2))</f>
        <v/>
      </c>
      <c r="L798" s="13" t="n">
        <v>0</v>
      </c>
      <c r="M798" s="14">
        <f>SUMIFS(Maßnahmen!$I$7:$I$126,Maßnahmen!$D$7:$D$126,C798,Maßnahmen!$H$7:$H$126,"&lt;&gt;verworfen")</f>
        <v/>
      </c>
      <c r="N798" s="14">
        <f>IF(ISNUMBER(K798),MAX(0,K798-L798-M798),"n.a.")</f>
        <v/>
      </c>
      <c r="O798" s="14" t="n">
        <v>59.96</v>
      </c>
      <c r="P798" s="14">
        <f>IF(ISNUMBER(K798),K798-O798,"n.a.")</f>
        <v/>
      </c>
    </row>
    <row r="799" ht="32" customHeight="1">
      <c r="C799" s="10" t="inlineStr">
        <is>
          <t>PRJ-40724604-RK-12</t>
        </is>
      </c>
      <c r="D799" s="10" t="inlineStr">
        <is>
          <t>W4102154501</t>
        </is>
      </c>
      <c r="E799" s="11" t="inlineStr">
        <is>
          <t>Staubemissionen (höchster Aufwand laut Umfrage)</t>
        </is>
      </c>
      <c r="F799" s="10" t="inlineStr">
        <is>
          <t>Emissionen</t>
        </is>
      </c>
      <c r="G799" s="12" t="n">
        <v>0.1</v>
      </c>
      <c r="H799" s="13" t="n">
        <v>227</v>
      </c>
      <c r="I799" s="13" t="n">
        <v>455</v>
      </c>
      <c r="J799" s="13" t="n">
        <v>910</v>
      </c>
      <c r="K799" s="14">
        <f>IF(OR(COUNT(G799:J799)&lt;&gt;4,G799&lt;0,G799&gt;1,H799&gt;I799,I799&gt;J799),"n.a.",ROUND(G799*(H799+4*I799+J799)/6+0.00000001,2))</f>
        <v/>
      </c>
      <c r="L799" s="13" t="n">
        <v>0</v>
      </c>
      <c r="M799" s="14">
        <f>SUMIFS(Maßnahmen!$I$7:$I$126,Maßnahmen!$D$7:$D$126,C799,Maßnahmen!$H$7:$H$126,"&lt;&gt;verworfen")</f>
        <v/>
      </c>
      <c r="N799" s="14">
        <f>IF(ISNUMBER(K799),MAX(0,K799-L799-M799),"n.a.")</f>
        <v/>
      </c>
      <c r="O799" s="14" t="n">
        <v>49.28</v>
      </c>
      <c r="P799" s="14">
        <f>IF(ISNUMBER(K799),K799-O799,"n.a.")</f>
        <v/>
      </c>
    </row>
    <row r="800" ht="32" customHeight="1">
      <c r="C800" s="10" t="inlineStr">
        <is>
          <t>PRJ-40724604-RK-13</t>
        </is>
      </c>
      <c r="D800" s="10" t="inlineStr">
        <is>
          <t>W4102154501</t>
        </is>
      </c>
      <c r="E800" s="11" t="inlineStr">
        <is>
          <t>Lärm- und Erschütterungsauflagen</t>
        </is>
      </c>
      <c r="F800" s="10" t="inlineStr">
        <is>
          <t>Emissionen</t>
        </is>
      </c>
      <c r="G800" s="12" t="n">
        <v>0.15</v>
      </c>
      <c r="H800" s="13" t="n">
        <v>38</v>
      </c>
      <c r="I800" s="13" t="n">
        <v>76</v>
      </c>
      <c r="J800" s="13" t="n">
        <v>152</v>
      </c>
      <c r="K800" s="14">
        <f>IF(OR(COUNT(G800:J800)&lt;&gt;4,G800&lt;0,G800&gt;1,H800&gt;I800,I800&gt;J800),"n.a.",ROUND(G800*(H800+4*I800+J800)/6+0.00000001,2))</f>
        <v/>
      </c>
      <c r="L800" s="13" t="n">
        <v>0</v>
      </c>
      <c r="M800" s="14">
        <f>SUMIFS(Maßnahmen!$I$7:$I$126,Maßnahmen!$D$7:$D$126,C800,Maßnahmen!$H$7:$H$126,"&lt;&gt;verworfen")</f>
        <v/>
      </c>
      <c r="N800" s="14">
        <f>IF(ISNUMBER(K800),MAX(0,K800-L800-M800),"n.a.")</f>
        <v/>
      </c>
      <c r="O800" s="14" t="n">
        <v>12.35</v>
      </c>
      <c r="P800" s="14">
        <f>IF(ISNUMBER(K800),K800-O800,"n.a.")</f>
        <v/>
      </c>
    </row>
    <row r="801" ht="32" customHeight="1">
      <c r="C801" s="10" t="inlineStr">
        <is>
          <t>PRJ-40724604-RK-14</t>
        </is>
      </c>
      <c r="D801" s="10" t="inlineStr">
        <is>
          <t>W4102154501</t>
        </is>
      </c>
      <c r="E801" s="11" t="inlineStr">
        <is>
          <t>Rechtliche Auflagen / Entsorgungsnachweise (Formalismus)</t>
        </is>
      </c>
      <c r="F801" s="10" t="inlineStr">
        <is>
          <t>Genehmigung</t>
        </is>
      </c>
      <c r="G801" s="12" t="n">
        <v>0.4</v>
      </c>
      <c r="H801" s="13" t="n">
        <v>720</v>
      </c>
      <c r="I801" s="13" t="n">
        <v>1402</v>
      </c>
      <c r="J801" s="13" t="n">
        <v>2653</v>
      </c>
      <c r="K801" s="14">
        <f>IF(OR(COUNT(G801:J801)&lt;&gt;4,G801&lt;0,G801&gt;1,H801&gt;I801,I801&gt;J801),"n.a.",ROUND(G801*(H801+4*I801+J801)/6+0.00000001,2))</f>
        <v/>
      </c>
      <c r="L801" s="13" t="n">
        <v>0</v>
      </c>
      <c r="M801" s="14">
        <f>SUMIFS(Maßnahmen!$I$7:$I$126,Maßnahmen!$D$7:$D$126,C801,Maßnahmen!$H$7:$H$126,"&lt;&gt;verworfen")</f>
        <v/>
      </c>
      <c r="N801" s="14">
        <f>IF(ISNUMBER(K801),MAX(0,K801-L801-M801),"n.a.")</f>
        <v/>
      </c>
      <c r="O801" s="14" t="n">
        <v>598.73</v>
      </c>
      <c r="P801" s="14">
        <f>IF(ISNUMBER(K801),K801-O801,"n.a.")</f>
        <v/>
      </c>
    </row>
    <row r="802" ht="32" customHeight="1">
      <c r="C802" s="10" t="inlineStr">
        <is>
          <t>PRJ-52b1cf6f-RK-06</t>
        </is>
      </c>
      <c r="D802" s="10" t="inlineStr">
        <is>
          <t>P4102157445</t>
        </is>
      </c>
      <c r="E802" s="11" t="inlineStr">
        <is>
          <t>Statik / Einsturzsicherung während Abbruch</t>
        </is>
      </c>
      <c r="F802" s="10" t="inlineStr">
        <is>
          <t>Statik</t>
        </is>
      </c>
      <c r="G802" s="12" t="n">
        <v>0.45</v>
      </c>
      <c r="H802" s="13" t="n">
        <v>179</v>
      </c>
      <c r="I802" s="13" t="n">
        <v>319</v>
      </c>
      <c r="J802" s="13" t="n">
        <v>538</v>
      </c>
      <c r="K802" s="14">
        <f>IF(OR(COUNT(G802:J802)&lt;&gt;4,G802&lt;0,G802&gt;1,H802&gt;I802,I802&gt;J802),"n.a.",ROUND(G802*(H802+4*I802+J802)/6+0.00000001,2))</f>
        <v/>
      </c>
      <c r="L802" s="13" t="n">
        <v>0</v>
      </c>
      <c r="M802" s="14">
        <f>SUMIFS(Maßnahmen!$I$7:$I$126,Maßnahmen!$D$7:$D$126,C802,Maßnahmen!$H$7:$H$126,"&lt;&gt;verworfen")</f>
        <v/>
      </c>
      <c r="N802" s="14">
        <f>IF(ISNUMBER(K802),MAX(0,K802-L802-M802),"n.a.")</f>
        <v/>
      </c>
      <c r="O802" s="14" t="n">
        <v>149.48</v>
      </c>
      <c r="P802" s="14">
        <f>IF(ISNUMBER(K802),K802-O802,"n.a.")</f>
        <v/>
      </c>
    </row>
    <row r="803" ht="32" customHeight="1">
      <c r="C803" s="10" t="inlineStr">
        <is>
          <t>PRJ-52b1cf6f-RK-07</t>
        </is>
      </c>
      <c r="D803" s="10" t="inlineStr">
        <is>
          <t>P4102157445</t>
        </is>
      </c>
      <c r="E803" s="11" t="inlineStr">
        <is>
          <t>Unterirdische Tragkonstruktion / Fundamente</t>
        </is>
      </c>
      <c r="F803" s="10" t="inlineStr">
        <is>
          <t>Statik</t>
        </is>
      </c>
      <c r="G803" s="12" t="n">
        <v>0.4</v>
      </c>
      <c r="H803" s="13" t="n">
        <v>55</v>
      </c>
      <c r="I803" s="13" t="n">
        <v>100</v>
      </c>
      <c r="J803" s="13" t="n">
        <v>199</v>
      </c>
      <c r="K803" s="14">
        <f>IF(OR(COUNT(G803:J803)&lt;&gt;4,G803&lt;0,G803&gt;1,H803&gt;I803,I803&gt;J803),"n.a.",ROUND(G803*(H803+4*I803+J803)/6+0.00000001,2))</f>
        <v/>
      </c>
      <c r="L803" s="13" t="n">
        <v>0</v>
      </c>
      <c r="M803" s="14">
        <f>SUMIFS(Maßnahmen!$I$7:$I$126,Maßnahmen!$D$7:$D$126,C803,Maßnahmen!$H$7:$H$126,"&lt;&gt;verworfen")</f>
        <v/>
      </c>
      <c r="N803" s="14">
        <f>IF(ISNUMBER(K803),MAX(0,K803-L803-M803),"n.a.")</f>
        <v/>
      </c>
      <c r="O803" s="14" t="n">
        <v>43.6</v>
      </c>
      <c r="P803" s="14">
        <f>IF(ISNUMBER(K803),K803-O803,"n.a.")</f>
        <v/>
      </c>
    </row>
    <row r="804" ht="32" customHeight="1">
      <c r="C804" s="10" t="inlineStr">
        <is>
          <t>PRJ-52b1cf6f-RK-08</t>
        </is>
      </c>
      <c r="D804" s="10" t="inlineStr">
        <is>
          <t>P4102157445</t>
        </is>
      </c>
      <c r="E804" s="11" t="inlineStr">
        <is>
          <t>Gebäudehöhe &gt;22 m / Longfront-Bagger (+130–150 %)</t>
        </is>
      </c>
      <c r="F804" s="10" t="inlineStr">
        <is>
          <t>Termin</t>
        </is>
      </c>
      <c r="G804" s="12" t="n">
        <v>0.2</v>
      </c>
      <c r="H804" s="13" t="n">
        <v>10</v>
      </c>
      <c r="I804" s="13" t="n">
        <v>30</v>
      </c>
      <c r="J804" s="13" t="n">
        <v>60</v>
      </c>
      <c r="K804" s="14">
        <f>IF(OR(COUNT(G804:J804)&lt;&gt;4,G804&lt;0,G804&gt;1,H804&gt;I804,I804&gt;J804),"n.a.",ROUND(G804*(H804+4*I804+J804)/6+0.00000001,2))</f>
        <v/>
      </c>
      <c r="L804" s="13" t="n">
        <v>0</v>
      </c>
      <c r="M804" s="14">
        <f>SUMIFS(Maßnahmen!$I$7:$I$126,Maßnahmen!$D$7:$D$126,C804,Maßnahmen!$H$7:$H$126,"&lt;&gt;verworfen")</f>
        <v/>
      </c>
      <c r="N804" s="14">
        <f>IF(ISNUMBER(K804),MAX(0,K804-L804-M804),"n.a.")</f>
        <v/>
      </c>
      <c r="O804" s="14" t="n">
        <v>6.33</v>
      </c>
      <c r="P804" s="14">
        <f>IF(ISNUMBER(K804),K804-O804,"n.a.")</f>
        <v/>
      </c>
    </row>
    <row r="805" ht="32" customHeight="1">
      <c r="C805" s="10" t="inlineStr">
        <is>
          <t>PRJ-52b1cf6f-RK-09</t>
        </is>
      </c>
      <c r="D805" s="10" t="inlineStr">
        <is>
          <t>P4102157445</t>
        </is>
      </c>
      <c r="E805" s="11" t="inlineStr">
        <is>
          <t>Beennte Lage / nur Handabbruch möglich</t>
        </is>
      </c>
      <c r="F805" s="10" t="inlineStr">
        <is>
          <t>Termin</t>
        </is>
      </c>
      <c r="G805" s="12" t="n">
        <v>0.15</v>
      </c>
      <c r="H805" s="13" t="n">
        <v>8</v>
      </c>
      <c r="I805" s="13" t="n">
        <v>20</v>
      </c>
      <c r="J805" s="13" t="n">
        <v>50</v>
      </c>
      <c r="K805" s="14">
        <f>IF(OR(COUNT(G805:J805)&lt;&gt;4,G805&lt;0,G805&gt;1,H805&gt;I805,I805&gt;J805),"n.a.",ROUND(G805*(H805+4*I805+J805)/6+0.00000001,2))</f>
        <v/>
      </c>
      <c r="L805" s="13" t="n">
        <v>0</v>
      </c>
      <c r="M805" s="14">
        <f>SUMIFS(Maßnahmen!$I$7:$I$126,Maßnahmen!$D$7:$D$126,C805,Maßnahmen!$H$7:$H$126,"&lt;&gt;verworfen")</f>
        <v/>
      </c>
      <c r="N805" s="14">
        <f>IF(ISNUMBER(K805),MAX(0,K805-L805-M805),"n.a.")</f>
        <v/>
      </c>
      <c r="O805" s="14" t="n">
        <v>3.45</v>
      </c>
      <c r="P805" s="14">
        <f>IF(ISNUMBER(K805),K805-O805,"n.a.")</f>
        <v/>
      </c>
    </row>
    <row r="806" ht="32" customHeight="1">
      <c r="C806" s="10" t="inlineStr">
        <is>
          <t>PRJ-52b1cf6f-RK-10</t>
        </is>
      </c>
      <c r="D806" s="10" t="inlineStr">
        <is>
          <t>P4102157445</t>
        </is>
      </c>
      <c r="E806" s="11" t="inlineStr">
        <is>
          <t>Terminvorgabe Auftraggeber / Geräteauslastung</t>
        </is>
      </c>
      <c r="F806" s="10" t="inlineStr">
        <is>
          <t>Termin</t>
        </is>
      </c>
      <c r="G806" s="12" t="n">
        <v>0.2</v>
      </c>
      <c r="H806" s="13" t="n">
        <v>8</v>
      </c>
      <c r="I806" s="13" t="n">
        <v>20</v>
      </c>
      <c r="J806" s="13" t="n">
        <v>50</v>
      </c>
      <c r="K806" s="14">
        <f>IF(OR(COUNT(G806:J806)&lt;&gt;4,G806&lt;0,G806&gt;1,H806&gt;I806,I806&gt;J806),"n.a.",ROUND(G806*(H806+4*I806+J806)/6+0.00000001,2))</f>
        <v/>
      </c>
      <c r="L806" s="13" t="n">
        <v>0</v>
      </c>
      <c r="M806" s="14">
        <f>SUMIFS(Maßnahmen!$I$7:$I$126,Maßnahmen!$D$7:$D$126,C806,Maßnahmen!$H$7:$H$126,"&lt;&gt;verworfen")</f>
        <v/>
      </c>
      <c r="N806" s="14">
        <f>IF(ISNUMBER(K806),MAX(0,K806-L806-M806),"n.a.")</f>
        <v/>
      </c>
      <c r="O806" s="14" t="n">
        <v>4.6</v>
      </c>
      <c r="P806" s="14">
        <f>IF(ISNUMBER(K806),K806-O806,"n.a.")</f>
        <v/>
      </c>
    </row>
    <row r="807" ht="32" customHeight="1">
      <c r="C807" s="10" t="inlineStr">
        <is>
          <t>PRJ-52b1cf6f-RK-11</t>
        </is>
      </c>
      <c r="D807" s="10" t="inlineStr">
        <is>
          <t>P4102157445</t>
        </is>
      </c>
      <c r="E807" s="11" t="inlineStr">
        <is>
          <t>Witterung / Ablaufstörung</t>
        </is>
      </c>
      <c r="F807" s="10" t="inlineStr">
        <is>
          <t>Termin</t>
        </is>
      </c>
      <c r="G807" s="12" t="n">
        <v>0.15</v>
      </c>
      <c r="H807" s="13" t="n">
        <v>10</v>
      </c>
      <c r="I807" s="13" t="n">
        <v>30</v>
      </c>
      <c r="J807" s="13" t="n">
        <v>60</v>
      </c>
      <c r="K807" s="14">
        <f>IF(OR(COUNT(G807:J807)&lt;&gt;4,G807&lt;0,G807&gt;1,H807&gt;I807,I807&gt;J807),"n.a.",ROUND(G807*(H807+4*I807+J807)/6+0.00000001,2))</f>
        <v/>
      </c>
      <c r="L807" s="13" t="n">
        <v>0</v>
      </c>
      <c r="M807" s="14">
        <f>SUMIFS(Maßnahmen!$I$7:$I$126,Maßnahmen!$D$7:$D$126,C807,Maßnahmen!$H$7:$H$126,"&lt;&gt;verworfen")</f>
        <v/>
      </c>
      <c r="N807" s="14">
        <f>IF(ISNUMBER(K807),MAX(0,K807-L807-M807),"n.a.")</f>
        <v/>
      </c>
      <c r="O807" s="14" t="n">
        <v>4.75</v>
      </c>
      <c r="P807" s="14">
        <f>IF(ISNUMBER(K807),K807-O807,"n.a.")</f>
        <v/>
      </c>
    </row>
    <row r="808" ht="32" customHeight="1">
      <c r="C808" s="10" t="inlineStr">
        <is>
          <t>PRJ-52b1cf6f-RK-12</t>
        </is>
      </c>
      <c r="D808" s="10" t="inlineStr">
        <is>
          <t>P4102157445</t>
        </is>
      </c>
      <c r="E808" s="11" t="inlineStr">
        <is>
          <t>Staubemissionen (höchster Aufwand laut Umfrage)</t>
        </is>
      </c>
      <c r="F808" s="10" t="inlineStr">
        <is>
          <t>Emissionen</t>
        </is>
      </c>
      <c r="G808" s="12" t="n">
        <v>0.38</v>
      </c>
      <c r="H808" s="13" t="n">
        <v>219</v>
      </c>
      <c r="I808" s="13" t="n">
        <v>287</v>
      </c>
      <c r="J808" s="13" t="n">
        <v>498</v>
      </c>
      <c r="K808" s="14">
        <f>IF(OR(COUNT(G808:J808)&lt;&gt;4,G808&lt;0,G808&gt;1,H808&gt;I808,I808&gt;J808),"n.a.",ROUND(G808*(H808+4*I808+J808)/6+0.00000001,2))</f>
        <v/>
      </c>
      <c r="L808" s="13" t="n">
        <v>0</v>
      </c>
      <c r="M808" s="14">
        <f>SUMIFS(Maßnahmen!$I$7:$I$126,Maßnahmen!$D$7:$D$126,C808,Maßnahmen!$H$7:$H$126,"&lt;&gt;verworfen")</f>
        <v/>
      </c>
      <c r="N808" s="14">
        <f>IF(ISNUMBER(K808),MAX(0,K808-L808-M808),"n.a.")</f>
        <v/>
      </c>
      <c r="O808" s="14" t="n">
        <v>118.12</v>
      </c>
      <c r="P808" s="14">
        <f>IF(ISNUMBER(K808),K808-O808,"n.a.")</f>
        <v/>
      </c>
    </row>
    <row r="809" ht="32" customHeight="1">
      <c r="C809" s="10" t="inlineStr">
        <is>
          <t>PRJ-52b1cf6f-RK-13</t>
        </is>
      </c>
      <c r="D809" s="10" t="inlineStr">
        <is>
          <t>P4102157445</t>
        </is>
      </c>
      <c r="E809" s="11" t="inlineStr">
        <is>
          <t>Lärm- und Erschütterungsauflagen</t>
        </is>
      </c>
      <c r="F809" s="10" t="inlineStr">
        <is>
          <t>Emissionen</t>
        </is>
      </c>
      <c r="G809" s="12" t="n">
        <v>0.2</v>
      </c>
      <c r="H809" s="13" t="n">
        <v>20</v>
      </c>
      <c r="I809" s="13" t="n">
        <v>50</v>
      </c>
      <c r="J809" s="13" t="n">
        <v>100</v>
      </c>
      <c r="K809" s="14">
        <f>IF(OR(COUNT(G809:J809)&lt;&gt;4,G809&lt;0,G809&gt;1,H809&gt;I809,I809&gt;J809),"n.a.",ROUND(G809*(H809+4*I809+J809)/6+0.00000001,2))</f>
        <v/>
      </c>
      <c r="L809" s="13" t="n">
        <v>0</v>
      </c>
      <c r="M809" s="14">
        <f>SUMIFS(Maßnahmen!$I$7:$I$126,Maßnahmen!$D$7:$D$126,C809,Maßnahmen!$H$7:$H$126,"&lt;&gt;verworfen")</f>
        <v/>
      </c>
      <c r="N809" s="14">
        <f>IF(ISNUMBER(K809),MAX(0,K809-L809-M809),"n.a.")</f>
        <v/>
      </c>
      <c r="O809" s="14" t="n">
        <v>10.67</v>
      </c>
      <c r="P809" s="14">
        <f>IF(ISNUMBER(K809),K809-O809,"n.a.")</f>
        <v/>
      </c>
    </row>
    <row r="810" ht="32" customHeight="1">
      <c r="C810" s="10" t="inlineStr">
        <is>
          <t>PRJ-52b1cf6f-RK-14</t>
        </is>
      </c>
      <c r="D810" s="10" t="inlineStr">
        <is>
          <t>P4102157445</t>
        </is>
      </c>
      <c r="E810" s="11" t="inlineStr">
        <is>
          <t>Rechtliche Auflagen / Entsorgungsnachweise (Formalismus)</t>
        </is>
      </c>
      <c r="F810" s="10" t="inlineStr">
        <is>
          <t>Genehmigung</t>
        </is>
      </c>
      <c r="G810" s="12" t="n">
        <v>0.12</v>
      </c>
      <c r="H810" s="13" t="n">
        <v>15</v>
      </c>
      <c r="I810" s="13" t="n">
        <v>35</v>
      </c>
      <c r="J810" s="13" t="n">
        <v>70</v>
      </c>
      <c r="K810" s="14">
        <f>IF(OR(COUNT(G810:J810)&lt;&gt;4,G810&lt;0,G810&gt;1,H810&gt;I810,I810&gt;J810),"n.a.",ROUND(G810*(H810+4*I810+J810)/6+0.00000001,2))</f>
        <v/>
      </c>
      <c r="L810" s="13" t="n">
        <v>0</v>
      </c>
      <c r="M810" s="14">
        <f>SUMIFS(Maßnahmen!$I$7:$I$126,Maßnahmen!$D$7:$D$126,C810,Maßnahmen!$H$7:$H$126,"&lt;&gt;verworfen")</f>
        <v/>
      </c>
      <c r="N810" s="14">
        <f>IF(ISNUMBER(K810),MAX(0,K810-L810-M810),"n.a.")</f>
        <v/>
      </c>
      <c r="O810" s="14" t="n">
        <v>4.5</v>
      </c>
      <c r="P810" s="14">
        <f>IF(ISNUMBER(K810),K810-O810,"n.a.")</f>
        <v/>
      </c>
    </row>
    <row r="811" ht="32" customHeight="1">
      <c r="C811" s="10" t="inlineStr">
        <is>
          <t>PRJ-52b1cf6f-RK-15</t>
        </is>
      </c>
      <c r="D811" s="10" t="inlineStr">
        <is>
          <t>P4102157445</t>
        </is>
      </c>
      <c r="E811" s="11" t="inlineStr">
        <is>
          <t>Konjunktur / Sekundärstoffpreise &amp; Gerätemiete</t>
        </is>
      </c>
      <c r="F811" s="10" t="inlineStr">
        <is>
          <t>Markt</t>
        </is>
      </c>
      <c r="G811" s="12" t="n">
        <v>0.12</v>
      </c>
      <c r="H811" s="13" t="n">
        <v>8</v>
      </c>
      <c r="I811" s="13" t="n">
        <v>20</v>
      </c>
      <c r="J811" s="13" t="n">
        <v>50</v>
      </c>
      <c r="K811" s="14">
        <f>IF(OR(COUNT(G811:J811)&lt;&gt;4,G811&lt;0,G811&gt;1,H811&gt;I811,I811&gt;J811),"n.a.",ROUND(G811*(H811+4*I811+J811)/6+0.00000001,2))</f>
        <v/>
      </c>
      <c r="L811" s="13" t="n">
        <v>0</v>
      </c>
      <c r="M811" s="14">
        <f>SUMIFS(Maßnahmen!$I$7:$I$126,Maßnahmen!$D$7:$D$126,C811,Maßnahmen!$H$7:$H$126,"&lt;&gt;verworfen")</f>
        <v/>
      </c>
      <c r="N811" s="14">
        <f>IF(ISNUMBER(K811),MAX(0,K811-L811-M811),"n.a.")</f>
        <v/>
      </c>
      <c r="O811" s="14" t="n">
        <v>2.76</v>
      </c>
      <c r="P811" s="14">
        <f>IF(ISNUMBER(K811),K811-O811,"n.a.")</f>
        <v/>
      </c>
    </row>
    <row r="812" ht="32" customHeight="1">
      <c r="C812" s="10" t="inlineStr">
        <is>
          <t>PRJ-52b1cf55-RK-01</t>
        </is>
      </c>
      <c r="D812" s="10" t="inlineStr">
        <is>
          <t>P4102157450</t>
        </is>
      </c>
      <c r="E812" s="11" t="inlineStr">
        <is>
          <t>Schadstofffund / Schadstoffsanierung (Asbest, PAK, PCB, PCP)</t>
        </is>
      </c>
      <c r="F812" s="10" t="inlineStr">
        <is>
          <t>Schadstoffe</t>
        </is>
      </c>
      <c r="G812" s="12" t="n">
        <v>0.5649999999999999</v>
      </c>
      <c r="H812" s="13" t="n">
        <v>75</v>
      </c>
      <c r="I812" s="13" t="n">
        <v>149</v>
      </c>
      <c r="J812" s="13" t="n">
        <v>277</v>
      </c>
      <c r="K812" s="14">
        <f>IF(OR(COUNT(G812:J812)&lt;&gt;4,G812&lt;0,G812&gt;1,H812&gt;I812,I812&gt;J812),"n.a.",ROUND(G812*(H812+4*I812+J812)/6+0.00000001,2))</f>
        <v/>
      </c>
      <c r="L812" s="13" t="n">
        <v>0</v>
      </c>
      <c r="M812" s="14">
        <f>SUMIFS(Maßnahmen!$I$7:$I$126,Maßnahmen!$D$7:$D$126,C812,Maßnahmen!$H$7:$H$126,"&lt;&gt;verworfen")</f>
        <v/>
      </c>
      <c r="N812" s="14">
        <f>IF(ISNUMBER(K812),MAX(0,K812-L812-M812),"n.a.")</f>
        <v/>
      </c>
      <c r="O812" s="14" t="n">
        <v>89.27</v>
      </c>
      <c r="P812" s="14">
        <f>IF(ISNUMBER(K812),K812-O812,"n.a.")</f>
        <v/>
      </c>
    </row>
    <row r="813" ht="32" customHeight="1">
      <c r="C813" s="10" t="inlineStr">
        <is>
          <t>PRJ-52b1cf55-RK-02</t>
        </is>
      </c>
      <c r="D813" s="10" t="inlineStr">
        <is>
          <t>P4102157450</t>
        </is>
      </c>
      <c r="E813" s="11" t="inlineStr">
        <is>
          <t>Arbeitsschutz kontaminierte Bereiche (TRGS 524)</t>
        </is>
      </c>
      <c r="F813" s="10" t="inlineStr">
        <is>
          <t>Schadstoffe</t>
        </is>
      </c>
      <c r="G813" s="12" t="n">
        <v>0.386</v>
      </c>
      <c r="H813" s="13" t="n">
        <v>20</v>
      </c>
      <c r="I813" s="13" t="n">
        <v>50</v>
      </c>
      <c r="J813" s="13" t="n">
        <v>100</v>
      </c>
      <c r="K813" s="14">
        <f>IF(OR(COUNT(G813:J813)&lt;&gt;4,G813&lt;0,G813&gt;1,H813&gt;I813,I813&gt;J813),"n.a.",ROUND(G813*(H813+4*I813+J813)/6+0.00000001,2))</f>
        <v/>
      </c>
      <c r="L813" s="13" t="n">
        <v>0</v>
      </c>
      <c r="M813" s="14">
        <f>SUMIFS(Maßnahmen!$I$7:$I$126,Maßnahmen!$D$7:$D$126,C813,Maßnahmen!$H$7:$H$126,"&lt;&gt;verworfen")</f>
        <v/>
      </c>
      <c r="N813" s="14">
        <f>IF(ISNUMBER(K813),MAX(0,K813-L813-M813),"n.a.")</f>
        <v/>
      </c>
      <c r="O813" s="14" t="n">
        <v>20.59</v>
      </c>
      <c r="P813" s="14">
        <f>IF(ISNUMBER(K813),K813-O813,"n.a.")</f>
        <v/>
      </c>
    </row>
    <row r="814" ht="32" customHeight="1">
      <c r="C814" s="10" t="inlineStr">
        <is>
          <t>PRJ-52b1cf55-RK-03</t>
        </is>
      </c>
      <c r="D814" s="10" t="inlineStr">
        <is>
          <t>P4102157450</t>
        </is>
      </c>
      <c r="E814" s="11" t="inlineStr">
        <is>
          <t>Entsorgungs-Mehrkosten / Entsorgungswege</t>
        </is>
      </c>
      <c r="F814" s="10" t="inlineStr">
        <is>
          <t>Entsorgung</t>
        </is>
      </c>
      <c r="G814" s="12" t="n">
        <v>0.55</v>
      </c>
      <c r="H814" s="13" t="n">
        <v>217</v>
      </c>
      <c r="I814" s="13" t="n">
        <v>395</v>
      </c>
      <c r="J814" s="13" t="n">
        <v>643</v>
      </c>
      <c r="K814" s="14">
        <f>IF(OR(COUNT(G814:J814)&lt;&gt;4,G814&lt;0,G814&gt;1,H814&gt;I814,I814&gt;J814),"n.a.",ROUND(G814*(H814+4*I814+J814)/6+0.00000001,2))</f>
        <v/>
      </c>
      <c r="L814" s="13" t="n">
        <v>0</v>
      </c>
      <c r="M814" s="14">
        <f>SUMIFS(Maßnahmen!$I$7:$I$126,Maßnahmen!$D$7:$D$126,C814,Maßnahmen!$H$7:$H$126,"&lt;&gt;verworfen")</f>
        <v/>
      </c>
      <c r="N814" s="14">
        <f>IF(ISNUMBER(K814),MAX(0,K814-L814-M814),"n.a.")</f>
        <v/>
      </c>
      <c r="O814" s="14" t="n">
        <v>223.67</v>
      </c>
      <c r="P814" s="14">
        <f>IF(ISNUMBER(K814),K814-O814,"n.a.")</f>
        <v/>
      </c>
    </row>
    <row r="815" ht="32" customHeight="1">
      <c r="C815" s="10" t="inlineStr">
        <is>
          <t>PRJ-52b1cf55-RK-04</t>
        </is>
      </c>
      <c r="D815" s="10" t="inlineStr">
        <is>
          <t>P4102157450</t>
        </is>
      </c>
      <c r="E815" s="11" t="inlineStr">
        <is>
          <t>Baustofftrennung / Aufbereitung nicht wie geplant</t>
        </is>
      </c>
      <c r="F815" s="10" t="inlineStr">
        <is>
          <t>Entsorgung</t>
        </is>
      </c>
      <c r="G815" s="12" t="n">
        <v>0.1</v>
      </c>
      <c r="H815" s="13" t="n">
        <v>20</v>
      </c>
      <c r="I815" s="13" t="n">
        <v>50</v>
      </c>
      <c r="J815" s="13" t="n">
        <v>100</v>
      </c>
      <c r="K815" s="14">
        <f>IF(OR(COUNT(G815:J815)&lt;&gt;4,G815&lt;0,G815&gt;1,H815&gt;I815,I815&gt;J815),"n.a.",ROUND(G815*(H815+4*I815+J815)/6+0.00000001,2))</f>
        <v/>
      </c>
      <c r="L815" s="13" t="n">
        <v>0</v>
      </c>
      <c r="M815" s="14">
        <f>SUMIFS(Maßnahmen!$I$7:$I$126,Maßnahmen!$D$7:$D$126,C815,Maßnahmen!$H$7:$H$126,"&lt;&gt;verworfen")</f>
        <v/>
      </c>
      <c r="N815" s="14">
        <f>IF(ISNUMBER(K815),MAX(0,K815-L815-M815),"n.a.")</f>
        <v/>
      </c>
      <c r="O815" s="14" t="n">
        <v>5.33</v>
      </c>
      <c r="P815" s="14">
        <f>IF(ISNUMBER(K815),K815-O815,"n.a.")</f>
        <v/>
      </c>
    </row>
    <row r="816" ht="32" customHeight="1">
      <c r="C816" s="10" t="inlineStr">
        <is>
          <t>PRJ-52b1cf55-RK-05</t>
        </is>
      </c>
      <c r="D816" s="10" t="inlineStr">
        <is>
          <t>P4102157450</t>
        </is>
      </c>
      <c r="E816" s="11" t="inlineStr">
        <is>
          <t>Unbekannte Bauwerkskonstruktion / fehlende Pläne</t>
        </is>
      </c>
      <c r="F816" s="10" t="inlineStr">
        <is>
          <t>Statik</t>
        </is>
      </c>
      <c r="G816" s="12" t="n">
        <v>0.12</v>
      </c>
      <c r="H816" s="13" t="n">
        <v>40</v>
      </c>
      <c r="I816" s="13" t="n">
        <v>80</v>
      </c>
      <c r="J816" s="13" t="n">
        <v>150</v>
      </c>
      <c r="K816" s="14">
        <f>IF(OR(COUNT(G816:J816)&lt;&gt;4,G816&lt;0,G816&gt;1,H816&gt;I816,I816&gt;J816),"n.a.",ROUND(G816*(H816+4*I816+J816)/6+0.00000001,2))</f>
        <v/>
      </c>
      <c r="L816" s="13" t="n">
        <v>0</v>
      </c>
      <c r="M816" s="14">
        <f>SUMIFS(Maßnahmen!$I$7:$I$126,Maßnahmen!$D$7:$D$126,C816,Maßnahmen!$H$7:$H$126,"&lt;&gt;verworfen")</f>
        <v/>
      </c>
      <c r="N816" s="14">
        <f>IF(ISNUMBER(K816),MAX(0,K816-L816-M816),"n.a.")</f>
        <v/>
      </c>
      <c r="O816" s="14" t="n">
        <v>10.2</v>
      </c>
      <c r="P816" s="14">
        <f>IF(ISNUMBER(K816),K816-O816,"n.a.")</f>
        <v/>
      </c>
    </row>
    <row r="817" ht="32" customHeight="1">
      <c r="C817" s="10" t="inlineStr">
        <is>
          <t>PRJ-52b1cf55-RK-06</t>
        </is>
      </c>
      <c r="D817" s="10" t="inlineStr">
        <is>
          <t>P4102157450</t>
        </is>
      </c>
      <c r="E817" s="11" t="inlineStr">
        <is>
          <t>Statik / Einsturzsicherung während Abbruch</t>
        </is>
      </c>
      <c r="F817" s="10" t="inlineStr">
        <is>
          <t>Statik</t>
        </is>
      </c>
      <c r="G817" s="12" t="n">
        <v>0.45</v>
      </c>
      <c r="H817" s="13" t="n">
        <v>178</v>
      </c>
      <c r="I817" s="13" t="n">
        <v>317</v>
      </c>
      <c r="J817" s="13" t="n">
        <v>535</v>
      </c>
      <c r="K817" s="14">
        <f>IF(OR(COUNT(G817:J817)&lt;&gt;4,G817&lt;0,G817&gt;1,H817&gt;I817,I817&gt;J817),"n.a.",ROUND(G817*(H817+4*I817+J817)/6+0.00000001,2))</f>
        <v/>
      </c>
      <c r="L817" s="13" t="n">
        <v>0</v>
      </c>
      <c r="M817" s="14">
        <f>SUMIFS(Maßnahmen!$I$7:$I$126,Maßnahmen!$D$7:$D$126,C817,Maßnahmen!$H$7:$H$126,"&lt;&gt;verworfen")</f>
        <v/>
      </c>
      <c r="N817" s="14">
        <f>IF(ISNUMBER(K817),MAX(0,K817-L817-M817),"n.a.")</f>
        <v/>
      </c>
      <c r="O817" s="14" t="n">
        <v>148.58</v>
      </c>
      <c r="P817" s="14">
        <f>IF(ISNUMBER(K817),K817-O817,"n.a.")</f>
        <v/>
      </c>
    </row>
    <row r="818" ht="32" customHeight="1">
      <c r="C818" s="10" t="inlineStr">
        <is>
          <t>PRJ-52b1cf55-RK-07</t>
        </is>
      </c>
      <c r="D818" s="10" t="inlineStr">
        <is>
          <t>P4102157450</t>
        </is>
      </c>
      <c r="E818" s="11" t="inlineStr">
        <is>
          <t>Unterirdische Tragkonstruktion / Fundamente</t>
        </is>
      </c>
      <c r="F818" s="10" t="inlineStr">
        <is>
          <t>Statik</t>
        </is>
      </c>
      <c r="G818" s="12" t="n">
        <v>0.4</v>
      </c>
      <c r="H818" s="13" t="n">
        <v>54</v>
      </c>
      <c r="I818" s="13" t="n">
        <v>99</v>
      </c>
      <c r="J818" s="13" t="n">
        <v>198</v>
      </c>
      <c r="K818" s="14">
        <f>IF(OR(COUNT(G818:J818)&lt;&gt;4,G818&lt;0,G818&gt;1,H818&gt;I818,I818&gt;J818),"n.a.",ROUND(G818*(H818+4*I818+J818)/6+0.00000001,2))</f>
        <v/>
      </c>
      <c r="L818" s="13" t="n">
        <v>0</v>
      </c>
      <c r="M818" s="14">
        <f>SUMIFS(Maßnahmen!$I$7:$I$126,Maßnahmen!$D$7:$D$126,C818,Maßnahmen!$H$7:$H$126,"&lt;&gt;verworfen")</f>
        <v/>
      </c>
      <c r="N818" s="14">
        <f>IF(ISNUMBER(K818),MAX(0,K818-L818-M818),"n.a.")</f>
        <v/>
      </c>
      <c r="O818" s="14" t="n">
        <v>43.2</v>
      </c>
      <c r="P818" s="14">
        <f>IF(ISNUMBER(K818),K818-O818,"n.a.")</f>
        <v/>
      </c>
    </row>
    <row r="819" ht="32" customHeight="1">
      <c r="C819" s="10" t="inlineStr">
        <is>
          <t>PRJ-52b1cf55-RK-08</t>
        </is>
      </c>
      <c r="D819" s="10" t="inlineStr">
        <is>
          <t>P4102157450</t>
        </is>
      </c>
      <c r="E819" s="11" t="inlineStr">
        <is>
          <t>Gebäudehöhe &gt;22 m / Longfront-Bagger (+130–150 %)</t>
        </is>
      </c>
      <c r="F819" s="10" t="inlineStr">
        <is>
          <t>Termin</t>
        </is>
      </c>
      <c r="G819" s="12" t="n">
        <v>0.504</v>
      </c>
      <c r="H819" s="13" t="n">
        <v>71</v>
      </c>
      <c r="I819" s="13" t="n">
        <v>144</v>
      </c>
      <c r="J819" s="13" t="n">
        <v>273</v>
      </c>
      <c r="K819" s="14">
        <f>IF(OR(COUNT(G819:J819)&lt;&gt;4,G819&lt;0,G819&gt;1,H819&gt;I819,I819&gt;J819),"n.a.",ROUND(G819*(H819+4*I819+J819)/6+0.00000001,2))</f>
        <v/>
      </c>
      <c r="L819" s="13" t="n">
        <v>0</v>
      </c>
      <c r="M819" s="14">
        <f>SUMIFS(Maßnahmen!$I$7:$I$126,Maßnahmen!$D$7:$D$126,C819,Maßnahmen!$H$7:$H$126,"&lt;&gt;verworfen")</f>
        <v/>
      </c>
      <c r="N819" s="14">
        <f>IF(ISNUMBER(K819),MAX(0,K819-L819-M819),"n.a.")</f>
        <v/>
      </c>
      <c r="O819" s="14" t="n">
        <v>77.28</v>
      </c>
      <c r="P819" s="14">
        <f>IF(ISNUMBER(K819),K819-O819,"n.a.")</f>
        <v/>
      </c>
    </row>
    <row r="820" ht="32" customHeight="1">
      <c r="C820" s="10" t="inlineStr">
        <is>
          <t>PRJ-52b1cf55-RK-09</t>
        </is>
      </c>
      <c r="D820" s="10" t="inlineStr">
        <is>
          <t>P4102157450</t>
        </is>
      </c>
      <c r="E820" s="11" t="inlineStr">
        <is>
          <t>Beennte Lage / nur Handabbruch möglich</t>
        </is>
      </c>
      <c r="F820" s="10" t="inlineStr">
        <is>
          <t>Termin</t>
        </is>
      </c>
      <c r="G820" s="12" t="n">
        <v>0.15</v>
      </c>
      <c r="H820" s="13" t="n">
        <v>8</v>
      </c>
      <c r="I820" s="13" t="n">
        <v>20</v>
      </c>
      <c r="J820" s="13" t="n">
        <v>50</v>
      </c>
      <c r="K820" s="14">
        <f>IF(OR(COUNT(G820:J820)&lt;&gt;4,G820&lt;0,G820&gt;1,H820&gt;I820,I820&gt;J820),"n.a.",ROUND(G820*(H820+4*I820+J820)/6+0.00000001,2))</f>
        <v/>
      </c>
      <c r="L820" s="13" t="n">
        <v>0</v>
      </c>
      <c r="M820" s="14">
        <f>SUMIFS(Maßnahmen!$I$7:$I$126,Maßnahmen!$D$7:$D$126,C820,Maßnahmen!$H$7:$H$126,"&lt;&gt;verworfen")</f>
        <v/>
      </c>
      <c r="N820" s="14">
        <f>IF(ISNUMBER(K820),MAX(0,K820-L820-M820),"n.a.")</f>
        <v/>
      </c>
      <c r="O820" s="14" t="n">
        <v>3.45</v>
      </c>
      <c r="P820" s="14">
        <f>IF(ISNUMBER(K820),K820-O820,"n.a.")</f>
        <v/>
      </c>
    </row>
    <row r="821" ht="32" customHeight="1">
      <c r="C821" s="10" t="inlineStr">
        <is>
          <t>PRJ-52b1cf55-RK-10</t>
        </is>
      </c>
      <c r="D821" s="10" t="inlineStr">
        <is>
          <t>P4102157450</t>
        </is>
      </c>
      <c r="E821" s="11" t="inlineStr">
        <is>
          <t>Terminvorgabe Auftraggeber / Geräteauslastung</t>
        </is>
      </c>
      <c r="F821" s="10" t="inlineStr">
        <is>
          <t>Termin</t>
        </is>
      </c>
      <c r="G821" s="12" t="n">
        <v>0.2</v>
      </c>
      <c r="H821" s="13" t="n">
        <v>8</v>
      </c>
      <c r="I821" s="13" t="n">
        <v>20</v>
      </c>
      <c r="J821" s="13" t="n">
        <v>50</v>
      </c>
      <c r="K821" s="14">
        <f>IF(OR(COUNT(G821:J821)&lt;&gt;4,G821&lt;0,G821&gt;1,H821&gt;I821,I821&gt;J821),"n.a.",ROUND(G821*(H821+4*I821+J821)/6+0.00000001,2))</f>
        <v/>
      </c>
      <c r="L821" s="13" t="n">
        <v>0</v>
      </c>
      <c r="M821" s="14">
        <f>SUMIFS(Maßnahmen!$I$7:$I$126,Maßnahmen!$D$7:$D$126,C821,Maßnahmen!$H$7:$H$126,"&lt;&gt;verworfen")</f>
        <v/>
      </c>
      <c r="N821" s="14">
        <f>IF(ISNUMBER(K821),MAX(0,K821-L821-M821),"n.a.")</f>
        <v/>
      </c>
      <c r="O821" s="14" t="n">
        <v>4.6</v>
      </c>
      <c r="P821" s="14">
        <f>IF(ISNUMBER(K821),K821-O821,"n.a.")</f>
        <v/>
      </c>
    </row>
    <row r="822" ht="32" customHeight="1">
      <c r="C822" s="10" t="inlineStr">
        <is>
          <t>PRJ-52b1cf55-RK-11</t>
        </is>
      </c>
      <c r="D822" s="10" t="inlineStr">
        <is>
          <t>P4102157450</t>
        </is>
      </c>
      <c r="E822" s="11" t="inlineStr">
        <is>
          <t>Witterung / Ablaufstörung</t>
        </is>
      </c>
      <c r="F822" s="10" t="inlineStr">
        <is>
          <t>Termin</t>
        </is>
      </c>
      <c r="G822" s="12" t="n">
        <v>0.25</v>
      </c>
      <c r="H822" s="13" t="n">
        <v>10</v>
      </c>
      <c r="I822" s="13" t="n">
        <v>30</v>
      </c>
      <c r="J822" s="13" t="n">
        <v>60</v>
      </c>
      <c r="K822" s="14">
        <f>IF(OR(COUNT(G822:J822)&lt;&gt;4,G822&lt;0,G822&gt;1,H822&gt;I822,I822&gt;J822),"n.a.",ROUND(G822*(H822+4*I822+J822)/6+0.00000001,2))</f>
        <v/>
      </c>
      <c r="L822" s="13" t="n">
        <v>0</v>
      </c>
      <c r="M822" s="14">
        <f>SUMIFS(Maßnahmen!$I$7:$I$126,Maßnahmen!$D$7:$D$126,C822,Maßnahmen!$H$7:$H$126,"&lt;&gt;verworfen")</f>
        <v/>
      </c>
      <c r="N822" s="14">
        <f>IF(ISNUMBER(K822),MAX(0,K822-L822-M822),"n.a.")</f>
        <v/>
      </c>
      <c r="O822" s="14" t="n">
        <v>7.92</v>
      </c>
      <c r="P822" s="14">
        <f>IF(ISNUMBER(K822),K822-O822,"n.a.")</f>
        <v/>
      </c>
    </row>
    <row r="823" ht="32" customHeight="1">
      <c r="C823" s="10" t="inlineStr">
        <is>
          <t>PRJ-52b1cf55-RK-12</t>
        </is>
      </c>
      <c r="D823" s="10" t="inlineStr">
        <is>
          <t>P4102157450</t>
        </is>
      </c>
      <c r="E823" s="11" t="inlineStr">
        <is>
          <t>Staubemissionen (höchster Aufwand laut Umfrage)</t>
        </is>
      </c>
      <c r="F823" s="10" t="inlineStr">
        <is>
          <t>Emissionen</t>
        </is>
      </c>
      <c r="G823" s="12" t="n">
        <v>0.1</v>
      </c>
      <c r="H823" s="13" t="n">
        <v>30</v>
      </c>
      <c r="I823" s="13" t="n">
        <v>60</v>
      </c>
      <c r="J823" s="13" t="n">
        <v>120</v>
      </c>
      <c r="K823" s="14">
        <f>IF(OR(COUNT(G823:J823)&lt;&gt;4,G823&lt;0,G823&gt;1,H823&gt;I823,I823&gt;J823),"n.a.",ROUND(G823*(H823+4*I823+J823)/6+0.00000001,2))</f>
        <v/>
      </c>
      <c r="L823" s="13" t="n">
        <v>0</v>
      </c>
      <c r="M823" s="14">
        <f>SUMIFS(Maßnahmen!$I$7:$I$126,Maßnahmen!$D$7:$D$126,C823,Maßnahmen!$H$7:$H$126,"&lt;&gt;verworfen")</f>
        <v/>
      </c>
      <c r="N823" s="14">
        <f>IF(ISNUMBER(K823),MAX(0,K823-L823-M823),"n.a.")</f>
        <v/>
      </c>
      <c r="O823" s="14" t="n">
        <v>6.5</v>
      </c>
      <c r="P823" s="14">
        <f>IF(ISNUMBER(K823),K823-O823,"n.a.")</f>
        <v/>
      </c>
    </row>
    <row r="824" ht="32" customHeight="1">
      <c r="C824" s="10" t="inlineStr">
        <is>
          <t>PRJ-52b1cf55-RK-13</t>
        </is>
      </c>
      <c r="D824" s="10" t="inlineStr">
        <is>
          <t>P4102157450</t>
        </is>
      </c>
      <c r="E824" s="11" t="inlineStr">
        <is>
          <t>Lärm- und Erschütterungsauflagen</t>
        </is>
      </c>
      <c r="F824" s="10" t="inlineStr">
        <is>
          <t>Emissionen</t>
        </is>
      </c>
      <c r="G824" s="12" t="n">
        <v>0.2</v>
      </c>
      <c r="H824" s="13" t="n">
        <v>20</v>
      </c>
      <c r="I824" s="13" t="n">
        <v>50</v>
      </c>
      <c r="J824" s="13" t="n">
        <v>100</v>
      </c>
      <c r="K824" s="14">
        <f>IF(OR(COUNT(G824:J824)&lt;&gt;4,G824&lt;0,G824&gt;1,H824&gt;I824,I824&gt;J824),"n.a.",ROUND(G824*(H824+4*I824+J824)/6+0.00000001,2))</f>
        <v/>
      </c>
      <c r="L824" s="13" t="n">
        <v>0</v>
      </c>
      <c r="M824" s="14">
        <f>SUMIFS(Maßnahmen!$I$7:$I$126,Maßnahmen!$D$7:$D$126,C824,Maßnahmen!$H$7:$H$126,"&lt;&gt;verworfen")</f>
        <v/>
      </c>
      <c r="N824" s="14">
        <f>IF(ISNUMBER(K824),MAX(0,K824-L824-M824),"n.a.")</f>
        <v/>
      </c>
      <c r="O824" s="14" t="n">
        <v>10.67</v>
      </c>
      <c r="P824" s="14">
        <f>IF(ISNUMBER(K824),K824-O824,"n.a.")</f>
        <v/>
      </c>
    </row>
    <row r="825" ht="32" customHeight="1">
      <c r="C825" s="10" t="inlineStr">
        <is>
          <t>PRJ-52b1cf55-RK-14</t>
        </is>
      </c>
      <c r="D825" s="10" t="inlineStr">
        <is>
          <t>P4102157450</t>
        </is>
      </c>
      <c r="E825" s="11" t="inlineStr">
        <is>
          <t>Rechtliche Auflagen / Entsorgungsnachweise (Formalismus)</t>
        </is>
      </c>
      <c r="F825" s="10" t="inlineStr">
        <is>
          <t>Genehmigung</t>
        </is>
      </c>
      <c r="G825" s="12" t="n">
        <v>0.386</v>
      </c>
      <c r="H825" s="13" t="n">
        <v>76</v>
      </c>
      <c r="I825" s="13" t="n">
        <v>149</v>
      </c>
      <c r="J825" s="13" t="n">
        <v>283</v>
      </c>
      <c r="K825" s="14">
        <f>IF(OR(COUNT(G825:J825)&lt;&gt;4,G825&lt;0,G825&gt;1,H825&gt;I825,I825&gt;J825),"n.a.",ROUND(G825*(H825+4*I825+J825)/6+0.00000001,2))</f>
        <v/>
      </c>
      <c r="L825" s="13" t="n">
        <v>0</v>
      </c>
      <c r="M825" s="14">
        <f>SUMIFS(Maßnahmen!$I$7:$I$126,Maßnahmen!$D$7:$D$126,C825,Maßnahmen!$H$7:$H$126,"&lt;&gt;verworfen")</f>
        <v/>
      </c>
      <c r="N825" s="14">
        <f>IF(ISNUMBER(K825),MAX(0,K825-L825-M825),"n.a.")</f>
        <v/>
      </c>
      <c r="O825" s="14" t="n">
        <v>61.44</v>
      </c>
      <c r="P825" s="14">
        <f>IF(ISNUMBER(K825),K825-O825,"n.a.")</f>
        <v/>
      </c>
    </row>
    <row r="826" ht="32" customHeight="1">
      <c r="C826" s="10" t="inlineStr">
        <is>
          <t>PRJ-52b1cf55-RK-15</t>
        </is>
      </c>
      <c r="D826" s="10" t="inlineStr">
        <is>
          <t>P4102157450</t>
        </is>
      </c>
      <c r="E826" s="11" t="inlineStr">
        <is>
          <t>Konjunktur / Sekundärstoffpreise &amp; Gerätemiete</t>
        </is>
      </c>
      <c r="F826" s="10" t="inlineStr">
        <is>
          <t>Markt</t>
        </is>
      </c>
      <c r="G826" s="12" t="n">
        <v>0.12</v>
      </c>
      <c r="H826" s="13" t="n">
        <v>8</v>
      </c>
      <c r="I826" s="13" t="n">
        <v>20</v>
      </c>
      <c r="J826" s="13" t="n">
        <v>50</v>
      </c>
      <c r="K826" s="14">
        <f>IF(OR(COUNT(G826:J826)&lt;&gt;4,G826&lt;0,G826&gt;1,H826&gt;I826,I826&gt;J826),"n.a.",ROUND(G826*(H826+4*I826+J826)/6+0.00000001,2))</f>
        <v/>
      </c>
      <c r="L826" s="13" t="n">
        <v>0</v>
      </c>
      <c r="M826" s="14">
        <f>SUMIFS(Maßnahmen!$I$7:$I$126,Maßnahmen!$D$7:$D$126,C826,Maßnahmen!$H$7:$H$126,"&lt;&gt;verworfen")</f>
        <v/>
      </c>
      <c r="N826" s="14">
        <f>IF(ISNUMBER(K826),MAX(0,K826-L826-M826),"n.a.")</f>
        <v/>
      </c>
      <c r="O826" s="14" t="n">
        <v>2.76</v>
      </c>
      <c r="P826" s="14">
        <f>IF(ISNUMBER(K826),K826-O826,"n.a.")</f>
        <v/>
      </c>
    </row>
    <row r="827" ht="32" customHeight="1">
      <c r="C827" s="10" t="inlineStr">
        <is>
          <t>PRJ-52b1cf2d-RK-01</t>
        </is>
      </c>
      <c r="D827" s="10" t="inlineStr">
        <is>
          <t>P4102157469</t>
        </is>
      </c>
      <c r="E827" s="11" t="inlineStr">
        <is>
          <t>Schadstofffund / Schadstoffsanierung (Asbest, PAK, PCB, PCP)</t>
        </is>
      </c>
      <c r="F827" s="10" t="inlineStr">
        <is>
          <t>Schadstoffe</t>
        </is>
      </c>
      <c r="G827" s="12" t="n">
        <v>0.1</v>
      </c>
      <c r="H827" s="13" t="n">
        <v>43</v>
      </c>
      <c r="I827" s="13" t="n">
        <v>109</v>
      </c>
      <c r="J827" s="13" t="n">
        <v>217</v>
      </c>
      <c r="K827" s="14">
        <f>IF(OR(COUNT(G827:J827)&lt;&gt;4,G827&lt;0,G827&gt;1,H827&gt;I827,I827&gt;J827),"n.a.",ROUND(G827*(H827+4*I827+J827)/6+0.00000001,2))</f>
        <v/>
      </c>
      <c r="L827" s="13" t="n">
        <v>0</v>
      </c>
      <c r="M827" s="14">
        <f>SUMIFS(Maßnahmen!$I$7:$I$126,Maßnahmen!$D$7:$D$126,C827,Maßnahmen!$H$7:$H$126,"&lt;&gt;verworfen")</f>
        <v/>
      </c>
      <c r="N827" s="14">
        <f>IF(ISNUMBER(K827),MAX(0,K827-L827-M827),"n.a.")</f>
        <v/>
      </c>
      <c r="O827" s="14" t="n">
        <v>11.6</v>
      </c>
      <c r="P827" s="14">
        <f>IF(ISNUMBER(K827),K827-O827,"n.a.")</f>
        <v/>
      </c>
    </row>
    <row r="828" ht="32" customHeight="1">
      <c r="C828" s="10" t="inlineStr">
        <is>
          <t>PRJ-52b1cf2d-RK-02</t>
        </is>
      </c>
      <c r="D828" s="10" t="inlineStr">
        <is>
          <t>P4102157469</t>
        </is>
      </c>
      <c r="E828" s="11" t="inlineStr">
        <is>
          <t>Arbeitsschutz kontaminierte Bereiche (TRGS 524)</t>
        </is>
      </c>
      <c r="F828" s="10" t="inlineStr">
        <is>
          <t>Schadstoffe</t>
        </is>
      </c>
      <c r="G828" s="12" t="n">
        <v>0.1</v>
      </c>
      <c r="H828" s="13" t="n">
        <v>11</v>
      </c>
      <c r="I828" s="13" t="n">
        <v>22</v>
      </c>
      <c r="J828" s="13" t="n">
        <v>43</v>
      </c>
      <c r="K828" s="14">
        <f>IF(OR(COUNT(G828:J828)&lt;&gt;4,G828&lt;0,G828&gt;1,H828&gt;I828,I828&gt;J828),"n.a.",ROUND(G828*(H828+4*I828+J828)/6+0.00000001,2))</f>
        <v/>
      </c>
      <c r="L828" s="13" t="n">
        <v>0</v>
      </c>
      <c r="M828" s="14">
        <f>SUMIFS(Maßnahmen!$I$7:$I$126,Maßnahmen!$D$7:$D$126,C828,Maßnahmen!$H$7:$H$126,"&lt;&gt;verworfen")</f>
        <v/>
      </c>
      <c r="N828" s="14">
        <f>IF(ISNUMBER(K828),MAX(0,K828-L828-M828),"n.a.")</f>
        <v/>
      </c>
      <c r="O828" s="14" t="n">
        <v>2.37</v>
      </c>
      <c r="P828" s="14">
        <f>IF(ISNUMBER(K828),K828-O828,"n.a.")</f>
        <v/>
      </c>
    </row>
    <row r="829" ht="32" customHeight="1">
      <c r="C829" s="10" t="inlineStr">
        <is>
          <t>PRJ-52b1cf2d-RK-03</t>
        </is>
      </c>
      <c r="D829" s="10" t="inlineStr">
        <is>
          <t>P4102157469</t>
        </is>
      </c>
      <c r="E829" s="11" t="inlineStr">
        <is>
          <t>Entsorgungs-Mehrkosten / Entsorgungswege</t>
        </is>
      </c>
      <c r="F829" s="10" t="inlineStr">
        <is>
          <t>Entsorgung</t>
        </is>
      </c>
      <c r="G829" s="12" t="n">
        <v>0.27</v>
      </c>
      <c r="H829" s="13" t="n">
        <v>43</v>
      </c>
      <c r="I829" s="13" t="n">
        <v>109</v>
      </c>
      <c r="J829" s="13" t="n">
        <v>217</v>
      </c>
      <c r="K829" s="14">
        <f>IF(OR(COUNT(G829:J829)&lt;&gt;4,G829&lt;0,G829&gt;1,H829&gt;I829,I829&gt;J829),"n.a.",ROUND(G829*(H829+4*I829+J829)/6+0.00000001,2))</f>
        <v/>
      </c>
      <c r="L829" s="13" t="n">
        <v>0</v>
      </c>
      <c r="M829" s="14">
        <f>SUMIFS(Maßnahmen!$I$7:$I$126,Maßnahmen!$D$7:$D$126,C829,Maßnahmen!$H$7:$H$126,"&lt;&gt;verworfen")</f>
        <v/>
      </c>
      <c r="N829" s="14">
        <f>IF(ISNUMBER(K829),MAX(0,K829-L829-M829),"n.a.")</f>
        <v/>
      </c>
      <c r="O829" s="14" t="n">
        <v>31.32</v>
      </c>
      <c r="P829" s="14">
        <f>IF(ISNUMBER(K829),K829-O829,"n.a.")</f>
        <v/>
      </c>
    </row>
    <row r="830" ht="32" customHeight="1">
      <c r="C830" s="10" t="inlineStr">
        <is>
          <t>PRJ-52b1cf2d-RK-04</t>
        </is>
      </c>
      <c r="D830" s="10" t="inlineStr">
        <is>
          <t>P4102157469</t>
        </is>
      </c>
      <c r="E830" s="11" t="inlineStr">
        <is>
          <t>Baustofftrennung / Aufbereitung nicht wie geplant</t>
        </is>
      </c>
      <c r="F830" s="10" t="inlineStr">
        <is>
          <t>Entsorgung</t>
        </is>
      </c>
      <c r="G830" s="12" t="n">
        <v>0.08</v>
      </c>
      <c r="H830" s="13" t="n">
        <v>11</v>
      </c>
      <c r="I830" s="13" t="n">
        <v>22</v>
      </c>
      <c r="J830" s="13" t="n">
        <v>43</v>
      </c>
      <c r="K830" s="14">
        <f>IF(OR(COUNT(G830:J830)&lt;&gt;4,G830&lt;0,G830&gt;1,H830&gt;I830,I830&gt;J830),"n.a.",ROUND(G830*(H830+4*I830+J830)/6+0.00000001,2))</f>
        <v/>
      </c>
      <c r="L830" s="13" t="n">
        <v>0</v>
      </c>
      <c r="M830" s="14">
        <f>SUMIFS(Maßnahmen!$I$7:$I$126,Maßnahmen!$D$7:$D$126,C830,Maßnahmen!$H$7:$H$126,"&lt;&gt;verworfen")</f>
        <v/>
      </c>
      <c r="N830" s="14">
        <f>IF(ISNUMBER(K830),MAX(0,K830-L830-M830),"n.a.")</f>
        <v/>
      </c>
      <c r="O830" s="14" t="n">
        <v>1.89</v>
      </c>
      <c r="P830" s="14">
        <f>IF(ISNUMBER(K830),K830-O830,"n.a.")</f>
        <v/>
      </c>
    </row>
    <row r="831" ht="32" customHeight="1">
      <c r="C831" s="10" t="inlineStr">
        <is>
          <t>PRJ-52b1cf2d-RK-05</t>
        </is>
      </c>
      <c r="D831" s="10" t="inlineStr">
        <is>
          <t>P4102157469</t>
        </is>
      </c>
      <c r="E831" s="11" t="inlineStr">
        <is>
          <t>Unbekannte Bauwerkskonstruktion / fehlende Pläne</t>
        </is>
      </c>
      <c r="F831" s="10" t="inlineStr">
        <is>
          <t>Statik</t>
        </is>
      </c>
      <c r="G831" s="12" t="n">
        <v>0.12</v>
      </c>
      <c r="H831" s="13" t="n">
        <v>87</v>
      </c>
      <c r="I831" s="13" t="n">
        <v>174</v>
      </c>
      <c r="J831" s="13" t="n">
        <v>326</v>
      </c>
      <c r="K831" s="14">
        <f>IF(OR(COUNT(G831:J831)&lt;&gt;4,G831&lt;0,G831&gt;1,H831&gt;I831,I831&gt;J831),"n.a.",ROUND(G831*(H831+4*I831+J831)/6+0.00000001,2))</f>
        <v/>
      </c>
      <c r="L831" s="13" t="n">
        <v>0</v>
      </c>
      <c r="M831" s="14">
        <f>SUMIFS(Maßnahmen!$I$7:$I$126,Maßnahmen!$D$7:$D$126,C831,Maßnahmen!$H$7:$H$126,"&lt;&gt;verworfen")</f>
        <v/>
      </c>
      <c r="N831" s="14">
        <f>IF(ISNUMBER(K831),MAX(0,K831-L831-M831),"n.a.")</f>
        <v/>
      </c>
      <c r="O831" s="14" t="n">
        <v>22.18</v>
      </c>
      <c r="P831" s="14">
        <f>IF(ISNUMBER(K831),K831-O831,"n.a.")</f>
        <v/>
      </c>
    </row>
    <row r="832" ht="32" customHeight="1">
      <c r="C832" s="10" t="inlineStr">
        <is>
          <t>PRJ-52b1cf2d-RK-06</t>
        </is>
      </c>
      <c r="D832" s="10" t="inlineStr">
        <is>
          <t>P4102157469</t>
        </is>
      </c>
      <c r="E832" s="11" t="inlineStr">
        <is>
          <t>Statik / Einsturzsicherung während Abbruch</t>
        </is>
      </c>
      <c r="F832" s="10" t="inlineStr">
        <is>
          <t>Statik</t>
        </is>
      </c>
      <c r="G832" s="12" t="n">
        <v>0.24</v>
      </c>
      <c r="H832" s="13" t="n">
        <v>65</v>
      </c>
      <c r="I832" s="13" t="n">
        <v>152</v>
      </c>
      <c r="J832" s="13" t="n">
        <v>304</v>
      </c>
      <c r="K832" s="14">
        <f>IF(OR(COUNT(G832:J832)&lt;&gt;4,G832&lt;0,G832&gt;1,H832&gt;I832,I832&gt;J832),"n.a.",ROUND(G832*(H832+4*I832+J832)/6+0.00000001,2))</f>
        <v/>
      </c>
      <c r="L832" s="13" t="n">
        <v>0</v>
      </c>
      <c r="M832" s="14">
        <f>SUMIFS(Maßnahmen!$I$7:$I$126,Maßnahmen!$D$7:$D$126,C832,Maßnahmen!$H$7:$H$126,"&lt;&gt;verworfen")</f>
        <v/>
      </c>
      <c r="N832" s="14">
        <f>IF(ISNUMBER(K832),MAX(0,K832-L832-M832),"n.a.")</f>
        <v/>
      </c>
      <c r="O832" s="14" t="n">
        <v>39.08</v>
      </c>
      <c r="P832" s="14">
        <f>IF(ISNUMBER(K832),K832-O832,"n.a.")</f>
        <v/>
      </c>
    </row>
    <row r="833" ht="32" customHeight="1">
      <c r="C833" s="10" t="inlineStr">
        <is>
          <t>PRJ-52b1cf2d-RK-07</t>
        </is>
      </c>
      <c r="D833" s="10" t="inlineStr">
        <is>
          <t>P4102157469</t>
        </is>
      </c>
      <c r="E833" s="11" t="inlineStr">
        <is>
          <t>Unterirdische Tragkonstruktion / Fundamente</t>
        </is>
      </c>
      <c r="F833" s="10" t="inlineStr">
        <is>
          <t>Statik</t>
        </is>
      </c>
      <c r="G833" s="12" t="n">
        <v>0.4</v>
      </c>
      <c r="H833" s="13" t="n">
        <v>11</v>
      </c>
      <c r="I833" s="13" t="n">
        <v>43</v>
      </c>
      <c r="J833" s="13" t="n">
        <v>109</v>
      </c>
      <c r="K833" s="14">
        <f>IF(OR(COUNT(G833:J833)&lt;&gt;4,G833&lt;0,G833&gt;1,H833&gt;I833,I833&gt;J833),"n.a.",ROUND(G833*(H833+4*I833+J833)/6+0.00000001,2))</f>
        <v/>
      </c>
      <c r="L833" s="13" t="n">
        <v>0</v>
      </c>
      <c r="M833" s="14">
        <f>SUMIFS(Maßnahmen!$I$7:$I$126,Maßnahmen!$D$7:$D$126,C833,Maßnahmen!$H$7:$H$126,"&lt;&gt;verworfen")</f>
        <v/>
      </c>
      <c r="N833" s="14">
        <f>IF(ISNUMBER(K833),MAX(0,K833-L833-M833),"n.a.")</f>
        <v/>
      </c>
      <c r="O833" s="14" t="n">
        <v>19.47</v>
      </c>
      <c r="P833" s="14">
        <f>IF(ISNUMBER(K833),K833-O833,"n.a.")</f>
        <v/>
      </c>
    </row>
    <row r="834" ht="32" customHeight="1">
      <c r="C834" s="10" t="inlineStr">
        <is>
          <t>PRJ-52b1cf2d-RK-08</t>
        </is>
      </c>
      <c r="D834" s="10" t="inlineStr">
        <is>
          <t>P4102157469</t>
        </is>
      </c>
      <c r="E834" s="11" t="inlineStr">
        <is>
          <t>Gebäudehöhe &gt;22 m / Longfront-Bagger (+130–150 %)</t>
        </is>
      </c>
      <c r="F834" s="10" t="inlineStr">
        <is>
          <t>Termin</t>
        </is>
      </c>
      <c r="G834" s="12" t="n">
        <v>0.6</v>
      </c>
      <c r="H834" s="13" t="n">
        <v>196</v>
      </c>
      <c r="I834" s="13" t="n">
        <v>391</v>
      </c>
      <c r="J834" s="13" t="n">
        <v>739</v>
      </c>
      <c r="K834" s="14">
        <f>IF(OR(COUNT(G834:J834)&lt;&gt;4,G834&lt;0,G834&gt;1,H834&gt;I834,I834&gt;J834),"n.a.",ROUND(G834*(H834+4*I834+J834)/6+0.00000001,2))</f>
        <v/>
      </c>
      <c r="L834" s="13" t="n">
        <v>0</v>
      </c>
      <c r="M834" s="14">
        <f>SUMIFS(Maßnahmen!$I$7:$I$126,Maßnahmen!$D$7:$D$126,C834,Maßnahmen!$H$7:$H$126,"&lt;&gt;verworfen")</f>
        <v/>
      </c>
      <c r="N834" s="14">
        <f>IF(ISNUMBER(K834),MAX(0,K834-L834-M834),"n.a.")</f>
        <v/>
      </c>
      <c r="O834" s="14" t="n">
        <v>249.9</v>
      </c>
      <c r="P834" s="14">
        <f>IF(ISNUMBER(K834),K834-O834,"n.a.")</f>
        <v/>
      </c>
    </row>
    <row r="835" ht="32" customHeight="1">
      <c r="C835" s="10" t="inlineStr">
        <is>
          <t>PRJ-52b1cf2d-RK-09</t>
        </is>
      </c>
      <c r="D835" s="10" t="inlineStr">
        <is>
          <t>P4102157469</t>
        </is>
      </c>
      <c r="E835" s="11" t="inlineStr">
        <is>
          <t>Beennte Lage / nur Handabbruch möglich</t>
        </is>
      </c>
      <c r="F835" s="10" t="inlineStr">
        <is>
          <t>Termin</t>
        </is>
      </c>
      <c r="G835" s="12" t="n">
        <v>0.15</v>
      </c>
      <c r="H835" s="13" t="n">
        <v>17</v>
      </c>
      <c r="I835" s="13" t="n">
        <v>43</v>
      </c>
      <c r="J835" s="13" t="n">
        <v>109</v>
      </c>
      <c r="K835" s="14">
        <f>IF(OR(COUNT(G835:J835)&lt;&gt;4,G835&lt;0,G835&gt;1,H835&gt;I835,I835&gt;J835),"n.a.",ROUND(G835*(H835+4*I835+J835)/6+0.00000001,2))</f>
        <v/>
      </c>
      <c r="L835" s="13" t="n">
        <v>0</v>
      </c>
      <c r="M835" s="14">
        <f>SUMIFS(Maßnahmen!$I$7:$I$126,Maßnahmen!$D$7:$D$126,C835,Maßnahmen!$H$7:$H$126,"&lt;&gt;verworfen")</f>
        <v/>
      </c>
      <c r="N835" s="14">
        <f>IF(ISNUMBER(K835),MAX(0,K835-L835-M835),"n.a.")</f>
        <v/>
      </c>
      <c r="O835" s="14" t="n">
        <v>7.45</v>
      </c>
      <c r="P835" s="14">
        <f>IF(ISNUMBER(K835),K835-O835,"n.a.")</f>
        <v/>
      </c>
    </row>
    <row r="836" ht="32" customHeight="1">
      <c r="C836" s="10" t="inlineStr">
        <is>
          <t>PRJ-52b1cf2d-RK-10</t>
        </is>
      </c>
      <c r="D836" s="10" t="inlineStr">
        <is>
          <t>P4102157469</t>
        </is>
      </c>
      <c r="E836" s="11" t="inlineStr">
        <is>
          <t>Terminvorgabe Auftraggeber / Geräteauslastung</t>
        </is>
      </c>
      <c r="F836" s="10" t="inlineStr">
        <is>
          <t>Termin</t>
        </is>
      </c>
      <c r="G836" s="12" t="n">
        <v>0.08</v>
      </c>
      <c r="H836" s="13" t="n">
        <v>11</v>
      </c>
      <c r="I836" s="13" t="n">
        <v>22</v>
      </c>
      <c r="J836" s="13" t="n">
        <v>43</v>
      </c>
      <c r="K836" s="14">
        <f>IF(OR(COUNT(G836:J836)&lt;&gt;4,G836&lt;0,G836&gt;1,H836&gt;I836,I836&gt;J836),"n.a.",ROUND(G836*(H836+4*I836+J836)/6+0.00000001,2))</f>
        <v/>
      </c>
      <c r="L836" s="13" t="n">
        <v>0</v>
      </c>
      <c r="M836" s="14">
        <f>SUMIFS(Maßnahmen!$I$7:$I$126,Maßnahmen!$D$7:$D$126,C836,Maßnahmen!$H$7:$H$126,"&lt;&gt;verworfen")</f>
        <v/>
      </c>
      <c r="N836" s="14">
        <f>IF(ISNUMBER(K836),MAX(0,K836-L836-M836),"n.a.")</f>
        <v/>
      </c>
      <c r="O836" s="14" t="n">
        <v>1.89</v>
      </c>
      <c r="P836" s="14">
        <f>IF(ISNUMBER(K836),K836-O836,"n.a.")</f>
        <v/>
      </c>
    </row>
    <row r="837" ht="32" customHeight="1">
      <c r="C837" s="10" t="inlineStr">
        <is>
          <t>PRJ-52b1cf2d-RK-12</t>
        </is>
      </c>
      <c r="D837" s="10" t="inlineStr">
        <is>
          <t>P4102157469</t>
        </is>
      </c>
      <c r="E837" s="11" t="inlineStr">
        <is>
          <t>Staubemissionen (höchster Aufwand laut Umfrage)</t>
        </is>
      </c>
      <c r="F837" s="10" t="inlineStr">
        <is>
          <t>Emissionen</t>
        </is>
      </c>
      <c r="G837" s="12" t="n">
        <v>0.1</v>
      </c>
      <c r="H837" s="13" t="n">
        <v>65</v>
      </c>
      <c r="I837" s="13" t="n">
        <v>130</v>
      </c>
      <c r="J837" s="13" t="n">
        <v>261</v>
      </c>
      <c r="K837" s="14">
        <f>IF(OR(COUNT(G837:J837)&lt;&gt;4,G837&lt;0,G837&gt;1,H837&gt;I837,I837&gt;J837),"n.a.",ROUND(G837*(H837+4*I837+J837)/6+0.00000001,2))</f>
        <v/>
      </c>
      <c r="L837" s="13" t="n">
        <v>0</v>
      </c>
      <c r="M837" s="14">
        <f>SUMIFS(Maßnahmen!$I$7:$I$126,Maßnahmen!$D$7:$D$126,C837,Maßnahmen!$H$7:$H$126,"&lt;&gt;verworfen")</f>
        <v/>
      </c>
      <c r="N837" s="14">
        <f>IF(ISNUMBER(K837),MAX(0,K837-L837-M837),"n.a.")</f>
        <v/>
      </c>
      <c r="O837" s="14" t="n">
        <v>14.1</v>
      </c>
      <c r="P837" s="14">
        <f>IF(ISNUMBER(K837),K837-O837,"n.a.")</f>
        <v/>
      </c>
    </row>
    <row r="838" ht="32" customHeight="1">
      <c r="C838" s="10" t="inlineStr">
        <is>
          <t>PRJ-52b1cf2d-RK-13</t>
        </is>
      </c>
      <c r="D838" s="10" t="inlineStr">
        <is>
          <t>P4102157469</t>
        </is>
      </c>
      <c r="E838" s="11" t="inlineStr">
        <is>
          <t>Lärm- und Erschütterungsauflagen</t>
        </is>
      </c>
      <c r="F838" s="10" t="inlineStr">
        <is>
          <t>Emissionen</t>
        </is>
      </c>
      <c r="G838" s="12" t="n">
        <v>0.2</v>
      </c>
      <c r="H838" s="13" t="n">
        <v>43</v>
      </c>
      <c r="I838" s="13" t="n">
        <v>109</v>
      </c>
      <c r="J838" s="13" t="n">
        <v>217</v>
      </c>
      <c r="K838" s="14">
        <f>IF(OR(COUNT(G838:J838)&lt;&gt;4,G838&lt;0,G838&gt;1,H838&gt;I838,I838&gt;J838),"n.a.",ROUND(G838*(H838+4*I838+J838)/6+0.00000001,2))</f>
        <v/>
      </c>
      <c r="L838" s="13" t="n">
        <v>0</v>
      </c>
      <c r="M838" s="14">
        <f>SUMIFS(Maßnahmen!$I$7:$I$126,Maßnahmen!$D$7:$D$126,C838,Maßnahmen!$H$7:$H$126,"&lt;&gt;verworfen")</f>
        <v/>
      </c>
      <c r="N838" s="14">
        <f>IF(ISNUMBER(K838),MAX(0,K838-L838-M838),"n.a.")</f>
        <v/>
      </c>
      <c r="O838" s="14" t="n">
        <v>23.2</v>
      </c>
      <c r="P838" s="14">
        <f>IF(ISNUMBER(K838),K838-O838,"n.a.")</f>
        <v/>
      </c>
    </row>
    <row r="839" ht="32" customHeight="1">
      <c r="C839" s="10" t="inlineStr">
        <is>
          <t>PRJ-52b1cf2d-RK-14</t>
        </is>
      </c>
      <c r="D839" s="10" t="inlineStr">
        <is>
          <t>P4102157469</t>
        </is>
      </c>
      <c r="E839" s="11" t="inlineStr">
        <is>
          <t>Rechtliche Auflagen / Entsorgungsnachweise (Formalismus)</t>
        </is>
      </c>
      <c r="F839" s="10" t="inlineStr">
        <is>
          <t>Genehmigung</t>
        </is>
      </c>
      <c r="G839" s="12" t="n">
        <v>0.4</v>
      </c>
      <c r="H839" s="13" t="n">
        <v>207</v>
      </c>
      <c r="I839" s="13" t="n">
        <v>402</v>
      </c>
      <c r="J839" s="13" t="n">
        <v>761</v>
      </c>
      <c r="K839" s="14">
        <f>IF(OR(COUNT(G839:J839)&lt;&gt;4,G839&lt;0,G839&gt;1,H839&gt;I839,I839&gt;J839),"n.a.",ROUND(G839*(H839+4*I839+J839)/6+0.00000001,2))</f>
        <v/>
      </c>
      <c r="L839" s="13" t="n">
        <v>0</v>
      </c>
      <c r="M839" s="14">
        <f>SUMIFS(Maßnahmen!$I$7:$I$126,Maßnahmen!$D$7:$D$126,C839,Maßnahmen!$H$7:$H$126,"&lt;&gt;verworfen")</f>
        <v/>
      </c>
      <c r="N839" s="14">
        <f>IF(ISNUMBER(K839),MAX(0,K839-L839-M839),"n.a.")</f>
        <v/>
      </c>
      <c r="O839" s="14" t="n">
        <v>171.73</v>
      </c>
      <c r="P839" s="14">
        <f>IF(ISNUMBER(K839),K839-O839,"n.a.")</f>
        <v/>
      </c>
    </row>
    <row r="840" ht="32" customHeight="1">
      <c r="C840" s="10" t="inlineStr">
        <is>
          <t>PRJ-52b1cf2d-RK-15</t>
        </is>
      </c>
      <c r="D840" s="10" t="inlineStr">
        <is>
          <t>P4102157469</t>
        </is>
      </c>
      <c r="E840" s="11" t="inlineStr">
        <is>
          <t>Konjunktur / Sekundärstoffpreise &amp; Gerätemiete</t>
        </is>
      </c>
      <c r="F840" s="10" t="inlineStr">
        <is>
          <t>Markt</t>
        </is>
      </c>
      <c r="G840" s="12" t="n">
        <v>0.12</v>
      </c>
      <c r="H840" s="13" t="n">
        <v>17</v>
      </c>
      <c r="I840" s="13" t="n">
        <v>43</v>
      </c>
      <c r="J840" s="13" t="n">
        <v>109</v>
      </c>
      <c r="K840" s="14">
        <f>IF(OR(COUNT(G840:J840)&lt;&gt;4,G840&lt;0,G840&gt;1,H840&gt;I840,I840&gt;J840),"n.a.",ROUND(G840*(H840+4*I840+J840)/6+0.00000001,2))</f>
        <v/>
      </c>
      <c r="L840" s="13" t="n">
        <v>0</v>
      </c>
      <c r="M840" s="14">
        <f>SUMIFS(Maßnahmen!$I$7:$I$126,Maßnahmen!$D$7:$D$126,C840,Maßnahmen!$H$7:$H$126,"&lt;&gt;verworfen")</f>
        <v/>
      </c>
      <c r="N840" s="14">
        <f>IF(ISNUMBER(K840),MAX(0,K840-L840-M840),"n.a.")</f>
        <v/>
      </c>
      <c r="O840" s="14" t="n">
        <v>5.96</v>
      </c>
      <c r="P840" s="14">
        <f>IF(ISNUMBER(K840),K840-O840,"n.a.")</f>
        <v/>
      </c>
    </row>
    <row r="841" ht="32" customHeight="1">
      <c r="C841" s="10" t="inlineStr">
        <is>
          <t>PRJ-3d4f066b-RK-01</t>
        </is>
      </c>
      <c r="D841" s="10" t="inlineStr">
        <is>
          <t>W4102304611</t>
        </is>
      </c>
      <c r="E841" s="11" t="inlineStr">
        <is>
          <t>Schadstofffund / Schadstoffsanierung (Asbest, PAK, PCB, PCP)</t>
        </is>
      </c>
      <c r="F841" s="10" t="inlineStr">
        <is>
          <t>Schadstoffe</t>
        </is>
      </c>
      <c r="G841" s="12" t="n">
        <v>0.22</v>
      </c>
      <c r="H841" s="13" t="n">
        <v>1406</v>
      </c>
      <c r="I841" s="13" t="n">
        <v>3515</v>
      </c>
      <c r="J841" s="13" t="n">
        <v>7030</v>
      </c>
      <c r="K841" s="14">
        <f>IF(OR(COUNT(G841:J841)&lt;&gt;4,G841&lt;0,G841&gt;1,H841&gt;I841,I841&gt;J841),"n.a.",ROUND(G841*(H841+4*I841+J841)/6+0.00000001,2))</f>
        <v/>
      </c>
      <c r="L841" s="13" t="n">
        <v>0</v>
      </c>
      <c r="M841" s="14">
        <f>SUMIFS(Maßnahmen!$I$7:$I$126,Maßnahmen!$D$7:$D$126,C841,Maßnahmen!$H$7:$H$126,"&lt;&gt;verworfen")</f>
        <v/>
      </c>
      <c r="N841" s="14">
        <f>IF(ISNUMBER(K841),MAX(0,K841-L841-M841),"n.a.")</f>
        <v/>
      </c>
      <c r="O841" s="14" t="n">
        <v>824.85</v>
      </c>
      <c r="P841" s="14">
        <f>IF(ISNUMBER(K841),K841-O841,"n.a.")</f>
        <v/>
      </c>
    </row>
    <row r="842" ht="32" customHeight="1">
      <c r="C842" s="10" t="inlineStr">
        <is>
          <t>PRJ-3d4f066b-RK-02</t>
        </is>
      </c>
      <c r="D842" s="10" t="inlineStr">
        <is>
          <t>W4102304611</t>
        </is>
      </c>
      <c r="E842" s="11" t="inlineStr">
        <is>
          <t>Arbeitsschutz kontaminierte Bereiche (TRGS 524)</t>
        </is>
      </c>
      <c r="F842" s="10" t="inlineStr">
        <is>
          <t>Schadstoffe</t>
        </is>
      </c>
      <c r="G842" s="12" t="n">
        <v>0.1</v>
      </c>
      <c r="H842" s="13" t="n">
        <v>351</v>
      </c>
      <c r="I842" s="13" t="n">
        <v>703</v>
      </c>
      <c r="J842" s="13" t="n">
        <v>1406</v>
      </c>
      <c r="K842" s="14">
        <f>IF(OR(COUNT(G842:J842)&lt;&gt;4,G842&lt;0,G842&gt;1,H842&gt;I842,I842&gt;J842),"n.a.",ROUND(G842*(H842+4*I842+J842)/6+0.00000001,2))</f>
        <v/>
      </c>
      <c r="L842" s="13" t="n">
        <v>0</v>
      </c>
      <c r="M842" s="14">
        <f>SUMIFS(Maßnahmen!$I$7:$I$126,Maßnahmen!$D$7:$D$126,C842,Maßnahmen!$H$7:$H$126,"&lt;&gt;verworfen")</f>
        <v/>
      </c>
      <c r="N842" s="14">
        <f>IF(ISNUMBER(K842),MAX(0,K842-L842-M842),"n.a.")</f>
        <v/>
      </c>
      <c r="O842" s="14" t="n">
        <v>76.15000000000001</v>
      </c>
      <c r="P842" s="14">
        <f>IF(ISNUMBER(K842),K842-O842,"n.a.")</f>
        <v/>
      </c>
    </row>
    <row r="843" ht="32" customHeight="1">
      <c r="C843" s="10" t="inlineStr">
        <is>
          <t>PRJ-3d4f066b-RK-03</t>
        </is>
      </c>
      <c r="D843" s="10" t="inlineStr">
        <is>
          <t>W4102304611</t>
        </is>
      </c>
      <c r="E843" s="11" t="inlineStr">
        <is>
          <t>Entsorgungs-Mehrkosten / Entsorgungswege</t>
        </is>
      </c>
      <c r="F843" s="10" t="inlineStr">
        <is>
          <t>Entsorgung</t>
        </is>
      </c>
      <c r="G843" s="12" t="n">
        <v>0.15</v>
      </c>
      <c r="H843" s="13" t="n">
        <v>1406</v>
      </c>
      <c r="I843" s="13" t="n">
        <v>3515</v>
      </c>
      <c r="J843" s="13" t="n">
        <v>7030</v>
      </c>
      <c r="K843" s="14">
        <f>IF(OR(COUNT(G843:J843)&lt;&gt;4,G843&lt;0,G843&gt;1,H843&gt;I843,I843&gt;J843),"n.a.",ROUND(G843*(H843+4*I843+J843)/6+0.00000001,2))</f>
        <v/>
      </c>
      <c r="L843" s="13" t="n">
        <v>0</v>
      </c>
      <c r="M843" s="14">
        <f>SUMIFS(Maßnahmen!$I$7:$I$126,Maßnahmen!$D$7:$D$126,C843,Maßnahmen!$H$7:$H$126,"&lt;&gt;verworfen")</f>
        <v/>
      </c>
      <c r="N843" s="14">
        <f>IF(ISNUMBER(K843),MAX(0,K843-L843-M843),"n.a.")</f>
        <v/>
      </c>
      <c r="O843" s="14" t="n">
        <v>562.4</v>
      </c>
      <c r="P843" s="14">
        <f>IF(ISNUMBER(K843),K843-O843,"n.a.")</f>
        <v/>
      </c>
    </row>
    <row r="844" ht="32" customHeight="1">
      <c r="C844" s="10" t="inlineStr">
        <is>
          <t>PRJ-3d4f066b-RK-04</t>
        </is>
      </c>
      <c r="D844" s="10" t="inlineStr">
        <is>
          <t>W4102304611</t>
        </is>
      </c>
      <c r="E844" s="11" t="inlineStr">
        <is>
          <t>Baustofftrennung / Aufbereitung nicht wie geplant</t>
        </is>
      </c>
      <c r="F844" s="10" t="inlineStr">
        <is>
          <t>Entsorgung</t>
        </is>
      </c>
      <c r="G844" s="12" t="n">
        <v>0.08</v>
      </c>
      <c r="H844" s="13" t="n">
        <v>351</v>
      </c>
      <c r="I844" s="13" t="n">
        <v>703</v>
      </c>
      <c r="J844" s="13" t="n">
        <v>1406</v>
      </c>
      <c r="K844" s="14">
        <f>IF(OR(COUNT(G844:J844)&lt;&gt;4,G844&lt;0,G844&gt;1,H844&gt;I844,I844&gt;J844),"n.a.",ROUND(G844*(H844+4*I844+J844)/6+0.00000001,2))</f>
        <v/>
      </c>
      <c r="L844" s="13" t="n">
        <v>0</v>
      </c>
      <c r="M844" s="14">
        <f>SUMIFS(Maßnahmen!$I$7:$I$126,Maßnahmen!$D$7:$D$126,C844,Maßnahmen!$H$7:$H$126,"&lt;&gt;verworfen")</f>
        <v/>
      </c>
      <c r="N844" s="14">
        <f>IF(ISNUMBER(K844),MAX(0,K844-L844-M844),"n.a.")</f>
        <v/>
      </c>
      <c r="O844" s="14" t="n">
        <v>60.92</v>
      </c>
      <c r="P844" s="14">
        <f>IF(ISNUMBER(K844),K844-O844,"n.a.")</f>
        <v/>
      </c>
    </row>
    <row r="845" ht="32" customHeight="1">
      <c r="C845" s="10" t="inlineStr">
        <is>
          <t>PRJ-3d4f066b-RK-05</t>
        </is>
      </c>
      <c r="D845" s="10" t="inlineStr">
        <is>
          <t>W4102304611</t>
        </is>
      </c>
      <c r="E845" s="11" t="inlineStr">
        <is>
          <t>Unbekannte Bauwerkskonstruktion / fehlende Pläne</t>
        </is>
      </c>
      <c r="F845" s="10" t="inlineStr">
        <is>
          <t>Statik</t>
        </is>
      </c>
      <c r="G845" s="12" t="n">
        <v>0.12</v>
      </c>
      <c r="H845" s="13" t="n">
        <v>351</v>
      </c>
      <c r="I845" s="13" t="n">
        <v>703</v>
      </c>
      <c r="J845" s="13" t="n">
        <v>1406</v>
      </c>
      <c r="K845" s="14">
        <f>IF(OR(COUNT(G845:J845)&lt;&gt;4,G845&lt;0,G845&gt;1,H845&gt;I845,I845&gt;J845),"n.a.",ROUND(G845*(H845+4*I845+J845)/6+0.00000001,2))</f>
        <v/>
      </c>
      <c r="L845" s="13" t="n">
        <v>0</v>
      </c>
      <c r="M845" s="14">
        <f>SUMIFS(Maßnahmen!$I$7:$I$126,Maßnahmen!$D$7:$D$126,C845,Maßnahmen!$H$7:$H$126,"&lt;&gt;verworfen")</f>
        <v/>
      </c>
      <c r="N845" s="14">
        <f>IF(ISNUMBER(K845),MAX(0,K845-L845-M845),"n.a.")</f>
        <v/>
      </c>
      <c r="O845" s="14" t="n">
        <v>91.38</v>
      </c>
      <c r="P845" s="14">
        <f>IF(ISNUMBER(K845),K845-O845,"n.a.")</f>
        <v/>
      </c>
    </row>
    <row r="846" ht="32" customHeight="1">
      <c r="C846" s="10" t="inlineStr">
        <is>
          <t>PRJ-3d4f066b-RK-06</t>
        </is>
      </c>
      <c r="D846" s="10" t="inlineStr">
        <is>
          <t>W4102304611</t>
        </is>
      </c>
      <c r="E846" s="11" t="inlineStr">
        <is>
          <t>Statik / Einsturzsicherung während Abbruch</t>
        </is>
      </c>
      <c r="F846" s="10" t="inlineStr">
        <is>
          <t>Statik</t>
        </is>
      </c>
      <c r="G846" s="12" t="n">
        <v>0.12</v>
      </c>
      <c r="H846" s="13" t="n">
        <v>2109</v>
      </c>
      <c r="I846" s="13" t="n">
        <v>4921</v>
      </c>
      <c r="J846" s="13" t="n">
        <v>9841</v>
      </c>
      <c r="K846" s="14">
        <f>IF(OR(COUNT(G846:J846)&lt;&gt;4,G846&lt;0,G846&gt;1,H846&gt;I846,I846&gt;J846),"n.a.",ROUND(G846*(H846+4*I846+J846)/6+0.00000001,2))</f>
        <v/>
      </c>
      <c r="L846" s="13" t="n">
        <v>0</v>
      </c>
      <c r="M846" s="14">
        <f>SUMIFS(Maßnahmen!$I$7:$I$126,Maßnahmen!$D$7:$D$126,C846,Maßnahmen!$H$7:$H$126,"&lt;&gt;verworfen")</f>
        <v/>
      </c>
      <c r="N846" s="14">
        <f>IF(ISNUMBER(K846),MAX(0,K846-L846-M846),"n.a.")</f>
        <v/>
      </c>
      <c r="O846" s="14" t="n">
        <v>632.6799999999999</v>
      </c>
      <c r="P846" s="14">
        <f>IF(ISNUMBER(K846),K846-O846,"n.a.")</f>
        <v/>
      </c>
    </row>
    <row r="847" ht="32" customHeight="1">
      <c r="C847" s="10" t="inlineStr">
        <is>
          <t>PRJ-3d4f066b-RK-07</t>
        </is>
      </c>
      <c r="D847" s="10" t="inlineStr">
        <is>
          <t>W4102304611</t>
        </is>
      </c>
      <c r="E847" s="11" t="inlineStr">
        <is>
          <t>Unterirdische Tragkonstruktion / Fundamente</t>
        </is>
      </c>
      <c r="F847" s="10" t="inlineStr">
        <is>
          <t>Statik</t>
        </is>
      </c>
      <c r="G847" s="12" t="n">
        <v>0.5</v>
      </c>
      <c r="H847" s="13" t="n">
        <v>351</v>
      </c>
      <c r="I847" s="13" t="n">
        <v>1406</v>
      </c>
      <c r="J847" s="13" t="n">
        <v>3515</v>
      </c>
      <c r="K847" s="14">
        <f>IF(OR(COUNT(G847:J847)&lt;&gt;4,G847&lt;0,G847&gt;1,H847&gt;I847,I847&gt;J847),"n.a.",ROUND(G847*(H847+4*I847+J847)/6+0.00000001,2))</f>
        <v/>
      </c>
      <c r="L847" s="13" t="n">
        <v>0</v>
      </c>
      <c r="M847" s="14">
        <f>SUMIFS(Maßnahmen!$I$7:$I$126,Maßnahmen!$D$7:$D$126,C847,Maßnahmen!$H$7:$H$126,"&lt;&gt;verworfen")</f>
        <v/>
      </c>
      <c r="N847" s="14">
        <f>IF(ISNUMBER(K847),MAX(0,K847-L847-M847),"n.a.")</f>
        <v/>
      </c>
      <c r="O847" s="14" t="n">
        <v>790.83</v>
      </c>
      <c r="P847" s="14">
        <f>IF(ISNUMBER(K847),K847-O847,"n.a.")</f>
        <v/>
      </c>
    </row>
    <row r="848" ht="32" customHeight="1">
      <c r="C848" s="10" t="inlineStr">
        <is>
          <t>PRJ-3d4f066b-RK-08</t>
        </is>
      </c>
      <c r="D848" s="10" t="inlineStr">
        <is>
          <t>W4102304611</t>
        </is>
      </c>
      <c r="E848" s="11" t="inlineStr">
        <is>
          <t>Gebäudehöhe &gt;22 m / Longfront-Bagger (+130–150 %)</t>
        </is>
      </c>
      <c r="F848" s="10" t="inlineStr">
        <is>
          <t>Termin</t>
        </is>
      </c>
      <c r="G848" s="12" t="n">
        <v>0.6</v>
      </c>
      <c r="H848" s="13" t="n">
        <v>6327</v>
      </c>
      <c r="I848" s="13" t="n">
        <v>12653</v>
      </c>
      <c r="J848" s="13" t="n">
        <v>23901</v>
      </c>
      <c r="K848" s="14">
        <f>IF(OR(COUNT(G848:J848)&lt;&gt;4,G848&lt;0,G848&gt;1,H848&gt;I848,I848&gt;J848),"n.a.",ROUND(G848*(H848+4*I848+J848)/6+0.00000001,2))</f>
        <v/>
      </c>
      <c r="L848" s="13" t="n">
        <v>0</v>
      </c>
      <c r="M848" s="14">
        <f>SUMIFS(Maßnahmen!$I$7:$I$126,Maßnahmen!$D$7:$D$126,C848,Maßnahmen!$H$7:$H$126,"&lt;&gt;verworfen")</f>
        <v/>
      </c>
      <c r="N848" s="14">
        <f>IF(ISNUMBER(K848),MAX(0,K848-L848-M848),"n.a.")</f>
        <v/>
      </c>
      <c r="O848" s="14" t="n">
        <v>8084</v>
      </c>
      <c r="P848" s="14">
        <f>IF(ISNUMBER(K848),K848-O848,"n.a.")</f>
        <v/>
      </c>
    </row>
    <row r="849" ht="32" customHeight="1">
      <c r="C849" s="10" t="inlineStr">
        <is>
          <t>PRJ-3d4f066b-RK-09</t>
        </is>
      </c>
      <c r="D849" s="10" t="inlineStr">
        <is>
          <t>W4102304611</t>
        </is>
      </c>
      <c r="E849" s="11" t="inlineStr">
        <is>
          <t>Beennte Lage / nur Handabbruch möglich</t>
        </is>
      </c>
      <c r="F849" s="10" t="inlineStr">
        <is>
          <t>Termin</t>
        </is>
      </c>
      <c r="G849" s="12" t="n">
        <v>0.1</v>
      </c>
      <c r="H849" s="13" t="n">
        <v>351</v>
      </c>
      <c r="I849" s="13" t="n">
        <v>703</v>
      </c>
      <c r="J849" s="13" t="n">
        <v>1406</v>
      </c>
      <c r="K849" s="14">
        <f>IF(OR(COUNT(G849:J849)&lt;&gt;4,G849&lt;0,G849&gt;1,H849&gt;I849,I849&gt;J849),"n.a.",ROUND(G849*(H849+4*I849+J849)/6+0.00000001,2))</f>
        <v/>
      </c>
      <c r="L849" s="13" t="n">
        <v>0</v>
      </c>
      <c r="M849" s="14">
        <f>SUMIFS(Maßnahmen!$I$7:$I$126,Maßnahmen!$D$7:$D$126,C849,Maßnahmen!$H$7:$H$126,"&lt;&gt;verworfen")</f>
        <v/>
      </c>
      <c r="N849" s="14">
        <f>IF(ISNUMBER(K849),MAX(0,K849-L849-M849),"n.a.")</f>
        <v/>
      </c>
      <c r="O849" s="14" t="n">
        <v>76.15000000000001</v>
      </c>
      <c r="P849" s="14">
        <f>IF(ISNUMBER(K849),K849-O849,"n.a.")</f>
        <v/>
      </c>
    </row>
    <row r="850" ht="32" customHeight="1">
      <c r="C850" s="10" t="inlineStr">
        <is>
          <t>PRJ-3d4f066b-RK-10</t>
        </is>
      </c>
      <c r="D850" s="10" t="inlineStr">
        <is>
          <t>W4102304611</t>
        </is>
      </c>
      <c r="E850" s="11" t="inlineStr">
        <is>
          <t>Terminvorgabe Auftraggeber / Geräteauslastung</t>
        </is>
      </c>
      <c r="F850" s="10" t="inlineStr">
        <is>
          <t>Termin</t>
        </is>
      </c>
      <c r="G850" s="12" t="n">
        <v>0.08</v>
      </c>
      <c r="H850" s="13" t="n">
        <v>351</v>
      </c>
      <c r="I850" s="13" t="n">
        <v>703</v>
      </c>
      <c r="J850" s="13" t="n">
        <v>1406</v>
      </c>
      <c r="K850" s="14">
        <f>IF(OR(COUNT(G850:J850)&lt;&gt;4,G850&lt;0,G850&gt;1,H850&gt;I850,I850&gt;J850),"n.a.",ROUND(G850*(H850+4*I850+J850)/6+0.00000001,2))</f>
        <v/>
      </c>
      <c r="L850" s="13" t="n">
        <v>0</v>
      </c>
      <c r="M850" s="14">
        <f>SUMIFS(Maßnahmen!$I$7:$I$126,Maßnahmen!$D$7:$D$126,C850,Maßnahmen!$H$7:$H$126,"&lt;&gt;verworfen")</f>
        <v/>
      </c>
      <c r="N850" s="14">
        <f>IF(ISNUMBER(K850),MAX(0,K850-L850-M850),"n.a.")</f>
        <v/>
      </c>
      <c r="O850" s="14" t="n">
        <v>60.92</v>
      </c>
      <c r="P850" s="14">
        <f>IF(ISNUMBER(K850),K850-O850,"n.a.")</f>
        <v/>
      </c>
    </row>
    <row r="851" ht="32" customHeight="1">
      <c r="C851" s="10" t="inlineStr">
        <is>
          <t>PRJ-3d4f066b-RK-11</t>
        </is>
      </c>
      <c r="D851" s="10" t="inlineStr">
        <is>
          <t>W4102304611</t>
        </is>
      </c>
      <c r="E851" s="11" t="inlineStr">
        <is>
          <t>Witterung / Ablaufstörung</t>
        </is>
      </c>
      <c r="F851" s="10" t="inlineStr">
        <is>
          <t>Termin</t>
        </is>
      </c>
      <c r="G851" s="12" t="n">
        <v>0.25</v>
      </c>
      <c r="H851" s="13" t="n">
        <v>703</v>
      </c>
      <c r="I851" s="13" t="n">
        <v>2109</v>
      </c>
      <c r="J851" s="13" t="n">
        <v>4218</v>
      </c>
      <c r="K851" s="14">
        <f>IF(OR(COUNT(G851:J851)&lt;&gt;4,G851&lt;0,G851&gt;1,H851&gt;I851,I851&gt;J851),"n.a.",ROUND(G851*(H851+4*I851+J851)/6+0.00000001,2))</f>
        <v/>
      </c>
      <c r="L851" s="13" t="n">
        <v>0</v>
      </c>
      <c r="M851" s="14">
        <f>SUMIFS(Maßnahmen!$I$7:$I$126,Maßnahmen!$D$7:$D$126,C851,Maßnahmen!$H$7:$H$126,"&lt;&gt;verworfen")</f>
        <v/>
      </c>
      <c r="N851" s="14">
        <f>IF(ISNUMBER(K851),MAX(0,K851-L851-M851),"n.a.")</f>
        <v/>
      </c>
      <c r="O851" s="14" t="n">
        <v>556.54</v>
      </c>
      <c r="P851" s="14">
        <f>IF(ISNUMBER(K851),K851-O851,"n.a.")</f>
        <v/>
      </c>
    </row>
    <row r="852" ht="32" customHeight="1">
      <c r="C852" s="10" t="inlineStr">
        <is>
          <t>PRJ-3d4f066b-RK-12</t>
        </is>
      </c>
      <c r="D852" s="10" t="inlineStr">
        <is>
          <t>W4102304611</t>
        </is>
      </c>
      <c r="E852" s="11" t="inlineStr">
        <is>
          <t>Staubemissionen (höchster Aufwand laut Umfrage)</t>
        </is>
      </c>
      <c r="F852" s="10" t="inlineStr">
        <is>
          <t>Emissionen</t>
        </is>
      </c>
      <c r="G852" s="12" t="n">
        <v>0.1</v>
      </c>
      <c r="H852" s="13" t="n">
        <v>2109</v>
      </c>
      <c r="I852" s="13" t="n">
        <v>4218</v>
      </c>
      <c r="J852" s="13" t="n">
        <v>8436</v>
      </c>
      <c r="K852" s="14">
        <f>IF(OR(COUNT(G852:J852)&lt;&gt;4,G852&lt;0,G852&gt;1,H852&gt;I852,I852&gt;J852),"n.a.",ROUND(G852*(H852+4*I852+J852)/6+0.00000001,2))</f>
        <v/>
      </c>
      <c r="L852" s="13" t="n">
        <v>0</v>
      </c>
      <c r="M852" s="14">
        <f>SUMIFS(Maßnahmen!$I$7:$I$126,Maßnahmen!$D$7:$D$126,C852,Maßnahmen!$H$7:$H$126,"&lt;&gt;verworfen")</f>
        <v/>
      </c>
      <c r="N852" s="14">
        <f>IF(ISNUMBER(K852),MAX(0,K852-L852-M852),"n.a.")</f>
        <v/>
      </c>
      <c r="O852" s="14" t="n">
        <v>456.95</v>
      </c>
      <c r="P852" s="14">
        <f>IF(ISNUMBER(K852),K852-O852,"n.a.")</f>
        <v/>
      </c>
    </row>
    <row r="853" ht="32" customHeight="1">
      <c r="C853" s="10" t="inlineStr">
        <is>
          <t>PRJ-4f8e93ba-RK-15</t>
        </is>
      </c>
      <c r="D853" s="10" t="inlineStr">
        <is>
          <t>P4102307441</t>
        </is>
      </c>
      <c r="E853" s="11" t="inlineStr">
        <is>
          <t>Konjunktur / Sekundärstoffpreise &amp; Gerätemiete</t>
        </is>
      </c>
      <c r="F853" s="10" t="inlineStr">
        <is>
          <t>Markt</t>
        </is>
      </c>
      <c r="G853" s="12" t="n">
        <v>0.12</v>
      </c>
      <c r="H853" s="13" t="n">
        <v>129</v>
      </c>
      <c r="I853" s="13" t="n">
        <v>323</v>
      </c>
      <c r="J853" s="13" t="n">
        <v>808</v>
      </c>
      <c r="K853" s="14">
        <f>IF(OR(COUNT(G853:J853)&lt;&gt;4,G853&lt;0,G853&gt;1,H853&gt;I853,I853&gt;J853),"n.a.",ROUND(G853*(H853+4*I853+J853)/6+0.00000001,2))</f>
        <v/>
      </c>
      <c r="L853" s="13" t="n">
        <v>0</v>
      </c>
      <c r="M853" s="14">
        <f>SUMIFS(Maßnahmen!$I$7:$I$126,Maßnahmen!$D$7:$D$126,C853,Maßnahmen!$H$7:$H$126,"&lt;&gt;verworfen")</f>
        <v/>
      </c>
      <c r="N853" s="14">
        <f>IF(ISNUMBER(K853),MAX(0,K853-L853-M853),"n.a.")</f>
        <v/>
      </c>
      <c r="O853" s="14" t="n">
        <v>44.58</v>
      </c>
      <c r="P853" s="14">
        <f>IF(ISNUMBER(K853),K853-O853,"n.a.")</f>
        <v/>
      </c>
    </row>
    <row r="854" ht="32" customHeight="1">
      <c r="C854" s="10" t="inlineStr">
        <is>
          <t>PRJ-3d4f066b-RK-13</t>
        </is>
      </c>
      <c r="D854" s="10" t="inlineStr">
        <is>
          <t>W4102304611</t>
        </is>
      </c>
      <c r="E854" s="11" t="inlineStr">
        <is>
          <t>Lärm- und Erschütterungsauflagen</t>
        </is>
      </c>
      <c r="F854" s="10" t="inlineStr">
        <is>
          <t>Emissionen</t>
        </is>
      </c>
      <c r="G854" s="12" t="n">
        <v>0.15</v>
      </c>
      <c r="H854" s="13" t="n">
        <v>351</v>
      </c>
      <c r="I854" s="13" t="n">
        <v>703</v>
      </c>
      <c r="J854" s="13" t="n">
        <v>1406</v>
      </c>
      <c r="K854" s="14">
        <f>IF(OR(COUNT(G854:J854)&lt;&gt;4,G854&lt;0,G854&gt;1,H854&gt;I854,I854&gt;J854),"n.a.",ROUND(G854*(H854+4*I854+J854)/6+0.00000001,2))</f>
        <v/>
      </c>
      <c r="L854" s="13" t="n">
        <v>0</v>
      </c>
      <c r="M854" s="14">
        <f>SUMIFS(Maßnahmen!$I$7:$I$126,Maßnahmen!$D$7:$D$126,C854,Maßnahmen!$H$7:$H$126,"&lt;&gt;verworfen")</f>
        <v/>
      </c>
      <c r="N854" s="14">
        <f>IF(ISNUMBER(K854),MAX(0,K854-L854-M854),"n.a.")</f>
        <v/>
      </c>
      <c r="O854" s="14" t="n">
        <v>114.23</v>
      </c>
      <c r="P854" s="14">
        <f>IF(ISNUMBER(K854),K854-O854,"n.a.")</f>
        <v/>
      </c>
    </row>
    <row r="855" ht="32" customHeight="1">
      <c r="C855" s="10" t="inlineStr">
        <is>
          <t>PRJ-3d4f066b-RK-14</t>
        </is>
      </c>
      <c r="D855" s="10" t="inlineStr">
        <is>
          <t>W4102304611</t>
        </is>
      </c>
      <c r="E855" s="11" t="inlineStr">
        <is>
          <t>Rechtliche Auflagen / Entsorgungsnachweise (Formalismus)</t>
        </is>
      </c>
      <c r="F855" s="10" t="inlineStr">
        <is>
          <t>Genehmigung</t>
        </is>
      </c>
      <c r="G855" s="12" t="n">
        <v>0.4</v>
      </c>
      <c r="H855" s="13" t="n">
        <v>6678</v>
      </c>
      <c r="I855" s="13" t="n">
        <v>13005</v>
      </c>
      <c r="J855" s="13" t="n">
        <v>24604</v>
      </c>
      <c r="K855" s="14">
        <f>IF(OR(COUNT(G855:J855)&lt;&gt;4,G855&lt;0,G855&gt;1,H855&gt;I855,I855&gt;J855),"n.a.",ROUND(G855*(H855+4*I855+J855)/6+0.00000001,2))</f>
        <v/>
      </c>
      <c r="L855" s="13" t="n">
        <v>0</v>
      </c>
      <c r="M855" s="14">
        <f>SUMIFS(Maßnahmen!$I$7:$I$126,Maßnahmen!$D$7:$D$126,C855,Maßnahmen!$H$7:$H$126,"&lt;&gt;verworfen")</f>
        <v/>
      </c>
      <c r="N855" s="14">
        <f>IF(ISNUMBER(K855),MAX(0,K855-L855-M855),"n.a.")</f>
        <v/>
      </c>
      <c r="O855" s="14" t="n">
        <v>5553.47</v>
      </c>
      <c r="P855" s="14">
        <f>IF(ISNUMBER(K855),K855-O855,"n.a.")</f>
        <v/>
      </c>
    </row>
    <row r="856" ht="32" customHeight="1">
      <c r="C856" s="10" t="inlineStr">
        <is>
          <t>PRJ-3d4f066b-RK-15</t>
        </is>
      </c>
      <c r="D856" s="10" t="inlineStr">
        <is>
          <t>W4102304611</t>
        </is>
      </c>
      <c r="E856" s="11" t="inlineStr">
        <is>
          <t>Konjunktur / Sekundärstoffpreise &amp; Gerätemiete</t>
        </is>
      </c>
      <c r="F856" s="10" t="inlineStr">
        <is>
          <t>Markt</t>
        </is>
      </c>
      <c r="G856" s="12" t="n">
        <v>0.12</v>
      </c>
      <c r="H856" s="13" t="n">
        <v>562</v>
      </c>
      <c r="I856" s="13" t="n">
        <v>1406</v>
      </c>
      <c r="J856" s="13" t="n">
        <v>3515</v>
      </c>
      <c r="K856" s="14">
        <f>IF(OR(COUNT(G856:J856)&lt;&gt;4,G856&lt;0,G856&gt;1,H856&gt;I856,I856&gt;J856),"n.a.",ROUND(G856*(H856+4*I856+J856)/6+0.00000001,2))</f>
        <v/>
      </c>
      <c r="L856" s="13" t="n">
        <v>0</v>
      </c>
      <c r="M856" s="14">
        <f>SUMIFS(Maßnahmen!$I$7:$I$126,Maßnahmen!$D$7:$D$126,C856,Maßnahmen!$H$7:$H$126,"&lt;&gt;verworfen")</f>
        <v/>
      </c>
      <c r="N856" s="14">
        <f>IF(ISNUMBER(K856),MAX(0,K856-L856-M856),"n.a.")</f>
        <v/>
      </c>
      <c r="O856" s="14" t="n">
        <v>194.02</v>
      </c>
      <c r="P856" s="14">
        <f>IF(ISNUMBER(K856),K856-O856,"n.a.")</f>
        <v/>
      </c>
    </row>
    <row r="857" ht="32" customHeight="1">
      <c r="C857" s="10" t="inlineStr">
        <is>
          <t>PRJ-52b1cfb2-RK-01</t>
        </is>
      </c>
      <c r="D857" s="10" t="inlineStr">
        <is>
          <t>P4102157420</t>
        </is>
      </c>
      <c r="E857" s="11" t="inlineStr">
        <is>
          <t>Schadstofffund / Schadstoffsanierung (Asbest, PAK, PCB, PCP)</t>
        </is>
      </c>
      <c r="F857" s="10" t="inlineStr">
        <is>
          <t>Schadstoffe</t>
        </is>
      </c>
      <c r="G857" s="12" t="n">
        <v>0.474</v>
      </c>
      <c r="H857" s="13" t="n">
        <v>56</v>
      </c>
      <c r="I857" s="13" t="n">
        <v>115</v>
      </c>
      <c r="J857" s="13" t="n">
        <v>216</v>
      </c>
      <c r="K857" s="14">
        <f>IF(OR(COUNT(G857:J857)&lt;&gt;4,G857&lt;0,G857&gt;1,H857&gt;I857,I857&gt;J857),"n.a.",ROUND(G857*(H857+4*I857+J857)/6+0.00000001,2))</f>
        <v/>
      </c>
      <c r="L857" s="13" t="n">
        <v>0</v>
      </c>
      <c r="M857" s="14">
        <f>SUMIFS(Maßnahmen!$I$7:$I$126,Maßnahmen!$D$7:$D$126,C857,Maßnahmen!$H$7:$H$126,"&lt;&gt;verworfen")</f>
        <v/>
      </c>
      <c r="N857" s="14">
        <f>IF(ISNUMBER(K857),MAX(0,K857-L857-M857),"n.a.")</f>
        <v/>
      </c>
      <c r="O857" s="14" t="n">
        <v>57.83</v>
      </c>
      <c r="P857" s="14">
        <f>IF(ISNUMBER(K857),K857-O857,"n.a.")</f>
        <v/>
      </c>
    </row>
    <row r="858" ht="32" customHeight="1">
      <c r="C858" s="10" t="inlineStr">
        <is>
          <t>PRJ-52b1cfb2-RK-02</t>
        </is>
      </c>
      <c r="D858" s="10" t="inlineStr">
        <is>
          <t>P4102157420</t>
        </is>
      </c>
      <c r="E858" s="11" t="inlineStr">
        <is>
          <t>Arbeitsschutz kontaminierte Bereiche (TRGS 524)</t>
        </is>
      </c>
      <c r="F858" s="10" t="inlineStr">
        <is>
          <t>Schadstoffe</t>
        </is>
      </c>
      <c r="G858" s="12" t="n">
        <v>0.414</v>
      </c>
      <c r="H858" s="13" t="n">
        <v>20</v>
      </c>
      <c r="I858" s="13" t="n">
        <v>50</v>
      </c>
      <c r="J858" s="13" t="n">
        <v>100</v>
      </c>
      <c r="K858" s="14">
        <f>IF(OR(COUNT(G858:J858)&lt;&gt;4,G858&lt;0,G858&gt;1,H858&gt;I858,I858&gt;J858),"n.a.",ROUND(G858*(H858+4*I858+J858)/6+0.00000001,2))</f>
        <v/>
      </c>
      <c r="L858" s="13" t="n">
        <v>0</v>
      </c>
      <c r="M858" s="14">
        <f>SUMIFS(Maßnahmen!$I$7:$I$126,Maßnahmen!$D$7:$D$126,C858,Maßnahmen!$H$7:$H$126,"&lt;&gt;verworfen")</f>
        <v/>
      </c>
      <c r="N858" s="14">
        <f>IF(ISNUMBER(K858),MAX(0,K858-L858-M858),"n.a.")</f>
        <v/>
      </c>
      <c r="O858" s="14" t="n">
        <v>22.08</v>
      </c>
      <c r="P858" s="14">
        <f>IF(ISNUMBER(K858),K858-O858,"n.a.")</f>
        <v/>
      </c>
    </row>
    <row r="859" ht="32" customHeight="1">
      <c r="C859" s="10" t="inlineStr">
        <is>
          <t>PRJ-52b1cfb2-RK-03</t>
        </is>
      </c>
      <c r="D859" s="10" t="inlineStr">
        <is>
          <t>P4102157420</t>
        </is>
      </c>
      <c r="E859" s="11" t="inlineStr">
        <is>
          <t>Entsorgungs-Mehrkosten / Entsorgungswege</t>
        </is>
      </c>
      <c r="F859" s="10" t="inlineStr">
        <is>
          <t>Entsorgung</t>
        </is>
      </c>
      <c r="G859" s="12" t="n">
        <v>0.234</v>
      </c>
      <c r="H859" s="13" t="n">
        <v>51</v>
      </c>
      <c r="I859" s="13" t="n">
        <v>103</v>
      </c>
      <c r="J859" s="13" t="n">
        <v>184</v>
      </c>
      <c r="K859" s="14">
        <f>IF(OR(COUNT(G859:J859)&lt;&gt;4,G859&lt;0,G859&gt;1,H859&gt;I859,I859&gt;J859),"n.a.",ROUND(G859*(H859+4*I859+J859)/6+0.00000001,2))</f>
        <v/>
      </c>
      <c r="L859" s="13" t="n">
        <v>0</v>
      </c>
      <c r="M859" s="14">
        <f>SUMIFS(Maßnahmen!$I$7:$I$126,Maßnahmen!$D$7:$D$126,C859,Maßnahmen!$H$7:$H$126,"&lt;&gt;verworfen")</f>
        <v/>
      </c>
      <c r="N859" s="14">
        <f>IF(ISNUMBER(K859),MAX(0,K859-L859-M859),"n.a.")</f>
        <v/>
      </c>
      <c r="O859" s="14" t="n">
        <v>25.23</v>
      </c>
      <c r="P859" s="14">
        <f>IF(ISNUMBER(K859),K859-O859,"n.a.")</f>
        <v/>
      </c>
    </row>
    <row r="860" ht="32" customHeight="1">
      <c r="C860" s="10" t="inlineStr">
        <is>
          <t>PRJ-52b1cfb2-RK-04</t>
        </is>
      </c>
      <c r="D860" s="10" t="inlineStr">
        <is>
          <t>P4102157420</t>
        </is>
      </c>
      <c r="E860" s="11" t="inlineStr">
        <is>
          <t>Baustofftrennung / Aufbereitung nicht wie geplant</t>
        </is>
      </c>
      <c r="F860" s="10" t="inlineStr">
        <is>
          <t>Entsorgung</t>
        </is>
      </c>
      <c r="G860" s="12" t="n">
        <v>0.1</v>
      </c>
      <c r="H860" s="13" t="n">
        <v>20</v>
      </c>
      <c r="I860" s="13" t="n">
        <v>50</v>
      </c>
      <c r="J860" s="13" t="n">
        <v>100</v>
      </c>
      <c r="K860" s="14">
        <f>IF(OR(COUNT(G860:J860)&lt;&gt;4,G860&lt;0,G860&gt;1,H860&gt;I860,I860&gt;J860),"n.a.",ROUND(G860*(H860+4*I860+J860)/6+0.00000001,2))</f>
        <v/>
      </c>
      <c r="L860" s="13" t="n">
        <v>0</v>
      </c>
      <c r="M860" s="14">
        <f>SUMIFS(Maßnahmen!$I$7:$I$126,Maßnahmen!$D$7:$D$126,C860,Maßnahmen!$H$7:$H$126,"&lt;&gt;verworfen")</f>
        <v/>
      </c>
      <c r="N860" s="14">
        <f>IF(ISNUMBER(K860),MAX(0,K860-L860-M860),"n.a.")</f>
        <v/>
      </c>
      <c r="O860" s="14" t="n">
        <v>5.33</v>
      </c>
      <c r="P860" s="14">
        <f>IF(ISNUMBER(K860),K860-O860,"n.a.")</f>
        <v/>
      </c>
    </row>
    <row r="861" ht="32" customHeight="1">
      <c r="C861" s="10" t="inlineStr">
        <is>
          <t>PRJ-52b1cfb2-RK-05</t>
        </is>
      </c>
      <c r="D861" s="10" t="inlineStr">
        <is>
          <t>P4102157420</t>
        </is>
      </c>
      <c r="E861" s="11" t="inlineStr">
        <is>
          <t>Unbekannte Bauwerkskonstruktion / fehlende Pläne</t>
        </is>
      </c>
      <c r="F861" s="10" t="inlineStr">
        <is>
          <t>Statik</t>
        </is>
      </c>
      <c r="G861" s="12" t="n">
        <v>0.12</v>
      </c>
      <c r="H861" s="13" t="n">
        <v>40</v>
      </c>
      <c r="I861" s="13" t="n">
        <v>80</v>
      </c>
      <c r="J861" s="13" t="n">
        <v>150</v>
      </c>
      <c r="K861" s="14">
        <f>IF(OR(COUNT(G861:J861)&lt;&gt;4,G861&lt;0,G861&gt;1,H861&gt;I861,I861&gt;J861),"n.a.",ROUND(G861*(H861+4*I861+J861)/6+0.00000001,2))</f>
        <v/>
      </c>
      <c r="L861" s="13" t="n">
        <v>0</v>
      </c>
      <c r="M861" s="14">
        <f>SUMIFS(Maßnahmen!$I$7:$I$126,Maßnahmen!$D$7:$D$126,C861,Maßnahmen!$H$7:$H$126,"&lt;&gt;verworfen")</f>
        <v/>
      </c>
      <c r="N861" s="14">
        <f>IF(ISNUMBER(K861),MAX(0,K861-L861-M861),"n.a.")</f>
        <v/>
      </c>
      <c r="O861" s="14" t="n">
        <v>10.2</v>
      </c>
      <c r="P861" s="14">
        <f>IF(ISNUMBER(K861),K861-O861,"n.a.")</f>
        <v/>
      </c>
    </row>
    <row r="862" ht="32" customHeight="1">
      <c r="C862" s="10" t="inlineStr">
        <is>
          <t>PRJ-52b1cfb2-RK-06</t>
        </is>
      </c>
      <c r="D862" s="10" t="inlineStr">
        <is>
          <t>P4102157420</t>
        </is>
      </c>
      <c r="E862" s="11" t="inlineStr">
        <is>
          <t>Statik / Einsturzsicherung während Abbruch</t>
        </is>
      </c>
      <c r="F862" s="10" t="inlineStr">
        <is>
          <t>Statik</t>
        </is>
      </c>
      <c r="G862" s="12" t="n">
        <v>0.158</v>
      </c>
      <c r="H862" s="13" t="n">
        <v>53</v>
      </c>
      <c r="I862" s="13" t="n">
        <v>108</v>
      </c>
      <c r="J862" s="13" t="n">
        <v>201</v>
      </c>
      <c r="K862" s="14">
        <f>IF(OR(COUNT(G862:J862)&lt;&gt;4,G862&lt;0,G862&gt;1,H862&gt;I862,I862&gt;J862),"n.a.",ROUND(G862*(H862+4*I862+J862)/6+0.00000001,2))</f>
        <v/>
      </c>
      <c r="L862" s="13" t="n">
        <v>0</v>
      </c>
      <c r="M862" s="14">
        <f>SUMIFS(Maßnahmen!$I$7:$I$126,Maßnahmen!$D$7:$D$126,C862,Maßnahmen!$H$7:$H$126,"&lt;&gt;verworfen")</f>
        <v/>
      </c>
      <c r="N862" s="14">
        <f>IF(ISNUMBER(K862),MAX(0,K862-L862-M862),"n.a.")</f>
        <v/>
      </c>
      <c r="O862" s="14" t="n">
        <v>18.06</v>
      </c>
      <c r="P862" s="14">
        <f>IF(ISNUMBER(K862),K862-O862,"n.a.")</f>
        <v/>
      </c>
    </row>
    <row r="863" ht="32" customHeight="1">
      <c r="C863" s="10" t="inlineStr">
        <is>
          <t>PRJ-52b1cfb2-RK-07</t>
        </is>
      </c>
      <c r="D863" s="10" t="inlineStr">
        <is>
          <t>P4102157420</t>
        </is>
      </c>
      <c r="E863" s="11" t="inlineStr">
        <is>
          <t>Unterirdische Tragkonstruktion / Fundamente</t>
        </is>
      </c>
      <c r="F863" s="10" t="inlineStr">
        <is>
          <t>Statik</t>
        </is>
      </c>
      <c r="G863" s="12" t="n">
        <v>0.5</v>
      </c>
      <c r="H863" s="13" t="n">
        <v>13</v>
      </c>
      <c r="I863" s="13" t="n">
        <v>32</v>
      </c>
      <c r="J863" s="13" t="n">
        <v>73</v>
      </c>
      <c r="K863" s="14">
        <f>IF(OR(COUNT(G863:J863)&lt;&gt;4,G863&lt;0,G863&gt;1,H863&gt;I863,I863&gt;J863),"n.a.",ROUND(G863*(H863+4*I863+J863)/6+0.00000001,2))</f>
        <v/>
      </c>
      <c r="L863" s="13" t="n">
        <v>0</v>
      </c>
      <c r="M863" s="14">
        <f>SUMIFS(Maßnahmen!$I$7:$I$126,Maßnahmen!$D$7:$D$126,C863,Maßnahmen!$H$7:$H$126,"&lt;&gt;verworfen")</f>
        <v/>
      </c>
      <c r="N863" s="14">
        <f>IF(ISNUMBER(K863),MAX(0,K863-L863-M863),"n.a.")</f>
        <v/>
      </c>
      <c r="O863" s="14" t="n">
        <v>17.83</v>
      </c>
      <c r="P863" s="14">
        <f>IF(ISNUMBER(K863),K863-O863,"n.a.")</f>
        <v/>
      </c>
    </row>
    <row r="864" ht="32" customHeight="1">
      <c r="C864" s="10" t="inlineStr">
        <is>
          <t>PRJ-52b1cfb2-RK-08</t>
        </is>
      </c>
      <c r="D864" s="10" t="inlineStr">
        <is>
          <t>P4102157420</t>
        </is>
      </c>
      <c r="E864" s="11" t="inlineStr">
        <is>
          <t>Gebäudehöhe &gt;22 m / Longfront-Bagger (+130–150 %)</t>
        </is>
      </c>
      <c r="F864" s="10" t="inlineStr">
        <is>
          <t>Termin</t>
        </is>
      </c>
      <c r="G864" s="12" t="n">
        <v>0.537</v>
      </c>
      <c r="H864" s="13" t="n">
        <v>77</v>
      </c>
      <c r="I864" s="13" t="n">
        <v>156</v>
      </c>
      <c r="J864" s="13" t="n">
        <v>296</v>
      </c>
      <c r="K864" s="14">
        <f>IF(OR(COUNT(G864:J864)&lt;&gt;4,G864&lt;0,G864&gt;1,H864&gt;I864,I864&gt;J864),"n.a.",ROUND(G864*(H864+4*I864+J864)/6+0.00000001,2))</f>
        <v/>
      </c>
      <c r="L864" s="13" t="n">
        <v>0</v>
      </c>
      <c r="M864" s="14">
        <f>SUMIFS(Maßnahmen!$I$7:$I$126,Maßnahmen!$D$7:$D$126,C864,Maßnahmen!$H$7:$H$126,"&lt;&gt;verworfen")</f>
        <v/>
      </c>
      <c r="N864" s="14">
        <f>IF(ISNUMBER(K864),MAX(0,K864-L864-M864),"n.a.")</f>
        <v/>
      </c>
      <c r="O864" s="14" t="n">
        <v>89.23</v>
      </c>
      <c r="P864" s="14">
        <f>IF(ISNUMBER(K864),K864-O864,"n.a.")</f>
        <v/>
      </c>
    </row>
    <row r="865" ht="32" customHeight="1">
      <c r="C865" s="10" t="inlineStr">
        <is>
          <t>PRJ-52b1cfb2-RK-14</t>
        </is>
      </c>
      <c r="D865" s="10" t="inlineStr">
        <is>
          <t>P4102157420</t>
        </is>
      </c>
      <c r="E865" s="11" t="inlineStr">
        <is>
          <t>Rechtliche Auflagen / Entsorgungsnachweise (Formalismus)</t>
        </is>
      </c>
      <c r="F865" s="10" t="inlineStr">
        <is>
          <t>Genehmigung</t>
        </is>
      </c>
      <c r="G865" s="12" t="n">
        <v>0.4</v>
      </c>
      <c r="H865" s="13" t="n">
        <v>82</v>
      </c>
      <c r="I865" s="13" t="n">
        <v>161</v>
      </c>
      <c r="J865" s="13" t="n">
        <v>306</v>
      </c>
      <c r="K865" s="14">
        <f>IF(OR(COUNT(G865:J865)&lt;&gt;4,G865&lt;0,G865&gt;1,H865&gt;I865,I865&gt;J865),"n.a.",ROUND(G865*(H865+4*I865+J865)/6+0.00000001,2))</f>
        <v/>
      </c>
      <c r="L865" s="13" t="n">
        <v>0</v>
      </c>
      <c r="M865" s="14">
        <f>SUMIFS(Maßnahmen!$I$7:$I$126,Maßnahmen!$D$7:$D$126,C865,Maßnahmen!$H$7:$H$126,"&lt;&gt;verworfen")</f>
        <v/>
      </c>
      <c r="N865" s="14">
        <f>IF(ISNUMBER(K865),MAX(0,K865-L865-M865),"n.a.")</f>
        <v/>
      </c>
      <c r="O865" s="14" t="n">
        <v>68.8</v>
      </c>
      <c r="P865" s="14">
        <f>IF(ISNUMBER(K865),K865-O865,"n.a.")</f>
        <v/>
      </c>
    </row>
    <row r="866" ht="32" customHeight="1">
      <c r="C866" s="10" t="inlineStr">
        <is>
          <t>PRJ-40723646-RK-14</t>
        </is>
      </c>
      <c r="D866" s="10" t="inlineStr">
        <is>
          <t>W4102154961</t>
        </is>
      </c>
      <c r="E866" s="11" t="inlineStr">
        <is>
          <t>Rechtliche Auflagen / Entsorgungsnachweise (Formalismus)</t>
        </is>
      </c>
      <c r="F866" s="10" t="inlineStr">
        <is>
          <t>Genehmigung</t>
        </is>
      </c>
      <c r="G866" s="12" t="n">
        <v>0.4</v>
      </c>
      <c r="H866" s="13" t="n">
        <v>257</v>
      </c>
      <c r="I866" s="13" t="n">
        <v>500</v>
      </c>
      <c r="J866" s="13" t="n">
        <v>945</v>
      </c>
      <c r="K866" s="14">
        <f>IF(OR(COUNT(G866:J866)&lt;&gt;4,G866&lt;0,G866&gt;1,H866&gt;I866,I866&gt;J866),"n.a.",ROUND(G866*(H866+4*I866+J866)/6+0.00000001,2))</f>
        <v/>
      </c>
      <c r="L866" s="13" t="n">
        <v>0</v>
      </c>
      <c r="M866" s="14">
        <f>SUMIFS(Maßnahmen!$I$7:$I$126,Maßnahmen!$D$7:$D$126,C866,Maßnahmen!$H$7:$H$126,"&lt;&gt;verworfen")</f>
        <v/>
      </c>
      <c r="N866" s="14">
        <f>IF(ISNUMBER(K866),MAX(0,K866-L866-M866),"n.a.")</f>
        <v/>
      </c>
      <c r="O866" s="14" t="n">
        <v>213.47</v>
      </c>
      <c r="P866" s="14">
        <f>IF(ISNUMBER(K866),K866-O866,"n.a.")</f>
        <v/>
      </c>
    </row>
    <row r="867" ht="32" customHeight="1">
      <c r="C867" s="10" t="inlineStr">
        <is>
          <t>PRJ-40723646-RK-15</t>
        </is>
      </c>
      <c r="D867" s="10" t="inlineStr">
        <is>
          <t>W4102154961</t>
        </is>
      </c>
      <c r="E867" s="11" t="inlineStr">
        <is>
          <t>Konjunktur / Sekundärstoffpreise &amp; Gerätemiete</t>
        </is>
      </c>
      <c r="F867" s="10" t="inlineStr">
        <is>
          <t>Markt</t>
        </is>
      </c>
      <c r="G867" s="12" t="n">
        <v>0.12</v>
      </c>
      <c r="H867" s="13" t="n">
        <v>22</v>
      </c>
      <c r="I867" s="13" t="n">
        <v>54</v>
      </c>
      <c r="J867" s="13" t="n">
        <v>135</v>
      </c>
      <c r="K867" s="14">
        <f>IF(OR(COUNT(G867:J867)&lt;&gt;4,G867&lt;0,G867&gt;1,H867&gt;I867,I867&gt;J867),"n.a.",ROUND(G867*(H867+4*I867+J867)/6+0.00000001,2))</f>
        <v/>
      </c>
      <c r="L867" s="13" t="n">
        <v>0</v>
      </c>
      <c r="M867" s="14">
        <f>SUMIFS(Maßnahmen!$I$7:$I$126,Maßnahmen!$D$7:$D$126,C867,Maßnahmen!$H$7:$H$126,"&lt;&gt;verworfen")</f>
        <v/>
      </c>
      <c r="N867" s="14">
        <f>IF(ISNUMBER(K867),MAX(0,K867-L867-M867),"n.a.")</f>
        <v/>
      </c>
      <c r="O867" s="14" t="n">
        <v>7.46</v>
      </c>
      <c r="P867" s="14">
        <f>IF(ISNUMBER(K867),K867-O867,"n.a.")</f>
        <v/>
      </c>
    </row>
    <row r="868" ht="32" customHeight="1">
      <c r="C868" s="10" t="inlineStr">
        <is>
          <t>PRJ-40723641-RK-01</t>
        </is>
      </c>
      <c r="D868" s="10" t="inlineStr">
        <is>
          <t>W4102154966</t>
        </is>
      </c>
      <c r="E868" s="11" t="inlineStr">
        <is>
          <t>Schadstofffund / Schadstoffsanierung (Asbest, PAK, PCB, PCP)</t>
        </is>
      </c>
      <c r="F868" s="10" t="inlineStr">
        <is>
          <t>Schadstoffe</t>
        </is>
      </c>
      <c r="G868" s="12" t="n">
        <v>0.1</v>
      </c>
      <c r="H868" s="13" t="n">
        <v>166</v>
      </c>
      <c r="I868" s="13" t="n">
        <v>415</v>
      </c>
      <c r="J868" s="13" t="n">
        <v>830</v>
      </c>
      <c r="K868" s="14">
        <f>IF(OR(COUNT(G868:J868)&lt;&gt;4,G868&lt;0,G868&gt;1,H868&gt;I868,I868&gt;J868),"n.a.",ROUND(G868*(H868+4*I868+J868)/6+0.00000001,2))</f>
        <v/>
      </c>
      <c r="L868" s="13" t="n">
        <v>0</v>
      </c>
      <c r="M868" s="14">
        <f>SUMIFS(Maßnahmen!$I$7:$I$126,Maßnahmen!$D$7:$D$126,C868,Maßnahmen!$H$7:$H$126,"&lt;&gt;verworfen")</f>
        <v/>
      </c>
      <c r="N868" s="14">
        <f>IF(ISNUMBER(K868),MAX(0,K868-L868-M868),"n.a.")</f>
        <v/>
      </c>
      <c r="O868" s="14" t="n">
        <v>44.27</v>
      </c>
      <c r="P868" s="14">
        <f>IF(ISNUMBER(K868),K868-O868,"n.a.")</f>
        <v/>
      </c>
    </row>
    <row r="869" ht="32" customHeight="1">
      <c r="C869" s="10" t="inlineStr">
        <is>
          <t>PRJ-40723641-RK-02</t>
        </is>
      </c>
      <c r="D869" s="10" t="inlineStr">
        <is>
          <t>W4102154966</t>
        </is>
      </c>
      <c r="E869" s="11" t="inlineStr">
        <is>
          <t>Arbeitsschutz kontaminierte Bereiche (TRGS 524)</t>
        </is>
      </c>
      <c r="F869" s="10" t="inlineStr">
        <is>
          <t>Schadstoffe</t>
        </is>
      </c>
      <c r="G869" s="12" t="n">
        <v>0.47</v>
      </c>
      <c r="H869" s="13" t="n">
        <v>166</v>
      </c>
      <c r="I869" s="13" t="n">
        <v>415</v>
      </c>
      <c r="J869" s="13" t="n">
        <v>830</v>
      </c>
      <c r="K869" s="14">
        <f>IF(OR(COUNT(G869:J869)&lt;&gt;4,G869&lt;0,G869&gt;1,H869&gt;I869,I869&gt;J869),"n.a.",ROUND(G869*(H869+4*I869+J869)/6+0.00000001,2))</f>
        <v/>
      </c>
      <c r="L869" s="13" t="n">
        <v>0</v>
      </c>
      <c r="M869" s="14">
        <f>SUMIFS(Maßnahmen!$I$7:$I$126,Maßnahmen!$D$7:$D$126,C869,Maßnahmen!$H$7:$H$126,"&lt;&gt;verworfen")</f>
        <v/>
      </c>
      <c r="N869" s="14">
        <f>IF(ISNUMBER(K869),MAX(0,K869-L869-M869),"n.a.")</f>
        <v/>
      </c>
      <c r="O869" s="14" t="n">
        <v>208.05</v>
      </c>
      <c r="P869" s="14">
        <f>IF(ISNUMBER(K869),K869-O869,"n.a.")</f>
        <v/>
      </c>
    </row>
    <row r="870" ht="32" customHeight="1">
      <c r="C870" s="10" t="inlineStr">
        <is>
          <t>PRJ-40723641-RK-03</t>
        </is>
      </c>
      <c r="D870" s="10" t="inlineStr">
        <is>
          <t>W4102154966</t>
        </is>
      </c>
      <c r="E870" s="11" t="inlineStr">
        <is>
          <t>Entsorgungs-Mehrkosten / Entsorgungswege</t>
        </is>
      </c>
      <c r="F870" s="10" t="inlineStr">
        <is>
          <t>Entsorgung</t>
        </is>
      </c>
      <c r="G870" s="12" t="n">
        <v>0.15</v>
      </c>
      <c r="H870" s="13" t="n">
        <v>166</v>
      </c>
      <c r="I870" s="13" t="n">
        <v>415</v>
      </c>
      <c r="J870" s="13" t="n">
        <v>830</v>
      </c>
      <c r="K870" s="14">
        <f>IF(OR(COUNT(G870:J870)&lt;&gt;4,G870&lt;0,G870&gt;1,H870&gt;I870,I870&gt;J870),"n.a.",ROUND(G870*(H870+4*I870+J870)/6+0.00000001,2))</f>
        <v/>
      </c>
      <c r="L870" s="13" t="n">
        <v>0</v>
      </c>
      <c r="M870" s="14">
        <f>SUMIFS(Maßnahmen!$I$7:$I$126,Maßnahmen!$D$7:$D$126,C870,Maßnahmen!$H$7:$H$126,"&lt;&gt;verworfen")</f>
        <v/>
      </c>
      <c r="N870" s="14">
        <f>IF(ISNUMBER(K870),MAX(0,K870-L870-M870),"n.a.")</f>
        <v/>
      </c>
      <c r="O870" s="14" t="n">
        <v>66.40000000000001</v>
      </c>
      <c r="P870" s="14">
        <f>IF(ISNUMBER(K870),K870-O870,"n.a.")</f>
        <v/>
      </c>
    </row>
    <row r="871" ht="32" customHeight="1">
      <c r="C871" s="10" t="inlineStr">
        <is>
          <t>PRJ-40723641-RK-04</t>
        </is>
      </c>
      <c r="D871" s="10" t="inlineStr">
        <is>
          <t>W4102154966</t>
        </is>
      </c>
      <c r="E871" s="11" t="inlineStr">
        <is>
          <t>Baustofftrennung / Aufbereitung nicht wie geplant</t>
        </is>
      </c>
      <c r="F871" s="10" t="inlineStr">
        <is>
          <t>Entsorgung</t>
        </is>
      </c>
      <c r="G871" s="12" t="n">
        <v>0.1</v>
      </c>
      <c r="H871" s="13" t="n">
        <v>166</v>
      </c>
      <c r="I871" s="13" t="n">
        <v>415</v>
      </c>
      <c r="J871" s="13" t="n">
        <v>830</v>
      </c>
      <c r="K871" s="14">
        <f>IF(OR(COUNT(G871:J871)&lt;&gt;4,G871&lt;0,G871&gt;1,H871&gt;I871,I871&gt;J871),"n.a.",ROUND(G871*(H871+4*I871+J871)/6+0.00000001,2))</f>
        <v/>
      </c>
      <c r="L871" s="13" t="n">
        <v>0</v>
      </c>
      <c r="M871" s="14">
        <f>SUMIFS(Maßnahmen!$I$7:$I$126,Maßnahmen!$D$7:$D$126,C871,Maßnahmen!$H$7:$H$126,"&lt;&gt;verworfen")</f>
        <v/>
      </c>
      <c r="N871" s="14">
        <f>IF(ISNUMBER(K871),MAX(0,K871-L871-M871),"n.a.")</f>
        <v/>
      </c>
      <c r="O871" s="14" t="n">
        <v>44.27</v>
      </c>
      <c r="P871" s="14">
        <f>IF(ISNUMBER(K871),K871-O871,"n.a.")</f>
        <v/>
      </c>
    </row>
    <row r="872" ht="32" customHeight="1">
      <c r="C872" s="10" t="inlineStr">
        <is>
          <t>PRJ-40723641-RK-05</t>
        </is>
      </c>
      <c r="D872" s="10" t="inlineStr">
        <is>
          <t>W4102154966</t>
        </is>
      </c>
      <c r="E872" s="11" t="inlineStr">
        <is>
          <t>Unbekannte Bauwerkskonstruktion / fehlende Pläne</t>
        </is>
      </c>
      <c r="F872" s="10" t="inlineStr">
        <is>
          <t>Statik</t>
        </is>
      </c>
      <c r="G872" s="12" t="n">
        <v>0.12</v>
      </c>
      <c r="H872" s="13" t="n">
        <v>332</v>
      </c>
      <c r="I872" s="13" t="n">
        <v>664</v>
      </c>
      <c r="J872" s="13" t="n">
        <v>1245</v>
      </c>
      <c r="K872" s="14">
        <f>IF(OR(COUNT(G872:J872)&lt;&gt;4,G872&lt;0,G872&gt;1,H872&gt;I872,I872&gt;J872),"n.a.",ROUND(G872*(H872+4*I872+J872)/6+0.00000001,2))</f>
        <v/>
      </c>
      <c r="L872" s="13" t="n">
        <v>0</v>
      </c>
      <c r="M872" s="14">
        <f>SUMIFS(Maßnahmen!$I$7:$I$126,Maßnahmen!$D$7:$D$126,C872,Maßnahmen!$H$7:$H$126,"&lt;&gt;verworfen")</f>
        <v/>
      </c>
      <c r="N872" s="14">
        <f>IF(ISNUMBER(K872),MAX(0,K872-L872-M872),"n.a.")</f>
        <v/>
      </c>
      <c r="O872" s="14" t="n">
        <v>84.66</v>
      </c>
      <c r="P872" s="14">
        <f>IF(ISNUMBER(K872),K872-O872,"n.a.")</f>
        <v/>
      </c>
    </row>
    <row r="873" ht="32" customHeight="1">
      <c r="C873" s="10" t="inlineStr">
        <is>
          <t>PRJ-40723641-RK-06</t>
        </is>
      </c>
      <c r="D873" s="10" t="inlineStr">
        <is>
          <t>W4102154966</t>
        </is>
      </c>
      <c r="E873" s="11" t="inlineStr">
        <is>
          <t>Statik / Einsturzsicherung während Abbruch</t>
        </is>
      </c>
      <c r="F873" s="10" t="inlineStr">
        <is>
          <t>Statik</t>
        </is>
      </c>
      <c r="G873" s="12" t="n">
        <v>0.12</v>
      </c>
      <c r="H873" s="13" t="n">
        <v>249</v>
      </c>
      <c r="I873" s="13" t="n">
        <v>581</v>
      </c>
      <c r="J873" s="13" t="n">
        <v>1162</v>
      </c>
      <c r="K873" s="14">
        <f>IF(OR(COUNT(G873:J873)&lt;&gt;4,G873&lt;0,G873&gt;1,H873&gt;I873,I873&gt;J873),"n.a.",ROUND(G873*(H873+4*I873+J873)/6+0.00000001,2))</f>
        <v/>
      </c>
      <c r="L873" s="13" t="n">
        <v>0</v>
      </c>
      <c r="M873" s="14">
        <f>SUMIFS(Maßnahmen!$I$7:$I$126,Maßnahmen!$D$7:$D$126,C873,Maßnahmen!$H$7:$H$126,"&lt;&gt;verworfen")</f>
        <v/>
      </c>
      <c r="N873" s="14">
        <f>IF(ISNUMBER(K873),MAX(0,K873-L873-M873),"n.a.")</f>
        <v/>
      </c>
      <c r="O873" s="14" t="n">
        <v>74.7</v>
      </c>
      <c r="P873" s="14">
        <f>IF(ISNUMBER(K873),K873-O873,"n.a.")</f>
        <v/>
      </c>
    </row>
    <row r="874" ht="32" customHeight="1">
      <c r="C874" s="10" t="inlineStr">
        <is>
          <t>PRJ-40723641-RK-07</t>
        </is>
      </c>
      <c r="D874" s="10" t="inlineStr">
        <is>
          <t>W4102154966</t>
        </is>
      </c>
      <c r="E874" s="11" t="inlineStr">
        <is>
          <t>Unterirdische Tragkonstruktion / Fundamente</t>
        </is>
      </c>
      <c r="F874" s="10" t="inlineStr">
        <is>
          <t>Statik</t>
        </is>
      </c>
      <c r="G874" s="12" t="n">
        <v>0.5</v>
      </c>
      <c r="H874" s="13" t="n">
        <v>41</v>
      </c>
      <c r="I874" s="13" t="n">
        <v>166</v>
      </c>
      <c r="J874" s="13" t="n">
        <v>415</v>
      </c>
      <c r="K874" s="14">
        <f>IF(OR(COUNT(G874:J874)&lt;&gt;4,G874&lt;0,G874&gt;1,H874&gt;I874,I874&gt;J874),"n.a.",ROUND(G874*(H874+4*I874+J874)/6+0.00000001,2))</f>
        <v/>
      </c>
      <c r="L874" s="13" t="n">
        <v>0</v>
      </c>
      <c r="M874" s="14">
        <f>SUMIFS(Maßnahmen!$I$7:$I$126,Maßnahmen!$D$7:$D$126,C874,Maßnahmen!$H$7:$H$126,"&lt;&gt;verworfen")</f>
        <v/>
      </c>
      <c r="N874" s="14">
        <f>IF(ISNUMBER(K874),MAX(0,K874-L874-M874),"n.a.")</f>
        <v/>
      </c>
      <c r="O874" s="14" t="n">
        <v>93.33</v>
      </c>
      <c r="P874" s="14">
        <f>IF(ISNUMBER(K874),K874-O874,"n.a.")</f>
        <v/>
      </c>
    </row>
    <row r="875" ht="32" customHeight="1">
      <c r="C875" s="10" t="inlineStr">
        <is>
          <t>PRJ-40723641-RK-08</t>
        </is>
      </c>
      <c r="D875" s="10" t="inlineStr">
        <is>
          <t>W4102154966</t>
        </is>
      </c>
      <c r="E875" s="11" t="inlineStr">
        <is>
          <t>Gebäudehöhe &gt;22 m / Longfront-Bagger (+130–150 %)</t>
        </is>
      </c>
      <c r="F875" s="10" t="inlineStr">
        <is>
          <t>Termin</t>
        </is>
      </c>
      <c r="G875" s="12" t="n">
        <v>0.6</v>
      </c>
      <c r="H875" s="13" t="n">
        <v>747</v>
      </c>
      <c r="I875" s="13" t="n">
        <v>1494</v>
      </c>
      <c r="J875" s="13" t="n">
        <v>2821</v>
      </c>
      <c r="K875" s="14">
        <f>IF(OR(COUNT(G875:J875)&lt;&gt;4,G875&lt;0,G875&gt;1,H875&gt;I875,I875&gt;J875),"n.a.",ROUND(G875*(H875+4*I875+J875)/6+0.00000001,2))</f>
        <v/>
      </c>
      <c r="L875" s="13" t="n">
        <v>0</v>
      </c>
      <c r="M875" s="14">
        <f>SUMIFS(Maßnahmen!$I$7:$I$126,Maßnahmen!$D$7:$D$126,C875,Maßnahmen!$H$7:$H$126,"&lt;&gt;verworfen")</f>
        <v/>
      </c>
      <c r="N875" s="14">
        <f>IF(ISNUMBER(K875),MAX(0,K875-L875-M875),"n.a.")</f>
        <v/>
      </c>
      <c r="O875" s="14" t="n">
        <v>954.4</v>
      </c>
      <c r="P875" s="14">
        <f>IF(ISNUMBER(K875),K875-O875,"n.a.")</f>
        <v/>
      </c>
    </row>
    <row r="876" ht="32" customHeight="1">
      <c r="C876" s="10" t="inlineStr">
        <is>
          <t>PRJ-40723641-RK-11</t>
        </is>
      </c>
      <c r="D876" s="10" t="inlineStr">
        <is>
          <t>W4102154966</t>
        </is>
      </c>
      <c r="E876" s="11" t="inlineStr">
        <is>
          <t>Witterung / Ablaufstörung</t>
        </is>
      </c>
      <c r="F876" s="10" t="inlineStr">
        <is>
          <t>Termin</t>
        </is>
      </c>
      <c r="G876" s="12" t="n">
        <v>0.25</v>
      </c>
      <c r="H876" s="13" t="n">
        <v>83</v>
      </c>
      <c r="I876" s="13" t="n">
        <v>249</v>
      </c>
      <c r="J876" s="13" t="n">
        <v>498</v>
      </c>
      <c r="K876" s="14">
        <f>IF(OR(COUNT(G876:J876)&lt;&gt;4,G876&lt;0,G876&gt;1,H876&gt;I876,I876&gt;J876),"n.a.",ROUND(G876*(H876+4*I876+J876)/6+0.00000001,2))</f>
        <v/>
      </c>
      <c r="L876" s="13" t="n">
        <v>0</v>
      </c>
      <c r="M876" s="14">
        <f>SUMIFS(Maßnahmen!$I$7:$I$126,Maßnahmen!$D$7:$D$126,C876,Maßnahmen!$H$7:$H$126,"&lt;&gt;verworfen")</f>
        <v/>
      </c>
      <c r="N876" s="14">
        <f>IF(ISNUMBER(K876),MAX(0,K876-L876-M876),"n.a.")</f>
        <v/>
      </c>
      <c r="O876" s="14" t="n">
        <v>65.70999999999999</v>
      </c>
      <c r="P876" s="14">
        <f>IF(ISNUMBER(K876),K876-O876,"n.a.")</f>
        <v/>
      </c>
    </row>
    <row r="877" ht="32" customHeight="1">
      <c r="C877" s="10" t="inlineStr">
        <is>
          <t>PRJ-40723641-RK-12</t>
        </is>
      </c>
      <c r="D877" s="10" t="inlineStr">
        <is>
          <t>W4102154966</t>
        </is>
      </c>
      <c r="E877" s="11" t="inlineStr">
        <is>
          <t>Staubemissionen (höchster Aufwand laut Umfrage)</t>
        </is>
      </c>
      <c r="F877" s="10" t="inlineStr">
        <is>
          <t>Emissionen</t>
        </is>
      </c>
      <c r="G877" s="12" t="n">
        <v>0.1</v>
      </c>
      <c r="H877" s="13" t="n">
        <v>249</v>
      </c>
      <c r="I877" s="13" t="n">
        <v>498</v>
      </c>
      <c r="J877" s="13" t="n">
        <v>996</v>
      </c>
      <c r="K877" s="14">
        <f>IF(OR(COUNT(G877:J877)&lt;&gt;4,G877&lt;0,G877&gt;1,H877&gt;I877,I877&gt;J877),"n.a.",ROUND(G877*(H877+4*I877+J877)/6+0.00000001,2))</f>
        <v/>
      </c>
      <c r="L877" s="13" t="n">
        <v>0</v>
      </c>
      <c r="M877" s="14">
        <f>SUMIFS(Maßnahmen!$I$7:$I$126,Maßnahmen!$D$7:$D$126,C877,Maßnahmen!$H$7:$H$126,"&lt;&gt;verworfen")</f>
        <v/>
      </c>
      <c r="N877" s="14">
        <f>IF(ISNUMBER(K877),MAX(0,K877-L877-M877),"n.a.")</f>
        <v/>
      </c>
      <c r="O877" s="14" t="n">
        <v>53.95</v>
      </c>
      <c r="P877" s="14">
        <f>IF(ISNUMBER(K877),K877-O877,"n.a.")</f>
        <v/>
      </c>
    </row>
    <row r="878" ht="32" customHeight="1">
      <c r="C878" s="10" t="inlineStr">
        <is>
          <t>PRJ-40723641-RK-13</t>
        </is>
      </c>
      <c r="D878" s="10" t="inlineStr">
        <is>
          <t>W4102154966</t>
        </is>
      </c>
      <c r="E878" s="11" t="inlineStr">
        <is>
          <t>Lärm- und Erschütterungsauflagen</t>
        </is>
      </c>
      <c r="F878" s="10" t="inlineStr">
        <is>
          <t>Emissionen</t>
        </is>
      </c>
      <c r="G878" s="12" t="n">
        <v>0.2</v>
      </c>
      <c r="H878" s="13" t="n">
        <v>166</v>
      </c>
      <c r="I878" s="13" t="n">
        <v>415</v>
      </c>
      <c r="J878" s="13" t="n">
        <v>830</v>
      </c>
      <c r="K878" s="14">
        <f>IF(OR(COUNT(G878:J878)&lt;&gt;4,G878&lt;0,G878&gt;1,H878&gt;I878,I878&gt;J878),"n.a.",ROUND(G878*(H878+4*I878+J878)/6+0.00000001,2))</f>
        <v/>
      </c>
      <c r="L878" s="13" t="n">
        <v>0</v>
      </c>
      <c r="M878" s="14">
        <f>SUMIFS(Maßnahmen!$I$7:$I$126,Maßnahmen!$D$7:$D$126,C878,Maßnahmen!$H$7:$H$126,"&lt;&gt;verworfen")</f>
        <v/>
      </c>
      <c r="N878" s="14">
        <f>IF(ISNUMBER(K878),MAX(0,K878-L878-M878),"n.a.")</f>
        <v/>
      </c>
      <c r="O878" s="14" t="n">
        <v>88.53</v>
      </c>
      <c r="P878" s="14">
        <f>IF(ISNUMBER(K878),K878-O878,"n.a.")</f>
        <v/>
      </c>
    </row>
    <row r="879" ht="32" customHeight="1">
      <c r="C879" s="10" t="inlineStr">
        <is>
          <t>PRJ-40723641-RK-14</t>
        </is>
      </c>
      <c r="D879" s="10" t="inlineStr">
        <is>
          <t>W4102154966</t>
        </is>
      </c>
      <c r="E879" s="11" t="inlineStr">
        <is>
          <t>Rechtliche Auflagen / Entsorgungsnachweise (Formalismus)</t>
        </is>
      </c>
      <c r="F879" s="10" t="inlineStr">
        <is>
          <t>Genehmigung</t>
        </is>
      </c>
      <c r="G879" s="12" t="n">
        <v>0.4</v>
      </c>
      <c r="H879" s="13" t="n">
        <v>788</v>
      </c>
      <c r="I879" s="13" t="n">
        <v>1535</v>
      </c>
      <c r="J879" s="13" t="n">
        <v>2904</v>
      </c>
      <c r="K879" s="14">
        <f>IF(OR(COUNT(G879:J879)&lt;&gt;4,G879&lt;0,G879&gt;1,H879&gt;I879,I879&gt;J879),"n.a.",ROUND(G879*(H879+4*I879+J879)/6+0.00000001,2))</f>
        <v/>
      </c>
      <c r="L879" s="13" t="n">
        <v>0</v>
      </c>
      <c r="M879" s="14">
        <f>SUMIFS(Maßnahmen!$I$7:$I$126,Maßnahmen!$D$7:$D$126,C879,Maßnahmen!$H$7:$H$126,"&lt;&gt;verworfen")</f>
        <v/>
      </c>
      <c r="N879" s="14">
        <f>IF(ISNUMBER(K879),MAX(0,K879-L879-M879),"n.a.")</f>
        <v/>
      </c>
      <c r="O879" s="14" t="n">
        <v>655.47</v>
      </c>
      <c r="P879" s="14">
        <f>IF(ISNUMBER(K879),K879-O879,"n.a.")</f>
        <v/>
      </c>
    </row>
    <row r="880" ht="32" customHeight="1">
      <c r="C880" s="10" t="inlineStr">
        <is>
          <t>PRJ-40723641-RK-15</t>
        </is>
      </c>
      <c r="D880" s="10" t="inlineStr">
        <is>
          <t>W4102154966</t>
        </is>
      </c>
      <c r="E880" s="11" t="inlineStr">
        <is>
          <t>Konjunktur / Sekundärstoffpreise &amp; Gerätemiete</t>
        </is>
      </c>
      <c r="F880" s="10" t="inlineStr">
        <is>
          <t>Markt</t>
        </is>
      </c>
      <c r="G880" s="12" t="n">
        <v>0.12</v>
      </c>
      <c r="H880" s="13" t="n">
        <v>66</v>
      </c>
      <c r="I880" s="13" t="n">
        <v>166</v>
      </c>
      <c r="J880" s="13" t="n">
        <v>415</v>
      </c>
      <c r="K880" s="14">
        <f>IF(OR(COUNT(G880:J880)&lt;&gt;4,G880&lt;0,G880&gt;1,H880&gt;I880,I880&gt;J880),"n.a.",ROUND(G880*(H880+4*I880+J880)/6+0.00000001,2))</f>
        <v/>
      </c>
      <c r="L880" s="13" t="n">
        <v>0</v>
      </c>
      <c r="M880" s="14">
        <f>SUMIFS(Maßnahmen!$I$7:$I$126,Maßnahmen!$D$7:$D$126,C880,Maßnahmen!$H$7:$H$126,"&lt;&gt;verworfen")</f>
        <v/>
      </c>
      <c r="N880" s="14">
        <f>IF(ISNUMBER(K880),MAX(0,K880-L880-M880),"n.a.")</f>
        <v/>
      </c>
      <c r="O880" s="14" t="n">
        <v>22.9</v>
      </c>
      <c r="P880" s="14">
        <f>IF(ISNUMBER(K880),K880-O880,"n.a.")</f>
        <v/>
      </c>
    </row>
    <row r="881" ht="32" customHeight="1">
      <c r="C881" s="10" t="inlineStr">
        <is>
          <t>PRJ-383070cf-RK-05</t>
        </is>
      </c>
      <c r="D881" s="10" t="inlineStr">
        <is>
          <t>W4102604951</t>
        </is>
      </c>
      <c r="E881" s="11" t="inlineStr">
        <is>
          <t>Unbekannte Bauwerkskonstruktion / fehlende Pläne</t>
        </is>
      </c>
      <c r="F881" s="10" t="inlineStr">
        <is>
          <t>Statik</t>
        </is>
      </c>
      <c r="G881" s="12" t="n">
        <v>0.12</v>
      </c>
      <c r="H881" s="13" t="n">
        <v>82</v>
      </c>
      <c r="I881" s="13" t="n">
        <v>163</v>
      </c>
      <c r="J881" s="13" t="n">
        <v>306</v>
      </c>
      <c r="K881" s="14">
        <f>IF(OR(COUNT(G881:J881)&lt;&gt;4,G881&lt;0,G881&gt;1,H881&gt;I881,I881&gt;J881),"n.a.",ROUND(G881*(H881+4*I881+J881)/6+0.00000001,2))</f>
        <v/>
      </c>
      <c r="L881" s="13" t="n">
        <v>0</v>
      </c>
      <c r="M881" s="14">
        <f>SUMIFS(Maßnahmen!$I$7:$I$126,Maßnahmen!$D$7:$D$126,C881,Maßnahmen!$H$7:$H$126,"&lt;&gt;verworfen")</f>
        <v/>
      </c>
      <c r="N881" s="14">
        <f>IF(ISNUMBER(K881),MAX(0,K881-L881-M881),"n.a.")</f>
        <v/>
      </c>
      <c r="O881" s="14" t="n">
        <v>20.8</v>
      </c>
      <c r="P881" s="14">
        <f>IF(ISNUMBER(K881),K881-O881,"n.a.")</f>
        <v/>
      </c>
    </row>
    <row r="882" ht="32" customHeight="1">
      <c r="C882" s="10" t="inlineStr">
        <is>
          <t>PRJ-4a6f9cbf-RK-01</t>
        </is>
      </c>
      <c r="D882" s="10" t="inlineStr">
        <is>
          <t>P4102608264</t>
        </is>
      </c>
      <c r="E882" s="11" t="inlineStr">
        <is>
          <t>Schadstofffund / Schadstoffsanierung (Asbest, PAK, PCB, PCP)</t>
        </is>
      </c>
      <c r="F882" s="10" t="inlineStr">
        <is>
          <t>Schadstoffe</t>
        </is>
      </c>
      <c r="G882" s="12" t="n">
        <v>0.1</v>
      </c>
      <c r="H882" s="13" t="n">
        <v>20</v>
      </c>
      <c r="I882" s="13" t="n">
        <v>50</v>
      </c>
      <c r="J882" s="13" t="n">
        <v>100</v>
      </c>
      <c r="K882" s="14">
        <f>IF(OR(COUNT(G882:J882)&lt;&gt;4,G882&lt;0,G882&gt;1,H882&gt;I882,I882&gt;J882),"n.a.",ROUND(G882*(H882+4*I882+J882)/6+0.00000001,2))</f>
        <v/>
      </c>
      <c r="L882" s="13" t="n">
        <v>0</v>
      </c>
      <c r="M882" s="14">
        <f>SUMIFS(Maßnahmen!$I$7:$I$126,Maßnahmen!$D$7:$D$126,C882,Maßnahmen!$H$7:$H$126,"&lt;&gt;verworfen")</f>
        <v/>
      </c>
      <c r="N882" s="14">
        <f>IF(ISNUMBER(K882),MAX(0,K882-L882-M882),"n.a.")</f>
        <v/>
      </c>
      <c r="O882" s="14" t="n">
        <v>5.33</v>
      </c>
      <c r="P882" s="14">
        <f>IF(ISNUMBER(K882),K882-O882,"n.a.")</f>
        <v/>
      </c>
    </row>
    <row r="883" ht="32" customHeight="1">
      <c r="C883" s="10" t="inlineStr">
        <is>
          <t>PRJ-4a6f9cbf-RK-02</t>
        </is>
      </c>
      <c r="D883" s="10" t="inlineStr">
        <is>
          <t>P4102608264</t>
        </is>
      </c>
      <c r="E883" s="11" t="inlineStr">
        <is>
          <t>Arbeitsschutz kontaminierte Bereiche (TRGS 524)</t>
        </is>
      </c>
      <c r="F883" s="10" t="inlineStr">
        <is>
          <t>Schadstoffe</t>
        </is>
      </c>
      <c r="G883" s="12" t="n">
        <v>0.1</v>
      </c>
      <c r="H883" s="13" t="n">
        <v>5</v>
      </c>
      <c r="I883" s="13" t="n">
        <v>10</v>
      </c>
      <c r="J883" s="13" t="n">
        <v>20</v>
      </c>
      <c r="K883" s="14">
        <f>IF(OR(COUNT(G883:J883)&lt;&gt;4,G883&lt;0,G883&gt;1,H883&gt;I883,I883&gt;J883),"n.a.",ROUND(G883*(H883+4*I883+J883)/6+0.00000001,2))</f>
        <v/>
      </c>
      <c r="L883" s="13" t="n">
        <v>0</v>
      </c>
      <c r="M883" s="14">
        <f>SUMIFS(Maßnahmen!$I$7:$I$126,Maßnahmen!$D$7:$D$126,C883,Maßnahmen!$H$7:$H$126,"&lt;&gt;verworfen")</f>
        <v/>
      </c>
      <c r="N883" s="14">
        <f>IF(ISNUMBER(K883),MAX(0,K883-L883-M883),"n.a.")</f>
        <v/>
      </c>
      <c r="O883" s="14" t="n">
        <v>1.08</v>
      </c>
      <c r="P883" s="14">
        <f>IF(ISNUMBER(K883),K883-O883,"n.a.")</f>
        <v/>
      </c>
    </row>
    <row r="884" ht="32" customHeight="1">
      <c r="C884" s="10" t="inlineStr">
        <is>
          <t>PRJ-4a6f9cbf-RK-03</t>
        </is>
      </c>
      <c r="D884" s="10" t="inlineStr">
        <is>
          <t>P4102608264</t>
        </is>
      </c>
      <c r="E884" s="11" t="inlineStr">
        <is>
          <t>Entsorgungs-Mehrkosten / Entsorgungswege</t>
        </is>
      </c>
      <c r="F884" s="10" t="inlineStr">
        <is>
          <t>Entsorgung</t>
        </is>
      </c>
      <c r="G884" s="12" t="n">
        <v>0.27</v>
      </c>
      <c r="H884" s="13" t="n">
        <v>20</v>
      </c>
      <c r="I884" s="13" t="n">
        <v>50</v>
      </c>
      <c r="J884" s="13" t="n">
        <v>100</v>
      </c>
      <c r="K884" s="14">
        <f>IF(OR(COUNT(G884:J884)&lt;&gt;4,G884&lt;0,G884&gt;1,H884&gt;I884,I884&gt;J884),"n.a.",ROUND(G884*(H884+4*I884+J884)/6+0.00000001,2))</f>
        <v/>
      </c>
      <c r="L884" s="13" t="n">
        <v>0</v>
      </c>
      <c r="M884" s="14">
        <f>SUMIFS(Maßnahmen!$I$7:$I$126,Maßnahmen!$D$7:$D$126,C884,Maßnahmen!$H$7:$H$126,"&lt;&gt;verworfen")</f>
        <v/>
      </c>
      <c r="N884" s="14">
        <f>IF(ISNUMBER(K884),MAX(0,K884-L884-M884),"n.a.")</f>
        <v/>
      </c>
      <c r="O884" s="14" t="n">
        <v>14.4</v>
      </c>
      <c r="P884" s="14">
        <f>IF(ISNUMBER(K884),K884-O884,"n.a.")</f>
        <v/>
      </c>
    </row>
    <row r="885" ht="32" customHeight="1">
      <c r="C885" s="10" t="inlineStr">
        <is>
          <t>PRJ-4a6f9cbf-RK-04</t>
        </is>
      </c>
      <c r="D885" s="10" t="inlineStr">
        <is>
          <t>P4102608264</t>
        </is>
      </c>
      <c r="E885" s="11" t="inlineStr">
        <is>
          <t>Baustofftrennung / Aufbereitung nicht wie geplant</t>
        </is>
      </c>
      <c r="F885" s="10" t="inlineStr">
        <is>
          <t>Entsorgung</t>
        </is>
      </c>
      <c r="G885" s="12" t="n">
        <v>0.08</v>
      </c>
      <c r="H885" s="13" t="n">
        <v>5</v>
      </c>
      <c r="I885" s="13" t="n">
        <v>10</v>
      </c>
      <c r="J885" s="13" t="n">
        <v>20</v>
      </c>
      <c r="K885" s="14">
        <f>IF(OR(COUNT(G885:J885)&lt;&gt;4,G885&lt;0,G885&gt;1,H885&gt;I885,I885&gt;J885),"n.a.",ROUND(G885*(H885+4*I885+J885)/6+0.00000001,2))</f>
        <v/>
      </c>
      <c r="L885" s="13" t="n">
        <v>0</v>
      </c>
      <c r="M885" s="14">
        <f>SUMIFS(Maßnahmen!$I$7:$I$126,Maßnahmen!$D$7:$D$126,C885,Maßnahmen!$H$7:$H$126,"&lt;&gt;verworfen")</f>
        <v/>
      </c>
      <c r="N885" s="14">
        <f>IF(ISNUMBER(K885),MAX(0,K885-L885-M885),"n.a.")</f>
        <v/>
      </c>
      <c r="O885" s="14" t="n">
        <v>0.87</v>
      </c>
      <c r="P885" s="14">
        <f>IF(ISNUMBER(K885),K885-O885,"n.a.")</f>
        <v/>
      </c>
    </row>
    <row r="886" ht="32" customHeight="1">
      <c r="C886" s="10" t="inlineStr">
        <is>
          <t>PRJ-4a6f9cbf-RK-05</t>
        </is>
      </c>
      <c r="D886" s="10" t="inlineStr">
        <is>
          <t>P4102608264</t>
        </is>
      </c>
      <c r="E886" s="11" t="inlineStr">
        <is>
          <t>Unbekannte Bauwerkskonstruktion / fehlende Pläne</t>
        </is>
      </c>
      <c r="F886" s="10" t="inlineStr">
        <is>
          <t>Statik</t>
        </is>
      </c>
      <c r="G886" s="12" t="n">
        <v>0.12</v>
      </c>
      <c r="H886" s="13" t="n">
        <v>40</v>
      </c>
      <c r="I886" s="13" t="n">
        <v>80</v>
      </c>
      <c r="J886" s="13" t="n">
        <v>150</v>
      </c>
      <c r="K886" s="14">
        <f>IF(OR(COUNT(G886:J886)&lt;&gt;4,G886&lt;0,G886&gt;1,H886&gt;I886,I886&gt;J886),"n.a.",ROUND(G886*(H886+4*I886+J886)/6+0.00000001,2))</f>
        <v/>
      </c>
      <c r="L886" s="13" t="n">
        <v>0</v>
      </c>
      <c r="M886" s="14">
        <f>SUMIFS(Maßnahmen!$I$7:$I$126,Maßnahmen!$D$7:$D$126,C886,Maßnahmen!$H$7:$H$126,"&lt;&gt;verworfen")</f>
        <v/>
      </c>
      <c r="N886" s="14">
        <f>IF(ISNUMBER(K886),MAX(0,K886-L886-M886),"n.a.")</f>
        <v/>
      </c>
      <c r="O886" s="14" t="n">
        <v>10.2</v>
      </c>
      <c r="P886" s="14">
        <f>IF(ISNUMBER(K886),K886-O886,"n.a.")</f>
        <v/>
      </c>
    </row>
    <row r="887" ht="32" customHeight="1">
      <c r="C887" s="10" t="inlineStr">
        <is>
          <t>PRJ-4a6f9cbf-RK-10</t>
        </is>
      </c>
      <c r="D887" s="10" t="inlineStr">
        <is>
          <t>P4102608264</t>
        </is>
      </c>
      <c r="E887" s="11" t="inlineStr">
        <is>
          <t>Terminvorgabe Auftraggeber / Geräteauslastung</t>
        </is>
      </c>
      <c r="F887" s="10" t="inlineStr">
        <is>
          <t>Termin</t>
        </is>
      </c>
      <c r="G887" s="12" t="n">
        <v>0.08</v>
      </c>
      <c r="H887" s="13" t="n">
        <v>5</v>
      </c>
      <c r="I887" s="13" t="n">
        <v>10</v>
      </c>
      <c r="J887" s="13" t="n">
        <v>20</v>
      </c>
      <c r="K887" s="14">
        <f>IF(OR(COUNT(G887:J887)&lt;&gt;4,G887&lt;0,G887&gt;1,H887&gt;I887,I887&gt;J887),"n.a.",ROUND(G887*(H887+4*I887+J887)/6+0.00000001,2))</f>
        <v/>
      </c>
      <c r="L887" s="13" t="n">
        <v>0</v>
      </c>
      <c r="M887" s="14">
        <f>SUMIFS(Maßnahmen!$I$7:$I$126,Maßnahmen!$D$7:$D$126,C887,Maßnahmen!$H$7:$H$126,"&lt;&gt;verworfen")</f>
        <v/>
      </c>
      <c r="N887" s="14">
        <f>IF(ISNUMBER(K887),MAX(0,K887-L887-M887),"n.a.")</f>
        <v/>
      </c>
      <c r="O887" s="14" t="n">
        <v>0.87</v>
      </c>
      <c r="P887" s="14">
        <f>IF(ISNUMBER(K887),K887-O887,"n.a.")</f>
        <v/>
      </c>
    </row>
    <row r="888" ht="32" customHeight="1">
      <c r="C888" s="10" t="inlineStr">
        <is>
          <t>PRJ-4a6f9cbf-RK-11</t>
        </is>
      </c>
      <c r="D888" s="10" t="inlineStr">
        <is>
          <t>P4102608264</t>
        </is>
      </c>
      <c r="E888" s="11" t="inlineStr">
        <is>
          <t>Witterung / Ablaufstörung</t>
        </is>
      </c>
      <c r="F888" s="10" t="inlineStr">
        <is>
          <t>Termin</t>
        </is>
      </c>
      <c r="G888" s="12" t="n">
        <v>0.25</v>
      </c>
      <c r="H888" s="13" t="n">
        <v>10</v>
      </c>
      <c r="I888" s="13" t="n">
        <v>30</v>
      </c>
      <c r="J888" s="13" t="n">
        <v>60</v>
      </c>
      <c r="K888" s="14">
        <f>IF(OR(COUNT(G888:J888)&lt;&gt;4,G888&lt;0,G888&gt;1,H888&gt;I888,I888&gt;J888),"n.a.",ROUND(G888*(H888+4*I888+J888)/6+0.00000001,2))</f>
        <v/>
      </c>
      <c r="L888" s="13" t="n">
        <v>0</v>
      </c>
      <c r="M888" s="14">
        <f>SUMIFS(Maßnahmen!$I$7:$I$126,Maßnahmen!$D$7:$D$126,C888,Maßnahmen!$H$7:$H$126,"&lt;&gt;verworfen")</f>
        <v/>
      </c>
      <c r="N888" s="14">
        <f>IF(ISNUMBER(K888),MAX(0,K888-L888-M888),"n.a.")</f>
        <v/>
      </c>
      <c r="O888" s="14" t="n">
        <v>7.92</v>
      </c>
      <c r="P888" s="14">
        <f>IF(ISNUMBER(K888),K888-O888,"n.a.")</f>
        <v/>
      </c>
    </row>
    <row r="889" ht="32" customHeight="1">
      <c r="C889" s="10" t="inlineStr">
        <is>
          <t>PRJ-4a6f9cbf-RK-12</t>
        </is>
      </c>
      <c r="D889" s="10" t="inlineStr">
        <is>
          <t>P4102608264</t>
        </is>
      </c>
      <c r="E889" s="11" t="inlineStr">
        <is>
          <t>Staubemissionen (höchster Aufwand laut Umfrage)</t>
        </is>
      </c>
      <c r="F889" s="10" t="inlineStr">
        <is>
          <t>Emissionen</t>
        </is>
      </c>
      <c r="G889" s="12" t="n">
        <v>0.1</v>
      </c>
      <c r="H889" s="13" t="n">
        <v>30</v>
      </c>
      <c r="I889" s="13" t="n">
        <v>60</v>
      </c>
      <c r="J889" s="13" t="n">
        <v>120</v>
      </c>
      <c r="K889" s="14">
        <f>IF(OR(COUNT(G889:J889)&lt;&gt;4,G889&lt;0,G889&gt;1,H889&gt;I889,I889&gt;J889),"n.a.",ROUND(G889*(H889+4*I889+J889)/6+0.00000001,2))</f>
        <v/>
      </c>
      <c r="L889" s="13" t="n">
        <v>0</v>
      </c>
      <c r="M889" s="14">
        <f>SUMIFS(Maßnahmen!$I$7:$I$126,Maßnahmen!$D$7:$D$126,C889,Maßnahmen!$H$7:$H$126,"&lt;&gt;verworfen")</f>
        <v/>
      </c>
      <c r="N889" s="14">
        <f>IF(ISNUMBER(K889),MAX(0,K889-L889-M889),"n.a.")</f>
        <v/>
      </c>
      <c r="O889" s="14" t="n">
        <v>6.5</v>
      </c>
      <c r="P889" s="14">
        <f>IF(ISNUMBER(K889),K889-O889,"n.a.")</f>
        <v/>
      </c>
    </row>
    <row r="890" ht="32" customHeight="1">
      <c r="C890" s="10" t="inlineStr">
        <is>
          <t>PRJ-4a6f9cbf-RK-13</t>
        </is>
      </c>
      <c r="D890" s="10" t="inlineStr">
        <is>
          <t>P4102608264</t>
        </is>
      </c>
      <c r="E890" s="11" t="inlineStr">
        <is>
          <t>Lärm- und Erschütterungsauflagen</t>
        </is>
      </c>
      <c r="F890" s="10" t="inlineStr">
        <is>
          <t>Emissionen</t>
        </is>
      </c>
      <c r="G890" s="12" t="n">
        <v>0.2</v>
      </c>
      <c r="H890" s="13" t="n">
        <v>20</v>
      </c>
      <c r="I890" s="13" t="n">
        <v>50</v>
      </c>
      <c r="J890" s="13" t="n">
        <v>100</v>
      </c>
      <c r="K890" s="14">
        <f>IF(OR(COUNT(G890:J890)&lt;&gt;4,G890&lt;0,G890&gt;1,H890&gt;I890,I890&gt;J890),"n.a.",ROUND(G890*(H890+4*I890+J890)/6+0.00000001,2))</f>
        <v/>
      </c>
      <c r="L890" s="13" t="n">
        <v>0</v>
      </c>
      <c r="M890" s="14">
        <f>SUMIFS(Maßnahmen!$I$7:$I$126,Maßnahmen!$D$7:$D$126,C890,Maßnahmen!$H$7:$H$126,"&lt;&gt;verworfen")</f>
        <v/>
      </c>
      <c r="N890" s="14">
        <f>IF(ISNUMBER(K890),MAX(0,K890-L890-M890),"n.a.")</f>
        <v/>
      </c>
      <c r="O890" s="14" t="n">
        <v>10.67</v>
      </c>
      <c r="P890" s="14">
        <f>IF(ISNUMBER(K890),K890-O890,"n.a.")</f>
        <v/>
      </c>
    </row>
    <row r="891" ht="32" customHeight="1">
      <c r="C891" s="10" t="inlineStr">
        <is>
          <t>PRJ-4a6f9cbf-RK-14</t>
        </is>
      </c>
      <c r="D891" s="10" t="inlineStr">
        <is>
          <t>P4102608264</t>
        </is>
      </c>
      <c r="E891" s="11" t="inlineStr">
        <is>
          <t>Rechtliche Auflagen / Entsorgungsnachweise (Formalismus)</t>
        </is>
      </c>
      <c r="F891" s="10" t="inlineStr">
        <is>
          <t>Genehmigung</t>
        </is>
      </c>
      <c r="G891" s="12" t="n">
        <v>0.4</v>
      </c>
      <c r="H891" s="13" t="n">
        <v>95</v>
      </c>
      <c r="I891" s="13" t="n">
        <v>185</v>
      </c>
      <c r="J891" s="13" t="n">
        <v>350</v>
      </c>
      <c r="K891" s="14">
        <f>IF(OR(COUNT(G891:J891)&lt;&gt;4,G891&lt;0,G891&gt;1,H891&gt;I891,I891&gt;J891),"n.a.",ROUND(G891*(H891+4*I891+J891)/6+0.00000001,2))</f>
        <v/>
      </c>
      <c r="L891" s="13" t="n">
        <v>0</v>
      </c>
      <c r="M891" s="14">
        <f>SUMIFS(Maßnahmen!$I$7:$I$126,Maßnahmen!$D$7:$D$126,C891,Maßnahmen!$H$7:$H$126,"&lt;&gt;verworfen")</f>
        <v/>
      </c>
      <c r="N891" s="14">
        <f>IF(ISNUMBER(K891),MAX(0,K891-L891-M891),"n.a.")</f>
        <v/>
      </c>
      <c r="O891" s="14" t="n">
        <v>79</v>
      </c>
      <c r="P891" s="14">
        <f>IF(ISNUMBER(K891),K891-O891,"n.a.")</f>
        <v/>
      </c>
    </row>
    <row r="892" ht="32" customHeight="1">
      <c r="C892" s="10" t="inlineStr">
        <is>
          <t>PRJ-4a6f9cbf-RK-15</t>
        </is>
      </c>
      <c r="D892" s="10" t="inlineStr">
        <is>
          <t>P4102608264</t>
        </is>
      </c>
      <c r="E892" s="11" t="inlineStr">
        <is>
          <t>Konjunktur / Sekundärstoffpreise &amp; Gerätemiete</t>
        </is>
      </c>
      <c r="F892" s="10" t="inlineStr">
        <is>
          <t>Markt</t>
        </is>
      </c>
      <c r="G892" s="12" t="n">
        <v>0.12</v>
      </c>
      <c r="H892" s="13" t="n">
        <v>8</v>
      </c>
      <c r="I892" s="13" t="n">
        <v>20</v>
      </c>
      <c r="J892" s="13" t="n">
        <v>50</v>
      </c>
      <c r="K892" s="14">
        <f>IF(OR(COUNT(G892:J892)&lt;&gt;4,G892&lt;0,G892&gt;1,H892&gt;I892,I892&gt;J892),"n.a.",ROUND(G892*(H892+4*I892+J892)/6+0.00000001,2))</f>
        <v/>
      </c>
      <c r="L892" s="13" t="n">
        <v>0</v>
      </c>
      <c r="M892" s="14">
        <f>SUMIFS(Maßnahmen!$I$7:$I$126,Maßnahmen!$D$7:$D$126,C892,Maßnahmen!$H$7:$H$126,"&lt;&gt;verworfen")</f>
        <v/>
      </c>
      <c r="N892" s="14">
        <f>IF(ISNUMBER(K892),MAX(0,K892-L892-M892),"n.a.")</f>
        <v/>
      </c>
      <c r="O892" s="14" t="n">
        <v>2.76</v>
      </c>
      <c r="P892" s="14">
        <f>IF(ISNUMBER(K892),K892-O892,"n.a.")</f>
        <v/>
      </c>
    </row>
    <row r="893" ht="32" customHeight="1">
      <c r="C893" s="10" t="inlineStr">
        <is>
          <t>PRJ-52b1cf53-RK-05</t>
        </is>
      </c>
      <c r="D893" s="10" t="inlineStr">
        <is>
          <t>P4102157452</t>
        </is>
      </c>
      <c r="E893" s="11" t="inlineStr">
        <is>
          <t>Unbekannte Bauwerkskonstruktion / fehlende Pläne</t>
        </is>
      </c>
      <c r="F893" s="10" t="inlineStr">
        <is>
          <t>Statik</t>
        </is>
      </c>
      <c r="G893" s="12" t="n">
        <v>0.12</v>
      </c>
      <c r="H893" s="13" t="n">
        <v>200</v>
      </c>
      <c r="I893" s="13" t="n">
        <v>400</v>
      </c>
      <c r="J893" s="13" t="n">
        <v>750</v>
      </c>
      <c r="K893" s="14">
        <f>IF(OR(COUNT(G893:J893)&lt;&gt;4,G893&lt;0,G893&gt;1,H893&gt;I893,I893&gt;J893),"n.a.",ROUND(G893*(H893+4*I893+J893)/6+0.00000001,2))</f>
        <v/>
      </c>
      <c r="L893" s="13" t="n">
        <v>0</v>
      </c>
      <c r="M893" s="14">
        <f>SUMIFS(Maßnahmen!$I$7:$I$126,Maßnahmen!$D$7:$D$126,C893,Maßnahmen!$H$7:$H$126,"&lt;&gt;verworfen")</f>
        <v/>
      </c>
      <c r="N893" s="14">
        <f>IF(ISNUMBER(K893),MAX(0,K893-L893-M893),"n.a.")</f>
        <v/>
      </c>
      <c r="O893" s="14" t="n">
        <v>51</v>
      </c>
      <c r="P893" s="14">
        <f>IF(ISNUMBER(K893),K893-O893,"n.a.")</f>
        <v/>
      </c>
    </row>
    <row r="894" ht="32" customHeight="1">
      <c r="C894" s="10" t="inlineStr">
        <is>
          <t>PRJ-4a292757-RK-03</t>
        </is>
      </c>
      <c r="D894" s="10" t="inlineStr">
        <is>
          <t>P4102658256</t>
        </is>
      </c>
      <c r="E894" s="11" t="inlineStr">
        <is>
          <t>Entsorgungs-Mehrkosten / Entsorgungswege</t>
        </is>
      </c>
      <c r="F894" s="10" t="inlineStr">
        <is>
          <t>Entsorgung</t>
        </is>
      </c>
      <c r="G894" s="12" t="n">
        <v>0.55</v>
      </c>
      <c r="H894" s="13" t="n">
        <v>11206</v>
      </c>
      <c r="I894" s="13" t="n">
        <v>20481</v>
      </c>
      <c r="J894" s="13" t="n">
        <v>33427</v>
      </c>
      <c r="K894" s="14">
        <f>IF(OR(COUNT(G894:J894)&lt;&gt;4,G894&lt;0,G894&gt;1,H894&gt;I894,I894&gt;J894),"n.a.",ROUND(G894*(H894+4*I894+J894)/6+0.00000001,2))</f>
        <v/>
      </c>
      <c r="L894" s="13" t="n">
        <v>0</v>
      </c>
      <c r="M894" s="14">
        <f>SUMIFS(Maßnahmen!$I$7:$I$126,Maßnahmen!$D$7:$D$126,C894,Maßnahmen!$H$7:$H$126,"&lt;&gt;verworfen")</f>
        <v/>
      </c>
      <c r="N894" s="14">
        <f>IF(ISNUMBER(K894),MAX(0,K894-L894-M894),"n.a.")</f>
        <v/>
      </c>
      <c r="O894" s="14" t="n">
        <v>11601.06</v>
      </c>
      <c r="P894" s="14">
        <f>IF(ISNUMBER(K894),K894-O894,"n.a.")</f>
        <v/>
      </c>
    </row>
    <row r="895" ht="32" customHeight="1">
      <c r="C895" s="10" t="inlineStr">
        <is>
          <t>PRJ-4a292757-RK-05</t>
        </is>
      </c>
      <c r="D895" s="10" t="inlineStr">
        <is>
          <t>P4102658256</t>
        </is>
      </c>
      <c r="E895" s="11" t="inlineStr">
        <is>
          <t>Unbekannte Bauwerkskonstruktion / fehlende Pläne</t>
        </is>
      </c>
      <c r="F895" s="10" t="inlineStr">
        <is>
          <t>Statik</t>
        </is>
      </c>
      <c r="G895" s="12" t="n">
        <v>0.22</v>
      </c>
      <c r="H895" s="13" t="n">
        <v>15476</v>
      </c>
      <c r="I895" s="13" t="n">
        <v>26113</v>
      </c>
      <c r="J895" s="13" t="n">
        <v>37718</v>
      </c>
      <c r="K895" s="14">
        <f>IF(OR(COUNT(G895:J895)&lt;&gt;4,G895&lt;0,G895&gt;1,H895&gt;I895,I895&gt;J895),"n.a.",ROUND(G895*(H895+4*I895+J895)/6+0.00000001,2))</f>
        <v/>
      </c>
      <c r="L895" s="13" t="n">
        <v>0</v>
      </c>
      <c r="M895" s="14">
        <f>SUMIFS(Maßnahmen!$I$7:$I$126,Maßnahmen!$D$7:$D$126,C895,Maßnahmen!$H$7:$H$126,"&lt;&gt;verworfen")</f>
        <v/>
      </c>
      <c r="N895" s="14">
        <f>IF(ISNUMBER(K895),MAX(0,K895-L895-M895),"n.a.")</f>
        <v/>
      </c>
      <c r="O895" s="14" t="n">
        <v>5780.35</v>
      </c>
      <c r="P895" s="14">
        <f>IF(ISNUMBER(K895),K895-O895,"n.a.")</f>
        <v/>
      </c>
    </row>
    <row r="896" ht="32" customHeight="1">
      <c r="C896" s="10" t="inlineStr">
        <is>
          <t>PRJ-4a292757-RK-06</t>
        </is>
      </c>
      <c r="D896" s="10" t="inlineStr">
        <is>
          <t>P4102658256</t>
        </is>
      </c>
      <c r="E896" s="11" t="inlineStr">
        <is>
          <t>Statik / Einsturzsicherung während Abbruch</t>
        </is>
      </c>
      <c r="F896" s="10" t="inlineStr">
        <is>
          <t>Statik</t>
        </is>
      </c>
      <c r="G896" s="12" t="n">
        <v>0.336</v>
      </c>
      <c r="H896" s="13" t="n">
        <v>9275</v>
      </c>
      <c r="I896" s="13" t="n">
        <v>16619</v>
      </c>
      <c r="J896" s="13" t="n">
        <v>28214</v>
      </c>
      <c r="K896" s="14">
        <f>IF(OR(COUNT(G896:J896)&lt;&gt;4,G896&lt;0,G896&gt;1,H896&gt;I896,I896&gt;J896),"n.a.",ROUND(G896*(H896+4*I896+J896)/6+0.00000001,2))</f>
        <v/>
      </c>
      <c r="L896" s="13" t="n">
        <v>0</v>
      </c>
      <c r="M896" s="14">
        <f>SUMIFS(Maßnahmen!$I$7:$I$126,Maßnahmen!$D$7:$D$126,C896,Maßnahmen!$H$7:$H$126,"&lt;&gt;verworfen")</f>
        <v/>
      </c>
      <c r="N896" s="14">
        <f>IF(ISNUMBER(K896),MAX(0,K896-L896-M896),"n.a.")</f>
        <v/>
      </c>
      <c r="O896" s="14" t="n">
        <v>5822.04</v>
      </c>
      <c r="P896" s="14">
        <f>IF(ISNUMBER(K896),K896-O896,"n.a.")</f>
        <v/>
      </c>
    </row>
    <row r="897" ht="32" customHeight="1">
      <c r="C897" s="10" t="inlineStr">
        <is>
          <t>PRJ-4a292757-RK-07</t>
        </is>
      </c>
      <c r="D897" s="10" t="inlineStr">
        <is>
          <t>P4102658256</t>
        </is>
      </c>
      <c r="E897" s="11" t="inlineStr">
        <is>
          <t>Unterirdische Tragkonstruktion / Fundamente</t>
        </is>
      </c>
      <c r="F897" s="10" t="inlineStr">
        <is>
          <t>Statik</t>
        </is>
      </c>
      <c r="G897" s="12" t="n">
        <v>0.646</v>
      </c>
      <c r="H897" s="13" t="n">
        <v>2801</v>
      </c>
      <c r="I897" s="13" t="n">
        <v>5179</v>
      </c>
      <c r="J897" s="13" t="n">
        <v>10435</v>
      </c>
      <c r="K897" s="14">
        <f>IF(OR(COUNT(G897:J897)&lt;&gt;4,G897&lt;0,G897&gt;1,H897&gt;I897,I897&gt;J897),"n.a.",ROUND(G897*(H897+4*I897+J897)/6+0.00000001,2))</f>
        <v/>
      </c>
      <c r="L897" s="13" t="n">
        <v>0</v>
      </c>
      <c r="M897" s="14">
        <f>SUMIFS(Maßnahmen!$I$7:$I$126,Maßnahmen!$D$7:$D$126,C897,Maßnahmen!$H$7:$H$126,"&lt;&gt;verworfen")</f>
        <v/>
      </c>
      <c r="N897" s="14">
        <f>IF(ISNUMBER(K897),MAX(0,K897-L897-M897),"n.a.")</f>
        <v/>
      </c>
      <c r="O897" s="14" t="n">
        <v>3655.5</v>
      </c>
      <c r="P897" s="14">
        <f>IF(ISNUMBER(K897),K897-O897,"n.a.")</f>
        <v/>
      </c>
    </row>
    <row r="898" ht="32" customHeight="1">
      <c r="C898" s="10" t="inlineStr">
        <is>
          <t>PRJ-52b1cf72-RK-09</t>
        </is>
      </c>
      <c r="D898" s="10" t="inlineStr">
        <is>
          <t>P4102157442</t>
        </is>
      </c>
      <c r="E898" s="11" t="inlineStr">
        <is>
          <t>Beennte Lage / nur Handabbruch möglich</t>
        </is>
      </c>
      <c r="F898" s="10" t="inlineStr">
        <is>
          <t>Termin</t>
        </is>
      </c>
      <c r="G898" s="12" t="n">
        <v>0.299</v>
      </c>
      <c r="H898" s="13" t="n">
        <v>915</v>
      </c>
      <c r="I898" s="13" t="n">
        <v>1955</v>
      </c>
      <c r="J898" s="13" t="n">
        <v>4222</v>
      </c>
      <c r="K898" s="14">
        <f>IF(OR(COUNT(G898:J898)&lt;&gt;4,G898&lt;0,G898&gt;1,H898&gt;I898,I898&gt;J898),"n.a.",ROUND(G898*(H898+4*I898+J898)/6+0.00000001,2))</f>
        <v/>
      </c>
      <c r="L898" s="13" t="n">
        <v>0</v>
      </c>
      <c r="M898" s="14">
        <f>SUMIFS(Maßnahmen!$I$7:$I$126,Maßnahmen!$D$7:$D$126,C898,Maßnahmen!$H$7:$H$126,"&lt;&gt;verworfen")</f>
        <v/>
      </c>
      <c r="N898" s="14">
        <f>IF(ISNUMBER(K898),MAX(0,K898-L898-M898),"n.a.")</f>
        <v/>
      </c>
      <c r="O898" s="14" t="n">
        <v>645.6900000000001</v>
      </c>
      <c r="P898" s="14">
        <f>IF(ISNUMBER(K898),K898-O898,"n.a.")</f>
        <v/>
      </c>
    </row>
    <row r="899" ht="32" customHeight="1">
      <c r="C899" s="10" t="inlineStr">
        <is>
          <t>PRJ-4f8e93f2-RK-10</t>
        </is>
      </c>
      <c r="D899" s="10" t="inlineStr">
        <is>
          <t>P4102307427</t>
        </is>
      </c>
      <c r="E899" s="11" t="inlineStr">
        <is>
          <t>Terminvorgabe Auftraggeber / Geräteauslastung</t>
        </is>
      </c>
      <c r="F899" s="10" t="inlineStr">
        <is>
          <t>Termin</t>
        </is>
      </c>
      <c r="G899" s="12" t="n">
        <v>0.08</v>
      </c>
      <c r="H899" s="13" t="n">
        <v>317</v>
      </c>
      <c r="I899" s="13" t="n">
        <v>634</v>
      </c>
      <c r="J899" s="13" t="n">
        <v>1268</v>
      </c>
      <c r="K899" s="14">
        <f>IF(OR(COUNT(G899:J899)&lt;&gt;4,G899&lt;0,G899&gt;1,H899&gt;I899,I899&gt;J899),"n.a.",ROUND(G899*(H899+4*I899+J899)/6+0.00000001,2))</f>
        <v/>
      </c>
      <c r="L899" s="13" t="n">
        <v>0</v>
      </c>
      <c r="M899" s="14">
        <f>SUMIFS(Maßnahmen!$I$7:$I$126,Maßnahmen!$D$7:$D$126,C899,Maßnahmen!$H$7:$H$126,"&lt;&gt;verworfen")</f>
        <v/>
      </c>
      <c r="N899" s="14">
        <f>IF(ISNUMBER(K899),MAX(0,K899-L899-M899),"n.a.")</f>
        <v/>
      </c>
      <c r="O899" s="14" t="n">
        <v>54.95</v>
      </c>
      <c r="P899" s="14">
        <f>IF(ISNUMBER(K899),K899-O899,"n.a.")</f>
        <v/>
      </c>
    </row>
    <row r="900" ht="32" customHeight="1">
      <c r="C900" s="10" t="inlineStr">
        <is>
          <t>PRJ-4f8e93b8-RK-02</t>
        </is>
      </c>
      <c r="D900" s="10" t="inlineStr">
        <is>
          <t>P4102307443</t>
        </is>
      </c>
      <c r="E900" s="11" t="inlineStr">
        <is>
          <t>Arbeitsschutz kontaminierte Bereiche (TRGS 524)</t>
        </is>
      </c>
      <c r="F900" s="10" t="inlineStr">
        <is>
          <t>Schadstoffe</t>
        </is>
      </c>
      <c r="G900" s="12" t="n">
        <v>0.1</v>
      </c>
      <c r="H900" s="13" t="n">
        <v>187</v>
      </c>
      <c r="I900" s="13" t="n">
        <v>373</v>
      </c>
      <c r="J900" s="13" t="n">
        <v>747</v>
      </c>
      <c r="K900" s="14">
        <f>IF(OR(COUNT(G900:J900)&lt;&gt;4,G900&lt;0,G900&gt;1,H900&gt;I900,I900&gt;J900),"n.a.",ROUND(G900*(H900+4*I900+J900)/6+0.00000001,2))</f>
        <v/>
      </c>
      <c r="L900" s="13" t="n">
        <v>0</v>
      </c>
      <c r="M900" s="14">
        <f>SUMIFS(Maßnahmen!$I$7:$I$126,Maßnahmen!$D$7:$D$126,C900,Maßnahmen!$H$7:$H$126,"&lt;&gt;verworfen")</f>
        <v/>
      </c>
      <c r="N900" s="14">
        <f>IF(ISNUMBER(K900),MAX(0,K900-L900-M900),"n.a.")</f>
        <v/>
      </c>
      <c r="O900" s="14" t="n">
        <v>40.43</v>
      </c>
      <c r="P900" s="14">
        <f>IF(ISNUMBER(K900),K900-O900,"n.a.")</f>
        <v/>
      </c>
    </row>
    <row r="901" ht="32" customHeight="1">
      <c r="C901" s="10" t="inlineStr">
        <is>
          <t>PRJ-4a292735-RK-11</t>
        </is>
      </c>
      <c r="D901" s="10" t="inlineStr">
        <is>
          <t>P4102658269</t>
        </is>
      </c>
      <c r="E901" s="11" t="inlineStr">
        <is>
          <t>Witterung / Ablaufstörung</t>
        </is>
      </c>
      <c r="F901" s="10" t="inlineStr">
        <is>
          <t>Termin</t>
        </is>
      </c>
      <c r="G901" s="12" t="n">
        <v>0.15</v>
      </c>
      <c r="H901" s="13" t="n">
        <v>27</v>
      </c>
      <c r="I901" s="13" t="n">
        <v>81</v>
      </c>
      <c r="J901" s="13" t="n">
        <v>162</v>
      </c>
      <c r="K901" s="14">
        <f>IF(OR(COUNT(G901:J901)&lt;&gt;4,G901&lt;0,G901&gt;1,H901&gt;I901,I901&gt;J901),"n.a.",ROUND(G901*(H901+4*I901+J901)/6+0.00000001,2))</f>
        <v/>
      </c>
      <c r="L901" s="13" t="n">
        <v>0</v>
      </c>
      <c r="M901" s="14">
        <f>SUMIFS(Maßnahmen!$I$7:$I$126,Maßnahmen!$D$7:$D$126,C901,Maßnahmen!$H$7:$H$126,"&lt;&gt;verworfen")</f>
        <v/>
      </c>
      <c r="N901" s="14">
        <f>IF(ISNUMBER(K901),MAX(0,K901-L901-M901),"n.a.")</f>
        <v/>
      </c>
      <c r="O901" s="14" t="n">
        <v>12.83</v>
      </c>
      <c r="P901" s="14">
        <f>IF(ISNUMBER(K901),K901-O901,"n.a.")</f>
        <v/>
      </c>
    </row>
    <row r="902" ht="32" customHeight="1">
      <c r="C902" s="10" t="inlineStr">
        <is>
          <t>PRJ-4f8e93d2-RK-15</t>
        </is>
      </c>
      <c r="D902" s="10" t="inlineStr">
        <is>
          <t>P4102307438</t>
        </is>
      </c>
      <c r="E902" s="11" t="inlineStr">
        <is>
          <t>Konjunktur / Sekundärstoffpreise &amp; Gerätemiete</t>
        </is>
      </c>
      <c r="F902" s="10" t="inlineStr">
        <is>
          <t>Markt</t>
        </is>
      </c>
      <c r="G902" s="12" t="n">
        <v>0.5</v>
      </c>
      <c r="H902" s="13" t="n">
        <v>14872</v>
      </c>
      <c r="I902" s="13" t="n">
        <v>18448</v>
      </c>
      <c r="J902" s="13" t="n">
        <v>37631</v>
      </c>
      <c r="K902" s="14">
        <f>IF(OR(COUNT(G902:J902)&lt;&gt;4,G902&lt;0,G902&gt;1,H902&gt;I902,I902&gt;J902),"n.a.",ROUND(G902*(H902+4*I902+J902)/6+0.00000001,2))</f>
        <v/>
      </c>
      <c r="L902" s="13" t="n">
        <v>0</v>
      </c>
      <c r="M902" s="14">
        <f>SUMIFS(Maßnahmen!$I$7:$I$126,Maßnahmen!$D$7:$D$126,C902,Maßnahmen!$H$7:$H$126,"&lt;&gt;verworfen")</f>
        <v/>
      </c>
      <c r="N902" s="14">
        <f>IF(ISNUMBER(K902),MAX(0,K902-L902-M902),"n.a.")</f>
        <v/>
      </c>
      <c r="O902" s="14" t="n">
        <v>10524.58</v>
      </c>
      <c r="P902" s="14">
        <f>IF(ISNUMBER(K902),K902-O902,"n.a.")</f>
        <v/>
      </c>
    </row>
    <row r="903" ht="32" customHeight="1">
      <c r="C903" s="10" t="inlineStr">
        <is>
          <t>PRJ-3830840d-RK-11</t>
        </is>
      </c>
      <c r="D903" s="10" t="inlineStr">
        <is>
          <t>W4102604414</t>
        </is>
      </c>
      <c r="E903" s="11" t="inlineStr">
        <is>
          <t>Witterung / Ablaufstörung</t>
        </is>
      </c>
      <c r="F903" s="10" t="inlineStr">
        <is>
          <t>Termin</t>
        </is>
      </c>
      <c r="G903" s="12" t="n">
        <v>0.25</v>
      </c>
      <c r="H903" s="13" t="n">
        <v>87</v>
      </c>
      <c r="I903" s="13" t="n">
        <v>261</v>
      </c>
      <c r="J903" s="13" t="n">
        <v>523</v>
      </c>
      <c r="K903" s="14">
        <f>IF(OR(COUNT(G903:J903)&lt;&gt;4,G903&lt;0,G903&gt;1,H903&gt;I903,I903&gt;J903),"n.a.",ROUND(G903*(H903+4*I903+J903)/6+0.00000001,2))</f>
        <v/>
      </c>
      <c r="L903" s="13" t="n">
        <v>0</v>
      </c>
      <c r="M903" s="14">
        <f>SUMIFS(Maßnahmen!$I$7:$I$126,Maßnahmen!$D$7:$D$126,C903,Maßnahmen!$H$7:$H$126,"&lt;&gt;verworfen")</f>
        <v/>
      </c>
      <c r="N903" s="14">
        <f>IF(ISNUMBER(K903),MAX(0,K903-L903-M903),"n.a.")</f>
        <v/>
      </c>
      <c r="O903" s="14" t="n">
        <v>68.92</v>
      </c>
      <c r="P903" s="14">
        <f>IF(ISNUMBER(K903),K903-O903,"n.a.")</f>
        <v/>
      </c>
    </row>
    <row r="904" ht="32" customHeight="1">
      <c r="C904" s="10" t="inlineStr">
        <is>
          <t>PRJ-4a6f9d1e-RK-09</t>
        </is>
      </c>
      <c r="D904" s="10" t="inlineStr">
        <is>
          <t>P4102608232</t>
        </is>
      </c>
      <c r="E904" s="11" t="inlineStr">
        <is>
          <t>Beennte Lage / nur Handabbruch möglich</t>
        </is>
      </c>
      <c r="F904" s="10" t="inlineStr">
        <is>
          <t>Termin</t>
        </is>
      </c>
      <c r="G904" s="12" t="n">
        <v>0.15</v>
      </c>
      <c r="H904" s="13" t="n">
        <v>40</v>
      </c>
      <c r="I904" s="13" t="n">
        <v>100</v>
      </c>
      <c r="J904" s="13" t="n">
        <v>250</v>
      </c>
      <c r="K904" s="14">
        <f>IF(OR(COUNT(G904:J904)&lt;&gt;4,G904&lt;0,G904&gt;1,H904&gt;I904,I904&gt;J904),"n.a.",ROUND(G904*(H904+4*I904+J904)/6+0.00000001,2))</f>
        <v/>
      </c>
      <c r="L904" s="13" t="n">
        <v>0</v>
      </c>
      <c r="M904" s="14">
        <f>SUMIFS(Maßnahmen!$I$7:$I$126,Maßnahmen!$D$7:$D$126,C904,Maßnahmen!$H$7:$H$126,"&lt;&gt;verworfen")</f>
        <v/>
      </c>
      <c r="N904" s="14">
        <f>IF(ISNUMBER(K904),MAX(0,K904-L904-M904),"n.a.")</f>
        <v/>
      </c>
      <c r="O904" s="14" t="n">
        <v>17.25</v>
      </c>
      <c r="P904" s="14">
        <f>IF(ISNUMBER(K904),K904-O904,"n.a.")</f>
        <v/>
      </c>
    </row>
    <row r="905" ht="32" customHeight="1">
      <c r="C905" s="10" t="inlineStr">
        <is>
          <t>PRJ-40723641-RK-10</t>
        </is>
      </c>
      <c r="D905" s="10" t="inlineStr">
        <is>
          <t>W4102154966</t>
        </is>
      </c>
      <c r="E905" s="11" t="inlineStr">
        <is>
          <t>Terminvorgabe Auftraggeber / Geräteauslastung</t>
        </is>
      </c>
      <c r="F905" s="10" t="inlineStr">
        <is>
          <t>Termin</t>
        </is>
      </c>
      <c r="G905" s="12" t="n">
        <v>0.1</v>
      </c>
      <c r="H905" s="13" t="n">
        <v>66</v>
      </c>
      <c r="I905" s="13" t="n">
        <v>166</v>
      </c>
      <c r="J905" s="13" t="n">
        <v>415</v>
      </c>
      <c r="K905" s="14">
        <f>IF(OR(COUNT(G905:J905)&lt;&gt;4,G905&lt;0,G905&gt;1,H905&gt;I905,I905&gt;J905),"n.a.",ROUND(G905*(H905+4*I905+J905)/6+0.00000001,2))</f>
        <v/>
      </c>
      <c r="L905" s="13" t="n">
        <v>0</v>
      </c>
      <c r="M905" s="14">
        <f>SUMIFS(Maßnahmen!$I$7:$I$126,Maßnahmen!$D$7:$D$126,C905,Maßnahmen!$H$7:$H$126,"&lt;&gt;verworfen")</f>
        <v/>
      </c>
      <c r="N905" s="14">
        <f>IF(ISNUMBER(K905),MAX(0,K905-L905-M905),"n.a.")</f>
        <v/>
      </c>
      <c r="O905" s="14" t="n">
        <v>19.08</v>
      </c>
      <c r="P905" s="14">
        <f>IF(ISNUMBER(K905),K905-O905,"n.a.")</f>
        <v/>
      </c>
    </row>
    <row r="906" ht="32" customHeight="1">
      <c r="C906" s="10" t="inlineStr">
        <is>
          <t>PRJ-4a6f9cc0-RK-02</t>
        </is>
      </c>
      <c r="D906" s="10" t="inlineStr">
        <is>
          <t>P4102608263</t>
        </is>
      </c>
      <c r="E906" s="11" t="inlineStr">
        <is>
          <t>Arbeitsschutz kontaminierte Bereiche (TRGS 524)</t>
        </is>
      </c>
      <c r="F906" s="10" t="inlineStr">
        <is>
          <t>Schadstoffe</t>
        </is>
      </c>
      <c r="G906" s="12" t="n">
        <v>0.55</v>
      </c>
      <c r="H906" s="13" t="n">
        <v>767037</v>
      </c>
      <c r="I906" s="13" t="n">
        <v>986190</v>
      </c>
      <c r="J906" s="13" t="n">
        <v>1424497</v>
      </c>
      <c r="K906" s="14">
        <f>IF(OR(COUNT(G906:J906)&lt;&gt;4,G906&lt;0,G906&gt;1,H906&gt;I906,I906&gt;J906),"n.a.",ROUND(G906*(H906+4*I906+J906)/6+0.00000001,2))</f>
        <v/>
      </c>
      <c r="L906" s="13" t="n">
        <v>0</v>
      </c>
      <c r="M906" s="14">
        <f>SUMIFS(Maßnahmen!$I$7:$I$126,Maßnahmen!$D$7:$D$126,C906,Maßnahmen!$H$7:$H$126,"&lt;&gt;verworfen")</f>
        <v/>
      </c>
      <c r="N906" s="14">
        <f>IF(ISNUMBER(K906),MAX(0,K906-L906-M906),"n.a.")</f>
        <v/>
      </c>
      <c r="O906" s="14" t="n">
        <v>562493.62</v>
      </c>
      <c r="P906" s="14">
        <f>IF(ISNUMBER(K906),K906-O906,"n.a.")</f>
        <v/>
      </c>
    </row>
    <row r="907" ht="32" customHeight="1">
      <c r="C907" s="10" t="inlineStr">
        <is>
          <t>PRJ-4a6f9cc0-RK-01</t>
        </is>
      </c>
      <c r="D907" s="10" t="inlineStr">
        <is>
          <t>P4102608263</t>
        </is>
      </c>
      <c r="E907" s="11" t="inlineStr">
        <is>
          <t>Schadstofffund / Schadstoffsanierung (Asbest, PAK, PCB, PCP)</t>
        </is>
      </c>
      <c r="F907" s="10" t="inlineStr">
        <is>
          <t>Schadstoffe</t>
        </is>
      </c>
      <c r="G907" s="12" t="n">
        <v>0.455</v>
      </c>
      <c r="H907" s="13" t="n">
        <v>114612</v>
      </c>
      <c r="I907" s="13" t="n">
        <v>236983</v>
      </c>
      <c r="J907" s="13" t="n">
        <v>445653</v>
      </c>
      <c r="K907" s="14">
        <f>IF(OR(COUNT(G907:J907)&lt;&gt;4,G907&lt;0,G907&gt;1,H907&gt;I907,I907&gt;J907),"n.a.",ROUND(G907*(H907+4*I907+J907)/6+0.00000001,2))</f>
        <v/>
      </c>
      <c r="L907" s="13" t="n">
        <v>0</v>
      </c>
      <c r="M907" s="14">
        <f>SUMIFS(Maßnahmen!$I$7:$I$126,Maßnahmen!$D$7:$D$126,C907,Maßnahmen!$H$7:$H$126,"&lt;&gt;verworfen")</f>
        <v/>
      </c>
      <c r="N907" s="14">
        <f>IF(ISNUMBER(K907),MAX(0,K907-L907-M907),"n.a.")</f>
        <v/>
      </c>
      <c r="O907" s="14" t="n">
        <v>114371.61</v>
      </c>
      <c r="P907" s="14">
        <f>IF(ISNUMBER(K907),K907-O907,"n.a.")</f>
        <v/>
      </c>
    </row>
    <row r="908" ht="32" customHeight="1">
      <c r="C908" s="10" t="inlineStr">
        <is>
          <t>PRJ-4a6f9cc0-RK-03</t>
        </is>
      </c>
      <c r="D908" s="10" t="inlineStr">
        <is>
          <t>P4102608263</t>
        </is>
      </c>
      <c r="E908" s="11" t="inlineStr">
        <is>
          <t>Entsorgungs-Mehrkosten / Entsorgungswege</t>
        </is>
      </c>
      <c r="F908" s="10" t="inlineStr">
        <is>
          <t>Entsorgung</t>
        </is>
      </c>
      <c r="G908" s="12" t="n">
        <v>0.42</v>
      </c>
      <c r="H908" s="13" t="n">
        <v>259020</v>
      </c>
      <c r="I908" s="13" t="n">
        <v>486157</v>
      </c>
      <c r="J908" s="13" t="n">
        <v>810923</v>
      </c>
      <c r="K908" s="14">
        <f>IF(OR(COUNT(G908:J908)&lt;&gt;4,G908&lt;0,G908&gt;1,H908&gt;I908,I908&gt;J908),"n.a.",ROUND(G908*(H908+4*I908+J908)/6+0.00000001,2))</f>
        <v/>
      </c>
      <c r="L908" s="13" t="n">
        <v>0</v>
      </c>
      <c r="M908" s="14">
        <f>SUMIFS(Maßnahmen!$I$7:$I$126,Maßnahmen!$D$7:$D$126,C908,Maßnahmen!$H$7:$H$126,"&lt;&gt;verworfen")</f>
        <v/>
      </c>
      <c r="N908" s="14">
        <f>IF(ISNUMBER(K908),MAX(0,K908-L908-M908),"n.a.")</f>
        <v/>
      </c>
      <c r="O908" s="14" t="n">
        <v>211019.97</v>
      </c>
      <c r="P908" s="14">
        <f>IF(ISNUMBER(K908),K908-O908,"n.a.")</f>
        <v/>
      </c>
    </row>
    <row r="909" ht="32" customHeight="1">
      <c r="C909" s="10" t="inlineStr">
        <is>
          <t>PRJ-4f8e93b4-RK-03</t>
        </is>
      </c>
      <c r="D909" s="10" t="inlineStr">
        <is>
          <t>P4102307447</t>
        </is>
      </c>
      <c r="E909" s="11" t="inlineStr">
        <is>
          <t>Entsorgungs-Mehrkosten / Entsorgungswege</t>
        </is>
      </c>
      <c r="F909" s="10" t="inlineStr">
        <is>
          <t>Entsorgung</t>
        </is>
      </c>
      <c r="G909" s="12" t="n">
        <v>0.27</v>
      </c>
      <c r="H909" s="13" t="n">
        <v>534</v>
      </c>
      <c r="I909" s="13" t="n">
        <v>1335</v>
      </c>
      <c r="J909" s="13" t="n">
        <v>2669</v>
      </c>
      <c r="K909" s="14">
        <f>IF(OR(COUNT(G909:J909)&lt;&gt;4,G909&lt;0,G909&gt;1,H909&gt;I909,I909&gt;J909),"n.a.",ROUND(G909*(H909+4*I909+J909)/6+0.00000001,2))</f>
        <v/>
      </c>
      <c r="L909" s="13" t="n">
        <v>0</v>
      </c>
      <c r="M909" s="14">
        <f>SUMIFS(Maßnahmen!$I$7:$I$126,Maßnahmen!$D$7:$D$126,C909,Maßnahmen!$H$7:$H$126,"&lt;&gt;verworfen")</f>
        <v/>
      </c>
      <c r="N909" s="14">
        <f>IF(ISNUMBER(K909),MAX(0,K909-L909-M909),"n.a.")</f>
        <v/>
      </c>
      <c r="O909" s="14" t="n">
        <v>384.44</v>
      </c>
      <c r="P909" s="14">
        <f>IF(ISNUMBER(K909),K909-O909,"n.a.")</f>
        <v/>
      </c>
    </row>
    <row r="910" ht="32" customHeight="1">
      <c r="C910" s="10" t="inlineStr">
        <is>
          <t>PRJ-4f8e93b4-RK-04</t>
        </is>
      </c>
      <c r="D910" s="10" t="inlineStr">
        <is>
          <t>P4102307447</t>
        </is>
      </c>
      <c r="E910" s="11" t="inlineStr">
        <is>
          <t>Baustofftrennung / Aufbereitung nicht wie geplant</t>
        </is>
      </c>
      <c r="F910" s="10" t="inlineStr">
        <is>
          <t>Entsorgung</t>
        </is>
      </c>
      <c r="G910" s="12" t="n">
        <v>0.08</v>
      </c>
      <c r="H910" s="13" t="n">
        <v>133</v>
      </c>
      <c r="I910" s="13" t="n">
        <v>267</v>
      </c>
      <c r="J910" s="13" t="n">
        <v>534</v>
      </c>
      <c r="K910" s="14">
        <f>IF(OR(COUNT(G910:J910)&lt;&gt;4,G910&lt;0,G910&gt;1,H910&gt;I910,I910&gt;J910),"n.a.",ROUND(G910*(H910+4*I910+J910)/6+0.00000001,2))</f>
        <v/>
      </c>
      <c r="L910" s="13" t="n">
        <v>0</v>
      </c>
      <c r="M910" s="14">
        <f>SUMIFS(Maßnahmen!$I$7:$I$126,Maßnahmen!$D$7:$D$126,C910,Maßnahmen!$H$7:$H$126,"&lt;&gt;verworfen")</f>
        <v/>
      </c>
      <c r="N910" s="14">
        <f>IF(ISNUMBER(K910),MAX(0,K910-L910-M910),"n.a.")</f>
        <v/>
      </c>
      <c r="O910" s="14" t="n">
        <v>23.13</v>
      </c>
      <c r="P910" s="14">
        <f>IF(ISNUMBER(K910),K910-O910,"n.a.")</f>
        <v/>
      </c>
    </row>
    <row r="911" ht="32" customHeight="1">
      <c r="C911" s="10" t="inlineStr">
        <is>
          <t>PRJ-4f8e93b4-RK-05</t>
        </is>
      </c>
      <c r="D911" s="10" t="inlineStr">
        <is>
          <t>P4102307447</t>
        </is>
      </c>
      <c r="E911" s="11" t="inlineStr">
        <is>
          <t>Unbekannte Bauwerkskonstruktion / fehlende Pläne</t>
        </is>
      </c>
      <c r="F911" s="10" t="inlineStr">
        <is>
          <t>Statik</t>
        </is>
      </c>
      <c r="G911" s="12" t="n">
        <v>0.12</v>
      </c>
      <c r="H911" s="13" t="n">
        <v>1112</v>
      </c>
      <c r="I911" s="13" t="n">
        <v>2210</v>
      </c>
      <c r="J911" s="13" t="n">
        <v>4123</v>
      </c>
      <c r="K911" s="14">
        <f>IF(OR(COUNT(G911:J911)&lt;&gt;4,G911&lt;0,G911&gt;1,H911&gt;I911,I911&gt;J911),"n.a.",ROUND(G911*(H911+4*I911+J911)/6+0.00000001,2))</f>
        <v/>
      </c>
      <c r="L911" s="13" t="n">
        <v>0</v>
      </c>
      <c r="M911" s="14">
        <f>SUMIFS(Maßnahmen!$I$7:$I$126,Maßnahmen!$D$7:$D$126,C911,Maßnahmen!$H$7:$H$126,"&lt;&gt;verworfen")</f>
        <v/>
      </c>
      <c r="N911" s="14">
        <f>IF(ISNUMBER(K911),MAX(0,K911-L911-M911),"n.a.")</f>
        <v/>
      </c>
      <c r="O911" s="14" t="n">
        <v>281.5</v>
      </c>
      <c r="P911" s="14">
        <f>IF(ISNUMBER(K911),K911-O911,"n.a.")</f>
        <v/>
      </c>
    </row>
    <row r="912" ht="32" customHeight="1">
      <c r="C912" s="10" t="inlineStr">
        <is>
          <t>PRJ-4f8e93b4-RK-06</t>
        </is>
      </c>
      <c r="D912" s="10" t="inlineStr">
        <is>
          <t>P4102307447</t>
        </is>
      </c>
      <c r="E912" s="11" t="inlineStr">
        <is>
          <t>Statik / Einsturzsicherung während Abbruch</t>
        </is>
      </c>
      <c r="F912" s="10" t="inlineStr">
        <is>
          <t>Statik</t>
        </is>
      </c>
      <c r="G912" s="12" t="n">
        <v>0.24</v>
      </c>
      <c r="H912" s="13" t="n">
        <v>801</v>
      </c>
      <c r="I912" s="13" t="n">
        <v>1869</v>
      </c>
      <c r="J912" s="13" t="n">
        <v>3737</v>
      </c>
      <c r="K912" s="14">
        <f>IF(OR(COUNT(G912:J912)&lt;&gt;4,G912&lt;0,G912&gt;1,H912&gt;I912,I912&gt;J912),"n.a.",ROUND(G912*(H912+4*I912+J912)/6+0.00000001,2))</f>
        <v/>
      </c>
      <c r="L912" s="13" t="n">
        <v>0</v>
      </c>
      <c r="M912" s="14">
        <f>SUMIFS(Maßnahmen!$I$7:$I$126,Maßnahmen!$D$7:$D$126,C912,Maßnahmen!$H$7:$H$126,"&lt;&gt;verworfen")</f>
        <v/>
      </c>
      <c r="N912" s="14">
        <f>IF(ISNUMBER(K912),MAX(0,K912-L912-M912),"n.a.")</f>
        <v/>
      </c>
      <c r="O912" s="14" t="n">
        <v>480.56</v>
      </c>
      <c r="P912" s="14">
        <f>IF(ISNUMBER(K912),K912-O912,"n.a.")</f>
        <v/>
      </c>
    </row>
    <row r="913" ht="32" customHeight="1">
      <c r="C913" s="10" t="inlineStr">
        <is>
          <t>PRJ-4f8e93b4-RK-07</t>
        </is>
      </c>
      <c r="D913" s="10" t="inlineStr">
        <is>
          <t>P4102307447</t>
        </is>
      </c>
      <c r="E913" s="11" t="inlineStr">
        <is>
          <t>Unterirdische Tragkonstruktion / Fundamente</t>
        </is>
      </c>
      <c r="F913" s="10" t="inlineStr">
        <is>
          <t>Statik</t>
        </is>
      </c>
      <c r="G913" s="12" t="n">
        <v>0.5</v>
      </c>
      <c r="H913" s="13" t="n">
        <v>133</v>
      </c>
      <c r="I913" s="13" t="n">
        <v>534</v>
      </c>
      <c r="J913" s="13" t="n">
        <v>1335</v>
      </c>
      <c r="K913" s="14">
        <f>IF(OR(COUNT(G913:J913)&lt;&gt;4,G913&lt;0,G913&gt;1,H913&gt;I913,I913&gt;J913),"n.a.",ROUND(G913*(H913+4*I913+J913)/6+0.00000001,2))</f>
        <v/>
      </c>
      <c r="L913" s="13" t="n">
        <v>0</v>
      </c>
      <c r="M913" s="14">
        <f>SUMIFS(Maßnahmen!$I$7:$I$126,Maßnahmen!$D$7:$D$126,C913,Maßnahmen!$H$7:$H$126,"&lt;&gt;verworfen")</f>
        <v/>
      </c>
      <c r="N913" s="14">
        <f>IF(ISNUMBER(K913),MAX(0,K913-L913-M913),"n.a.")</f>
        <v/>
      </c>
      <c r="O913" s="14" t="n">
        <v>300.33</v>
      </c>
      <c r="P913" s="14">
        <f>IF(ISNUMBER(K913),K913-O913,"n.a.")</f>
        <v/>
      </c>
    </row>
    <row r="914" ht="32" customHeight="1">
      <c r="C914" s="10" t="inlineStr">
        <is>
          <t>PRJ-4f8e93b4-RK-08</t>
        </is>
      </c>
      <c r="D914" s="10" t="inlineStr">
        <is>
          <t>P4102307447</t>
        </is>
      </c>
      <c r="E914" s="11" t="inlineStr">
        <is>
          <t>Gebäudehöhe &gt;22 m / Longfront-Bagger (+130–150 %)</t>
        </is>
      </c>
      <c r="F914" s="10" t="inlineStr">
        <is>
          <t>Termin</t>
        </is>
      </c>
      <c r="G914" s="12" t="n">
        <v>0.595</v>
      </c>
      <c r="H914" s="13" t="n">
        <v>2376</v>
      </c>
      <c r="I914" s="13" t="n">
        <v>4755</v>
      </c>
      <c r="J914" s="13" t="n">
        <v>8983</v>
      </c>
      <c r="K914" s="14">
        <f>IF(OR(COUNT(G914:J914)&lt;&gt;4,G914&lt;0,G914&gt;1,H914&gt;I914,I914&gt;J914),"n.a.",ROUND(G914*(H914+4*I914+J914)/6+0.00000001,2))</f>
        <v/>
      </c>
      <c r="L914" s="13" t="n">
        <v>0</v>
      </c>
      <c r="M914" s="14">
        <f>SUMIFS(Maßnahmen!$I$7:$I$126,Maßnahmen!$D$7:$D$126,C914,Maßnahmen!$H$7:$H$126,"&lt;&gt;verworfen")</f>
        <v/>
      </c>
      <c r="N914" s="14">
        <f>IF(ISNUMBER(K914),MAX(0,K914-L914-M914),"n.a.")</f>
        <v/>
      </c>
      <c r="O914" s="14" t="n">
        <v>3012.58</v>
      </c>
      <c r="P914" s="14">
        <f>IF(ISNUMBER(K914),K914-O914,"n.a.")</f>
        <v/>
      </c>
    </row>
    <row r="915" ht="32" customHeight="1">
      <c r="C915" s="10" t="inlineStr">
        <is>
          <t>PRJ-4f8e93b4-RK-09</t>
        </is>
      </c>
      <c r="D915" s="10" t="inlineStr">
        <is>
          <t>P4102307447</t>
        </is>
      </c>
      <c r="E915" s="11" t="inlineStr">
        <is>
          <t>Beennte Lage / nur Handabbruch möglich</t>
        </is>
      </c>
      <c r="F915" s="10" t="inlineStr">
        <is>
          <t>Termin</t>
        </is>
      </c>
      <c r="G915" s="12" t="n">
        <v>0.154</v>
      </c>
      <c r="H915" s="13" t="n">
        <v>228</v>
      </c>
      <c r="I915" s="13" t="n">
        <v>564</v>
      </c>
      <c r="J915" s="13" t="n">
        <v>1394</v>
      </c>
      <c r="K915" s="14">
        <f>IF(OR(COUNT(G915:J915)&lt;&gt;4,G915&lt;0,G915&gt;1,H915&gt;I915,I915&gt;J915),"n.a.",ROUND(G915*(H915+4*I915+J915)/6+0.00000001,2))</f>
        <v/>
      </c>
      <c r="L915" s="13" t="n">
        <v>0</v>
      </c>
      <c r="M915" s="14">
        <f>SUMIFS(Maßnahmen!$I$7:$I$126,Maßnahmen!$D$7:$D$126,C915,Maßnahmen!$H$7:$H$126,"&lt;&gt;verworfen")</f>
        <v/>
      </c>
      <c r="N915" s="14">
        <f>IF(ISNUMBER(K915),MAX(0,K915-L915-M915),"n.a.")</f>
        <v/>
      </c>
      <c r="O915" s="14" t="n">
        <v>99.54000000000001</v>
      </c>
      <c r="P915" s="14">
        <f>IF(ISNUMBER(K915),K915-O915,"n.a.")</f>
        <v/>
      </c>
    </row>
    <row r="916" ht="32" customHeight="1">
      <c r="C916" s="10" t="inlineStr">
        <is>
          <t>PRJ-4f8e93b4-RK-10</t>
        </is>
      </c>
      <c r="D916" s="10" t="inlineStr">
        <is>
          <t>P4102307447</t>
        </is>
      </c>
      <c r="E916" s="11" t="inlineStr">
        <is>
          <t>Terminvorgabe Auftraggeber / Geräteauslastung</t>
        </is>
      </c>
      <c r="F916" s="10" t="inlineStr">
        <is>
          <t>Termin</t>
        </is>
      </c>
      <c r="G916" s="12" t="n">
        <v>0.08</v>
      </c>
      <c r="H916" s="13" t="n">
        <v>133</v>
      </c>
      <c r="I916" s="13" t="n">
        <v>267</v>
      </c>
      <c r="J916" s="13" t="n">
        <v>534</v>
      </c>
      <c r="K916" s="14">
        <f>IF(OR(COUNT(G916:J916)&lt;&gt;4,G916&lt;0,G916&gt;1,H916&gt;I916,I916&gt;J916),"n.a.",ROUND(G916*(H916+4*I916+J916)/6+0.00000001,2))</f>
        <v/>
      </c>
      <c r="L916" s="13" t="n">
        <v>0</v>
      </c>
      <c r="M916" s="14">
        <f>SUMIFS(Maßnahmen!$I$7:$I$126,Maßnahmen!$D$7:$D$126,C916,Maßnahmen!$H$7:$H$126,"&lt;&gt;verworfen")</f>
        <v/>
      </c>
      <c r="N916" s="14">
        <f>IF(ISNUMBER(K916),MAX(0,K916-L916-M916),"n.a.")</f>
        <v/>
      </c>
      <c r="O916" s="14" t="n">
        <v>23.13</v>
      </c>
      <c r="P916" s="14">
        <f>IF(ISNUMBER(K916),K916-O916,"n.a.")</f>
        <v/>
      </c>
    </row>
    <row r="917" ht="32" customHeight="1">
      <c r="C917" s="10" t="inlineStr">
        <is>
          <t>PRJ-4f8e93b4-RK-11</t>
        </is>
      </c>
      <c r="D917" s="10" t="inlineStr">
        <is>
          <t>P4102307447</t>
        </is>
      </c>
      <c r="E917" s="11" t="inlineStr">
        <is>
          <t>Witterung / Ablaufstörung</t>
        </is>
      </c>
      <c r="F917" s="10" t="inlineStr">
        <is>
          <t>Termin</t>
        </is>
      </c>
      <c r="G917" s="12" t="n">
        <v>0.25</v>
      </c>
      <c r="H917" s="13" t="n">
        <v>267</v>
      </c>
      <c r="I917" s="13" t="n">
        <v>801</v>
      </c>
      <c r="J917" s="13" t="n">
        <v>1602</v>
      </c>
      <c r="K917" s="14">
        <f>IF(OR(COUNT(G917:J917)&lt;&gt;4,G917&lt;0,G917&gt;1,H917&gt;I917,I917&gt;J917),"n.a.",ROUND(G917*(H917+4*I917+J917)/6+0.00000001,2))</f>
        <v/>
      </c>
      <c r="L917" s="13" t="n">
        <v>0</v>
      </c>
      <c r="M917" s="14">
        <f>SUMIFS(Maßnahmen!$I$7:$I$126,Maßnahmen!$D$7:$D$126,C917,Maßnahmen!$H$7:$H$126,"&lt;&gt;verworfen")</f>
        <v/>
      </c>
      <c r="N917" s="14">
        <f>IF(ISNUMBER(K917),MAX(0,K917-L917-M917),"n.a.")</f>
        <v/>
      </c>
      <c r="O917" s="14" t="n">
        <v>211.38</v>
      </c>
      <c r="P917" s="14">
        <f>IF(ISNUMBER(K917),K917-O917,"n.a.")</f>
        <v/>
      </c>
    </row>
    <row r="918" ht="32" customHeight="1">
      <c r="C918" s="10" t="inlineStr">
        <is>
          <t>PRJ-4f8e93b4-RK-12</t>
        </is>
      </c>
      <c r="D918" s="10" t="inlineStr">
        <is>
          <t>P4102307447</t>
        </is>
      </c>
      <c r="E918" s="11" t="inlineStr">
        <is>
          <t>Staubemissionen (höchster Aufwand laut Umfrage)</t>
        </is>
      </c>
      <c r="F918" s="10" t="inlineStr">
        <is>
          <t>Emissionen</t>
        </is>
      </c>
      <c r="G918" s="12" t="n">
        <v>0.1</v>
      </c>
      <c r="H918" s="13" t="n">
        <v>801</v>
      </c>
      <c r="I918" s="13" t="n">
        <v>1602</v>
      </c>
      <c r="J918" s="13" t="n">
        <v>3203</v>
      </c>
      <c r="K918" s="14">
        <f>IF(OR(COUNT(G918:J918)&lt;&gt;4,G918&lt;0,G918&gt;1,H918&gt;I918,I918&gt;J918),"n.a.",ROUND(G918*(H918+4*I918+J918)/6+0.00000001,2))</f>
        <v/>
      </c>
      <c r="L918" s="13" t="n">
        <v>0</v>
      </c>
      <c r="M918" s="14">
        <f>SUMIFS(Maßnahmen!$I$7:$I$126,Maßnahmen!$D$7:$D$126,C918,Maßnahmen!$H$7:$H$126,"&lt;&gt;verworfen")</f>
        <v/>
      </c>
      <c r="N918" s="14">
        <f>IF(ISNUMBER(K918),MAX(0,K918-L918-M918),"n.a.")</f>
        <v/>
      </c>
      <c r="O918" s="14" t="n">
        <v>173.53</v>
      </c>
      <c r="P918" s="14">
        <f>IF(ISNUMBER(K918),K918-O918,"n.a.")</f>
        <v/>
      </c>
    </row>
    <row r="919" ht="32" customHeight="1">
      <c r="C919" s="10" t="inlineStr">
        <is>
          <t>PRJ-4f8e93b4-RK-13</t>
        </is>
      </c>
      <c r="D919" s="10" t="inlineStr">
        <is>
          <t>P4102307447</t>
        </is>
      </c>
      <c r="E919" s="11" t="inlineStr">
        <is>
          <t>Lärm- und Erschütterungsauflagen</t>
        </is>
      </c>
      <c r="F919" s="10" t="inlineStr">
        <is>
          <t>Emissionen</t>
        </is>
      </c>
      <c r="G919" s="12" t="n">
        <v>0.206</v>
      </c>
      <c r="H919" s="13" t="n">
        <v>570</v>
      </c>
      <c r="I919" s="13" t="n">
        <v>1400</v>
      </c>
      <c r="J919" s="13" t="n">
        <v>2782</v>
      </c>
      <c r="K919" s="14">
        <f>IF(OR(COUNT(G919:J919)&lt;&gt;4,G919&lt;0,G919&gt;1,H919&gt;I919,I919&gt;J919),"n.a.",ROUND(G919*(H919+4*I919+J919)/6+0.00000001,2))</f>
        <v/>
      </c>
      <c r="L919" s="13" t="n">
        <v>0</v>
      </c>
      <c r="M919" s="14">
        <f>SUMIFS(Maßnahmen!$I$7:$I$126,Maßnahmen!$D$7:$D$126,C919,Maßnahmen!$H$7:$H$126,"&lt;&gt;verworfen")</f>
        <v/>
      </c>
      <c r="N919" s="14">
        <f>IF(ISNUMBER(K919),MAX(0,K919-L919-M919),"n.a.")</f>
        <v/>
      </c>
      <c r="O919" s="14" t="n">
        <v>307.35</v>
      </c>
      <c r="P919" s="14">
        <f>IF(ISNUMBER(K919),K919-O919,"n.a.")</f>
        <v/>
      </c>
    </row>
    <row r="920" ht="32" customHeight="1">
      <c r="C920" s="10" t="inlineStr">
        <is>
          <t>PRJ-4f8e93b4-RK-14</t>
        </is>
      </c>
      <c r="D920" s="10" t="inlineStr">
        <is>
          <t>P4102307447</t>
        </is>
      </c>
      <c r="E920" s="11" t="inlineStr">
        <is>
          <t>Rechtliche Auflagen / Entsorgungsnachweise (Formalismus)</t>
        </is>
      </c>
      <c r="F920" s="10" t="inlineStr">
        <is>
          <t>Genehmigung</t>
        </is>
      </c>
      <c r="G920" s="12" t="n">
        <v>0.4</v>
      </c>
      <c r="H920" s="13" t="n">
        <v>2509</v>
      </c>
      <c r="I920" s="13" t="n">
        <v>4889</v>
      </c>
      <c r="J920" s="13" t="n">
        <v>9250</v>
      </c>
      <c r="K920" s="14">
        <f>IF(OR(COUNT(G920:J920)&lt;&gt;4,G920&lt;0,G920&gt;1,H920&gt;I920,I920&gt;J920),"n.a.",ROUND(G920*(H920+4*I920+J920)/6+0.00000001,2))</f>
        <v/>
      </c>
      <c r="L920" s="13" t="n">
        <v>0</v>
      </c>
      <c r="M920" s="14">
        <f>SUMIFS(Maßnahmen!$I$7:$I$126,Maßnahmen!$D$7:$D$126,C920,Maßnahmen!$H$7:$H$126,"&lt;&gt;verworfen")</f>
        <v/>
      </c>
      <c r="N920" s="14">
        <f>IF(ISNUMBER(K920),MAX(0,K920-L920-M920),"n.a.")</f>
        <v/>
      </c>
      <c r="O920" s="14" t="n">
        <v>2087.67</v>
      </c>
      <c r="P920" s="14">
        <f>IF(ISNUMBER(K920),K920-O920,"n.a.")</f>
        <v/>
      </c>
    </row>
    <row r="921" ht="32" customHeight="1">
      <c r="C921" s="10" t="inlineStr">
        <is>
          <t>PRJ-52b1cf53-RK-06</t>
        </is>
      </c>
      <c r="D921" s="10" t="inlineStr">
        <is>
          <t>P4102157452</t>
        </is>
      </c>
      <c r="E921" s="11" t="inlineStr">
        <is>
          <t>Statik / Einsturzsicherung während Abbruch</t>
        </is>
      </c>
      <c r="F921" s="10" t="inlineStr">
        <is>
          <t>Statik</t>
        </is>
      </c>
      <c r="G921" s="12" t="n">
        <v>0.24</v>
      </c>
      <c r="H921" s="13" t="n">
        <v>150</v>
      </c>
      <c r="I921" s="13" t="n">
        <v>350</v>
      </c>
      <c r="J921" s="13" t="n">
        <v>700</v>
      </c>
      <c r="K921" s="14">
        <f>IF(OR(COUNT(G921:J921)&lt;&gt;4,G921&lt;0,G921&gt;1,H921&gt;I921,I921&gt;J921),"n.a.",ROUND(G921*(H921+4*I921+J921)/6+0.00000001,2))</f>
        <v/>
      </c>
      <c r="L921" s="13" t="n">
        <v>0</v>
      </c>
      <c r="M921" s="14">
        <f>SUMIFS(Maßnahmen!$I$7:$I$126,Maßnahmen!$D$7:$D$126,C921,Maßnahmen!$H$7:$H$126,"&lt;&gt;verworfen")</f>
        <v/>
      </c>
      <c r="N921" s="14">
        <f>IF(ISNUMBER(K921),MAX(0,K921-L921-M921),"n.a.")</f>
        <v/>
      </c>
      <c r="O921" s="14" t="n">
        <v>90</v>
      </c>
      <c r="P921" s="14">
        <f>IF(ISNUMBER(K921),K921-O921,"n.a.")</f>
        <v/>
      </c>
    </row>
    <row r="922" ht="32" customHeight="1">
      <c r="C922" s="10" t="inlineStr">
        <is>
          <t>PRJ-52b1cf53-RK-07</t>
        </is>
      </c>
      <c r="D922" s="10" t="inlineStr">
        <is>
          <t>P4102157452</t>
        </is>
      </c>
      <c r="E922" s="11" t="inlineStr">
        <is>
          <t>Unterirdische Tragkonstruktion / Fundamente</t>
        </is>
      </c>
      <c r="F922" s="10" t="inlineStr">
        <is>
          <t>Statik</t>
        </is>
      </c>
      <c r="G922" s="12" t="n">
        <v>0.4</v>
      </c>
      <c r="H922" s="13" t="n">
        <v>25</v>
      </c>
      <c r="I922" s="13" t="n">
        <v>100</v>
      </c>
      <c r="J922" s="13" t="n">
        <v>250</v>
      </c>
      <c r="K922" s="14">
        <f>IF(OR(COUNT(G922:J922)&lt;&gt;4,G922&lt;0,G922&gt;1,H922&gt;I922,I922&gt;J922),"n.a.",ROUND(G922*(H922+4*I922+J922)/6+0.00000001,2))</f>
        <v/>
      </c>
      <c r="L922" s="13" t="n">
        <v>0</v>
      </c>
      <c r="M922" s="14">
        <f>SUMIFS(Maßnahmen!$I$7:$I$126,Maßnahmen!$D$7:$D$126,C922,Maßnahmen!$H$7:$H$126,"&lt;&gt;verworfen")</f>
        <v/>
      </c>
      <c r="N922" s="14">
        <f>IF(ISNUMBER(K922),MAX(0,K922-L922-M922),"n.a.")</f>
        <v/>
      </c>
      <c r="O922" s="14" t="n">
        <v>45</v>
      </c>
      <c r="P922" s="14">
        <f>IF(ISNUMBER(K922),K922-O922,"n.a.")</f>
        <v/>
      </c>
    </row>
    <row r="923" ht="32" customHeight="1">
      <c r="C923" s="10" t="inlineStr">
        <is>
          <t>PRJ-52b1cf53-RK-08</t>
        </is>
      </c>
      <c r="D923" s="10" t="inlineStr">
        <is>
          <t>P4102157452</t>
        </is>
      </c>
      <c r="E923" s="11" t="inlineStr">
        <is>
          <t>Gebäudehöhe &gt;22 m / Longfront-Bagger (+130–150 %)</t>
        </is>
      </c>
      <c r="F923" s="10" t="inlineStr">
        <is>
          <t>Termin</t>
        </is>
      </c>
      <c r="G923" s="12" t="n">
        <v>0.6</v>
      </c>
      <c r="H923" s="13" t="n">
        <v>450</v>
      </c>
      <c r="I923" s="13" t="n">
        <v>900</v>
      </c>
      <c r="J923" s="13" t="n">
        <v>1700</v>
      </c>
      <c r="K923" s="14">
        <f>IF(OR(COUNT(G923:J923)&lt;&gt;4,G923&lt;0,G923&gt;1,H923&gt;I923,I923&gt;J923),"n.a.",ROUND(G923*(H923+4*I923+J923)/6+0.00000001,2))</f>
        <v/>
      </c>
      <c r="L923" s="13" t="n">
        <v>0</v>
      </c>
      <c r="M923" s="14">
        <f>SUMIFS(Maßnahmen!$I$7:$I$126,Maßnahmen!$D$7:$D$126,C923,Maßnahmen!$H$7:$H$126,"&lt;&gt;verworfen")</f>
        <v/>
      </c>
      <c r="N923" s="14">
        <f>IF(ISNUMBER(K923),MAX(0,K923-L923-M923),"n.a.")</f>
        <v/>
      </c>
      <c r="O923" s="14" t="n">
        <v>575</v>
      </c>
      <c r="P923" s="14">
        <f>IF(ISNUMBER(K923),K923-O923,"n.a.")</f>
        <v/>
      </c>
    </row>
    <row r="924" ht="32" customHeight="1">
      <c r="C924" s="10" t="inlineStr">
        <is>
          <t>PRJ-52b1cf53-RK-09</t>
        </is>
      </c>
      <c r="D924" s="10" t="inlineStr">
        <is>
          <t>P4102157452</t>
        </is>
      </c>
      <c r="E924" s="11" t="inlineStr">
        <is>
          <t>Beennte Lage / nur Handabbruch möglich</t>
        </is>
      </c>
      <c r="F924" s="10" t="inlineStr">
        <is>
          <t>Termin</t>
        </is>
      </c>
      <c r="G924" s="12" t="n">
        <v>0.15</v>
      </c>
      <c r="H924" s="13" t="n">
        <v>40</v>
      </c>
      <c r="I924" s="13" t="n">
        <v>100</v>
      </c>
      <c r="J924" s="13" t="n">
        <v>250</v>
      </c>
      <c r="K924" s="14">
        <f>IF(OR(COUNT(G924:J924)&lt;&gt;4,G924&lt;0,G924&gt;1,H924&gt;I924,I924&gt;J924),"n.a.",ROUND(G924*(H924+4*I924+J924)/6+0.00000001,2))</f>
        <v/>
      </c>
      <c r="L924" s="13" t="n">
        <v>0</v>
      </c>
      <c r="M924" s="14">
        <f>SUMIFS(Maßnahmen!$I$7:$I$126,Maßnahmen!$D$7:$D$126,C924,Maßnahmen!$H$7:$H$126,"&lt;&gt;verworfen")</f>
        <v/>
      </c>
      <c r="N924" s="14">
        <f>IF(ISNUMBER(K924),MAX(0,K924-L924-M924),"n.a.")</f>
        <v/>
      </c>
      <c r="O924" s="14" t="n">
        <v>17.25</v>
      </c>
      <c r="P924" s="14">
        <f>IF(ISNUMBER(K924),K924-O924,"n.a.")</f>
        <v/>
      </c>
    </row>
    <row r="925" ht="32" customHeight="1">
      <c r="C925" s="10" t="inlineStr">
        <is>
          <t>PRJ-52b1cf53-RK-10</t>
        </is>
      </c>
      <c r="D925" s="10" t="inlineStr">
        <is>
          <t>P4102157452</t>
        </is>
      </c>
      <c r="E925" s="11" t="inlineStr">
        <is>
          <t>Terminvorgabe Auftraggeber / Geräteauslastung</t>
        </is>
      </c>
      <c r="F925" s="10" t="inlineStr">
        <is>
          <t>Termin</t>
        </is>
      </c>
      <c r="G925" s="12" t="n">
        <v>0.2</v>
      </c>
      <c r="H925" s="13" t="n">
        <v>40</v>
      </c>
      <c r="I925" s="13" t="n">
        <v>100</v>
      </c>
      <c r="J925" s="13" t="n">
        <v>250</v>
      </c>
      <c r="K925" s="14">
        <f>IF(OR(COUNT(G925:J925)&lt;&gt;4,G925&lt;0,G925&gt;1,H925&gt;I925,I925&gt;J925),"n.a.",ROUND(G925*(H925+4*I925+J925)/6+0.00000001,2))</f>
        <v/>
      </c>
      <c r="L925" s="13" t="n">
        <v>0</v>
      </c>
      <c r="M925" s="14">
        <f>SUMIFS(Maßnahmen!$I$7:$I$126,Maßnahmen!$D$7:$D$126,C925,Maßnahmen!$H$7:$H$126,"&lt;&gt;verworfen")</f>
        <v/>
      </c>
      <c r="N925" s="14">
        <f>IF(ISNUMBER(K925),MAX(0,K925-L925-M925),"n.a.")</f>
        <v/>
      </c>
      <c r="O925" s="14" t="n">
        <v>23</v>
      </c>
      <c r="P925" s="14">
        <f>IF(ISNUMBER(K925),K925-O925,"n.a.")</f>
        <v/>
      </c>
    </row>
    <row r="926" ht="32" customHeight="1">
      <c r="C926" s="10" t="inlineStr">
        <is>
          <t>PRJ-52b1cf53-RK-11</t>
        </is>
      </c>
      <c r="D926" s="10" t="inlineStr">
        <is>
          <t>P4102157452</t>
        </is>
      </c>
      <c r="E926" s="11" t="inlineStr">
        <is>
          <t>Witterung / Ablaufstörung</t>
        </is>
      </c>
      <c r="F926" s="10" t="inlineStr">
        <is>
          <t>Termin</t>
        </is>
      </c>
      <c r="G926" s="12" t="n">
        <v>0.25</v>
      </c>
      <c r="H926" s="13" t="n">
        <v>50</v>
      </c>
      <c r="I926" s="13" t="n">
        <v>150</v>
      </c>
      <c r="J926" s="13" t="n">
        <v>300</v>
      </c>
      <c r="K926" s="14">
        <f>IF(OR(COUNT(G926:J926)&lt;&gt;4,G926&lt;0,G926&gt;1,H926&gt;I926,I926&gt;J926),"n.a.",ROUND(G926*(H926+4*I926+J926)/6+0.00000001,2))</f>
        <v/>
      </c>
      <c r="L926" s="13" t="n">
        <v>0</v>
      </c>
      <c r="M926" s="14">
        <f>SUMIFS(Maßnahmen!$I$7:$I$126,Maßnahmen!$D$7:$D$126,C926,Maßnahmen!$H$7:$H$126,"&lt;&gt;verworfen")</f>
        <v/>
      </c>
      <c r="N926" s="14">
        <f>IF(ISNUMBER(K926),MAX(0,K926-L926-M926),"n.a.")</f>
        <v/>
      </c>
      <c r="O926" s="14" t="n">
        <v>39.58</v>
      </c>
      <c r="P926" s="14">
        <f>IF(ISNUMBER(K926),K926-O926,"n.a.")</f>
        <v/>
      </c>
    </row>
    <row r="927" ht="32" customHeight="1">
      <c r="C927" s="10" t="inlineStr">
        <is>
          <t>PRJ-52b1cf53-RK-12</t>
        </is>
      </c>
      <c r="D927" s="10" t="inlineStr">
        <is>
          <t>P4102157452</t>
        </is>
      </c>
      <c r="E927" s="11" t="inlineStr">
        <is>
          <t>Staubemissionen (höchster Aufwand laut Umfrage)</t>
        </is>
      </c>
      <c r="F927" s="10" t="inlineStr">
        <is>
          <t>Emissionen</t>
        </is>
      </c>
      <c r="G927" s="12" t="n">
        <v>0.1</v>
      </c>
      <c r="H927" s="13" t="n">
        <v>150</v>
      </c>
      <c r="I927" s="13" t="n">
        <v>300</v>
      </c>
      <c r="J927" s="13" t="n">
        <v>600</v>
      </c>
      <c r="K927" s="14">
        <f>IF(OR(COUNT(G927:J927)&lt;&gt;4,G927&lt;0,G927&gt;1,H927&gt;I927,I927&gt;J927),"n.a.",ROUND(G927*(H927+4*I927+J927)/6+0.00000001,2))</f>
        <v/>
      </c>
      <c r="L927" s="13" t="n">
        <v>0</v>
      </c>
      <c r="M927" s="14">
        <f>SUMIFS(Maßnahmen!$I$7:$I$126,Maßnahmen!$D$7:$D$126,C927,Maßnahmen!$H$7:$H$126,"&lt;&gt;verworfen")</f>
        <v/>
      </c>
      <c r="N927" s="14">
        <f>IF(ISNUMBER(K927),MAX(0,K927-L927-M927),"n.a.")</f>
        <v/>
      </c>
      <c r="O927" s="14" t="n">
        <v>32.5</v>
      </c>
      <c r="P927" s="14">
        <f>IF(ISNUMBER(K927),K927-O927,"n.a.")</f>
        <v/>
      </c>
    </row>
    <row r="928" ht="32" customHeight="1">
      <c r="C928" s="10" t="inlineStr">
        <is>
          <t>PRJ-52b1cf53-RK-13</t>
        </is>
      </c>
      <c r="D928" s="10" t="inlineStr">
        <is>
          <t>P4102157452</t>
        </is>
      </c>
      <c r="E928" s="11" t="inlineStr">
        <is>
          <t>Lärm- und Erschütterungsauflagen</t>
        </is>
      </c>
      <c r="F928" s="10" t="inlineStr">
        <is>
          <t>Emissionen</t>
        </is>
      </c>
      <c r="G928" s="12" t="n">
        <v>0.2</v>
      </c>
      <c r="H928" s="13" t="n">
        <v>100</v>
      </c>
      <c r="I928" s="13" t="n">
        <v>250</v>
      </c>
      <c r="J928" s="13" t="n">
        <v>500</v>
      </c>
      <c r="K928" s="14">
        <f>IF(OR(COUNT(G928:J928)&lt;&gt;4,G928&lt;0,G928&gt;1,H928&gt;I928,I928&gt;J928),"n.a.",ROUND(G928*(H928+4*I928+J928)/6+0.00000001,2))</f>
        <v/>
      </c>
      <c r="L928" s="13" t="n">
        <v>0</v>
      </c>
      <c r="M928" s="14">
        <f>SUMIFS(Maßnahmen!$I$7:$I$126,Maßnahmen!$D$7:$D$126,C928,Maßnahmen!$H$7:$H$126,"&lt;&gt;verworfen")</f>
        <v/>
      </c>
      <c r="N928" s="14">
        <f>IF(ISNUMBER(K928),MAX(0,K928-L928-M928),"n.a.")</f>
        <v/>
      </c>
      <c r="O928" s="14" t="n">
        <v>53.33</v>
      </c>
      <c r="P928" s="14">
        <f>IF(ISNUMBER(K928),K928-O928,"n.a.")</f>
        <v/>
      </c>
    </row>
    <row r="929" ht="32" customHeight="1">
      <c r="C929" s="10" t="inlineStr">
        <is>
          <t>PRJ-52b1cf53-RK-14</t>
        </is>
      </c>
      <c r="D929" s="10" t="inlineStr">
        <is>
          <t>P4102157452</t>
        </is>
      </c>
      <c r="E929" s="11" t="inlineStr">
        <is>
          <t>Rechtliche Auflagen / Entsorgungsnachweise (Formalismus)</t>
        </is>
      </c>
      <c r="F929" s="10" t="inlineStr">
        <is>
          <t>Genehmigung</t>
        </is>
      </c>
      <c r="G929" s="12" t="n">
        <v>0.4</v>
      </c>
      <c r="H929" s="13" t="n">
        <v>475</v>
      </c>
      <c r="I929" s="13" t="n">
        <v>925</v>
      </c>
      <c r="J929" s="13" t="n">
        <v>1750</v>
      </c>
      <c r="K929" s="14">
        <f>IF(OR(COUNT(G929:J929)&lt;&gt;4,G929&lt;0,G929&gt;1,H929&gt;I929,I929&gt;J929),"n.a.",ROUND(G929*(H929+4*I929+J929)/6+0.00000001,2))</f>
        <v/>
      </c>
      <c r="L929" s="13" t="n">
        <v>0</v>
      </c>
      <c r="M929" s="14">
        <f>SUMIFS(Maßnahmen!$I$7:$I$126,Maßnahmen!$D$7:$D$126,C929,Maßnahmen!$H$7:$H$126,"&lt;&gt;verworfen")</f>
        <v/>
      </c>
      <c r="N929" s="14">
        <f>IF(ISNUMBER(K929),MAX(0,K929-L929-M929),"n.a.")</f>
        <v/>
      </c>
      <c r="O929" s="14" t="n">
        <v>395</v>
      </c>
      <c r="P929" s="14">
        <f>IF(ISNUMBER(K929),K929-O929,"n.a.")</f>
        <v/>
      </c>
    </row>
    <row r="930" ht="32" customHeight="1">
      <c r="C930" s="10" t="inlineStr">
        <is>
          <t>PRJ-52b1cf53-RK-15</t>
        </is>
      </c>
      <c r="D930" s="10" t="inlineStr">
        <is>
          <t>P4102157452</t>
        </is>
      </c>
      <c r="E930" s="11" t="inlineStr">
        <is>
          <t>Konjunktur / Sekundärstoffpreise &amp; Gerätemiete</t>
        </is>
      </c>
      <c r="F930" s="10" t="inlineStr">
        <is>
          <t>Markt</t>
        </is>
      </c>
      <c r="G930" s="12" t="n">
        <v>0.12</v>
      </c>
      <c r="H930" s="13" t="n">
        <v>40</v>
      </c>
      <c r="I930" s="13" t="n">
        <v>100</v>
      </c>
      <c r="J930" s="13" t="n">
        <v>250</v>
      </c>
      <c r="K930" s="14">
        <f>IF(OR(COUNT(G930:J930)&lt;&gt;4,G930&lt;0,G930&gt;1,H930&gt;I930,I930&gt;J930),"n.a.",ROUND(G930*(H930+4*I930+J930)/6+0.00000001,2))</f>
        <v/>
      </c>
      <c r="L930" s="13" t="n">
        <v>0</v>
      </c>
      <c r="M930" s="14">
        <f>SUMIFS(Maßnahmen!$I$7:$I$126,Maßnahmen!$D$7:$D$126,C930,Maßnahmen!$H$7:$H$126,"&lt;&gt;verworfen")</f>
        <v/>
      </c>
      <c r="N930" s="14">
        <f>IF(ISNUMBER(K930),MAX(0,K930-L930-M930),"n.a.")</f>
        <v/>
      </c>
      <c r="O930" s="14" t="n">
        <v>13.8</v>
      </c>
      <c r="P930" s="14">
        <f>IF(ISNUMBER(K930),K930-O930,"n.a.")</f>
        <v/>
      </c>
    </row>
    <row r="931" ht="32" customHeight="1">
      <c r="C931" s="10" t="inlineStr">
        <is>
          <t>PRJ-4a6f9cbe-RK-01</t>
        </is>
      </c>
      <c r="D931" s="10" t="inlineStr">
        <is>
          <t>P4102608265</t>
        </is>
      </c>
      <c r="E931" s="11" t="inlineStr">
        <is>
          <t>Schadstofffund / Schadstoffsanierung (Asbest, PAK, PCB, PCP)</t>
        </is>
      </c>
      <c r="F931" s="10" t="inlineStr">
        <is>
          <t>Schadstoffe</t>
        </is>
      </c>
      <c r="G931" s="12" t="n">
        <v>0.1</v>
      </c>
      <c r="H931" s="13" t="n">
        <v>62</v>
      </c>
      <c r="I931" s="13" t="n">
        <v>155</v>
      </c>
      <c r="J931" s="13" t="n">
        <v>310</v>
      </c>
      <c r="K931" s="14">
        <f>IF(OR(COUNT(G931:J931)&lt;&gt;4,G931&lt;0,G931&gt;1,H931&gt;I931,I931&gt;J931),"n.a.",ROUND(G931*(H931+4*I931+J931)/6+0.00000001,2))</f>
        <v/>
      </c>
      <c r="L931" s="13" t="n">
        <v>0</v>
      </c>
      <c r="M931" s="14">
        <f>SUMIFS(Maßnahmen!$I$7:$I$126,Maßnahmen!$D$7:$D$126,C931,Maßnahmen!$H$7:$H$126,"&lt;&gt;verworfen")</f>
        <v/>
      </c>
      <c r="N931" s="14">
        <f>IF(ISNUMBER(K931),MAX(0,K931-L931-M931),"n.a.")</f>
        <v/>
      </c>
      <c r="O931" s="14" t="n">
        <v>16.53</v>
      </c>
      <c r="P931" s="14">
        <f>IF(ISNUMBER(K931),K931-O931,"n.a.")</f>
        <v/>
      </c>
    </row>
    <row r="932" ht="32" customHeight="1">
      <c r="C932" s="10" t="inlineStr">
        <is>
          <t>PRJ-4a6f9cbe-RK-02</t>
        </is>
      </c>
      <c r="D932" s="10" t="inlineStr">
        <is>
          <t>P4102608265</t>
        </is>
      </c>
      <c r="E932" s="11" t="inlineStr">
        <is>
          <t>Arbeitsschutz kontaminierte Bereiche (TRGS 524)</t>
        </is>
      </c>
      <c r="F932" s="10" t="inlineStr">
        <is>
          <t>Schadstoffe</t>
        </is>
      </c>
      <c r="G932" s="12" t="n">
        <v>0.1</v>
      </c>
      <c r="H932" s="13" t="n">
        <v>15</v>
      </c>
      <c r="I932" s="13" t="n">
        <v>31</v>
      </c>
      <c r="J932" s="13" t="n">
        <v>62</v>
      </c>
      <c r="K932" s="14">
        <f>IF(OR(COUNT(G932:J932)&lt;&gt;4,G932&lt;0,G932&gt;1,H932&gt;I932,I932&gt;J932),"n.a.",ROUND(G932*(H932+4*I932+J932)/6+0.00000001,2))</f>
        <v/>
      </c>
      <c r="L932" s="13" t="n">
        <v>0</v>
      </c>
      <c r="M932" s="14">
        <f>SUMIFS(Maßnahmen!$I$7:$I$126,Maßnahmen!$D$7:$D$126,C932,Maßnahmen!$H$7:$H$126,"&lt;&gt;verworfen")</f>
        <v/>
      </c>
      <c r="N932" s="14">
        <f>IF(ISNUMBER(K932),MAX(0,K932-L932-M932),"n.a.")</f>
        <v/>
      </c>
      <c r="O932" s="14" t="n">
        <v>3.35</v>
      </c>
      <c r="P932" s="14">
        <f>IF(ISNUMBER(K932),K932-O932,"n.a.")</f>
        <v/>
      </c>
    </row>
    <row r="933" ht="32" customHeight="1">
      <c r="C933" s="10" t="inlineStr">
        <is>
          <t>PRJ-4a6f9cbe-RK-03</t>
        </is>
      </c>
      <c r="D933" s="10" t="inlineStr">
        <is>
          <t>P4102608265</t>
        </is>
      </c>
      <c r="E933" s="11" t="inlineStr">
        <is>
          <t>Entsorgungs-Mehrkosten / Entsorgungswege</t>
        </is>
      </c>
      <c r="F933" s="10" t="inlineStr">
        <is>
          <t>Entsorgung</t>
        </is>
      </c>
      <c r="G933" s="12" t="n">
        <v>0.15</v>
      </c>
      <c r="H933" s="13" t="n">
        <v>62</v>
      </c>
      <c r="I933" s="13" t="n">
        <v>155</v>
      </c>
      <c r="J933" s="13" t="n">
        <v>310</v>
      </c>
      <c r="K933" s="14">
        <f>IF(OR(COUNT(G933:J933)&lt;&gt;4,G933&lt;0,G933&gt;1,H933&gt;I933,I933&gt;J933),"n.a.",ROUND(G933*(H933+4*I933+J933)/6+0.00000001,2))</f>
        <v/>
      </c>
      <c r="L933" s="13" t="n">
        <v>0</v>
      </c>
      <c r="M933" s="14">
        <f>SUMIFS(Maßnahmen!$I$7:$I$126,Maßnahmen!$D$7:$D$126,C933,Maßnahmen!$H$7:$H$126,"&lt;&gt;verworfen")</f>
        <v/>
      </c>
      <c r="N933" s="14">
        <f>IF(ISNUMBER(K933),MAX(0,K933-L933-M933),"n.a.")</f>
        <v/>
      </c>
      <c r="O933" s="14" t="n">
        <v>24.8</v>
      </c>
      <c r="P933" s="14">
        <f>IF(ISNUMBER(K933),K933-O933,"n.a.")</f>
        <v/>
      </c>
    </row>
    <row r="934" ht="32" customHeight="1">
      <c r="C934" s="10" t="inlineStr">
        <is>
          <t>PRJ-4a6f9cbe-RK-04</t>
        </is>
      </c>
      <c r="D934" s="10" t="inlineStr">
        <is>
          <t>P4102608265</t>
        </is>
      </c>
      <c r="E934" s="11" t="inlineStr">
        <is>
          <t>Baustofftrennung / Aufbereitung nicht wie geplant</t>
        </is>
      </c>
      <c r="F934" s="10" t="inlineStr">
        <is>
          <t>Entsorgung</t>
        </is>
      </c>
      <c r="G934" s="12" t="n">
        <v>0.08</v>
      </c>
      <c r="H934" s="13" t="n">
        <v>15</v>
      </c>
      <c r="I934" s="13" t="n">
        <v>31</v>
      </c>
      <c r="J934" s="13" t="n">
        <v>62</v>
      </c>
      <c r="K934" s="14">
        <f>IF(OR(COUNT(G934:J934)&lt;&gt;4,G934&lt;0,G934&gt;1,H934&gt;I934,I934&gt;J934),"n.a.",ROUND(G934*(H934+4*I934+J934)/6+0.00000001,2))</f>
        <v/>
      </c>
      <c r="L934" s="13" t="n">
        <v>0</v>
      </c>
      <c r="M934" s="14">
        <f>SUMIFS(Maßnahmen!$I$7:$I$126,Maßnahmen!$D$7:$D$126,C934,Maßnahmen!$H$7:$H$126,"&lt;&gt;verworfen")</f>
        <v/>
      </c>
      <c r="N934" s="14">
        <f>IF(ISNUMBER(K934),MAX(0,K934-L934-M934),"n.a.")</f>
        <v/>
      </c>
      <c r="O934" s="14" t="n">
        <v>2.68</v>
      </c>
      <c r="P934" s="14">
        <f>IF(ISNUMBER(K934),K934-O934,"n.a.")</f>
        <v/>
      </c>
    </row>
    <row r="935" ht="32" customHeight="1">
      <c r="C935" s="10" t="inlineStr">
        <is>
          <t>PRJ-4a6f9cbe-RK-05</t>
        </is>
      </c>
      <c r="D935" s="10" t="inlineStr">
        <is>
          <t>P4102608265</t>
        </is>
      </c>
      <c r="E935" s="11" t="inlineStr">
        <is>
          <t>Unbekannte Bauwerkskonstruktion / fehlende Pläne</t>
        </is>
      </c>
      <c r="F935" s="10" t="inlineStr">
        <is>
          <t>Statik</t>
        </is>
      </c>
      <c r="G935" s="12" t="n">
        <v>0.12</v>
      </c>
      <c r="H935" s="13" t="n">
        <v>124</v>
      </c>
      <c r="I935" s="13" t="n">
        <v>248</v>
      </c>
      <c r="J935" s="13" t="n">
        <v>465</v>
      </c>
      <c r="K935" s="14">
        <f>IF(OR(COUNT(G935:J935)&lt;&gt;4,G935&lt;0,G935&gt;1,H935&gt;I935,I935&gt;J935),"n.a.",ROUND(G935*(H935+4*I935+J935)/6+0.00000001,2))</f>
        <v/>
      </c>
      <c r="L935" s="13" t="n">
        <v>0</v>
      </c>
      <c r="M935" s="14">
        <f>SUMIFS(Maßnahmen!$I$7:$I$126,Maßnahmen!$D$7:$D$126,C935,Maßnahmen!$H$7:$H$126,"&lt;&gt;verworfen")</f>
        <v/>
      </c>
      <c r="N935" s="14">
        <f>IF(ISNUMBER(K935),MAX(0,K935-L935-M935),"n.a.")</f>
        <v/>
      </c>
      <c r="O935" s="14" t="n">
        <v>31.62</v>
      </c>
      <c r="P935" s="14">
        <f>IF(ISNUMBER(K935),K935-O935,"n.a.")</f>
        <v/>
      </c>
    </row>
    <row r="936" ht="32" customHeight="1">
      <c r="C936" s="10" t="inlineStr">
        <is>
          <t>PRJ-4a6f9cbe-RK-06</t>
        </is>
      </c>
      <c r="D936" s="10" t="inlineStr">
        <is>
          <t>P4102608265</t>
        </is>
      </c>
      <c r="E936" s="11" t="inlineStr">
        <is>
          <t>Statik / Einsturzsicherung während Abbruch</t>
        </is>
      </c>
      <c r="F936" s="10" t="inlineStr">
        <is>
          <t>Statik</t>
        </is>
      </c>
      <c r="G936" s="12" t="n">
        <v>0.24</v>
      </c>
      <c r="H936" s="13" t="n">
        <v>93</v>
      </c>
      <c r="I936" s="13" t="n">
        <v>217</v>
      </c>
      <c r="J936" s="13" t="n">
        <v>434</v>
      </c>
      <c r="K936" s="14">
        <f>IF(OR(COUNT(G936:J936)&lt;&gt;4,G936&lt;0,G936&gt;1,H936&gt;I936,I936&gt;J936),"n.a.",ROUND(G936*(H936+4*I936+J936)/6+0.00000001,2))</f>
        <v/>
      </c>
      <c r="L936" s="13" t="n">
        <v>0</v>
      </c>
      <c r="M936" s="14">
        <f>SUMIFS(Maßnahmen!$I$7:$I$126,Maßnahmen!$D$7:$D$126,C936,Maßnahmen!$H$7:$H$126,"&lt;&gt;verworfen")</f>
        <v/>
      </c>
      <c r="N936" s="14">
        <f>IF(ISNUMBER(K936),MAX(0,K936-L936-M936),"n.a.")</f>
        <v/>
      </c>
      <c r="O936" s="14" t="n">
        <v>55.8</v>
      </c>
      <c r="P936" s="14">
        <f>IF(ISNUMBER(K936),K936-O936,"n.a.")</f>
        <v/>
      </c>
    </row>
    <row r="937" ht="32" customHeight="1">
      <c r="C937" s="10" t="inlineStr">
        <is>
          <t>PRJ-4a6f9cbe-RK-07</t>
        </is>
      </c>
      <c r="D937" s="10" t="inlineStr">
        <is>
          <t>P4102608265</t>
        </is>
      </c>
      <c r="E937" s="11" t="inlineStr">
        <is>
          <t>Unterirdische Tragkonstruktion / Fundamente</t>
        </is>
      </c>
      <c r="F937" s="10" t="inlineStr">
        <is>
          <t>Statik</t>
        </is>
      </c>
      <c r="G937" s="12" t="n">
        <v>0.4</v>
      </c>
      <c r="H937" s="13" t="n">
        <v>15</v>
      </c>
      <c r="I937" s="13" t="n">
        <v>62</v>
      </c>
      <c r="J937" s="13" t="n">
        <v>155</v>
      </c>
      <c r="K937" s="14">
        <f>IF(OR(COUNT(G937:J937)&lt;&gt;4,G937&lt;0,G937&gt;1,H937&gt;I937,I937&gt;J937),"n.a.",ROUND(G937*(H937+4*I937+J937)/6+0.00000001,2))</f>
        <v/>
      </c>
      <c r="L937" s="13" t="n">
        <v>0</v>
      </c>
      <c r="M937" s="14">
        <f>SUMIFS(Maßnahmen!$I$7:$I$126,Maßnahmen!$D$7:$D$126,C937,Maßnahmen!$H$7:$H$126,"&lt;&gt;verworfen")</f>
        <v/>
      </c>
      <c r="N937" s="14">
        <f>IF(ISNUMBER(K937),MAX(0,K937-L937-M937),"n.a.")</f>
        <v/>
      </c>
      <c r="O937" s="14" t="n">
        <v>27.87</v>
      </c>
      <c r="P937" s="14">
        <f>IF(ISNUMBER(K937),K937-O937,"n.a.")</f>
        <v/>
      </c>
    </row>
    <row r="938" ht="32" customHeight="1">
      <c r="C938" s="10" t="inlineStr">
        <is>
          <t>PRJ-4a6f9cbe-RK-08</t>
        </is>
      </c>
      <c r="D938" s="10" t="inlineStr">
        <is>
          <t>P4102608265</t>
        </is>
      </c>
      <c r="E938" s="11" t="inlineStr">
        <is>
          <t>Gebäudehöhe &gt;22 m / Longfront-Bagger (+130–150 %)</t>
        </is>
      </c>
      <c r="F938" s="10" t="inlineStr">
        <is>
          <t>Termin</t>
        </is>
      </c>
      <c r="G938" s="12" t="n">
        <v>0.6</v>
      </c>
      <c r="H938" s="13" t="n">
        <v>279</v>
      </c>
      <c r="I938" s="13" t="n">
        <v>557</v>
      </c>
      <c r="J938" s="13" t="n">
        <v>1053</v>
      </c>
      <c r="K938" s="14">
        <f>IF(OR(COUNT(G938:J938)&lt;&gt;4,G938&lt;0,G938&gt;1,H938&gt;I938,I938&gt;J938),"n.a.",ROUND(G938*(H938+4*I938+J938)/6+0.00000001,2))</f>
        <v/>
      </c>
      <c r="L938" s="13" t="n">
        <v>0</v>
      </c>
      <c r="M938" s="14">
        <f>SUMIFS(Maßnahmen!$I$7:$I$126,Maßnahmen!$D$7:$D$126,C938,Maßnahmen!$H$7:$H$126,"&lt;&gt;verworfen")</f>
        <v/>
      </c>
      <c r="N938" s="14">
        <f>IF(ISNUMBER(K938),MAX(0,K938-L938-M938),"n.a.")</f>
        <v/>
      </c>
      <c r="O938" s="14" t="n">
        <v>356</v>
      </c>
      <c r="P938" s="14">
        <f>IF(ISNUMBER(K938),K938-O938,"n.a.")</f>
        <v/>
      </c>
    </row>
    <row r="939" ht="32" customHeight="1">
      <c r="C939" s="10" t="inlineStr">
        <is>
          <t>PRJ-52b1cf6b-RK-01</t>
        </is>
      </c>
      <c r="D939" s="10" t="inlineStr">
        <is>
          <t>P4102157449</t>
        </is>
      </c>
      <c r="E939" s="11" t="inlineStr">
        <is>
          <t>Schadstofffund / Schadstoffsanierung (Asbest, PAK, PCB, PCP)</t>
        </is>
      </c>
      <c r="F939" s="10" t="inlineStr">
        <is>
          <t>Schadstoffe</t>
        </is>
      </c>
      <c r="G939" s="12" t="n">
        <v>0.7</v>
      </c>
      <c r="H939" s="13" t="n">
        <v>48753</v>
      </c>
      <c r="I939" s="13" t="n">
        <v>62683</v>
      </c>
      <c r="J939" s="13" t="n">
        <v>90541</v>
      </c>
      <c r="K939" s="14">
        <f>IF(OR(COUNT(G939:J939)&lt;&gt;4,G939&lt;0,G939&gt;1,H939&gt;I939,I939&gt;J939),"n.a.",ROUND(G939*(H939+4*I939+J939)/6+0.00000001,2))</f>
        <v/>
      </c>
      <c r="L939" s="13" t="n">
        <v>0</v>
      </c>
      <c r="M939" s="14">
        <f>SUMIFS(Maßnahmen!$I$7:$I$126,Maßnahmen!$D$7:$D$126,C939,Maßnahmen!$H$7:$H$126,"&lt;&gt;verworfen")</f>
        <v/>
      </c>
      <c r="N939" s="14">
        <f>IF(ISNUMBER(K939),MAX(0,K939-L939-M939),"n.a.")</f>
        <v/>
      </c>
      <c r="O939" s="14" t="n">
        <v>45503.03</v>
      </c>
      <c r="P939" s="14">
        <f>IF(ISNUMBER(K939),K939-O939,"n.a.")</f>
        <v/>
      </c>
    </row>
    <row r="940" ht="32" customHeight="1">
      <c r="C940" s="10" t="inlineStr">
        <is>
          <t>PRJ-52b1cf6b-RK-02</t>
        </is>
      </c>
      <c r="D940" s="10" t="inlineStr">
        <is>
          <t>P4102157449</t>
        </is>
      </c>
      <c r="E940" s="11" t="inlineStr">
        <is>
          <t>Arbeitsschutz kontaminierte Bereiche (TRGS 524)</t>
        </is>
      </c>
      <c r="F940" s="10" t="inlineStr">
        <is>
          <t>Schadstoffe</t>
        </is>
      </c>
      <c r="G940" s="12" t="n">
        <v>0.1</v>
      </c>
      <c r="H940" s="13" t="n">
        <v>696</v>
      </c>
      <c r="I940" s="13" t="n">
        <v>1393</v>
      </c>
      <c r="J940" s="13" t="n">
        <v>2786</v>
      </c>
      <c r="K940" s="14">
        <f>IF(OR(COUNT(G940:J940)&lt;&gt;4,G940&lt;0,G940&gt;1,H940&gt;I940,I940&gt;J940),"n.a.",ROUND(G940*(H940+4*I940+J940)/6+0.00000001,2))</f>
        <v/>
      </c>
      <c r="L940" s="13" t="n">
        <v>0</v>
      </c>
      <c r="M940" s="14">
        <f>SUMIFS(Maßnahmen!$I$7:$I$126,Maßnahmen!$D$7:$D$126,C940,Maßnahmen!$H$7:$H$126,"&lt;&gt;verworfen")</f>
        <v/>
      </c>
      <c r="N940" s="14">
        <f>IF(ISNUMBER(K940),MAX(0,K940-L940-M940),"n.a.")</f>
        <v/>
      </c>
      <c r="O940" s="14" t="n">
        <v>150.9</v>
      </c>
      <c r="P940" s="14">
        <f>IF(ISNUMBER(K940),K940-O940,"n.a.")</f>
        <v/>
      </c>
    </row>
    <row r="941" ht="32" customHeight="1">
      <c r="C941" s="10" t="inlineStr">
        <is>
          <t>PRJ-52b1cf6b-RK-04</t>
        </is>
      </c>
      <c r="D941" s="10" t="inlineStr">
        <is>
          <t>P4102157449</t>
        </is>
      </c>
      <c r="E941" s="11" t="inlineStr">
        <is>
          <t>Baustofftrennung / Aufbereitung nicht wie geplant</t>
        </is>
      </c>
      <c r="F941" s="10" t="inlineStr">
        <is>
          <t>Entsorgung</t>
        </is>
      </c>
      <c r="G941" s="12" t="n">
        <v>0.08</v>
      </c>
      <c r="H941" s="13" t="n">
        <v>696</v>
      </c>
      <c r="I941" s="13" t="n">
        <v>1393</v>
      </c>
      <c r="J941" s="13" t="n">
        <v>2786</v>
      </c>
      <c r="K941" s="14">
        <f>IF(OR(COUNT(G941:J941)&lt;&gt;4,G941&lt;0,G941&gt;1,H941&gt;I941,I941&gt;J941),"n.a.",ROUND(G941*(H941+4*I941+J941)/6+0.00000001,2))</f>
        <v/>
      </c>
      <c r="L941" s="13" t="n">
        <v>0</v>
      </c>
      <c r="M941" s="14">
        <f>SUMIFS(Maßnahmen!$I$7:$I$126,Maßnahmen!$D$7:$D$126,C941,Maßnahmen!$H$7:$H$126,"&lt;&gt;verworfen")</f>
        <v/>
      </c>
      <c r="N941" s="14">
        <f>IF(ISNUMBER(K941),MAX(0,K941-L941-M941),"n.a.")</f>
        <v/>
      </c>
      <c r="O941" s="14" t="n">
        <v>120.72</v>
      </c>
      <c r="P941" s="14">
        <f>IF(ISNUMBER(K941),K941-O941,"n.a.")</f>
        <v/>
      </c>
    </row>
    <row r="942" ht="32" customHeight="1">
      <c r="C942" s="10" t="inlineStr">
        <is>
          <t>PRJ-52b1cf6b-RK-10</t>
        </is>
      </c>
      <c r="D942" s="10" t="inlineStr">
        <is>
          <t>P4102157449</t>
        </is>
      </c>
      <c r="E942" s="11" t="inlineStr">
        <is>
          <t>Terminvorgabe Auftraggeber / Geräteauslastung</t>
        </is>
      </c>
      <c r="F942" s="10" t="inlineStr">
        <is>
          <t>Termin</t>
        </is>
      </c>
      <c r="G942" s="12" t="n">
        <v>0.08</v>
      </c>
      <c r="H942" s="13" t="n">
        <v>696</v>
      </c>
      <c r="I942" s="13" t="n">
        <v>1393</v>
      </c>
      <c r="J942" s="13" t="n">
        <v>2786</v>
      </c>
      <c r="K942" s="14">
        <f>IF(OR(COUNT(G942:J942)&lt;&gt;4,G942&lt;0,G942&gt;1,H942&gt;I942,I942&gt;J942),"n.a.",ROUND(G942*(H942+4*I942+J942)/6+0.00000001,2))</f>
        <v/>
      </c>
      <c r="L942" s="13" t="n">
        <v>0</v>
      </c>
      <c r="M942" s="14">
        <f>SUMIFS(Maßnahmen!$I$7:$I$126,Maßnahmen!$D$7:$D$126,C942,Maßnahmen!$H$7:$H$126,"&lt;&gt;verworfen")</f>
        <v/>
      </c>
      <c r="N942" s="14">
        <f>IF(ISNUMBER(K942),MAX(0,K942-L942-M942),"n.a.")</f>
        <v/>
      </c>
      <c r="O942" s="14" t="n">
        <v>120.72</v>
      </c>
      <c r="P942" s="14">
        <f>IF(ISNUMBER(K942),K942-O942,"n.a.")</f>
        <v/>
      </c>
    </row>
    <row r="943" ht="32" customHeight="1">
      <c r="C943" s="10" t="inlineStr">
        <is>
          <t>PRJ-52b1cf6b-RK-11</t>
        </is>
      </c>
      <c r="D943" s="10" t="inlineStr">
        <is>
          <t>P4102157449</t>
        </is>
      </c>
      <c r="E943" s="11" t="inlineStr">
        <is>
          <t>Witterung / Ablaufstörung</t>
        </is>
      </c>
      <c r="F943" s="10" t="inlineStr">
        <is>
          <t>Termin</t>
        </is>
      </c>
      <c r="G943" s="12" t="n">
        <v>0.55</v>
      </c>
      <c r="H943" s="13" t="n">
        <v>11903</v>
      </c>
      <c r="I943" s="13" t="n">
        <v>19943</v>
      </c>
      <c r="J943" s="13" t="n">
        <v>39887</v>
      </c>
      <c r="K943" s="14">
        <f>IF(OR(COUNT(G943:J943)&lt;&gt;4,G943&lt;0,G943&gt;1,H943&gt;I943,I943&gt;J943),"n.a.",ROUND(G943*(H943+4*I943+J943)/6+0.00000001,2))</f>
        <v/>
      </c>
      <c r="L943" s="13" t="n">
        <v>0</v>
      </c>
      <c r="M943" s="14">
        <f>SUMIFS(Maßnahmen!$I$7:$I$126,Maßnahmen!$D$7:$D$126,C943,Maßnahmen!$H$7:$H$126,"&lt;&gt;verworfen")</f>
        <v/>
      </c>
      <c r="N943" s="14">
        <f>IF(ISNUMBER(K943),MAX(0,K943-L943-M943),"n.a.")</f>
        <v/>
      </c>
      <c r="O943" s="14" t="n">
        <v>12059.85</v>
      </c>
      <c r="P943" s="14">
        <f>IF(ISNUMBER(K943),K943-O943,"n.a.")</f>
        <v/>
      </c>
    </row>
    <row r="944" ht="32" customHeight="1">
      <c r="C944" s="10" t="inlineStr">
        <is>
          <t>PRJ-52b1cf6b-RK-12</t>
        </is>
      </c>
      <c r="D944" s="10" t="inlineStr">
        <is>
          <t>P4102157449</t>
        </is>
      </c>
      <c r="E944" s="11" t="inlineStr">
        <is>
          <t>Staubemissionen (höchster Aufwand laut Umfrage)</t>
        </is>
      </c>
      <c r="F944" s="10" t="inlineStr">
        <is>
          <t>Emissionen</t>
        </is>
      </c>
      <c r="G944" s="12" t="n">
        <v>0.1</v>
      </c>
      <c r="H944" s="13" t="n">
        <v>4179</v>
      </c>
      <c r="I944" s="13" t="n">
        <v>8358</v>
      </c>
      <c r="J944" s="13" t="n">
        <v>16715</v>
      </c>
      <c r="K944" s="14">
        <f>IF(OR(COUNT(G944:J944)&lt;&gt;4,G944&lt;0,G944&gt;1,H944&gt;I944,I944&gt;J944),"n.a.",ROUND(G944*(H944+4*I944+J944)/6+0.00000001,2))</f>
        <v/>
      </c>
      <c r="L944" s="13" t="n">
        <v>0</v>
      </c>
      <c r="M944" s="14">
        <f>SUMIFS(Maßnahmen!$I$7:$I$126,Maßnahmen!$D$7:$D$126,C944,Maßnahmen!$H$7:$H$126,"&lt;&gt;verworfen")</f>
        <v/>
      </c>
      <c r="N944" s="14">
        <f>IF(ISNUMBER(K944),MAX(0,K944-L944-M944),"n.a.")</f>
        <v/>
      </c>
      <c r="O944" s="14" t="n">
        <v>905.4299999999999</v>
      </c>
      <c r="P944" s="14">
        <f>IF(ISNUMBER(K944),K944-O944,"n.a.")</f>
        <v/>
      </c>
    </row>
    <row r="945" ht="32" customHeight="1">
      <c r="C945" s="10" t="inlineStr">
        <is>
          <t>PRJ-52b1cf6b-RK-15</t>
        </is>
      </c>
      <c r="D945" s="10" t="inlineStr">
        <is>
          <t>P4102157449</t>
        </is>
      </c>
      <c r="E945" s="11" t="inlineStr">
        <is>
          <t>Konjunktur / Sekundärstoffpreise &amp; Gerätemiete</t>
        </is>
      </c>
      <c r="F945" s="10" t="inlineStr">
        <is>
          <t>Markt</t>
        </is>
      </c>
      <c r="G945" s="12" t="n">
        <v>0.271</v>
      </c>
      <c r="H945" s="13" t="n">
        <v>11624</v>
      </c>
      <c r="I945" s="13" t="n">
        <v>15398</v>
      </c>
      <c r="J945" s="13" t="n">
        <v>33239</v>
      </c>
      <c r="K945" s="14">
        <f>IF(OR(COUNT(G945:J945)&lt;&gt;4,G945&lt;0,G945&gt;1,H945&gt;I945,I945&gt;J945),"n.a.",ROUND(G945*(H945+4*I945+J945)/6+0.00000001,2))</f>
        <v/>
      </c>
      <c r="L945" s="13" t="n">
        <v>0</v>
      </c>
      <c r="M945" s="14">
        <f>SUMIFS(Maßnahmen!$I$7:$I$126,Maßnahmen!$D$7:$D$126,C945,Maßnahmen!$H$7:$H$126,"&lt;&gt;verworfen")</f>
        <v/>
      </c>
      <c r="N945" s="14">
        <f>IF(ISNUMBER(K945),MAX(0,K945-L945-M945),"n.a.")</f>
        <v/>
      </c>
      <c r="O945" s="14" t="n">
        <v>4808.22</v>
      </c>
      <c r="P945" s="14">
        <f>IF(ISNUMBER(K945),K945-O945,"n.a.")</f>
        <v/>
      </c>
    </row>
    <row r="946" ht="32" customHeight="1">
      <c r="C946" s="10" t="inlineStr">
        <is>
          <t>PRJ-52b1cfcd-RK-01</t>
        </is>
      </c>
      <c r="D946" s="10" t="inlineStr">
        <is>
          <t>P4102157414</t>
        </is>
      </c>
      <c r="E946" s="11" t="inlineStr">
        <is>
          <t>Schadstofffund / Schadstoffsanierung (Asbest, PAK, PCB, PCP)</t>
        </is>
      </c>
      <c r="F946" s="10" t="inlineStr">
        <is>
          <t>Schadstoffe</t>
        </is>
      </c>
      <c r="G946" s="12" t="n">
        <v>0.7</v>
      </c>
      <c r="H946" s="13" t="n">
        <v>35309</v>
      </c>
      <c r="I946" s="13" t="n">
        <v>45397</v>
      </c>
      <c r="J946" s="13" t="n">
        <v>65574</v>
      </c>
      <c r="K946" s="14">
        <f>IF(OR(COUNT(G946:J946)&lt;&gt;4,G946&lt;0,G946&gt;1,H946&gt;I946,I946&gt;J946),"n.a.",ROUND(G946*(H946+4*I946+J946)/6+0.00000001,2))</f>
        <v/>
      </c>
      <c r="L946" s="13" t="n">
        <v>0</v>
      </c>
      <c r="M946" s="14">
        <f>SUMIFS(Maßnahmen!$I$7:$I$126,Maßnahmen!$D$7:$D$126,C946,Maßnahmen!$H$7:$H$126,"&lt;&gt;verworfen")</f>
        <v/>
      </c>
      <c r="N946" s="14">
        <f>IF(ISNUMBER(K946),MAX(0,K946-L946-M946),"n.a.")</f>
        <v/>
      </c>
      <c r="O946" s="14" t="n">
        <v>32954.95</v>
      </c>
      <c r="P946" s="14">
        <f>IF(ISNUMBER(K946),K946-O946,"n.a.")</f>
        <v/>
      </c>
    </row>
    <row r="947" ht="32" customHeight="1">
      <c r="C947" s="10" t="inlineStr">
        <is>
          <t>PRJ-52b1cfcd-RK-02</t>
        </is>
      </c>
      <c r="D947" s="10" t="inlineStr">
        <is>
          <t>P4102157414</t>
        </is>
      </c>
      <c r="E947" s="11" t="inlineStr">
        <is>
          <t>Arbeitsschutz kontaminierte Bereiche (TRGS 524)</t>
        </is>
      </c>
      <c r="F947" s="10" t="inlineStr">
        <is>
          <t>Schadstoffe</t>
        </is>
      </c>
      <c r="G947" s="12" t="n">
        <v>0.1</v>
      </c>
      <c r="H947" s="13" t="n">
        <v>504</v>
      </c>
      <c r="I947" s="13" t="n">
        <v>1009</v>
      </c>
      <c r="J947" s="13" t="n">
        <v>2018</v>
      </c>
      <c r="K947" s="14">
        <f>IF(OR(COUNT(G947:J947)&lt;&gt;4,G947&lt;0,G947&gt;1,H947&gt;I947,I947&gt;J947),"n.a.",ROUND(G947*(H947+4*I947+J947)/6+0.00000001,2))</f>
        <v/>
      </c>
      <c r="L947" s="13" t="n">
        <v>0</v>
      </c>
      <c r="M947" s="14">
        <f>SUMIFS(Maßnahmen!$I$7:$I$126,Maßnahmen!$D$7:$D$126,C947,Maßnahmen!$H$7:$H$126,"&lt;&gt;verworfen")</f>
        <v/>
      </c>
      <c r="N947" s="14">
        <f>IF(ISNUMBER(K947),MAX(0,K947-L947-M947),"n.a.")</f>
        <v/>
      </c>
      <c r="O947" s="14" t="n">
        <v>109.3</v>
      </c>
      <c r="P947" s="14">
        <f>IF(ISNUMBER(K947),K947-O947,"n.a.")</f>
        <v/>
      </c>
    </row>
    <row r="948" ht="32" customHeight="1">
      <c r="C948" s="10" t="inlineStr">
        <is>
          <t>PRJ-52b1cfcd-RK-04</t>
        </is>
      </c>
      <c r="D948" s="10" t="inlineStr">
        <is>
          <t>P4102157414</t>
        </is>
      </c>
      <c r="E948" s="11" t="inlineStr">
        <is>
          <t>Baustofftrennung / Aufbereitung nicht wie geplant</t>
        </is>
      </c>
      <c r="F948" s="10" t="inlineStr">
        <is>
          <t>Entsorgung</t>
        </is>
      </c>
      <c r="G948" s="12" t="n">
        <v>0.08</v>
      </c>
      <c r="H948" s="13" t="n">
        <v>504</v>
      </c>
      <c r="I948" s="13" t="n">
        <v>1009</v>
      </c>
      <c r="J948" s="13" t="n">
        <v>2018</v>
      </c>
      <c r="K948" s="14">
        <f>IF(OR(COUNT(G948:J948)&lt;&gt;4,G948&lt;0,G948&gt;1,H948&gt;I948,I948&gt;J948),"n.a.",ROUND(G948*(H948+4*I948+J948)/6+0.00000001,2))</f>
        <v/>
      </c>
      <c r="L948" s="13" t="n">
        <v>0</v>
      </c>
      <c r="M948" s="14">
        <f>SUMIFS(Maßnahmen!$I$7:$I$126,Maßnahmen!$D$7:$D$126,C948,Maßnahmen!$H$7:$H$126,"&lt;&gt;verworfen")</f>
        <v/>
      </c>
      <c r="N948" s="14">
        <f>IF(ISNUMBER(K948),MAX(0,K948-L948-M948),"n.a.")</f>
        <v/>
      </c>
      <c r="O948" s="14" t="n">
        <v>87.44</v>
      </c>
      <c r="P948" s="14">
        <f>IF(ISNUMBER(K948),K948-O948,"n.a.")</f>
        <v/>
      </c>
    </row>
    <row r="949" ht="32" customHeight="1">
      <c r="C949" s="10" t="inlineStr">
        <is>
          <t>PRJ-52b1cfcd-RK-10</t>
        </is>
      </c>
      <c r="D949" s="10" t="inlineStr">
        <is>
          <t>P4102157414</t>
        </is>
      </c>
      <c r="E949" s="11" t="inlineStr">
        <is>
          <t>Terminvorgabe Auftraggeber / Geräteauslastung</t>
        </is>
      </c>
      <c r="F949" s="10" t="inlineStr">
        <is>
          <t>Termin</t>
        </is>
      </c>
      <c r="G949" s="12" t="n">
        <v>0.08</v>
      </c>
      <c r="H949" s="13" t="n">
        <v>504</v>
      </c>
      <c r="I949" s="13" t="n">
        <v>1009</v>
      </c>
      <c r="J949" s="13" t="n">
        <v>2018</v>
      </c>
      <c r="K949" s="14">
        <f>IF(OR(COUNT(G949:J949)&lt;&gt;4,G949&lt;0,G949&gt;1,H949&gt;I949,I949&gt;J949),"n.a.",ROUND(G949*(H949+4*I949+J949)/6+0.00000001,2))</f>
        <v/>
      </c>
      <c r="L949" s="13" t="n">
        <v>0</v>
      </c>
      <c r="M949" s="14">
        <f>SUMIFS(Maßnahmen!$I$7:$I$126,Maßnahmen!$D$7:$D$126,C949,Maßnahmen!$H$7:$H$126,"&lt;&gt;verworfen")</f>
        <v/>
      </c>
      <c r="N949" s="14">
        <f>IF(ISNUMBER(K949),MAX(0,K949-L949-M949),"n.a.")</f>
        <v/>
      </c>
      <c r="O949" s="14" t="n">
        <v>87.44</v>
      </c>
      <c r="P949" s="14">
        <f>IF(ISNUMBER(K949),K949-O949,"n.a.")</f>
        <v/>
      </c>
    </row>
    <row r="950" ht="32" customHeight="1">
      <c r="C950" s="10" t="inlineStr">
        <is>
          <t>PRJ-52b1cfcd-RK-12</t>
        </is>
      </c>
      <c r="D950" s="10" t="inlineStr">
        <is>
          <t>P4102157414</t>
        </is>
      </c>
      <c r="E950" s="11" t="inlineStr">
        <is>
          <t>Staubemissionen (höchster Aufwand laut Umfrage)</t>
        </is>
      </c>
      <c r="F950" s="10" t="inlineStr">
        <is>
          <t>Emissionen</t>
        </is>
      </c>
      <c r="G950" s="12" t="n">
        <v>0.1</v>
      </c>
      <c r="H950" s="13" t="n">
        <v>3026</v>
      </c>
      <c r="I950" s="13" t="n">
        <v>6053</v>
      </c>
      <c r="J950" s="13" t="n">
        <v>12106</v>
      </c>
      <c r="K950" s="14">
        <f>IF(OR(COUNT(G950:J950)&lt;&gt;4,G950&lt;0,G950&gt;1,H950&gt;I950,I950&gt;J950),"n.a.",ROUND(G950*(H950+4*I950+J950)/6+0.00000001,2))</f>
        <v/>
      </c>
      <c r="L950" s="13" t="n">
        <v>0</v>
      </c>
      <c r="M950" s="14">
        <f>SUMIFS(Maßnahmen!$I$7:$I$126,Maßnahmen!$D$7:$D$126,C950,Maßnahmen!$H$7:$H$126,"&lt;&gt;verworfen")</f>
        <v/>
      </c>
      <c r="N950" s="14">
        <f>IF(ISNUMBER(K950),MAX(0,K950-L950-M950),"n.a.")</f>
        <v/>
      </c>
      <c r="O950" s="14" t="n">
        <v>655.73</v>
      </c>
      <c r="P950" s="14">
        <f>IF(ISNUMBER(K950),K950-O950,"n.a.")</f>
        <v/>
      </c>
    </row>
    <row r="951" ht="32" customHeight="1">
      <c r="C951" s="10" t="inlineStr">
        <is>
          <t>PRJ-52b1cfcd-RK-15</t>
        </is>
      </c>
      <c r="D951" s="10" t="inlineStr">
        <is>
          <t>P4102157414</t>
        </is>
      </c>
      <c r="E951" s="11" t="inlineStr">
        <is>
          <t>Konjunktur / Sekundärstoffpreise &amp; Gerätemiete</t>
        </is>
      </c>
      <c r="F951" s="10" t="inlineStr">
        <is>
          <t>Markt</t>
        </is>
      </c>
      <c r="G951" s="12" t="n">
        <v>0.12</v>
      </c>
      <c r="H951" s="13" t="n">
        <v>807</v>
      </c>
      <c r="I951" s="13" t="n">
        <v>2018</v>
      </c>
      <c r="J951" s="13" t="n">
        <v>5044</v>
      </c>
      <c r="K951" s="14">
        <f>IF(OR(COUNT(G951:J951)&lt;&gt;4,G951&lt;0,G951&gt;1,H951&gt;I951,I951&gt;J951),"n.a.",ROUND(G951*(H951+4*I951+J951)/6+0.00000001,2))</f>
        <v/>
      </c>
      <c r="L951" s="13" t="n">
        <v>0</v>
      </c>
      <c r="M951" s="14">
        <f>SUMIFS(Maßnahmen!$I$7:$I$126,Maßnahmen!$D$7:$D$126,C951,Maßnahmen!$H$7:$H$126,"&lt;&gt;verworfen")</f>
        <v/>
      </c>
      <c r="N951" s="14">
        <f>IF(ISNUMBER(K951),MAX(0,K951-L951-M951),"n.a.")</f>
        <v/>
      </c>
      <c r="O951" s="14" t="n">
        <v>278.46</v>
      </c>
      <c r="P951" s="14">
        <f>IF(ISNUMBER(K951),K951-O951,"n.a.")</f>
        <v/>
      </c>
    </row>
    <row r="952" ht="32" customHeight="1">
      <c r="C952" s="10" t="inlineStr">
        <is>
          <t>PRJ-4a292757-RK-01</t>
        </is>
      </c>
      <c r="D952" s="10" t="inlineStr">
        <is>
          <t>P4102658256</t>
        </is>
      </c>
      <c r="E952" s="11" t="inlineStr">
        <is>
          <t>Schadstofffund / Schadstoffsanierung (Asbest, PAK, PCB, PCP)</t>
        </is>
      </c>
      <c r="F952" s="10" t="inlineStr">
        <is>
          <t>Schadstoffe</t>
        </is>
      </c>
      <c r="G952" s="12" t="n">
        <v>0.7</v>
      </c>
      <c r="H952" s="13" t="n">
        <v>20310</v>
      </c>
      <c r="I952" s="13" t="n">
        <v>26113</v>
      </c>
      <c r="J952" s="13" t="n">
        <v>37718</v>
      </c>
      <c r="K952" s="14">
        <f>IF(OR(COUNT(G952:J952)&lt;&gt;4,G952&lt;0,G952&gt;1,H952&gt;I952,I952&gt;J952),"n.a.",ROUND(G952*(H952+4*I952+J952)/6+0.00000001,2))</f>
        <v/>
      </c>
      <c r="L952" s="13" t="n">
        <v>0</v>
      </c>
      <c r="M952" s="14">
        <f>SUMIFS(Maßnahmen!$I$7:$I$126,Maßnahmen!$D$7:$D$126,C952,Maßnahmen!$H$7:$H$126,"&lt;&gt;verworfen")</f>
        <v/>
      </c>
      <c r="N952" s="14">
        <f>IF(ISNUMBER(K952),MAX(0,K952-L952-M952),"n.a.")</f>
        <v/>
      </c>
      <c r="O952" s="14" t="n">
        <v>18956</v>
      </c>
      <c r="P952" s="14">
        <f>IF(ISNUMBER(K952),K952-O952,"n.a.")</f>
        <v/>
      </c>
    </row>
    <row r="953" ht="32" customHeight="1">
      <c r="C953" s="10" t="inlineStr">
        <is>
          <t>PRJ-4a292757-RK-02</t>
        </is>
      </c>
      <c r="D953" s="10" t="inlineStr">
        <is>
          <t>P4102658256</t>
        </is>
      </c>
      <c r="E953" s="11" t="inlineStr">
        <is>
          <t>Arbeitsschutz kontaminierte Bereiche (TRGS 524)</t>
        </is>
      </c>
      <c r="F953" s="10" t="inlineStr">
        <is>
          <t>Schadstoffe</t>
        </is>
      </c>
      <c r="G953" s="12" t="n">
        <v>0.1</v>
      </c>
      <c r="H953" s="13" t="n">
        <v>290</v>
      </c>
      <c r="I953" s="13" t="n">
        <v>580</v>
      </c>
      <c r="J953" s="13" t="n">
        <v>1161</v>
      </c>
      <c r="K953" s="14">
        <f>IF(OR(COUNT(G953:J953)&lt;&gt;4,G953&lt;0,G953&gt;1,H953&gt;I953,I953&gt;J953),"n.a.",ROUND(G953*(H953+4*I953+J953)/6+0.00000001,2))</f>
        <v/>
      </c>
      <c r="L953" s="13" t="n">
        <v>0</v>
      </c>
      <c r="M953" s="14">
        <f>SUMIFS(Maßnahmen!$I$7:$I$126,Maßnahmen!$D$7:$D$126,C953,Maßnahmen!$H$7:$H$126,"&lt;&gt;verworfen")</f>
        <v/>
      </c>
      <c r="N953" s="14">
        <f>IF(ISNUMBER(K953),MAX(0,K953-L953-M953),"n.a.")</f>
        <v/>
      </c>
      <c r="O953" s="14" t="n">
        <v>62.85</v>
      </c>
      <c r="P953" s="14">
        <f>IF(ISNUMBER(K953),K953-O953,"n.a.")</f>
        <v/>
      </c>
    </row>
    <row r="954" ht="32" customHeight="1">
      <c r="C954" s="10" t="inlineStr">
        <is>
          <t>PRJ-4a292757-RK-04</t>
        </is>
      </c>
      <c r="D954" s="10" t="inlineStr">
        <is>
          <t>P4102658256</t>
        </is>
      </c>
      <c r="E954" s="11" t="inlineStr">
        <is>
          <t>Baustofftrennung / Aufbereitung nicht wie geplant</t>
        </is>
      </c>
      <c r="F954" s="10" t="inlineStr">
        <is>
          <t>Entsorgung</t>
        </is>
      </c>
      <c r="G954" s="12" t="n">
        <v>0.08</v>
      </c>
      <c r="H954" s="13" t="n">
        <v>290</v>
      </c>
      <c r="I954" s="13" t="n">
        <v>580</v>
      </c>
      <c r="J954" s="13" t="n">
        <v>1161</v>
      </c>
      <c r="K954" s="14">
        <f>IF(OR(COUNT(G954:J954)&lt;&gt;4,G954&lt;0,G954&gt;1,H954&gt;I954,I954&gt;J954),"n.a.",ROUND(G954*(H954+4*I954+J954)/6+0.00000001,2))</f>
        <v/>
      </c>
      <c r="L954" s="13" t="n">
        <v>0</v>
      </c>
      <c r="M954" s="14">
        <f>SUMIFS(Maßnahmen!$I$7:$I$126,Maßnahmen!$D$7:$D$126,C954,Maßnahmen!$H$7:$H$126,"&lt;&gt;verworfen")</f>
        <v/>
      </c>
      <c r="N954" s="14">
        <f>IF(ISNUMBER(K954),MAX(0,K954-L954-M954),"n.a.")</f>
        <v/>
      </c>
      <c r="O954" s="14" t="n">
        <v>50.28</v>
      </c>
      <c r="P954" s="14">
        <f>IF(ISNUMBER(K954),K954-O954,"n.a.")</f>
        <v/>
      </c>
    </row>
    <row r="955" ht="32" customHeight="1">
      <c r="C955" s="10" t="inlineStr">
        <is>
          <t>PRJ-4a292757-RK-15</t>
        </is>
      </c>
      <c r="D955" s="10" t="inlineStr">
        <is>
          <t>P4102658256</t>
        </is>
      </c>
      <c r="E955" s="11" t="inlineStr">
        <is>
          <t>Konjunktur / Sekundärstoffpreise &amp; Gerätemiete</t>
        </is>
      </c>
      <c r="F955" s="10" t="inlineStr">
        <is>
          <t>Markt</t>
        </is>
      </c>
      <c r="G955" s="12" t="n">
        <v>0.12</v>
      </c>
      <c r="H955" s="13" t="n">
        <v>464</v>
      </c>
      <c r="I955" s="13" t="n">
        <v>1161</v>
      </c>
      <c r="J955" s="13" t="n">
        <v>2901</v>
      </c>
      <c r="K955" s="14">
        <f>IF(OR(COUNT(G955:J955)&lt;&gt;4,G955&lt;0,G955&gt;1,H955&gt;I955,I955&gt;J955),"n.a.",ROUND(G955*(H955+4*I955+J955)/6+0.00000001,2))</f>
        <v/>
      </c>
      <c r="L955" s="13" t="n">
        <v>0</v>
      </c>
      <c r="M955" s="14">
        <f>SUMIFS(Maßnahmen!$I$7:$I$126,Maßnahmen!$D$7:$D$126,C955,Maßnahmen!$H$7:$H$126,"&lt;&gt;verworfen")</f>
        <v/>
      </c>
      <c r="N955" s="14">
        <f>IF(ISNUMBER(K955),MAX(0,K955-L955-M955),"n.a.")</f>
        <v/>
      </c>
      <c r="O955" s="14" t="n">
        <v>160.18</v>
      </c>
      <c r="P955" s="14">
        <f>IF(ISNUMBER(K955),K955-O955,"n.a.")</f>
        <v/>
      </c>
    </row>
    <row r="956" ht="32" customHeight="1">
      <c r="C956" s="10" t="inlineStr">
        <is>
          <t>PRJ-4f8e93bb-RK-01</t>
        </is>
      </c>
      <c r="D956" s="10" t="inlineStr">
        <is>
          <t>P4102307440</t>
        </is>
      </c>
      <c r="E956" s="11" t="inlineStr">
        <is>
          <t>Schadstofffund / Schadstoffsanierung (Asbest, PAK, PCB, PCP)</t>
        </is>
      </c>
      <c r="F956" s="10" t="inlineStr">
        <is>
          <t>Schadstoffe</t>
        </is>
      </c>
      <c r="G956" s="12" t="n">
        <v>0.1</v>
      </c>
      <c r="H956" s="13" t="n">
        <v>3206</v>
      </c>
      <c r="I956" s="13" t="n">
        <v>8014</v>
      </c>
      <c r="J956" s="13" t="n">
        <v>16028</v>
      </c>
      <c r="K956" s="14">
        <f>IF(OR(COUNT(G956:J956)&lt;&gt;4,G956&lt;0,G956&gt;1,H956&gt;I956,I956&gt;J956),"n.a.",ROUND(G956*(H956+4*I956+J956)/6+0.00000001,2))</f>
        <v/>
      </c>
      <c r="L956" s="13" t="n">
        <v>0</v>
      </c>
      <c r="M956" s="14">
        <f>SUMIFS(Maßnahmen!$I$7:$I$126,Maßnahmen!$D$7:$D$126,C956,Maßnahmen!$H$7:$H$126,"&lt;&gt;verworfen")</f>
        <v/>
      </c>
      <c r="N956" s="14">
        <f>IF(ISNUMBER(K956),MAX(0,K956-L956-M956),"n.a.")</f>
        <v/>
      </c>
      <c r="O956" s="14" t="n">
        <v>854.83</v>
      </c>
      <c r="P956" s="14">
        <f>IF(ISNUMBER(K956),K956-O956,"n.a.")</f>
        <v/>
      </c>
    </row>
    <row r="957" ht="32" customHeight="1">
      <c r="C957" s="10" t="inlineStr">
        <is>
          <t>PRJ-4f8e93bb-RK-02</t>
        </is>
      </c>
      <c r="D957" s="10" t="inlineStr">
        <is>
          <t>P4102307440</t>
        </is>
      </c>
      <c r="E957" s="11" t="inlineStr">
        <is>
          <t>Arbeitsschutz kontaminierte Bereiche (TRGS 524)</t>
        </is>
      </c>
      <c r="F957" s="10" t="inlineStr">
        <is>
          <t>Schadstoffe</t>
        </is>
      </c>
      <c r="G957" s="12" t="n">
        <v>0.1</v>
      </c>
      <c r="H957" s="13" t="n">
        <v>801</v>
      </c>
      <c r="I957" s="13" t="n">
        <v>1603</v>
      </c>
      <c r="J957" s="13" t="n">
        <v>3206</v>
      </c>
      <c r="K957" s="14">
        <f>IF(OR(COUNT(G957:J957)&lt;&gt;4,G957&lt;0,G957&gt;1,H957&gt;I957,I957&gt;J957),"n.a.",ROUND(G957*(H957+4*I957+J957)/6+0.00000001,2))</f>
        <v/>
      </c>
      <c r="L957" s="13" t="n">
        <v>0</v>
      </c>
      <c r="M957" s="14">
        <f>SUMIFS(Maßnahmen!$I$7:$I$126,Maßnahmen!$D$7:$D$126,C957,Maßnahmen!$H$7:$H$126,"&lt;&gt;verworfen")</f>
        <v/>
      </c>
      <c r="N957" s="14">
        <f>IF(ISNUMBER(K957),MAX(0,K957-L957-M957),"n.a.")</f>
        <v/>
      </c>
      <c r="O957" s="14" t="n">
        <v>173.65</v>
      </c>
      <c r="P957" s="14">
        <f>IF(ISNUMBER(K957),K957-O957,"n.a.")</f>
        <v/>
      </c>
    </row>
    <row r="958" ht="32" customHeight="1">
      <c r="C958" s="10" t="inlineStr">
        <is>
          <t>PRJ-4f8e93bb-RK-04</t>
        </is>
      </c>
      <c r="D958" s="10" t="inlineStr">
        <is>
          <t>P4102307440</t>
        </is>
      </c>
      <c r="E958" s="11" t="inlineStr">
        <is>
          <t>Baustofftrennung / Aufbereitung nicht wie geplant</t>
        </is>
      </c>
      <c r="F958" s="10" t="inlineStr">
        <is>
          <t>Entsorgung</t>
        </is>
      </c>
      <c r="G958" s="12" t="n">
        <v>0.08</v>
      </c>
      <c r="H958" s="13" t="n">
        <v>801</v>
      </c>
      <c r="I958" s="13" t="n">
        <v>1603</v>
      </c>
      <c r="J958" s="13" t="n">
        <v>3206</v>
      </c>
      <c r="K958" s="14">
        <f>IF(OR(COUNT(G958:J958)&lt;&gt;4,G958&lt;0,G958&gt;1,H958&gt;I958,I958&gt;J958),"n.a.",ROUND(G958*(H958+4*I958+J958)/6+0.00000001,2))</f>
        <v/>
      </c>
      <c r="L958" s="13" t="n">
        <v>0</v>
      </c>
      <c r="M958" s="14">
        <f>SUMIFS(Maßnahmen!$I$7:$I$126,Maßnahmen!$D$7:$D$126,C958,Maßnahmen!$H$7:$H$126,"&lt;&gt;verworfen")</f>
        <v/>
      </c>
      <c r="N958" s="14">
        <f>IF(ISNUMBER(K958),MAX(0,K958-L958-M958),"n.a.")</f>
        <v/>
      </c>
      <c r="O958" s="14" t="n">
        <v>138.92</v>
      </c>
      <c r="P958" s="14">
        <f>IF(ISNUMBER(K958),K958-O958,"n.a.")</f>
        <v/>
      </c>
    </row>
    <row r="959" ht="32" customHeight="1">
      <c r="C959" s="10" t="inlineStr">
        <is>
          <t>PRJ-4f8e93bb-RK-10</t>
        </is>
      </c>
      <c r="D959" s="10" t="inlineStr">
        <is>
          <t>P4102307440</t>
        </is>
      </c>
      <c r="E959" s="11" t="inlineStr">
        <is>
          <t>Terminvorgabe Auftraggeber / Geräteauslastung</t>
        </is>
      </c>
      <c r="F959" s="10" t="inlineStr">
        <is>
          <t>Termin</t>
        </is>
      </c>
      <c r="G959" s="12" t="n">
        <v>0.08</v>
      </c>
      <c r="H959" s="13" t="n">
        <v>801</v>
      </c>
      <c r="I959" s="13" t="n">
        <v>1603</v>
      </c>
      <c r="J959" s="13" t="n">
        <v>3206</v>
      </c>
      <c r="K959" s="14">
        <f>IF(OR(COUNT(G959:J959)&lt;&gt;4,G959&lt;0,G959&gt;1,H959&gt;I959,I959&gt;J959),"n.a.",ROUND(G959*(H959+4*I959+J959)/6+0.00000001,2))</f>
        <v/>
      </c>
      <c r="L959" s="13" t="n">
        <v>0</v>
      </c>
      <c r="M959" s="14">
        <f>SUMIFS(Maßnahmen!$I$7:$I$126,Maßnahmen!$D$7:$D$126,C959,Maßnahmen!$H$7:$H$126,"&lt;&gt;verworfen")</f>
        <v/>
      </c>
      <c r="N959" s="14">
        <f>IF(ISNUMBER(K959),MAX(0,K959-L959-M959),"n.a.")</f>
        <v/>
      </c>
      <c r="O959" s="14" t="n">
        <v>138.92</v>
      </c>
      <c r="P959" s="14">
        <f>IF(ISNUMBER(K959),K959-O959,"n.a.")</f>
        <v/>
      </c>
    </row>
    <row r="960" ht="32" customHeight="1">
      <c r="C960" s="10" t="inlineStr">
        <is>
          <t>PRJ-4f8e93bb-RK-11</t>
        </is>
      </c>
      <c r="D960" s="10" t="inlineStr">
        <is>
          <t>P4102307440</t>
        </is>
      </c>
      <c r="E960" s="11" t="inlineStr">
        <is>
          <t>Witterung / Ablaufstörung</t>
        </is>
      </c>
      <c r="F960" s="10" t="inlineStr">
        <is>
          <t>Termin</t>
        </is>
      </c>
      <c r="G960" s="12" t="n">
        <v>0.15</v>
      </c>
      <c r="H960" s="13" t="n">
        <v>1603</v>
      </c>
      <c r="I960" s="13" t="n">
        <v>4808</v>
      </c>
      <c r="J960" s="13" t="n">
        <v>9617</v>
      </c>
      <c r="K960" s="14">
        <f>IF(OR(COUNT(G960:J960)&lt;&gt;4,G960&lt;0,G960&gt;1,H960&gt;I960,I960&gt;J960),"n.a.",ROUND(G960*(H960+4*I960+J960)/6+0.00000001,2))</f>
        <v/>
      </c>
      <c r="L960" s="13" t="n">
        <v>0</v>
      </c>
      <c r="M960" s="14">
        <f>SUMIFS(Maßnahmen!$I$7:$I$126,Maßnahmen!$D$7:$D$126,C960,Maßnahmen!$H$7:$H$126,"&lt;&gt;verworfen")</f>
        <v/>
      </c>
      <c r="N960" s="14">
        <f>IF(ISNUMBER(K960),MAX(0,K960-L960-M960),"n.a.")</f>
        <v/>
      </c>
      <c r="O960" s="14" t="n">
        <v>761.3</v>
      </c>
      <c r="P960" s="14">
        <f>IF(ISNUMBER(K960),K960-O960,"n.a.")</f>
        <v/>
      </c>
    </row>
    <row r="961" ht="32" customHeight="1">
      <c r="C961" s="10" t="inlineStr">
        <is>
          <t>PRJ-4f8e93bb-RK-12</t>
        </is>
      </c>
      <c r="D961" s="10" t="inlineStr">
        <is>
          <t>P4102307440</t>
        </is>
      </c>
      <c r="E961" s="11" t="inlineStr">
        <is>
          <t>Staubemissionen (höchster Aufwand laut Umfrage)</t>
        </is>
      </c>
      <c r="F961" s="10" t="inlineStr">
        <is>
          <t>Emissionen</t>
        </is>
      </c>
      <c r="G961" s="12" t="n">
        <v>0.1</v>
      </c>
      <c r="H961" s="13" t="n">
        <v>4808</v>
      </c>
      <c r="I961" s="13" t="n">
        <v>9617</v>
      </c>
      <c r="J961" s="13" t="n">
        <v>19234</v>
      </c>
      <c r="K961" s="14">
        <f>IF(OR(COUNT(G961:J961)&lt;&gt;4,G961&lt;0,G961&gt;1,H961&gt;I961,I961&gt;J961),"n.a.",ROUND(G961*(H961+4*I961+J961)/6+0.00000001,2))</f>
        <v/>
      </c>
      <c r="L961" s="13" t="n">
        <v>0</v>
      </c>
      <c r="M961" s="14">
        <f>SUMIFS(Maßnahmen!$I$7:$I$126,Maßnahmen!$D$7:$D$126,C961,Maßnahmen!$H$7:$H$126,"&lt;&gt;verworfen")</f>
        <v/>
      </c>
      <c r="N961" s="14">
        <f>IF(ISNUMBER(K961),MAX(0,K961-L961-M961),"n.a.")</f>
        <v/>
      </c>
      <c r="O961" s="14" t="n">
        <v>1041.83</v>
      </c>
      <c r="P961" s="14">
        <f>IF(ISNUMBER(K961),K961-O961,"n.a.")</f>
        <v/>
      </c>
    </row>
    <row r="962" ht="32" customHeight="1">
      <c r="C962" s="10" t="inlineStr">
        <is>
          <t>PRJ-4f8e93bb-RK-15</t>
        </is>
      </c>
      <c r="D962" s="10" t="inlineStr">
        <is>
          <t>P4102307440</t>
        </is>
      </c>
      <c r="E962" s="11" t="inlineStr">
        <is>
          <t>Konjunktur / Sekundärstoffpreise &amp; Gerätemiete</t>
        </is>
      </c>
      <c r="F962" s="10" t="inlineStr">
        <is>
          <t>Markt</t>
        </is>
      </c>
      <c r="G962" s="12" t="n">
        <v>0.12</v>
      </c>
      <c r="H962" s="13" t="n">
        <v>1282</v>
      </c>
      <c r="I962" s="13" t="n">
        <v>3206</v>
      </c>
      <c r="J962" s="13" t="n">
        <v>8014</v>
      </c>
      <c r="K962" s="14">
        <f>IF(OR(COUNT(G962:J962)&lt;&gt;4,G962&lt;0,G962&gt;1,H962&gt;I962,I962&gt;J962),"n.a.",ROUND(G962*(H962+4*I962+J962)/6+0.00000001,2))</f>
        <v/>
      </c>
      <c r="L962" s="13" t="n">
        <v>0</v>
      </c>
      <c r="M962" s="14">
        <f>SUMIFS(Maßnahmen!$I$7:$I$126,Maßnahmen!$D$7:$D$126,C962,Maßnahmen!$H$7:$H$126,"&lt;&gt;verworfen")</f>
        <v/>
      </c>
      <c r="N962" s="14">
        <f>IF(ISNUMBER(K962),MAX(0,K962-L962-M962),"n.a.")</f>
        <v/>
      </c>
      <c r="O962" s="14" t="n">
        <v>442.4</v>
      </c>
      <c r="P962" s="14">
        <f>IF(ISNUMBER(K962),K962-O962,"n.a.")</f>
        <v/>
      </c>
    </row>
    <row r="963" ht="32" customHeight="1">
      <c r="C963" s="10" t="inlineStr">
        <is>
          <t>PRJ-4f8e93d5-RK-01</t>
        </is>
      </c>
      <c r="D963" s="10" t="inlineStr">
        <is>
          <t>P4102307435</t>
        </is>
      </c>
      <c r="E963" s="11" t="inlineStr">
        <is>
          <t>Schadstofffund / Schadstoffsanierung (Asbest, PAK, PCB, PCP)</t>
        </is>
      </c>
      <c r="F963" s="10" t="inlineStr">
        <is>
          <t>Schadstoffe</t>
        </is>
      </c>
      <c r="G963" s="12" t="n">
        <v>0.7</v>
      </c>
      <c r="H963" s="13" t="n">
        <v>35553</v>
      </c>
      <c r="I963" s="13" t="n">
        <v>66245</v>
      </c>
      <c r="J963" s="13" t="n">
        <v>104462</v>
      </c>
      <c r="K963" s="14">
        <f>IF(OR(COUNT(G963:J963)&lt;&gt;4,G963&lt;0,G963&gt;1,H963&gt;I963,I963&gt;J963),"n.a.",ROUND(G963*(H963+4*I963+J963)/6+0.00000001,2))</f>
        <v/>
      </c>
      <c r="L963" s="13" t="n">
        <v>0</v>
      </c>
      <c r="M963" s="14">
        <f>SUMIFS(Maßnahmen!$I$7:$I$126,Maßnahmen!$D$7:$D$126,C963,Maßnahmen!$H$7:$H$126,"&lt;&gt;verworfen")</f>
        <v/>
      </c>
      <c r="N963" s="14">
        <f>IF(ISNUMBER(K963),MAX(0,K963-L963-M963),"n.a.")</f>
        <v/>
      </c>
      <c r="O963" s="14" t="n">
        <v>47249.42</v>
      </c>
      <c r="P963" s="14">
        <f>IF(ISNUMBER(K963),K963-O963,"n.a.")</f>
        <v/>
      </c>
    </row>
    <row r="964" ht="32" customHeight="1">
      <c r="C964" s="10" t="inlineStr">
        <is>
          <t>PRJ-4f8e93d5-RK-02</t>
        </is>
      </c>
      <c r="D964" s="10" t="inlineStr">
        <is>
          <t>P4102307435</t>
        </is>
      </c>
      <c r="E964" s="11" t="inlineStr">
        <is>
          <t>Arbeitsschutz kontaminierte Bereiche (TRGS 524)</t>
        </is>
      </c>
      <c r="F964" s="10" t="inlineStr">
        <is>
          <t>Schadstoffe</t>
        </is>
      </c>
      <c r="G964" s="12" t="n">
        <v>0.1</v>
      </c>
      <c r="H964" s="13" t="n">
        <v>804</v>
      </c>
      <c r="I964" s="13" t="n">
        <v>1607</v>
      </c>
      <c r="J964" s="13" t="n">
        <v>3214</v>
      </c>
      <c r="K964" s="14">
        <f>IF(OR(COUNT(G964:J964)&lt;&gt;4,G964&lt;0,G964&gt;1,H964&gt;I964,I964&gt;J964),"n.a.",ROUND(G964*(H964+4*I964+J964)/6+0.00000001,2))</f>
        <v/>
      </c>
      <c r="L964" s="13" t="n">
        <v>0</v>
      </c>
      <c r="M964" s="14">
        <f>SUMIFS(Maßnahmen!$I$7:$I$126,Maßnahmen!$D$7:$D$126,C964,Maßnahmen!$H$7:$H$126,"&lt;&gt;verworfen")</f>
        <v/>
      </c>
      <c r="N964" s="14">
        <f>IF(ISNUMBER(K964),MAX(0,K964-L964-M964),"n.a.")</f>
        <v/>
      </c>
      <c r="O964" s="14" t="n">
        <v>174.1</v>
      </c>
      <c r="P964" s="14">
        <f>IF(ISNUMBER(K964),K964-O964,"n.a.")</f>
        <v/>
      </c>
    </row>
    <row r="965" ht="32" customHeight="1">
      <c r="C965" s="10" t="inlineStr">
        <is>
          <t>PRJ-4f8e93d5-RK-04</t>
        </is>
      </c>
      <c r="D965" s="10" t="inlineStr">
        <is>
          <t>P4102307435</t>
        </is>
      </c>
      <c r="E965" s="11" t="inlineStr">
        <is>
          <t>Baustofftrennung / Aufbereitung nicht wie geplant</t>
        </is>
      </c>
      <c r="F965" s="10" t="inlineStr">
        <is>
          <t>Entsorgung</t>
        </is>
      </c>
      <c r="G965" s="12" t="n">
        <v>0.08</v>
      </c>
      <c r="H965" s="13" t="n">
        <v>804</v>
      </c>
      <c r="I965" s="13" t="n">
        <v>1607</v>
      </c>
      <c r="J965" s="13" t="n">
        <v>3214</v>
      </c>
      <c r="K965" s="14">
        <f>IF(OR(COUNT(G965:J965)&lt;&gt;4,G965&lt;0,G965&gt;1,H965&gt;I965,I965&gt;J965),"n.a.",ROUND(G965*(H965+4*I965+J965)/6+0.00000001,2))</f>
        <v/>
      </c>
      <c r="L965" s="13" t="n">
        <v>0</v>
      </c>
      <c r="M965" s="14">
        <f>SUMIFS(Maßnahmen!$I$7:$I$126,Maßnahmen!$D$7:$D$126,C965,Maßnahmen!$H$7:$H$126,"&lt;&gt;verworfen")</f>
        <v/>
      </c>
      <c r="N965" s="14">
        <f>IF(ISNUMBER(K965),MAX(0,K965-L965-M965),"n.a.")</f>
        <v/>
      </c>
      <c r="O965" s="14" t="n">
        <v>139.28</v>
      </c>
      <c r="P965" s="14">
        <f>IF(ISNUMBER(K965),K965-O965,"n.a.")</f>
        <v/>
      </c>
    </row>
    <row r="966" ht="32" customHeight="1">
      <c r="C966" s="10" t="inlineStr">
        <is>
          <t>PRJ-4f8e93d5-RK-10</t>
        </is>
      </c>
      <c r="D966" s="10" t="inlineStr">
        <is>
          <t>P4102307435</t>
        </is>
      </c>
      <c r="E966" s="11" t="inlineStr">
        <is>
          <t>Terminvorgabe Auftraggeber / Geräteauslastung</t>
        </is>
      </c>
      <c r="F966" s="10" t="inlineStr">
        <is>
          <t>Termin</t>
        </is>
      </c>
      <c r="G966" s="12" t="n">
        <v>0.08</v>
      </c>
      <c r="H966" s="13" t="n">
        <v>804</v>
      </c>
      <c r="I966" s="13" t="n">
        <v>1607</v>
      </c>
      <c r="J966" s="13" t="n">
        <v>3214</v>
      </c>
      <c r="K966" s="14">
        <f>IF(OR(COUNT(G966:J966)&lt;&gt;4,G966&lt;0,G966&gt;1,H966&gt;I966,I966&gt;J966),"n.a.",ROUND(G966*(H966+4*I966+J966)/6+0.00000001,2))</f>
        <v/>
      </c>
      <c r="L966" s="13" t="n">
        <v>0</v>
      </c>
      <c r="M966" s="14">
        <f>SUMIFS(Maßnahmen!$I$7:$I$126,Maßnahmen!$D$7:$D$126,C966,Maßnahmen!$H$7:$H$126,"&lt;&gt;verworfen")</f>
        <v/>
      </c>
      <c r="N966" s="14">
        <f>IF(ISNUMBER(K966),MAX(0,K966-L966-M966),"n.a.")</f>
        <v/>
      </c>
      <c r="O966" s="14" t="n">
        <v>139.28</v>
      </c>
      <c r="P966" s="14">
        <f>IF(ISNUMBER(K966),K966-O966,"n.a.")</f>
        <v/>
      </c>
    </row>
    <row r="967" ht="32" customHeight="1">
      <c r="C967" s="10" t="inlineStr">
        <is>
          <t>PRJ-4f8e93d5-RK-11</t>
        </is>
      </c>
      <c r="D967" s="10" t="inlineStr">
        <is>
          <t>P4102307435</t>
        </is>
      </c>
      <c r="E967" s="11" t="inlineStr">
        <is>
          <t>Witterung / Ablaufstörung</t>
        </is>
      </c>
      <c r="F967" s="10" t="inlineStr">
        <is>
          <t>Termin</t>
        </is>
      </c>
      <c r="G967" s="12" t="n">
        <v>0.25</v>
      </c>
      <c r="H967" s="13" t="n">
        <v>1607</v>
      </c>
      <c r="I967" s="13" t="n">
        <v>4821</v>
      </c>
      <c r="J967" s="13" t="n">
        <v>9643</v>
      </c>
      <c r="K967" s="14">
        <f>IF(OR(COUNT(G967:J967)&lt;&gt;4,G967&lt;0,G967&gt;1,H967&gt;I967,I967&gt;J967),"n.a.",ROUND(G967*(H967+4*I967+J967)/6+0.00000001,2))</f>
        <v/>
      </c>
      <c r="L967" s="13" t="n">
        <v>0</v>
      </c>
      <c r="M967" s="14">
        <f>SUMIFS(Maßnahmen!$I$7:$I$126,Maßnahmen!$D$7:$D$126,C967,Maßnahmen!$H$7:$H$126,"&lt;&gt;verworfen")</f>
        <v/>
      </c>
      <c r="N967" s="14">
        <f>IF(ISNUMBER(K967),MAX(0,K967-L967-M967),"n.a.")</f>
        <v/>
      </c>
      <c r="O967" s="14" t="n">
        <v>1272.25</v>
      </c>
      <c r="P967" s="14">
        <f>IF(ISNUMBER(K967),K967-O967,"n.a.")</f>
        <v/>
      </c>
    </row>
    <row r="968" ht="32" customHeight="1">
      <c r="C968" s="10" t="inlineStr">
        <is>
          <t>PRJ-4f8e93d5-RK-12</t>
        </is>
      </c>
      <c r="D968" s="10" t="inlineStr">
        <is>
          <t>P4102307435</t>
        </is>
      </c>
      <c r="E968" s="11" t="inlineStr">
        <is>
          <t>Staubemissionen (höchster Aufwand laut Umfrage)</t>
        </is>
      </c>
      <c r="F968" s="10" t="inlineStr">
        <is>
          <t>Emissionen</t>
        </is>
      </c>
      <c r="G968" s="12" t="n">
        <v>0.1</v>
      </c>
      <c r="H968" s="13" t="n">
        <v>4821</v>
      </c>
      <c r="I968" s="13" t="n">
        <v>9643</v>
      </c>
      <c r="J968" s="13" t="n">
        <v>19285</v>
      </c>
      <c r="K968" s="14">
        <f>IF(OR(COUNT(G968:J968)&lt;&gt;4,G968&lt;0,G968&gt;1,H968&gt;I968,I968&gt;J968),"n.a.",ROUND(G968*(H968+4*I968+J968)/6+0.00000001,2))</f>
        <v/>
      </c>
      <c r="L968" s="13" t="n">
        <v>0</v>
      </c>
      <c r="M968" s="14">
        <f>SUMIFS(Maßnahmen!$I$7:$I$126,Maßnahmen!$D$7:$D$126,C968,Maßnahmen!$H$7:$H$126,"&lt;&gt;verworfen")</f>
        <v/>
      </c>
      <c r="N968" s="14">
        <f>IF(ISNUMBER(K968),MAX(0,K968-L968-M968),"n.a.")</f>
        <v/>
      </c>
      <c r="O968" s="14" t="n">
        <v>1044.63</v>
      </c>
      <c r="P968" s="14">
        <f>IF(ISNUMBER(K968),K968-O968,"n.a.")</f>
        <v/>
      </c>
    </row>
    <row r="969" ht="32" customHeight="1">
      <c r="C969" s="10" t="inlineStr">
        <is>
          <t>PRJ-4f8e93d5-RK-15</t>
        </is>
      </c>
      <c r="D969" s="10" t="inlineStr">
        <is>
          <t>P4102307435</t>
        </is>
      </c>
      <c r="E969" s="11" t="inlineStr">
        <is>
          <t>Konjunktur / Sekundärstoffpreise &amp; Gerätemiete</t>
        </is>
      </c>
      <c r="F969" s="10" t="inlineStr">
        <is>
          <t>Markt</t>
        </is>
      </c>
      <c r="G969" s="12" t="n">
        <v>0.12</v>
      </c>
      <c r="H969" s="13" t="n">
        <v>1286</v>
      </c>
      <c r="I969" s="13" t="n">
        <v>3214</v>
      </c>
      <c r="J969" s="13" t="n">
        <v>8036</v>
      </c>
      <c r="K969" s="14">
        <f>IF(OR(COUNT(G969:J969)&lt;&gt;4,G969&lt;0,G969&gt;1,H969&gt;I969,I969&gt;J969),"n.a.",ROUND(G969*(H969+4*I969+J969)/6+0.00000001,2))</f>
        <v/>
      </c>
      <c r="L969" s="13" t="n">
        <v>0</v>
      </c>
      <c r="M969" s="14">
        <f>SUMIFS(Maßnahmen!$I$7:$I$126,Maßnahmen!$D$7:$D$126,C969,Maßnahmen!$H$7:$H$126,"&lt;&gt;verworfen")</f>
        <v/>
      </c>
      <c r="N969" s="14">
        <f>IF(ISNUMBER(K969),MAX(0,K969-L969-M969),"n.a.")</f>
        <v/>
      </c>
      <c r="O969" s="14" t="n">
        <v>443.56</v>
      </c>
      <c r="P969" s="14">
        <f>IF(ISNUMBER(K969),K969-O969,"n.a.")</f>
        <v/>
      </c>
    </row>
    <row r="970" ht="32" customHeight="1">
      <c r="C970" s="10" t="inlineStr">
        <is>
          <t>PRJ-52b1cf4e-RK-01</t>
        </is>
      </c>
      <c r="D970" s="10" t="inlineStr">
        <is>
          <t>P4102157457</t>
        </is>
      </c>
      <c r="E970" s="11" t="inlineStr">
        <is>
          <t>Schadstofffund / Schadstoffsanierung (Asbest, PAK, PCB, PCP)</t>
        </is>
      </c>
      <c r="F970" s="10" t="inlineStr">
        <is>
          <t>Schadstoffe</t>
        </is>
      </c>
      <c r="G970" s="12" t="n">
        <v>0.1</v>
      </c>
      <c r="H970" s="13" t="n">
        <v>1794</v>
      </c>
      <c r="I970" s="13" t="n">
        <v>4484</v>
      </c>
      <c r="J970" s="13" t="n">
        <v>8968</v>
      </c>
      <c r="K970" s="14">
        <f>IF(OR(COUNT(G970:J970)&lt;&gt;4,G970&lt;0,G970&gt;1,H970&gt;I970,I970&gt;J970),"n.a.",ROUND(G970*(H970+4*I970+J970)/6+0.00000001,2))</f>
        <v/>
      </c>
      <c r="L970" s="13" t="n">
        <v>0</v>
      </c>
      <c r="M970" s="14">
        <f>SUMIFS(Maßnahmen!$I$7:$I$126,Maßnahmen!$D$7:$D$126,C970,Maßnahmen!$H$7:$H$126,"&lt;&gt;verworfen")</f>
        <v/>
      </c>
      <c r="N970" s="14">
        <f>IF(ISNUMBER(K970),MAX(0,K970-L970-M970),"n.a.")</f>
        <v/>
      </c>
      <c r="O970" s="14" t="n">
        <v>478.3</v>
      </c>
      <c r="P970" s="14">
        <f>IF(ISNUMBER(K970),K970-O970,"n.a.")</f>
        <v/>
      </c>
    </row>
    <row r="971" ht="32" customHeight="1">
      <c r="C971" s="10" t="inlineStr">
        <is>
          <t>PRJ-52b1cf4e-RK-02</t>
        </is>
      </c>
      <c r="D971" s="10" t="inlineStr">
        <is>
          <t>P4102157457</t>
        </is>
      </c>
      <c r="E971" s="11" t="inlineStr">
        <is>
          <t>Arbeitsschutz kontaminierte Bereiche (TRGS 524)</t>
        </is>
      </c>
      <c r="F971" s="10" t="inlineStr">
        <is>
          <t>Schadstoffe</t>
        </is>
      </c>
      <c r="G971" s="12" t="n">
        <v>0.1</v>
      </c>
      <c r="H971" s="13" t="n">
        <v>448</v>
      </c>
      <c r="I971" s="13" t="n">
        <v>897</v>
      </c>
      <c r="J971" s="13" t="n">
        <v>1794</v>
      </c>
      <c r="K971" s="14">
        <f>IF(OR(COUNT(G971:J971)&lt;&gt;4,G971&lt;0,G971&gt;1,H971&gt;I971,I971&gt;J971),"n.a.",ROUND(G971*(H971+4*I971+J971)/6+0.00000001,2))</f>
        <v/>
      </c>
      <c r="L971" s="13" t="n">
        <v>0</v>
      </c>
      <c r="M971" s="14">
        <f>SUMIFS(Maßnahmen!$I$7:$I$126,Maßnahmen!$D$7:$D$126,C971,Maßnahmen!$H$7:$H$126,"&lt;&gt;verworfen")</f>
        <v/>
      </c>
      <c r="N971" s="14">
        <f>IF(ISNUMBER(K971),MAX(0,K971-L971-M971),"n.a.")</f>
        <v/>
      </c>
      <c r="O971" s="14" t="n">
        <v>97.17</v>
      </c>
      <c r="P971" s="14">
        <f>IF(ISNUMBER(K971),K971-O971,"n.a.")</f>
        <v/>
      </c>
    </row>
    <row r="972" ht="32" customHeight="1">
      <c r="C972" s="10" t="inlineStr">
        <is>
          <t>PRJ-52b1cf4e-RK-03</t>
        </is>
      </c>
      <c r="D972" s="10" t="inlineStr">
        <is>
          <t>P4102157457</t>
        </is>
      </c>
      <c r="E972" s="11" t="inlineStr">
        <is>
          <t>Entsorgungs-Mehrkosten / Entsorgungswege</t>
        </is>
      </c>
      <c r="F972" s="10" t="inlineStr">
        <is>
          <t>Entsorgung</t>
        </is>
      </c>
      <c r="G972" s="12" t="n">
        <v>0.15</v>
      </c>
      <c r="H972" s="13" t="n">
        <v>1794</v>
      </c>
      <c r="I972" s="13" t="n">
        <v>4484</v>
      </c>
      <c r="J972" s="13" t="n">
        <v>8968</v>
      </c>
      <c r="K972" s="14">
        <f>IF(OR(COUNT(G972:J972)&lt;&gt;4,G972&lt;0,G972&gt;1,H972&gt;I972,I972&gt;J972),"n.a.",ROUND(G972*(H972+4*I972+J972)/6+0.00000001,2))</f>
        <v/>
      </c>
      <c r="L972" s="13" t="n">
        <v>0</v>
      </c>
      <c r="M972" s="14">
        <f>SUMIFS(Maßnahmen!$I$7:$I$126,Maßnahmen!$D$7:$D$126,C972,Maßnahmen!$H$7:$H$126,"&lt;&gt;verworfen")</f>
        <v/>
      </c>
      <c r="N972" s="14">
        <f>IF(ISNUMBER(K972),MAX(0,K972-L972-M972),"n.a.")</f>
        <v/>
      </c>
      <c r="O972" s="14" t="n">
        <v>717.45</v>
      </c>
      <c r="P972" s="14">
        <f>IF(ISNUMBER(K972),K972-O972,"n.a.")</f>
        <v/>
      </c>
    </row>
    <row r="973" ht="32" customHeight="1">
      <c r="C973" s="10" t="inlineStr">
        <is>
          <t>PRJ-52b1cf4e-RK-04</t>
        </is>
      </c>
      <c r="D973" s="10" t="inlineStr">
        <is>
          <t>P4102157457</t>
        </is>
      </c>
      <c r="E973" s="11" t="inlineStr">
        <is>
          <t>Baustofftrennung / Aufbereitung nicht wie geplant</t>
        </is>
      </c>
      <c r="F973" s="10" t="inlineStr">
        <is>
          <t>Entsorgung</t>
        </is>
      </c>
      <c r="G973" s="12" t="n">
        <v>0.08</v>
      </c>
      <c r="H973" s="13" t="n">
        <v>448</v>
      </c>
      <c r="I973" s="13" t="n">
        <v>897</v>
      </c>
      <c r="J973" s="13" t="n">
        <v>1794</v>
      </c>
      <c r="K973" s="14">
        <f>IF(OR(COUNT(G973:J973)&lt;&gt;4,G973&lt;0,G973&gt;1,H973&gt;I973,I973&gt;J973),"n.a.",ROUND(G973*(H973+4*I973+J973)/6+0.00000001,2))</f>
        <v/>
      </c>
      <c r="L973" s="13" t="n">
        <v>0</v>
      </c>
      <c r="M973" s="14">
        <f>SUMIFS(Maßnahmen!$I$7:$I$126,Maßnahmen!$D$7:$D$126,C973,Maßnahmen!$H$7:$H$126,"&lt;&gt;verworfen")</f>
        <v/>
      </c>
      <c r="N973" s="14">
        <f>IF(ISNUMBER(K973),MAX(0,K973-L973-M973),"n.a.")</f>
        <v/>
      </c>
      <c r="O973" s="14" t="n">
        <v>77.73</v>
      </c>
      <c r="P973" s="14">
        <f>IF(ISNUMBER(K973),K973-O973,"n.a.")</f>
        <v/>
      </c>
    </row>
    <row r="974" ht="32" customHeight="1">
      <c r="C974" s="10" t="inlineStr">
        <is>
          <t>PRJ-52b1cf4e-RK-06</t>
        </is>
      </c>
      <c r="D974" s="10" t="inlineStr">
        <is>
          <t>P4102157457</t>
        </is>
      </c>
      <c r="E974" s="11" t="inlineStr">
        <is>
          <t>Statik / Einsturzsicherung während Abbruch</t>
        </is>
      </c>
      <c r="F974" s="10" t="inlineStr">
        <is>
          <t>Statik</t>
        </is>
      </c>
      <c r="G974" s="12" t="n">
        <v>0.12</v>
      </c>
      <c r="H974" s="13" t="n">
        <v>2691</v>
      </c>
      <c r="I974" s="13" t="n">
        <v>6278</v>
      </c>
      <c r="J974" s="13" t="n">
        <v>12556</v>
      </c>
      <c r="K974" s="14">
        <f>IF(OR(COUNT(G974:J974)&lt;&gt;4,G974&lt;0,G974&gt;1,H974&gt;I974,I974&gt;J974),"n.a.",ROUND(G974*(H974+4*I974+J974)/6+0.00000001,2))</f>
        <v/>
      </c>
      <c r="L974" s="13" t="n">
        <v>0</v>
      </c>
      <c r="M974" s="14">
        <f>SUMIFS(Maßnahmen!$I$7:$I$126,Maßnahmen!$D$7:$D$126,C974,Maßnahmen!$H$7:$H$126,"&lt;&gt;verworfen")</f>
        <v/>
      </c>
      <c r="N974" s="14">
        <f>IF(ISNUMBER(K974),MAX(0,K974-L974-M974),"n.a.")</f>
        <v/>
      </c>
      <c r="O974" s="14" t="n">
        <v>807.1799999999999</v>
      </c>
      <c r="P974" s="14">
        <f>IF(ISNUMBER(K974),K974-O974,"n.a.")</f>
        <v/>
      </c>
    </row>
    <row r="975" ht="32" customHeight="1">
      <c r="C975" s="10" t="inlineStr">
        <is>
          <t>PRJ-52b1cf4e-RK-10</t>
        </is>
      </c>
      <c r="D975" s="10" t="inlineStr">
        <is>
          <t>P4102157457</t>
        </is>
      </c>
      <c r="E975" s="11" t="inlineStr">
        <is>
          <t>Terminvorgabe Auftraggeber / Geräteauslastung</t>
        </is>
      </c>
      <c r="F975" s="10" t="inlineStr">
        <is>
          <t>Termin</t>
        </is>
      </c>
      <c r="G975" s="12" t="n">
        <v>0.08</v>
      </c>
      <c r="H975" s="13" t="n">
        <v>448</v>
      </c>
      <c r="I975" s="13" t="n">
        <v>897</v>
      </c>
      <c r="J975" s="13" t="n">
        <v>1794</v>
      </c>
      <c r="K975" s="14">
        <f>IF(OR(COUNT(G975:J975)&lt;&gt;4,G975&lt;0,G975&gt;1,H975&gt;I975,I975&gt;J975),"n.a.",ROUND(G975*(H975+4*I975+J975)/6+0.00000001,2))</f>
        <v/>
      </c>
      <c r="L975" s="13" t="n">
        <v>0</v>
      </c>
      <c r="M975" s="14">
        <f>SUMIFS(Maßnahmen!$I$7:$I$126,Maßnahmen!$D$7:$D$126,C975,Maßnahmen!$H$7:$H$126,"&lt;&gt;verworfen")</f>
        <v/>
      </c>
      <c r="N975" s="14">
        <f>IF(ISNUMBER(K975),MAX(0,K975-L975-M975),"n.a.")</f>
        <v/>
      </c>
      <c r="O975" s="14" t="n">
        <v>77.73</v>
      </c>
      <c r="P975" s="14">
        <f>IF(ISNUMBER(K975),K975-O975,"n.a.")</f>
        <v/>
      </c>
    </row>
    <row r="976" ht="32" customHeight="1">
      <c r="C976" s="10" t="inlineStr">
        <is>
          <t>PRJ-52b1cf4e-RK-11</t>
        </is>
      </c>
      <c r="D976" s="10" t="inlineStr">
        <is>
          <t>P4102157457</t>
        </is>
      </c>
      <c r="E976" s="11" t="inlineStr">
        <is>
          <t>Witterung / Ablaufstörung</t>
        </is>
      </c>
      <c r="F976" s="10" t="inlineStr">
        <is>
          <t>Termin</t>
        </is>
      </c>
      <c r="G976" s="12" t="n">
        <v>0.15</v>
      </c>
      <c r="H976" s="13" t="n">
        <v>897</v>
      </c>
      <c r="I976" s="13" t="n">
        <v>2691</v>
      </c>
      <c r="J976" s="13" t="n">
        <v>5381</v>
      </c>
      <c r="K976" s="14">
        <f>IF(OR(COUNT(G976:J976)&lt;&gt;4,G976&lt;0,G976&gt;1,H976&gt;I976,I976&gt;J976),"n.a.",ROUND(G976*(H976+4*I976+J976)/6+0.00000001,2))</f>
        <v/>
      </c>
      <c r="L976" s="13" t="n">
        <v>0</v>
      </c>
      <c r="M976" s="14">
        <f>SUMIFS(Maßnahmen!$I$7:$I$126,Maßnahmen!$D$7:$D$126,C976,Maßnahmen!$H$7:$H$126,"&lt;&gt;verworfen")</f>
        <v/>
      </c>
      <c r="N976" s="14">
        <f>IF(ISNUMBER(K976),MAX(0,K976-L976-M976),"n.a.")</f>
        <v/>
      </c>
      <c r="O976" s="14" t="n">
        <v>426.05</v>
      </c>
      <c r="P976" s="14">
        <f>IF(ISNUMBER(K976),K976-O976,"n.a.")</f>
        <v/>
      </c>
    </row>
    <row r="977" ht="32" customHeight="1">
      <c r="C977" s="10" t="inlineStr">
        <is>
          <t>PRJ-52b1cf4e-RK-12</t>
        </is>
      </c>
      <c r="D977" s="10" t="inlineStr">
        <is>
          <t>P4102157457</t>
        </is>
      </c>
      <c r="E977" s="11" t="inlineStr">
        <is>
          <t>Staubemissionen (höchster Aufwand laut Umfrage)</t>
        </is>
      </c>
      <c r="F977" s="10" t="inlineStr">
        <is>
          <t>Emissionen</t>
        </is>
      </c>
      <c r="G977" s="12" t="n">
        <v>0.1</v>
      </c>
      <c r="H977" s="13" t="n">
        <v>2691</v>
      </c>
      <c r="I977" s="13" t="n">
        <v>5381</v>
      </c>
      <c r="J977" s="13" t="n">
        <v>10762</v>
      </c>
      <c r="K977" s="14">
        <f>IF(OR(COUNT(G977:J977)&lt;&gt;4,G977&lt;0,G977&gt;1,H977&gt;I977,I977&gt;J977),"n.a.",ROUND(G977*(H977+4*I977+J977)/6+0.00000001,2))</f>
        <v/>
      </c>
      <c r="L977" s="13" t="n">
        <v>0</v>
      </c>
      <c r="M977" s="14">
        <f>SUMIFS(Maßnahmen!$I$7:$I$126,Maßnahmen!$D$7:$D$126,C977,Maßnahmen!$H$7:$H$126,"&lt;&gt;verworfen")</f>
        <v/>
      </c>
      <c r="N977" s="14">
        <f>IF(ISNUMBER(K977),MAX(0,K977-L977-M977),"n.a.")</f>
        <v/>
      </c>
      <c r="O977" s="14" t="n">
        <v>582.95</v>
      </c>
      <c r="P977" s="14">
        <f>IF(ISNUMBER(K977),K977-O977,"n.a.")</f>
        <v/>
      </c>
    </row>
    <row r="978" ht="32" customHeight="1">
      <c r="C978" s="10" t="inlineStr">
        <is>
          <t>PRJ-52b1cf4e-RK-13</t>
        </is>
      </c>
      <c r="D978" s="10" t="inlineStr">
        <is>
          <t>P4102157457</t>
        </is>
      </c>
      <c r="E978" s="11" t="inlineStr">
        <is>
          <t>Lärm- und Erschütterungsauflagen</t>
        </is>
      </c>
      <c r="F978" s="10" t="inlineStr">
        <is>
          <t>Emissionen</t>
        </is>
      </c>
      <c r="G978" s="12" t="n">
        <v>0.6</v>
      </c>
      <c r="H978" s="13" t="n">
        <v>10500</v>
      </c>
      <c r="I978" s="13" t="n">
        <v>20445</v>
      </c>
      <c r="J978" s="13" t="n">
        <v>36538</v>
      </c>
      <c r="K978" s="14">
        <f>IF(OR(COUNT(G978:J978)&lt;&gt;4,G978&lt;0,G978&gt;1,H978&gt;I978,I978&gt;J978),"n.a.",ROUND(G978*(H978+4*I978+J978)/6+0.00000001,2))</f>
        <v/>
      </c>
      <c r="L978" s="13" t="n">
        <v>0</v>
      </c>
      <c r="M978" s="14">
        <f>SUMIFS(Maßnahmen!$I$7:$I$126,Maßnahmen!$D$7:$D$126,C978,Maßnahmen!$H$7:$H$126,"&lt;&gt;verworfen")</f>
        <v/>
      </c>
      <c r="N978" s="14">
        <f>IF(ISNUMBER(K978),MAX(0,K978-L978-M978),"n.a.")</f>
        <v/>
      </c>
      <c r="O978" s="14" t="n">
        <v>12881.8</v>
      </c>
      <c r="P978" s="14">
        <f>IF(ISNUMBER(K978),K978-O978,"n.a.")</f>
        <v/>
      </c>
    </row>
    <row r="979" ht="32" customHeight="1">
      <c r="C979" s="10" t="inlineStr">
        <is>
          <t>PRJ-52b1cf4e-RK-14</t>
        </is>
      </c>
      <c r="D979" s="10" t="inlineStr">
        <is>
          <t>P4102157457</t>
        </is>
      </c>
      <c r="E979" s="11" t="inlineStr">
        <is>
          <t>Rechtliche Auflagen / Entsorgungsnachweise (Formalismus)</t>
        </is>
      </c>
      <c r="F979" s="10" t="inlineStr">
        <is>
          <t>Genehmigung</t>
        </is>
      </c>
      <c r="G979" s="12" t="n">
        <v>0.124</v>
      </c>
      <c r="H979" s="13" t="n">
        <v>1437</v>
      </c>
      <c r="I979" s="13" t="n">
        <v>3311</v>
      </c>
      <c r="J979" s="13" t="n">
        <v>6598</v>
      </c>
      <c r="K979" s="14">
        <f>IF(OR(COUNT(G979:J979)&lt;&gt;4,G979&lt;0,G979&gt;1,H979&gt;I979,I979&gt;J979),"n.a.",ROUND(G979*(H979+4*I979+J979)/6+0.00000001,2))</f>
        <v/>
      </c>
      <c r="L979" s="13" t="n">
        <v>0</v>
      </c>
      <c r="M979" s="14">
        <f>SUMIFS(Maßnahmen!$I$7:$I$126,Maßnahmen!$D$7:$D$126,C979,Maßnahmen!$H$7:$H$126,"&lt;&gt;verworfen")</f>
        <v/>
      </c>
      <c r="N979" s="14">
        <f>IF(ISNUMBER(K979),MAX(0,K979-L979-M979),"n.a.")</f>
        <v/>
      </c>
      <c r="O979" s="14" t="n">
        <v>439.77</v>
      </c>
      <c r="P979" s="14">
        <f>IF(ISNUMBER(K979),K979-O979,"n.a.")</f>
        <v/>
      </c>
    </row>
    <row r="980" ht="32" customHeight="1">
      <c r="C980" s="10" t="inlineStr">
        <is>
          <t>PRJ-52b1cf4e-RK-15</t>
        </is>
      </c>
      <c r="D980" s="10" t="inlineStr">
        <is>
          <t>P4102157457</t>
        </is>
      </c>
      <c r="E980" s="11" t="inlineStr">
        <is>
          <t>Konjunktur / Sekundärstoffpreise &amp; Gerätemiete</t>
        </is>
      </c>
      <c r="F980" s="10" t="inlineStr">
        <is>
          <t>Markt</t>
        </is>
      </c>
      <c r="G980" s="12" t="n">
        <v>0.12</v>
      </c>
      <c r="H980" s="13" t="n">
        <v>717</v>
      </c>
      <c r="I980" s="13" t="n">
        <v>1794</v>
      </c>
      <c r="J980" s="13" t="n">
        <v>4484</v>
      </c>
      <c r="K980" s="14">
        <f>IF(OR(COUNT(G980:J980)&lt;&gt;4,G980&lt;0,G980&gt;1,H980&gt;I980,I980&gt;J980),"n.a.",ROUND(G980*(H980+4*I980+J980)/6+0.00000001,2))</f>
        <v/>
      </c>
      <c r="L980" s="13" t="n">
        <v>0</v>
      </c>
      <c r="M980" s="14">
        <f>SUMIFS(Maßnahmen!$I$7:$I$126,Maßnahmen!$D$7:$D$126,C980,Maßnahmen!$H$7:$H$126,"&lt;&gt;verworfen")</f>
        <v/>
      </c>
      <c r="N980" s="14">
        <f>IF(ISNUMBER(K980),MAX(0,K980-L980-M980),"n.a.")</f>
        <v/>
      </c>
      <c r="O980" s="14" t="n">
        <v>247.54</v>
      </c>
      <c r="P980" s="14">
        <f>IF(ISNUMBER(K980),K980-O980,"n.a.")</f>
        <v/>
      </c>
    </row>
    <row r="981" ht="32" customHeight="1">
      <c r="C981" s="10" t="inlineStr">
        <is>
          <t>PRJ-40724224-RK-15</t>
        </is>
      </c>
      <c r="D981" s="10" t="inlineStr">
        <is>
          <t>W4102154611</t>
        </is>
      </c>
      <c r="E981" s="11" t="inlineStr">
        <is>
          <t>Konjunktur / Sekundärstoffpreise &amp; Gerätemiete</t>
        </is>
      </c>
      <c r="F981" s="10" t="inlineStr">
        <is>
          <t>Markt</t>
        </is>
      </c>
      <c r="G981" s="12" t="n">
        <v>0.12</v>
      </c>
      <c r="H981" s="13" t="n">
        <v>109</v>
      </c>
      <c r="I981" s="13" t="n">
        <v>272</v>
      </c>
      <c r="J981" s="13" t="n">
        <v>679</v>
      </c>
      <c r="K981" s="14">
        <f>IF(OR(COUNT(G981:J981)&lt;&gt;4,G981&lt;0,G981&gt;1,H981&gt;I981,I981&gt;J981),"n.a.",ROUND(G981*(H981+4*I981+J981)/6+0.00000001,2))</f>
        <v/>
      </c>
      <c r="L981" s="13" t="n">
        <v>0</v>
      </c>
      <c r="M981" s="14">
        <f>SUMIFS(Maßnahmen!$I$7:$I$126,Maßnahmen!$D$7:$D$126,C981,Maßnahmen!$H$7:$H$126,"&lt;&gt;verworfen")</f>
        <v/>
      </c>
      <c r="N981" s="14">
        <f>IF(ISNUMBER(K981),MAX(0,K981-L981-M981),"n.a.")</f>
        <v/>
      </c>
      <c r="O981" s="14" t="n">
        <v>37.52</v>
      </c>
      <c r="P981" s="14">
        <f>IF(ISNUMBER(K981),K981-O981,"n.a.")</f>
        <v/>
      </c>
    </row>
    <row r="982" ht="32" customHeight="1">
      <c r="C982" s="10" t="inlineStr">
        <is>
          <t>PRJ-4f8e97f4-RK-04</t>
        </is>
      </c>
      <c r="D982" s="10" t="inlineStr">
        <is>
          <t>P4102307304</t>
        </is>
      </c>
      <c r="E982" s="11" t="inlineStr">
        <is>
          <t>Baustofftrennung / Aufbereitung nicht wie geplant</t>
        </is>
      </c>
      <c r="F982" s="10" t="inlineStr">
        <is>
          <t>Entsorgung</t>
        </is>
      </c>
      <c r="G982" s="12" t="n">
        <v>0.08</v>
      </c>
      <c r="H982" s="13" t="n">
        <v>5</v>
      </c>
      <c r="I982" s="13" t="n">
        <v>10</v>
      </c>
      <c r="J982" s="13" t="n">
        <v>20</v>
      </c>
      <c r="K982" s="14">
        <f>IF(OR(COUNT(G982:J982)&lt;&gt;4,G982&lt;0,G982&gt;1,H982&gt;I982,I982&gt;J982),"n.a.",ROUND(G982*(H982+4*I982+J982)/6+0.00000001,2))</f>
        <v/>
      </c>
      <c r="L982" s="13" t="n">
        <v>0</v>
      </c>
      <c r="M982" s="14">
        <f>SUMIFS(Maßnahmen!$I$7:$I$126,Maßnahmen!$D$7:$D$126,C982,Maßnahmen!$H$7:$H$126,"&lt;&gt;verworfen")</f>
        <v/>
      </c>
      <c r="N982" s="14">
        <f>IF(ISNUMBER(K982),MAX(0,K982-L982-M982),"n.a.")</f>
        <v/>
      </c>
      <c r="O982" s="14" t="n">
        <v>0.87</v>
      </c>
      <c r="P982" s="14">
        <f>IF(ISNUMBER(K982),K982-O982,"n.a.")</f>
        <v/>
      </c>
    </row>
    <row r="983" ht="32" customHeight="1">
      <c r="C983" s="10" t="inlineStr">
        <is>
          <t>PRJ-4f8e97f4-RK-05</t>
        </is>
      </c>
      <c r="D983" s="10" t="inlineStr">
        <is>
          <t>P4102307304</t>
        </is>
      </c>
      <c r="E983" s="11" t="inlineStr">
        <is>
          <t>Unbekannte Bauwerkskonstruktion / fehlende Pläne</t>
        </is>
      </c>
      <c r="F983" s="10" t="inlineStr">
        <is>
          <t>Statik</t>
        </is>
      </c>
      <c r="G983" s="12" t="n">
        <v>0.12</v>
      </c>
      <c r="H983" s="13" t="n">
        <v>40</v>
      </c>
      <c r="I983" s="13" t="n">
        <v>80</v>
      </c>
      <c r="J983" s="13" t="n">
        <v>150</v>
      </c>
      <c r="K983" s="14">
        <f>IF(OR(COUNT(G983:J983)&lt;&gt;4,G983&lt;0,G983&gt;1,H983&gt;I983,I983&gt;J983),"n.a.",ROUND(G983*(H983+4*I983+J983)/6+0.00000001,2))</f>
        <v/>
      </c>
      <c r="L983" s="13" t="n">
        <v>0</v>
      </c>
      <c r="M983" s="14">
        <f>SUMIFS(Maßnahmen!$I$7:$I$126,Maßnahmen!$D$7:$D$126,C983,Maßnahmen!$H$7:$H$126,"&lt;&gt;verworfen")</f>
        <v/>
      </c>
      <c r="N983" s="14">
        <f>IF(ISNUMBER(K983),MAX(0,K983-L983-M983),"n.a.")</f>
        <v/>
      </c>
      <c r="O983" s="14" t="n">
        <v>10.2</v>
      </c>
      <c r="P983" s="14">
        <f>IF(ISNUMBER(K983),K983-O983,"n.a.")</f>
        <v/>
      </c>
    </row>
    <row r="984" ht="32" customHeight="1">
      <c r="C984" s="10" t="inlineStr">
        <is>
          <t>PRJ-4f8e97f4-RK-06</t>
        </is>
      </c>
      <c r="D984" s="10" t="inlineStr">
        <is>
          <t>P4102307304</t>
        </is>
      </c>
      <c r="E984" s="11" t="inlineStr">
        <is>
          <t>Statik / Einsturzsicherung während Abbruch</t>
        </is>
      </c>
      <c r="F984" s="10" t="inlineStr">
        <is>
          <t>Statik</t>
        </is>
      </c>
      <c r="G984" s="12" t="n">
        <v>0.12</v>
      </c>
      <c r="H984" s="13" t="n">
        <v>30</v>
      </c>
      <c r="I984" s="13" t="n">
        <v>70</v>
      </c>
      <c r="J984" s="13" t="n">
        <v>140</v>
      </c>
      <c r="K984" s="14">
        <f>IF(OR(COUNT(G984:J984)&lt;&gt;4,G984&lt;0,G984&gt;1,H984&gt;I984,I984&gt;J984),"n.a.",ROUND(G984*(H984+4*I984+J984)/6+0.00000001,2))</f>
        <v/>
      </c>
      <c r="L984" s="13" t="n">
        <v>0</v>
      </c>
      <c r="M984" s="14">
        <f>SUMIFS(Maßnahmen!$I$7:$I$126,Maßnahmen!$D$7:$D$126,C984,Maßnahmen!$H$7:$H$126,"&lt;&gt;verworfen")</f>
        <v/>
      </c>
      <c r="N984" s="14">
        <f>IF(ISNUMBER(K984),MAX(0,K984-L984-M984),"n.a.")</f>
        <v/>
      </c>
      <c r="O984" s="14" t="n">
        <v>9</v>
      </c>
      <c r="P984" s="14">
        <f>IF(ISNUMBER(K984),K984-O984,"n.a.")</f>
        <v/>
      </c>
    </row>
    <row r="985" ht="32" customHeight="1">
      <c r="C985" s="10" t="inlineStr">
        <is>
          <t>PRJ-4f8e97f4-RK-07</t>
        </is>
      </c>
      <c r="D985" s="10" t="inlineStr">
        <is>
          <t>P4102307304</t>
        </is>
      </c>
      <c r="E985" s="11" t="inlineStr">
        <is>
          <t>Unterirdische Tragkonstruktion / Fundamente</t>
        </is>
      </c>
      <c r="F985" s="10" t="inlineStr">
        <is>
          <t>Statik</t>
        </is>
      </c>
      <c r="G985" s="12" t="n">
        <v>0.5</v>
      </c>
      <c r="H985" s="13" t="n">
        <v>5</v>
      </c>
      <c r="I985" s="13" t="n">
        <v>20</v>
      </c>
      <c r="J985" s="13" t="n">
        <v>50</v>
      </c>
      <c r="K985" s="14">
        <f>IF(OR(COUNT(G985:J985)&lt;&gt;4,G985&lt;0,G985&gt;1,H985&gt;I985,I985&gt;J985),"n.a.",ROUND(G985*(H985+4*I985+J985)/6+0.00000001,2))</f>
        <v/>
      </c>
      <c r="L985" s="13" t="n">
        <v>0</v>
      </c>
      <c r="M985" s="14">
        <f>SUMIFS(Maßnahmen!$I$7:$I$126,Maßnahmen!$D$7:$D$126,C985,Maßnahmen!$H$7:$H$126,"&lt;&gt;verworfen")</f>
        <v/>
      </c>
      <c r="N985" s="14">
        <f>IF(ISNUMBER(K985),MAX(0,K985-L985-M985),"n.a.")</f>
        <v/>
      </c>
      <c r="O985" s="14" t="n">
        <v>11.25</v>
      </c>
      <c r="P985" s="14">
        <f>IF(ISNUMBER(K985),K985-O985,"n.a.")</f>
        <v/>
      </c>
    </row>
    <row r="986" ht="32" customHeight="1">
      <c r="C986" s="10" t="inlineStr">
        <is>
          <t>PRJ-4f8e97f4-RK-08</t>
        </is>
      </c>
      <c r="D986" s="10" t="inlineStr">
        <is>
          <t>P4102307304</t>
        </is>
      </c>
      <c r="E986" s="11" t="inlineStr">
        <is>
          <t>Gebäudehöhe &gt;22 m / Longfront-Bagger (+130–150 %)</t>
        </is>
      </c>
      <c r="F986" s="10" t="inlineStr">
        <is>
          <t>Termin</t>
        </is>
      </c>
      <c r="G986" s="12" t="n">
        <v>0.2</v>
      </c>
      <c r="H986" s="13" t="n">
        <v>10</v>
      </c>
      <c r="I986" s="13" t="n">
        <v>30</v>
      </c>
      <c r="J986" s="13" t="n">
        <v>60</v>
      </c>
      <c r="K986" s="14">
        <f>IF(OR(COUNT(G986:J986)&lt;&gt;4,G986&lt;0,G986&gt;1,H986&gt;I986,I986&gt;J986),"n.a.",ROUND(G986*(H986+4*I986+J986)/6+0.00000001,2))</f>
        <v/>
      </c>
      <c r="L986" s="13" t="n">
        <v>0</v>
      </c>
      <c r="M986" s="14">
        <f>SUMIFS(Maßnahmen!$I$7:$I$126,Maßnahmen!$D$7:$D$126,C986,Maßnahmen!$H$7:$H$126,"&lt;&gt;verworfen")</f>
        <v/>
      </c>
      <c r="N986" s="14">
        <f>IF(ISNUMBER(K986),MAX(0,K986-L986-M986),"n.a.")</f>
        <v/>
      </c>
      <c r="O986" s="14" t="n">
        <v>6.33</v>
      </c>
      <c r="P986" s="14">
        <f>IF(ISNUMBER(K986),K986-O986,"n.a.")</f>
        <v/>
      </c>
    </row>
    <row r="987" ht="32" customHeight="1">
      <c r="C987" s="10" t="inlineStr">
        <is>
          <t>PRJ-4f8e97f4-RK-09</t>
        </is>
      </c>
      <c r="D987" s="10" t="inlineStr">
        <is>
          <t>P4102307304</t>
        </is>
      </c>
      <c r="E987" s="11" t="inlineStr">
        <is>
          <t>Beennte Lage / nur Handabbruch möglich</t>
        </is>
      </c>
      <c r="F987" s="10" t="inlineStr">
        <is>
          <t>Termin</t>
        </is>
      </c>
      <c r="G987" s="12" t="n">
        <v>0.15</v>
      </c>
      <c r="H987" s="13" t="n">
        <v>8</v>
      </c>
      <c r="I987" s="13" t="n">
        <v>20</v>
      </c>
      <c r="J987" s="13" t="n">
        <v>50</v>
      </c>
      <c r="K987" s="14">
        <f>IF(OR(COUNT(G987:J987)&lt;&gt;4,G987&lt;0,G987&gt;1,H987&gt;I987,I987&gt;J987),"n.a.",ROUND(G987*(H987+4*I987+J987)/6+0.00000001,2))</f>
        <v/>
      </c>
      <c r="L987" s="13" t="n">
        <v>0</v>
      </c>
      <c r="M987" s="14">
        <f>SUMIFS(Maßnahmen!$I$7:$I$126,Maßnahmen!$D$7:$D$126,C987,Maßnahmen!$H$7:$H$126,"&lt;&gt;verworfen")</f>
        <v/>
      </c>
      <c r="N987" s="14">
        <f>IF(ISNUMBER(K987),MAX(0,K987-L987-M987),"n.a.")</f>
        <v/>
      </c>
      <c r="O987" s="14" t="n">
        <v>3.45</v>
      </c>
      <c r="P987" s="14">
        <f>IF(ISNUMBER(K987),K987-O987,"n.a.")</f>
        <v/>
      </c>
    </row>
    <row r="988" ht="32" customHeight="1">
      <c r="C988" s="10" t="inlineStr">
        <is>
          <t>PRJ-4f8e97f4-RK-10</t>
        </is>
      </c>
      <c r="D988" s="10" t="inlineStr">
        <is>
          <t>P4102307304</t>
        </is>
      </c>
      <c r="E988" s="11" t="inlineStr">
        <is>
          <t>Terminvorgabe Auftraggeber / Geräteauslastung</t>
        </is>
      </c>
      <c r="F988" s="10" t="inlineStr">
        <is>
          <t>Termin</t>
        </is>
      </c>
      <c r="G988" s="12" t="n">
        <v>0.08</v>
      </c>
      <c r="H988" s="13" t="n">
        <v>5</v>
      </c>
      <c r="I988" s="13" t="n">
        <v>10</v>
      </c>
      <c r="J988" s="13" t="n">
        <v>20</v>
      </c>
      <c r="K988" s="14">
        <f>IF(OR(COUNT(G988:J988)&lt;&gt;4,G988&lt;0,G988&gt;1,H988&gt;I988,I988&gt;J988),"n.a.",ROUND(G988*(H988+4*I988+J988)/6+0.00000001,2))</f>
        <v/>
      </c>
      <c r="L988" s="13" t="n">
        <v>0</v>
      </c>
      <c r="M988" s="14">
        <f>SUMIFS(Maßnahmen!$I$7:$I$126,Maßnahmen!$D$7:$D$126,C988,Maßnahmen!$H$7:$H$126,"&lt;&gt;verworfen")</f>
        <v/>
      </c>
      <c r="N988" s="14">
        <f>IF(ISNUMBER(K988),MAX(0,K988-L988-M988),"n.a.")</f>
        <v/>
      </c>
      <c r="O988" s="14" t="n">
        <v>0.87</v>
      </c>
      <c r="P988" s="14">
        <f>IF(ISNUMBER(K988),K988-O988,"n.a.")</f>
        <v/>
      </c>
    </row>
    <row r="989" ht="32" customHeight="1">
      <c r="C989" s="10" t="inlineStr">
        <is>
          <t>PRJ-4f8e97f4-RK-11</t>
        </is>
      </c>
      <c r="D989" s="10" t="inlineStr">
        <is>
          <t>P4102307304</t>
        </is>
      </c>
      <c r="E989" s="11" t="inlineStr">
        <is>
          <t>Witterung / Ablaufstörung</t>
        </is>
      </c>
      <c r="F989" s="10" t="inlineStr">
        <is>
          <t>Termin</t>
        </is>
      </c>
      <c r="G989" s="12" t="n">
        <v>0.15</v>
      </c>
      <c r="H989" s="13" t="n">
        <v>10</v>
      </c>
      <c r="I989" s="13" t="n">
        <v>30</v>
      </c>
      <c r="J989" s="13" t="n">
        <v>60</v>
      </c>
      <c r="K989" s="14">
        <f>IF(OR(COUNT(G989:J989)&lt;&gt;4,G989&lt;0,G989&gt;1,H989&gt;I989,I989&gt;J989),"n.a.",ROUND(G989*(H989+4*I989+J989)/6+0.00000001,2))</f>
        <v/>
      </c>
      <c r="L989" s="13" t="n">
        <v>0</v>
      </c>
      <c r="M989" s="14">
        <f>SUMIFS(Maßnahmen!$I$7:$I$126,Maßnahmen!$D$7:$D$126,C989,Maßnahmen!$H$7:$H$126,"&lt;&gt;verworfen")</f>
        <v/>
      </c>
      <c r="N989" s="14">
        <f>IF(ISNUMBER(K989),MAX(0,K989-L989-M989),"n.a.")</f>
        <v/>
      </c>
      <c r="O989" s="14" t="n">
        <v>4.75</v>
      </c>
      <c r="P989" s="14">
        <f>IF(ISNUMBER(K989),K989-O989,"n.a.")</f>
        <v/>
      </c>
    </row>
    <row r="990" ht="32" customHeight="1">
      <c r="C990" s="10" t="inlineStr">
        <is>
          <t>PRJ-4f8e97f4-RK-12</t>
        </is>
      </c>
      <c r="D990" s="10" t="inlineStr">
        <is>
          <t>P4102307304</t>
        </is>
      </c>
      <c r="E990" s="11" t="inlineStr">
        <is>
          <t>Staubemissionen (höchster Aufwand laut Umfrage)</t>
        </is>
      </c>
      <c r="F990" s="10" t="inlineStr">
        <is>
          <t>Emissionen</t>
        </is>
      </c>
      <c r="G990" s="12" t="n">
        <v>0.1</v>
      </c>
      <c r="H990" s="13" t="n">
        <v>30</v>
      </c>
      <c r="I990" s="13" t="n">
        <v>60</v>
      </c>
      <c r="J990" s="13" t="n">
        <v>120</v>
      </c>
      <c r="K990" s="14">
        <f>IF(OR(COUNT(G990:J990)&lt;&gt;4,G990&lt;0,G990&gt;1,H990&gt;I990,I990&gt;J990),"n.a.",ROUND(G990*(H990+4*I990+J990)/6+0.00000001,2))</f>
        <v/>
      </c>
      <c r="L990" s="13" t="n">
        <v>0</v>
      </c>
      <c r="M990" s="14">
        <f>SUMIFS(Maßnahmen!$I$7:$I$126,Maßnahmen!$D$7:$D$126,C990,Maßnahmen!$H$7:$H$126,"&lt;&gt;verworfen")</f>
        <v/>
      </c>
      <c r="N990" s="14">
        <f>IF(ISNUMBER(K990),MAX(0,K990-L990-M990),"n.a.")</f>
        <v/>
      </c>
      <c r="O990" s="14" t="n">
        <v>6.5</v>
      </c>
      <c r="P990" s="14">
        <f>IF(ISNUMBER(K990),K990-O990,"n.a.")</f>
        <v/>
      </c>
    </row>
    <row r="991" ht="32" customHeight="1">
      <c r="C991" s="10" t="inlineStr">
        <is>
          <t>PRJ-4a6f9cbe-RK-09</t>
        </is>
      </c>
      <c r="D991" s="10" t="inlineStr">
        <is>
          <t>P4102608265</t>
        </is>
      </c>
      <c r="E991" s="11" t="inlineStr">
        <is>
          <t>Beennte Lage / nur Handabbruch möglich</t>
        </is>
      </c>
      <c r="F991" s="10" t="inlineStr">
        <is>
          <t>Termin</t>
        </is>
      </c>
      <c r="G991" s="12" t="n">
        <v>0.15</v>
      </c>
      <c r="H991" s="13" t="n">
        <v>25</v>
      </c>
      <c r="I991" s="13" t="n">
        <v>62</v>
      </c>
      <c r="J991" s="13" t="n">
        <v>155</v>
      </c>
      <c r="K991" s="14">
        <f>IF(OR(COUNT(G991:J991)&lt;&gt;4,G991&lt;0,G991&gt;1,H991&gt;I991,I991&gt;J991),"n.a.",ROUND(G991*(H991+4*I991+J991)/6+0.00000001,2))</f>
        <v/>
      </c>
      <c r="L991" s="13" t="n">
        <v>0</v>
      </c>
      <c r="M991" s="14">
        <f>SUMIFS(Maßnahmen!$I$7:$I$126,Maßnahmen!$D$7:$D$126,C991,Maßnahmen!$H$7:$H$126,"&lt;&gt;verworfen")</f>
        <v/>
      </c>
      <c r="N991" s="14">
        <f>IF(ISNUMBER(K991),MAX(0,K991-L991-M991),"n.a.")</f>
        <v/>
      </c>
      <c r="O991" s="14" t="n">
        <v>10.7</v>
      </c>
      <c r="P991" s="14">
        <f>IF(ISNUMBER(K991),K991-O991,"n.a.")</f>
        <v/>
      </c>
    </row>
    <row r="992" ht="32" customHeight="1">
      <c r="C992" s="10" t="inlineStr">
        <is>
          <t>PRJ-4a6f9cbe-RK-10</t>
        </is>
      </c>
      <c r="D992" s="10" t="inlineStr">
        <is>
          <t>P4102608265</t>
        </is>
      </c>
      <c r="E992" s="11" t="inlineStr">
        <is>
          <t>Terminvorgabe Auftraggeber / Geräteauslastung</t>
        </is>
      </c>
      <c r="F992" s="10" t="inlineStr">
        <is>
          <t>Termin</t>
        </is>
      </c>
      <c r="G992" s="12" t="n">
        <v>0.08</v>
      </c>
      <c r="H992" s="13" t="n">
        <v>15</v>
      </c>
      <c r="I992" s="13" t="n">
        <v>31</v>
      </c>
      <c r="J992" s="13" t="n">
        <v>62</v>
      </c>
      <c r="K992" s="14">
        <f>IF(OR(COUNT(G992:J992)&lt;&gt;4,G992&lt;0,G992&gt;1,H992&gt;I992,I992&gt;J992),"n.a.",ROUND(G992*(H992+4*I992+J992)/6+0.00000001,2))</f>
        <v/>
      </c>
      <c r="L992" s="13" t="n">
        <v>0</v>
      </c>
      <c r="M992" s="14">
        <f>SUMIFS(Maßnahmen!$I$7:$I$126,Maßnahmen!$D$7:$D$126,C992,Maßnahmen!$H$7:$H$126,"&lt;&gt;verworfen")</f>
        <v/>
      </c>
      <c r="N992" s="14">
        <f>IF(ISNUMBER(K992),MAX(0,K992-L992-M992),"n.a.")</f>
        <v/>
      </c>
      <c r="O992" s="14" t="n">
        <v>2.68</v>
      </c>
      <c r="P992" s="14">
        <f>IF(ISNUMBER(K992),K992-O992,"n.a.")</f>
        <v/>
      </c>
    </row>
    <row r="993" ht="32" customHeight="1">
      <c r="C993" s="10" t="inlineStr">
        <is>
          <t>PRJ-4a6f9cbe-RK-11</t>
        </is>
      </c>
      <c r="D993" s="10" t="inlineStr">
        <is>
          <t>P4102608265</t>
        </is>
      </c>
      <c r="E993" s="11" t="inlineStr">
        <is>
          <t>Witterung / Ablaufstörung</t>
        </is>
      </c>
      <c r="F993" s="10" t="inlineStr">
        <is>
          <t>Termin</t>
        </is>
      </c>
      <c r="G993" s="12" t="n">
        <v>0.25</v>
      </c>
      <c r="H993" s="13" t="n">
        <v>31</v>
      </c>
      <c r="I993" s="13" t="n">
        <v>93</v>
      </c>
      <c r="J993" s="13" t="n">
        <v>186</v>
      </c>
      <c r="K993" s="14">
        <f>IF(OR(COUNT(G993:J993)&lt;&gt;4,G993&lt;0,G993&gt;1,H993&gt;I993,I993&gt;J993),"n.a.",ROUND(G993*(H993+4*I993+J993)/6+0.00000001,2))</f>
        <v/>
      </c>
      <c r="L993" s="13" t="n">
        <v>0</v>
      </c>
      <c r="M993" s="14">
        <f>SUMIFS(Maßnahmen!$I$7:$I$126,Maßnahmen!$D$7:$D$126,C993,Maßnahmen!$H$7:$H$126,"&lt;&gt;verworfen")</f>
        <v/>
      </c>
      <c r="N993" s="14">
        <f>IF(ISNUMBER(K993),MAX(0,K993-L993-M993),"n.a.")</f>
        <v/>
      </c>
      <c r="O993" s="14" t="n">
        <v>24.54</v>
      </c>
      <c r="P993" s="14">
        <f>IF(ISNUMBER(K993),K993-O993,"n.a.")</f>
        <v/>
      </c>
    </row>
    <row r="994" ht="32" customHeight="1">
      <c r="C994" s="10" t="inlineStr">
        <is>
          <t>PRJ-4a6f9cbe-RK-12</t>
        </is>
      </c>
      <c r="D994" s="10" t="inlineStr">
        <is>
          <t>P4102608265</t>
        </is>
      </c>
      <c r="E994" s="11" t="inlineStr">
        <is>
          <t>Staubemissionen (höchster Aufwand laut Umfrage)</t>
        </is>
      </c>
      <c r="F994" s="10" t="inlineStr">
        <is>
          <t>Emissionen</t>
        </is>
      </c>
      <c r="G994" s="12" t="n">
        <v>0.1</v>
      </c>
      <c r="H994" s="13" t="n">
        <v>93</v>
      </c>
      <c r="I994" s="13" t="n">
        <v>186</v>
      </c>
      <c r="J994" s="13" t="n">
        <v>372</v>
      </c>
      <c r="K994" s="14">
        <f>IF(OR(COUNT(G994:J994)&lt;&gt;4,G994&lt;0,G994&gt;1,H994&gt;I994,I994&gt;J994),"n.a.",ROUND(G994*(H994+4*I994+J994)/6+0.00000001,2))</f>
        <v/>
      </c>
      <c r="L994" s="13" t="n">
        <v>0</v>
      </c>
      <c r="M994" s="14">
        <f>SUMIFS(Maßnahmen!$I$7:$I$126,Maßnahmen!$D$7:$D$126,C994,Maßnahmen!$H$7:$H$126,"&lt;&gt;verworfen")</f>
        <v/>
      </c>
      <c r="N994" s="14">
        <f>IF(ISNUMBER(K994),MAX(0,K994-L994-M994),"n.a.")</f>
        <v/>
      </c>
      <c r="O994" s="14" t="n">
        <v>20.15</v>
      </c>
      <c r="P994" s="14">
        <f>IF(ISNUMBER(K994),K994-O994,"n.a.")</f>
        <v/>
      </c>
    </row>
    <row r="995" ht="32" customHeight="1">
      <c r="C995" s="10" t="inlineStr">
        <is>
          <t>PRJ-4a6f9cbe-RK-13</t>
        </is>
      </c>
      <c r="D995" s="10" t="inlineStr">
        <is>
          <t>P4102608265</t>
        </is>
      </c>
      <c r="E995" s="11" t="inlineStr">
        <is>
          <t>Lärm- und Erschütterungsauflagen</t>
        </is>
      </c>
      <c r="F995" s="10" t="inlineStr">
        <is>
          <t>Emissionen</t>
        </is>
      </c>
      <c r="G995" s="12" t="n">
        <v>0.2</v>
      </c>
      <c r="H995" s="13" t="n">
        <v>62</v>
      </c>
      <c r="I995" s="13" t="n">
        <v>155</v>
      </c>
      <c r="J995" s="13" t="n">
        <v>310</v>
      </c>
      <c r="K995" s="14">
        <f>IF(OR(COUNT(G995:J995)&lt;&gt;4,G995&lt;0,G995&gt;1,H995&gt;I995,I995&gt;J995),"n.a.",ROUND(G995*(H995+4*I995+J995)/6+0.00000001,2))</f>
        <v/>
      </c>
      <c r="L995" s="13" t="n">
        <v>0</v>
      </c>
      <c r="M995" s="14">
        <f>SUMIFS(Maßnahmen!$I$7:$I$126,Maßnahmen!$D$7:$D$126,C995,Maßnahmen!$H$7:$H$126,"&lt;&gt;verworfen")</f>
        <v/>
      </c>
      <c r="N995" s="14">
        <f>IF(ISNUMBER(K995),MAX(0,K995-L995-M995),"n.a.")</f>
        <v/>
      </c>
      <c r="O995" s="14" t="n">
        <v>33.07</v>
      </c>
      <c r="P995" s="14">
        <f>IF(ISNUMBER(K995),K995-O995,"n.a.")</f>
        <v/>
      </c>
    </row>
    <row r="996" ht="32" customHeight="1">
      <c r="C996" s="10" t="inlineStr">
        <is>
          <t>PRJ-4a6f9cbe-RK-14</t>
        </is>
      </c>
      <c r="D996" s="10" t="inlineStr">
        <is>
          <t>P4102608265</t>
        </is>
      </c>
      <c r="E996" s="11" t="inlineStr">
        <is>
          <t>Rechtliche Auflagen / Entsorgungsnachweise (Formalismus)</t>
        </is>
      </c>
      <c r="F996" s="10" t="inlineStr">
        <is>
          <t>Genehmigung</t>
        </is>
      </c>
      <c r="G996" s="12" t="n">
        <v>0.4</v>
      </c>
      <c r="H996" s="13" t="n">
        <v>294</v>
      </c>
      <c r="I996" s="13" t="n">
        <v>573</v>
      </c>
      <c r="J996" s="13" t="n">
        <v>1084</v>
      </c>
      <c r="K996" s="14">
        <f>IF(OR(COUNT(G996:J996)&lt;&gt;4,G996&lt;0,G996&gt;1,H996&gt;I996,I996&gt;J996),"n.a.",ROUND(G996*(H996+4*I996+J996)/6+0.00000001,2))</f>
        <v/>
      </c>
      <c r="L996" s="13" t="n">
        <v>0</v>
      </c>
      <c r="M996" s="14">
        <f>SUMIFS(Maßnahmen!$I$7:$I$126,Maßnahmen!$D$7:$D$126,C996,Maßnahmen!$H$7:$H$126,"&lt;&gt;verworfen")</f>
        <v/>
      </c>
      <c r="N996" s="14">
        <f>IF(ISNUMBER(K996),MAX(0,K996-L996-M996),"n.a.")</f>
        <v/>
      </c>
      <c r="O996" s="14" t="n">
        <v>244.67</v>
      </c>
      <c r="P996" s="14">
        <f>IF(ISNUMBER(K996),K996-O996,"n.a.")</f>
        <v/>
      </c>
    </row>
    <row r="997" ht="32" customHeight="1">
      <c r="C997" s="10" t="inlineStr">
        <is>
          <t>PRJ-4a6f9cbe-RK-15</t>
        </is>
      </c>
      <c r="D997" s="10" t="inlineStr">
        <is>
          <t>P4102608265</t>
        </is>
      </c>
      <c r="E997" s="11" t="inlineStr">
        <is>
          <t>Konjunktur / Sekundärstoffpreise &amp; Gerätemiete</t>
        </is>
      </c>
      <c r="F997" s="10" t="inlineStr">
        <is>
          <t>Markt</t>
        </is>
      </c>
      <c r="G997" s="12" t="n">
        <v>0.12</v>
      </c>
      <c r="H997" s="13" t="n">
        <v>25</v>
      </c>
      <c r="I997" s="13" t="n">
        <v>62</v>
      </c>
      <c r="J997" s="13" t="n">
        <v>155</v>
      </c>
      <c r="K997" s="14">
        <f>IF(OR(COUNT(G997:J997)&lt;&gt;4,G997&lt;0,G997&gt;1,H997&gt;I997,I997&gt;J997),"n.a.",ROUND(G997*(H997+4*I997+J997)/6+0.00000001,2))</f>
        <v/>
      </c>
      <c r="L997" s="13" t="n">
        <v>0</v>
      </c>
      <c r="M997" s="14">
        <f>SUMIFS(Maßnahmen!$I$7:$I$126,Maßnahmen!$D$7:$D$126,C997,Maßnahmen!$H$7:$H$126,"&lt;&gt;verworfen")</f>
        <v/>
      </c>
      <c r="N997" s="14">
        <f>IF(ISNUMBER(K997),MAX(0,K997-L997-M997),"n.a.")</f>
        <v/>
      </c>
      <c r="O997" s="14" t="n">
        <v>8.56</v>
      </c>
      <c r="P997" s="14">
        <f>IF(ISNUMBER(K997),K997-O997,"n.a.")</f>
        <v/>
      </c>
    </row>
    <row r="998" ht="32" customHeight="1">
      <c r="C998" s="10" t="inlineStr">
        <is>
          <t>PRJ-39e5498d-RK-01</t>
        </is>
      </c>
      <c r="D998" s="10" t="inlineStr">
        <is>
          <t>W4102504941</t>
        </is>
      </c>
      <c r="E998" s="11" t="inlineStr">
        <is>
          <t>Schadstofffund / Schadstoffsanierung (Asbest, PAK, PCB, PCP)</t>
        </is>
      </c>
      <c r="F998" s="10" t="inlineStr">
        <is>
          <t>Schadstoffe</t>
        </is>
      </c>
      <c r="G998" s="12" t="n">
        <v>0.1</v>
      </c>
      <c r="H998" s="13" t="n">
        <v>20</v>
      </c>
      <c r="I998" s="13" t="n">
        <v>50</v>
      </c>
      <c r="J998" s="13" t="n">
        <v>100</v>
      </c>
      <c r="K998" s="14">
        <f>IF(OR(COUNT(G998:J998)&lt;&gt;4,G998&lt;0,G998&gt;1,H998&gt;I998,I998&gt;J998),"n.a.",ROUND(G998*(H998+4*I998+J998)/6+0.00000001,2))</f>
        <v/>
      </c>
      <c r="L998" s="13" t="n">
        <v>0</v>
      </c>
      <c r="M998" s="14">
        <f>SUMIFS(Maßnahmen!$I$7:$I$126,Maßnahmen!$D$7:$D$126,C998,Maßnahmen!$H$7:$H$126,"&lt;&gt;verworfen")</f>
        <v/>
      </c>
      <c r="N998" s="14">
        <f>IF(ISNUMBER(K998),MAX(0,K998-L998-M998),"n.a.")</f>
        <v/>
      </c>
      <c r="O998" s="14" t="n">
        <v>5.33</v>
      </c>
      <c r="P998" s="14">
        <f>IF(ISNUMBER(K998),K998-O998,"n.a.")</f>
        <v/>
      </c>
    </row>
    <row r="999" ht="32" customHeight="1">
      <c r="C999" s="10" t="inlineStr">
        <is>
          <t>PRJ-39e5498d-RK-02</t>
        </is>
      </c>
      <c r="D999" s="10" t="inlineStr">
        <is>
          <t>W4102504941</t>
        </is>
      </c>
      <c r="E999" s="11" t="inlineStr">
        <is>
          <t>Arbeitsschutz kontaminierte Bereiche (TRGS 524)</t>
        </is>
      </c>
      <c r="F999" s="10" t="inlineStr">
        <is>
          <t>Schadstoffe</t>
        </is>
      </c>
      <c r="G999" s="12" t="n">
        <v>0.47</v>
      </c>
      <c r="H999" s="13" t="n">
        <v>20</v>
      </c>
      <c r="I999" s="13" t="n">
        <v>50</v>
      </c>
      <c r="J999" s="13" t="n">
        <v>100</v>
      </c>
      <c r="K999" s="14">
        <f>IF(OR(COUNT(G999:J999)&lt;&gt;4,G999&lt;0,G999&gt;1,H999&gt;I999,I999&gt;J999),"n.a.",ROUND(G999*(H999+4*I999+J999)/6+0.00000001,2))</f>
        <v/>
      </c>
      <c r="L999" s="13" t="n">
        <v>0</v>
      </c>
      <c r="M999" s="14">
        <f>SUMIFS(Maßnahmen!$I$7:$I$126,Maßnahmen!$D$7:$D$126,C999,Maßnahmen!$H$7:$H$126,"&lt;&gt;verworfen")</f>
        <v/>
      </c>
      <c r="N999" s="14">
        <f>IF(ISNUMBER(K999),MAX(0,K999-L999-M999),"n.a.")</f>
        <v/>
      </c>
      <c r="O999" s="14" t="n">
        <v>25.07</v>
      </c>
      <c r="P999" s="14">
        <f>IF(ISNUMBER(K999),K999-O999,"n.a.")</f>
        <v/>
      </c>
    </row>
    <row r="1000" ht="32" customHeight="1">
      <c r="C1000" s="10" t="inlineStr">
        <is>
          <t>PRJ-4a6f9cda-RK-01</t>
        </is>
      </c>
      <c r="D1000" s="10" t="inlineStr">
        <is>
          <t>P4102608258</t>
        </is>
      </c>
      <c r="E1000" s="11" t="inlineStr">
        <is>
          <t>Schadstofffund / Schadstoffsanierung (Asbest, PAK, PCB, PCP)</t>
        </is>
      </c>
      <c r="F1000" s="10" t="inlineStr">
        <is>
          <t>Schadstoffe</t>
        </is>
      </c>
      <c r="G1000" s="12" t="n">
        <v>0.7</v>
      </c>
      <c r="H1000" s="13" t="n">
        <v>1750</v>
      </c>
      <c r="I1000" s="13" t="n">
        <v>2250</v>
      </c>
      <c r="J1000" s="13" t="n">
        <v>3250</v>
      </c>
      <c r="K1000" s="14">
        <f>IF(OR(COUNT(G1000:J1000)&lt;&gt;4,G1000&lt;0,G1000&gt;1,H1000&gt;I1000,I1000&gt;J1000),"n.a.",ROUND(G1000*(H1000+4*I1000+J1000)/6+0.00000001,2))</f>
        <v/>
      </c>
      <c r="L1000" s="13" t="n">
        <v>0</v>
      </c>
      <c r="M1000" s="14">
        <f>SUMIFS(Maßnahmen!$I$7:$I$126,Maßnahmen!$D$7:$D$126,C1000,Maßnahmen!$H$7:$H$126,"&lt;&gt;verworfen")</f>
        <v/>
      </c>
      <c r="N1000" s="14">
        <f>IF(ISNUMBER(K1000),MAX(0,K1000-L1000-M1000),"n.a.")</f>
        <v/>
      </c>
      <c r="O1000" s="14" t="n">
        <v>1633.33</v>
      </c>
      <c r="P1000" s="14">
        <f>IF(ISNUMBER(K1000),K1000-O1000,"n.a.")</f>
        <v/>
      </c>
    </row>
    <row r="1001" ht="32" customHeight="1">
      <c r="C1001" s="10" t="inlineStr">
        <is>
          <t>PRJ-4a6f9cda-RK-02</t>
        </is>
      </c>
      <c r="D1001" s="10" t="inlineStr">
        <is>
          <t>P4102608258</t>
        </is>
      </c>
      <c r="E1001" s="11" t="inlineStr">
        <is>
          <t>Arbeitsschutz kontaminierte Bereiche (TRGS 524)</t>
        </is>
      </c>
      <c r="F1001" s="10" t="inlineStr">
        <is>
          <t>Schadstoffe</t>
        </is>
      </c>
      <c r="G1001" s="12" t="n">
        <v>0.47</v>
      </c>
      <c r="H1001" s="13" t="n">
        <v>100</v>
      </c>
      <c r="I1001" s="13" t="n">
        <v>250</v>
      </c>
      <c r="J1001" s="13" t="n">
        <v>500</v>
      </c>
      <c r="K1001" s="14">
        <f>IF(OR(COUNT(G1001:J1001)&lt;&gt;4,G1001&lt;0,G1001&gt;1,H1001&gt;I1001,I1001&gt;J1001),"n.a.",ROUND(G1001*(H1001+4*I1001+J1001)/6+0.00000001,2))</f>
        <v/>
      </c>
      <c r="L1001" s="13" t="n">
        <v>0</v>
      </c>
      <c r="M1001" s="14">
        <f>SUMIFS(Maßnahmen!$I$7:$I$126,Maßnahmen!$D$7:$D$126,C1001,Maßnahmen!$H$7:$H$126,"&lt;&gt;verworfen")</f>
        <v/>
      </c>
      <c r="N1001" s="14">
        <f>IF(ISNUMBER(K1001),MAX(0,K1001-L1001-M1001),"n.a.")</f>
        <v/>
      </c>
      <c r="O1001" s="14" t="n">
        <v>125.33</v>
      </c>
      <c r="P1001" s="14">
        <f>IF(ISNUMBER(K1001),K1001-O1001,"n.a.")</f>
        <v/>
      </c>
    </row>
    <row r="1002" ht="32" customHeight="1">
      <c r="C1002" s="10" t="inlineStr">
        <is>
          <t>PRJ-4a6f9cda-RK-03</t>
        </is>
      </c>
      <c r="D1002" s="10" t="inlineStr">
        <is>
          <t>P4102608258</t>
        </is>
      </c>
      <c r="E1002" s="11" t="inlineStr">
        <is>
          <t>Entsorgungs-Mehrkosten / Entsorgungswege</t>
        </is>
      </c>
      <c r="F1002" s="10" t="inlineStr">
        <is>
          <t>Entsorgung</t>
        </is>
      </c>
      <c r="G1002" s="12" t="n">
        <v>0.27</v>
      </c>
      <c r="H1002" s="13" t="n">
        <v>100</v>
      </c>
      <c r="I1002" s="13" t="n">
        <v>250</v>
      </c>
      <c r="J1002" s="13" t="n">
        <v>500</v>
      </c>
      <c r="K1002" s="14">
        <f>IF(OR(COUNT(G1002:J1002)&lt;&gt;4,G1002&lt;0,G1002&gt;1,H1002&gt;I1002,I1002&gt;J1002),"n.a.",ROUND(G1002*(H1002+4*I1002+J1002)/6+0.00000001,2))</f>
        <v/>
      </c>
      <c r="L1002" s="13" t="n">
        <v>0</v>
      </c>
      <c r="M1002" s="14">
        <f>SUMIFS(Maßnahmen!$I$7:$I$126,Maßnahmen!$D$7:$D$126,C1002,Maßnahmen!$H$7:$H$126,"&lt;&gt;verworfen")</f>
        <v/>
      </c>
      <c r="N1002" s="14">
        <f>IF(ISNUMBER(K1002),MAX(0,K1002-L1002-M1002),"n.a.")</f>
        <v/>
      </c>
      <c r="O1002" s="14" t="n">
        <v>72</v>
      </c>
      <c r="P1002" s="14">
        <f>IF(ISNUMBER(K1002),K1002-O1002,"n.a.")</f>
        <v/>
      </c>
    </row>
    <row r="1003" ht="32" customHeight="1">
      <c r="C1003" s="10" t="inlineStr">
        <is>
          <t>PRJ-4a6f9cda-RK-04</t>
        </is>
      </c>
      <c r="D1003" s="10" t="inlineStr">
        <is>
          <t>P4102608258</t>
        </is>
      </c>
      <c r="E1003" s="11" t="inlineStr">
        <is>
          <t>Baustofftrennung / Aufbereitung nicht wie geplant</t>
        </is>
      </c>
      <c r="F1003" s="10" t="inlineStr">
        <is>
          <t>Entsorgung</t>
        </is>
      </c>
      <c r="G1003" s="12" t="n">
        <v>0.1</v>
      </c>
      <c r="H1003" s="13" t="n">
        <v>100</v>
      </c>
      <c r="I1003" s="13" t="n">
        <v>250</v>
      </c>
      <c r="J1003" s="13" t="n">
        <v>500</v>
      </c>
      <c r="K1003" s="14">
        <f>IF(OR(COUNT(G1003:J1003)&lt;&gt;4,G1003&lt;0,G1003&gt;1,H1003&gt;I1003,I1003&gt;J1003),"n.a.",ROUND(G1003*(H1003+4*I1003+J1003)/6+0.00000001,2))</f>
        <v/>
      </c>
      <c r="L1003" s="13" t="n">
        <v>0</v>
      </c>
      <c r="M1003" s="14">
        <f>SUMIFS(Maßnahmen!$I$7:$I$126,Maßnahmen!$D$7:$D$126,C1003,Maßnahmen!$H$7:$H$126,"&lt;&gt;verworfen")</f>
        <v/>
      </c>
      <c r="N1003" s="14">
        <f>IF(ISNUMBER(K1003),MAX(0,K1003-L1003-M1003),"n.a.")</f>
        <v/>
      </c>
      <c r="O1003" s="14" t="n">
        <v>26.67</v>
      </c>
      <c r="P1003" s="14">
        <f>IF(ISNUMBER(K1003),K1003-O1003,"n.a.")</f>
        <v/>
      </c>
    </row>
    <row r="1004" ht="32" customHeight="1">
      <c r="C1004" s="10" t="inlineStr">
        <is>
          <t>PRJ-4a6f9cda-RK-05</t>
        </is>
      </c>
      <c r="D1004" s="10" t="inlineStr">
        <is>
          <t>P4102608258</t>
        </is>
      </c>
      <c r="E1004" s="11" t="inlineStr">
        <is>
          <t>Unbekannte Bauwerkskonstruktion / fehlende Pläne</t>
        </is>
      </c>
      <c r="F1004" s="10" t="inlineStr">
        <is>
          <t>Statik</t>
        </is>
      </c>
      <c r="G1004" s="12" t="n">
        <v>0.12</v>
      </c>
      <c r="H1004" s="13" t="n">
        <v>200</v>
      </c>
      <c r="I1004" s="13" t="n">
        <v>400</v>
      </c>
      <c r="J1004" s="13" t="n">
        <v>750</v>
      </c>
      <c r="K1004" s="14">
        <f>IF(OR(COUNT(G1004:J1004)&lt;&gt;4,G1004&lt;0,G1004&gt;1,H1004&gt;I1004,I1004&gt;J1004),"n.a.",ROUND(G1004*(H1004+4*I1004+J1004)/6+0.00000001,2))</f>
        <v/>
      </c>
      <c r="L1004" s="13" t="n">
        <v>0</v>
      </c>
      <c r="M1004" s="14">
        <f>SUMIFS(Maßnahmen!$I$7:$I$126,Maßnahmen!$D$7:$D$126,C1004,Maßnahmen!$H$7:$H$126,"&lt;&gt;verworfen")</f>
        <v/>
      </c>
      <c r="N1004" s="14">
        <f>IF(ISNUMBER(K1004),MAX(0,K1004-L1004-M1004),"n.a.")</f>
        <v/>
      </c>
      <c r="O1004" s="14" t="n">
        <v>51</v>
      </c>
      <c r="P1004" s="14">
        <f>IF(ISNUMBER(K1004),K1004-O1004,"n.a.")</f>
        <v/>
      </c>
    </row>
    <row r="1005" ht="32" customHeight="1">
      <c r="C1005" s="10" t="inlineStr">
        <is>
          <t>PRJ-4a6f9cda-RK-06</t>
        </is>
      </c>
      <c r="D1005" s="10" t="inlineStr">
        <is>
          <t>P4102608258</t>
        </is>
      </c>
      <c r="E1005" s="11" t="inlineStr">
        <is>
          <t>Statik / Einsturzsicherung während Abbruch</t>
        </is>
      </c>
      <c r="F1005" s="10" t="inlineStr">
        <is>
          <t>Statik</t>
        </is>
      </c>
      <c r="G1005" s="12" t="n">
        <v>0.24</v>
      </c>
      <c r="H1005" s="13" t="n">
        <v>150</v>
      </c>
      <c r="I1005" s="13" t="n">
        <v>350</v>
      </c>
      <c r="J1005" s="13" t="n">
        <v>700</v>
      </c>
      <c r="K1005" s="14">
        <f>IF(OR(COUNT(G1005:J1005)&lt;&gt;4,G1005&lt;0,G1005&gt;1,H1005&gt;I1005,I1005&gt;J1005),"n.a.",ROUND(G1005*(H1005+4*I1005+J1005)/6+0.00000001,2))</f>
        <v/>
      </c>
      <c r="L1005" s="13" t="n">
        <v>0</v>
      </c>
      <c r="M1005" s="14">
        <f>SUMIFS(Maßnahmen!$I$7:$I$126,Maßnahmen!$D$7:$D$126,C1005,Maßnahmen!$H$7:$H$126,"&lt;&gt;verworfen")</f>
        <v/>
      </c>
      <c r="N1005" s="14">
        <f>IF(ISNUMBER(K1005),MAX(0,K1005-L1005-M1005),"n.a.")</f>
        <v/>
      </c>
      <c r="O1005" s="14" t="n">
        <v>90</v>
      </c>
      <c r="P1005" s="14">
        <f>IF(ISNUMBER(K1005),K1005-O1005,"n.a.")</f>
        <v/>
      </c>
    </row>
    <row r="1006" ht="32" customHeight="1">
      <c r="C1006" s="10" t="inlineStr">
        <is>
          <t>PRJ-4a6f9cda-RK-07</t>
        </is>
      </c>
      <c r="D1006" s="10" t="inlineStr">
        <is>
          <t>P4102608258</t>
        </is>
      </c>
      <c r="E1006" s="11" t="inlineStr">
        <is>
          <t>Unterirdische Tragkonstruktion / Fundamente</t>
        </is>
      </c>
      <c r="F1006" s="10" t="inlineStr">
        <is>
          <t>Statik</t>
        </is>
      </c>
      <c r="G1006" s="12" t="n">
        <v>0.555</v>
      </c>
      <c r="H1006" s="13" t="n">
        <v>25</v>
      </c>
      <c r="I1006" s="13" t="n">
        <v>100</v>
      </c>
      <c r="J1006" s="13" t="n">
        <v>250</v>
      </c>
      <c r="K1006" s="14">
        <f>IF(OR(COUNT(G1006:J1006)&lt;&gt;4,G1006&lt;0,G1006&gt;1,H1006&gt;I1006,I1006&gt;J1006),"n.a.",ROUND(G1006*(H1006+4*I1006+J1006)/6+0.00000001,2))</f>
        <v/>
      </c>
      <c r="L1006" s="13" t="n">
        <v>0</v>
      </c>
      <c r="M1006" s="14">
        <f>SUMIFS(Maßnahmen!$I$7:$I$126,Maßnahmen!$D$7:$D$126,C1006,Maßnahmen!$H$7:$H$126,"&lt;&gt;verworfen")</f>
        <v/>
      </c>
      <c r="N1006" s="14">
        <f>IF(ISNUMBER(K1006),MAX(0,K1006-L1006-M1006),"n.a.")</f>
        <v/>
      </c>
      <c r="O1006" s="14" t="n">
        <v>62.44</v>
      </c>
      <c r="P1006" s="14">
        <f>IF(ISNUMBER(K1006),K1006-O1006,"n.a.")</f>
        <v/>
      </c>
    </row>
    <row r="1007" ht="32" customHeight="1">
      <c r="C1007" s="10" t="inlineStr">
        <is>
          <t>PRJ-4a6f9cda-RK-08</t>
        </is>
      </c>
      <c r="D1007" s="10" t="inlineStr">
        <is>
          <t>P4102608258</t>
        </is>
      </c>
      <c r="E1007" s="11" t="inlineStr">
        <is>
          <t>Gebäudehöhe &gt;22 m / Longfront-Bagger (+130–150 %)</t>
        </is>
      </c>
      <c r="F1007" s="10" t="inlineStr">
        <is>
          <t>Termin</t>
        </is>
      </c>
      <c r="G1007" s="12" t="n">
        <v>0.6</v>
      </c>
      <c r="H1007" s="13" t="n">
        <v>450</v>
      </c>
      <c r="I1007" s="13" t="n">
        <v>900</v>
      </c>
      <c r="J1007" s="13" t="n">
        <v>1700</v>
      </c>
      <c r="K1007" s="14">
        <f>IF(OR(COUNT(G1007:J1007)&lt;&gt;4,G1007&lt;0,G1007&gt;1,H1007&gt;I1007,I1007&gt;J1007),"n.a.",ROUND(G1007*(H1007+4*I1007+J1007)/6+0.00000001,2))</f>
        <v/>
      </c>
      <c r="L1007" s="13" t="n">
        <v>0</v>
      </c>
      <c r="M1007" s="14">
        <f>SUMIFS(Maßnahmen!$I$7:$I$126,Maßnahmen!$D$7:$D$126,C1007,Maßnahmen!$H$7:$H$126,"&lt;&gt;verworfen")</f>
        <v/>
      </c>
      <c r="N1007" s="14">
        <f>IF(ISNUMBER(K1007),MAX(0,K1007-L1007-M1007),"n.a.")</f>
        <v/>
      </c>
      <c r="O1007" s="14" t="n">
        <v>575</v>
      </c>
      <c r="P1007" s="14">
        <f>IF(ISNUMBER(K1007),K1007-O1007,"n.a.")</f>
        <v/>
      </c>
    </row>
    <row r="1008" ht="32" customHeight="1">
      <c r="C1008" s="10" t="inlineStr">
        <is>
          <t>PRJ-4a6f9cda-RK-09</t>
        </is>
      </c>
      <c r="D1008" s="10" t="inlineStr">
        <is>
          <t>P4102608258</t>
        </is>
      </c>
      <c r="E1008" s="11" t="inlineStr">
        <is>
          <t>Beennte Lage / nur Handabbruch möglich</t>
        </is>
      </c>
      <c r="F1008" s="10" t="inlineStr">
        <is>
          <t>Termin</t>
        </is>
      </c>
      <c r="G1008" s="12" t="n">
        <v>0.15</v>
      </c>
      <c r="H1008" s="13" t="n">
        <v>40</v>
      </c>
      <c r="I1008" s="13" t="n">
        <v>100</v>
      </c>
      <c r="J1008" s="13" t="n">
        <v>250</v>
      </c>
      <c r="K1008" s="14">
        <f>IF(OR(COUNT(G1008:J1008)&lt;&gt;4,G1008&lt;0,G1008&gt;1,H1008&gt;I1008,I1008&gt;J1008),"n.a.",ROUND(G1008*(H1008+4*I1008+J1008)/6+0.00000001,2))</f>
        <v/>
      </c>
      <c r="L1008" s="13" t="n">
        <v>0</v>
      </c>
      <c r="M1008" s="14">
        <f>SUMIFS(Maßnahmen!$I$7:$I$126,Maßnahmen!$D$7:$D$126,C1008,Maßnahmen!$H$7:$H$126,"&lt;&gt;verworfen")</f>
        <v/>
      </c>
      <c r="N1008" s="14">
        <f>IF(ISNUMBER(K1008),MAX(0,K1008-L1008-M1008),"n.a.")</f>
        <v/>
      </c>
      <c r="O1008" s="14" t="n">
        <v>17.25</v>
      </c>
      <c r="P1008" s="14">
        <f>IF(ISNUMBER(K1008),K1008-O1008,"n.a.")</f>
        <v/>
      </c>
    </row>
    <row r="1009" ht="32" customHeight="1">
      <c r="C1009" s="10" t="inlineStr">
        <is>
          <t>PRJ-4a6f9cda-RK-10</t>
        </is>
      </c>
      <c r="D1009" s="10" t="inlineStr">
        <is>
          <t>P4102608258</t>
        </is>
      </c>
      <c r="E1009" s="11" t="inlineStr">
        <is>
          <t>Terminvorgabe Auftraggeber / Geräteauslastung</t>
        </is>
      </c>
      <c r="F1009" s="10" t="inlineStr">
        <is>
          <t>Termin</t>
        </is>
      </c>
      <c r="G1009" s="12" t="n">
        <v>0.2</v>
      </c>
      <c r="H1009" s="13" t="n">
        <v>40</v>
      </c>
      <c r="I1009" s="13" t="n">
        <v>100</v>
      </c>
      <c r="J1009" s="13" t="n">
        <v>250</v>
      </c>
      <c r="K1009" s="14">
        <f>IF(OR(COUNT(G1009:J1009)&lt;&gt;4,G1009&lt;0,G1009&gt;1,H1009&gt;I1009,I1009&gt;J1009),"n.a.",ROUND(G1009*(H1009+4*I1009+J1009)/6+0.00000001,2))</f>
        <v/>
      </c>
      <c r="L1009" s="13" t="n">
        <v>0</v>
      </c>
      <c r="M1009" s="14">
        <f>SUMIFS(Maßnahmen!$I$7:$I$126,Maßnahmen!$D$7:$D$126,C1009,Maßnahmen!$H$7:$H$126,"&lt;&gt;verworfen")</f>
        <v/>
      </c>
      <c r="N1009" s="14">
        <f>IF(ISNUMBER(K1009),MAX(0,K1009-L1009-M1009),"n.a.")</f>
        <v/>
      </c>
      <c r="O1009" s="14" t="n">
        <v>23</v>
      </c>
      <c r="P1009" s="14">
        <f>IF(ISNUMBER(K1009),K1009-O1009,"n.a.")</f>
        <v/>
      </c>
    </row>
    <row r="1010" ht="32" customHeight="1">
      <c r="C1010" s="10" t="inlineStr">
        <is>
          <t>PRJ-4a6f9cda-RK-11</t>
        </is>
      </c>
      <c r="D1010" s="10" t="inlineStr">
        <is>
          <t>P4102608258</t>
        </is>
      </c>
      <c r="E1010" s="11" t="inlineStr">
        <is>
          <t>Witterung / Ablaufstörung</t>
        </is>
      </c>
      <c r="F1010" s="10" t="inlineStr">
        <is>
          <t>Termin</t>
        </is>
      </c>
      <c r="G1010" s="12" t="n">
        <v>0.25</v>
      </c>
      <c r="H1010" s="13" t="n">
        <v>50</v>
      </c>
      <c r="I1010" s="13" t="n">
        <v>150</v>
      </c>
      <c r="J1010" s="13" t="n">
        <v>300</v>
      </c>
      <c r="K1010" s="14">
        <f>IF(OR(COUNT(G1010:J1010)&lt;&gt;4,G1010&lt;0,G1010&gt;1,H1010&gt;I1010,I1010&gt;J1010),"n.a.",ROUND(G1010*(H1010+4*I1010+J1010)/6+0.00000001,2))</f>
        <v/>
      </c>
      <c r="L1010" s="13" t="n">
        <v>0</v>
      </c>
      <c r="M1010" s="14">
        <f>SUMIFS(Maßnahmen!$I$7:$I$126,Maßnahmen!$D$7:$D$126,C1010,Maßnahmen!$H$7:$H$126,"&lt;&gt;verworfen")</f>
        <v/>
      </c>
      <c r="N1010" s="14">
        <f>IF(ISNUMBER(K1010),MAX(0,K1010-L1010-M1010),"n.a.")</f>
        <v/>
      </c>
      <c r="O1010" s="14" t="n">
        <v>39.58</v>
      </c>
      <c r="P1010" s="14">
        <f>IF(ISNUMBER(K1010),K1010-O1010,"n.a.")</f>
        <v/>
      </c>
    </row>
    <row r="1011" ht="32" customHeight="1">
      <c r="C1011" s="10" t="inlineStr">
        <is>
          <t>PRJ-4a6f9cda-RK-12</t>
        </is>
      </c>
      <c r="D1011" s="10" t="inlineStr">
        <is>
          <t>P4102608258</t>
        </is>
      </c>
      <c r="E1011" s="11" t="inlineStr">
        <is>
          <t>Staubemissionen (höchster Aufwand laut Umfrage)</t>
        </is>
      </c>
      <c r="F1011" s="10" t="inlineStr">
        <is>
          <t>Emissionen</t>
        </is>
      </c>
      <c r="G1011" s="12" t="n">
        <v>0.1</v>
      </c>
      <c r="H1011" s="13" t="n">
        <v>150</v>
      </c>
      <c r="I1011" s="13" t="n">
        <v>300</v>
      </c>
      <c r="J1011" s="13" t="n">
        <v>600</v>
      </c>
      <c r="K1011" s="14">
        <f>IF(OR(COUNT(G1011:J1011)&lt;&gt;4,G1011&lt;0,G1011&gt;1,H1011&gt;I1011,I1011&gt;J1011),"n.a.",ROUND(G1011*(H1011+4*I1011+J1011)/6+0.00000001,2))</f>
        <v/>
      </c>
      <c r="L1011" s="13" t="n">
        <v>0</v>
      </c>
      <c r="M1011" s="14">
        <f>SUMIFS(Maßnahmen!$I$7:$I$126,Maßnahmen!$D$7:$D$126,C1011,Maßnahmen!$H$7:$H$126,"&lt;&gt;verworfen")</f>
        <v/>
      </c>
      <c r="N1011" s="14">
        <f>IF(ISNUMBER(K1011),MAX(0,K1011-L1011-M1011),"n.a.")</f>
        <v/>
      </c>
      <c r="O1011" s="14" t="n">
        <v>32.5</v>
      </c>
      <c r="P1011" s="14">
        <f>IF(ISNUMBER(K1011),K1011-O1011,"n.a.")</f>
        <v/>
      </c>
    </row>
    <row r="1012" ht="32" customHeight="1">
      <c r="C1012" s="10" t="inlineStr">
        <is>
          <t>PRJ-4a6f9cda-RK-13</t>
        </is>
      </c>
      <c r="D1012" s="10" t="inlineStr">
        <is>
          <t>P4102608258</t>
        </is>
      </c>
      <c r="E1012" s="11" t="inlineStr">
        <is>
          <t>Lärm- und Erschütterungsauflagen</t>
        </is>
      </c>
      <c r="F1012" s="10" t="inlineStr">
        <is>
          <t>Emissionen</t>
        </is>
      </c>
      <c r="G1012" s="12" t="n">
        <v>0.2</v>
      </c>
      <c r="H1012" s="13" t="n">
        <v>100</v>
      </c>
      <c r="I1012" s="13" t="n">
        <v>250</v>
      </c>
      <c r="J1012" s="13" t="n">
        <v>500</v>
      </c>
      <c r="K1012" s="14">
        <f>IF(OR(COUNT(G1012:J1012)&lt;&gt;4,G1012&lt;0,G1012&gt;1,H1012&gt;I1012,I1012&gt;J1012),"n.a.",ROUND(G1012*(H1012+4*I1012+J1012)/6+0.00000001,2))</f>
        <v/>
      </c>
      <c r="L1012" s="13" t="n">
        <v>0</v>
      </c>
      <c r="M1012" s="14">
        <f>SUMIFS(Maßnahmen!$I$7:$I$126,Maßnahmen!$D$7:$D$126,C1012,Maßnahmen!$H$7:$H$126,"&lt;&gt;verworfen")</f>
        <v/>
      </c>
      <c r="N1012" s="14">
        <f>IF(ISNUMBER(K1012),MAX(0,K1012-L1012-M1012),"n.a.")</f>
        <v/>
      </c>
      <c r="O1012" s="14" t="n">
        <v>53.33</v>
      </c>
      <c r="P1012" s="14">
        <f>IF(ISNUMBER(K1012),K1012-O1012,"n.a.")</f>
        <v/>
      </c>
    </row>
    <row r="1013" ht="32" customHeight="1">
      <c r="C1013" s="10" t="inlineStr">
        <is>
          <t>PRJ-4a6f9cda-RK-14</t>
        </is>
      </c>
      <c r="D1013" s="10" t="inlineStr">
        <is>
          <t>P4102608258</t>
        </is>
      </c>
      <c r="E1013" s="11" t="inlineStr">
        <is>
          <t>Rechtliche Auflagen / Entsorgungsnachweise (Formalismus)</t>
        </is>
      </c>
      <c r="F1013" s="10" t="inlineStr">
        <is>
          <t>Genehmigung</t>
        </is>
      </c>
      <c r="G1013" s="12" t="n">
        <v>0.4</v>
      </c>
      <c r="H1013" s="13" t="n">
        <v>475</v>
      </c>
      <c r="I1013" s="13" t="n">
        <v>925</v>
      </c>
      <c r="J1013" s="13" t="n">
        <v>1750</v>
      </c>
      <c r="K1013" s="14">
        <f>IF(OR(COUNT(G1013:J1013)&lt;&gt;4,G1013&lt;0,G1013&gt;1,H1013&gt;I1013,I1013&gt;J1013),"n.a.",ROUND(G1013*(H1013+4*I1013+J1013)/6+0.00000001,2))</f>
        <v/>
      </c>
      <c r="L1013" s="13" t="n">
        <v>0</v>
      </c>
      <c r="M1013" s="14">
        <f>SUMIFS(Maßnahmen!$I$7:$I$126,Maßnahmen!$D$7:$D$126,C1013,Maßnahmen!$H$7:$H$126,"&lt;&gt;verworfen")</f>
        <v/>
      </c>
      <c r="N1013" s="14">
        <f>IF(ISNUMBER(K1013),MAX(0,K1013-L1013-M1013),"n.a.")</f>
        <v/>
      </c>
      <c r="O1013" s="14" t="n">
        <v>395</v>
      </c>
      <c r="P1013" s="14">
        <f>IF(ISNUMBER(K1013),K1013-O1013,"n.a.")</f>
        <v/>
      </c>
    </row>
    <row r="1014" ht="32" customHeight="1">
      <c r="C1014" s="10" t="inlineStr">
        <is>
          <t>PRJ-4a6f9cda-RK-15</t>
        </is>
      </c>
      <c r="D1014" s="10" t="inlineStr">
        <is>
          <t>P4102608258</t>
        </is>
      </c>
      <c r="E1014" s="11" t="inlineStr">
        <is>
          <t>Konjunktur / Sekundärstoffpreise &amp; Gerätemiete</t>
        </is>
      </c>
      <c r="F1014" s="10" t="inlineStr">
        <is>
          <t>Markt</t>
        </is>
      </c>
      <c r="G1014" s="12" t="n">
        <v>0.12</v>
      </c>
      <c r="H1014" s="13" t="n">
        <v>40</v>
      </c>
      <c r="I1014" s="13" t="n">
        <v>100</v>
      </c>
      <c r="J1014" s="13" t="n">
        <v>250</v>
      </c>
      <c r="K1014" s="14">
        <f>IF(OR(COUNT(G1014:J1014)&lt;&gt;4,G1014&lt;0,G1014&gt;1,H1014&gt;I1014,I1014&gt;J1014),"n.a.",ROUND(G1014*(H1014+4*I1014+J1014)/6+0.00000001,2))</f>
        <v/>
      </c>
      <c r="L1014" s="13" t="n">
        <v>0</v>
      </c>
      <c r="M1014" s="14">
        <f>SUMIFS(Maßnahmen!$I$7:$I$126,Maßnahmen!$D$7:$D$126,C1014,Maßnahmen!$H$7:$H$126,"&lt;&gt;verworfen")</f>
        <v/>
      </c>
      <c r="N1014" s="14">
        <f>IF(ISNUMBER(K1014),MAX(0,K1014-L1014-M1014),"n.a.")</f>
        <v/>
      </c>
      <c r="O1014" s="14" t="n">
        <v>13.8</v>
      </c>
      <c r="P1014" s="14">
        <f>IF(ISNUMBER(K1014),K1014-O1014,"n.a.")</f>
        <v/>
      </c>
    </row>
    <row r="1015" ht="32" customHeight="1">
      <c r="C1015" s="10" t="inlineStr">
        <is>
          <t>PRJ-52b1cf4f-RK-01</t>
        </is>
      </c>
      <c r="D1015" s="10" t="inlineStr">
        <is>
          <t>P4102157456</t>
        </is>
      </c>
      <c r="E1015" s="11" t="inlineStr">
        <is>
          <t>Schadstofffund / Schadstoffsanierung (Asbest, PAK, PCB, PCP)</t>
        </is>
      </c>
      <c r="F1015" s="10" t="inlineStr">
        <is>
          <t>Schadstoffe</t>
        </is>
      </c>
      <c r="G1015" s="12" t="n">
        <v>0.38</v>
      </c>
      <c r="H1015" s="13" t="n">
        <v>2564</v>
      </c>
      <c r="I1015" s="13" t="n">
        <v>5595</v>
      </c>
      <c r="J1015" s="13" t="n">
        <v>10724</v>
      </c>
      <c r="K1015" s="14">
        <f>IF(OR(COUNT(G1015:J1015)&lt;&gt;4,G1015&lt;0,G1015&gt;1,H1015&gt;I1015,I1015&gt;J1015),"n.a.",ROUND(G1015*(H1015+4*I1015+J1015)/6+0.00000001,2))</f>
        <v/>
      </c>
      <c r="L1015" s="13" t="n">
        <v>0</v>
      </c>
      <c r="M1015" s="14">
        <f>SUMIFS(Maßnahmen!$I$7:$I$126,Maßnahmen!$D$7:$D$126,C1015,Maßnahmen!$H$7:$H$126,"&lt;&gt;verworfen")</f>
        <v/>
      </c>
      <c r="N1015" s="14">
        <f>IF(ISNUMBER(K1015),MAX(0,K1015-L1015-M1015),"n.a.")</f>
        <v/>
      </c>
      <c r="O1015" s="14" t="n">
        <v>2258.97</v>
      </c>
      <c r="P1015" s="14">
        <f>IF(ISNUMBER(K1015),K1015-O1015,"n.a.")</f>
        <v/>
      </c>
    </row>
    <row r="1016" ht="32" customHeight="1">
      <c r="C1016" s="10" t="inlineStr">
        <is>
          <t>PRJ-52b1cf4f-RK-02</t>
        </is>
      </c>
      <c r="D1016" s="10" t="inlineStr">
        <is>
          <t>P4102157456</t>
        </is>
      </c>
      <c r="E1016" s="11" t="inlineStr">
        <is>
          <t>Arbeitsschutz kontaminierte Bereiche (TRGS 524)</t>
        </is>
      </c>
      <c r="F1016" s="10" t="inlineStr">
        <is>
          <t>Schadstoffe</t>
        </is>
      </c>
      <c r="G1016" s="12" t="n">
        <v>0.55</v>
      </c>
      <c r="H1016" s="13" t="n">
        <v>24498</v>
      </c>
      <c r="I1016" s="13" t="n">
        <v>31497</v>
      </c>
      <c r="J1016" s="13" t="n">
        <v>45496</v>
      </c>
      <c r="K1016" s="14">
        <f>IF(OR(COUNT(G1016:J1016)&lt;&gt;4,G1016&lt;0,G1016&gt;1,H1016&gt;I1016,I1016&gt;J1016),"n.a.",ROUND(G1016*(H1016+4*I1016+J1016)/6+0.00000001,2))</f>
        <v/>
      </c>
      <c r="L1016" s="13" t="n">
        <v>0</v>
      </c>
      <c r="M1016" s="14">
        <f>SUMIFS(Maßnahmen!$I$7:$I$126,Maßnahmen!$D$7:$D$126,C1016,Maßnahmen!$H$7:$H$126,"&lt;&gt;verworfen")</f>
        <v/>
      </c>
      <c r="N1016" s="14">
        <f>IF(ISNUMBER(K1016),MAX(0,K1016-L1016-M1016),"n.a.")</f>
        <v/>
      </c>
      <c r="O1016" s="14" t="n">
        <v>17965.02</v>
      </c>
      <c r="P1016" s="14">
        <f>IF(ISNUMBER(K1016),K1016-O1016,"n.a.")</f>
        <v/>
      </c>
    </row>
    <row r="1017" ht="32" customHeight="1">
      <c r="C1017" s="10" t="inlineStr">
        <is>
          <t>PRJ-40724224-RK-05</t>
        </is>
      </c>
      <c r="D1017" s="10" t="inlineStr">
        <is>
          <t>W4102154611</t>
        </is>
      </c>
      <c r="E1017" s="11" t="inlineStr">
        <is>
          <t>Unbekannte Bauwerkskonstruktion / fehlende Pläne</t>
        </is>
      </c>
      <c r="F1017" s="10" t="inlineStr">
        <is>
          <t>Statik</t>
        </is>
      </c>
      <c r="G1017" s="12" t="n">
        <v>0.12</v>
      </c>
      <c r="H1017" s="13" t="n">
        <v>68</v>
      </c>
      <c r="I1017" s="13" t="n">
        <v>136</v>
      </c>
      <c r="J1017" s="13" t="n">
        <v>310</v>
      </c>
      <c r="K1017" s="14">
        <f>IF(OR(COUNT(G1017:J1017)&lt;&gt;4,G1017&lt;0,G1017&gt;1,H1017&gt;I1017,I1017&gt;J1017),"n.a.",ROUND(G1017*(H1017+4*I1017+J1017)/6+0.00000001,2))</f>
        <v/>
      </c>
      <c r="L1017" s="13" t="n">
        <v>0</v>
      </c>
      <c r="M1017" s="14">
        <f>SUMIFS(Maßnahmen!$I$7:$I$126,Maßnahmen!$D$7:$D$126,C1017,Maßnahmen!$H$7:$H$126,"&lt;&gt;verworfen")</f>
        <v/>
      </c>
      <c r="N1017" s="14">
        <f>IF(ISNUMBER(K1017),MAX(0,K1017-L1017-M1017),"n.a.")</f>
        <v/>
      </c>
      <c r="O1017" s="14" t="n">
        <v>18.44</v>
      </c>
      <c r="P1017" s="14">
        <f>IF(ISNUMBER(K1017),K1017-O1017,"n.a.")</f>
        <v/>
      </c>
    </row>
    <row r="1018" ht="32" customHeight="1">
      <c r="C1018" s="10" t="inlineStr">
        <is>
          <t>PRJ-40724224-RK-06</t>
        </is>
      </c>
      <c r="D1018" s="10" t="inlineStr">
        <is>
          <t>W4102154611</t>
        </is>
      </c>
      <c r="E1018" s="11" t="inlineStr">
        <is>
          <t>Statik / Einsturzsicherung während Abbruch</t>
        </is>
      </c>
      <c r="F1018" s="10" t="inlineStr">
        <is>
          <t>Statik</t>
        </is>
      </c>
      <c r="G1018" s="12" t="n">
        <v>0.12</v>
      </c>
      <c r="H1018" s="13" t="n">
        <v>408</v>
      </c>
      <c r="I1018" s="13" t="n">
        <v>951</v>
      </c>
      <c r="J1018" s="13" t="n">
        <v>1902</v>
      </c>
      <c r="K1018" s="14">
        <f>IF(OR(COUNT(G1018:J1018)&lt;&gt;4,G1018&lt;0,G1018&gt;1,H1018&gt;I1018,I1018&gt;J1018),"n.a.",ROUND(G1018*(H1018+4*I1018+J1018)/6+0.00000001,2))</f>
        <v/>
      </c>
      <c r="L1018" s="13" t="n">
        <v>0</v>
      </c>
      <c r="M1018" s="14">
        <f>SUMIFS(Maßnahmen!$I$7:$I$126,Maßnahmen!$D$7:$D$126,C1018,Maßnahmen!$H$7:$H$126,"&lt;&gt;verworfen")</f>
        <v/>
      </c>
      <c r="N1018" s="14">
        <f>IF(ISNUMBER(K1018),MAX(0,K1018-L1018-M1018),"n.a.")</f>
        <v/>
      </c>
      <c r="O1018" s="14" t="n">
        <v>122.28</v>
      </c>
      <c r="P1018" s="14">
        <f>IF(ISNUMBER(K1018),K1018-O1018,"n.a.")</f>
        <v/>
      </c>
    </row>
    <row r="1019" ht="32" customHeight="1">
      <c r="C1019" s="10" t="inlineStr">
        <is>
          <t>PRJ-40724224-RK-07</t>
        </is>
      </c>
      <c r="D1019" s="10" t="inlineStr">
        <is>
          <t>W4102154611</t>
        </is>
      </c>
      <c r="E1019" s="11" t="inlineStr">
        <is>
          <t>Unterirdische Tragkonstruktion / Fundamente</t>
        </is>
      </c>
      <c r="F1019" s="10" t="inlineStr">
        <is>
          <t>Statik</t>
        </is>
      </c>
      <c r="G1019" s="12" t="n">
        <v>0.5</v>
      </c>
      <c r="H1019" s="13" t="n">
        <v>68</v>
      </c>
      <c r="I1019" s="13" t="n">
        <v>272</v>
      </c>
      <c r="J1019" s="13" t="n">
        <v>679</v>
      </c>
      <c r="K1019" s="14">
        <f>IF(OR(COUNT(G1019:J1019)&lt;&gt;4,G1019&lt;0,G1019&gt;1,H1019&gt;I1019,I1019&gt;J1019),"n.a.",ROUND(G1019*(H1019+4*I1019+J1019)/6+0.00000001,2))</f>
        <v/>
      </c>
      <c r="L1019" s="13" t="n">
        <v>0</v>
      </c>
      <c r="M1019" s="14">
        <f>SUMIFS(Maßnahmen!$I$7:$I$126,Maßnahmen!$D$7:$D$126,C1019,Maßnahmen!$H$7:$H$126,"&lt;&gt;verworfen")</f>
        <v/>
      </c>
      <c r="N1019" s="14">
        <f>IF(ISNUMBER(K1019),MAX(0,K1019-L1019-M1019),"n.a.")</f>
        <v/>
      </c>
      <c r="O1019" s="14" t="n">
        <v>152.92</v>
      </c>
      <c r="P1019" s="14">
        <f>IF(ISNUMBER(K1019),K1019-O1019,"n.a.")</f>
        <v/>
      </c>
    </row>
    <row r="1020" ht="32" customHeight="1">
      <c r="C1020" s="10" t="inlineStr">
        <is>
          <t>PRJ-52b1cf4f-RK-04</t>
        </is>
      </c>
      <c r="D1020" s="10" t="inlineStr">
        <is>
          <t>P4102157456</t>
        </is>
      </c>
      <c r="E1020" s="11" t="inlineStr">
        <is>
          <t>Baustofftrennung / Aufbereitung nicht wie geplant</t>
        </is>
      </c>
      <c r="F1020" s="10" t="inlineStr">
        <is>
          <t>Entsorgung</t>
        </is>
      </c>
      <c r="G1020" s="12" t="n">
        <v>0.08</v>
      </c>
      <c r="H1020" s="13" t="n">
        <v>350</v>
      </c>
      <c r="I1020" s="13" t="n">
        <v>700</v>
      </c>
      <c r="J1020" s="13" t="n">
        <v>1400</v>
      </c>
      <c r="K1020" s="14">
        <f>IF(OR(COUNT(G1020:J1020)&lt;&gt;4,G1020&lt;0,G1020&gt;1,H1020&gt;I1020,I1020&gt;J1020),"n.a.",ROUND(G1020*(H1020+4*I1020+J1020)/6+0.00000001,2))</f>
        <v/>
      </c>
      <c r="L1020" s="13" t="n">
        <v>0</v>
      </c>
      <c r="M1020" s="14">
        <f>SUMIFS(Maßnahmen!$I$7:$I$126,Maßnahmen!$D$7:$D$126,C1020,Maßnahmen!$H$7:$H$126,"&lt;&gt;verworfen")</f>
        <v/>
      </c>
      <c r="N1020" s="14">
        <f>IF(ISNUMBER(K1020),MAX(0,K1020-L1020-M1020),"n.a.")</f>
        <v/>
      </c>
      <c r="O1020" s="14" t="n">
        <v>60.67</v>
      </c>
      <c r="P1020" s="14">
        <f>IF(ISNUMBER(K1020),K1020-O1020,"n.a.")</f>
        <v/>
      </c>
    </row>
    <row r="1021" ht="32" customHeight="1">
      <c r="C1021" s="10" t="inlineStr">
        <is>
          <t>PRJ-52b1cf4f-RK-10</t>
        </is>
      </c>
      <c r="D1021" s="10" t="inlineStr">
        <is>
          <t>P4102157456</t>
        </is>
      </c>
      <c r="E1021" s="11" t="inlineStr">
        <is>
          <t>Terminvorgabe Auftraggeber / Geräteauslastung</t>
        </is>
      </c>
      <c r="F1021" s="10" t="inlineStr">
        <is>
          <t>Termin</t>
        </is>
      </c>
      <c r="G1021" s="12" t="n">
        <v>0.4</v>
      </c>
      <c r="H1021" s="13" t="n">
        <v>3730</v>
      </c>
      <c r="I1021" s="13" t="n">
        <v>6155</v>
      </c>
      <c r="J1021" s="13" t="n">
        <v>11425</v>
      </c>
      <c r="K1021" s="14">
        <f>IF(OR(COUNT(G1021:J1021)&lt;&gt;4,G1021&lt;0,G1021&gt;1,H1021&gt;I1021,I1021&gt;J1021),"n.a.",ROUND(G1021*(H1021+4*I1021+J1021)/6+0.00000001,2))</f>
        <v/>
      </c>
      <c r="L1021" s="13" t="n">
        <v>0</v>
      </c>
      <c r="M1021" s="14">
        <f>SUMIFS(Maßnahmen!$I$7:$I$126,Maßnahmen!$D$7:$D$126,C1021,Maßnahmen!$H$7:$H$126,"&lt;&gt;verworfen")</f>
        <v/>
      </c>
      <c r="N1021" s="14">
        <f>IF(ISNUMBER(K1021),MAX(0,K1021-L1021-M1021),"n.a.")</f>
        <v/>
      </c>
      <c r="O1021" s="14" t="n">
        <v>2651.67</v>
      </c>
      <c r="P1021" s="14">
        <f>IF(ISNUMBER(K1021),K1021-O1021,"n.a.")</f>
        <v/>
      </c>
    </row>
    <row r="1022" ht="32" customHeight="1">
      <c r="C1022" s="10" t="inlineStr">
        <is>
          <t>PRJ-52b1cf4f-RK-11</t>
        </is>
      </c>
      <c r="D1022" s="10" t="inlineStr">
        <is>
          <t>P4102157456</t>
        </is>
      </c>
      <c r="E1022" s="11" t="inlineStr">
        <is>
          <t>Witterung / Ablaufstörung</t>
        </is>
      </c>
      <c r="F1022" s="10" t="inlineStr">
        <is>
          <t>Termin</t>
        </is>
      </c>
      <c r="G1022" s="12" t="n">
        <v>0.25</v>
      </c>
      <c r="H1022" s="13" t="n">
        <v>700</v>
      </c>
      <c r="I1022" s="13" t="n">
        <v>2100</v>
      </c>
      <c r="J1022" s="13" t="n">
        <v>4200</v>
      </c>
      <c r="K1022" s="14">
        <f>IF(OR(COUNT(G1022:J1022)&lt;&gt;4,G1022&lt;0,G1022&gt;1,H1022&gt;I1022,I1022&gt;J1022),"n.a.",ROUND(G1022*(H1022+4*I1022+J1022)/6+0.00000001,2))</f>
        <v/>
      </c>
      <c r="L1022" s="13" t="n">
        <v>0</v>
      </c>
      <c r="M1022" s="14">
        <f>SUMIFS(Maßnahmen!$I$7:$I$126,Maßnahmen!$D$7:$D$126,C1022,Maßnahmen!$H$7:$H$126,"&lt;&gt;verworfen")</f>
        <v/>
      </c>
      <c r="N1022" s="14">
        <f>IF(ISNUMBER(K1022),MAX(0,K1022-L1022-M1022),"n.a.")</f>
        <v/>
      </c>
      <c r="O1022" s="14" t="n">
        <v>554.17</v>
      </c>
      <c r="P1022" s="14">
        <f>IF(ISNUMBER(K1022),K1022-O1022,"n.a.")</f>
        <v/>
      </c>
    </row>
    <row r="1023" ht="32" customHeight="1">
      <c r="C1023" s="10" t="inlineStr">
        <is>
          <t>PRJ-52b1cf4f-RK-12</t>
        </is>
      </c>
      <c r="D1023" s="10" t="inlineStr">
        <is>
          <t>P4102157456</t>
        </is>
      </c>
      <c r="E1023" s="11" t="inlineStr">
        <is>
          <t>Staubemissionen (höchster Aufwand laut Umfrage)</t>
        </is>
      </c>
      <c r="F1023" s="10" t="inlineStr">
        <is>
          <t>Emissionen</t>
        </is>
      </c>
      <c r="G1023" s="12" t="n">
        <v>0.1</v>
      </c>
      <c r="H1023" s="13" t="n">
        <v>2100</v>
      </c>
      <c r="I1023" s="13" t="n">
        <v>4200</v>
      </c>
      <c r="J1023" s="13" t="n">
        <v>8399</v>
      </c>
      <c r="K1023" s="14">
        <f>IF(OR(COUNT(G1023:J1023)&lt;&gt;4,G1023&lt;0,G1023&gt;1,H1023&gt;I1023,I1023&gt;J1023),"n.a.",ROUND(G1023*(H1023+4*I1023+J1023)/6+0.00000001,2))</f>
        <v/>
      </c>
      <c r="L1023" s="13" t="n">
        <v>0</v>
      </c>
      <c r="M1023" s="14">
        <f>SUMIFS(Maßnahmen!$I$7:$I$126,Maßnahmen!$D$7:$D$126,C1023,Maßnahmen!$H$7:$H$126,"&lt;&gt;verworfen")</f>
        <v/>
      </c>
      <c r="N1023" s="14">
        <f>IF(ISNUMBER(K1023),MAX(0,K1023-L1023-M1023),"n.a.")</f>
        <v/>
      </c>
      <c r="O1023" s="14" t="n">
        <v>454.98</v>
      </c>
      <c r="P1023" s="14">
        <f>IF(ISNUMBER(K1023),K1023-O1023,"n.a.")</f>
        <v/>
      </c>
    </row>
    <row r="1024" ht="32" customHeight="1">
      <c r="C1024" s="10" t="inlineStr">
        <is>
          <t>PRJ-52b1cf4f-RK-15</t>
        </is>
      </c>
      <c r="D1024" s="10" t="inlineStr">
        <is>
          <t>P4102157456</t>
        </is>
      </c>
      <c r="E1024" s="11" t="inlineStr">
        <is>
          <t>Konjunktur / Sekundärstoffpreise &amp; Gerätemiete</t>
        </is>
      </c>
      <c r="F1024" s="10" t="inlineStr">
        <is>
          <t>Markt</t>
        </is>
      </c>
      <c r="G1024" s="12" t="n">
        <v>0.12</v>
      </c>
      <c r="H1024" s="13" t="n">
        <v>560</v>
      </c>
      <c r="I1024" s="13" t="n">
        <v>1400</v>
      </c>
      <c r="J1024" s="13" t="n">
        <v>3500</v>
      </c>
      <c r="K1024" s="14">
        <f>IF(OR(COUNT(G1024:J1024)&lt;&gt;4,G1024&lt;0,G1024&gt;1,H1024&gt;I1024,I1024&gt;J1024),"n.a.",ROUND(G1024*(H1024+4*I1024+J1024)/6+0.00000001,2))</f>
        <v/>
      </c>
      <c r="L1024" s="13" t="n">
        <v>0</v>
      </c>
      <c r="M1024" s="14">
        <f>SUMIFS(Maßnahmen!$I$7:$I$126,Maßnahmen!$D$7:$D$126,C1024,Maßnahmen!$H$7:$H$126,"&lt;&gt;verworfen")</f>
        <v/>
      </c>
      <c r="N1024" s="14">
        <f>IF(ISNUMBER(K1024),MAX(0,K1024-L1024-M1024),"n.a.")</f>
        <v/>
      </c>
      <c r="O1024" s="14" t="n">
        <v>193.2</v>
      </c>
      <c r="P1024" s="14">
        <f>IF(ISNUMBER(K1024),K1024-O1024,"n.a.")</f>
        <v/>
      </c>
    </row>
    <row r="1025" ht="32" customHeight="1">
      <c r="C1025" s="10" t="inlineStr">
        <is>
          <t>PRJ-4a6f9ca4-RK-01</t>
        </is>
      </c>
      <c r="D1025" s="10" t="inlineStr">
        <is>
          <t>P4102608270</t>
        </is>
      </c>
      <c r="E1025" s="11" t="inlineStr">
        <is>
          <t>Schadstofffund / Schadstoffsanierung (Asbest, PAK, PCB, PCP)</t>
        </is>
      </c>
      <c r="F1025" s="10" t="inlineStr">
        <is>
          <t>Schadstoffe</t>
        </is>
      </c>
      <c r="G1025" s="12" t="n">
        <v>0.1</v>
      </c>
      <c r="H1025" s="13" t="n">
        <v>425</v>
      </c>
      <c r="I1025" s="13" t="n">
        <v>1063</v>
      </c>
      <c r="J1025" s="13" t="n">
        <v>2126</v>
      </c>
      <c r="K1025" s="14">
        <f>IF(OR(COUNT(G1025:J1025)&lt;&gt;4,G1025&lt;0,G1025&gt;1,H1025&gt;I1025,I1025&gt;J1025),"n.a.",ROUND(G1025*(H1025+4*I1025+J1025)/6+0.00000001,2))</f>
        <v/>
      </c>
      <c r="L1025" s="13" t="n">
        <v>0</v>
      </c>
      <c r="M1025" s="14">
        <f>SUMIFS(Maßnahmen!$I$7:$I$126,Maßnahmen!$D$7:$D$126,C1025,Maßnahmen!$H$7:$H$126,"&lt;&gt;verworfen")</f>
        <v/>
      </c>
      <c r="N1025" s="14">
        <f>IF(ISNUMBER(K1025),MAX(0,K1025-L1025-M1025),"n.a.")</f>
        <v/>
      </c>
      <c r="O1025" s="14" t="n">
        <v>113.38</v>
      </c>
      <c r="P1025" s="14">
        <f>IF(ISNUMBER(K1025),K1025-O1025,"n.a.")</f>
        <v/>
      </c>
    </row>
    <row r="1026" ht="32" customHeight="1">
      <c r="C1026" s="10" t="inlineStr">
        <is>
          <t>PRJ-4a6f9ca4-RK-04</t>
        </is>
      </c>
      <c r="D1026" s="10" t="inlineStr">
        <is>
          <t>P4102608270</t>
        </is>
      </c>
      <c r="E1026" s="11" t="inlineStr">
        <is>
          <t>Baustofftrennung / Aufbereitung nicht wie geplant</t>
        </is>
      </c>
      <c r="F1026" s="10" t="inlineStr">
        <is>
          <t>Entsorgung</t>
        </is>
      </c>
      <c r="G1026" s="12" t="n">
        <v>0.08</v>
      </c>
      <c r="H1026" s="13" t="n">
        <v>106</v>
      </c>
      <c r="I1026" s="13" t="n">
        <v>213</v>
      </c>
      <c r="J1026" s="13" t="n">
        <v>425</v>
      </c>
      <c r="K1026" s="14">
        <f>IF(OR(COUNT(G1026:J1026)&lt;&gt;4,G1026&lt;0,G1026&gt;1,H1026&gt;I1026,I1026&gt;J1026),"n.a.",ROUND(G1026*(H1026+4*I1026+J1026)/6+0.00000001,2))</f>
        <v/>
      </c>
      <c r="L1026" s="13" t="n">
        <v>0</v>
      </c>
      <c r="M1026" s="14">
        <f>SUMIFS(Maßnahmen!$I$7:$I$126,Maßnahmen!$D$7:$D$126,C1026,Maßnahmen!$H$7:$H$126,"&lt;&gt;verworfen")</f>
        <v/>
      </c>
      <c r="N1026" s="14">
        <f>IF(ISNUMBER(K1026),MAX(0,K1026-L1026-M1026),"n.a.")</f>
        <v/>
      </c>
      <c r="O1026" s="14" t="n">
        <v>18.44</v>
      </c>
      <c r="P1026" s="14">
        <f>IF(ISNUMBER(K1026),K1026-O1026,"n.a.")</f>
        <v/>
      </c>
    </row>
    <row r="1027" ht="32" customHeight="1">
      <c r="C1027" s="10" t="inlineStr">
        <is>
          <t>PRJ-4a6f9ca4-RK-10</t>
        </is>
      </c>
      <c r="D1027" s="10" t="inlineStr">
        <is>
          <t>P4102608270</t>
        </is>
      </c>
      <c r="E1027" s="11" t="inlineStr">
        <is>
          <t>Terminvorgabe Auftraggeber / Geräteauslastung</t>
        </is>
      </c>
      <c r="F1027" s="10" t="inlineStr">
        <is>
          <t>Termin</t>
        </is>
      </c>
      <c r="G1027" s="12" t="n">
        <v>0.08</v>
      </c>
      <c r="H1027" s="13" t="n">
        <v>106</v>
      </c>
      <c r="I1027" s="13" t="n">
        <v>213</v>
      </c>
      <c r="J1027" s="13" t="n">
        <v>425</v>
      </c>
      <c r="K1027" s="14">
        <f>IF(OR(COUNT(G1027:J1027)&lt;&gt;4,G1027&lt;0,G1027&gt;1,H1027&gt;I1027,I1027&gt;J1027),"n.a.",ROUND(G1027*(H1027+4*I1027+J1027)/6+0.00000001,2))</f>
        <v/>
      </c>
      <c r="L1027" s="13" t="n">
        <v>0</v>
      </c>
      <c r="M1027" s="14">
        <f>SUMIFS(Maßnahmen!$I$7:$I$126,Maßnahmen!$D$7:$D$126,C1027,Maßnahmen!$H$7:$H$126,"&lt;&gt;verworfen")</f>
        <v/>
      </c>
      <c r="N1027" s="14">
        <f>IF(ISNUMBER(K1027),MAX(0,K1027-L1027-M1027),"n.a.")</f>
        <v/>
      </c>
      <c r="O1027" s="14" t="n">
        <v>18.44</v>
      </c>
      <c r="P1027" s="14">
        <f>IF(ISNUMBER(K1027),K1027-O1027,"n.a.")</f>
        <v/>
      </c>
    </row>
    <row r="1028" ht="32" customHeight="1">
      <c r="C1028" s="10" t="inlineStr">
        <is>
          <t>PRJ-4a6f9ca4-RK-15</t>
        </is>
      </c>
      <c r="D1028" s="10" t="inlineStr">
        <is>
          <t>P4102608270</t>
        </is>
      </c>
      <c r="E1028" s="11" t="inlineStr">
        <is>
          <t>Konjunktur / Sekundärstoffpreise &amp; Gerätemiete</t>
        </is>
      </c>
      <c r="F1028" s="10" t="inlineStr">
        <is>
          <t>Markt</t>
        </is>
      </c>
      <c r="G1028" s="12" t="n">
        <v>0.12</v>
      </c>
      <c r="H1028" s="13" t="n">
        <v>170</v>
      </c>
      <c r="I1028" s="13" t="n">
        <v>425</v>
      </c>
      <c r="J1028" s="13" t="n">
        <v>1063</v>
      </c>
      <c r="K1028" s="14">
        <f>IF(OR(COUNT(G1028:J1028)&lt;&gt;4,G1028&lt;0,G1028&gt;1,H1028&gt;I1028,I1028&gt;J1028),"n.a.",ROUND(G1028*(H1028+4*I1028+J1028)/6+0.00000001,2))</f>
        <v/>
      </c>
      <c r="L1028" s="13" t="n">
        <v>0</v>
      </c>
      <c r="M1028" s="14">
        <f>SUMIFS(Maßnahmen!$I$7:$I$126,Maßnahmen!$D$7:$D$126,C1028,Maßnahmen!$H$7:$H$126,"&lt;&gt;verworfen")</f>
        <v/>
      </c>
      <c r="N1028" s="14">
        <f>IF(ISNUMBER(K1028),MAX(0,K1028-L1028-M1028),"n.a.")</f>
        <v/>
      </c>
      <c r="O1028" s="14" t="n">
        <v>58.66</v>
      </c>
      <c r="P1028" s="14">
        <f>IF(ISNUMBER(K1028),K1028-O1028,"n.a.")</f>
        <v/>
      </c>
    </row>
    <row r="1029" ht="32" customHeight="1">
      <c r="C1029" s="10" t="inlineStr">
        <is>
          <t>PRJ-4f8e93d9-RK-01</t>
        </is>
      </c>
      <c r="D1029" s="10" t="inlineStr">
        <is>
          <t>P4102307431</t>
        </is>
      </c>
      <c r="E1029" s="11" t="inlineStr">
        <is>
          <t>Schadstofffund / Schadstoffsanierung (Asbest, PAK, PCB, PCP)</t>
        </is>
      </c>
      <c r="F1029" s="10" t="inlineStr">
        <is>
          <t>Schadstoffe</t>
        </is>
      </c>
      <c r="G1029" s="12" t="n">
        <v>0.7</v>
      </c>
      <c r="H1029" s="13" t="n">
        <v>1750</v>
      </c>
      <c r="I1029" s="13" t="n">
        <v>2250</v>
      </c>
      <c r="J1029" s="13" t="n">
        <v>3250</v>
      </c>
      <c r="K1029" s="14">
        <f>IF(OR(COUNT(G1029:J1029)&lt;&gt;4,G1029&lt;0,G1029&gt;1,H1029&gt;I1029,I1029&gt;J1029),"n.a.",ROUND(G1029*(H1029+4*I1029+J1029)/6+0.00000001,2))</f>
        <v/>
      </c>
      <c r="L1029" s="13" t="n">
        <v>0</v>
      </c>
      <c r="M1029" s="14">
        <f>SUMIFS(Maßnahmen!$I$7:$I$126,Maßnahmen!$D$7:$D$126,C1029,Maßnahmen!$H$7:$H$126,"&lt;&gt;verworfen")</f>
        <v/>
      </c>
      <c r="N1029" s="14">
        <f>IF(ISNUMBER(K1029),MAX(0,K1029-L1029-M1029),"n.a.")</f>
        <v/>
      </c>
      <c r="O1029" s="14" t="n">
        <v>1633.33</v>
      </c>
      <c r="P1029" s="14">
        <f>IF(ISNUMBER(K1029),K1029-O1029,"n.a.")</f>
        <v/>
      </c>
    </row>
    <row r="1030" ht="32" customHeight="1">
      <c r="C1030" s="10" t="inlineStr">
        <is>
          <t>PRJ-4f8e93d9-RK-02</t>
        </is>
      </c>
      <c r="D1030" s="10" t="inlineStr">
        <is>
          <t>P4102307431</t>
        </is>
      </c>
      <c r="E1030" s="11" t="inlineStr">
        <is>
          <t>Arbeitsschutz kontaminierte Bereiche (TRGS 524)</t>
        </is>
      </c>
      <c r="F1030" s="10" t="inlineStr">
        <is>
          <t>Schadstoffe</t>
        </is>
      </c>
      <c r="G1030" s="12" t="n">
        <v>0.47</v>
      </c>
      <c r="H1030" s="13" t="n">
        <v>100</v>
      </c>
      <c r="I1030" s="13" t="n">
        <v>250</v>
      </c>
      <c r="J1030" s="13" t="n">
        <v>500</v>
      </c>
      <c r="K1030" s="14">
        <f>IF(OR(COUNT(G1030:J1030)&lt;&gt;4,G1030&lt;0,G1030&gt;1,H1030&gt;I1030,I1030&gt;J1030),"n.a.",ROUND(G1030*(H1030+4*I1030+J1030)/6+0.00000001,2))</f>
        <v/>
      </c>
      <c r="L1030" s="13" t="n">
        <v>0</v>
      </c>
      <c r="M1030" s="14">
        <f>SUMIFS(Maßnahmen!$I$7:$I$126,Maßnahmen!$D$7:$D$126,C1030,Maßnahmen!$H$7:$H$126,"&lt;&gt;verworfen")</f>
        <v/>
      </c>
      <c r="N1030" s="14">
        <f>IF(ISNUMBER(K1030),MAX(0,K1030-L1030-M1030),"n.a.")</f>
        <v/>
      </c>
      <c r="O1030" s="14" t="n">
        <v>125.33</v>
      </c>
      <c r="P1030" s="14">
        <f>IF(ISNUMBER(K1030),K1030-O1030,"n.a.")</f>
        <v/>
      </c>
    </row>
    <row r="1031" ht="32" customHeight="1">
      <c r="C1031" s="10" t="inlineStr">
        <is>
          <t>PRJ-4f8e93d9-RK-03</t>
        </is>
      </c>
      <c r="D1031" s="10" t="inlineStr">
        <is>
          <t>P4102307431</t>
        </is>
      </c>
      <c r="E1031" s="11" t="inlineStr">
        <is>
          <t>Entsorgungs-Mehrkosten / Entsorgungswege</t>
        </is>
      </c>
      <c r="F1031" s="10" t="inlineStr">
        <is>
          <t>Entsorgung</t>
        </is>
      </c>
      <c r="G1031" s="12" t="n">
        <v>0.27</v>
      </c>
      <c r="H1031" s="13" t="n">
        <v>100</v>
      </c>
      <c r="I1031" s="13" t="n">
        <v>250</v>
      </c>
      <c r="J1031" s="13" t="n">
        <v>500</v>
      </c>
      <c r="K1031" s="14">
        <f>IF(OR(COUNT(G1031:J1031)&lt;&gt;4,G1031&lt;0,G1031&gt;1,H1031&gt;I1031,I1031&gt;J1031),"n.a.",ROUND(G1031*(H1031+4*I1031+J1031)/6+0.00000001,2))</f>
        <v/>
      </c>
      <c r="L1031" s="13" t="n">
        <v>0</v>
      </c>
      <c r="M1031" s="14">
        <f>SUMIFS(Maßnahmen!$I$7:$I$126,Maßnahmen!$D$7:$D$126,C1031,Maßnahmen!$H$7:$H$126,"&lt;&gt;verworfen")</f>
        <v/>
      </c>
      <c r="N1031" s="14">
        <f>IF(ISNUMBER(K1031),MAX(0,K1031-L1031-M1031),"n.a.")</f>
        <v/>
      </c>
      <c r="O1031" s="14" t="n">
        <v>72</v>
      </c>
      <c r="P1031" s="14">
        <f>IF(ISNUMBER(K1031),K1031-O1031,"n.a.")</f>
        <v/>
      </c>
    </row>
    <row r="1032" ht="32" customHeight="1">
      <c r="C1032" s="10" t="inlineStr">
        <is>
          <t>PRJ-4f8e93d9-RK-04</t>
        </is>
      </c>
      <c r="D1032" s="10" t="inlineStr">
        <is>
          <t>P4102307431</t>
        </is>
      </c>
      <c r="E1032" s="11" t="inlineStr">
        <is>
          <t>Baustofftrennung / Aufbereitung nicht wie geplant</t>
        </is>
      </c>
      <c r="F1032" s="10" t="inlineStr">
        <is>
          <t>Entsorgung</t>
        </is>
      </c>
      <c r="G1032" s="12" t="n">
        <v>0.1</v>
      </c>
      <c r="H1032" s="13" t="n">
        <v>100</v>
      </c>
      <c r="I1032" s="13" t="n">
        <v>250</v>
      </c>
      <c r="J1032" s="13" t="n">
        <v>500</v>
      </c>
      <c r="K1032" s="14">
        <f>IF(OR(COUNT(G1032:J1032)&lt;&gt;4,G1032&lt;0,G1032&gt;1,H1032&gt;I1032,I1032&gt;J1032),"n.a.",ROUND(G1032*(H1032+4*I1032+J1032)/6+0.00000001,2))</f>
        <v/>
      </c>
      <c r="L1032" s="13" t="n">
        <v>0</v>
      </c>
      <c r="M1032" s="14">
        <f>SUMIFS(Maßnahmen!$I$7:$I$126,Maßnahmen!$D$7:$D$126,C1032,Maßnahmen!$H$7:$H$126,"&lt;&gt;verworfen")</f>
        <v/>
      </c>
      <c r="N1032" s="14">
        <f>IF(ISNUMBER(K1032),MAX(0,K1032-L1032-M1032),"n.a.")</f>
        <v/>
      </c>
      <c r="O1032" s="14" t="n">
        <v>26.67</v>
      </c>
      <c r="P1032" s="14">
        <f>IF(ISNUMBER(K1032),K1032-O1032,"n.a.")</f>
        <v/>
      </c>
    </row>
    <row r="1033" ht="32" customHeight="1">
      <c r="C1033" s="10" t="inlineStr">
        <is>
          <t>PRJ-4f8e93d9-RK-05</t>
        </is>
      </c>
      <c r="D1033" s="10" t="inlineStr">
        <is>
          <t>P4102307431</t>
        </is>
      </c>
      <c r="E1033" s="11" t="inlineStr">
        <is>
          <t>Unbekannte Bauwerkskonstruktion / fehlende Pläne</t>
        </is>
      </c>
      <c r="F1033" s="10" t="inlineStr">
        <is>
          <t>Statik</t>
        </is>
      </c>
      <c r="G1033" s="12" t="n">
        <v>0.12</v>
      </c>
      <c r="H1033" s="13" t="n">
        <v>200</v>
      </c>
      <c r="I1033" s="13" t="n">
        <v>400</v>
      </c>
      <c r="J1033" s="13" t="n">
        <v>750</v>
      </c>
      <c r="K1033" s="14">
        <f>IF(OR(COUNT(G1033:J1033)&lt;&gt;4,G1033&lt;0,G1033&gt;1,H1033&gt;I1033,I1033&gt;J1033),"n.a.",ROUND(G1033*(H1033+4*I1033+J1033)/6+0.00000001,2))</f>
        <v/>
      </c>
      <c r="L1033" s="13" t="n">
        <v>0</v>
      </c>
      <c r="M1033" s="14">
        <f>SUMIFS(Maßnahmen!$I$7:$I$126,Maßnahmen!$D$7:$D$126,C1033,Maßnahmen!$H$7:$H$126,"&lt;&gt;verworfen")</f>
        <v/>
      </c>
      <c r="N1033" s="14">
        <f>IF(ISNUMBER(K1033),MAX(0,K1033-L1033-M1033),"n.a.")</f>
        <v/>
      </c>
      <c r="O1033" s="14" t="n">
        <v>51</v>
      </c>
      <c r="P1033" s="14">
        <f>IF(ISNUMBER(K1033),K1033-O1033,"n.a.")</f>
        <v/>
      </c>
    </row>
    <row r="1034" ht="32" customHeight="1">
      <c r="C1034" s="10" t="inlineStr">
        <is>
          <t>PRJ-4f8e93d9-RK-06</t>
        </is>
      </c>
      <c r="D1034" s="10" t="inlineStr">
        <is>
          <t>P4102307431</t>
        </is>
      </c>
      <c r="E1034" s="11" t="inlineStr">
        <is>
          <t>Statik / Einsturzsicherung während Abbruch</t>
        </is>
      </c>
      <c r="F1034" s="10" t="inlineStr">
        <is>
          <t>Statik</t>
        </is>
      </c>
      <c r="G1034" s="12" t="n">
        <v>0.24</v>
      </c>
      <c r="H1034" s="13" t="n">
        <v>150</v>
      </c>
      <c r="I1034" s="13" t="n">
        <v>350</v>
      </c>
      <c r="J1034" s="13" t="n">
        <v>700</v>
      </c>
      <c r="K1034" s="14">
        <f>IF(OR(COUNT(G1034:J1034)&lt;&gt;4,G1034&lt;0,G1034&gt;1,H1034&gt;I1034,I1034&gt;J1034),"n.a.",ROUND(G1034*(H1034+4*I1034+J1034)/6+0.00000001,2))</f>
        <v/>
      </c>
      <c r="L1034" s="13" t="n">
        <v>0</v>
      </c>
      <c r="M1034" s="14">
        <f>SUMIFS(Maßnahmen!$I$7:$I$126,Maßnahmen!$D$7:$D$126,C1034,Maßnahmen!$H$7:$H$126,"&lt;&gt;verworfen")</f>
        <v/>
      </c>
      <c r="N1034" s="14">
        <f>IF(ISNUMBER(K1034),MAX(0,K1034-L1034-M1034),"n.a.")</f>
        <v/>
      </c>
      <c r="O1034" s="14" t="n">
        <v>90</v>
      </c>
      <c r="P1034" s="14">
        <f>IF(ISNUMBER(K1034),K1034-O1034,"n.a.")</f>
        <v/>
      </c>
    </row>
    <row r="1035" ht="32" customHeight="1">
      <c r="C1035" s="10" t="inlineStr">
        <is>
          <t>PRJ-4f8e93d9-RK-07</t>
        </is>
      </c>
      <c r="D1035" s="10" t="inlineStr">
        <is>
          <t>P4102307431</t>
        </is>
      </c>
      <c r="E1035" s="11" t="inlineStr">
        <is>
          <t>Unterirdische Tragkonstruktion / Fundamente</t>
        </is>
      </c>
      <c r="F1035" s="10" t="inlineStr">
        <is>
          <t>Statik</t>
        </is>
      </c>
      <c r="G1035" s="12" t="n">
        <v>0.65</v>
      </c>
      <c r="H1035" s="13" t="n">
        <v>25</v>
      </c>
      <c r="I1035" s="13" t="n">
        <v>100</v>
      </c>
      <c r="J1035" s="13" t="n">
        <v>250</v>
      </c>
      <c r="K1035" s="14">
        <f>IF(OR(COUNT(G1035:J1035)&lt;&gt;4,G1035&lt;0,G1035&gt;1,H1035&gt;I1035,I1035&gt;J1035),"n.a.",ROUND(G1035*(H1035+4*I1035+J1035)/6+0.00000001,2))</f>
        <v/>
      </c>
      <c r="L1035" s="13" t="n">
        <v>0</v>
      </c>
      <c r="M1035" s="14">
        <f>SUMIFS(Maßnahmen!$I$7:$I$126,Maßnahmen!$D$7:$D$126,C1035,Maßnahmen!$H$7:$H$126,"&lt;&gt;verworfen")</f>
        <v/>
      </c>
      <c r="N1035" s="14">
        <f>IF(ISNUMBER(K1035),MAX(0,K1035-L1035-M1035),"n.a.")</f>
        <v/>
      </c>
      <c r="O1035" s="14" t="n">
        <v>73.13</v>
      </c>
      <c r="P1035" s="14">
        <f>IF(ISNUMBER(K1035),K1035-O1035,"n.a.")</f>
        <v/>
      </c>
    </row>
    <row r="1036" ht="32" customHeight="1">
      <c r="C1036" s="10" t="inlineStr">
        <is>
          <t>PRJ-4f8e93d9-RK-08</t>
        </is>
      </c>
      <c r="D1036" s="10" t="inlineStr">
        <is>
          <t>P4102307431</t>
        </is>
      </c>
      <c r="E1036" s="11" t="inlineStr">
        <is>
          <t>Gebäudehöhe &gt;22 m / Longfront-Bagger (+130–150 %)</t>
        </is>
      </c>
      <c r="F1036" s="10" t="inlineStr">
        <is>
          <t>Termin</t>
        </is>
      </c>
      <c r="G1036" s="12" t="n">
        <v>0.6</v>
      </c>
      <c r="H1036" s="13" t="n">
        <v>450</v>
      </c>
      <c r="I1036" s="13" t="n">
        <v>900</v>
      </c>
      <c r="J1036" s="13" t="n">
        <v>1700</v>
      </c>
      <c r="K1036" s="14">
        <f>IF(OR(COUNT(G1036:J1036)&lt;&gt;4,G1036&lt;0,G1036&gt;1,H1036&gt;I1036,I1036&gt;J1036),"n.a.",ROUND(G1036*(H1036+4*I1036+J1036)/6+0.00000001,2))</f>
        <v/>
      </c>
      <c r="L1036" s="13" t="n">
        <v>0</v>
      </c>
      <c r="M1036" s="14">
        <f>SUMIFS(Maßnahmen!$I$7:$I$126,Maßnahmen!$D$7:$D$126,C1036,Maßnahmen!$H$7:$H$126,"&lt;&gt;verworfen")</f>
        <v/>
      </c>
      <c r="N1036" s="14">
        <f>IF(ISNUMBER(K1036),MAX(0,K1036-L1036-M1036),"n.a.")</f>
        <v/>
      </c>
      <c r="O1036" s="14" t="n">
        <v>575</v>
      </c>
      <c r="P1036" s="14">
        <f>IF(ISNUMBER(K1036),K1036-O1036,"n.a.")</f>
        <v/>
      </c>
    </row>
    <row r="1037" ht="32" customHeight="1">
      <c r="C1037" s="10" t="inlineStr">
        <is>
          <t>PRJ-4f8e93d9-RK-09</t>
        </is>
      </c>
      <c r="D1037" s="10" t="inlineStr">
        <is>
          <t>P4102307431</t>
        </is>
      </c>
      <c r="E1037" s="11" t="inlineStr">
        <is>
          <t>Beennte Lage / nur Handabbruch möglich</t>
        </is>
      </c>
      <c r="F1037" s="10" t="inlineStr">
        <is>
          <t>Termin</t>
        </is>
      </c>
      <c r="G1037" s="12" t="n">
        <v>0.15</v>
      </c>
      <c r="H1037" s="13" t="n">
        <v>40</v>
      </c>
      <c r="I1037" s="13" t="n">
        <v>100</v>
      </c>
      <c r="J1037" s="13" t="n">
        <v>250</v>
      </c>
      <c r="K1037" s="14">
        <f>IF(OR(COUNT(G1037:J1037)&lt;&gt;4,G1037&lt;0,G1037&gt;1,H1037&gt;I1037,I1037&gt;J1037),"n.a.",ROUND(G1037*(H1037+4*I1037+J1037)/6+0.00000001,2))</f>
        <v/>
      </c>
      <c r="L1037" s="13" t="n">
        <v>0</v>
      </c>
      <c r="M1037" s="14">
        <f>SUMIFS(Maßnahmen!$I$7:$I$126,Maßnahmen!$D$7:$D$126,C1037,Maßnahmen!$H$7:$H$126,"&lt;&gt;verworfen")</f>
        <v/>
      </c>
      <c r="N1037" s="14">
        <f>IF(ISNUMBER(K1037),MAX(0,K1037-L1037-M1037),"n.a.")</f>
        <v/>
      </c>
      <c r="O1037" s="14" t="n">
        <v>17.25</v>
      </c>
      <c r="P1037" s="14">
        <f>IF(ISNUMBER(K1037),K1037-O1037,"n.a.")</f>
        <v/>
      </c>
    </row>
    <row r="1038" ht="32" customHeight="1">
      <c r="C1038" s="10" t="inlineStr">
        <is>
          <t>PRJ-39e5498d-RK-03</t>
        </is>
      </c>
      <c r="D1038" s="10" t="inlineStr">
        <is>
          <t>W4102504941</t>
        </is>
      </c>
      <c r="E1038" s="11" t="inlineStr">
        <is>
          <t>Entsorgungs-Mehrkosten / Entsorgungswege</t>
        </is>
      </c>
      <c r="F1038" s="10" t="inlineStr">
        <is>
          <t>Entsorgung</t>
        </is>
      </c>
      <c r="G1038" s="12" t="n">
        <v>0.15</v>
      </c>
      <c r="H1038" s="13" t="n">
        <v>20</v>
      </c>
      <c r="I1038" s="13" t="n">
        <v>50</v>
      </c>
      <c r="J1038" s="13" t="n">
        <v>100</v>
      </c>
      <c r="K1038" s="14">
        <f>IF(OR(COUNT(G1038:J1038)&lt;&gt;4,G1038&lt;0,G1038&gt;1,H1038&gt;I1038,I1038&gt;J1038),"n.a.",ROUND(G1038*(H1038+4*I1038+J1038)/6+0.00000001,2))</f>
        <v/>
      </c>
      <c r="L1038" s="13" t="n">
        <v>0</v>
      </c>
      <c r="M1038" s="14">
        <f>SUMIFS(Maßnahmen!$I$7:$I$126,Maßnahmen!$D$7:$D$126,C1038,Maßnahmen!$H$7:$H$126,"&lt;&gt;verworfen")</f>
        <v/>
      </c>
      <c r="N1038" s="14">
        <f>IF(ISNUMBER(K1038),MAX(0,K1038-L1038-M1038),"n.a.")</f>
        <v/>
      </c>
      <c r="O1038" s="14" t="n">
        <v>8</v>
      </c>
      <c r="P1038" s="14">
        <f>IF(ISNUMBER(K1038),K1038-O1038,"n.a.")</f>
        <v/>
      </c>
    </row>
    <row r="1039" ht="32" customHeight="1">
      <c r="C1039" s="10" t="inlineStr">
        <is>
          <t>PRJ-39e5498d-RK-04</t>
        </is>
      </c>
      <c r="D1039" s="10" t="inlineStr">
        <is>
          <t>W4102504941</t>
        </is>
      </c>
      <c r="E1039" s="11" t="inlineStr">
        <is>
          <t>Baustofftrennung / Aufbereitung nicht wie geplant</t>
        </is>
      </c>
      <c r="F1039" s="10" t="inlineStr">
        <is>
          <t>Entsorgung</t>
        </is>
      </c>
      <c r="G1039" s="12" t="n">
        <v>0.08</v>
      </c>
      <c r="H1039" s="13" t="n">
        <v>5</v>
      </c>
      <c r="I1039" s="13" t="n">
        <v>10</v>
      </c>
      <c r="J1039" s="13" t="n">
        <v>20</v>
      </c>
      <c r="K1039" s="14">
        <f>IF(OR(COUNT(G1039:J1039)&lt;&gt;4,G1039&lt;0,G1039&gt;1,H1039&gt;I1039,I1039&gt;J1039),"n.a.",ROUND(G1039*(H1039+4*I1039+J1039)/6+0.00000001,2))</f>
        <v/>
      </c>
      <c r="L1039" s="13" t="n">
        <v>0</v>
      </c>
      <c r="M1039" s="14">
        <f>SUMIFS(Maßnahmen!$I$7:$I$126,Maßnahmen!$D$7:$D$126,C1039,Maßnahmen!$H$7:$H$126,"&lt;&gt;verworfen")</f>
        <v/>
      </c>
      <c r="N1039" s="14">
        <f>IF(ISNUMBER(K1039),MAX(0,K1039-L1039-M1039),"n.a.")</f>
        <v/>
      </c>
      <c r="O1039" s="14" t="n">
        <v>0.87</v>
      </c>
      <c r="P1039" s="14">
        <f>IF(ISNUMBER(K1039),K1039-O1039,"n.a.")</f>
        <v/>
      </c>
    </row>
    <row r="1040" ht="32" customHeight="1">
      <c r="C1040" s="10" t="inlineStr">
        <is>
          <t>PRJ-39e5498d-RK-05</t>
        </is>
      </c>
      <c r="D1040" s="10" t="inlineStr">
        <is>
          <t>W4102504941</t>
        </is>
      </c>
      <c r="E1040" s="11" t="inlineStr">
        <is>
          <t>Unbekannte Bauwerkskonstruktion / fehlende Pläne</t>
        </is>
      </c>
      <c r="F1040" s="10" t="inlineStr">
        <is>
          <t>Statik</t>
        </is>
      </c>
      <c r="G1040" s="12" t="n">
        <v>0.12</v>
      </c>
      <c r="H1040" s="13" t="n">
        <v>40</v>
      </c>
      <c r="I1040" s="13" t="n">
        <v>80</v>
      </c>
      <c r="J1040" s="13" t="n">
        <v>150</v>
      </c>
      <c r="K1040" s="14">
        <f>IF(OR(COUNT(G1040:J1040)&lt;&gt;4,G1040&lt;0,G1040&gt;1,H1040&gt;I1040,I1040&gt;J1040),"n.a.",ROUND(G1040*(H1040+4*I1040+J1040)/6+0.00000001,2))</f>
        <v/>
      </c>
      <c r="L1040" s="13" t="n">
        <v>0</v>
      </c>
      <c r="M1040" s="14">
        <f>SUMIFS(Maßnahmen!$I$7:$I$126,Maßnahmen!$D$7:$D$126,C1040,Maßnahmen!$H$7:$H$126,"&lt;&gt;verworfen")</f>
        <v/>
      </c>
      <c r="N1040" s="14">
        <f>IF(ISNUMBER(K1040),MAX(0,K1040-L1040-M1040),"n.a.")</f>
        <v/>
      </c>
      <c r="O1040" s="14" t="n">
        <v>10.2</v>
      </c>
      <c r="P1040" s="14">
        <f>IF(ISNUMBER(K1040),K1040-O1040,"n.a.")</f>
        <v/>
      </c>
    </row>
    <row r="1041" ht="32" customHeight="1">
      <c r="C1041" s="10" t="inlineStr">
        <is>
          <t>PRJ-39e5498d-RK-06</t>
        </is>
      </c>
      <c r="D1041" s="10" t="inlineStr">
        <is>
          <t>W4102504941</t>
        </is>
      </c>
      <c r="E1041" s="11" t="inlineStr">
        <is>
          <t>Statik / Einsturzsicherung während Abbruch</t>
        </is>
      </c>
      <c r="F1041" s="10" t="inlineStr">
        <is>
          <t>Statik</t>
        </is>
      </c>
      <c r="G1041" s="12" t="n">
        <v>0.24</v>
      </c>
      <c r="H1041" s="13" t="n">
        <v>30</v>
      </c>
      <c r="I1041" s="13" t="n">
        <v>70</v>
      </c>
      <c r="J1041" s="13" t="n">
        <v>140</v>
      </c>
      <c r="K1041" s="14">
        <f>IF(OR(COUNT(G1041:J1041)&lt;&gt;4,G1041&lt;0,G1041&gt;1,H1041&gt;I1041,I1041&gt;J1041),"n.a.",ROUND(G1041*(H1041+4*I1041+J1041)/6+0.00000001,2))</f>
        <v/>
      </c>
      <c r="L1041" s="13" t="n">
        <v>0</v>
      </c>
      <c r="M1041" s="14">
        <f>SUMIFS(Maßnahmen!$I$7:$I$126,Maßnahmen!$D$7:$D$126,C1041,Maßnahmen!$H$7:$H$126,"&lt;&gt;verworfen")</f>
        <v/>
      </c>
      <c r="N1041" s="14">
        <f>IF(ISNUMBER(K1041),MAX(0,K1041-L1041-M1041),"n.a.")</f>
        <v/>
      </c>
      <c r="O1041" s="14" t="n">
        <v>18</v>
      </c>
      <c r="P1041" s="14">
        <f>IF(ISNUMBER(K1041),K1041-O1041,"n.a.")</f>
        <v/>
      </c>
    </row>
    <row r="1042" ht="32" customHeight="1">
      <c r="C1042" s="10" t="inlineStr">
        <is>
          <t>PRJ-39e5498d-RK-07</t>
        </is>
      </c>
      <c r="D1042" s="10" t="inlineStr">
        <is>
          <t>W4102504941</t>
        </is>
      </c>
      <c r="E1042" s="11" t="inlineStr">
        <is>
          <t>Unterirdische Tragkonstruktion / Fundamente</t>
        </is>
      </c>
      <c r="F1042" s="10" t="inlineStr">
        <is>
          <t>Statik</t>
        </is>
      </c>
      <c r="G1042" s="12" t="n">
        <v>0.4</v>
      </c>
      <c r="H1042" s="13" t="n">
        <v>5</v>
      </c>
      <c r="I1042" s="13" t="n">
        <v>20</v>
      </c>
      <c r="J1042" s="13" t="n">
        <v>50</v>
      </c>
      <c r="K1042" s="14">
        <f>IF(OR(COUNT(G1042:J1042)&lt;&gt;4,G1042&lt;0,G1042&gt;1,H1042&gt;I1042,I1042&gt;J1042),"n.a.",ROUND(G1042*(H1042+4*I1042+J1042)/6+0.00000001,2))</f>
        <v/>
      </c>
      <c r="L1042" s="13" t="n">
        <v>0</v>
      </c>
      <c r="M1042" s="14">
        <f>SUMIFS(Maßnahmen!$I$7:$I$126,Maßnahmen!$D$7:$D$126,C1042,Maßnahmen!$H$7:$H$126,"&lt;&gt;verworfen")</f>
        <v/>
      </c>
      <c r="N1042" s="14">
        <f>IF(ISNUMBER(K1042),MAX(0,K1042-L1042-M1042),"n.a.")</f>
        <v/>
      </c>
      <c r="O1042" s="14" t="n">
        <v>9</v>
      </c>
      <c r="P1042" s="14">
        <f>IF(ISNUMBER(K1042),K1042-O1042,"n.a.")</f>
        <v/>
      </c>
    </row>
    <row r="1043" ht="32" customHeight="1">
      <c r="C1043" s="10" t="inlineStr">
        <is>
          <t>PRJ-4f8e93d8-RK-01</t>
        </is>
      </c>
      <c r="D1043" s="10" t="inlineStr">
        <is>
          <t>P4102307432</t>
        </is>
      </c>
      <c r="E1043" s="11" t="inlineStr">
        <is>
          <t>Schadstofffund / Schadstoffsanierung (Asbest, PAK, PCB, PCP)</t>
        </is>
      </c>
      <c r="F1043" s="10" t="inlineStr">
        <is>
          <t>Schadstoffe</t>
        </is>
      </c>
      <c r="G1043" s="12" t="n">
        <v>0.7</v>
      </c>
      <c r="H1043" s="13" t="n">
        <v>10710</v>
      </c>
      <c r="I1043" s="13" t="n">
        <v>13770</v>
      </c>
      <c r="J1043" s="13" t="n">
        <v>19890</v>
      </c>
      <c r="K1043" s="14">
        <f>IF(OR(COUNT(G1043:J1043)&lt;&gt;4,G1043&lt;0,G1043&gt;1,H1043&gt;I1043,I1043&gt;J1043),"n.a.",ROUND(G1043*(H1043+4*I1043+J1043)/6+0.00000001,2))</f>
        <v/>
      </c>
      <c r="L1043" s="13" t="n">
        <v>0</v>
      </c>
      <c r="M1043" s="14">
        <f>SUMIFS(Maßnahmen!$I$7:$I$126,Maßnahmen!$D$7:$D$126,C1043,Maßnahmen!$H$7:$H$126,"&lt;&gt;verworfen")</f>
        <v/>
      </c>
      <c r="N1043" s="14">
        <f>IF(ISNUMBER(K1043),MAX(0,K1043-L1043-M1043),"n.a.")</f>
        <v/>
      </c>
      <c r="O1043" s="14" t="n">
        <v>9996</v>
      </c>
      <c r="P1043" s="14">
        <f>IF(ISNUMBER(K1043),K1043-O1043,"n.a.")</f>
        <v/>
      </c>
    </row>
    <row r="1044" ht="32" customHeight="1">
      <c r="C1044" s="10" t="inlineStr">
        <is>
          <t>PRJ-4f8e93d8-RK-02</t>
        </is>
      </c>
      <c r="D1044" s="10" t="inlineStr">
        <is>
          <t>P4102307432</t>
        </is>
      </c>
      <c r="E1044" s="11" t="inlineStr">
        <is>
          <t>Arbeitsschutz kontaminierte Bereiche (TRGS 524)</t>
        </is>
      </c>
      <c r="F1044" s="10" t="inlineStr">
        <is>
          <t>Schadstoffe</t>
        </is>
      </c>
      <c r="G1044" s="12" t="n">
        <v>0.1</v>
      </c>
      <c r="H1044" s="13" t="n">
        <v>153</v>
      </c>
      <c r="I1044" s="13" t="n">
        <v>306</v>
      </c>
      <c r="J1044" s="13" t="n">
        <v>612</v>
      </c>
      <c r="K1044" s="14">
        <f>IF(OR(COUNT(G1044:J1044)&lt;&gt;4,G1044&lt;0,G1044&gt;1,H1044&gt;I1044,I1044&gt;J1044),"n.a.",ROUND(G1044*(H1044+4*I1044+J1044)/6+0.00000001,2))</f>
        <v/>
      </c>
      <c r="L1044" s="13" t="n">
        <v>0</v>
      </c>
      <c r="M1044" s="14">
        <f>SUMIFS(Maßnahmen!$I$7:$I$126,Maßnahmen!$D$7:$D$126,C1044,Maßnahmen!$H$7:$H$126,"&lt;&gt;verworfen")</f>
        <v/>
      </c>
      <c r="N1044" s="14">
        <f>IF(ISNUMBER(K1044),MAX(0,K1044-L1044-M1044),"n.a.")</f>
        <v/>
      </c>
      <c r="O1044" s="14" t="n">
        <v>33.15</v>
      </c>
      <c r="P1044" s="14">
        <f>IF(ISNUMBER(K1044),K1044-O1044,"n.a.")</f>
        <v/>
      </c>
    </row>
    <row r="1045" ht="32" customHeight="1">
      <c r="C1045" s="10" t="inlineStr">
        <is>
          <t>PRJ-4f8e93d8-RK-03</t>
        </is>
      </c>
      <c r="D1045" s="10" t="inlineStr">
        <is>
          <t>P4102307432</t>
        </is>
      </c>
      <c r="E1045" s="11" t="inlineStr">
        <is>
          <t>Entsorgungs-Mehrkosten / Entsorgungswege</t>
        </is>
      </c>
      <c r="F1045" s="10" t="inlineStr">
        <is>
          <t>Entsorgung</t>
        </is>
      </c>
      <c r="G1045" s="12" t="n">
        <v>0.498</v>
      </c>
      <c r="H1045" s="13" t="n">
        <v>4482</v>
      </c>
      <c r="I1045" s="13" t="n">
        <v>8303</v>
      </c>
      <c r="J1045" s="13" t="n">
        <v>13703</v>
      </c>
      <c r="K1045" s="14">
        <f>IF(OR(COUNT(G1045:J1045)&lt;&gt;4,G1045&lt;0,G1045&gt;1,H1045&gt;I1045,I1045&gt;J1045),"n.a.",ROUND(G1045*(H1045+4*I1045+J1045)/6+0.00000001,2))</f>
        <v/>
      </c>
      <c r="L1045" s="13" t="n">
        <v>0</v>
      </c>
      <c r="M1045" s="14">
        <f>SUMIFS(Maßnahmen!$I$7:$I$126,Maßnahmen!$D$7:$D$126,C1045,Maßnahmen!$H$7:$H$126,"&lt;&gt;verworfen")</f>
        <v/>
      </c>
      <c r="N1045" s="14">
        <f>IF(ISNUMBER(K1045),MAX(0,K1045-L1045-M1045),"n.a.")</f>
        <v/>
      </c>
      <c r="O1045" s="14" t="n">
        <v>4265.95</v>
      </c>
      <c r="P1045" s="14">
        <f>IF(ISNUMBER(K1045),K1045-O1045,"n.a.")</f>
        <v/>
      </c>
    </row>
    <row r="1046" ht="32" customHeight="1">
      <c r="C1046" s="10" t="inlineStr">
        <is>
          <t>PRJ-4f8e93d8-RK-04</t>
        </is>
      </c>
      <c r="D1046" s="10" t="inlineStr">
        <is>
          <t>P4102307432</t>
        </is>
      </c>
      <c r="E1046" s="11" t="inlineStr">
        <is>
          <t>Baustofftrennung / Aufbereitung nicht wie geplant</t>
        </is>
      </c>
      <c r="F1046" s="10" t="inlineStr">
        <is>
          <t>Entsorgung</t>
        </is>
      </c>
      <c r="G1046" s="12" t="n">
        <v>0.08</v>
      </c>
      <c r="H1046" s="13" t="n">
        <v>153</v>
      </c>
      <c r="I1046" s="13" t="n">
        <v>306</v>
      </c>
      <c r="J1046" s="13" t="n">
        <v>612</v>
      </c>
      <c r="K1046" s="14">
        <f>IF(OR(COUNT(G1046:J1046)&lt;&gt;4,G1046&lt;0,G1046&gt;1,H1046&gt;I1046,I1046&gt;J1046),"n.a.",ROUND(G1046*(H1046+4*I1046+J1046)/6+0.00000001,2))</f>
        <v/>
      </c>
      <c r="L1046" s="13" t="n">
        <v>0</v>
      </c>
      <c r="M1046" s="14">
        <f>SUMIFS(Maßnahmen!$I$7:$I$126,Maßnahmen!$D$7:$D$126,C1046,Maßnahmen!$H$7:$H$126,"&lt;&gt;verworfen")</f>
        <v/>
      </c>
      <c r="N1046" s="14">
        <f>IF(ISNUMBER(K1046),MAX(0,K1046-L1046-M1046),"n.a.")</f>
        <v/>
      </c>
      <c r="O1046" s="14" t="n">
        <v>26.52</v>
      </c>
      <c r="P1046" s="14">
        <f>IF(ISNUMBER(K1046),K1046-O1046,"n.a.")</f>
        <v/>
      </c>
    </row>
    <row r="1047" ht="32" customHeight="1">
      <c r="C1047" s="10" t="inlineStr">
        <is>
          <t>PRJ-4f8e93d8-RK-05</t>
        </is>
      </c>
      <c r="D1047" s="10" t="inlineStr">
        <is>
          <t>P4102307432</t>
        </is>
      </c>
      <c r="E1047" s="11" t="inlineStr">
        <is>
          <t>Unbekannte Bauwerkskonstruktion / fehlende Pläne</t>
        </is>
      </c>
      <c r="F1047" s="10" t="inlineStr">
        <is>
          <t>Statik</t>
        </is>
      </c>
      <c r="G1047" s="12" t="n">
        <v>0.12</v>
      </c>
      <c r="H1047" s="13" t="n">
        <v>1224</v>
      </c>
      <c r="I1047" s="13" t="n">
        <v>2448</v>
      </c>
      <c r="J1047" s="13" t="n">
        <v>4590</v>
      </c>
      <c r="K1047" s="14">
        <f>IF(OR(COUNT(G1047:J1047)&lt;&gt;4,G1047&lt;0,G1047&gt;1,H1047&gt;I1047,I1047&gt;J1047),"n.a.",ROUND(G1047*(H1047+4*I1047+J1047)/6+0.00000001,2))</f>
        <v/>
      </c>
      <c r="L1047" s="13" t="n">
        <v>0</v>
      </c>
      <c r="M1047" s="14">
        <f>SUMIFS(Maßnahmen!$I$7:$I$126,Maßnahmen!$D$7:$D$126,C1047,Maßnahmen!$H$7:$H$126,"&lt;&gt;verworfen")</f>
        <v/>
      </c>
      <c r="N1047" s="14">
        <f>IF(ISNUMBER(K1047),MAX(0,K1047-L1047-M1047),"n.a.")</f>
        <v/>
      </c>
      <c r="O1047" s="14" t="n">
        <v>312.12</v>
      </c>
      <c r="P1047" s="14">
        <f>IF(ISNUMBER(K1047),K1047-O1047,"n.a.")</f>
        <v/>
      </c>
    </row>
    <row r="1048" ht="32" customHeight="1">
      <c r="C1048" s="10" t="inlineStr">
        <is>
          <t>PRJ-4f8e93d8-RK-06</t>
        </is>
      </c>
      <c r="D1048" s="10" t="inlineStr">
        <is>
          <t>P4102307432</t>
        </is>
      </c>
      <c r="E1048" s="11" t="inlineStr">
        <is>
          <t>Statik / Einsturzsicherung während Abbruch</t>
        </is>
      </c>
      <c r="F1048" s="10" t="inlineStr">
        <is>
          <t>Statik</t>
        </is>
      </c>
      <c r="G1048" s="12" t="n">
        <v>0.278</v>
      </c>
      <c r="H1048" s="13" t="n">
        <v>3821</v>
      </c>
      <c r="I1048" s="13" t="n">
        <v>6980</v>
      </c>
      <c r="J1048" s="13" t="n">
        <v>12024</v>
      </c>
      <c r="K1048" s="14">
        <f>IF(OR(COUNT(G1048:J1048)&lt;&gt;4,G1048&lt;0,G1048&gt;1,H1048&gt;I1048,I1048&gt;J1048),"n.a.",ROUND(G1048*(H1048+4*I1048+J1048)/6+0.00000001,2))</f>
        <v/>
      </c>
      <c r="L1048" s="13" t="n">
        <v>0</v>
      </c>
      <c r="M1048" s="14">
        <f>SUMIFS(Maßnahmen!$I$7:$I$126,Maßnahmen!$D$7:$D$126,C1048,Maßnahmen!$H$7:$H$126,"&lt;&gt;verworfen")</f>
        <v/>
      </c>
      <c r="N1048" s="14">
        <f>IF(ISNUMBER(K1048),MAX(0,K1048-L1048-M1048),"n.a.")</f>
        <v/>
      </c>
      <c r="O1048" s="14" t="n">
        <v>2027.78</v>
      </c>
      <c r="P1048" s="14">
        <f>IF(ISNUMBER(K1048),K1048-O1048,"n.a.")</f>
        <v/>
      </c>
    </row>
    <row r="1049" ht="32" customHeight="1">
      <c r="C1049" s="10" t="inlineStr">
        <is>
          <t>PRJ-4f8e93d8-RK-09</t>
        </is>
      </c>
      <c r="D1049" s="10" t="inlineStr">
        <is>
          <t>P4102307432</t>
        </is>
      </c>
      <c r="E1049" s="11" t="inlineStr">
        <is>
          <t>Beennte Lage / nur Handabbruch möglich</t>
        </is>
      </c>
      <c r="F1049" s="10" t="inlineStr">
        <is>
          <t>Termin</t>
        </is>
      </c>
      <c r="G1049" s="12" t="n">
        <v>0.15</v>
      </c>
      <c r="H1049" s="13" t="n">
        <v>245</v>
      </c>
      <c r="I1049" s="13" t="n">
        <v>612</v>
      </c>
      <c r="J1049" s="13" t="n">
        <v>1530</v>
      </c>
      <c r="K1049" s="14">
        <f>IF(OR(COUNT(G1049:J1049)&lt;&gt;4,G1049&lt;0,G1049&gt;1,H1049&gt;I1049,I1049&gt;J1049),"n.a.",ROUND(G1049*(H1049+4*I1049+J1049)/6+0.00000001,2))</f>
        <v/>
      </c>
      <c r="L1049" s="13" t="n">
        <v>0</v>
      </c>
      <c r="M1049" s="14">
        <f>SUMIFS(Maßnahmen!$I$7:$I$126,Maßnahmen!$D$7:$D$126,C1049,Maßnahmen!$H$7:$H$126,"&lt;&gt;verworfen")</f>
        <v/>
      </c>
      <c r="N1049" s="14">
        <f>IF(ISNUMBER(K1049),MAX(0,K1049-L1049-M1049),"n.a.")</f>
        <v/>
      </c>
      <c r="O1049" s="14" t="n">
        <v>105.58</v>
      </c>
      <c r="P1049" s="14">
        <f>IF(ISNUMBER(K1049),K1049-O1049,"n.a.")</f>
        <v/>
      </c>
    </row>
    <row r="1050" ht="32" customHeight="1">
      <c r="C1050" s="10" t="inlineStr">
        <is>
          <t>PRJ-4f8e93d8-RK-10</t>
        </is>
      </c>
      <c r="D1050" s="10" t="inlineStr">
        <is>
          <t>P4102307432</t>
        </is>
      </c>
      <c r="E1050" s="11" t="inlineStr">
        <is>
          <t>Terminvorgabe Auftraggeber / Geräteauslastung</t>
        </is>
      </c>
      <c r="F1050" s="10" t="inlineStr">
        <is>
          <t>Termin</t>
        </is>
      </c>
      <c r="G1050" s="12" t="n">
        <v>0.08</v>
      </c>
      <c r="H1050" s="13" t="n">
        <v>153</v>
      </c>
      <c r="I1050" s="13" t="n">
        <v>306</v>
      </c>
      <c r="J1050" s="13" t="n">
        <v>612</v>
      </c>
      <c r="K1050" s="14">
        <f>IF(OR(COUNT(G1050:J1050)&lt;&gt;4,G1050&lt;0,G1050&gt;1,H1050&gt;I1050,I1050&gt;J1050),"n.a.",ROUND(G1050*(H1050+4*I1050+J1050)/6+0.00000001,2))</f>
        <v/>
      </c>
      <c r="L1050" s="13" t="n">
        <v>0</v>
      </c>
      <c r="M1050" s="14">
        <f>SUMIFS(Maßnahmen!$I$7:$I$126,Maßnahmen!$D$7:$D$126,C1050,Maßnahmen!$H$7:$H$126,"&lt;&gt;verworfen")</f>
        <v/>
      </c>
      <c r="N1050" s="14">
        <f>IF(ISNUMBER(K1050),MAX(0,K1050-L1050-M1050),"n.a.")</f>
        <v/>
      </c>
      <c r="O1050" s="14" t="n">
        <v>26.52</v>
      </c>
      <c r="P1050" s="14">
        <f>IF(ISNUMBER(K1050),K1050-O1050,"n.a.")</f>
        <v/>
      </c>
    </row>
    <row r="1051" ht="32" customHeight="1">
      <c r="C1051" s="10" t="inlineStr">
        <is>
          <t>PRJ-4f8e93d8-RK-11</t>
        </is>
      </c>
      <c r="D1051" s="10" t="inlineStr">
        <is>
          <t>P4102307432</t>
        </is>
      </c>
      <c r="E1051" s="11" t="inlineStr">
        <is>
          <t>Witterung / Ablaufstörung</t>
        </is>
      </c>
      <c r="F1051" s="10" t="inlineStr">
        <is>
          <t>Termin</t>
        </is>
      </c>
      <c r="G1051" s="12" t="n">
        <v>0.25</v>
      </c>
      <c r="H1051" s="13" t="n">
        <v>306</v>
      </c>
      <c r="I1051" s="13" t="n">
        <v>918</v>
      </c>
      <c r="J1051" s="13" t="n">
        <v>1836</v>
      </c>
      <c r="K1051" s="14">
        <f>IF(OR(COUNT(G1051:J1051)&lt;&gt;4,G1051&lt;0,G1051&gt;1,H1051&gt;I1051,I1051&gt;J1051),"n.a.",ROUND(G1051*(H1051+4*I1051+J1051)/6+0.00000001,2))</f>
        <v/>
      </c>
      <c r="L1051" s="13" t="n">
        <v>0</v>
      </c>
      <c r="M1051" s="14">
        <f>SUMIFS(Maßnahmen!$I$7:$I$126,Maßnahmen!$D$7:$D$126,C1051,Maßnahmen!$H$7:$H$126,"&lt;&gt;verworfen")</f>
        <v/>
      </c>
      <c r="N1051" s="14">
        <f>IF(ISNUMBER(K1051),MAX(0,K1051-L1051-M1051),"n.a.")</f>
        <v/>
      </c>
      <c r="O1051" s="14" t="n">
        <v>242.25</v>
      </c>
      <c r="P1051" s="14">
        <f>IF(ISNUMBER(K1051),K1051-O1051,"n.a.")</f>
        <v/>
      </c>
    </row>
    <row r="1052" ht="32" customHeight="1">
      <c r="C1052" s="10" t="inlineStr">
        <is>
          <t>PRJ-4f8e93d8-RK-12</t>
        </is>
      </c>
      <c r="D1052" s="10" t="inlineStr">
        <is>
          <t>P4102307432</t>
        </is>
      </c>
      <c r="E1052" s="11" t="inlineStr">
        <is>
          <t>Staubemissionen (höchster Aufwand laut Umfrage)</t>
        </is>
      </c>
      <c r="F1052" s="10" t="inlineStr">
        <is>
          <t>Emissionen</t>
        </is>
      </c>
      <c r="G1052" s="12" t="n">
        <v>0.1</v>
      </c>
      <c r="H1052" s="13" t="n">
        <v>918</v>
      </c>
      <c r="I1052" s="13" t="n">
        <v>1836</v>
      </c>
      <c r="J1052" s="13" t="n">
        <v>3672</v>
      </c>
      <c r="K1052" s="14">
        <f>IF(OR(COUNT(G1052:J1052)&lt;&gt;4,G1052&lt;0,G1052&gt;1,H1052&gt;I1052,I1052&gt;J1052),"n.a.",ROUND(G1052*(H1052+4*I1052+J1052)/6+0.00000001,2))</f>
        <v/>
      </c>
      <c r="L1052" s="13" t="n">
        <v>0</v>
      </c>
      <c r="M1052" s="14">
        <f>SUMIFS(Maßnahmen!$I$7:$I$126,Maßnahmen!$D$7:$D$126,C1052,Maßnahmen!$H$7:$H$126,"&lt;&gt;verworfen")</f>
        <v/>
      </c>
      <c r="N1052" s="14">
        <f>IF(ISNUMBER(K1052),MAX(0,K1052-L1052-M1052),"n.a.")</f>
        <v/>
      </c>
      <c r="O1052" s="14" t="n">
        <v>198.9</v>
      </c>
      <c r="P1052" s="14">
        <f>IF(ISNUMBER(K1052),K1052-O1052,"n.a.")</f>
        <v/>
      </c>
    </row>
    <row r="1053" ht="32" customHeight="1">
      <c r="C1053" s="10" t="inlineStr">
        <is>
          <t>PRJ-4f8e93d8-RK-13</t>
        </is>
      </c>
      <c r="D1053" s="10" t="inlineStr">
        <is>
          <t>P4102307432</t>
        </is>
      </c>
      <c r="E1053" s="11" t="inlineStr">
        <is>
          <t>Lärm- und Erschütterungsauflagen</t>
        </is>
      </c>
      <c r="F1053" s="10" t="inlineStr">
        <is>
          <t>Emissionen</t>
        </is>
      </c>
      <c r="G1053" s="12" t="n">
        <v>0.2</v>
      </c>
      <c r="H1053" s="13" t="n">
        <v>612</v>
      </c>
      <c r="I1053" s="13" t="n">
        <v>1530</v>
      </c>
      <c r="J1053" s="13" t="n">
        <v>3060</v>
      </c>
      <c r="K1053" s="14">
        <f>IF(OR(COUNT(G1053:J1053)&lt;&gt;4,G1053&lt;0,G1053&gt;1,H1053&gt;I1053,I1053&gt;J1053),"n.a.",ROUND(G1053*(H1053+4*I1053+J1053)/6+0.00000001,2))</f>
        <v/>
      </c>
      <c r="L1053" s="13" t="n">
        <v>0</v>
      </c>
      <c r="M1053" s="14">
        <f>SUMIFS(Maßnahmen!$I$7:$I$126,Maßnahmen!$D$7:$D$126,C1053,Maßnahmen!$H$7:$H$126,"&lt;&gt;verworfen")</f>
        <v/>
      </c>
      <c r="N1053" s="14">
        <f>IF(ISNUMBER(K1053),MAX(0,K1053-L1053-M1053),"n.a.")</f>
        <v/>
      </c>
      <c r="O1053" s="14" t="n">
        <v>326.4</v>
      </c>
      <c r="P1053" s="14">
        <f>IF(ISNUMBER(K1053),K1053-O1053,"n.a.")</f>
        <v/>
      </c>
    </row>
    <row r="1054" ht="32" customHeight="1">
      <c r="C1054" s="10" t="inlineStr">
        <is>
          <t>PRJ-39e5498d-RK-08</t>
        </is>
      </c>
      <c r="D1054" s="10" t="inlineStr">
        <is>
          <t>W4102504941</t>
        </is>
      </c>
      <c r="E1054" s="11" t="inlineStr">
        <is>
          <t>Gebäudehöhe &gt;22 m / Longfront-Bagger (+130–150 %)</t>
        </is>
      </c>
      <c r="F1054" s="10" t="inlineStr">
        <is>
          <t>Termin</t>
        </is>
      </c>
      <c r="G1054" s="12" t="n">
        <v>0.6</v>
      </c>
      <c r="H1054" s="13" t="n">
        <v>90</v>
      </c>
      <c r="I1054" s="13" t="n">
        <v>180</v>
      </c>
      <c r="J1054" s="13" t="n">
        <v>340</v>
      </c>
      <c r="K1054" s="14">
        <f>IF(OR(COUNT(G1054:J1054)&lt;&gt;4,G1054&lt;0,G1054&gt;1,H1054&gt;I1054,I1054&gt;J1054),"n.a.",ROUND(G1054*(H1054+4*I1054+J1054)/6+0.00000001,2))</f>
        <v/>
      </c>
      <c r="L1054" s="13" t="n">
        <v>0</v>
      </c>
      <c r="M1054" s="14">
        <f>SUMIFS(Maßnahmen!$I$7:$I$126,Maßnahmen!$D$7:$D$126,C1054,Maßnahmen!$H$7:$H$126,"&lt;&gt;verworfen")</f>
        <v/>
      </c>
      <c r="N1054" s="14">
        <f>IF(ISNUMBER(K1054),MAX(0,K1054-L1054-M1054),"n.a.")</f>
        <v/>
      </c>
      <c r="O1054" s="14" t="n">
        <v>115</v>
      </c>
      <c r="P1054" s="14">
        <f>IF(ISNUMBER(K1054),K1054-O1054,"n.a.")</f>
        <v/>
      </c>
    </row>
    <row r="1055" ht="32" customHeight="1">
      <c r="C1055" s="10" t="inlineStr">
        <is>
          <t>PRJ-39e5498d-RK-09</t>
        </is>
      </c>
      <c r="D1055" s="10" t="inlineStr">
        <is>
          <t>W4102504941</t>
        </is>
      </c>
      <c r="E1055" s="11" t="inlineStr">
        <is>
          <t>Beennte Lage / nur Handabbruch möglich</t>
        </is>
      </c>
      <c r="F1055" s="10" t="inlineStr">
        <is>
          <t>Termin</t>
        </is>
      </c>
      <c r="G1055" s="12" t="n">
        <v>0.15</v>
      </c>
      <c r="H1055" s="13" t="n">
        <v>8</v>
      </c>
      <c r="I1055" s="13" t="n">
        <v>20</v>
      </c>
      <c r="J1055" s="13" t="n">
        <v>50</v>
      </c>
      <c r="K1055" s="14">
        <f>IF(OR(COUNT(G1055:J1055)&lt;&gt;4,G1055&lt;0,G1055&gt;1,H1055&gt;I1055,I1055&gt;J1055),"n.a.",ROUND(G1055*(H1055+4*I1055+J1055)/6+0.00000001,2))</f>
        <v/>
      </c>
      <c r="L1055" s="13" t="n">
        <v>0</v>
      </c>
      <c r="M1055" s="14">
        <f>SUMIFS(Maßnahmen!$I$7:$I$126,Maßnahmen!$D$7:$D$126,C1055,Maßnahmen!$H$7:$H$126,"&lt;&gt;verworfen")</f>
        <v/>
      </c>
      <c r="N1055" s="14">
        <f>IF(ISNUMBER(K1055),MAX(0,K1055-L1055-M1055),"n.a.")</f>
        <v/>
      </c>
      <c r="O1055" s="14" t="n">
        <v>3.45</v>
      </c>
      <c r="P1055" s="14">
        <f>IF(ISNUMBER(K1055),K1055-O1055,"n.a.")</f>
        <v/>
      </c>
    </row>
    <row r="1056" ht="32" customHeight="1">
      <c r="C1056" s="10" t="inlineStr">
        <is>
          <t>PRJ-39e5498d-RK-10</t>
        </is>
      </c>
      <c r="D1056" s="10" t="inlineStr">
        <is>
          <t>W4102504941</t>
        </is>
      </c>
      <c r="E1056" s="11" t="inlineStr">
        <is>
          <t>Terminvorgabe Auftraggeber / Geräteauslastung</t>
        </is>
      </c>
      <c r="F1056" s="10" t="inlineStr">
        <is>
          <t>Termin</t>
        </is>
      </c>
      <c r="G1056" s="12" t="n">
        <v>0.1</v>
      </c>
      <c r="H1056" s="13" t="n">
        <v>8</v>
      </c>
      <c r="I1056" s="13" t="n">
        <v>20</v>
      </c>
      <c r="J1056" s="13" t="n">
        <v>50</v>
      </c>
      <c r="K1056" s="14">
        <f>IF(OR(COUNT(G1056:J1056)&lt;&gt;4,G1056&lt;0,G1056&gt;1,H1056&gt;I1056,I1056&gt;J1056),"n.a.",ROUND(G1056*(H1056+4*I1056+J1056)/6+0.00000001,2))</f>
        <v/>
      </c>
      <c r="L1056" s="13" t="n">
        <v>0</v>
      </c>
      <c r="M1056" s="14">
        <f>SUMIFS(Maßnahmen!$I$7:$I$126,Maßnahmen!$D$7:$D$126,C1056,Maßnahmen!$H$7:$H$126,"&lt;&gt;verworfen")</f>
        <v/>
      </c>
      <c r="N1056" s="14">
        <f>IF(ISNUMBER(K1056),MAX(0,K1056-L1056-M1056),"n.a.")</f>
        <v/>
      </c>
      <c r="O1056" s="14" t="n">
        <v>2.3</v>
      </c>
      <c r="P1056" s="14">
        <f>IF(ISNUMBER(K1056),K1056-O1056,"n.a.")</f>
        <v/>
      </c>
    </row>
    <row r="1057" ht="32" customHeight="1">
      <c r="C1057" s="10" t="inlineStr">
        <is>
          <t>PRJ-39e5498d-RK-11</t>
        </is>
      </c>
      <c r="D1057" s="10" t="inlineStr">
        <is>
          <t>W4102504941</t>
        </is>
      </c>
      <c r="E1057" s="11" t="inlineStr">
        <is>
          <t>Witterung / Ablaufstörung</t>
        </is>
      </c>
      <c r="F1057" s="10" t="inlineStr">
        <is>
          <t>Termin</t>
        </is>
      </c>
      <c r="G1057" s="12" t="n">
        <v>0.25</v>
      </c>
      <c r="H1057" s="13" t="n">
        <v>10</v>
      </c>
      <c r="I1057" s="13" t="n">
        <v>30</v>
      </c>
      <c r="J1057" s="13" t="n">
        <v>60</v>
      </c>
      <c r="K1057" s="14">
        <f>IF(OR(COUNT(G1057:J1057)&lt;&gt;4,G1057&lt;0,G1057&gt;1,H1057&gt;I1057,I1057&gt;J1057),"n.a.",ROUND(G1057*(H1057+4*I1057+J1057)/6+0.00000001,2))</f>
        <v/>
      </c>
      <c r="L1057" s="13" t="n">
        <v>0</v>
      </c>
      <c r="M1057" s="14">
        <f>SUMIFS(Maßnahmen!$I$7:$I$126,Maßnahmen!$D$7:$D$126,C1057,Maßnahmen!$H$7:$H$126,"&lt;&gt;verworfen")</f>
        <v/>
      </c>
      <c r="N1057" s="14">
        <f>IF(ISNUMBER(K1057),MAX(0,K1057-L1057-M1057),"n.a.")</f>
        <v/>
      </c>
      <c r="O1057" s="14" t="n">
        <v>7.92</v>
      </c>
      <c r="P1057" s="14">
        <f>IF(ISNUMBER(K1057),K1057-O1057,"n.a.")</f>
        <v/>
      </c>
    </row>
    <row r="1058" ht="32" customHeight="1">
      <c r="C1058" s="10" t="inlineStr">
        <is>
          <t>PRJ-39e5498d-RK-12</t>
        </is>
      </c>
      <c r="D1058" s="10" t="inlineStr">
        <is>
          <t>W4102504941</t>
        </is>
      </c>
      <c r="E1058" s="11" t="inlineStr">
        <is>
          <t>Staubemissionen (höchster Aufwand laut Umfrage)</t>
        </is>
      </c>
      <c r="F1058" s="10" t="inlineStr">
        <is>
          <t>Emissionen</t>
        </is>
      </c>
      <c r="G1058" s="12" t="n">
        <v>0.1</v>
      </c>
      <c r="H1058" s="13" t="n">
        <v>30</v>
      </c>
      <c r="I1058" s="13" t="n">
        <v>60</v>
      </c>
      <c r="J1058" s="13" t="n">
        <v>120</v>
      </c>
      <c r="K1058" s="14">
        <f>IF(OR(COUNT(G1058:J1058)&lt;&gt;4,G1058&lt;0,G1058&gt;1,H1058&gt;I1058,I1058&gt;J1058),"n.a.",ROUND(G1058*(H1058+4*I1058+J1058)/6+0.00000001,2))</f>
        <v/>
      </c>
      <c r="L1058" s="13" t="n">
        <v>0</v>
      </c>
      <c r="M1058" s="14">
        <f>SUMIFS(Maßnahmen!$I$7:$I$126,Maßnahmen!$D$7:$D$126,C1058,Maßnahmen!$H$7:$H$126,"&lt;&gt;verworfen")</f>
        <v/>
      </c>
      <c r="N1058" s="14">
        <f>IF(ISNUMBER(K1058),MAX(0,K1058-L1058-M1058),"n.a.")</f>
        <v/>
      </c>
      <c r="O1058" s="14" t="n">
        <v>6.5</v>
      </c>
      <c r="P1058" s="14">
        <f>IF(ISNUMBER(K1058),K1058-O1058,"n.a.")</f>
        <v/>
      </c>
    </row>
    <row r="1059" ht="32" customHeight="1">
      <c r="C1059" s="10" t="inlineStr">
        <is>
          <t>PRJ-39e5498d-RK-13</t>
        </is>
      </c>
      <c r="D1059" s="10" t="inlineStr">
        <is>
          <t>W4102504941</t>
        </is>
      </c>
      <c r="E1059" s="11" t="inlineStr">
        <is>
          <t>Lärm- und Erschütterungsauflagen</t>
        </is>
      </c>
      <c r="F1059" s="10" t="inlineStr">
        <is>
          <t>Emissionen</t>
        </is>
      </c>
      <c r="G1059" s="12" t="n">
        <v>0.2</v>
      </c>
      <c r="H1059" s="13" t="n">
        <v>20</v>
      </c>
      <c r="I1059" s="13" t="n">
        <v>50</v>
      </c>
      <c r="J1059" s="13" t="n">
        <v>100</v>
      </c>
      <c r="K1059" s="14">
        <f>IF(OR(COUNT(G1059:J1059)&lt;&gt;4,G1059&lt;0,G1059&gt;1,H1059&gt;I1059,I1059&gt;J1059),"n.a.",ROUND(G1059*(H1059+4*I1059+J1059)/6+0.00000001,2))</f>
        <v/>
      </c>
      <c r="L1059" s="13" t="n">
        <v>0</v>
      </c>
      <c r="M1059" s="14">
        <f>SUMIFS(Maßnahmen!$I$7:$I$126,Maßnahmen!$D$7:$D$126,C1059,Maßnahmen!$H$7:$H$126,"&lt;&gt;verworfen")</f>
        <v/>
      </c>
      <c r="N1059" s="14">
        <f>IF(ISNUMBER(K1059),MAX(0,K1059-L1059-M1059),"n.a.")</f>
        <v/>
      </c>
      <c r="O1059" s="14" t="n">
        <v>10.67</v>
      </c>
      <c r="P1059" s="14">
        <f>IF(ISNUMBER(K1059),K1059-O1059,"n.a.")</f>
        <v/>
      </c>
    </row>
    <row r="1060" ht="32" customHeight="1">
      <c r="C1060" s="10" t="inlineStr">
        <is>
          <t>PRJ-39e5498d-RK-15</t>
        </is>
      </c>
      <c r="D1060" s="10" t="inlineStr">
        <is>
          <t>W4102504941</t>
        </is>
      </c>
      <c r="E1060" s="11" t="inlineStr">
        <is>
          <t>Konjunktur / Sekundärstoffpreise &amp; Gerätemiete</t>
        </is>
      </c>
      <c r="F1060" s="10" t="inlineStr">
        <is>
          <t>Markt</t>
        </is>
      </c>
      <c r="G1060" s="12" t="n">
        <v>0.12</v>
      </c>
      <c r="H1060" s="13" t="n">
        <v>8</v>
      </c>
      <c r="I1060" s="13" t="n">
        <v>20</v>
      </c>
      <c r="J1060" s="13" t="n">
        <v>50</v>
      </c>
      <c r="K1060" s="14">
        <f>IF(OR(COUNT(G1060:J1060)&lt;&gt;4,G1060&lt;0,G1060&gt;1,H1060&gt;I1060,I1060&gt;J1060),"n.a.",ROUND(G1060*(H1060+4*I1060+J1060)/6+0.00000001,2))</f>
        <v/>
      </c>
      <c r="L1060" s="13" t="n">
        <v>0</v>
      </c>
      <c r="M1060" s="14">
        <f>SUMIFS(Maßnahmen!$I$7:$I$126,Maßnahmen!$D$7:$D$126,C1060,Maßnahmen!$H$7:$H$126,"&lt;&gt;verworfen")</f>
        <v/>
      </c>
      <c r="N1060" s="14">
        <f>IF(ISNUMBER(K1060),MAX(0,K1060-L1060-M1060),"n.a.")</f>
        <v/>
      </c>
      <c r="O1060" s="14" t="n">
        <v>2.76</v>
      </c>
      <c r="P1060" s="14">
        <f>IF(ISNUMBER(K1060),K1060-O1060,"n.a.")</f>
        <v/>
      </c>
    </row>
    <row r="1061" ht="32" customHeight="1">
      <c r="C1061" s="10" t="inlineStr">
        <is>
          <t>PRJ-37eb7325-RK-01</t>
        </is>
      </c>
      <c r="D1061" s="10" t="inlineStr">
        <is>
          <t>W4102651216</t>
        </is>
      </c>
      <c r="E1061" s="11" t="inlineStr">
        <is>
          <t>Schadstofffund / Schadstoffsanierung (Asbest, PAK, PCB, PCP)</t>
        </is>
      </c>
      <c r="F1061" s="10" t="inlineStr">
        <is>
          <t>Schadstoffe</t>
        </is>
      </c>
      <c r="G1061" s="12" t="n">
        <v>0.1</v>
      </c>
      <c r="H1061" s="13" t="n">
        <v>46</v>
      </c>
      <c r="I1061" s="13" t="n">
        <v>114</v>
      </c>
      <c r="J1061" s="13" t="n">
        <v>229</v>
      </c>
      <c r="K1061" s="14">
        <f>IF(OR(COUNT(G1061:J1061)&lt;&gt;4,G1061&lt;0,G1061&gt;1,H1061&gt;I1061,I1061&gt;J1061),"n.a.",ROUND(G1061*(H1061+4*I1061+J1061)/6+0.00000001,2))</f>
        <v/>
      </c>
      <c r="L1061" s="13" t="n">
        <v>0</v>
      </c>
      <c r="M1061" s="14">
        <f>SUMIFS(Maßnahmen!$I$7:$I$126,Maßnahmen!$D$7:$D$126,C1061,Maßnahmen!$H$7:$H$126,"&lt;&gt;verworfen")</f>
        <v/>
      </c>
      <c r="N1061" s="14">
        <f>IF(ISNUMBER(K1061),MAX(0,K1061-L1061-M1061),"n.a.")</f>
        <v/>
      </c>
      <c r="O1061" s="14" t="n">
        <v>12.18</v>
      </c>
      <c r="P1061" s="14">
        <f>IF(ISNUMBER(K1061),K1061-O1061,"n.a.")</f>
        <v/>
      </c>
    </row>
    <row r="1062" ht="32" customHeight="1">
      <c r="C1062" s="10" t="inlineStr">
        <is>
          <t>PRJ-37eb7325-RK-02</t>
        </is>
      </c>
      <c r="D1062" s="10" t="inlineStr">
        <is>
          <t>W4102651216</t>
        </is>
      </c>
      <c r="E1062" s="11" t="inlineStr">
        <is>
          <t>Arbeitsschutz kontaminierte Bereiche (TRGS 524)</t>
        </is>
      </c>
      <c r="F1062" s="10" t="inlineStr">
        <is>
          <t>Schadstoffe</t>
        </is>
      </c>
      <c r="G1062" s="12" t="n">
        <v>0.47</v>
      </c>
      <c r="H1062" s="13" t="n">
        <v>46</v>
      </c>
      <c r="I1062" s="13" t="n">
        <v>114</v>
      </c>
      <c r="J1062" s="13" t="n">
        <v>229</v>
      </c>
      <c r="K1062" s="14">
        <f>IF(OR(COUNT(G1062:J1062)&lt;&gt;4,G1062&lt;0,G1062&gt;1,H1062&gt;I1062,I1062&gt;J1062),"n.a.",ROUND(G1062*(H1062+4*I1062+J1062)/6+0.00000001,2))</f>
        <v/>
      </c>
      <c r="L1062" s="13" t="n">
        <v>0</v>
      </c>
      <c r="M1062" s="14">
        <f>SUMIFS(Maßnahmen!$I$7:$I$126,Maßnahmen!$D$7:$D$126,C1062,Maßnahmen!$H$7:$H$126,"&lt;&gt;verworfen")</f>
        <v/>
      </c>
      <c r="N1062" s="14">
        <f>IF(ISNUMBER(K1062),MAX(0,K1062-L1062-M1062),"n.a.")</f>
        <v/>
      </c>
      <c r="O1062" s="14" t="n">
        <v>57.26</v>
      </c>
      <c r="P1062" s="14">
        <f>IF(ISNUMBER(K1062),K1062-O1062,"n.a.")</f>
        <v/>
      </c>
    </row>
    <row r="1063" ht="32" customHeight="1">
      <c r="C1063" s="10" t="inlineStr">
        <is>
          <t>PRJ-37eb7325-RK-03</t>
        </is>
      </c>
      <c r="D1063" s="10" t="inlineStr">
        <is>
          <t>W4102651216</t>
        </is>
      </c>
      <c r="E1063" s="11" t="inlineStr">
        <is>
          <t>Entsorgungs-Mehrkosten / Entsorgungswege</t>
        </is>
      </c>
      <c r="F1063" s="10" t="inlineStr">
        <is>
          <t>Entsorgung</t>
        </is>
      </c>
      <c r="G1063" s="12" t="n">
        <v>0.15</v>
      </c>
      <c r="H1063" s="13" t="n">
        <v>46</v>
      </c>
      <c r="I1063" s="13" t="n">
        <v>114</v>
      </c>
      <c r="J1063" s="13" t="n">
        <v>229</v>
      </c>
      <c r="K1063" s="14">
        <f>IF(OR(COUNT(G1063:J1063)&lt;&gt;4,G1063&lt;0,G1063&gt;1,H1063&gt;I1063,I1063&gt;J1063),"n.a.",ROUND(G1063*(H1063+4*I1063+J1063)/6+0.00000001,2))</f>
        <v/>
      </c>
      <c r="L1063" s="13" t="n">
        <v>0</v>
      </c>
      <c r="M1063" s="14">
        <f>SUMIFS(Maßnahmen!$I$7:$I$126,Maßnahmen!$D$7:$D$126,C1063,Maßnahmen!$H$7:$H$126,"&lt;&gt;verworfen")</f>
        <v/>
      </c>
      <c r="N1063" s="14">
        <f>IF(ISNUMBER(K1063),MAX(0,K1063-L1063-M1063),"n.a.")</f>
        <v/>
      </c>
      <c r="O1063" s="14" t="n">
        <v>18.28</v>
      </c>
      <c r="P1063" s="14">
        <f>IF(ISNUMBER(K1063),K1063-O1063,"n.a.")</f>
        <v/>
      </c>
    </row>
    <row r="1064" ht="32" customHeight="1">
      <c r="C1064" s="10" t="inlineStr">
        <is>
          <t>PRJ-37eb7325-RK-04</t>
        </is>
      </c>
      <c r="D1064" s="10" t="inlineStr">
        <is>
          <t>W4102651216</t>
        </is>
      </c>
      <c r="E1064" s="11" t="inlineStr">
        <is>
          <t>Baustofftrennung / Aufbereitung nicht wie geplant</t>
        </is>
      </c>
      <c r="F1064" s="10" t="inlineStr">
        <is>
          <t>Entsorgung</t>
        </is>
      </c>
      <c r="G1064" s="12" t="n">
        <v>0.1</v>
      </c>
      <c r="H1064" s="13" t="n">
        <v>46</v>
      </c>
      <c r="I1064" s="13" t="n">
        <v>114</v>
      </c>
      <c r="J1064" s="13" t="n">
        <v>229</v>
      </c>
      <c r="K1064" s="14">
        <f>IF(OR(COUNT(G1064:J1064)&lt;&gt;4,G1064&lt;0,G1064&gt;1,H1064&gt;I1064,I1064&gt;J1064),"n.a.",ROUND(G1064*(H1064+4*I1064+J1064)/6+0.00000001,2))</f>
        <v/>
      </c>
      <c r="L1064" s="13" t="n">
        <v>0</v>
      </c>
      <c r="M1064" s="14">
        <f>SUMIFS(Maßnahmen!$I$7:$I$126,Maßnahmen!$D$7:$D$126,C1064,Maßnahmen!$H$7:$H$126,"&lt;&gt;verworfen")</f>
        <v/>
      </c>
      <c r="N1064" s="14">
        <f>IF(ISNUMBER(K1064),MAX(0,K1064-L1064-M1064),"n.a.")</f>
        <v/>
      </c>
      <c r="O1064" s="14" t="n">
        <v>12.18</v>
      </c>
      <c r="P1064" s="14">
        <f>IF(ISNUMBER(K1064),K1064-O1064,"n.a.")</f>
        <v/>
      </c>
    </row>
    <row r="1065" ht="32" customHeight="1">
      <c r="C1065" s="10" t="inlineStr">
        <is>
          <t>PRJ-37eb7325-RK-05</t>
        </is>
      </c>
      <c r="D1065" s="10" t="inlineStr">
        <is>
          <t>W4102651216</t>
        </is>
      </c>
      <c r="E1065" s="11" t="inlineStr">
        <is>
          <t>Unbekannte Bauwerkskonstruktion / fehlende Pläne</t>
        </is>
      </c>
      <c r="F1065" s="10" t="inlineStr">
        <is>
          <t>Statik</t>
        </is>
      </c>
      <c r="G1065" s="12" t="n">
        <v>0.12</v>
      </c>
      <c r="H1065" s="13" t="n">
        <v>91</v>
      </c>
      <c r="I1065" s="13" t="n">
        <v>183</v>
      </c>
      <c r="J1065" s="13" t="n">
        <v>343</v>
      </c>
      <c r="K1065" s="14">
        <f>IF(OR(COUNT(G1065:J1065)&lt;&gt;4,G1065&lt;0,G1065&gt;1,H1065&gt;I1065,I1065&gt;J1065),"n.a.",ROUND(G1065*(H1065+4*I1065+J1065)/6+0.00000001,2))</f>
        <v/>
      </c>
      <c r="L1065" s="13" t="n">
        <v>0</v>
      </c>
      <c r="M1065" s="14">
        <f>SUMIFS(Maßnahmen!$I$7:$I$126,Maßnahmen!$D$7:$D$126,C1065,Maßnahmen!$H$7:$H$126,"&lt;&gt;verworfen")</f>
        <v/>
      </c>
      <c r="N1065" s="14">
        <f>IF(ISNUMBER(K1065),MAX(0,K1065-L1065-M1065),"n.a.")</f>
        <v/>
      </c>
      <c r="O1065" s="14" t="n">
        <v>23.32</v>
      </c>
      <c r="P1065" s="14">
        <f>IF(ISNUMBER(K1065),K1065-O1065,"n.a.")</f>
        <v/>
      </c>
    </row>
    <row r="1066" ht="32" customHeight="1">
      <c r="C1066" s="10" t="inlineStr">
        <is>
          <t>PRJ-37eb7325-RK-06</t>
        </is>
      </c>
      <c r="D1066" s="10" t="inlineStr">
        <is>
          <t>W4102651216</t>
        </is>
      </c>
      <c r="E1066" s="11" t="inlineStr">
        <is>
          <t>Statik / Einsturzsicherung während Abbruch</t>
        </is>
      </c>
      <c r="F1066" s="10" t="inlineStr">
        <is>
          <t>Statik</t>
        </is>
      </c>
      <c r="G1066" s="12" t="n">
        <v>0.12</v>
      </c>
      <c r="H1066" s="13" t="n">
        <v>69</v>
      </c>
      <c r="I1066" s="13" t="n">
        <v>160</v>
      </c>
      <c r="J1066" s="13" t="n">
        <v>320</v>
      </c>
      <c r="K1066" s="14">
        <f>IF(OR(COUNT(G1066:J1066)&lt;&gt;4,G1066&lt;0,G1066&gt;1,H1066&gt;I1066,I1066&gt;J1066),"n.a.",ROUND(G1066*(H1066+4*I1066+J1066)/6+0.00000001,2))</f>
        <v/>
      </c>
      <c r="L1066" s="13" t="n">
        <v>0</v>
      </c>
      <c r="M1066" s="14">
        <f>SUMIFS(Maßnahmen!$I$7:$I$126,Maßnahmen!$D$7:$D$126,C1066,Maßnahmen!$H$7:$H$126,"&lt;&gt;verworfen")</f>
        <v/>
      </c>
      <c r="N1066" s="14">
        <f>IF(ISNUMBER(K1066),MAX(0,K1066-L1066-M1066),"n.a.")</f>
        <v/>
      </c>
      <c r="O1066" s="14" t="n">
        <v>20.58</v>
      </c>
      <c r="P1066" s="14">
        <f>IF(ISNUMBER(K1066),K1066-O1066,"n.a.")</f>
        <v/>
      </c>
    </row>
    <row r="1067" ht="32" customHeight="1">
      <c r="C1067" s="10" t="inlineStr">
        <is>
          <t>PRJ-37eb7325-RK-07</t>
        </is>
      </c>
      <c r="D1067" s="10" t="inlineStr">
        <is>
          <t>W4102651216</t>
        </is>
      </c>
      <c r="E1067" s="11" t="inlineStr">
        <is>
          <t>Unterirdische Tragkonstruktion / Fundamente</t>
        </is>
      </c>
      <c r="F1067" s="10" t="inlineStr">
        <is>
          <t>Statik</t>
        </is>
      </c>
      <c r="G1067" s="12" t="n">
        <v>0.5</v>
      </c>
      <c r="H1067" s="13" t="n">
        <v>11</v>
      </c>
      <c r="I1067" s="13" t="n">
        <v>46</v>
      </c>
      <c r="J1067" s="13" t="n">
        <v>114</v>
      </c>
      <c r="K1067" s="14">
        <f>IF(OR(COUNT(G1067:J1067)&lt;&gt;4,G1067&lt;0,G1067&gt;1,H1067&gt;I1067,I1067&gt;J1067),"n.a.",ROUND(G1067*(H1067+4*I1067+J1067)/6+0.00000001,2))</f>
        <v/>
      </c>
      <c r="L1067" s="13" t="n">
        <v>0</v>
      </c>
      <c r="M1067" s="14">
        <f>SUMIFS(Maßnahmen!$I$7:$I$126,Maßnahmen!$D$7:$D$126,C1067,Maßnahmen!$H$7:$H$126,"&lt;&gt;verworfen")</f>
        <v/>
      </c>
      <c r="N1067" s="14">
        <f>IF(ISNUMBER(K1067),MAX(0,K1067-L1067-M1067),"n.a.")</f>
        <v/>
      </c>
      <c r="O1067" s="14" t="n">
        <v>25.75</v>
      </c>
      <c r="P1067" s="14">
        <f>IF(ISNUMBER(K1067),K1067-O1067,"n.a.")</f>
        <v/>
      </c>
    </row>
    <row r="1068" ht="32" customHeight="1">
      <c r="C1068" s="10" t="inlineStr">
        <is>
          <t>PRJ-37eb7325-RK-08</t>
        </is>
      </c>
      <c r="D1068" s="10" t="inlineStr">
        <is>
          <t>W4102651216</t>
        </is>
      </c>
      <c r="E1068" s="11" t="inlineStr">
        <is>
          <t>Gebäudehöhe &gt;22 m / Longfront-Bagger (+130–150 %)</t>
        </is>
      </c>
      <c r="F1068" s="10" t="inlineStr">
        <is>
          <t>Termin</t>
        </is>
      </c>
      <c r="G1068" s="12" t="n">
        <v>0.6</v>
      </c>
      <c r="H1068" s="13" t="n">
        <v>206</v>
      </c>
      <c r="I1068" s="13" t="n">
        <v>411</v>
      </c>
      <c r="J1068" s="13" t="n">
        <v>777</v>
      </c>
      <c r="K1068" s="14">
        <f>IF(OR(COUNT(G1068:J1068)&lt;&gt;4,G1068&lt;0,G1068&gt;1,H1068&gt;I1068,I1068&gt;J1068),"n.a.",ROUND(G1068*(H1068+4*I1068+J1068)/6+0.00000001,2))</f>
        <v/>
      </c>
      <c r="L1068" s="13" t="n">
        <v>0</v>
      </c>
      <c r="M1068" s="14">
        <f>SUMIFS(Maßnahmen!$I$7:$I$126,Maßnahmen!$D$7:$D$126,C1068,Maßnahmen!$H$7:$H$126,"&lt;&gt;verworfen")</f>
        <v/>
      </c>
      <c r="N1068" s="14">
        <f>IF(ISNUMBER(K1068),MAX(0,K1068-L1068-M1068),"n.a.")</f>
        <v/>
      </c>
      <c r="O1068" s="14" t="n">
        <v>262.7</v>
      </c>
      <c r="P1068" s="14">
        <f>IF(ISNUMBER(K1068),K1068-O1068,"n.a.")</f>
        <v/>
      </c>
    </row>
    <row r="1069" ht="32" customHeight="1">
      <c r="C1069" s="10" t="inlineStr">
        <is>
          <t>PRJ-37eb7325-RK-09</t>
        </is>
      </c>
      <c r="D1069" s="10" t="inlineStr">
        <is>
          <t>W4102651216</t>
        </is>
      </c>
      <c r="E1069" s="11" t="inlineStr">
        <is>
          <t>Beennte Lage / nur Handabbruch möglich</t>
        </is>
      </c>
      <c r="F1069" s="10" t="inlineStr">
        <is>
          <t>Termin</t>
        </is>
      </c>
      <c r="G1069" s="12" t="n">
        <v>0.15</v>
      </c>
      <c r="H1069" s="13" t="n">
        <v>18</v>
      </c>
      <c r="I1069" s="13" t="n">
        <v>46</v>
      </c>
      <c r="J1069" s="13" t="n">
        <v>114</v>
      </c>
      <c r="K1069" s="14">
        <f>IF(OR(COUNT(G1069:J1069)&lt;&gt;4,G1069&lt;0,G1069&gt;1,H1069&gt;I1069,I1069&gt;J1069),"n.a.",ROUND(G1069*(H1069+4*I1069+J1069)/6+0.00000001,2))</f>
        <v/>
      </c>
      <c r="L1069" s="13" t="n">
        <v>0</v>
      </c>
      <c r="M1069" s="14">
        <f>SUMIFS(Maßnahmen!$I$7:$I$126,Maßnahmen!$D$7:$D$126,C1069,Maßnahmen!$H$7:$H$126,"&lt;&gt;verworfen")</f>
        <v/>
      </c>
      <c r="N1069" s="14">
        <f>IF(ISNUMBER(K1069),MAX(0,K1069-L1069-M1069),"n.a.")</f>
        <v/>
      </c>
      <c r="O1069" s="14" t="n">
        <v>7.9</v>
      </c>
      <c r="P1069" s="14">
        <f>IF(ISNUMBER(K1069),K1069-O1069,"n.a.")</f>
        <v/>
      </c>
    </row>
    <row r="1070" ht="32" customHeight="1">
      <c r="C1070" s="10" t="inlineStr">
        <is>
          <t>PRJ-37eb7325-RK-10</t>
        </is>
      </c>
      <c r="D1070" s="10" t="inlineStr">
        <is>
          <t>W4102651216</t>
        </is>
      </c>
      <c r="E1070" s="11" t="inlineStr">
        <is>
          <t>Terminvorgabe Auftraggeber / Geräteauslastung</t>
        </is>
      </c>
      <c r="F1070" s="10" t="inlineStr">
        <is>
          <t>Termin</t>
        </is>
      </c>
      <c r="G1070" s="12" t="n">
        <v>0.1</v>
      </c>
      <c r="H1070" s="13" t="n">
        <v>18</v>
      </c>
      <c r="I1070" s="13" t="n">
        <v>46</v>
      </c>
      <c r="J1070" s="13" t="n">
        <v>114</v>
      </c>
      <c r="K1070" s="14">
        <f>IF(OR(COUNT(G1070:J1070)&lt;&gt;4,G1070&lt;0,G1070&gt;1,H1070&gt;I1070,I1070&gt;J1070),"n.a.",ROUND(G1070*(H1070+4*I1070+J1070)/6+0.00000001,2))</f>
        <v/>
      </c>
      <c r="L1070" s="13" t="n">
        <v>0</v>
      </c>
      <c r="M1070" s="14">
        <f>SUMIFS(Maßnahmen!$I$7:$I$126,Maßnahmen!$D$7:$D$126,C1070,Maßnahmen!$H$7:$H$126,"&lt;&gt;verworfen")</f>
        <v/>
      </c>
      <c r="N1070" s="14">
        <f>IF(ISNUMBER(K1070),MAX(0,K1070-L1070-M1070),"n.a.")</f>
        <v/>
      </c>
      <c r="O1070" s="14" t="n">
        <v>5.27</v>
      </c>
      <c r="P1070" s="14">
        <f>IF(ISNUMBER(K1070),K1070-O1070,"n.a.")</f>
        <v/>
      </c>
    </row>
    <row r="1071" ht="32" customHeight="1">
      <c r="C1071" s="10" t="inlineStr">
        <is>
          <t>PRJ-37eb7325-RK-11</t>
        </is>
      </c>
      <c r="D1071" s="10" t="inlineStr">
        <is>
          <t>W4102651216</t>
        </is>
      </c>
      <c r="E1071" s="11" t="inlineStr">
        <is>
          <t>Witterung / Ablaufstörung</t>
        </is>
      </c>
      <c r="F1071" s="10" t="inlineStr">
        <is>
          <t>Termin</t>
        </is>
      </c>
      <c r="G1071" s="12" t="n">
        <v>0.25</v>
      </c>
      <c r="H1071" s="13" t="n">
        <v>23</v>
      </c>
      <c r="I1071" s="13" t="n">
        <v>69</v>
      </c>
      <c r="J1071" s="13" t="n">
        <v>137</v>
      </c>
      <c r="K1071" s="14">
        <f>IF(OR(COUNT(G1071:J1071)&lt;&gt;4,G1071&lt;0,G1071&gt;1,H1071&gt;I1071,I1071&gt;J1071),"n.a.",ROUND(G1071*(H1071+4*I1071+J1071)/6+0.00000001,2))</f>
        <v/>
      </c>
      <c r="L1071" s="13" t="n">
        <v>0</v>
      </c>
      <c r="M1071" s="14">
        <f>SUMIFS(Maßnahmen!$I$7:$I$126,Maßnahmen!$D$7:$D$126,C1071,Maßnahmen!$H$7:$H$126,"&lt;&gt;verworfen")</f>
        <v/>
      </c>
      <c r="N1071" s="14">
        <f>IF(ISNUMBER(K1071),MAX(0,K1071-L1071-M1071),"n.a.")</f>
        <v/>
      </c>
      <c r="O1071" s="14" t="n">
        <v>18.17</v>
      </c>
      <c r="P1071" s="14">
        <f>IF(ISNUMBER(K1071),K1071-O1071,"n.a.")</f>
        <v/>
      </c>
    </row>
    <row r="1072" ht="32" customHeight="1">
      <c r="C1072" s="10" t="inlineStr">
        <is>
          <t>PRJ-37eb7325-RK-12</t>
        </is>
      </c>
      <c r="D1072" s="10" t="inlineStr">
        <is>
          <t>W4102651216</t>
        </is>
      </c>
      <c r="E1072" s="11" t="inlineStr">
        <is>
          <t>Staubemissionen (höchster Aufwand laut Umfrage)</t>
        </is>
      </c>
      <c r="F1072" s="10" t="inlineStr">
        <is>
          <t>Emissionen</t>
        </is>
      </c>
      <c r="G1072" s="12" t="n">
        <v>0.1</v>
      </c>
      <c r="H1072" s="13" t="n">
        <v>69</v>
      </c>
      <c r="I1072" s="13" t="n">
        <v>137</v>
      </c>
      <c r="J1072" s="13" t="n">
        <v>274</v>
      </c>
      <c r="K1072" s="14">
        <f>IF(OR(COUNT(G1072:J1072)&lt;&gt;4,G1072&lt;0,G1072&gt;1,H1072&gt;I1072,I1072&gt;J1072),"n.a.",ROUND(G1072*(H1072+4*I1072+J1072)/6+0.00000001,2))</f>
        <v/>
      </c>
      <c r="L1072" s="13" t="n">
        <v>0</v>
      </c>
      <c r="M1072" s="14">
        <f>SUMIFS(Maßnahmen!$I$7:$I$126,Maßnahmen!$D$7:$D$126,C1072,Maßnahmen!$H$7:$H$126,"&lt;&gt;verworfen")</f>
        <v/>
      </c>
      <c r="N1072" s="14">
        <f>IF(ISNUMBER(K1072),MAX(0,K1072-L1072-M1072),"n.a.")</f>
        <v/>
      </c>
      <c r="O1072" s="14" t="n">
        <v>14.85</v>
      </c>
      <c r="P1072" s="14">
        <f>IF(ISNUMBER(K1072),K1072-O1072,"n.a.")</f>
        <v/>
      </c>
    </row>
    <row r="1073" ht="32" customHeight="1">
      <c r="C1073" s="10" t="inlineStr">
        <is>
          <t>PRJ-37eb7325-RK-13</t>
        </is>
      </c>
      <c r="D1073" s="10" t="inlineStr">
        <is>
          <t>W4102651216</t>
        </is>
      </c>
      <c r="E1073" s="11" t="inlineStr">
        <is>
          <t>Lärm- und Erschütterungsauflagen</t>
        </is>
      </c>
      <c r="F1073" s="10" t="inlineStr">
        <is>
          <t>Emissionen</t>
        </is>
      </c>
      <c r="G1073" s="12" t="n">
        <v>0.2</v>
      </c>
      <c r="H1073" s="13" t="n">
        <v>46</v>
      </c>
      <c r="I1073" s="13" t="n">
        <v>114</v>
      </c>
      <c r="J1073" s="13" t="n">
        <v>229</v>
      </c>
      <c r="K1073" s="14">
        <f>IF(OR(COUNT(G1073:J1073)&lt;&gt;4,G1073&lt;0,G1073&gt;1,H1073&gt;I1073,I1073&gt;J1073),"n.a.",ROUND(G1073*(H1073+4*I1073+J1073)/6+0.00000001,2))</f>
        <v/>
      </c>
      <c r="L1073" s="13" t="n">
        <v>0</v>
      </c>
      <c r="M1073" s="14">
        <f>SUMIFS(Maßnahmen!$I$7:$I$126,Maßnahmen!$D$7:$D$126,C1073,Maßnahmen!$H$7:$H$126,"&lt;&gt;verworfen")</f>
        <v/>
      </c>
      <c r="N1073" s="14">
        <f>IF(ISNUMBER(K1073),MAX(0,K1073-L1073-M1073),"n.a.")</f>
        <v/>
      </c>
      <c r="O1073" s="14" t="n">
        <v>24.37</v>
      </c>
      <c r="P1073" s="14">
        <f>IF(ISNUMBER(K1073),K1073-O1073,"n.a.")</f>
        <v/>
      </c>
    </row>
    <row r="1074" ht="32" customHeight="1">
      <c r="C1074" s="10" t="inlineStr">
        <is>
          <t>PRJ-4a6f9cfb-RK-01</t>
        </is>
      </c>
      <c r="D1074" s="10" t="inlineStr">
        <is>
          <t>P4102608246</t>
        </is>
      </c>
      <c r="E1074" s="11" t="inlineStr">
        <is>
          <t>Schadstofffund / Schadstoffsanierung (Asbest, PAK, PCB, PCP)</t>
        </is>
      </c>
      <c r="F1074" s="10" t="inlineStr">
        <is>
          <t>Schadstoffe</t>
        </is>
      </c>
      <c r="G1074" s="12" t="n">
        <v>0.7</v>
      </c>
      <c r="H1074" s="13" t="n">
        <v>144858</v>
      </c>
      <c r="I1074" s="13" t="n">
        <v>186246</v>
      </c>
      <c r="J1074" s="13" t="n">
        <v>269021</v>
      </c>
      <c r="K1074" s="14">
        <f>IF(OR(COUNT(G1074:J1074)&lt;&gt;4,G1074&lt;0,G1074&gt;1,H1074&gt;I1074,I1074&gt;J1074),"n.a.",ROUND(G1074*(H1074+4*I1074+J1074)/6+0.00000001,2))</f>
        <v/>
      </c>
      <c r="L1074" s="13" t="n">
        <v>0</v>
      </c>
      <c r="M1074" s="14">
        <f>SUMIFS(Maßnahmen!$I$7:$I$126,Maßnahmen!$D$7:$D$126,C1074,Maßnahmen!$H$7:$H$126,"&lt;&gt;verworfen")</f>
        <v/>
      </c>
      <c r="N1074" s="14">
        <f>IF(ISNUMBER(K1074),MAX(0,K1074-L1074-M1074),"n.a.")</f>
        <v/>
      </c>
      <c r="O1074" s="14" t="n">
        <v>135200.68</v>
      </c>
      <c r="P1074" s="14">
        <f>IF(ISNUMBER(K1074),K1074-O1074,"n.a.")</f>
        <v/>
      </c>
    </row>
    <row r="1075" ht="32" customHeight="1">
      <c r="C1075" s="10" t="inlineStr">
        <is>
          <t>PRJ-4a6f9cfb-RK-02</t>
        </is>
      </c>
      <c r="D1075" s="10" t="inlineStr">
        <is>
          <t>P4102608246</t>
        </is>
      </c>
      <c r="E1075" s="11" t="inlineStr">
        <is>
          <t>Arbeitsschutz kontaminierte Bereiche (TRGS 524)</t>
        </is>
      </c>
      <c r="F1075" s="10" t="inlineStr">
        <is>
          <t>Schadstoffe</t>
        </is>
      </c>
      <c r="G1075" s="12" t="n">
        <v>0.1</v>
      </c>
      <c r="H1075" s="13" t="n">
        <v>2069</v>
      </c>
      <c r="I1075" s="13" t="n">
        <v>4139</v>
      </c>
      <c r="J1075" s="13" t="n">
        <v>8278</v>
      </c>
      <c r="K1075" s="14">
        <f>IF(OR(COUNT(G1075:J1075)&lt;&gt;4,G1075&lt;0,G1075&gt;1,H1075&gt;I1075,I1075&gt;J1075),"n.a.",ROUND(G1075*(H1075+4*I1075+J1075)/6+0.00000001,2))</f>
        <v/>
      </c>
      <c r="L1075" s="13" t="n">
        <v>0</v>
      </c>
      <c r="M1075" s="14">
        <f>SUMIFS(Maßnahmen!$I$7:$I$126,Maßnahmen!$D$7:$D$126,C1075,Maßnahmen!$H$7:$H$126,"&lt;&gt;verworfen")</f>
        <v/>
      </c>
      <c r="N1075" s="14">
        <f>IF(ISNUMBER(K1075),MAX(0,K1075-L1075-M1075),"n.a.")</f>
        <v/>
      </c>
      <c r="O1075" s="14" t="n">
        <v>448.38</v>
      </c>
      <c r="P1075" s="14">
        <f>IF(ISNUMBER(K1075),K1075-O1075,"n.a.")</f>
        <v/>
      </c>
    </row>
    <row r="1076" ht="32" customHeight="1">
      <c r="C1076" s="10" t="inlineStr">
        <is>
          <t>PRJ-4a6f9cfb-RK-03</t>
        </is>
      </c>
      <c r="D1076" s="10" t="inlineStr">
        <is>
          <t>P4102608246</t>
        </is>
      </c>
      <c r="E1076" s="11" t="inlineStr">
        <is>
          <t>Entsorgungs-Mehrkosten / Entsorgungswege</t>
        </is>
      </c>
      <c r="F1076" s="10" t="inlineStr">
        <is>
          <t>Entsorgung</t>
        </is>
      </c>
      <c r="G1076" s="12" t="n">
        <v>0.55</v>
      </c>
      <c r="H1076" s="13" t="n">
        <v>71392</v>
      </c>
      <c r="I1076" s="13" t="n">
        <v>131144</v>
      </c>
      <c r="J1076" s="13" t="n">
        <v>214952</v>
      </c>
      <c r="K1076" s="14">
        <f>IF(OR(COUNT(G1076:J1076)&lt;&gt;4,G1076&lt;0,G1076&gt;1,H1076&gt;I1076,I1076&gt;J1076),"n.a.",ROUND(G1076*(H1076+4*I1076+J1076)/6+0.00000001,2))</f>
        <v/>
      </c>
      <c r="L1076" s="13" t="n">
        <v>0</v>
      </c>
      <c r="M1076" s="14">
        <f>SUMIFS(Maßnahmen!$I$7:$I$126,Maßnahmen!$D$7:$D$126,C1076,Maßnahmen!$H$7:$H$126,"&lt;&gt;verworfen")</f>
        <v/>
      </c>
      <c r="N1076" s="14">
        <f>IF(ISNUMBER(K1076),MAX(0,K1076-L1076-M1076),"n.a.")</f>
        <v/>
      </c>
      <c r="O1076" s="14" t="n">
        <v>74334.33</v>
      </c>
      <c r="P1076" s="14">
        <f>IF(ISNUMBER(K1076),K1076-O1076,"n.a.")</f>
        <v/>
      </c>
    </row>
    <row r="1077" ht="32" customHeight="1">
      <c r="C1077" s="10" t="inlineStr">
        <is>
          <t>PRJ-4a6f9cfb-RK-04</t>
        </is>
      </c>
      <c r="D1077" s="10" t="inlineStr">
        <is>
          <t>P4102608246</t>
        </is>
      </c>
      <c r="E1077" s="11" t="inlineStr">
        <is>
          <t>Baustofftrennung / Aufbereitung nicht wie geplant</t>
        </is>
      </c>
      <c r="F1077" s="10" t="inlineStr">
        <is>
          <t>Entsorgung</t>
        </is>
      </c>
      <c r="G1077" s="12" t="n">
        <v>0.08</v>
      </c>
      <c r="H1077" s="13" t="n">
        <v>2069</v>
      </c>
      <c r="I1077" s="13" t="n">
        <v>4139</v>
      </c>
      <c r="J1077" s="13" t="n">
        <v>8278</v>
      </c>
      <c r="K1077" s="14">
        <f>IF(OR(COUNT(G1077:J1077)&lt;&gt;4,G1077&lt;0,G1077&gt;1,H1077&gt;I1077,I1077&gt;J1077),"n.a.",ROUND(G1077*(H1077+4*I1077+J1077)/6+0.00000001,2))</f>
        <v/>
      </c>
      <c r="L1077" s="13" t="n">
        <v>0</v>
      </c>
      <c r="M1077" s="14">
        <f>SUMIFS(Maßnahmen!$I$7:$I$126,Maßnahmen!$D$7:$D$126,C1077,Maßnahmen!$H$7:$H$126,"&lt;&gt;verworfen")</f>
        <v/>
      </c>
      <c r="N1077" s="14">
        <f>IF(ISNUMBER(K1077),MAX(0,K1077-L1077-M1077),"n.a.")</f>
        <v/>
      </c>
      <c r="O1077" s="14" t="n">
        <v>358.71</v>
      </c>
      <c r="P1077" s="14">
        <f>IF(ISNUMBER(K1077),K1077-O1077,"n.a.")</f>
        <v/>
      </c>
    </row>
    <row r="1078" ht="32" customHeight="1">
      <c r="C1078" s="10" t="inlineStr">
        <is>
          <t>PRJ-4a6f9cfb-RK-05</t>
        </is>
      </c>
      <c r="D1078" s="10" t="inlineStr">
        <is>
          <t>P4102608246</t>
        </is>
      </c>
      <c r="E1078" s="11" t="inlineStr">
        <is>
          <t>Unbekannte Bauwerkskonstruktion / fehlende Pläne</t>
        </is>
      </c>
      <c r="F1078" s="10" t="inlineStr">
        <is>
          <t>Statik</t>
        </is>
      </c>
      <c r="G1078" s="12" t="n">
        <v>0.37</v>
      </c>
      <c r="H1078" s="13" t="n">
        <v>78333</v>
      </c>
      <c r="I1078" s="13" t="n">
        <v>136074</v>
      </c>
      <c r="J1078" s="13" t="n">
        <v>226823</v>
      </c>
      <c r="K1078" s="14">
        <f>IF(OR(COUNT(G1078:J1078)&lt;&gt;4,G1078&lt;0,G1078&gt;1,H1078&gt;I1078,I1078&gt;J1078),"n.a.",ROUND(G1078*(H1078+4*I1078+J1078)/6+0.00000001,2))</f>
        <v/>
      </c>
      <c r="L1078" s="13" t="n">
        <v>0</v>
      </c>
      <c r="M1078" s="14">
        <f>SUMIFS(Maßnahmen!$I$7:$I$126,Maßnahmen!$D$7:$D$126,C1078,Maßnahmen!$H$7:$H$126,"&lt;&gt;verworfen")</f>
        <v/>
      </c>
      <c r="N1078" s="14">
        <f>IF(ISNUMBER(K1078),MAX(0,K1078-L1078-M1078),"n.a.")</f>
        <v/>
      </c>
      <c r="O1078" s="14" t="n">
        <v>52382.87</v>
      </c>
      <c r="P1078" s="14">
        <f>IF(ISNUMBER(K1078),K1078-O1078,"n.a.")</f>
        <v/>
      </c>
    </row>
    <row r="1079" ht="32" customHeight="1">
      <c r="C1079" s="10" t="inlineStr">
        <is>
          <t>PRJ-4a6f9cfb-RK-10</t>
        </is>
      </c>
      <c r="D1079" s="10" t="inlineStr">
        <is>
          <t>P4102608246</t>
        </is>
      </c>
      <c r="E1079" s="11" t="inlineStr">
        <is>
          <t>Terminvorgabe Auftraggeber / Geräteauslastung</t>
        </is>
      </c>
      <c r="F1079" s="10" t="inlineStr">
        <is>
          <t>Termin</t>
        </is>
      </c>
      <c r="G1079" s="12" t="n">
        <v>0.08</v>
      </c>
      <c r="H1079" s="13" t="n">
        <v>2069</v>
      </c>
      <c r="I1079" s="13" t="n">
        <v>4139</v>
      </c>
      <c r="J1079" s="13" t="n">
        <v>8278</v>
      </c>
      <c r="K1079" s="14">
        <f>IF(OR(COUNT(G1079:J1079)&lt;&gt;4,G1079&lt;0,G1079&gt;1,H1079&gt;I1079,I1079&gt;J1079),"n.a.",ROUND(G1079*(H1079+4*I1079+J1079)/6+0.00000001,2))</f>
        <v/>
      </c>
      <c r="L1079" s="13" t="n">
        <v>0</v>
      </c>
      <c r="M1079" s="14">
        <f>SUMIFS(Maßnahmen!$I$7:$I$126,Maßnahmen!$D$7:$D$126,C1079,Maßnahmen!$H$7:$H$126,"&lt;&gt;verworfen")</f>
        <v/>
      </c>
      <c r="N1079" s="14">
        <f>IF(ISNUMBER(K1079),MAX(0,K1079-L1079-M1079),"n.a.")</f>
        <v/>
      </c>
      <c r="O1079" s="14" t="n">
        <v>358.71</v>
      </c>
      <c r="P1079" s="14">
        <f>IF(ISNUMBER(K1079),K1079-O1079,"n.a.")</f>
        <v/>
      </c>
    </row>
    <row r="1080" ht="32" customHeight="1">
      <c r="C1080" s="10" t="inlineStr">
        <is>
          <t>PRJ-4a6f9cfb-RK-11</t>
        </is>
      </c>
      <c r="D1080" s="10" t="inlineStr">
        <is>
          <t>P4102608246</t>
        </is>
      </c>
      <c r="E1080" s="11" t="inlineStr">
        <is>
          <t>Witterung / Ablaufstörung</t>
        </is>
      </c>
      <c r="F1080" s="10" t="inlineStr">
        <is>
          <t>Termin</t>
        </is>
      </c>
      <c r="G1080" s="12" t="n">
        <v>0.55</v>
      </c>
      <c r="H1080" s="13" t="n">
        <v>65260</v>
      </c>
      <c r="I1080" s="13" t="n">
        <v>104099</v>
      </c>
      <c r="J1080" s="13" t="n">
        <v>208197</v>
      </c>
      <c r="K1080" s="14">
        <f>IF(OR(COUNT(G1080:J1080)&lt;&gt;4,G1080&lt;0,G1080&gt;1,H1080&gt;I1080,I1080&gt;J1080),"n.a.",ROUND(G1080*(H1080+4*I1080+J1080)/6+0.00000001,2))</f>
        <v/>
      </c>
      <c r="L1080" s="13" t="n">
        <v>0</v>
      </c>
      <c r="M1080" s="14">
        <f>SUMIFS(Maßnahmen!$I$7:$I$126,Maßnahmen!$D$7:$D$126,C1080,Maßnahmen!$H$7:$H$126,"&lt;&gt;verworfen")</f>
        <v/>
      </c>
      <c r="N1080" s="14">
        <f>IF(ISNUMBER(K1080),MAX(0,K1080-L1080-M1080),"n.a.")</f>
        <v/>
      </c>
      <c r="O1080" s="14" t="n">
        <v>63236.53</v>
      </c>
      <c r="P1080" s="14">
        <f>IF(ISNUMBER(K1080),K1080-O1080,"n.a.")</f>
        <v/>
      </c>
    </row>
    <row r="1081" ht="32" customHeight="1">
      <c r="C1081" s="10" t="inlineStr">
        <is>
          <t>PRJ-4a6f9cfb-RK-15</t>
        </is>
      </c>
      <c r="D1081" s="10" t="inlineStr">
        <is>
          <t>P4102608246</t>
        </is>
      </c>
      <c r="E1081" s="11" t="inlineStr">
        <is>
          <t>Konjunktur / Sekundärstoffpreise &amp; Gerätemiete</t>
        </is>
      </c>
      <c r="F1081" s="10" t="inlineStr">
        <is>
          <t>Markt</t>
        </is>
      </c>
      <c r="G1081" s="12" t="n">
        <v>0.415</v>
      </c>
      <c r="H1081" s="13" t="n">
        <v>64433</v>
      </c>
      <c r="I1081" s="13" t="n">
        <v>81623</v>
      </c>
      <c r="J1081" s="13" t="n">
        <v>173498</v>
      </c>
      <c r="K1081" s="14">
        <f>IF(OR(COUNT(G1081:J1081)&lt;&gt;4,G1081&lt;0,G1081&gt;1,H1081&gt;I1081,I1081&gt;J1081),"n.a.",ROUND(G1081*(H1081+4*I1081+J1081)/6+0.00000001,2))</f>
        <v/>
      </c>
      <c r="L1081" s="13" t="n">
        <v>0</v>
      </c>
      <c r="M1081" s="14">
        <f>SUMIFS(Maßnahmen!$I$7:$I$126,Maßnahmen!$D$7:$D$126,C1081,Maßnahmen!$H$7:$H$126,"&lt;&gt;verworfen")</f>
        <v/>
      </c>
      <c r="N1081" s="14">
        <f>IF(ISNUMBER(K1081),MAX(0,K1081-L1081-M1081),"n.a.")</f>
        <v/>
      </c>
      <c r="O1081" s="14" t="n">
        <v>39039.26</v>
      </c>
      <c r="P1081" s="14">
        <f>IF(ISNUMBER(K1081),K1081-O1081,"n.a.")</f>
        <v/>
      </c>
    </row>
    <row r="1082" ht="32" customHeight="1">
      <c r="C1082" s="10" t="inlineStr">
        <is>
          <t>PRJ-4f8e93d3-RK-01</t>
        </is>
      </c>
      <c r="D1082" s="10" t="inlineStr">
        <is>
          <t>P4102307437</t>
        </is>
      </c>
      <c r="E1082" s="11" t="inlineStr">
        <is>
          <t>Schadstofffund / Schadstoffsanierung (Asbest, PAK, PCB, PCP)</t>
        </is>
      </c>
      <c r="F1082" s="10" t="inlineStr">
        <is>
          <t>Schadstoffe</t>
        </is>
      </c>
      <c r="G1082" s="12" t="n">
        <v>0.7</v>
      </c>
      <c r="H1082" s="13" t="n">
        <v>350</v>
      </c>
      <c r="I1082" s="13" t="n">
        <v>450</v>
      </c>
      <c r="J1082" s="13" t="n">
        <v>650</v>
      </c>
      <c r="K1082" s="14">
        <f>IF(OR(COUNT(G1082:J1082)&lt;&gt;4,G1082&lt;0,G1082&gt;1,H1082&gt;I1082,I1082&gt;J1082),"n.a.",ROUND(G1082*(H1082+4*I1082+J1082)/6+0.00000001,2))</f>
        <v/>
      </c>
      <c r="L1082" s="13" t="n">
        <v>0</v>
      </c>
      <c r="M1082" s="14">
        <f>SUMIFS(Maßnahmen!$I$7:$I$126,Maßnahmen!$D$7:$D$126,C1082,Maßnahmen!$H$7:$H$126,"&lt;&gt;verworfen")</f>
        <v/>
      </c>
      <c r="N1082" s="14">
        <f>IF(ISNUMBER(K1082),MAX(0,K1082-L1082-M1082),"n.a.")</f>
        <v/>
      </c>
      <c r="O1082" s="14" t="n">
        <v>326.67</v>
      </c>
      <c r="P1082" s="14">
        <f>IF(ISNUMBER(K1082),K1082-O1082,"n.a.")</f>
        <v/>
      </c>
    </row>
    <row r="1083" ht="32" customHeight="1">
      <c r="C1083" s="10" t="inlineStr">
        <is>
          <t>PRJ-4f8e93d3-RK-02</t>
        </is>
      </c>
      <c r="D1083" s="10" t="inlineStr">
        <is>
          <t>P4102307437</t>
        </is>
      </c>
      <c r="E1083" s="11" t="inlineStr">
        <is>
          <t>Arbeitsschutz kontaminierte Bereiche (TRGS 524)</t>
        </is>
      </c>
      <c r="F1083" s="10" t="inlineStr">
        <is>
          <t>Schadstoffe</t>
        </is>
      </c>
      <c r="G1083" s="12" t="n">
        <v>0.1</v>
      </c>
      <c r="H1083" s="13" t="n">
        <v>5</v>
      </c>
      <c r="I1083" s="13" t="n">
        <v>10</v>
      </c>
      <c r="J1083" s="13" t="n">
        <v>20</v>
      </c>
      <c r="K1083" s="14">
        <f>IF(OR(COUNT(G1083:J1083)&lt;&gt;4,G1083&lt;0,G1083&gt;1,H1083&gt;I1083,I1083&gt;J1083),"n.a.",ROUND(G1083*(H1083+4*I1083+J1083)/6+0.00000001,2))</f>
        <v/>
      </c>
      <c r="L1083" s="13" t="n">
        <v>0</v>
      </c>
      <c r="M1083" s="14">
        <f>SUMIFS(Maßnahmen!$I$7:$I$126,Maßnahmen!$D$7:$D$126,C1083,Maßnahmen!$H$7:$H$126,"&lt;&gt;verworfen")</f>
        <v/>
      </c>
      <c r="N1083" s="14">
        <f>IF(ISNUMBER(K1083),MAX(0,K1083-L1083-M1083),"n.a.")</f>
        <v/>
      </c>
      <c r="O1083" s="14" t="n">
        <v>1.08</v>
      </c>
      <c r="P1083" s="14">
        <f>IF(ISNUMBER(K1083),K1083-O1083,"n.a.")</f>
        <v/>
      </c>
    </row>
    <row r="1084" ht="32" customHeight="1">
      <c r="C1084" s="10" t="inlineStr">
        <is>
          <t>PRJ-4f8e93d3-RK-04</t>
        </is>
      </c>
      <c r="D1084" s="10" t="inlineStr">
        <is>
          <t>P4102307437</t>
        </is>
      </c>
      <c r="E1084" s="11" t="inlineStr">
        <is>
          <t>Baustofftrennung / Aufbereitung nicht wie geplant</t>
        </is>
      </c>
      <c r="F1084" s="10" t="inlineStr">
        <is>
          <t>Entsorgung</t>
        </is>
      </c>
      <c r="G1084" s="12" t="n">
        <v>0.08</v>
      </c>
      <c r="H1084" s="13" t="n">
        <v>5</v>
      </c>
      <c r="I1084" s="13" t="n">
        <v>10</v>
      </c>
      <c r="J1084" s="13" t="n">
        <v>20</v>
      </c>
      <c r="K1084" s="14">
        <f>IF(OR(COUNT(G1084:J1084)&lt;&gt;4,G1084&lt;0,G1084&gt;1,H1084&gt;I1084,I1084&gt;J1084),"n.a.",ROUND(G1084*(H1084+4*I1084+J1084)/6+0.00000001,2))</f>
        <v/>
      </c>
      <c r="L1084" s="13" t="n">
        <v>0</v>
      </c>
      <c r="M1084" s="14">
        <f>SUMIFS(Maßnahmen!$I$7:$I$126,Maßnahmen!$D$7:$D$126,C1084,Maßnahmen!$H$7:$H$126,"&lt;&gt;verworfen")</f>
        <v/>
      </c>
      <c r="N1084" s="14">
        <f>IF(ISNUMBER(K1084),MAX(0,K1084-L1084-M1084),"n.a.")</f>
        <v/>
      </c>
      <c r="O1084" s="14" t="n">
        <v>0.87</v>
      </c>
      <c r="P1084" s="14">
        <f>IF(ISNUMBER(K1084),K1084-O1084,"n.a.")</f>
        <v/>
      </c>
    </row>
    <row r="1085" ht="32" customHeight="1">
      <c r="C1085" s="10" t="inlineStr">
        <is>
          <t>PRJ-4f8e93d3-RK-10</t>
        </is>
      </c>
      <c r="D1085" s="10" t="inlineStr">
        <is>
          <t>P4102307437</t>
        </is>
      </c>
      <c r="E1085" s="11" t="inlineStr">
        <is>
          <t>Terminvorgabe Auftraggeber / Geräteauslastung</t>
        </is>
      </c>
      <c r="F1085" s="10" t="inlineStr">
        <is>
          <t>Termin</t>
        </is>
      </c>
      <c r="G1085" s="12" t="n">
        <v>0.08</v>
      </c>
      <c r="H1085" s="13" t="n">
        <v>5</v>
      </c>
      <c r="I1085" s="13" t="n">
        <v>10</v>
      </c>
      <c r="J1085" s="13" t="n">
        <v>20</v>
      </c>
      <c r="K1085" s="14">
        <f>IF(OR(COUNT(G1085:J1085)&lt;&gt;4,G1085&lt;0,G1085&gt;1,H1085&gt;I1085,I1085&gt;J1085),"n.a.",ROUND(G1085*(H1085+4*I1085+J1085)/6+0.00000001,2))</f>
        <v/>
      </c>
      <c r="L1085" s="13" t="n">
        <v>0</v>
      </c>
      <c r="M1085" s="14">
        <f>SUMIFS(Maßnahmen!$I$7:$I$126,Maßnahmen!$D$7:$D$126,C1085,Maßnahmen!$H$7:$H$126,"&lt;&gt;verworfen")</f>
        <v/>
      </c>
      <c r="N1085" s="14">
        <f>IF(ISNUMBER(K1085),MAX(0,K1085-L1085-M1085),"n.a.")</f>
        <v/>
      </c>
      <c r="O1085" s="14" t="n">
        <v>0.87</v>
      </c>
      <c r="P1085" s="14">
        <f>IF(ISNUMBER(K1085),K1085-O1085,"n.a.")</f>
        <v/>
      </c>
    </row>
    <row r="1086" ht="32" customHeight="1">
      <c r="C1086" s="10" t="inlineStr">
        <is>
          <t>PRJ-4f8e93d3-RK-11</t>
        </is>
      </c>
      <c r="D1086" s="10" t="inlineStr">
        <is>
          <t>P4102307437</t>
        </is>
      </c>
      <c r="E1086" s="11" t="inlineStr">
        <is>
          <t>Witterung / Ablaufstörung</t>
        </is>
      </c>
      <c r="F1086" s="10" t="inlineStr">
        <is>
          <t>Termin</t>
        </is>
      </c>
      <c r="G1086" s="12" t="n">
        <v>0.55</v>
      </c>
      <c r="H1086" s="13" t="n">
        <v>350</v>
      </c>
      <c r="I1086" s="13" t="n">
        <v>450</v>
      </c>
      <c r="J1086" s="13" t="n">
        <v>650</v>
      </c>
      <c r="K1086" s="14">
        <f>IF(OR(COUNT(G1086:J1086)&lt;&gt;4,G1086&lt;0,G1086&gt;1,H1086&gt;I1086,I1086&gt;J1086),"n.a.",ROUND(G1086*(H1086+4*I1086+J1086)/6+0.00000001,2))</f>
        <v/>
      </c>
      <c r="L1086" s="13" t="n">
        <v>0</v>
      </c>
      <c r="M1086" s="14">
        <f>SUMIFS(Maßnahmen!$I$7:$I$126,Maßnahmen!$D$7:$D$126,C1086,Maßnahmen!$H$7:$H$126,"&lt;&gt;verworfen")</f>
        <v/>
      </c>
      <c r="N1086" s="14">
        <f>IF(ISNUMBER(K1086),MAX(0,K1086-L1086-M1086),"n.a.")</f>
        <v/>
      </c>
      <c r="O1086" s="14" t="n">
        <v>256.67</v>
      </c>
      <c r="P1086" s="14">
        <f>IF(ISNUMBER(K1086),K1086-O1086,"n.a.")</f>
        <v/>
      </c>
    </row>
    <row r="1087" ht="32" customHeight="1">
      <c r="C1087" s="10" t="inlineStr">
        <is>
          <t>PRJ-4f8e93d3-RK-12</t>
        </is>
      </c>
      <c r="D1087" s="10" t="inlineStr">
        <is>
          <t>P4102307437</t>
        </is>
      </c>
      <c r="E1087" s="11" t="inlineStr">
        <is>
          <t>Staubemissionen (höchster Aufwand laut Umfrage)</t>
        </is>
      </c>
      <c r="F1087" s="10" t="inlineStr">
        <is>
          <t>Emissionen</t>
        </is>
      </c>
      <c r="G1087" s="12" t="n">
        <v>0.1</v>
      </c>
      <c r="H1087" s="13" t="n">
        <v>30</v>
      </c>
      <c r="I1087" s="13" t="n">
        <v>60</v>
      </c>
      <c r="J1087" s="13" t="n">
        <v>120</v>
      </c>
      <c r="K1087" s="14">
        <f>IF(OR(COUNT(G1087:J1087)&lt;&gt;4,G1087&lt;0,G1087&gt;1,H1087&gt;I1087,I1087&gt;J1087),"n.a.",ROUND(G1087*(H1087+4*I1087+J1087)/6+0.00000001,2))</f>
        <v/>
      </c>
      <c r="L1087" s="13" t="n">
        <v>0</v>
      </c>
      <c r="M1087" s="14">
        <f>SUMIFS(Maßnahmen!$I$7:$I$126,Maßnahmen!$D$7:$D$126,C1087,Maßnahmen!$H$7:$H$126,"&lt;&gt;verworfen")</f>
        <v/>
      </c>
      <c r="N1087" s="14">
        <f>IF(ISNUMBER(K1087),MAX(0,K1087-L1087-M1087),"n.a.")</f>
        <v/>
      </c>
      <c r="O1087" s="14" t="n">
        <v>6.5</v>
      </c>
      <c r="P1087" s="14">
        <f>IF(ISNUMBER(K1087),K1087-O1087,"n.a.")</f>
        <v/>
      </c>
    </row>
    <row r="1088" ht="32" customHeight="1">
      <c r="C1088" s="10" t="inlineStr">
        <is>
          <t>PRJ-4f8e93d3-RK-15</t>
        </is>
      </c>
      <c r="D1088" s="10" t="inlineStr">
        <is>
          <t>P4102307437</t>
        </is>
      </c>
      <c r="E1088" s="11" t="inlineStr">
        <is>
          <t>Konjunktur / Sekundärstoffpreise &amp; Gerätemiete</t>
        </is>
      </c>
      <c r="F1088" s="10" t="inlineStr">
        <is>
          <t>Markt</t>
        </is>
      </c>
      <c r="G1088" s="12" t="n">
        <v>0.5</v>
      </c>
      <c r="H1088" s="13" t="n">
        <v>350</v>
      </c>
      <c r="I1088" s="13" t="n">
        <v>450</v>
      </c>
      <c r="J1088" s="13" t="n">
        <v>650</v>
      </c>
      <c r="K1088" s="14">
        <f>IF(OR(COUNT(G1088:J1088)&lt;&gt;4,G1088&lt;0,G1088&gt;1,H1088&gt;I1088,I1088&gt;J1088),"n.a.",ROUND(G1088*(H1088+4*I1088+J1088)/6+0.00000001,2))</f>
        <v/>
      </c>
      <c r="L1088" s="13" t="n">
        <v>0</v>
      </c>
      <c r="M1088" s="14">
        <f>SUMIFS(Maßnahmen!$I$7:$I$126,Maßnahmen!$D$7:$D$126,C1088,Maßnahmen!$H$7:$H$126,"&lt;&gt;verworfen")</f>
        <v/>
      </c>
      <c r="N1088" s="14">
        <f>IF(ISNUMBER(K1088),MAX(0,K1088-L1088-M1088),"n.a.")</f>
        <v/>
      </c>
      <c r="O1088" s="14" t="n">
        <v>233.33</v>
      </c>
      <c r="P1088" s="14">
        <f>IF(ISNUMBER(K1088),K1088-O1088,"n.a.")</f>
        <v/>
      </c>
    </row>
    <row r="1089" ht="32" customHeight="1">
      <c r="C1089" s="10" t="inlineStr">
        <is>
          <t>PRJ-37eb7325-RK-14</t>
        </is>
      </c>
      <c r="D1089" s="10" t="inlineStr">
        <is>
          <t>W4102651216</t>
        </is>
      </c>
      <c r="E1089" s="11" t="inlineStr">
        <is>
          <t>Rechtliche Auflagen / Entsorgungsnachweise (Formalismus)</t>
        </is>
      </c>
      <c r="F1089" s="10" t="inlineStr">
        <is>
          <t>Genehmigung</t>
        </is>
      </c>
      <c r="G1089" s="12" t="n">
        <v>0.4</v>
      </c>
      <c r="H1089" s="13" t="n">
        <v>217</v>
      </c>
      <c r="I1089" s="13" t="n">
        <v>423</v>
      </c>
      <c r="J1089" s="13" t="n">
        <v>800</v>
      </c>
      <c r="K1089" s="14">
        <f>IF(OR(COUNT(G1089:J1089)&lt;&gt;4,G1089&lt;0,G1089&gt;1,H1089&gt;I1089,I1089&gt;J1089),"n.a.",ROUND(G1089*(H1089+4*I1089+J1089)/6+0.00000001,2))</f>
        <v/>
      </c>
      <c r="L1089" s="13" t="n">
        <v>0</v>
      </c>
      <c r="M1089" s="14">
        <f>SUMIFS(Maßnahmen!$I$7:$I$126,Maßnahmen!$D$7:$D$126,C1089,Maßnahmen!$H$7:$H$126,"&lt;&gt;verworfen")</f>
        <v/>
      </c>
      <c r="N1089" s="14">
        <f>IF(ISNUMBER(K1089),MAX(0,K1089-L1089-M1089),"n.a.")</f>
        <v/>
      </c>
      <c r="O1089" s="14" t="n">
        <v>180.6</v>
      </c>
      <c r="P1089" s="14">
        <f>IF(ISNUMBER(K1089),K1089-O1089,"n.a.")</f>
        <v/>
      </c>
    </row>
    <row r="1090" ht="32" customHeight="1">
      <c r="C1090" s="10" t="inlineStr">
        <is>
          <t>PRJ-37eb7325-RK-15</t>
        </is>
      </c>
      <c r="D1090" s="10" t="inlineStr">
        <is>
          <t>W4102651216</t>
        </is>
      </c>
      <c r="E1090" s="11" t="inlineStr">
        <is>
          <t>Konjunktur / Sekundärstoffpreise &amp; Gerätemiete</t>
        </is>
      </c>
      <c r="F1090" s="10" t="inlineStr">
        <is>
          <t>Markt</t>
        </is>
      </c>
      <c r="G1090" s="12" t="n">
        <v>0.12</v>
      </c>
      <c r="H1090" s="13" t="n">
        <v>18</v>
      </c>
      <c r="I1090" s="13" t="n">
        <v>46</v>
      </c>
      <c r="J1090" s="13" t="n">
        <v>114</v>
      </c>
      <c r="K1090" s="14">
        <f>IF(OR(COUNT(G1090:J1090)&lt;&gt;4,G1090&lt;0,G1090&gt;1,H1090&gt;I1090,I1090&gt;J1090),"n.a.",ROUND(G1090*(H1090+4*I1090+J1090)/6+0.00000001,2))</f>
        <v/>
      </c>
      <c r="L1090" s="13" t="n">
        <v>0</v>
      </c>
      <c r="M1090" s="14">
        <f>SUMIFS(Maßnahmen!$I$7:$I$126,Maßnahmen!$D$7:$D$126,C1090,Maßnahmen!$H$7:$H$126,"&lt;&gt;verworfen")</f>
        <v/>
      </c>
      <c r="N1090" s="14">
        <f>IF(ISNUMBER(K1090),MAX(0,K1090-L1090-M1090),"n.a.")</f>
        <v/>
      </c>
      <c r="O1090" s="14" t="n">
        <v>6.32</v>
      </c>
      <c r="P1090" s="14">
        <f>IF(ISNUMBER(K1090),K1090-O1090,"n.a.")</f>
        <v/>
      </c>
    </row>
    <row r="1091" ht="32" customHeight="1">
      <c r="C1091" s="10" t="inlineStr">
        <is>
          <t>PRJ-38307c8e-RK-01</t>
        </is>
      </c>
      <c r="D1091" s="10" t="inlineStr">
        <is>
          <t>W4102604611</t>
        </is>
      </c>
      <c r="E1091" s="11" t="inlineStr">
        <is>
          <t>Schadstofffund / Schadstoffsanierung (Asbest, PAK, PCB, PCP)</t>
        </is>
      </c>
      <c r="F1091" s="10" t="inlineStr">
        <is>
          <t>Schadstoffe</t>
        </is>
      </c>
      <c r="G1091" s="12" t="n">
        <v>0.1</v>
      </c>
      <c r="H1091" s="13" t="n">
        <v>252</v>
      </c>
      <c r="I1091" s="13" t="n">
        <v>631</v>
      </c>
      <c r="J1091" s="13" t="n">
        <v>1261</v>
      </c>
      <c r="K1091" s="14">
        <f>IF(OR(COUNT(G1091:J1091)&lt;&gt;4,G1091&lt;0,G1091&gt;1,H1091&gt;I1091,I1091&gt;J1091),"n.a.",ROUND(G1091*(H1091+4*I1091+J1091)/6+0.00000001,2))</f>
        <v/>
      </c>
      <c r="L1091" s="13" t="n">
        <v>0</v>
      </c>
      <c r="M1091" s="14">
        <f>SUMIFS(Maßnahmen!$I$7:$I$126,Maßnahmen!$D$7:$D$126,C1091,Maßnahmen!$H$7:$H$126,"&lt;&gt;verworfen")</f>
        <v/>
      </c>
      <c r="N1091" s="14">
        <f>IF(ISNUMBER(K1091),MAX(0,K1091-L1091-M1091),"n.a.")</f>
        <v/>
      </c>
      <c r="O1091" s="14" t="n">
        <v>67.28</v>
      </c>
      <c r="P1091" s="14">
        <f>IF(ISNUMBER(K1091),K1091-O1091,"n.a.")</f>
        <v/>
      </c>
    </row>
    <row r="1092" ht="32" customHeight="1">
      <c r="C1092" s="10" t="inlineStr">
        <is>
          <t>PRJ-38307c8e-RK-02</t>
        </is>
      </c>
      <c r="D1092" s="10" t="inlineStr">
        <is>
          <t>W4102604611</t>
        </is>
      </c>
      <c r="E1092" s="11" t="inlineStr">
        <is>
          <t>Arbeitsschutz kontaminierte Bereiche (TRGS 524)</t>
        </is>
      </c>
      <c r="F1092" s="10" t="inlineStr">
        <is>
          <t>Schadstoffe</t>
        </is>
      </c>
      <c r="G1092" s="12" t="n">
        <v>0.329</v>
      </c>
      <c r="H1092" s="13" t="n">
        <v>63</v>
      </c>
      <c r="I1092" s="13" t="n">
        <v>126</v>
      </c>
      <c r="J1092" s="13" t="n">
        <v>252</v>
      </c>
      <c r="K1092" s="14">
        <f>IF(OR(COUNT(G1092:J1092)&lt;&gt;4,G1092&lt;0,G1092&gt;1,H1092&gt;I1092,I1092&gt;J1092),"n.a.",ROUND(G1092*(H1092+4*I1092+J1092)/6+0.00000001,2))</f>
        <v/>
      </c>
      <c r="L1092" s="13" t="n">
        <v>0</v>
      </c>
      <c r="M1092" s="14">
        <f>SUMIFS(Maßnahmen!$I$7:$I$126,Maßnahmen!$D$7:$D$126,C1092,Maßnahmen!$H$7:$H$126,"&lt;&gt;verworfen")</f>
        <v/>
      </c>
      <c r="N1092" s="14">
        <f>IF(ISNUMBER(K1092),MAX(0,K1092-L1092-M1092),"n.a.")</f>
        <v/>
      </c>
      <c r="O1092" s="14" t="n">
        <v>44.91</v>
      </c>
      <c r="P1092" s="14">
        <f>IF(ISNUMBER(K1092),K1092-O1092,"n.a.")</f>
        <v/>
      </c>
    </row>
    <row r="1093" ht="32" customHeight="1">
      <c r="C1093" s="10" t="inlineStr">
        <is>
          <t>PRJ-38307c8e-RK-03</t>
        </is>
      </c>
      <c r="D1093" s="10" t="inlineStr">
        <is>
          <t>W4102604611</t>
        </is>
      </c>
      <c r="E1093" s="11" t="inlineStr">
        <is>
          <t>Entsorgungs-Mehrkosten / Entsorgungswege</t>
        </is>
      </c>
      <c r="F1093" s="10" t="inlineStr">
        <is>
          <t>Entsorgung</t>
        </is>
      </c>
      <c r="G1093" s="12" t="n">
        <v>0.15</v>
      </c>
      <c r="H1093" s="13" t="n">
        <v>252</v>
      </c>
      <c r="I1093" s="13" t="n">
        <v>631</v>
      </c>
      <c r="J1093" s="13" t="n">
        <v>1261</v>
      </c>
      <c r="K1093" s="14">
        <f>IF(OR(COUNT(G1093:J1093)&lt;&gt;4,G1093&lt;0,G1093&gt;1,H1093&gt;I1093,I1093&gt;J1093),"n.a.",ROUND(G1093*(H1093+4*I1093+J1093)/6+0.00000001,2))</f>
        <v/>
      </c>
      <c r="L1093" s="13" t="n">
        <v>0</v>
      </c>
      <c r="M1093" s="14">
        <f>SUMIFS(Maßnahmen!$I$7:$I$126,Maßnahmen!$D$7:$D$126,C1093,Maßnahmen!$H$7:$H$126,"&lt;&gt;verworfen")</f>
        <v/>
      </c>
      <c r="N1093" s="14">
        <f>IF(ISNUMBER(K1093),MAX(0,K1093-L1093-M1093),"n.a.")</f>
        <v/>
      </c>
      <c r="O1093" s="14" t="n">
        <v>100.93</v>
      </c>
      <c r="P1093" s="14">
        <f>IF(ISNUMBER(K1093),K1093-O1093,"n.a.")</f>
        <v/>
      </c>
    </row>
    <row r="1094" ht="32" customHeight="1">
      <c r="C1094" s="10" t="inlineStr">
        <is>
          <t>PRJ-4f8e93d6-RK-01</t>
        </is>
      </c>
      <c r="D1094" s="10" t="inlineStr">
        <is>
          <t>P4102307434</t>
        </is>
      </c>
      <c r="E1094" s="11" t="inlineStr">
        <is>
          <t>Schadstofffund / Schadstoffsanierung (Asbest, PAK, PCB, PCP)</t>
        </is>
      </c>
      <c r="F1094" s="10" t="inlineStr">
        <is>
          <t>Schadstoffe</t>
        </is>
      </c>
      <c r="G1094" s="12" t="n">
        <v>0.7</v>
      </c>
      <c r="H1094" s="13" t="n">
        <v>7720</v>
      </c>
      <c r="I1094" s="13" t="n">
        <v>9926</v>
      </c>
      <c r="J1094" s="13" t="n">
        <v>14338</v>
      </c>
      <c r="K1094" s="14">
        <f>IF(OR(COUNT(G1094:J1094)&lt;&gt;4,G1094&lt;0,G1094&gt;1,H1094&gt;I1094,I1094&gt;J1094),"n.a.",ROUND(G1094*(H1094+4*I1094+J1094)/6+0.00000001,2))</f>
        <v/>
      </c>
      <c r="L1094" s="13" t="n">
        <v>0</v>
      </c>
      <c r="M1094" s="14">
        <f>SUMIFS(Maßnahmen!$I$7:$I$126,Maßnahmen!$D$7:$D$126,C1094,Maßnahmen!$H$7:$H$126,"&lt;&gt;verworfen")</f>
        <v/>
      </c>
      <c r="N1094" s="14">
        <f>IF(ISNUMBER(K1094),MAX(0,K1094-L1094-M1094),"n.a.")</f>
        <v/>
      </c>
      <c r="O1094" s="14" t="n">
        <v>7205.57</v>
      </c>
      <c r="P1094" s="14">
        <f>IF(ISNUMBER(K1094),K1094-O1094,"n.a.")</f>
        <v/>
      </c>
    </row>
    <row r="1095" ht="32" customHeight="1">
      <c r="C1095" s="10" t="inlineStr">
        <is>
          <t>PRJ-4f8e93d6-RK-02</t>
        </is>
      </c>
      <c r="D1095" s="10" t="inlineStr">
        <is>
          <t>P4102307434</t>
        </is>
      </c>
      <c r="E1095" s="11" t="inlineStr">
        <is>
          <t>Arbeitsschutz kontaminierte Bereiche (TRGS 524)</t>
        </is>
      </c>
      <c r="F1095" s="10" t="inlineStr">
        <is>
          <t>Schadstoffe</t>
        </is>
      </c>
      <c r="G1095" s="12" t="n">
        <v>0.1</v>
      </c>
      <c r="H1095" s="13" t="n">
        <v>110</v>
      </c>
      <c r="I1095" s="13" t="n">
        <v>221</v>
      </c>
      <c r="J1095" s="13" t="n">
        <v>441</v>
      </c>
      <c r="K1095" s="14">
        <f>IF(OR(COUNT(G1095:J1095)&lt;&gt;4,G1095&lt;0,G1095&gt;1,H1095&gt;I1095,I1095&gt;J1095),"n.a.",ROUND(G1095*(H1095+4*I1095+J1095)/6+0.00000001,2))</f>
        <v/>
      </c>
      <c r="L1095" s="13" t="n">
        <v>0</v>
      </c>
      <c r="M1095" s="14">
        <f>SUMIFS(Maßnahmen!$I$7:$I$126,Maßnahmen!$D$7:$D$126,C1095,Maßnahmen!$H$7:$H$126,"&lt;&gt;verworfen")</f>
        <v/>
      </c>
      <c r="N1095" s="14">
        <f>IF(ISNUMBER(K1095),MAX(0,K1095-L1095-M1095),"n.a.")</f>
        <v/>
      </c>
      <c r="O1095" s="14" t="n">
        <v>23.92</v>
      </c>
      <c r="P1095" s="14">
        <f>IF(ISNUMBER(K1095),K1095-O1095,"n.a.")</f>
        <v/>
      </c>
    </row>
    <row r="1096" ht="32" customHeight="1">
      <c r="C1096" s="10" t="inlineStr">
        <is>
          <t>PRJ-4f8e93d6-RK-04</t>
        </is>
      </c>
      <c r="D1096" s="10" t="inlineStr">
        <is>
          <t>P4102307434</t>
        </is>
      </c>
      <c r="E1096" s="11" t="inlineStr">
        <is>
          <t>Baustofftrennung / Aufbereitung nicht wie geplant</t>
        </is>
      </c>
      <c r="F1096" s="10" t="inlineStr">
        <is>
          <t>Entsorgung</t>
        </is>
      </c>
      <c r="G1096" s="12" t="n">
        <v>0.08</v>
      </c>
      <c r="H1096" s="13" t="n">
        <v>110</v>
      </c>
      <c r="I1096" s="13" t="n">
        <v>221</v>
      </c>
      <c r="J1096" s="13" t="n">
        <v>441</v>
      </c>
      <c r="K1096" s="14">
        <f>IF(OR(COUNT(G1096:J1096)&lt;&gt;4,G1096&lt;0,G1096&gt;1,H1096&gt;I1096,I1096&gt;J1096),"n.a.",ROUND(G1096*(H1096+4*I1096+J1096)/6+0.00000001,2))</f>
        <v/>
      </c>
      <c r="L1096" s="13" t="n">
        <v>0</v>
      </c>
      <c r="M1096" s="14">
        <f>SUMIFS(Maßnahmen!$I$7:$I$126,Maßnahmen!$D$7:$D$126,C1096,Maßnahmen!$H$7:$H$126,"&lt;&gt;verworfen")</f>
        <v/>
      </c>
      <c r="N1096" s="14">
        <f>IF(ISNUMBER(K1096),MAX(0,K1096-L1096-M1096),"n.a.")</f>
        <v/>
      </c>
      <c r="O1096" s="14" t="n">
        <v>19.13</v>
      </c>
      <c r="P1096" s="14">
        <f>IF(ISNUMBER(K1096),K1096-O1096,"n.a.")</f>
        <v/>
      </c>
    </row>
    <row r="1097" ht="32" customHeight="1">
      <c r="C1097" s="10" t="inlineStr">
        <is>
          <t>PRJ-4f8e93d6-RK-05</t>
        </is>
      </c>
      <c r="D1097" s="10" t="inlineStr">
        <is>
          <t>P4102307434</t>
        </is>
      </c>
      <c r="E1097" s="11" t="inlineStr">
        <is>
          <t>Unbekannte Bauwerkskonstruktion / fehlende Pläne</t>
        </is>
      </c>
      <c r="F1097" s="10" t="inlineStr">
        <is>
          <t>Statik</t>
        </is>
      </c>
      <c r="G1097" s="12" t="n">
        <v>0.12</v>
      </c>
      <c r="H1097" s="13" t="n">
        <v>882</v>
      </c>
      <c r="I1097" s="13" t="n">
        <v>1765</v>
      </c>
      <c r="J1097" s="13" t="n">
        <v>3309</v>
      </c>
      <c r="K1097" s="14">
        <f>IF(OR(COUNT(G1097:J1097)&lt;&gt;4,G1097&lt;0,G1097&gt;1,H1097&gt;I1097,I1097&gt;J1097),"n.a.",ROUND(G1097*(H1097+4*I1097+J1097)/6+0.00000001,2))</f>
        <v/>
      </c>
      <c r="L1097" s="13" t="n">
        <v>0</v>
      </c>
      <c r="M1097" s="14">
        <f>SUMIFS(Maßnahmen!$I$7:$I$126,Maßnahmen!$D$7:$D$126,C1097,Maßnahmen!$H$7:$H$126,"&lt;&gt;verworfen")</f>
        <v/>
      </c>
      <c r="N1097" s="14">
        <f>IF(ISNUMBER(K1097),MAX(0,K1097-L1097-M1097),"n.a.")</f>
        <v/>
      </c>
      <c r="O1097" s="14" t="n">
        <v>225.02</v>
      </c>
      <c r="P1097" s="14">
        <f>IF(ISNUMBER(K1097),K1097-O1097,"n.a.")</f>
        <v/>
      </c>
    </row>
    <row r="1098" ht="32" customHeight="1">
      <c r="C1098" s="10" t="inlineStr">
        <is>
          <t>PRJ-4f8e93d6-RK-09</t>
        </is>
      </c>
      <c r="D1098" s="10" t="inlineStr">
        <is>
          <t>P4102307434</t>
        </is>
      </c>
      <c r="E1098" s="11" t="inlineStr">
        <is>
          <t>Beennte Lage / nur Handabbruch möglich</t>
        </is>
      </c>
      <c r="F1098" s="10" t="inlineStr">
        <is>
          <t>Termin</t>
        </is>
      </c>
      <c r="G1098" s="12" t="n">
        <v>0.15</v>
      </c>
      <c r="H1098" s="13" t="n">
        <v>176</v>
      </c>
      <c r="I1098" s="13" t="n">
        <v>441</v>
      </c>
      <c r="J1098" s="13" t="n">
        <v>1103</v>
      </c>
      <c r="K1098" s="14">
        <f>IF(OR(COUNT(G1098:J1098)&lt;&gt;4,G1098&lt;0,G1098&gt;1,H1098&gt;I1098,I1098&gt;J1098),"n.a.",ROUND(G1098*(H1098+4*I1098+J1098)/6+0.00000001,2))</f>
        <v/>
      </c>
      <c r="L1098" s="13" t="n">
        <v>0</v>
      </c>
      <c r="M1098" s="14">
        <f>SUMIFS(Maßnahmen!$I$7:$I$126,Maßnahmen!$D$7:$D$126,C1098,Maßnahmen!$H$7:$H$126,"&lt;&gt;verworfen")</f>
        <v/>
      </c>
      <c r="N1098" s="14">
        <f>IF(ISNUMBER(K1098),MAX(0,K1098-L1098-M1098),"n.a.")</f>
        <v/>
      </c>
      <c r="O1098" s="14" t="n">
        <v>76.08</v>
      </c>
      <c r="P1098" s="14">
        <f>IF(ISNUMBER(K1098),K1098-O1098,"n.a.")</f>
        <v/>
      </c>
    </row>
    <row r="1099" ht="32" customHeight="1">
      <c r="C1099" s="10" t="inlineStr">
        <is>
          <t>PRJ-4f8e93d6-RK-10</t>
        </is>
      </c>
      <c r="D1099" s="10" t="inlineStr">
        <is>
          <t>P4102307434</t>
        </is>
      </c>
      <c r="E1099" s="11" t="inlineStr">
        <is>
          <t>Terminvorgabe Auftraggeber / Geräteauslastung</t>
        </is>
      </c>
      <c r="F1099" s="10" t="inlineStr">
        <is>
          <t>Termin</t>
        </is>
      </c>
      <c r="G1099" s="12" t="n">
        <v>0.08</v>
      </c>
      <c r="H1099" s="13" t="n">
        <v>110</v>
      </c>
      <c r="I1099" s="13" t="n">
        <v>221</v>
      </c>
      <c r="J1099" s="13" t="n">
        <v>441</v>
      </c>
      <c r="K1099" s="14">
        <f>IF(OR(COUNT(G1099:J1099)&lt;&gt;4,G1099&lt;0,G1099&gt;1,H1099&gt;I1099,I1099&gt;J1099),"n.a.",ROUND(G1099*(H1099+4*I1099+J1099)/6+0.00000001,2))</f>
        <v/>
      </c>
      <c r="L1099" s="13" t="n">
        <v>0</v>
      </c>
      <c r="M1099" s="14">
        <f>SUMIFS(Maßnahmen!$I$7:$I$126,Maßnahmen!$D$7:$D$126,C1099,Maßnahmen!$H$7:$H$126,"&lt;&gt;verworfen")</f>
        <v/>
      </c>
      <c r="N1099" s="14">
        <f>IF(ISNUMBER(K1099),MAX(0,K1099-L1099-M1099),"n.a.")</f>
        <v/>
      </c>
      <c r="O1099" s="14" t="n">
        <v>19.13</v>
      </c>
      <c r="P1099" s="14">
        <f>IF(ISNUMBER(K1099),K1099-O1099,"n.a.")</f>
        <v/>
      </c>
    </row>
    <row r="1100" ht="32" customHeight="1">
      <c r="C1100" s="10" t="inlineStr">
        <is>
          <t>PRJ-4f8e93d6-RK-11</t>
        </is>
      </c>
      <c r="D1100" s="10" t="inlineStr">
        <is>
          <t>P4102307434</t>
        </is>
      </c>
      <c r="E1100" s="11" t="inlineStr">
        <is>
          <t>Witterung / Ablaufstörung</t>
        </is>
      </c>
      <c r="F1100" s="10" t="inlineStr">
        <is>
          <t>Termin</t>
        </is>
      </c>
      <c r="G1100" s="12" t="n">
        <v>0.25</v>
      </c>
      <c r="H1100" s="13" t="n">
        <v>221</v>
      </c>
      <c r="I1100" s="13" t="n">
        <v>662</v>
      </c>
      <c r="J1100" s="13" t="n">
        <v>1324</v>
      </c>
      <c r="K1100" s="14">
        <f>IF(OR(COUNT(G1100:J1100)&lt;&gt;4,G1100&lt;0,G1100&gt;1,H1100&gt;I1100,I1100&gt;J1100),"n.a.",ROUND(G1100*(H1100+4*I1100+J1100)/6+0.00000001,2))</f>
        <v/>
      </c>
      <c r="L1100" s="13" t="n">
        <v>0</v>
      </c>
      <c r="M1100" s="14">
        <f>SUMIFS(Maßnahmen!$I$7:$I$126,Maßnahmen!$D$7:$D$126,C1100,Maßnahmen!$H$7:$H$126,"&lt;&gt;verworfen")</f>
        <v/>
      </c>
      <c r="N1100" s="14">
        <f>IF(ISNUMBER(K1100),MAX(0,K1100-L1100-M1100),"n.a.")</f>
        <v/>
      </c>
      <c r="O1100" s="14" t="n">
        <v>174.71</v>
      </c>
      <c r="P1100" s="14">
        <f>IF(ISNUMBER(K1100),K1100-O1100,"n.a.")</f>
        <v/>
      </c>
    </row>
    <row r="1101" ht="32" customHeight="1">
      <c r="C1101" s="10" t="inlineStr">
        <is>
          <t>PRJ-4f8e93d6-RK-12</t>
        </is>
      </c>
      <c r="D1101" s="10" t="inlineStr">
        <is>
          <t>P4102307434</t>
        </is>
      </c>
      <c r="E1101" s="11" t="inlineStr">
        <is>
          <t>Staubemissionen (höchster Aufwand laut Umfrage)</t>
        </is>
      </c>
      <c r="F1101" s="10" t="inlineStr">
        <is>
          <t>Emissionen</t>
        </is>
      </c>
      <c r="G1101" s="12" t="n">
        <v>0.1</v>
      </c>
      <c r="H1101" s="13" t="n">
        <v>662</v>
      </c>
      <c r="I1101" s="13" t="n">
        <v>1324</v>
      </c>
      <c r="J1101" s="13" t="n">
        <v>2647</v>
      </c>
      <c r="K1101" s="14">
        <f>IF(OR(COUNT(G1101:J1101)&lt;&gt;4,G1101&lt;0,G1101&gt;1,H1101&gt;I1101,I1101&gt;J1101),"n.a.",ROUND(G1101*(H1101+4*I1101+J1101)/6+0.00000001,2))</f>
        <v/>
      </c>
      <c r="L1101" s="13" t="n">
        <v>0</v>
      </c>
      <c r="M1101" s="14">
        <f>SUMIFS(Maßnahmen!$I$7:$I$126,Maßnahmen!$D$7:$D$126,C1101,Maßnahmen!$H$7:$H$126,"&lt;&gt;verworfen")</f>
        <v/>
      </c>
      <c r="N1101" s="14">
        <f>IF(ISNUMBER(K1101),MAX(0,K1101-L1101-M1101),"n.a.")</f>
        <v/>
      </c>
      <c r="O1101" s="14" t="n">
        <v>143.42</v>
      </c>
      <c r="P1101" s="14">
        <f>IF(ISNUMBER(K1101),K1101-O1101,"n.a.")</f>
        <v/>
      </c>
    </row>
    <row r="1102" ht="32" customHeight="1">
      <c r="C1102" s="10" t="inlineStr">
        <is>
          <t>PRJ-4f8e93d6-RK-13</t>
        </is>
      </c>
      <c r="D1102" s="10" t="inlineStr">
        <is>
          <t>P4102307434</t>
        </is>
      </c>
      <c r="E1102" s="11" t="inlineStr">
        <is>
          <t>Lärm- und Erschütterungsauflagen</t>
        </is>
      </c>
      <c r="F1102" s="10" t="inlineStr">
        <is>
          <t>Emissionen</t>
        </is>
      </c>
      <c r="G1102" s="12" t="n">
        <v>0.2</v>
      </c>
      <c r="H1102" s="13" t="n">
        <v>441</v>
      </c>
      <c r="I1102" s="13" t="n">
        <v>1103</v>
      </c>
      <c r="J1102" s="13" t="n">
        <v>2206</v>
      </c>
      <c r="K1102" s="14">
        <f>IF(OR(COUNT(G1102:J1102)&lt;&gt;4,G1102&lt;0,G1102&gt;1,H1102&gt;I1102,I1102&gt;J1102),"n.a.",ROUND(G1102*(H1102+4*I1102+J1102)/6+0.00000001,2))</f>
        <v/>
      </c>
      <c r="L1102" s="13" t="n">
        <v>0</v>
      </c>
      <c r="M1102" s="14">
        <f>SUMIFS(Maßnahmen!$I$7:$I$126,Maßnahmen!$D$7:$D$126,C1102,Maßnahmen!$H$7:$H$126,"&lt;&gt;verworfen")</f>
        <v/>
      </c>
      <c r="N1102" s="14">
        <f>IF(ISNUMBER(K1102),MAX(0,K1102-L1102-M1102),"n.a.")</f>
        <v/>
      </c>
      <c r="O1102" s="14" t="n">
        <v>235.3</v>
      </c>
      <c r="P1102" s="14">
        <f>IF(ISNUMBER(K1102),K1102-O1102,"n.a.")</f>
        <v/>
      </c>
    </row>
    <row r="1103" ht="32" customHeight="1">
      <c r="C1103" s="10" t="inlineStr">
        <is>
          <t>PRJ-4f8e93d4-RK-11</t>
        </is>
      </c>
      <c r="D1103" s="10" t="inlineStr">
        <is>
          <t>P4102307436</t>
        </is>
      </c>
      <c r="E1103" s="11" t="inlineStr">
        <is>
          <t>Witterung / Ablaufstörung</t>
        </is>
      </c>
      <c r="F1103" s="10" t="inlineStr">
        <is>
          <t>Termin</t>
        </is>
      </c>
      <c r="G1103" s="12" t="n">
        <v>0.25</v>
      </c>
      <c r="H1103" s="13" t="n">
        <v>563</v>
      </c>
      <c r="I1103" s="13" t="n">
        <v>1688</v>
      </c>
      <c r="J1103" s="13" t="n">
        <v>3375</v>
      </c>
      <c r="K1103" s="14">
        <f>IF(OR(COUNT(G1103:J1103)&lt;&gt;4,G1103&lt;0,G1103&gt;1,H1103&gt;I1103,I1103&gt;J1103),"n.a.",ROUND(G1103*(H1103+4*I1103+J1103)/6+0.00000001,2))</f>
        <v/>
      </c>
      <c r="L1103" s="13" t="n">
        <v>0</v>
      </c>
      <c r="M1103" s="14">
        <f>SUMIFS(Maßnahmen!$I$7:$I$126,Maßnahmen!$D$7:$D$126,C1103,Maßnahmen!$H$7:$H$126,"&lt;&gt;verworfen")</f>
        <v/>
      </c>
      <c r="N1103" s="14">
        <f>IF(ISNUMBER(K1103),MAX(0,K1103-L1103-M1103),"n.a.")</f>
        <v/>
      </c>
      <c r="O1103" s="14" t="n">
        <v>445.42</v>
      </c>
      <c r="P1103" s="14">
        <f>IF(ISNUMBER(K1103),K1103-O1103,"n.a.")</f>
        <v/>
      </c>
    </row>
    <row r="1104" ht="32" customHeight="1">
      <c r="C1104" s="10" t="inlineStr">
        <is>
          <t>PRJ-3d4db0d0-RK-01</t>
        </is>
      </c>
      <c r="D1104" s="10" t="inlineStr">
        <is>
          <t>W4102307411</t>
        </is>
      </c>
      <c r="E1104" s="11" t="inlineStr">
        <is>
          <t>Schadstofffund / Schadstoffsanierung (Asbest, PAK, PCB, PCP)</t>
        </is>
      </c>
      <c r="F1104" s="10" t="inlineStr">
        <is>
          <t>Schadstoffe</t>
        </is>
      </c>
      <c r="G1104" s="12" t="n">
        <v>0.1</v>
      </c>
      <c r="H1104" s="13" t="n">
        <v>20</v>
      </c>
      <c r="I1104" s="13" t="n">
        <v>50</v>
      </c>
      <c r="J1104" s="13" t="n">
        <v>100</v>
      </c>
      <c r="K1104" s="14">
        <f>IF(OR(COUNT(G1104:J1104)&lt;&gt;4,G1104&lt;0,G1104&gt;1,H1104&gt;I1104,I1104&gt;J1104),"n.a.",ROUND(G1104*(H1104+4*I1104+J1104)/6+0.00000001,2))</f>
        <v/>
      </c>
      <c r="L1104" s="13" t="n">
        <v>0</v>
      </c>
      <c r="M1104" s="14">
        <f>SUMIFS(Maßnahmen!$I$7:$I$126,Maßnahmen!$D$7:$D$126,C1104,Maßnahmen!$H$7:$H$126,"&lt;&gt;verworfen")</f>
        <v/>
      </c>
      <c r="N1104" s="14">
        <f>IF(ISNUMBER(K1104),MAX(0,K1104-L1104-M1104),"n.a.")</f>
        <v/>
      </c>
      <c r="O1104" s="14" t="n">
        <v>5.33</v>
      </c>
      <c r="P1104" s="14">
        <f>IF(ISNUMBER(K1104),K1104-O1104,"n.a.")</f>
        <v/>
      </c>
    </row>
    <row r="1105" ht="32" customHeight="1">
      <c r="C1105" s="10" t="inlineStr">
        <is>
          <t>PRJ-3d4db0d0-RK-02</t>
        </is>
      </c>
      <c r="D1105" s="10" t="inlineStr">
        <is>
          <t>W4102307411</t>
        </is>
      </c>
      <c r="E1105" s="11" t="inlineStr">
        <is>
          <t>Arbeitsschutz kontaminierte Bereiche (TRGS 524)</t>
        </is>
      </c>
      <c r="F1105" s="10" t="inlineStr">
        <is>
          <t>Schadstoffe</t>
        </is>
      </c>
      <c r="G1105" s="12" t="n">
        <v>0.47</v>
      </c>
      <c r="H1105" s="13" t="n">
        <v>20</v>
      </c>
      <c r="I1105" s="13" t="n">
        <v>50</v>
      </c>
      <c r="J1105" s="13" t="n">
        <v>100</v>
      </c>
      <c r="K1105" s="14">
        <f>IF(OR(COUNT(G1105:J1105)&lt;&gt;4,G1105&lt;0,G1105&gt;1,H1105&gt;I1105,I1105&gt;J1105),"n.a.",ROUND(G1105*(H1105+4*I1105+J1105)/6+0.00000001,2))</f>
        <v/>
      </c>
      <c r="L1105" s="13" t="n">
        <v>0</v>
      </c>
      <c r="M1105" s="14">
        <f>SUMIFS(Maßnahmen!$I$7:$I$126,Maßnahmen!$D$7:$D$126,C1105,Maßnahmen!$H$7:$H$126,"&lt;&gt;verworfen")</f>
        <v/>
      </c>
      <c r="N1105" s="14">
        <f>IF(ISNUMBER(K1105),MAX(0,K1105-L1105-M1105),"n.a.")</f>
        <v/>
      </c>
      <c r="O1105" s="14" t="n">
        <v>25.07</v>
      </c>
      <c r="P1105" s="14">
        <f>IF(ISNUMBER(K1105),K1105-O1105,"n.a.")</f>
        <v/>
      </c>
    </row>
    <row r="1106" ht="32" customHeight="1">
      <c r="C1106" s="10" t="inlineStr">
        <is>
          <t>PRJ-3d4db0d0-RK-03</t>
        </is>
      </c>
      <c r="D1106" s="10" t="inlineStr">
        <is>
          <t>W4102307411</t>
        </is>
      </c>
      <c r="E1106" s="11" t="inlineStr">
        <is>
          <t>Entsorgungs-Mehrkosten / Entsorgungswege</t>
        </is>
      </c>
      <c r="F1106" s="10" t="inlineStr">
        <is>
          <t>Entsorgung</t>
        </is>
      </c>
      <c r="G1106" s="12" t="n">
        <v>0.27</v>
      </c>
      <c r="H1106" s="13" t="n">
        <v>20</v>
      </c>
      <c r="I1106" s="13" t="n">
        <v>50</v>
      </c>
      <c r="J1106" s="13" t="n">
        <v>100</v>
      </c>
      <c r="K1106" s="14">
        <f>IF(OR(COUNT(G1106:J1106)&lt;&gt;4,G1106&lt;0,G1106&gt;1,H1106&gt;I1106,I1106&gt;J1106),"n.a.",ROUND(G1106*(H1106+4*I1106+J1106)/6+0.00000001,2))</f>
        <v/>
      </c>
      <c r="L1106" s="13" t="n">
        <v>0</v>
      </c>
      <c r="M1106" s="14">
        <f>SUMIFS(Maßnahmen!$I$7:$I$126,Maßnahmen!$D$7:$D$126,C1106,Maßnahmen!$H$7:$H$126,"&lt;&gt;verworfen")</f>
        <v/>
      </c>
      <c r="N1106" s="14">
        <f>IF(ISNUMBER(K1106),MAX(0,K1106-L1106-M1106),"n.a.")</f>
        <v/>
      </c>
      <c r="O1106" s="14" t="n">
        <v>14.4</v>
      </c>
      <c r="P1106" s="14">
        <f>IF(ISNUMBER(K1106),K1106-O1106,"n.a.")</f>
        <v/>
      </c>
    </row>
    <row r="1107" ht="32" customHeight="1">
      <c r="C1107" s="10" t="inlineStr">
        <is>
          <t>PRJ-3d4db0d0-RK-04</t>
        </is>
      </c>
      <c r="D1107" s="10" t="inlineStr">
        <is>
          <t>W4102307411</t>
        </is>
      </c>
      <c r="E1107" s="11" t="inlineStr">
        <is>
          <t>Baustofftrennung / Aufbereitung nicht wie geplant</t>
        </is>
      </c>
      <c r="F1107" s="10" t="inlineStr">
        <is>
          <t>Entsorgung</t>
        </is>
      </c>
      <c r="G1107" s="12" t="n">
        <v>0.1</v>
      </c>
      <c r="H1107" s="13" t="n">
        <v>20</v>
      </c>
      <c r="I1107" s="13" t="n">
        <v>50</v>
      </c>
      <c r="J1107" s="13" t="n">
        <v>100</v>
      </c>
      <c r="K1107" s="14">
        <f>IF(OR(COUNT(G1107:J1107)&lt;&gt;4,G1107&lt;0,G1107&gt;1,H1107&gt;I1107,I1107&gt;J1107),"n.a.",ROUND(G1107*(H1107+4*I1107+J1107)/6+0.00000001,2))</f>
        <v/>
      </c>
      <c r="L1107" s="13" t="n">
        <v>0</v>
      </c>
      <c r="M1107" s="14">
        <f>SUMIFS(Maßnahmen!$I$7:$I$126,Maßnahmen!$D$7:$D$126,C1107,Maßnahmen!$H$7:$H$126,"&lt;&gt;verworfen")</f>
        <v/>
      </c>
      <c r="N1107" s="14">
        <f>IF(ISNUMBER(K1107),MAX(0,K1107-L1107-M1107),"n.a.")</f>
        <v/>
      </c>
      <c r="O1107" s="14" t="n">
        <v>5.33</v>
      </c>
      <c r="P1107" s="14">
        <f>IF(ISNUMBER(K1107),K1107-O1107,"n.a.")</f>
        <v/>
      </c>
    </row>
    <row r="1108" ht="32" customHeight="1">
      <c r="C1108" s="10" t="inlineStr">
        <is>
          <t>PRJ-3d4db0d0-RK-05</t>
        </is>
      </c>
      <c r="D1108" s="10" t="inlineStr">
        <is>
          <t>W4102307411</t>
        </is>
      </c>
      <c r="E1108" s="11" t="inlineStr">
        <is>
          <t>Unbekannte Bauwerkskonstruktion / fehlende Pläne</t>
        </is>
      </c>
      <c r="F1108" s="10" t="inlineStr">
        <is>
          <t>Statik</t>
        </is>
      </c>
      <c r="G1108" s="12" t="n">
        <v>0.12</v>
      </c>
      <c r="H1108" s="13" t="n">
        <v>40</v>
      </c>
      <c r="I1108" s="13" t="n">
        <v>80</v>
      </c>
      <c r="J1108" s="13" t="n">
        <v>150</v>
      </c>
      <c r="K1108" s="14">
        <f>IF(OR(COUNT(G1108:J1108)&lt;&gt;4,G1108&lt;0,G1108&gt;1,H1108&gt;I1108,I1108&gt;J1108),"n.a.",ROUND(G1108*(H1108+4*I1108+J1108)/6+0.00000001,2))</f>
        <v/>
      </c>
      <c r="L1108" s="13" t="n">
        <v>0</v>
      </c>
      <c r="M1108" s="14">
        <f>SUMIFS(Maßnahmen!$I$7:$I$126,Maßnahmen!$D$7:$D$126,C1108,Maßnahmen!$H$7:$H$126,"&lt;&gt;verworfen")</f>
        <v/>
      </c>
      <c r="N1108" s="14">
        <f>IF(ISNUMBER(K1108),MAX(0,K1108-L1108-M1108),"n.a.")</f>
        <v/>
      </c>
      <c r="O1108" s="14" t="n">
        <v>10.2</v>
      </c>
      <c r="P1108" s="14">
        <f>IF(ISNUMBER(K1108),K1108-O1108,"n.a.")</f>
        <v/>
      </c>
    </row>
    <row r="1109" ht="32" customHeight="1">
      <c r="C1109" s="10" t="inlineStr">
        <is>
          <t>PRJ-38307c8e-RK-04</t>
        </is>
      </c>
      <c r="D1109" s="10" t="inlineStr">
        <is>
          <t>W4102604611</t>
        </is>
      </c>
      <c r="E1109" s="11" t="inlineStr">
        <is>
          <t>Baustofftrennung / Aufbereitung nicht wie geplant</t>
        </is>
      </c>
      <c r="F1109" s="10" t="inlineStr">
        <is>
          <t>Entsorgung</t>
        </is>
      </c>
      <c r="G1109" s="12" t="n">
        <v>0.08</v>
      </c>
      <c r="H1109" s="13" t="n">
        <v>63</v>
      </c>
      <c r="I1109" s="13" t="n">
        <v>126</v>
      </c>
      <c r="J1109" s="13" t="n">
        <v>252</v>
      </c>
      <c r="K1109" s="14">
        <f>IF(OR(COUNT(G1109:J1109)&lt;&gt;4,G1109&lt;0,G1109&gt;1,H1109&gt;I1109,I1109&gt;J1109),"n.a.",ROUND(G1109*(H1109+4*I1109+J1109)/6+0.00000001,2))</f>
        <v/>
      </c>
      <c r="L1109" s="13" t="n">
        <v>0</v>
      </c>
      <c r="M1109" s="14">
        <f>SUMIFS(Maßnahmen!$I$7:$I$126,Maßnahmen!$D$7:$D$126,C1109,Maßnahmen!$H$7:$H$126,"&lt;&gt;verworfen")</f>
        <v/>
      </c>
      <c r="N1109" s="14">
        <f>IF(ISNUMBER(K1109),MAX(0,K1109-L1109-M1109),"n.a.")</f>
        <v/>
      </c>
      <c r="O1109" s="14" t="n">
        <v>10.92</v>
      </c>
      <c r="P1109" s="14">
        <f>IF(ISNUMBER(K1109),K1109-O1109,"n.a.")</f>
        <v/>
      </c>
    </row>
    <row r="1110" ht="32" customHeight="1">
      <c r="C1110" s="10" t="inlineStr">
        <is>
          <t>PRJ-38307c8e-RK-05</t>
        </is>
      </c>
      <c r="D1110" s="10" t="inlineStr">
        <is>
          <t>W4102604611</t>
        </is>
      </c>
      <c r="E1110" s="11" t="inlineStr">
        <is>
          <t>Unbekannte Bauwerkskonstruktion / fehlende Pläne</t>
        </is>
      </c>
      <c r="F1110" s="10" t="inlineStr">
        <is>
          <t>Statik</t>
        </is>
      </c>
      <c r="G1110" s="12" t="n">
        <v>0.12</v>
      </c>
      <c r="H1110" s="13" t="n">
        <v>420</v>
      </c>
      <c r="I1110" s="13" t="n">
        <v>868</v>
      </c>
      <c r="J1110" s="13" t="n">
        <v>1666</v>
      </c>
      <c r="K1110" s="14">
        <f>IF(OR(COUNT(G1110:J1110)&lt;&gt;4,G1110&lt;0,G1110&gt;1,H1110&gt;I1110,I1110&gt;J1110),"n.a.",ROUND(G1110*(H1110+4*I1110+J1110)/6+0.00000001,2))</f>
        <v/>
      </c>
      <c r="L1110" s="13" t="n">
        <v>0</v>
      </c>
      <c r="M1110" s="14">
        <f>SUMIFS(Maßnahmen!$I$7:$I$126,Maßnahmen!$D$7:$D$126,C1110,Maßnahmen!$H$7:$H$126,"&lt;&gt;verworfen")</f>
        <v/>
      </c>
      <c r="N1110" s="14">
        <f>IF(ISNUMBER(K1110),MAX(0,K1110-L1110-M1110),"n.a.")</f>
        <v/>
      </c>
      <c r="O1110" s="14" t="n">
        <v>111.16</v>
      </c>
      <c r="P1110" s="14">
        <f>IF(ISNUMBER(K1110),K1110-O1110,"n.a.")</f>
        <v/>
      </c>
    </row>
    <row r="1111" ht="32" customHeight="1">
      <c r="C1111" s="10" t="inlineStr">
        <is>
          <t>PRJ-38307c8e-RK-06</t>
        </is>
      </c>
      <c r="D1111" s="10" t="inlineStr">
        <is>
          <t>W4102604611</t>
        </is>
      </c>
      <c r="E1111" s="11" t="inlineStr">
        <is>
          <t>Statik / Einsturzsicherung während Abbruch</t>
        </is>
      </c>
      <c r="F1111" s="10" t="inlineStr">
        <is>
          <t>Statik</t>
        </is>
      </c>
      <c r="G1111" s="12" t="n">
        <v>0.12</v>
      </c>
      <c r="H1111" s="13" t="n">
        <v>378</v>
      </c>
      <c r="I1111" s="13" t="n">
        <v>883</v>
      </c>
      <c r="J1111" s="13" t="n">
        <v>1766</v>
      </c>
      <c r="K1111" s="14">
        <f>IF(OR(COUNT(G1111:J1111)&lt;&gt;4,G1111&lt;0,G1111&gt;1,H1111&gt;I1111,I1111&gt;J1111),"n.a.",ROUND(G1111*(H1111+4*I1111+J1111)/6+0.00000001,2))</f>
        <v/>
      </c>
      <c r="L1111" s="13" t="n">
        <v>0</v>
      </c>
      <c r="M1111" s="14">
        <f>SUMIFS(Maßnahmen!$I$7:$I$126,Maßnahmen!$D$7:$D$126,C1111,Maßnahmen!$H$7:$H$126,"&lt;&gt;verworfen")</f>
        <v/>
      </c>
      <c r="N1111" s="14">
        <f>IF(ISNUMBER(K1111),MAX(0,K1111-L1111-M1111),"n.a.")</f>
        <v/>
      </c>
      <c r="O1111" s="14" t="n">
        <v>113.52</v>
      </c>
      <c r="P1111" s="14">
        <f>IF(ISNUMBER(K1111),K1111-O1111,"n.a.")</f>
        <v/>
      </c>
    </row>
    <row r="1112" ht="32" customHeight="1">
      <c r="C1112" s="10" t="inlineStr">
        <is>
          <t>PRJ-38307c8e-RK-07</t>
        </is>
      </c>
      <c r="D1112" s="10" t="inlineStr">
        <is>
          <t>W4102604611</t>
        </is>
      </c>
      <c r="E1112" s="11" t="inlineStr">
        <is>
          <t>Unterirdische Tragkonstruktion / Fundamente</t>
        </is>
      </c>
      <c r="F1112" s="10" t="inlineStr">
        <is>
          <t>Statik</t>
        </is>
      </c>
      <c r="G1112" s="12" t="n">
        <v>0.5</v>
      </c>
      <c r="H1112" s="13" t="n">
        <v>63</v>
      </c>
      <c r="I1112" s="13" t="n">
        <v>252</v>
      </c>
      <c r="J1112" s="13" t="n">
        <v>631</v>
      </c>
      <c r="K1112" s="14">
        <f>IF(OR(COUNT(G1112:J1112)&lt;&gt;4,G1112&lt;0,G1112&gt;1,H1112&gt;I1112,I1112&gt;J1112),"n.a.",ROUND(G1112*(H1112+4*I1112+J1112)/6+0.00000001,2))</f>
        <v/>
      </c>
      <c r="L1112" s="13" t="n">
        <v>0</v>
      </c>
      <c r="M1112" s="14">
        <f>SUMIFS(Maßnahmen!$I$7:$I$126,Maßnahmen!$D$7:$D$126,C1112,Maßnahmen!$H$7:$H$126,"&lt;&gt;verworfen")</f>
        <v/>
      </c>
      <c r="N1112" s="14">
        <f>IF(ISNUMBER(K1112),MAX(0,K1112-L1112-M1112),"n.a.")</f>
        <v/>
      </c>
      <c r="O1112" s="14" t="n">
        <v>141.83</v>
      </c>
      <c r="P1112" s="14">
        <f>IF(ISNUMBER(K1112),K1112-O1112,"n.a.")</f>
        <v/>
      </c>
    </row>
    <row r="1113" ht="32" customHeight="1">
      <c r="C1113" s="10" t="inlineStr">
        <is>
          <t>PRJ-38307c8e-RK-08</t>
        </is>
      </c>
      <c r="D1113" s="10" t="inlineStr">
        <is>
          <t>W4102604611</t>
        </is>
      </c>
      <c r="E1113" s="11" t="inlineStr">
        <is>
          <t>Gebäudehöhe &gt;22 m / Longfront-Bagger (+130–150 %)</t>
        </is>
      </c>
      <c r="F1113" s="10" t="inlineStr">
        <is>
          <t>Termin</t>
        </is>
      </c>
      <c r="G1113" s="12" t="n">
        <v>0.6</v>
      </c>
      <c r="H1113" s="13" t="n">
        <v>1135</v>
      </c>
      <c r="I1113" s="13" t="n">
        <v>2270</v>
      </c>
      <c r="J1113" s="13" t="n">
        <v>4288</v>
      </c>
      <c r="K1113" s="14">
        <f>IF(OR(COUNT(G1113:J1113)&lt;&gt;4,G1113&lt;0,G1113&gt;1,H1113&gt;I1113,I1113&gt;J1113),"n.a.",ROUND(G1113*(H1113+4*I1113+J1113)/6+0.00000001,2))</f>
        <v/>
      </c>
      <c r="L1113" s="13" t="n">
        <v>0</v>
      </c>
      <c r="M1113" s="14">
        <f>SUMIFS(Maßnahmen!$I$7:$I$126,Maßnahmen!$D$7:$D$126,C1113,Maßnahmen!$H$7:$H$126,"&lt;&gt;verworfen")</f>
        <v/>
      </c>
      <c r="N1113" s="14">
        <f>IF(ISNUMBER(K1113),MAX(0,K1113-L1113-M1113),"n.a.")</f>
        <v/>
      </c>
      <c r="O1113" s="14" t="n">
        <v>1450.3</v>
      </c>
      <c r="P1113" s="14">
        <f>IF(ISNUMBER(K1113),K1113-O1113,"n.a.")</f>
        <v/>
      </c>
    </row>
    <row r="1114" ht="32" customHeight="1">
      <c r="C1114" s="10" t="inlineStr">
        <is>
          <t>PRJ-38307c8e-RK-09</t>
        </is>
      </c>
      <c r="D1114" s="10" t="inlineStr">
        <is>
          <t>W4102604611</t>
        </is>
      </c>
      <c r="E1114" s="11" t="inlineStr">
        <is>
          <t>Beennte Lage / nur Handabbruch möglich</t>
        </is>
      </c>
      <c r="F1114" s="10" t="inlineStr">
        <is>
          <t>Termin</t>
        </is>
      </c>
      <c r="G1114" s="12" t="n">
        <v>0.134</v>
      </c>
      <c r="H1114" s="13" t="n">
        <v>73</v>
      </c>
      <c r="I1114" s="13" t="n">
        <v>196</v>
      </c>
      <c r="J1114" s="13" t="n">
        <v>518</v>
      </c>
      <c r="K1114" s="14">
        <f>IF(OR(COUNT(G1114:J1114)&lt;&gt;4,G1114&lt;0,G1114&gt;1,H1114&gt;I1114,I1114&gt;J1114),"n.a.",ROUND(G1114*(H1114+4*I1114+J1114)/6+0.00000001,2))</f>
        <v/>
      </c>
      <c r="L1114" s="13" t="n">
        <v>0</v>
      </c>
      <c r="M1114" s="14">
        <f>SUMIFS(Maßnahmen!$I$7:$I$126,Maßnahmen!$D$7:$D$126,C1114,Maßnahmen!$H$7:$H$126,"&lt;&gt;verworfen")</f>
        <v/>
      </c>
      <c r="N1114" s="14">
        <f>IF(ISNUMBER(K1114),MAX(0,K1114-L1114-M1114),"n.a.")</f>
        <v/>
      </c>
      <c r="O1114" s="14" t="n">
        <v>30.71</v>
      </c>
      <c r="P1114" s="14">
        <f>IF(ISNUMBER(K1114),K1114-O1114,"n.a.")</f>
        <v/>
      </c>
    </row>
    <row r="1115" ht="32" customHeight="1">
      <c r="C1115" s="10" t="inlineStr">
        <is>
          <t>PRJ-38307c8e-RK-10</t>
        </is>
      </c>
      <c r="D1115" s="10" t="inlineStr">
        <is>
          <t>W4102604611</t>
        </is>
      </c>
      <c r="E1115" s="11" t="inlineStr">
        <is>
          <t>Terminvorgabe Auftraggeber / Geräteauslastung</t>
        </is>
      </c>
      <c r="F1115" s="10" t="inlineStr">
        <is>
          <t>Termin</t>
        </is>
      </c>
      <c r="G1115" s="12" t="n">
        <v>0.08</v>
      </c>
      <c r="H1115" s="13" t="n">
        <v>63</v>
      </c>
      <c r="I1115" s="13" t="n">
        <v>126</v>
      </c>
      <c r="J1115" s="13" t="n">
        <v>334</v>
      </c>
      <c r="K1115" s="14">
        <f>IF(OR(COUNT(G1115:J1115)&lt;&gt;4,G1115&lt;0,G1115&gt;1,H1115&gt;I1115,I1115&gt;J1115),"n.a.",ROUND(G1115*(H1115+4*I1115+J1115)/6+0.00000001,2))</f>
        <v/>
      </c>
      <c r="L1115" s="13" t="n">
        <v>0</v>
      </c>
      <c r="M1115" s="14">
        <f>SUMIFS(Maßnahmen!$I$7:$I$126,Maßnahmen!$D$7:$D$126,C1115,Maßnahmen!$H$7:$H$126,"&lt;&gt;verworfen")</f>
        <v/>
      </c>
      <c r="N1115" s="14">
        <f>IF(ISNUMBER(K1115),MAX(0,K1115-L1115-M1115),"n.a.")</f>
        <v/>
      </c>
      <c r="O1115" s="14" t="n">
        <v>12.01</v>
      </c>
      <c r="P1115" s="14">
        <f>IF(ISNUMBER(K1115),K1115-O1115,"n.a.")</f>
        <v/>
      </c>
    </row>
    <row r="1116" ht="32" customHeight="1">
      <c r="C1116" s="10" t="inlineStr">
        <is>
          <t>PRJ-38307c8e-RK-12</t>
        </is>
      </c>
      <c r="D1116" s="10" t="inlineStr">
        <is>
          <t>W4102604611</t>
        </is>
      </c>
      <c r="E1116" s="11" t="inlineStr">
        <is>
          <t>Staubemissionen (höchster Aufwand laut Umfrage)</t>
        </is>
      </c>
      <c r="F1116" s="10" t="inlineStr">
        <is>
          <t>Emissionen</t>
        </is>
      </c>
      <c r="G1116" s="12" t="n">
        <v>0.1</v>
      </c>
      <c r="H1116" s="13" t="n">
        <v>378</v>
      </c>
      <c r="I1116" s="13" t="n">
        <v>757</v>
      </c>
      <c r="J1116" s="13" t="n">
        <v>1513</v>
      </c>
      <c r="K1116" s="14">
        <f>IF(OR(COUNT(G1116:J1116)&lt;&gt;4,G1116&lt;0,G1116&gt;1,H1116&gt;I1116,I1116&gt;J1116),"n.a.",ROUND(G1116*(H1116+4*I1116+J1116)/6+0.00000001,2))</f>
        <v/>
      </c>
      <c r="L1116" s="13" t="n">
        <v>0</v>
      </c>
      <c r="M1116" s="14">
        <f>SUMIFS(Maßnahmen!$I$7:$I$126,Maßnahmen!$D$7:$D$126,C1116,Maßnahmen!$H$7:$H$126,"&lt;&gt;verworfen")</f>
        <v/>
      </c>
      <c r="N1116" s="14">
        <f>IF(ISNUMBER(K1116),MAX(0,K1116-L1116-M1116),"n.a.")</f>
        <v/>
      </c>
      <c r="O1116" s="14" t="n">
        <v>81.98</v>
      </c>
      <c r="P1116" s="14">
        <f>IF(ISNUMBER(K1116),K1116-O1116,"n.a.")</f>
        <v/>
      </c>
    </row>
    <row r="1117" ht="32" customHeight="1">
      <c r="C1117" s="10" t="inlineStr">
        <is>
          <t>PRJ-38307c8e-RK-13</t>
        </is>
      </c>
      <c r="D1117" s="10" t="inlineStr">
        <is>
          <t>W4102604611</t>
        </is>
      </c>
      <c r="E1117" s="11" t="inlineStr">
        <is>
          <t>Lärm- und Erschütterungsauflagen</t>
        </is>
      </c>
      <c r="F1117" s="10" t="inlineStr">
        <is>
          <t>Emissionen</t>
        </is>
      </c>
      <c r="G1117" s="12" t="n">
        <v>0.175</v>
      </c>
      <c r="H1117" s="13" t="n">
        <v>185</v>
      </c>
      <c r="I1117" s="13" t="n">
        <v>506</v>
      </c>
      <c r="J1117" s="13" t="n">
        <v>1047</v>
      </c>
      <c r="K1117" s="14">
        <f>IF(OR(COUNT(G1117:J1117)&lt;&gt;4,G1117&lt;0,G1117&gt;1,H1117&gt;I1117,I1117&gt;J1117),"n.a.",ROUND(G1117*(H1117+4*I1117+J1117)/6+0.00000001,2))</f>
        <v/>
      </c>
      <c r="L1117" s="13" t="n">
        <v>0</v>
      </c>
      <c r="M1117" s="14">
        <f>SUMIFS(Maßnahmen!$I$7:$I$126,Maßnahmen!$D$7:$D$126,C1117,Maßnahmen!$H$7:$H$126,"&lt;&gt;verworfen")</f>
        <v/>
      </c>
      <c r="N1117" s="14">
        <f>IF(ISNUMBER(K1117),MAX(0,K1117-L1117-M1117),"n.a.")</f>
        <v/>
      </c>
      <c r="O1117" s="14" t="n">
        <v>94.97</v>
      </c>
      <c r="P1117" s="14">
        <f>IF(ISNUMBER(K1117),K1117-O1117,"n.a.")</f>
        <v/>
      </c>
    </row>
    <row r="1118" ht="32" customHeight="1">
      <c r="C1118" s="10" t="inlineStr">
        <is>
          <t>PRJ-38307c8e-RK-14</t>
        </is>
      </c>
      <c r="D1118" s="10" t="inlineStr">
        <is>
          <t>W4102604611</t>
        </is>
      </c>
      <c r="E1118" s="11" t="inlineStr">
        <is>
          <t>Rechtliche Auflagen / Entsorgungsnachweise (Formalismus)</t>
        </is>
      </c>
      <c r="F1118" s="10" t="inlineStr">
        <is>
          <t>Genehmigung</t>
        </is>
      </c>
      <c r="G1118" s="12" t="n">
        <v>0.4</v>
      </c>
      <c r="H1118" s="13" t="n">
        <v>1198</v>
      </c>
      <c r="I1118" s="13" t="n">
        <v>2333</v>
      </c>
      <c r="J1118" s="13" t="n">
        <v>4414</v>
      </c>
      <c r="K1118" s="14">
        <f>IF(OR(COUNT(G1118:J1118)&lt;&gt;4,G1118&lt;0,G1118&gt;1,H1118&gt;I1118,I1118&gt;J1118),"n.a.",ROUND(G1118*(H1118+4*I1118+J1118)/6+0.00000001,2))</f>
        <v/>
      </c>
      <c r="L1118" s="13" t="n">
        <v>0</v>
      </c>
      <c r="M1118" s="14">
        <f>SUMIFS(Maßnahmen!$I$7:$I$126,Maßnahmen!$D$7:$D$126,C1118,Maßnahmen!$H$7:$H$126,"&lt;&gt;verworfen")</f>
        <v/>
      </c>
      <c r="N1118" s="14">
        <f>IF(ISNUMBER(K1118),MAX(0,K1118-L1118-M1118),"n.a.")</f>
        <v/>
      </c>
      <c r="O1118" s="14" t="n">
        <v>996.27</v>
      </c>
      <c r="P1118" s="14">
        <f>IF(ISNUMBER(K1118),K1118-O1118,"n.a.")</f>
        <v/>
      </c>
    </row>
    <row r="1119" ht="32" customHeight="1">
      <c r="C1119" s="10" t="inlineStr">
        <is>
          <t>PRJ-38307c8e-RK-15</t>
        </is>
      </c>
      <c r="D1119" s="10" t="inlineStr">
        <is>
          <t>W4102604611</t>
        </is>
      </c>
      <c r="E1119" s="11" t="inlineStr">
        <is>
          <t>Konjunktur / Sekundärstoffpreise &amp; Gerätemiete</t>
        </is>
      </c>
      <c r="F1119" s="10" t="inlineStr">
        <is>
          <t>Markt</t>
        </is>
      </c>
      <c r="G1119" s="12" t="n">
        <v>0.12</v>
      </c>
      <c r="H1119" s="13" t="n">
        <v>101</v>
      </c>
      <c r="I1119" s="13" t="n">
        <v>252</v>
      </c>
      <c r="J1119" s="13" t="n">
        <v>631</v>
      </c>
      <c r="K1119" s="14">
        <f>IF(OR(COUNT(G1119:J1119)&lt;&gt;4,G1119&lt;0,G1119&gt;1,H1119&gt;I1119,I1119&gt;J1119),"n.a.",ROUND(G1119*(H1119+4*I1119+J1119)/6+0.00000001,2))</f>
        <v/>
      </c>
      <c r="L1119" s="13" t="n">
        <v>0</v>
      </c>
      <c r="M1119" s="14">
        <f>SUMIFS(Maßnahmen!$I$7:$I$126,Maßnahmen!$D$7:$D$126,C1119,Maßnahmen!$H$7:$H$126,"&lt;&gt;verworfen")</f>
        <v/>
      </c>
      <c r="N1119" s="14">
        <f>IF(ISNUMBER(K1119),MAX(0,K1119-L1119-M1119),"n.a.")</f>
        <v/>
      </c>
      <c r="O1119" s="14" t="n">
        <v>34.8</v>
      </c>
      <c r="P1119" s="14">
        <f>IF(ISNUMBER(K1119),K1119-O1119,"n.a.")</f>
        <v/>
      </c>
    </row>
    <row r="1120" ht="32" customHeight="1">
      <c r="C1120" s="10" t="inlineStr">
        <is>
          <t>PRJ-52b1cf72-RK-01</t>
        </is>
      </c>
      <c r="D1120" s="10" t="inlineStr">
        <is>
          <t>P4102157442</t>
        </is>
      </c>
      <c r="E1120" s="11" t="inlineStr">
        <is>
          <t>Schadstofffund / Schadstoffsanierung (Asbest, PAK, PCB, PCP)</t>
        </is>
      </c>
      <c r="F1120" s="10" t="inlineStr">
        <is>
          <t>Schadstoffe</t>
        </is>
      </c>
      <c r="G1120" s="12" t="n">
        <v>0.7</v>
      </c>
      <c r="H1120" s="13" t="n">
        <v>6174</v>
      </c>
      <c r="I1120" s="13" t="n">
        <v>11552</v>
      </c>
      <c r="J1120" s="13" t="n">
        <v>20328</v>
      </c>
      <c r="K1120" s="14">
        <f>IF(OR(COUNT(G1120:J1120)&lt;&gt;4,G1120&lt;0,G1120&gt;1,H1120&gt;I1120,I1120&gt;J1120),"n.a.",ROUND(G1120*(H1120+4*I1120+J1120)/6+0.00000001,2))</f>
        <v/>
      </c>
      <c r="L1120" s="13" t="n">
        <v>0</v>
      </c>
      <c r="M1120" s="14">
        <f>SUMIFS(Maßnahmen!$I$7:$I$126,Maßnahmen!$D$7:$D$126,C1120,Maßnahmen!$H$7:$H$126,"&lt;&gt;verworfen")</f>
        <v/>
      </c>
      <c r="N1120" s="14">
        <f>IF(ISNUMBER(K1120),MAX(0,K1120-L1120-M1120),"n.a.")</f>
        <v/>
      </c>
      <c r="O1120" s="14" t="n">
        <v>8482.83</v>
      </c>
      <c r="P1120" s="14">
        <f>IF(ISNUMBER(K1120),K1120-O1120,"n.a.")</f>
        <v/>
      </c>
    </row>
    <row r="1121" ht="32" customHeight="1">
      <c r="C1121" s="10" t="inlineStr">
        <is>
          <t>PRJ-52b1cf72-RK-02</t>
        </is>
      </c>
      <c r="D1121" s="10" t="inlineStr">
        <is>
          <t>P4102157442</t>
        </is>
      </c>
      <c r="E1121" s="11" t="inlineStr">
        <is>
          <t>Arbeitsschutz kontaminierte Bereiche (TRGS 524)</t>
        </is>
      </c>
      <c r="F1121" s="10" t="inlineStr">
        <is>
          <t>Schadstoffe</t>
        </is>
      </c>
      <c r="G1121" s="12" t="n">
        <v>0.1</v>
      </c>
      <c r="H1121" s="13" t="n">
        <v>156</v>
      </c>
      <c r="I1121" s="13" t="n">
        <v>313</v>
      </c>
      <c r="J1121" s="13" t="n">
        <v>625</v>
      </c>
      <c r="K1121" s="14">
        <f>IF(OR(COUNT(G1121:J1121)&lt;&gt;4,G1121&lt;0,G1121&gt;1,H1121&gt;I1121,I1121&gt;J1121),"n.a.",ROUND(G1121*(H1121+4*I1121+J1121)/6+0.00000001,2))</f>
        <v/>
      </c>
      <c r="L1121" s="13" t="n">
        <v>0</v>
      </c>
      <c r="M1121" s="14">
        <f>SUMIFS(Maßnahmen!$I$7:$I$126,Maßnahmen!$D$7:$D$126,C1121,Maßnahmen!$H$7:$H$126,"&lt;&gt;verworfen")</f>
        <v/>
      </c>
      <c r="N1121" s="14">
        <f>IF(ISNUMBER(K1121),MAX(0,K1121-L1121-M1121),"n.a.")</f>
        <v/>
      </c>
      <c r="O1121" s="14" t="n">
        <v>33.88</v>
      </c>
      <c r="P1121" s="14">
        <f>IF(ISNUMBER(K1121),K1121-O1121,"n.a.")</f>
        <v/>
      </c>
    </row>
    <row r="1122" ht="32" customHeight="1">
      <c r="C1122" s="10" t="inlineStr">
        <is>
          <t>PRJ-52b1cf72-RK-04</t>
        </is>
      </c>
      <c r="D1122" s="10" t="inlineStr">
        <is>
          <t>P4102157442</t>
        </is>
      </c>
      <c r="E1122" s="11" t="inlineStr">
        <is>
          <t>Baustofftrennung / Aufbereitung nicht wie geplant</t>
        </is>
      </c>
      <c r="F1122" s="10" t="inlineStr">
        <is>
          <t>Entsorgung</t>
        </is>
      </c>
      <c r="G1122" s="12" t="n">
        <v>0.08</v>
      </c>
      <c r="H1122" s="13" t="n">
        <v>156</v>
      </c>
      <c r="I1122" s="13" t="n">
        <v>313</v>
      </c>
      <c r="J1122" s="13" t="n">
        <v>625</v>
      </c>
      <c r="K1122" s="14">
        <f>IF(OR(COUNT(G1122:J1122)&lt;&gt;4,G1122&lt;0,G1122&gt;1,H1122&gt;I1122,I1122&gt;J1122),"n.a.",ROUND(G1122*(H1122+4*I1122+J1122)/6+0.00000001,2))</f>
        <v/>
      </c>
      <c r="L1122" s="13" t="n">
        <v>0</v>
      </c>
      <c r="M1122" s="14">
        <f>SUMIFS(Maßnahmen!$I$7:$I$126,Maßnahmen!$D$7:$D$126,C1122,Maßnahmen!$H$7:$H$126,"&lt;&gt;verworfen")</f>
        <v/>
      </c>
      <c r="N1122" s="14">
        <f>IF(ISNUMBER(K1122),MAX(0,K1122-L1122-M1122),"n.a.")</f>
        <v/>
      </c>
      <c r="O1122" s="14" t="n">
        <v>27.11</v>
      </c>
      <c r="P1122" s="14">
        <f>IF(ISNUMBER(K1122),K1122-O1122,"n.a.")</f>
        <v/>
      </c>
    </row>
    <row r="1123" ht="32" customHeight="1">
      <c r="C1123" s="10" t="inlineStr">
        <is>
          <t>PRJ-52b1cf72-RK-10</t>
        </is>
      </c>
      <c r="D1123" s="10" t="inlineStr">
        <is>
          <t>P4102157442</t>
        </is>
      </c>
      <c r="E1123" s="11" t="inlineStr">
        <is>
          <t>Terminvorgabe Auftraggeber / Geräteauslastung</t>
        </is>
      </c>
      <c r="F1123" s="10" t="inlineStr">
        <is>
          <t>Termin</t>
        </is>
      </c>
      <c r="G1123" s="12" t="n">
        <v>0.08</v>
      </c>
      <c r="H1123" s="13" t="n">
        <v>156</v>
      </c>
      <c r="I1123" s="13" t="n">
        <v>313</v>
      </c>
      <c r="J1123" s="13" t="n">
        <v>625</v>
      </c>
      <c r="K1123" s="14">
        <f>IF(OR(COUNT(G1123:J1123)&lt;&gt;4,G1123&lt;0,G1123&gt;1,H1123&gt;I1123,I1123&gt;J1123),"n.a.",ROUND(G1123*(H1123+4*I1123+J1123)/6+0.00000001,2))</f>
        <v/>
      </c>
      <c r="L1123" s="13" t="n">
        <v>0</v>
      </c>
      <c r="M1123" s="14">
        <f>SUMIFS(Maßnahmen!$I$7:$I$126,Maßnahmen!$D$7:$D$126,C1123,Maßnahmen!$H$7:$H$126,"&lt;&gt;verworfen")</f>
        <v/>
      </c>
      <c r="N1123" s="14">
        <f>IF(ISNUMBER(K1123),MAX(0,K1123-L1123-M1123),"n.a.")</f>
        <v/>
      </c>
      <c r="O1123" s="14" t="n">
        <v>27.11</v>
      </c>
      <c r="P1123" s="14">
        <f>IF(ISNUMBER(K1123),K1123-O1123,"n.a.")</f>
        <v/>
      </c>
    </row>
    <row r="1124" ht="32" customHeight="1">
      <c r="C1124" s="10" t="inlineStr">
        <is>
          <t>PRJ-52b1cf72-RK-11</t>
        </is>
      </c>
      <c r="D1124" s="10" t="inlineStr">
        <is>
          <t>P4102157442</t>
        </is>
      </c>
      <c r="E1124" s="11" t="inlineStr">
        <is>
          <t>Witterung / Ablaufstörung</t>
        </is>
      </c>
      <c r="F1124" s="10" t="inlineStr">
        <is>
          <t>Termin</t>
        </is>
      </c>
      <c r="G1124" s="12" t="n">
        <v>0.55</v>
      </c>
      <c r="H1124" s="13" t="n">
        <v>5900</v>
      </c>
      <c r="I1124" s="13" t="n">
        <v>9319</v>
      </c>
      <c r="J1124" s="13" t="n">
        <v>18637</v>
      </c>
      <c r="K1124" s="14">
        <f>IF(OR(COUNT(G1124:J1124)&lt;&gt;4,G1124&lt;0,G1124&gt;1,H1124&gt;I1124,I1124&gt;J1124),"n.a.",ROUND(G1124*(H1124+4*I1124+J1124)/6+0.00000001,2))</f>
        <v/>
      </c>
      <c r="L1124" s="13" t="n">
        <v>0</v>
      </c>
      <c r="M1124" s="14">
        <f>SUMIFS(Maßnahmen!$I$7:$I$126,Maßnahmen!$D$7:$D$126,C1124,Maßnahmen!$H$7:$H$126,"&lt;&gt;verworfen")</f>
        <v/>
      </c>
      <c r="N1124" s="14">
        <f>IF(ISNUMBER(K1124),MAX(0,K1124-L1124-M1124),"n.a.")</f>
        <v/>
      </c>
      <c r="O1124" s="14" t="n">
        <v>5666.19</v>
      </c>
      <c r="P1124" s="14">
        <f>IF(ISNUMBER(K1124),K1124-O1124,"n.a.")</f>
        <v/>
      </c>
    </row>
    <row r="1125" ht="32" customHeight="1">
      <c r="C1125" s="10" t="inlineStr">
        <is>
          <t>PRJ-52b1cf72-RK-15</t>
        </is>
      </c>
      <c r="D1125" s="10" t="inlineStr">
        <is>
          <t>P4102157442</t>
        </is>
      </c>
      <c r="E1125" s="11" t="inlineStr">
        <is>
          <t>Konjunktur / Sekundärstoffpreise &amp; Gerätemiete</t>
        </is>
      </c>
      <c r="F1125" s="10" t="inlineStr">
        <is>
          <t>Markt</t>
        </is>
      </c>
      <c r="G1125" s="12" t="n">
        <v>0.477</v>
      </c>
      <c r="H1125" s="13" t="n">
        <v>5837</v>
      </c>
      <c r="I1125" s="13" t="n">
        <v>7330</v>
      </c>
      <c r="J1125" s="13" t="n">
        <v>15531</v>
      </c>
      <c r="K1125" s="14">
        <f>IF(OR(COUNT(G1125:J1125)&lt;&gt;4,G1125&lt;0,G1125&gt;1,H1125&gt;I1125,I1125&gt;J1125),"n.a.",ROUND(G1125*(H1125+4*I1125+J1125)/6+0.00000001,2))</f>
        <v/>
      </c>
      <c r="L1125" s="13" t="n">
        <v>0</v>
      </c>
      <c r="M1125" s="14">
        <f>SUMIFS(Maßnahmen!$I$7:$I$126,Maßnahmen!$D$7:$D$126,C1125,Maßnahmen!$H$7:$H$126,"&lt;&gt;verworfen")</f>
        <v/>
      </c>
      <c r="N1125" s="14">
        <f>IF(ISNUMBER(K1125),MAX(0,K1125-L1125-M1125),"n.a.")</f>
        <v/>
      </c>
      <c r="O1125" s="14" t="n">
        <v>4029.7</v>
      </c>
      <c r="P1125" s="14">
        <f>IF(ISNUMBER(K1125),K1125-O1125,"n.a.")</f>
        <v/>
      </c>
    </row>
    <row r="1126" ht="32" customHeight="1">
      <c r="C1126" s="10" t="inlineStr">
        <is>
          <t>PRJ-52b1cfd0-RK-01</t>
        </is>
      </c>
      <c r="D1126" s="10" t="inlineStr">
        <is>
          <t>P4102157411</t>
        </is>
      </c>
      <c r="E1126" s="11" t="inlineStr">
        <is>
          <t>Schadstofffund / Schadstoffsanierung (Asbest, PAK, PCB, PCP)</t>
        </is>
      </c>
      <c r="F1126" s="10" t="inlineStr">
        <is>
          <t>Schadstoffe</t>
        </is>
      </c>
      <c r="G1126" s="12" t="n">
        <v>0.1</v>
      </c>
      <c r="H1126" s="13" t="n">
        <v>100</v>
      </c>
      <c r="I1126" s="13" t="n">
        <v>250</v>
      </c>
      <c r="J1126" s="13" t="n">
        <v>500</v>
      </c>
      <c r="K1126" s="14">
        <f>IF(OR(COUNT(G1126:J1126)&lt;&gt;4,G1126&lt;0,G1126&gt;1,H1126&gt;I1126,I1126&gt;J1126),"n.a.",ROUND(G1126*(H1126+4*I1126+J1126)/6+0.00000001,2))</f>
        <v/>
      </c>
      <c r="L1126" s="13" t="n">
        <v>0</v>
      </c>
      <c r="M1126" s="14">
        <f>SUMIFS(Maßnahmen!$I$7:$I$126,Maßnahmen!$D$7:$D$126,C1126,Maßnahmen!$H$7:$H$126,"&lt;&gt;verworfen")</f>
        <v/>
      </c>
      <c r="N1126" s="14">
        <f>IF(ISNUMBER(K1126),MAX(0,K1126-L1126-M1126),"n.a.")</f>
        <v/>
      </c>
      <c r="O1126" s="14" t="n">
        <v>26.67</v>
      </c>
      <c r="P1126" s="14">
        <f>IF(ISNUMBER(K1126),K1126-O1126,"n.a.")</f>
        <v/>
      </c>
    </row>
    <row r="1127" ht="32" customHeight="1">
      <c r="C1127" s="10" t="inlineStr">
        <is>
          <t>PRJ-52b1cfd0-RK-02</t>
        </is>
      </c>
      <c r="D1127" s="10" t="inlineStr">
        <is>
          <t>P4102157411</t>
        </is>
      </c>
      <c r="E1127" s="11" t="inlineStr">
        <is>
          <t>Arbeitsschutz kontaminierte Bereiche (TRGS 524)</t>
        </is>
      </c>
      <c r="F1127" s="10" t="inlineStr">
        <is>
          <t>Schadstoffe</t>
        </is>
      </c>
      <c r="G1127" s="12" t="n">
        <v>0.47</v>
      </c>
      <c r="H1127" s="13" t="n">
        <v>100</v>
      </c>
      <c r="I1127" s="13" t="n">
        <v>250</v>
      </c>
      <c r="J1127" s="13" t="n">
        <v>500</v>
      </c>
      <c r="K1127" s="14">
        <f>IF(OR(COUNT(G1127:J1127)&lt;&gt;4,G1127&lt;0,G1127&gt;1,H1127&gt;I1127,I1127&gt;J1127),"n.a.",ROUND(G1127*(H1127+4*I1127+J1127)/6+0.00000001,2))</f>
        <v/>
      </c>
      <c r="L1127" s="13" t="n">
        <v>0</v>
      </c>
      <c r="M1127" s="14">
        <f>SUMIFS(Maßnahmen!$I$7:$I$126,Maßnahmen!$D$7:$D$126,C1127,Maßnahmen!$H$7:$H$126,"&lt;&gt;verworfen")</f>
        <v/>
      </c>
      <c r="N1127" s="14">
        <f>IF(ISNUMBER(K1127),MAX(0,K1127-L1127-M1127),"n.a.")</f>
        <v/>
      </c>
      <c r="O1127" s="14" t="n">
        <v>125.33</v>
      </c>
      <c r="P1127" s="14">
        <f>IF(ISNUMBER(K1127),K1127-O1127,"n.a.")</f>
        <v/>
      </c>
    </row>
    <row r="1128" ht="32" customHeight="1">
      <c r="C1128" s="10" t="inlineStr">
        <is>
          <t>PRJ-52b1cf54-RK-01</t>
        </is>
      </c>
      <c r="D1128" s="10" t="inlineStr">
        <is>
          <t>P4102157451</t>
        </is>
      </c>
      <c r="E1128" s="11" t="inlineStr">
        <is>
          <t>Schadstofffund / Schadstoffsanierung (Asbest, PAK, PCB, PCP)</t>
        </is>
      </c>
      <c r="F1128" s="10" t="inlineStr">
        <is>
          <t>Schadstoffe</t>
        </is>
      </c>
      <c r="G1128" s="12" t="n">
        <v>0.7</v>
      </c>
      <c r="H1128" s="13" t="n">
        <v>371226</v>
      </c>
      <c r="I1128" s="13" t="n">
        <v>693788</v>
      </c>
      <c r="J1128" s="13" t="n">
        <v>1187685</v>
      </c>
      <c r="K1128" s="14">
        <f>IF(OR(COUNT(G1128:J1128)&lt;&gt;4,G1128&lt;0,G1128&gt;1,H1128&gt;I1128,I1128&gt;J1128),"n.a.",ROUND(G1128*(H1128+4*I1128+J1128)/6+0.00000001,2))</f>
        <v/>
      </c>
      <c r="L1128" s="13" t="n">
        <v>0</v>
      </c>
      <c r="M1128" s="14">
        <f>SUMIFS(Maßnahmen!$I$7:$I$126,Maßnahmen!$D$7:$D$126,C1128,Maßnahmen!$H$7:$H$126,"&lt;&gt;verworfen")</f>
        <v/>
      </c>
      <c r="N1128" s="14">
        <f>IF(ISNUMBER(K1128),MAX(0,K1128-L1128-M1128),"n.a.")</f>
        <v/>
      </c>
      <c r="O1128" s="14" t="n">
        <v>505640.68</v>
      </c>
      <c r="P1128" s="14">
        <f>IF(ISNUMBER(K1128),K1128-O1128,"n.a.")</f>
        <v/>
      </c>
    </row>
    <row r="1129" ht="32" customHeight="1">
      <c r="C1129" s="10" t="inlineStr">
        <is>
          <t>PRJ-52b1cf54-RK-02</t>
        </is>
      </c>
      <c r="D1129" s="10" t="inlineStr">
        <is>
          <t>P4102157451</t>
        </is>
      </c>
      <c r="E1129" s="11" t="inlineStr">
        <is>
          <t>Arbeitsschutz kontaminierte Bereiche (TRGS 524)</t>
        </is>
      </c>
      <c r="F1129" s="10" t="inlineStr">
        <is>
          <t>Schadstoffe</t>
        </is>
      </c>
      <c r="G1129" s="12" t="n">
        <v>0.1</v>
      </c>
      <c r="H1129" s="13" t="n">
        <v>9136</v>
      </c>
      <c r="I1129" s="13" t="n">
        <v>18272</v>
      </c>
      <c r="J1129" s="13" t="n">
        <v>36544</v>
      </c>
      <c r="K1129" s="14">
        <f>IF(OR(COUNT(G1129:J1129)&lt;&gt;4,G1129&lt;0,G1129&gt;1,H1129&gt;I1129,I1129&gt;J1129),"n.a.",ROUND(G1129*(H1129+4*I1129+J1129)/6+0.00000001,2))</f>
        <v/>
      </c>
      <c r="L1129" s="13" t="n">
        <v>0</v>
      </c>
      <c r="M1129" s="14">
        <f>SUMIFS(Maßnahmen!$I$7:$I$126,Maßnahmen!$D$7:$D$126,C1129,Maßnahmen!$H$7:$H$126,"&lt;&gt;verworfen")</f>
        <v/>
      </c>
      <c r="N1129" s="14">
        <f>IF(ISNUMBER(K1129),MAX(0,K1129-L1129-M1129),"n.a.")</f>
        <v/>
      </c>
      <c r="O1129" s="14" t="n">
        <v>1979.47</v>
      </c>
      <c r="P1129" s="14">
        <f>IF(ISNUMBER(K1129),K1129-O1129,"n.a.")</f>
        <v/>
      </c>
    </row>
    <row r="1130" ht="32" customHeight="1">
      <c r="C1130" s="10" t="inlineStr">
        <is>
          <t>PRJ-3d4efac5-RK-13</t>
        </is>
      </c>
      <c r="D1130" s="10" t="inlineStr">
        <is>
          <t>W4102304947</t>
        </is>
      </c>
      <c r="E1130" s="11" t="inlineStr">
        <is>
          <t>Lärm- und Erschütterungsauflagen</t>
        </is>
      </c>
      <c r="F1130" s="10" t="inlineStr">
        <is>
          <t>Emissionen</t>
        </is>
      </c>
      <c r="G1130" s="12" t="n">
        <v>0.2</v>
      </c>
      <c r="H1130" s="13" t="n">
        <v>20</v>
      </c>
      <c r="I1130" s="13" t="n">
        <v>50</v>
      </c>
      <c r="J1130" s="13" t="n">
        <v>100</v>
      </c>
      <c r="K1130" s="14">
        <f>IF(OR(COUNT(G1130:J1130)&lt;&gt;4,G1130&lt;0,G1130&gt;1,H1130&gt;I1130,I1130&gt;J1130),"n.a.",ROUND(G1130*(H1130+4*I1130+J1130)/6+0.00000001,2))</f>
        <v/>
      </c>
      <c r="L1130" s="13" t="n">
        <v>0</v>
      </c>
      <c r="M1130" s="14">
        <f>SUMIFS(Maßnahmen!$I$7:$I$126,Maßnahmen!$D$7:$D$126,C1130,Maßnahmen!$H$7:$H$126,"&lt;&gt;verworfen")</f>
        <v/>
      </c>
      <c r="N1130" s="14">
        <f>IF(ISNUMBER(K1130),MAX(0,K1130-L1130-M1130),"n.a.")</f>
        <v/>
      </c>
      <c r="O1130" s="14" t="n">
        <v>10.67</v>
      </c>
      <c r="P1130" s="14">
        <f>IF(ISNUMBER(K1130),K1130-O1130,"n.a.")</f>
        <v/>
      </c>
    </row>
    <row r="1131" ht="32" customHeight="1">
      <c r="C1131" s="10" t="inlineStr">
        <is>
          <t>PRJ-383070ef-RK-01</t>
        </is>
      </c>
      <c r="D1131" s="10" t="inlineStr">
        <is>
          <t>W4102604940</t>
        </is>
      </c>
      <c r="E1131" s="11" t="inlineStr">
        <is>
          <t>Schadstofffund / Schadstoffsanierung (Asbest, PAK, PCB, PCP)</t>
        </is>
      </c>
      <c r="F1131" s="10" t="inlineStr">
        <is>
          <t>Schadstoffe</t>
        </is>
      </c>
      <c r="G1131" s="12" t="n">
        <v>0.1</v>
      </c>
      <c r="H1131" s="13" t="n">
        <v>84</v>
      </c>
      <c r="I1131" s="13" t="n">
        <v>210</v>
      </c>
      <c r="J1131" s="13" t="n">
        <v>421</v>
      </c>
      <c r="K1131" s="14">
        <f>IF(OR(COUNT(G1131:J1131)&lt;&gt;4,G1131&lt;0,G1131&gt;1,H1131&gt;I1131,I1131&gt;J1131),"n.a.",ROUND(G1131*(H1131+4*I1131+J1131)/6+0.00000001,2))</f>
        <v/>
      </c>
      <c r="L1131" s="13" t="n">
        <v>0</v>
      </c>
      <c r="M1131" s="14">
        <f>SUMIFS(Maßnahmen!$I$7:$I$126,Maßnahmen!$D$7:$D$126,C1131,Maßnahmen!$H$7:$H$126,"&lt;&gt;verworfen")</f>
        <v/>
      </c>
      <c r="N1131" s="14">
        <f>IF(ISNUMBER(K1131),MAX(0,K1131-L1131-M1131),"n.a.")</f>
        <v/>
      </c>
      <c r="O1131" s="14" t="n">
        <v>22.42</v>
      </c>
      <c r="P1131" s="14">
        <f>IF(ISNUMBER(K1131),K1131-O1131,"n.a.")</f>
        <v/>
      </c>
    </row>
    <row r="1132" ht="32" customHeight="1">
      <c r="C1132" s="10" t="inlineStr">
        <is>
          <t>PRJ-383070ef-RK-02</t>
        </is>
      </c>
      <c r="D1132" s="10" t="inlineStr">
        <is>
          <t>W4102604940</t>
        </is>
      </c>
      <c r="E1132" s="11" t="inlineStr">
        <is>
          <t>Arbeitsschutz kontaminierte Bereiche (TRGS 524)</t>
        </is>
      </c>
      <c r="F1132" s="10" t="inlineStr">
        <is>
          <t>Schadstoffe</t>
        </is>
      </c>
      <c r="G1132" s="12" t="n">
        <v>0.47</v>
      </c>
      <c r="H1132" s="13" t="n">
        <v>84</v>
      </c>
      <c r="I1132" s="13" t="n">
        <v>210</v>
      </c>
      <c r="J1132" s="13" t="n">
        <v>421</v>
      </c>
      <c r="K1132" s="14">
        <f>IF(OR(COUNT(G1132:J1132)&lt;&gt;4,G1132&lt;0,G1132&gt;1,H1132&gt;I1132,I1132&gt;J1132),"n.a.",ROUND(G1132*(H1132+4*I1132+J1132)/6+0.00000001,2))</f>
        <v/>
      </c>
      <c r="L1132" s="13" t="n">
        <v>0</v>
      </c>
      <c r="M1132" s="14">
        <f>SUMIFS(Maßnahmen!$I$7:$I$126,Maßnahmen!$D$7:$D$126,C1132,Maßnahmen!$H$7:$H$126,"&lt;&gt;verworfen")</f>
        <v/>
      </c>
      <c r="N1132" s="14">
        <f>IF(ISNUMBER(K1132),MAX(0,K1132-L1132-M1132),"n.a.")</f>
        <v/>
      </c>
      <c r="O1132" s="14" t="n">
        <v>105.36</v>
      </c>
      <c r="P1132" s="14">
        <f>IF(ISNUMBER(K1132),K1132-O1132,"n.a.")</f>
        <v/>
      </c>
    </row>
    <row r="1133" ht="32" customHeight="1">
      <c r="C1133" s="10" t="inlineStr">
        <is>
          <t>PRJ-383070ef-RK-03</t>
        </is>
      </c>
      <c r="D1133" s="10" t="inlineStr">
        <is>
          <t>W4102604940</t>
        </is>
      </c>
      <c r="E1133" s="11" t="inlineStr">
        <is>
          <t>Entsorgungs-Mehrkosten / Entsorgungswege</t>
        </is>
      </c>
      <c r="F1133" s="10" t="inlineStr">
        <is>
          <t>Entsorgung</t>
        </is>
      </c>
      <c r="G1133" s="12" t="n">
        <v>0.15</v>
      </c>
      <c r="H1133" s="13" t="n">
        <v>84</v>
      </c>
      <c r="I1133" s="13" t="n">
        <v>210</v>
      </c>
      <c r="J1133" s="13" t="n">
        <v>421</v>
      </c>
      <c r="K1133" s="14">
        <f>IF(OR(COUNT(G1133:J1133)&lt;&gt;4,G1133&lt;0,G1133&gt;1,H1133&gt;I1133,I1133&gt;J1133),"n.a.",ROUND(G1133*(H1133+4*I1133+J1133)/6+0.00000001,2))</f>
        <v/>
      </c>
      <c r="L1133" s="13" t="n">
        <v>0</v>
      </c>
      <c r="M1133" s="14">
        <f>SUMIFS(Maßnahmen!$I$7:$I$126,Maßnahmen!$D$7:$D$126,C1133,Maßnahmen!$H$7:$H$126,"&lt;&gt;verworfen")</f>
        <v/>
      </c>
      <c r="N1133" s="14">
        <f>IF(ISNUMBER(K1133),MAX(0,K1133-L1133-M1133),"n.a.")</f>
        <v/>
      </c>
      <c r="O1133" s="14" t="n">
        <v>33.63</v>
      </c>
      <c r="P1133" s="14">
        <f>IF(ISNUMBER(K1133),K1133-O1133,"n.a.")</f>
        <v/>
      </c>
    </row>
    <row r="1134" ht="32" customHeight="1">
      <c r="C1134" s="10" t="inlineStr">
        <is>
          <t>PRJ-383070ef-RK-04</t>
        </is>
      </c>
      <c r="D1134" s="10" t="inlineStr">
        <is>
          <t>W4102604940</t>
        </is>
      </c>
      <c r="E1134" s="11" t="inlineStr">
        <is>
          <t>Baustofftrennung / Aufbereitung nicht wie geplant</t>
        </is>
      </c>
      <c r="F1134" s="10" t="inlineStr">
        <is>
          <t>Entsorgung</t>
        </is>
      </c>
      <c r="G1134" s="12" t="n">
        <v>0.1</v>
      </c>
      <c r="H1134" s="13" t="n">
        <v>84</v>
      </c>
      <c r="I1134" s="13" t="n">
        <v>210</v>
      </c>
      <c r="J1134" s="13" t="n">
        <v>421</v>
      </c>
      <c r="K1134" s="14">
        <f>IF(OR(COUNT(G1134:J1134)&lt;&gt;4,G1134&lt;0,G1134&gt;1,H1134&gt;I1134,I1134&gt;J1134),"n.a.",ROUND(G1134*(H1134+4*I1134+J1134)/6+0.00000001,2))</f>
        <v/>
      </c>
      <c r="L1134" s="13" t="n">
        <v>0</v>
      </c>
      <c r="M1134" s="14">
        <f>SUMIFS(Maßnahmen!$I$7:$I$126,Maßnahmen!$D$7:$D$126,C1134,Maßnahmen!$H$7:$H$126,"&lt;&gt;verworfen")</f>
        <v/>
      </c>
      <c r="N1134" s="14">
        <f>IF(ISNUMBER(K1134),MAX(0,K1134-L1134-M1134),"n.a.")</f>
        <v/>
      </c>
      <c r="O1134" s="14" t="n">
        <v>22.42</v>
      </c>
      <c r="P1134" s="14">
        <f>IF(ISNUMBER(K1134),K1134-O1134,"n.a.")</f>
        <v/>
      </c>
    </row>
    <row r="1135" ht="32" customHeight="1">
      <c r="C1135" s="10" t="inlineStr">
        <is>
          <t>PRJ-383070ef-RK-05</t>
        </is>
      </c>
      <c r="D1135" s="10" t="inlineStr">
        <is>
          <t>W4102604940</t>
        </is>
      </c>
      <c r="E1135" s="11" t="inlineStr">
        <is>
          <t>Unbekannte Bauwerkskonstruktion / fehlende Pläne</t>
        </is>
      </c>
      <c r="F1135" s="10" t="inlineStr">
        <is>
          <t>Statik</t>
        </is>
      </c>
      <c r="G1135" s="12" t="n">
        <v>0.12</v>
      </c>
      <c r="H1135" s="13" t="n">
        <v>168</v>
      </c>
      <c r="I1135" s="13" t="n">
        <v>337</v>
      </c>
      <c r="J1135" s="13" t="n">
        <v>631</v>
      </c>
      <c r="K1135" s="14">
        <f>IF(OR(COUNT(G1135:J1135)&lt;&gt;4,G1135&lt;0,G1135&gt;1,H1135&gt;I1135,I1135&gt;J1135),"n.a.",ROUND(G1135*(H1135+4*I1135+J1135)/6+0.00000001,2))</f>
        <v/>
      </c>
      <c r="L1135" s="13" t="n">
        <v>0</v>
      </c>
      <c r="M1135" s="14">
        <f>SUMIFS(Maßnahmen!$I$7:$I$126,Maßnahmen!$D$7:$D$126,C1135,Maßnahmen!$H$7:$H$126,"&lt;&gt;verworfen")</f>
        <v/>
      </c>
      <c r="N1135" s="14">
        <f>IF(ISNUMBER(K1135),MAX(0,K1135-L1135-M1135),"n.a.")</f>
        <v/>
      </c>
      <c r="O1135" s="14" t="n">
        <v>42.94</v>
      </c>
      <c r="P1135" s="14">
        <f>IF(ISNUMBER(K1135),K1135-O1135,"n.a.")</f>
        <v/>
      </c>
    </row>
    <row r="1136" ht="32" customHeight="1">
      <c r="C1136" s="10" t="inlineStr">
        <is>
          <t>PRJ-383070ef-RK-06</t>
        </is>
      </c>
      <c r="D1136" s="10" t="inlineStr">
        <is>
          <t>W4102604940</t>
        </is>
      </c>
      <c r="E1136" s="11" t="inlineStr">
        <is>
          <t>Statik / Einsturzsicherung während Abbruch</t>
        </is>
      </c>
      <c r="F1136" s="10" t="inlineStr">
        <is>
          <t>Statik</t>
        </is>
      </c>
      <c r="G1136" s="12" t="n">
        <v>0.12</v>
      </c>
      <c r="H1136" s="13" t="n">
        <v>126</v>
      </c>
      <c r="I1136" s="13" t="n">
        <v>295</v>
      </c>
      <c r="J1136" s="13" t="n">
        <v>589</v>
      </c>
      <c r="K1136" s="14">
        <f>IF(OR(COUNT(G1136:J1136)&lt;&gt;4,G1136&lt;0,G1136&gt;1,H1136&gt;I1136,I1136&gt;J1136),"n.a.",ROUND(G1136*(H1136+4*I1136+J1136)/6+0.00000001,2))</f>
        <v/>
      </c>
      <c r="L1136" s="13" t="n">
        <v>0</v>
      </c>
      <c r="M1136" s="14">
        <f>SUMIFS(Maßnahmen!$I$7:$I$126,Maßnahmen!$D$7:$D$126,C1136,Maßnahmen!$H$7:$H$126,"&lt;&gt;verworfen")</f>
        <v/>
      </c>
      <c r="N1136" s="14">
        <f>IF(ISNUMBER(K1136),MAX(0,K1136-L1136-M1136),"n.a.")</f>
        <v/>
      </c>
      <c r="O1136" s="14" t="n">
        <v>37.9</v>
      </c>
      <c r="P1136" s="14">
        <f>IF(ISNUMBER(K1136),K1136-O1136,"n.a.")</f>
        <v/>
      </c>
    </row>
    <row r="1137" ht="32" customHeight="1">
      <c r="C1137" s="10" t="inlineStr">
        <is>
          <t>PRJ-383070ef-RK-07</t>
        </is>
      </c>
      <c r="D1137" s="10" t="inlineStr">
        <is>
          <t>W4102604940</t>
        </is>
      </c>
      <c r="E1137" s="11" t="inlineStr">
        <is>
          <t>Unterirdische Tragkonstruktion / Fundamente</t>
        </is>
      </c>
      <c r="F1137" s="10" t="inlineStr">
        <is>
          <t>Statik</t>
        </is>
      </c>
      <c r="G1137" s="12" t="n">
        <v>0.5</v>
      </c>
      <c r="H1137" s="13" t="n">
        <v>21</v>
      </c>
      <c r="I1137" s="13" t="n">
        <v>84</v>
      </c>
      <c r="J1137" s="13" t="n">
        <v>210</v>
      </c>
      <c r="K1137" s="14">
        <f>IF(OR(COUNT(G1137:J1137)&lt;&gt;4,G1137&lt;0,G1137&gt;1,H1137&gt;I1137,I1137&gt;J1137),"n.a.",ROUND(G1137*(H1137+4*I1137+J1137)/6+0.00000001,2))</f>
        <v/>
      </c>
      <c r="L1137" s="13" t="n">
        <v>0</v>
      </c>
      <c r="M1137" s="14">
        <f>SUMIFS(Maßnahmen!$I$7:$I$126,Maßnahmen!$D$7:$D$126,C1137,Maßnahmen!$H$7:$H$126,"&lt;&gt;verworfen")</f>
        <v/>
      </c>
      <c r="N1137" s="14">
        <f>IF(ISNUMBER(K1137),MAX(0,K1137-L1137-M1137),"n.a.")</f>
        <v/>
      </c>
      <c r="O1137" s="14" t="n">
        <v>47.25</v>
      </c>
      <c r="P1137" s="14">
        <f>IF(ISNUMBER(K1137),K1137-O1137,"n.a.")</f>
        <v/>
      </c>
    </row>
    <row r="1138" ht="32" customHeight="1">
      <c r="C1138" s="10" t="inlineStr">
        <is>
          <t>PRJ-383070ef-RK-08</t>
        </is>
      </c>
      <c r="D1138" s="10" t="inlineStr">
        <is>
          <t>W4102604940</t>
        </is>
      </c>
      <c r="E1138" s="11" t="inlineStr">
        <is>
          <t>Gebäudehöhe &gt;22 m / Longfront-Bagger (+130–150 %)</t>
        </is>
      </c>
      <c r="F1138" s="10" t="inlineStr">
        <is>
          <t>Termin</t>
        </is>
      </c>
      <c r="G1138" s="12" t="n">
        <v>0.6</v>
      </c>
      <c r="H1138" s="13" t="n">
        <v>379</v>
      </c>
      <c r="I1138" s="13" t="n">
        <v>757</v>
      </c>
      <c r="J1138" s="13" t="n">
        <v>1431</v>
      </c>
      <c r="K1138" s="14">
        <f>IF(OR(COUNT(G1138:J1138)&lt;&gt;4,G1138&lt;0,G1138&gt;1,H1138&gt;I1138,I1138&gt;J1138),"n.a.",ROUND(G1138*(H1138+4*I1138+J1138)/6+0.00000001,2))</f>
        <v/>
      </c>
      <c r="L1138" s="13" t="n">
        <v>0</v>
      </c>
      <c r="M1138" s="14">
        <f>SUMIFS(Maßnahmen!$I$7:$I$126,Maßnahmen!$D$7:$D$126,C1138,Maßnahmen!$H$7:$H$126,"&lt;&gt;verworfen")</f>
        <v/>
      </c>
      <c r="N1138" s="14">
        <f>IF(ISNUMBER(K1138),MAX(0,K1138-L1138-M1138),"n.a.")</f>
        <v/>
      </c>
      <c r="O1138" s="14" t="n">
        <v>483.8</v>
      </c>
      <c r="P1138" s="14">
        <f>IF(ISNUMBER(K1138),K1138-O1138,"n.a.")</f>
        <v/>
      </c>
    </row>
    <row r="1139" ht="32" customHeight="1">
      <c r="C1139" s="10" t="inlineStr">
        <is>
          <t>PRJ-383070ef-RK-09</t>
        </is>
      </c>
      <c r="D1139" s="10" t="inlineStr">
        <is>
          <t>W4102604940</t>
        </is>
      </c>
      <c r="E1139" s="11" t="inlineStr">
        <is>
          <t>Beennte Lage / nur Handabbruch möglich</t>
        </is>
      </c>
      <c r="F1139" s="10" t="inlineStr">
        <is>
          <t>Termin</t>
        </is>
      </c>
      <c r="G1139" s="12" t="n">
        <v>0.15</v>
      </c>
      <c r="H1139" s="13" t="n">
        <v>34</v>
      </c>
      <c r="I1139" s="13" t="n">
        <v>84</v>
      </c>
      <c r="J1139" s="13" t="n">
        <v>210</v>
      </c>
      <c r="K1139" s="14">
        <f>IF(OR(COUNT(G1139:J1139)&lt;&gt;4,G1139&lt;0,G1139&gt;1,H1139&gt;I1139,I1139&gt;J1139),"n.a.",ROUND(G1139*(H1139+4*I1139+J1139)/6+0.00000001,2))</f>
        <v/>
      </c>
      <c r="L1139" s="13" t="n">
        <v>0</v>
      </c>
      <c r="M1139" s="14">
        <f>SUMIFS(Maßnahmen!$I$7:$I$126,Maßnahmen!$D$7:$D$126,C1139,Maßnahmen!$H$7:$H$126,"&lt;&gt;verworfen")</f>
        <v/>
      </c>
      <c r="N1139" s="14">
        <f>IF(ISNUMBER(K1139),MAX(0,K1139-L1139-M1139),"n.a.")</f>
        <v/>
      </c>
      <c r="O1139" s="14" t="n">
        <v>14.5</v>
      </c>
      <c r="P1139" s="14">
        <f>IF(ISNUMBER(K1139),K1139-O1139,"n.a.")</f>
        <v/>
      </c>
    </row>
    <row r="1140" ht="32" customHeight="1">
      <c r="C1140" s="10" t="inlineStr">
        <is>
          <t>PRJ-383070ef-RK-10</t>
        </is>
      </c>
      <c r="D1140" s="10" t="inlineStr">
        <is>
          <t>W4102604940</t>
        </is>
      </c>
      <c r="E1140" s="11" t="inlineStr">
        <is>
          <t>Terminvorgabe Auftraggeber / Geräteauslastung</t>
        </is>
      </c>
      <c r="F1140" s="10" t="inlineStr">
        <is>
          <t>Termin</t>
        </is>
      </c>
      <c r="G1140" s="12" t="n">
        <v>0.1</v>
      </c>
      <c r="H1140" s="13" t="n">
        <v>34</v>
      </c>
      <c r="I1140" s="13" t="n">
        <v>84</v>
      </c>
      <c r="J1140" s="13" t="n">
        <v>210</v>
      </c>
      <c r="K1140" s="14">
        <f>IF(OR(COUNT(G1140:J1140)&lt;&gt;4,G1140&lt;0,G1140&gt;1,H1140&gt;I1140,I1140&gt;J1140),"n.a.",ROUND(G1140*(H1140+4*I1140+J1140)/6+0.00000001,2))</f>
        <v/>
      </c>
      <c r="L1140" s="13" t="n">
        <v>0</v>
      </c>
      <c r="M1140" s="14">
        <f>SUMIFS(Maßnahmen!$I$7:$I$126,Maßnahmen!$D$7:$D$126,C1140,Maßnahmen!$H$7:$H$126,"&lt;&gt;verworfen")</f>
        <v/>
      </c>
      <c r="N1140" s="14">
        <f>IF(ISNUMBER(K1140),MAX(0,K1140-L1140-M1140),"n.a.")</f>
        <v/>
      </c>
      <c r="O1140" s="14" t="n">
        <v>9.67</v>
      </c>
      <c r="P1140" s="14">
        <f>IF(ISNUMBER(K1140),K1140-O1140,"n.a.")</f>
        <v/>
      </c>
    </row>
    <row r="1141" ht="32" customHeight="1">
      <c r="C1141" s="10" t="inlineStr">
        <is>
          <t>PRJ-383070ef-RK-11</t>
        </is>
      </c>
      <c r="D1141" s="10" t="inlineStr">
        <is>
          <t>W4102604940</t>
        </is>
      </c>
      <c r="E1141" s="11" t="inlineStr">
        <is>
          <t>Witterung / Ablaufstörung</t>
        </is>
      </c>
      <c r="F1141" s="10" t="inlineStr">
        <is>
          <t>Termin</t>
        </is>
      </c>
      <c r="G1141" s="12" t="n">
        <v>0.25</v>
      </c>
      <c r="H1141" s="13" t="n">
        <v>42</v>
      </c>
      <c r="I1141" s="13" t="n">
        <v>126</v>
      </c>
      <c r="J1141" s="13" t="n">
        <v>252</v>
      </c>
      <c r="K1141" s="14">
        <f>IF(OR(COUNT(G1141:J1141)&lt;&gt;4,G1141&lt;0,G1141&gt;1,H1141&gt;I1141,I1141&gt;J1141),"n.a.",ROUND(G1141*(H1141+4*I1141+J1141)/6+0.00000001,2))</f>
        <v/>
      </c>
      <c r="L1141" s="13" t="n">
        <v>0</v>
      </c>
      <c r="M1141" s="14">
        <f>SUMIFS(Maßnahmen!$I$7:$I$126,Maßnahmen!$D$7:$D$126,C1141,Maßnahmen!$H$7:$H$126,"&lt;&gt;verworfen")</f>
        <v/>
      </c>
      <c r="N1141" s="14">
        <f>IF(ISNUMBER(K1141),MAX(0,K1141-L1141-M1141),"n.a.")</f>
        <v/>
      </c>
      <c r="O1141" s="14" t="n">
        <v>33.25</v>
      </c>
      <c r="P1141" s="14">
        <f>IF(ISNUMBER(K1141),K1141-O1141,"n.a.")</f>
        <v/>
      </c>
    </row>
    <row r="1142" ht="32" customHeight="1">
      <c r="C1142" s="10" t="inlineStr">
        <is>
          <t>PRJ-383070ef-RK-12</t>
        </is>
      </c>
      <c r="D1142" s="10" t="inlineStr">
        <is>
          <t>W4102604940</t>
        </is>
      </c>
      <c r="E1142" s="11" t="inlineStr">
        <is>
          <t>Staubemissionen (höchster Aufwand laut Umfrage)</t>
        </is>
      </c>
      <c r="F1142" s="10" t="inlineStr">
        <is>
          <t>Emissionen</t>
        </is>
      </c>
      <c r="G1142" s="12" t="n">
        <v>0.1</v>
      </c>
      <c r="H1142" s="13" t="n">
        <v>126</v>
      </c>
      <c r="I1142" s="13" t="n">
        <v>252</v>
      </c>
      <c r="J1142" s="13" t="n">
        <v>505</v>
      </c>
      <c r="K1142" s="14">
        <f>IF(OR(COUNT(G1142:J1142)&lt;&gt;4,G1142&lt;0,G1142&gt;1,H1142&gt;I1142,I1142&gt;J1142),"n.a.",ROUND(G1142*(H1142+4*I1142+J1142)/6+0.00000001,2))</f>
        <v/>
      </c>
      <c r="L1142" s="13" t="n">
        <v>0</v>
      </c>
      <c r="M1142" s="14">
        <f>SUMIFS(Maßnahmen!$I$7:$I$126,Maßnahmen!$D$7:$D$126,C1142,Maßnahmen!$H$7:$H$126,"&lt;&gt;verworfen")</f>
        <v/>
      </c>
      <c r="N1142" s="14">
        <f>IF(ISNUMBER(K1142),MAX(0,K1142-L1142-M1142),"n.a.")</f>
        <v/>
      </c>
      <c r="O1142" s="14" t="n">
        <v>27.32</v>
      </c>
      <c r="P1142" s="14">
        <f>IF(ISNUMBER(K1142),K1142-O1142,"n.a.")</f>
        <v/>
      </c>
    </row>
    <row r="1143" ht="32" customHeight="1">
      <c r="C1143" s="10" t="inlineStr">
        <is>
          <t>PRJ-383070ef-RK-13</t>
        </is>
      </c>
      <c r="D1143" s="10" t="inlineStr">
        <is>
          <t>W4102604940</t>
        </is>
      </c>
      <c r="E1143" s="11" t="inlineStr">
        <is>
          <t>Lärm- und Erschütterungsauflagen</t>
        </is>
      </c>
      <c r="F1143" s="10" t="inlineStr">
        <is>
          <t>Emissionen</t>
        </is>
      </c>
      <c r="G1143" s="12" t="n">
        <v>0.2</v>
      </c>
      <c r="H1143" s="13" t="n">
        <v>84</v>
      </c>
      <c r="I1143" s="13" t="n">
        <v>210</v>
      </c>
      <c r="J1143" s="13" t="n">
        <v>421</v>
      </c>
      <c r="K1143" s="14">
        <f>IF(OR(COUNT(G1143:J1143)&lt;&gt;4,G1143&lt;0,G1143&gt;1,H1143&gt;I1143,I1143&gt;J1143),"n.a.",ROUND(G1143*(H1143+4*I1143+J1143)/6+0.00000001,2))</f>
        <v/>
      </c>
      <c r="L1143" s="13" t="n">
        <v>0</v>
      </c>
      <c r="M1143" s="14">
        <f>SUMIFS(Maßnahmen!$I$7:$I$126,Maßnahmen!$D$7:$D$126,C1143,Maßnahmen!$H$7:$H$126,"&lt;&gt;verworfen")</f>
        <v/>
      </c>
      <c r="N1143" s="14">
        <f>IF(ISNUMBER(K1143),MAX(0,K1143-L1143-M1143),"n.a.")</f>
        <v/>
      </c>
      <c r="O1143" s="14" t="n">
        <v>44.83</v>
      </c>
      <c r="P1143" s="14">
        <f>IF(ISNUMBER(K1143),K1143-O1143,"n.a.")</f>
        <v/>
      </c>
    </row>
    <row r="1144" ht="32" customHeight="1">
      <c r="C1144" s="10" t="inlineStr">
        <is>
          <t>PRJ-383070ef-RK-14</t>
        </is>
      </c>
      <c r="D1144" s="10" t="inlineStr">
        <is>
          <t>W4102604940</t>
        </is>
      </c>
      <c r="E1144" s="11" t="inlineStr">
        <is>
          <t>Rechtliche Auflagen / Entsorgungsnachweise (Formalismus)</t>
        </is>
      </c>
      <c r="F1144" s="10" t="inlineStr">
        <is>
          <t>Genehmigung</t>
        </is>
      </c>
      <c r="G1144" s="12" t="n">
        <v>0.4</v>
      </c>
      <c r="H1144" s="13" t="n">
        <v>400</v>
      </c>
      <c r="I1144" s="13" t="n">
        <v>778</v>
      </c>
      <c r="J1144" s="13" t="n">
        <v>1473</v>
      </c>
      <c r="K1144" s="14">
        <f>IF(OR(COUNT(G1144:J1144)&lt;&gt;4,G1144&lt;0,G1144&gt;1,H1144&gt;I1144,I1144&gt;J1144),"n.a.",ROUND(G1144*(H1144+4*I1144+J1144)/6+0.00000001,2))</f>
        <v/>
      </c>
      <c r="L1144" s="13" t="n">
        <v>0</v>
      </c>
      <c r="M1144" s="14">
        <f>SUMIFS(Maßnahmen!$I$7:$I$126,Maßnahmen!$D$7:$D$126,C1144,Maßnahmen!$H$7:$H$126,"&lt;&gt;verworfen")</f>
        <v/>
      </c>
      <c r="N1144" s="14">
        <f>IF(ISNUMBER(K1144),MAX(0,K1144-L1144-M1144),"n.a.")</f>
        <v/>
      </c>
      <c r="O1144" s="14" t="n">
        <v>332.33</v>
      </c>
      <c r="P1144" s="14">
        <f>IF(ISNUMBER(K1144),K1144-O1144,"n.a.")</f>
        <v/>
      </c>
    </row>
    <row r="1145" ht="32" customHeight="1">
      <c r="C1145" s="10" t="inlineStr">
        <is>
          <t>PRJ-383070ef-RK-15</t>
        </is>
      </c>
      <c r="D1145" s="10" t="inlineStr">
        <is>
          <t>W4102604940</t>
        </is>
      </c>
      <c r="E1145" s="11" t="inlineStr">
        <is>
          <t>Konjunktur / Sekundärstoffpreise &amp; Gerätemiete</t>
        </is>
      </c>
      <c r="F1145" s="10" t="inlineStr">
        <is>
          <t>Markt</t>
        </is>
      </c>
      <c r="G1145" s="12" t="n">
        <v>0.12</v>
      </c>
      <c r="H1145" s="13" t="n">
        <v>34</v>
      </c>
      <c r="I1145" s="13" t="n">
        <v>84</v>
      </c>
      <c r="J1145" s="13" t="n">
        <v>210</v>
      </c>
      <c r="K1145" s="14">
        <f>IF(OR(COUNT(G1145:J1145)&lt;&gt;4,G1145&lt;0,G1145&gt;1,H1145&gt;I1145,I1145&gt;J1145),"n.a.",ROUND(G1145*(H1145+4*I1145+J1145)/6+0.00000001,2))</f>
        <v/>
      </c>
      <c r="L1145" s="13" t="n">
        <v>0</v>
      </c>
      <c r="M1145" s="14">
        <f>SUMIFS(Maßnahmen!$I$7:$I$126,Maßnahmen!$D$7:$D$126,C1145,Maßnahmen!$H$7:$H$126,"&lt;&gt;verworfen")</f>
        <v/>
      </c>
      <c r="N1145" s="14">
        <f>IF(ISNUMBER(K1145),MAX(0,K1145-L1145-M1145),"n.a.")</f>
        <v/>
      </c>
      <c r="O1145" s="14" t="n">
        <v>11.6</v>
      </c>
      <c r="P1145" s="14">
        <f>IF(ISNUMBER(K1145),K1145-O1145,"n.a.")</f>
        <v/>
      </c>
    </row>
    <row r="1146" ht="32" customHeight="1">
      <c r="C1146" s="10" t="inlineStr">
        <is>
          <t>PRJ-40723643-RK-01</t>
        </is>
      </c>
      <c r="D1146" s="10" t="inlineStr">
        <is>
          <t>W4102154964</t>
        </is>
      </c>
      <c r="E1146" s="11" t="inlineStr">
        <is>
          <t>Schadstofffund / Schadstoffsanierung (Asbest, PAK, PCB, PCP)</t>
        </is>
      </c>
      <c r="F1146" s="10" t="inlineStr">
        <is>
          <t>Schadstoffe</t>
        </is>
      </c>
      <c r="G1146" s="12" t="n">
        <v>0.1</v>
      </c>
      <c r="H1146" s="13" t="n">
        <v>174</v>
      </c>
      <c r="I1146" s="13" t="n">
        <v>434</v>
      </c>
      <c r="J1146" s="13" t="n">
        <v>868</v>
      </c>
      <c r="K1146" s="14">
        <f>IF(OR(COUNT(G1146:J1146)&lt;&gt;4,G1146&lt;0,G1146&gt;1,H1146&gt;I1146,I1146&gt;J1146),"n.a.",ROUND(G1146*(H1146+4*I1146+J1146)/6+0.00000001,2))</f>
        <v/>
      </c>
      <c r="L1146" s="13" t="n">
        <v>0</v>
      </c>
      <c r="M1146" s="14">
        <f>SUMIFS(Maßnahmen!$I$7:$I$126,Maßnahmen!$D$7:$D$126,C1146,Maßnahmen!$H$7:$H$126,"&lt;&gt;verworfen")</f>
        <v/>
      </c>
      <c r="N1146" s="14">
        <f>IF(ISNUMBER(K1146),MAX(0,K1146-L1146-M1146),"n.a.")</f>
        <v/>
      </c>
      <c r="O1146" s="14" t="n">
        <v>46.3</v>
      </c>
      <c r="P1146" s="14">
        <f>IF(ISNUMBER(K1146),K1146-O1146,"n.a.")</f>
        <v/>
      </c>
    </row>
    <row r="1147" ht="32" customHeight="1">
      <c r="C1147" s="10" t="inlineStr">
        <is>
          <t>PRJ-40723643-RK-02</t>
        </is>
      </c>
      <c r="D1147" s="10" t="inlineStr">
        <is>
          <t>W4102154964</t>
        </is>
      </c>
      <c r="E1147" s="11" t="inlineStr">
        <is>
          <t>Arbeitsschutz kontaminierte Bereiche (TRGS 524)</t>
        </is>
      </c>
      <c r="F1147" s="10" t="inlineStr">
        <is>
          <t>Schadstoffe</t>
        </is>
      </c>
      <c r="G1147" s="12" t="n">
        <v>0.47</v>
      </c>
      <c r="H1147" s="13" t="n">
        <v>174</v>
      </c>
      <c r="I1147" s="13" t="n">
        <v>434</v>
      </c>
      <c r="J1147" s="13" t="n">
        <v>868</v>
      </c>
      <c r="K1147" s="14">
        <f>IF(OR(COUNT(G1147:J1147)&lt;&gt;4,G1147&lt;0,G1147&gt;1,H1147&gt;I1147,I1147&gt;J1147),"n.a.",ROUND(G1147*(H1147+4*I1147+J1147)/6+0.00000001,2))</f>
        <v/>
      </c>
      <c r="L1147" s="13" t="n">
        <v>0</v>
      </c>
      <c r="M1147" s="14">
        <f>SUMIFS(Maßnahmen!$I$7:$I$126,Maßnahmen!$D$7:$D$126,C1147,Maßnahmen!$H$7:$H$126,"&lt;&gt;verworfen")</f>
        <v/>
      </c>
      <c r="N1147" s="14">
        <f>IF(ISNUMBER(K1147),MAX(0,K1147-L1147-M1147),"n.a.")</f>
        <v/>
      </c>
      <c r="O1147" s="14" t="n">
        <v>217.61</v>
      </c>
      <c r="P1147" s="14">
        <f>IF(ISNUMBER(K1147),K1147-O1147,"n.a.")</f>
        <v/>
      </c>
    </row>
    <row r="1148" ht="32" customHeight="1">
      <c r="C1148" s="10" t="inlineStr">
        <is>
          <t>PRJ-40723643-RK-03</t>
        </is>
      </c>
      <c r="D1148" s="10" t="inlineStr">
        <is>
          <t>W4102154964</t>
        </is>
      </c>
      <c r="E1148" s="11" t="inlineStr">
        <is>
          <t>Entsorgungs-Mehrkosten / Entsorgungswege</t>
        </is>
      </c>
      <c r="F1148" s="10" t="inlineStr">
        <is>
          <t>Entsorgung</t>
        </is>
      </c>
      <c r="G1148" s="12" t="n">
        <v>0.15</v>
      </c>
      <c r="H1148" s="13" t="n">
        <v>174</v>
      </c>
      <c r="I1148" s="13" t="n">
        <v>434</v>
      </c>
      <c r="J1148" s="13" t="n">
        <v>868</v>
      </c>
      <c r="K1148" s="14">
        <f>IF(OR(COUNT(G1148:J1148)&lt;&gt;4,G1148&lt;0,G1148&gt;1,H1148&gt;I1148,I1148&gt;J1148),"n.a.",ROUND(G1148*(H1148+4*I1148+J1148)/6+0.00000001,2))</f>
        <v/>
      </c>
      <c r="L1148" s="13" t="n">
        <v>0</v>
      </c>
      <c r="M1148" s="14">
        <f>SUMIFS(Maßnahmen!$I$7:$I$126,Maßnahmen!$D$7:$D$126,C1148,Maßnahmen!$H$7:$H$126,"&lt;&gt;verworfen")</f>
        <v/>
      </c>
      <c r="N1148" s="14">
        <f>IF(ISNUMBER(K1148),MAX(0,K1148-L1148-M1148),"n.a.")</f>
        <v/>
      </c>
      <c r="O1148" s="14" t="n">
        <v>69.45</v>
      </c>
      <c r="P1148" s="14">
        <f>IF(ISNUMBER(K1148),K1148-O1148,"n.a.")</f>
        <v/>
      </c>
    </row>
    <row r="1149" ht="32" customHeight="1">
      <c r="C1149" s="10" t="inlineStr">
        <is>
          <t>PRJ-40723643-RK-04</t>
        </is>
      </c>
      <c r="D1149" s="10" t="inlineStr">
        <is>
          <t>W4102154964</t>
        </is>
      </c>
      <c r="E1149" s="11" t="inlineStr">
        <is>
          <t>Baustofftrennung / Aufbereitung nicht wie geplant</t>
        </is>
      </c>
      <c r="F1149" s="10" t="inlineStr">
        <is>
          <t>Entsorgung</t>
        </is>
      </c>
      <c r="G1149" s="12" t="n">
        <v>0.1</v>
      </c>
      <c r="H1149" s="13" t="n">
        <v>174</v>
      </c>
      <c r="I1149" s="13" t="n">
        <v>434</v>
      </c>
      <c r="J1149" s="13" t="n">
        <v>868</v>
      </c>
      <c r="K1149" s="14">
        <f>IF(OR(COUNT(G1149:J1149)&lt;&gt;4,G1149&lt;0,G1149&gt;1,H1149&gt;I1149,I1149&gt;J1149),"n.a.",ROUND(G1149*(H1149+4*I1149+J1149)/6+0.00000001,2))</f>
        <v/>
      </c>
      <c r="L1149" s="13" t="n">
        <v>0</v>
      </c>
      <c r="M1149" s="14">
        <f>SUMIFS(Maßnahmen!$I$7:$I$126,Maßnahmen!$D$7:$D$126,C1149,Maßnahmen!$H$7:$H$126,"&lt;&gt;verworfen")</f>
        <v/>
      </c>
      <c r="N1149" s="14">
        <f>IF(ISNUMBER(K1149),MAX(0,K1149-L1149-M1149),"n.a.")</f>
        <v/>
      </c>
      <c r="O1149" s="14" t="n">
        <v>46.3</v>
      </c>
      <c r="P1149" s="14">
        <f>IF(ISNUMBER(K1149),K1149-O1149,"n.a.")</f>
        <v/>
      </c>
    </row>
    <row r="1150" ht="32" customHeight="1">
      <c r="C1150" s="10" t="inlineStr">
        <is>
          <t>PRJ-52b1cf54-RK-04</t>
        </is>
      </c>
      <c r="D1150" s="10" t="inlineStr">
        <is>
          <t>P4102157451</t>
        </is>
      </c>
      <c r="E1150" s="11" t="inlineStr">
        <is>
          <t>Baustofftrennung / Aufbereitung nicht wie geplant</t>
        </is>
      </c>
      <c r="F1150" s="10" t="inlineStr">
        <is>
          <t>Entsorgung</t>
        </is>
      </c>
      <c r="G1150" s="12" t="n">
        <v>0.08</v>
      </c>
      <c r="H1150" s="13" t="n">
        <v>9136</v>
      </c>
      <c r="I1150" s="13" t="n">
        <v>18272</v>
      </c>
      <c r="J1150" s="13" t="n">
        <v>36544</v>
      </c>
      <c r="K1150" s="14">
        <f>IF(OR(COUNT(G1150:J1150)&lt;&gt;4,G1150&lt;0,G1150&gt;1,H1150&gt;I1150,I1150&gt;J1150),"n.a.",ROUND(G1150*(H1150+4*I1150+J1150)/6+0.00000001,2))</f>
        <v/>
      </c>
      <c r="L1150" s="13" t="n">
        <v>0</v>
      </c>
      <c r="M1150" s="14">
        <f>SUMIFS(Maßnahmen!$I$7:$I$126,Maßnahmen!$D$7:$D$126,C1150,Maßnahmen!$H$7:$H$126,"&lt;&gt;verworfen")</f>
        <v/>
      </c>
      <c r="N1150" s="14">
        <f>IF(ISNUMBER(K1150),MAX(0,K1150-L1150-M1150),"n.a.")</f>
        <v/>
      </c>
      <c r="O1150" s="14" t="n">
        <v>1583.57</v>
      </c>
      <c r="P1150" s="14">
        <f>IF(ISNUMBER(K1150),K1150-O1150,"n.a.")</f>
        <v/>
      </c>
    </row>
    <row r="1151" ht="32" customHeight="1">
      <c r="C1151" s="10" t="inlineStr">
        <is>
          <t>PRJ-52b1cf54-RK-10</t>
        </is>
      </c>
      <c r="D1151" s="10" t="inlineStr">
        <is>
          <t>P4102157451</t>
        </is>
      </c>
      <c r="E1151" s="11" t="inlineStr">
        <is>
          <t>Terminvorgabe Auftraggeber / Geräteauslastung</t>
        </is>
      </c>
      <c r="F1151" s="10" t="inlineStr">
        <is>
          <t>Termin</t>
        </is>
      </c>
      <c r="G1151" s="12" t="n">
        <v>0.08</v>
      </c>
      <c r="H1151" s="13" t="n">
        <v>9136</v>
      </c>
      <c r="I1151" s="13" t="n">
        <v>18272</v>
      </c>
      <c r="J1151" s="13" t="n">
        <v>36544</v>
      </c>
      <c r="K1151" s="14">
        <f>IF(OR(COUNT(G1151:J1151)&lt;&gt;4,G1151&lt;0,G1151&gt;1,H1151&gt;I1151,I1151&gt;J1151),"n.a.",ROUND(G1151*(H1151+4*I1151+J1151)/6+0.00000001,2))</f>
        <v/>
      </c>
      <c r="L1151" s="13" t="n">
        <v>0</v>
      </c>
      <c r="M1151" s="14">
        <f>SUMIFS(Maßnahmen!$I$7:$I$126,Maßnahmen!$D$7:$D$126,C1151,Maßnahmen!$H$7:$H$126,"&lt;&gt;verworfen")</f>
        <v/>
      </c>
      <c r="N1151" s="14">
        <f>IF(ISNUMBER(K1151),MAX(0,K1151-L1151-M1151),"n.a.")</f>
        <v/>
      </c>
      <c r="O1151" s="14" t="n">
        <v>1583.57</v>
      </c>
      <c r="P1151" s="14">
        <f>IF(ISNUMBER(K1151),K1151-O1151,"n.a.")</f>
        <v/>
      </c>
    </row>
    <row r="1152" ht="32" customHeight="1">
      <c r="C1152" s="10" t="inlineStr">
        <is>
          <t>PRJ-52b1cf54-RK-11</t>
        </is>
      </c>
      <c r="D1152" s="10" t="inlineStr">
        <is>
          <t>P4102157451</t>
        </is>
      </c>
      <c r="E1152" s="11" t="inlineStr">
        <is>
          <t>Witterung / Ablaufstörung</t>
        </is>
      </c>
      <c r="F1152" s="10" t="inlineStr">
        <is>
          <t>Termin</t>
        </is>
      </c>
      <c r="G1152" s="12" t="n">
        <v>0.55</v>
      </c>
      <c r="H1152" s="13" t="n">
        <v>61058</v>
      </c>
      <c r="I1152" s="13" t="n">
        <v>118995</v>
      </c>
      <c r="J1152" s="13" t="n">
        <v>237990</v>
      </c>
      <c r="K1152" s="14">
        <f>IF(OR(COUNT(G1152:J1152)&lt;&gt;4,G1152&lt;0,G1152&gt;1,H1152&gt;I1152,I1152&gt;J1152),"n.a.",ROUND(G1152*(H1152+4*I1152+J1152)/6+0.00000001,2))</f>
        <v/>
      </c>
      <c r="L1152" s="13" t="n">
        <v>0</v>
      </c>
      <c r="M1152" s="14">
        <f>SUMIFS(Maßnahmen!$I$7:$I$126,Maßnahmen!$D$7:$D$126,C1152,Maßnahmen!$H$7:$H$126,"&lt;&gt;verworfen")</f>
        <v/>
      </c>
      <c r="N1152" s="14">
        <f>IF(ISNUMBER(K1152),MAX(0,K1152-L1152-M1152),"n.a.")</f>
        <v/>
      </c>
      <c r="O1152" s="14" t="n">
        <v>71044.23</v>
      </c>
      <c r="P1152" s="14">
        <f>IF(ISNUMBER(K1152),K1152-O1152,"n.a.")</f>
        <v/>
      </c>
    </row>
    <row r="1153" ht="32" customHeight="1">
      <c r="C1153" s="10" t="inlineStr">
        <is>
          <t>PRJ-52b1cf54-RK-12</t>
        </is>
      </c>
      <c r="D1153" s="10" t="inlineStr">
        <is>
          <t>P4102157451</t>
        </is>
      </c>
      <c r="E1153" s="11" t="inlineStr">
        <is>
          <t>Staubemissionen (höchster Aufwand laut Umfrage)</t>
        </is>
      </c>
      <c r="F1153" s="10" t="inlineStr">
        <is>
          <t>Emissionen</t>
        </is>
      </c>
      <c r="G1153" s="12" t="n">
        <v>0.1</v>
      </c>
      <c r="H1153" s="13" t="n">
        <v>54816</v>
      </c>
      <c r="I1153" s="13" t="n">
        <v>109632</v>
      </c>
      <c r="J1153" s="13" t="n">
        <v>219265</v>
      </c>
      <c r="K1153" s="14">
        <f>IF(OR(COUNT(G1153:J1153)&lt;&gt;4,G1153&lt;0,G1153&gt;1,H1153&gt;I1153,I1153&gt;J1153),"n.a.",ROUND(G1153*(H1153+4*I1153+J1153)/6+0.00000001,2))</f>
        <v/>
      </c>
      <c r="L1153" s="13" t="n">
        <v>0</v>
      </c>
      <c r="M1153" s="14">
        <f>SUMIFS(Maßnahmen!$I$7:$I$126,Maßnahmen!$D$7:$D$126,C1153,Maßnahmen!$H$7:$H$126,"&lt;&gt;verworfen")</f>
        <v/>
      </c>
      <c r="N1153" s="14">
        <f>IF(ISNUMBER(K1153),MAX(0,K1153-L1153-M1153),"n.a.")</f>
        <v/>
      </c>
      <c r="O1153" s="14" t="n">
        <v>11876.82</v>
      </c>
      <c r="P1153" s="14">
        <f>IF(ISNUMBER(K1153),K1153-O1153,"n.a.")</f>
        <v/>
      </c>
    </row>
    <row r="1154" ht="32" customHeight="1">
      <c r="C1154" s="10" t="inlineStr">
        <is>
          <t>PRJ-52b1cf54-RK-15</t>
        </is>
      </c>
      <c r="D1154" s="10" t="inlineStr">
        <is>
          <t>P4102157451</t>
        </is>
      </c>
      <c r="E1154" s="11" t="inlineStr">
        <is>
          <t>Konjunktur / Sekundärstoffpreise &amp; Gerätemiete</t>
        </is>
      </c>
      <c r="F1154" s="10" t="inlineStr">
        <is>
          <t>Markt</t>
        </is>
      </c>
      <c r="G1154" s="12" t="n">
        <v>0.167</v>
      </c>
      <c r="H1154" s="13" t="n">
        <v>57404</v>
      </c>
      <c r="I1154" s="13" t="n">
        <v>87887</v>
      </c>
      <c r="J1154" s="13" t="n">
        <v>198325</v>
      </c>
      <c r="K1154" s="14">
        <f>IF(OR(COUNT(G1154:J1154)&lt;&gt;4,G1154&lt;0,G1154&gt;1,H1154&gt;I1154,I1154&gt;J1154),"n.a.",ROUND(G1154*(H1154+4*I1154+J1154)/6+0.00000001,2))</f>
        <v/>
      </c>
      <c r="L1154" s="13" t="n">
        <v>0</v>
      </c>
      <c r="M1154" s="14">
        <f>SUMIFS(Maßnahmen!$I$7:$I$126,Maßnahmen!$D$7:$D$126,C1154,Maßnahmen!$H$7:$H$126,"&lt;&gt;verworfen")</f>
        <v/>
      </c>
      <c r="N1154" s="14">
        <f>IF(ISNUMBER(K1154),MAX(0,K1154-L1154-M1154),"n.a.")</f>
        <v/>
      </c>
      <c r="O1154" s="14" t="n">
        <v>16902.54</v>
      </c>
      <c r="P1154" s="14">
        <f>IF(ISNUMBER(K1154),K1154-O1154,"n.a.")</f>
        <v/>
      </c>
    </row>
    <row r="1155" ht="32" customHeight="1">
      <c r="C1155" s="10" t="inlineStr">
        <is>
          <t>PRJ-4f8e93da-RK-01</t>
        </is>
      </c>
      <c r="D1155" s="10" t="inlineStr">
        <is>
          <t>P4102307430</t>
        </is>
      </c>
      <c r="E1155" s="11" t="inlineStr">
        <is>
          <t>Schadstofffund / Schadstoffsanierung (Asbest, PAK, PCB, PCP)</t>
        </is>
      </c>
      <c r="F1155" s="10" t="inlineStr">
        <is>
          <t>Schadstoffe</t>
        </is>
      </c>
      <c r="G1155" s="12" t="n">
        <v>0.1</v>
      </c>
      <c r="H1155" s="13" t="n">
        <v>398</v>
      </c>
      <c r="I1155" s="13" t="n">
        <v>995</v>
      </c>
      <c r="J1155" s="13" t="n">
        <v>1989</v>
      </c>
      <c r="K1155" s="14">
        <f>IF(OR(COUNT(G1155:J1155)&lt;&gt;4,G1155&lt;0,G1155&gt;1,H1155&gt;I1155,I1155&gt;J1155),"n.a.",ROUND(G1155*(H1155+4*I1155+J1155)/6+0.00000001,2))</f>
        <v/>
      </c>
      <c r="L1155" s="13" t="n">
        <v>0</v>
      </c>
      <c r="M1155" s="14">
        <f>SUMIFS(Maßnahmen!$I$7:$I$126,Maßnahmen!$D$7:$D$126,C1155,Maßnahmen!$H$7:$H$126,"&lt;&gt;verworfen")</f>
        <v/>
      </c>
      <c r="N1155" s="14">
        <f>IF(ISNUMBER(K1155),MAX(0,K1155-L1155-M1155),"n.a.")</f>
        <v/>
      </c>
      <c r="O1155" s="14" t="n">
        <v>106.12</v>
      </c>
      <c r="P1155" s="14">
        <f>IF(ISNUMBER(K1155),K1155-O1155,"n.a.")</f>
        <v/>
      </c>
    </row>
    <row r="1156" ht="32" customHeight="1">
      <c r="C1156" s="10" t="inlineStr">
        <is>
          <t>PRJ-4f8e93da-RK-02</t>
        </is>
      </c>
      <c r="D1156" s="10" t="inlineStr">
        <is>
          <t>P4102307430</t>
        </is>
      </c>
      <c r="E1156" s="11" t="inlineStr">
        <is>
          <t>Arbeitsschutz kontaminierte Bereiche (TRGS 524)</t>
        </is>
      </c>
      <c r="F1156" s="10" t="inlineStr">
        <is>
          <t>Schadstoffe</t>
        </is>
      </c>
      <c r="G1156" s="12" t="n">
        <v>0.1</v>
      </c>
      <c r="H1156" s="13" t="n">
        <v>99</v>
      </c>
      <c r="I1156" s="13" t="n">
        <v>199</v>
      </c>
      <c r="J1156" s="13" t="n">
        <v>398</v>
      </c>
      <c r="K1156" s="14">
        <f>IF(OR(COUNT(G1156:J1156)&lt;&gt;4,G1156&lt;0,G1156&gt;1,H1156&gt;I1156,I1156&gt;J1156),"n.a.",ROUND(G1156*(H1156+4*I1156+J1156)/6+0.00000001,2))</f>
        <v/>
      </c>
      <c r="L1156" s="13" t="n">
        <v>0</v>
      </c>
      <c r="M1156" s="14">
        <f>SUMIFS(Maßnahmen!$I$7:$I$126,Maßnahmen!$D$7:$D$126,C1156,Maßnahmen!$H$7:$H$126,"&lt;&gt;verworfen")</f>
        <v/>
      </c>
      <c r="N1156" s="14">
        <f>IF(ISNUMBER(K1156),MAX(0,K1156-L1156-M1156),"n.a.")</f>
        <v/>
      </c>
      <c r="O1156" s="14" t="n">
        <v>21.55</v>
      </c>
      <c r="P1156" s="14">
        <f>IF(ISNUMBER(K1156),K1156-O1156,"n.a.")</f>
        <v/>
      </c>
    </row>
    <row r="1157" ht="32" customHeight="1">
      <c r="C1157" s="10" t="inlineStr">
        <is>
          <t>PRJ-4f8e93da-RK-04</t>
        </is>
      </c>
      <c r="D1157" s="10" t="inlineStr">
        <is>
          <t>P4102307430</t>
        </is>
      </c>
      <c r="E1157" s="11" t="inlineStr">
        <is>
          <t>Baustofftrennung / Aufbereitung nicht wie geplant</t>
        </is>
      </c>
      <c r="F1157" s="10" t="inlineStr">
        <is>
          <t>Entsorgung</t>
        </is>
      </c>
      <c r="G1157" s="12" t="n">
        <v>0.08</v>
      </c>
      <c r="H1157" s="13" t="n">
        <v>99</v>
      </c>
      <c r="I1157" s="13" t="n">
        <v>199</v>
      </c>
      <c r="J1157" s="13" t="n">
        <v>398</v>
      </c>
      <c r="K1157" s="14">
        <f>IF(OR(COUNT(G1157:J1157)&lt;&gt;4,G1157&lt;0,G1157&gt;1,H1157&gt;I1157,I1157&gt;J1157),"n.a.",ROUND(G1157*(H1157+4*I1157+J1157)/6+0.00000001,2))</f>
        <v/>
      </c>
      <c r="L1157" s="13" t="n">
        <v>0</v>
      </c>
      <c r="M1157" s="14">
        <f>SUMIFS(Maßnahmen!$I$7:$I$126,Maßnahmen!$D$7:$D$126,C1157,Maßnahmen!$H$7:$H$126,"&lt;&gt;verworfen")</f>
        <v/>
      </c>
      <c r="N1157" s="14">
        <f>IF(ISNUMBER(K1157),MAX(0,K1157-L1157-M1157),"n.a.")</f>
        <v/>
      </c>
      <c r="O1157" s="14" t="n">
        <v>17.24</v>
      </c>
      <c r="P1157" s="14">
        <f>IF(ISNUMBER(K1157),K1157-O1157,"n.a.")</f>
        <v/>
      </c>
    </row>
    <row r="1158" ht="32" customHeight="1">
      <c r="C1158" s="10" t="inlineStr">
        <is>
          <t>PRJ-4f8e93da-RK-05</t>
        </is>
      </c>
      <c r="D1158" s="10" t="inlineStr">
        <is>
          <t>P4102307430</t>
        </is>
      </c>
      <c r="E1158" s="11" t="inlineStr">
        <is>
          <t>Unbekannte Bauwerkskonstruktion / fehlende Pläne</t>
        </is>
      </c>
      <c r="F1158" s="10" t="inlineStr">
        <is>
          <t>Statik</t>
        </is>
      </c>
      <c r="G1158" s="12" t="n">
        <v>0.12</v>
      </c>
      <c r="H1158" s="13" t="n">
        <v>796</v>
      </c>
      <c r="I1158" s="13" t="n">
        <v>1591</v>
      </c>
      <c r="J1158" s="13" t="n">
        <v>2984</v>
      </c>
      <c r="K1158" s="14">
        <f>IF(OR(COUNT(G1158:J1158)&lt;&gt;4,G1158&lt;0,G1158&gt;1,H1158&gt;I1158,I1158&gt;J1158),"n.a.",ROUND(G1158*(H1158+4*I1158+J1158)/6+0.00000001,2))</f>
        <v/>
      </c>
      <c r="L1158" s="13" t="n">
        <v>0</v>
      </c>
      <c r="M1158" s="14">
        <f>SUMIFS(Maßnahmen!$I$7:$I$126,Maßnahmen!$D$7:$D$126,C1158,Maßnahmen!$H$7:$H$126,"&lt;&gt;verworfen")</f>
        <v/>
      </c>
      <c r="N1158" s="14">
        <f>IF(ISNUMBER(K1158),MAX(0,K1158-L1158-M1158),"n.a.")</f>
        <v/>
      </c>
      <c r="O1158" s="14" t="n">
        <v>202.88</v>
      </c>
      <c r="P1158" s="14">
        <f>IF(ISNUMBER(K1158),K1158-O1158,"n.a.")</f>
        <v/>
      </c>
    </row>
    <row r="1159" ht="32" customHeight="1">
      <c r="C1159" s="10" t="inlineStr">
        <is>
          <t>PRJ-4f8e93da-RK-09</t>
        </is>
      </c>
      <c r="D1159" s="10" t="inlineStr">
        <is>
          <t>P4102307430</t>
        </is>
      </c>
      <c r="E1159" s="11" t="inlineStr">
        <is>
          <t>Beennte Lage / nur Handabbruch möglich</t>
        </is>
      </c>
      <c r="F1159" s="10" t="inlineStr">
        <is>
          <t>Termin</t>
        </is>
      </c>
      <c r="G1159" s="12" t="n">
        <v>0.15</v>
      </c>
      <c r="H1159" s="13" t="n">
        <v>159</v>
      </c>
      <c r="I1159" s="13" t="n">
        <v>398</v>
      </c>
      <c r="J1159" s="13" t="n">
        <v>995</v>
      </c>
      <c r="K1159" s="14">
        <f>IF(OR(COUNT(G1159:J1159)&lt;&gt;4,G1159&lt;0,G1159&gt;1,H1159&gt;I1159,I1159&gt;J1159),"n.a.",ROUND(G1159*(H1159+4*I1159+J1159)/6+0.00000001,2))</f>
        <v/>
      </c>
      <c r="L1159" s="13" t="n">
        <v>0</v>
      </c>
      <c r="M1159" s="14">
        <f>SUMIFS(Maßnahmen!$I$7:$I$126,Maßnahmen!$D$7:$D$126,C1159,Maßnahmen!$H$7:$H$126,"&lt;&gt;verworfen")</f>
        <v/>
      </c>
      <c r="N1159" s="14">
        <f>IF(ISNUMBER(K1159),MAX(0,K1159-L1159-M1159),"n.a.")</f>
        <v/>
      </c>
      <c r="O1159" s="14" t="n">
        <v>68.65000000000001</v>
      </c>
      <c r="P1159" s="14">
        <f>IF(ISNUMBER(K1159),K1159-O1159,"n.a.")</f>
        <v/>
      </c>
    </row>
    <row r="1160" ht="32" customHeight="1">
      <c r="C1160" s="10" t="inlineStr">
        <is>
          <t>PRJ-4f8e93da-RK-10</t>
        </is>
      </c>
      <c r="D1160" s="10" t="inlineStr">
        <is>
          <t>P4102307430</t>
        </is>
      </c>
      <c r="E1160" s="11" t="inlineStr">
        <is>
          <t>Terminvorgabe Auftraggeber / Geräteauslastung</t>
        </is>
      </c>
      <c r="F1160" s="10" t="inlineStr">
        <is>
          <t>Termin</t>
        </is>
      </c>
      <c r="G1160" s="12" t="n">
        <v>0.08</v>
      </c>
      <c r="H1160" s="13" t="n">
        <v>99</v>
      </c>
      <c r="I1160" s="13" t="n">
        <v>199</v>
      </c>
      <c r="J1160" s="13" t="n">
        <v>398</v>
      </c>
      <c r="K1160" s="14">
        <f>IF(OR(COUNT(G1160:J1160)&lt;&gt;4,G1160&lt;0,G1160&gt;1,H1160&gt;I1160,I1160&gt;J1160),"n.a.",ROUND(G1160*(H1160+4*I1160+J1160)/6+0.00000001,2))</f>
        <v/>
      </c>
      <c r="L1160" s="13" t="n">
        <v>0</v>
      </c>
      <c r="M1160" s="14">
        <f>SUMIFS(Maßnahmen!$I$7:$I$126,Maßnahmen!$D$7:$D$126,C1160,Maßnahmen!$H$7:$H$126,"&lt;&gt;verworfen")</f>
        <v/>
      </c>
      <c r="N1160" s="14">
        <f>IF(ISNUMBER(K1160),MAX(0,K1160-L1160-M1160),"n.a.")</f>
        <v/>
      </c>
      <c r="O1160" s="14" t="n">
        <v>17.24</v>
      </c>
      <c r="P1160" s="14">
        <f>IF(ISNUMBER(K1160),K1160-O1160,"n.a.")</f>
        <v/>
      </c>
    </row>
    <row r="1161" ht="32" customHeight="1">
      <c r="C1161" s="10" t="inlineStr">
        <is>
          <t>PRJ-4f8e93da-RK-11</t>
        </is>
      </c>
      <c r="D1161" s="10" t="inlineStr">
        <is>
          <t>P4102307430</t>
        </is>
      </c>
      <c r="E1161" s="11" t="inlineStr">
        <is>
          <t>Witterung / Ablaufstörung</t>
        </is>
      </c>
      <c r="F1161" s="10" t="inlineStr">
        <is>
          <t>Termin</t>
        </is>
      </c>
      <c r="G1161" s="12" t="n">
        <v>0.25</v>
      </c>
      <c r="H1161" s="13" t="n">
        <v>199</v>
      </c>
      <c r="I1161" s="13" t="n">
        <v>597</v>
      </c>
      <c r="J1161" s="13" t="n">
        <v>1194</v>
      </c>
      <c r="K1161" s="14">
        <f>IF(OR(COUNT(G1161:J1161)&lt;&gt;4,G1161&lt;0,G1161&gt;1,H1161&gt;I1161,I1161&gt;J1161),"n.a.",ROUND(G1161*(H1161+4*I1161+J1161)/6+0.00000001,2))</f>
        <v/>
      </c>
      <c r="L1161" s="13" t="n">
        <v>0</v>
      </c>
      <c r="M1161" s="14">
        <f>SUMIFS(Maßnahmen!$I$7:$I$126,Maßnahmen!$D$7:$D$126,C1161,Maßnahmen!$H$7:$H$126,"&lt;&gt;verworfen")</f>
        <v/>
      </c>
      <c r="N1161" s="14">
        <f>IF(ISNUMBER(K1161),MAX(0,K1161-L1161-M1161),"n.a.")</f>
        <v/>
      </c>
      <c r="O1161" s="14" t="n">
        <v>157.54</v>
      </c>
      <c r="P1161" s="14">
        <f>IF(ISNUMBER(K1161),K1161-O1161,"n.a.")</f>
        <v/>
      </c>
    </row>
    <row r="1162" ht="32" customHeight="1">
      <c r="C1162" s="10" t="inlineStr">
        <is>
          <t>PRJ-4f8e93da-RK-12</t>
        </is>
      </c>
      <c r="D1162" s="10" t="inlineStr">
        <is>
          <t>P4102307430</t>
        </is>
      </c>
      <c r="E1162" s="11" t="inlineStr">
        <is>
          <t>Staubemissionen (höchster Aufwand laut Umfrage)</t>
        </is>
      </c>
      <c r="F1162" s="10" t="inlineStr">
        <is>
          <t>Emissionen</t>
        </is>
      </c>
      <c r="G1162" s="12" t="n">
        <v>0.1</v>
      </c>
      <c r="H1162" s="13" t="n">
        <v>597</v>
      </c>
      <c r="I1162" s="13" t="n">
        <v>1194</v>
      </c>
      <c r="J1162" s="13" t="n">
        <v>2387</v>
      </c>
      <c r="K1162" s="14">
        <f>IF(OR(COUNT(G1162:J1162)&lt;&gt;4,G1162&lt;0,G1162&gt;1,H1162&gt;I1162,I1162&gt;J1162),"n.a.",ROUND(G1162*(H1162+4*I1162+J1162)/6+0.00000001,2))</f>
        <v/>
      </c>
      <c r="L1162" s="13" t="n">
        <v>0</v>
      </c>
      <c r="M1162" s="14">
        <f>SUMIFS(Maßnahmen!$I$7:$I$126,Maßnahmen!$D$7:$D$126,C1162,Maßnahmen!$H$7:$H$126,"&lt;&gt;verworfen")</f>
        <v/>
      </c>
      <c r="N1162" s="14">
        <f>IF(ISNUMBER(K1162),MAX(0,K1162-L1162-M1162),"n.a.")</f>
        <v/>
      </c>
      <c r="O1162" s="14" t="n">
        <v>129.33</v>
      </c>
      <c r="P1162" s="14">
        <f>IF(ISNUMBER(K1162),K1162-O1162,"n.a.")</f>
        <v/>
      </c>
    </row>
    <row r="1163" ht="32" customHeight="1">
      <c r="C1163" s="10" t="inlineStr">
        <is>
          <t>PRJ-4f8e93da-RK-13</t>
        </is>
      </c>
      <c r="D1163" s="10" t="inlineStr">
        <is>
          <t>P4102307430</t>
        </is>
      </c>
      <c r="E1163" s="11" t="inlineStr">
        <is>
          <t>Lärm- und Erschütterungsauflagen</t>
        </is>
      </c>
      <c r="F1163" s="10" t="inlineStr">
        <is>
          <t>Emissionen</t>
        </is>
      </c>
      <c r="G1163" s="12" t="n">
        <v>0.2</v>
      </c>
      <c r="H1163" s="13" t="n">
        <v>398</v>
      </c>
      <c r="I1163" s="13" t="n">
        <v>995</v>
      </c>
      <c r="J1163" s="13" t="n">
        <v>1989</v>
      </c>
      <c r="K1163" s="14">
        <f>IF(OR(COUNT(G1163:J1163)&lt;&gt;4,G1163&lt;0,G1163&gt;1,H1163&gt;I1163,I1163&gt;J1163),"n.a.",ROUND(G1163*(H1163+4*I1163+J1163)/6+0.00000001,2))</f>
        <v/>
      </c>
      <c r="L1163" s="13" t="n">
        <v>0</v>
      </c>
      <c r="M1163" s="14">
        <f>SUMIFS(Maßnahmen!$I$7:$I$126,Maßnahmen!$D$7:$D$126,C1163,Maßnahmen!$H$7:$H$126,"&lt;&gt;verworfen")</f>
        <v/>
      </c>
      <c r="N1163" s="14">
        <f>IF(ISNUMBER(K1163),MAX(0,K1163-L1163-M1163),"n.a.")</f>
        <v/>
      </c>
      <c r="O1163" s="14" t="n">
        <v>212.23</v>
      </c>
      <c r="P1163" s="14">
        <f>IF(ISNUMBER(K1163),K1163-O1163,"n.a.")</f>
        <v/>
      </c>
    </row>
    <row r="1164" ht="32" customHeight="1">
      <c r="C1164" s="10" t="inlineStr">
        <is>
          <t>PRJ-4f8e93da-RK-15</t>
        </is>
      </c>
      <c r="D1164" s="10" t="inlineStr">
        <is>
          <t>P4102307430</t>
        </is>
      </c>
      <c r="E1164" s="11" t="inlineStr">
        <is>
          <t>Konjunktur / Sekundärstoffpreise &amp; Gerätemiete</t>
        </is>
      </c>
      <c r="F1164" s="10" t="inlineStr">
        <is>
          <t>Markt</t>
        </is>
      </c>
      <c r="G1164" s="12" t="n">
        <v>0.12</v>
      </c>
      <c r="H1164" s="13" t="n">
        <v>159</v>
      </c>
      <c r="I1164" s="13" t="n">
        <v>398</v>
      </c>
      <c r="J1164" s="13" t="n">
        <v>995</v>
      </c>
      <c r="K1164" s="14">
        <f>IF(OR(COUNT(G1164:J1164)&lt;&gt;4,G1164&lt;0,G1164&gt;1,H1164&gt;I1164,I1164&gt;J1164),"n.a.",ROUND(G1164*(H1164+4*I1164+J1164)/6+0.00000001,2))</f>
        <v/>
      </c>
      <c r="L1164" s="13" t="n">
        <v>0</v>
      </c>
      <c r="M1164" s="14">
        <f>SUMIFS(Maßnahmen!$I$7:$I$126,Maßnahmen!$D$7:$D$126,C1164,Maßnahmen!$H$7:$H$126,"&lt;&gt;verworfen")</f>
        <v/>
      </c>
      <c r="N1164" s="14">
        <f>IF(ISNUMBER(K1164),MAX(0,K1164-L1164-M1164),"n.a.")</f>
        <v/>
      </c>
      <c r="O1164" s="14" t="n">
        <v>54.92</v>
      </c>
      <c r="P1164" s="14">
        <f>IF(ISNUMBER(K1164),K1164-O1164,"n.a.")</f>
        <v/>
      </c>
    </row>
    <row r="1165" ht="32" customHeight="1">
      <c r="C1165" s="10" t="inlineStr">
        <is>
          <t>PRJ-4072363f-RK-07</t>
        </is>
      </c>
      <c r="D1165" s="10" t="inlineStr">
        <is>
          <t>W4102154968</t>
        </is>
      </c>
      <c r="E1165" s="11" t="inlineStr">
        <is>
          <t>Unterirdische Tragkonstruktion / Fundamente</t>
        </is>
      </c>
      <c r="F1165" s="10" t="inlineStr">
        <is>
          <t>Statik</t>
        </is>
      </c>
      <c r="G1165" s="12" t="n">
        <v>0.4</v>
      </c>
      <c r="H1165" s="13" t="n">
        <v>5</v>
      </c>
      <c r="I1165" s="13" t="n">
        <v>20</v>
      </c>
      <c r="J1165" s="13" t="n">
        <v>50</v>
      </c>
      <c r="K1165" s="14">
        <f>IF(OR(COUNT(G1165:J1165)&lt;&gt;4,G1165&lt;0,G1165&gt;1,H1165&gt;I1165,I1165&gt;J1165),"n.a.",ROUND(G1165*(H1165+4*I1165+J1165)/6+0.00000001,2))</f>
        <v/>
      </c>
      <c r="L1165" s="13" t="n">
        <v>0</v>
      </c>
      <c r="M1165" s="14">
        <f>SUMIFS(Maßnahmen!$I$7:$I$126,Maßnahmen!$D$7:$D$126,C1165,Maßnahmen!$H$7:$H$126,"&lt;&gt;verworfen")</f>
        <v/>
      </c>
      <c r="N1165" s="14">
        <f>IF(ISNUMBER(K1165),MAX(0,K1165-L1165-M1165),"n.a.")</f>
        <v/>
      </c>
      <c r="O1165" s="14" t="n">
        <v>9</v>
      </c>
      <c r="P1165" s="14">
        <f>IF(ISNUMBER(K1165),K1165-O1165,"n.a.")</f>
        <v/>
      </c>
    </row>
    <row r="1166" ht="32" customHeight="1">
      <c r="C1166" s="10" t="inlineStr">
        <is>
          <t>PRJ-4072363f-RK-08</t>
        </is>
      </c>
      <c r="D1166" s="10" t="inlineStr">
        <is>
          <t>W4102154968</t>
        </is>
      </c>
      <c r="E1166" s="11" t="inlineStr">
        <is>
          <t>Gebäudehöhe &gt;22 m / Longfront-Bagger (+130–150 %)</t>
        </is>
      </c>
      <c r="F1166" s="10" t="inlineStr">
        <is>
          <t>Termin</t>
        </is>
      </c>
      <c r="G1166" s="12" t="n">
        <v>0.6</v>
      </c>
      <c r="H1166" s="13" t="n">
        <v>90</v>
      </c>
      <c r="I1166" s="13" t="n">
        <v>180</v>
      </c>
      <c r="J1166" s="13" t="n">
        <v>340</v>
      </c>
      <c r="K1166" s="14">
        <f>IF(OR(COUNT(G1166:J1166)&lt;&gt;4,G1166&lt;0,G1166&gt;1,H1166&gt;I1166,I1166&gt;J1166),"n.a.",ROUND(G1166*(H1166+4*I1166+J1166)/6+0.00000001,2))</f>
        <v/>
      </c>
      <c r="L1166" s="13" t="n">
        <v>0</v>
      </c>
      <c r="M1166" s="14">
        <f>SUMIFS(Maßnahmen!$I$7:$I$126,Maßnahmen!$D$7:$D$126,C1166,Maßnahmen!$H$7:$H$126,"&lt;&gt;verworfen")</f>
        <v/>
      </c>
      <c r="N1166" s="14">
        <f>IF(ISNUMBER(K1166),MAX(0,K1166-L1166-M1166),"n.a.")</f>
        <v/>
      </c>
      <c r="O1166" s="14" t="n">
        <v>115</v>
      </c>
      <c r="P1166" s="14">
        <f>IF(ISNUMBER(K1166),K1166-O1166,"n.a.")</f>
        <v/>
      </c>
    </row>
    <row r="1167" ht="32" customHeight="1">
      <c r="C1167" s="10" t="inlineStr">
        <is>
          <t>PRJ-4072363f-RK-10</t>
        </is>
      </c>
      <c r="D1167" s="10" t="inlineStr">
        <is>
          <t>W4102154968</t>
        </is>
      </c>
      <c r="E1167" s="11" t="inlineStr">
        <is>
          <t>Terminvorgabe Auftraggeber / Geräteauslastung</t>
        </is>
      </c>
      <c r="F1167" s="10" t="inlineStr">
        <is>
          <t>Termin</t>
        </is>
      </c>
      <c r="G1167" s="12" t="n">
        <v>0.1</v>
      </c>
      <c r="H1167" s="13" t="n">
        <v>8</v>
      </c>
      <c r="I1167" s="13" t="n">
        <v>20</v>
      </c>
      <c r="J1167" s="13" t="n">
        <v>50</v>
      </c>
      <c r="K1167" s="14">
        <f>IF(OR(COUNT(G1167:J1167)&lt;&gt;4,G1167&lt;0,G1167&gt;1,H1167&gt;I1167,I1167&gt;J1167),"n.a.",ROUND(G1167*(H1167+4*I1167+J1167)/6+0.00000001,2))</f>
        <v/>
      </c>
      <c r="L1167" s="13" t="n">
        <v>0</v>
      </c>
      <c r="M1167" s="14">
        <f>SUMIFS(Maßnahmen!$I$7:$I$126,Maßnahmen!$D$7:$D$126,C1167,Maßnahmen!$H$7:$H$126,"&lt;&gt;verworfen")</f>
        <v/>
      </c>
      <c r="N1167" s="14">
        <f>IF(ISNUMBER(K1167),MAX(0,K1167-L1167-M1167),"n.a.")</f>
        <v/>
      </c>
      <c r="O1167" s="14" t="n">
        <v>2.3</v>
      </c>
      <c r="P1167" s="14">
        <f>IF(ISNUMBER(K1167),K1167-O1167,"n.a.")</f>
        <v/>
      </c>
    </row>
    <row r="1168" ht="32" customHeight="1">
      <c r="C1168" s="10" t="inlineStr">
        <is>
          <t>PRJ-39e5496e-RK-11</t>
        </is>
      </c>
      <c r="D1168" s="10" t="inlineStr">
        <is>
          <t>W4102504951</t>
        </is>
      </c>
      <c r="E1168" s="11" t="inlineStr">
        <is>
          <t>Witterung / Ablaufstörung</t>
        </is>
      </c>
      <c r="F1168" s="10" t="inlineStr">
        <is>
          <t>Termin</t>
        </is>
      </c>
      <c r="G1168" s="12" t="n">
        <v>0.25</v>
      </c>
      <c r="H1168" s="13" t="n">
        <v>1021</v>
      </c>
      <c r="I1168" s="13" t="n">
        <v>3062</v>
      </c>
      <c r="J1168" s="13" t="n">
        <v>6125</v>
      </c>
      <c r="K1168" s="14">
        <f>IF(OR(COUNT(G1168:J1168)&lt;&gt;4,G1168&lt;0,G1168&gt;1,H1168&gt;I1168,I1168&gt;J1168),"n.a.",ROUND(G1168*(H1168+4*I1168+J1168)/6+0.00000001,2))</f>
        <v/>
      </c>
      <c r="L1168" s="13" t="n">
        <v>0</v>
      </c>
      <c r="M1168" s="14">
        <f>SUMIFS(Maßnahmen!$I$7:$I$126,Maßnahmen!$D$7:$D$126,C1168,Maßnahmen!$H$7:$H$126,"&lt;&gt;verworfen")</f>
        <v/>
      </c>
      <c r="N1168" s="14">
        <f>IF(ISNUMBER(K1168),MAX(0,K1168-L1168-M1168),"n.a.")</f>
        <v/>
      </c>
      <c r="O1168" s="14" t="n">
        <v>808.08</v>
      </c>
      <c r="P1168" s="14">
        <f>IF(ISNUMBER(K1168),K1168-O1168,"n.a.")</f>
        <v/>
      </c>
    </row>
    <row r="1169" ht="32" customHeight="1">
      <c r="C1169" s="10" t="inlineStr">
        <is>
          <t>PRJ-40723643-RK-05</t>
        </is>
      </c>
      <c r="D1169" s="10" t="inlineStr">
        <is>
          <t>W4102154964</t>
        </is>
      </c>
      <c r="E1169" s="11" t="inlineStr">
        <is>
          <t>Unbekannte Bauwerkskonstruktion / fehlende Pläne</t>
        </is>
      </c>
      <c r="F1169" s="10" t="inlineStr">
        <is>
          <t>Statik</t>
        </is>
      </c>
      <c r="G1169" s="12" t="n">
        <v>0.12</v>
      </c>
      <c r="H1169" s="13" t="n">
        <v>347</v>
      </c>
      <c r="I1169" s="13" t="n">
        <v>694</v>
      </c>
      <c r="J1169" s="13" t="n">
        <v>1302</v>
      </c>
      <c r="K1169" s="14">
        <f>IF(OR(COUNT(G1169:J1169)&lt;&gt;4,G1169&lt;0,G1169&gt;1,H1169&gt;I1169,I1169&gt;J1169),"n.a.",ROUND(G1169*(H1169+4*I1169+J1169)/6+0.00000001,2))</f>
        <v/>
      </c>
      <c r="L1169" s="13" t="n">
        <v>0</v>
      </c>
      <c r="M1169" s="14">
        <f>SUMIFS(Maßnahmen!$I$7:$I$126,Maßnahmen!$D$7:$D$126,C1169,Maßnahmen!$H$7:$H$126,"&lt;&gt;verworfen")</f>
        <v/>
      </c>
      <c r="N1169" s="14">
        <f>IF(ISNUMBER(K1169),MAX(0,K1169-L1169-M1169),"n.a.")</f>
        <v/>
      </c>
      <c r="O1169" s="14" t="n">
        <v>88.5</v>
      </c>
      <c r="P1169" s="14">
        <f>IF(ISNUMBER(K1169),K1169-O1169,"n.a.")</f>
        <v/>
      </c>
    </row>
    <row r="1170" ht="32" customHeight="1">
      <c r="C1170" s="10" t="inlineStr">
        <is>
          <t>PRJ-40723643-RK-06</t>
        </is>
      </c>
      <c r="D1170" s="10" t="inlineStr">
        <is>
          <t>W4102154964</t>
        </is>
      </c>
      <c r="E1170" s="11" t="inlineStr">
        <is>
          <t>Statik / Einsturzsicherung während Abbruch</t>
        </is>
      </c>
      <c r="F1170" s="10" t="inlineStr">
        <is>
          <t>Statik</t>
        </is>
      </c>
      <c r="G1170" s="12" t="n">
        <v>0.12</v>
      </c>
      <c r="H1170" s="13" t="n">
        <v>260</v>
      </c>
      <c r="I1170" s="13" t="n">
        <v>608</v>
      </c>
      <c r="J1170" s="13" t="n">
        <v>1215</v>
      </c>
      <c r="K1170" s="14">
        <f>IF(OR(COUNT(G1170:J1170)&lt;&gt;4,G1170&lt;0,G1170&gt;1,H1170&gt;I1170,I1170&gt;J1170),"n.a.",ROUND(G1170*(H1170+4*I1170+J1170)/6+0.00000001,2))</f>
        <v/>
      </c>
      <c r="L1170" s="13" t="n">
        <v>0</v>
      </c>
      <c r="M1170" s="14">
        <f>SUMIFS(Maßnahmen!$I$7:$I$126,Maßnahmen!$D$7:$D$126,C1170,Maßnahmen!$H$7:$H$126,"&lt;&gt;verworfen")</f>
        <v/>
      </c>
      <c r="N1170" s="14">
        <f>IF(ISNUMBER(K1170),MAX(0,K1170-L1170-M1170),"n.a.")</f>
        <v/>
      </c>
      <c r="O1170" s="14" t="n">
        <v>78.14</v>
      </c>
      <c r="P1170" s="14">
        <f>IF(ISNUMBER(K1170),K1170-O1170,"n.a.")</f>
        <v/>
      </c>
    </row>
    <row r="1171" ht="32" customHeight="1">
      <c r="C1171" s="10" t="inlineStr">
        <is>
          <t>PRJ-40723643-RK-07</t>
        </is>
      </c>
      <c r="D1171" s="10" t="inlineStr">
        <is>
          <t>W4102154964</t>
        </is>
      </c>
      <c r="E1171" s="11" t="inlineStr">
        <is>
          <t>Unterirdische Tragkonstruktion / Fundamente</t>
        </is>
      </c>
      <c r="F1171" s="10" t="inlineStr">
        <is>
          <t>Statik</t>
        </is>
      </c>
      <c r="G1171" s="12" t="n">
        <v>0.5</v>
      </c>
      <c r="H1171" s="13" t="n">
        <v>43</v>
      </c>
      <c r="I1171" s="13" t="n">
        <v>174</v>
      </c>
      <c r="J1171" s="13" t="n">
        <v>434</v>
      </c>
      <c r="K1171" s="14">
        <f>IF(OR(COUNT(G1171:J1171)&lt;&gt;4,G1171&lt;0,G1171&gt;1,H1171&gt;I1171,I1171&gt;J1171),"n.a.",ROUND(G1171*(H1171+4*I1171+J1171)/6+0.00000001,2))</f>
        <v/>
      </c>
      <c r="L1171" s="13" t="n">
        <v>0</v>
      </c>
      <c r="M1171" s="14">
        <f>SUMIFS(Maßnahmen!$I$7:$I$126,Maßnahmen!$D$7:$D$126,C1171,Maßnahmen!$H$7:$H$126,"&lt;&gt;verworfen")</f>
        <v/>
      </c>
      <c r="N1171" s="14">
        <f>IF(ISNUMBER(K1171),MAX(0,K1171-L1171-M1171),"n.a.")</f>
        <v/>
      </c>
      <c r="O1171" s="14" t="n">
        <v>97.75</v>
      </c>
      <c r="P1171" s="14">
        <f>IF(ISNUMBER(K1171),K1171-O1171,"n.a.")</f>
        <v/>
      </c>
    </row>
    <row r="1172" ht="32" customHeight="1">
      <c r="C1172" s="10" t="inlineStr">
        <is>
          <t>PRJ-40723643-RK-08</t>
        </is>
      </c>
      <c r="D1172" s="10" t="inlineStr">
        <is>
          <t>W4102154964</t>
        </is>
      </c>
      <c r="E1172" s="11" t="inlineStr">
        <is>
          <t>Gebäudehöhe &gt;22 m / Longfront-Bagger (+130–150 %)</t>
        </is>
      </c>
      <c r="F1172" s="10" t="inlineStr">
        <is>
          <t>Termin</t>
        </is>
      </c>
      <c r="G1172" s="12" t="n">
        <v>0.6</v>
      </c>
      <c r="H1172" s="13" t="n">
        <v>781</v>
      </c>
      <c r="I1172" s="13" t="n">
        <v>1562</v>
      </c>
      <c r="J1172" s="13" t="n">
        <v>2951</v>
      </c>
      <c r="K1172" s="14">
        <f>IF(OR(COUNT(G1172:J1172)&lt;&gt;4,G1172&lt;0,G1172&gt;1,H1172&gt;I1172,I1172&gt;J1172),"n.a.",ROUND(G1172*(H1172+4*I1172+J1172)/6+0.00000001,2))</f>
        <v/>
      </c>
      <c r="L1172" s="13" t="n">
        <v>0</v>
      </c>
      <c r="M1172" s="14">
        <f>SUMIFS(Maßnahmen!$I$7:$I$126,Maßnahmen!$D$7:$D$126,C1172,Maßnahmen!$H$7:$H$126,"&lt;&gt;verworfen")</f>
        <v/>
      </c>
      <c r="N1172" s="14">
        <f>IF(ISNUMBER(K1172),MAX(0,K1172-L1172-M1172),"n.a.")</f>
        <v/>
      </c>
      <c r="O1172" s="14" t="n">
        <v>998</v>
      </c>
      <c r="P1172" s="14">
        <f>IF(ISNUMBER(K1172),K1172-O1172,"n.a.")</f>
        <v/>
      </c>
    </row>
    <row r="1173" ht="32" customHeight="1">
      <c r="C1173" s="10" t="inlineStr">
        <is>
          <t>PRJ-40723643-RK-09</t>
        </is>
      </c>
      <c r="D1173" s="10" t="inlineStr">
        <is>
          <t>W4102154964</t>
        </is>
      </c>
      <c r="E1173" s="11" t="inlineStr">
        <is>
          <t>Beennte Lage / nur Handabbruch möglich</t>
        </is>
      </c>
      <c r="F1173" s="10" t="inlineStr">
        <is>
          <t>Termin</t>
        </is>
      </c>
      <c r="G1173" s="12" t="n">
        <v>0.15</v>
      </c>
      <c r="H1173" s="13" t="n">
        <v>69</v>
      </c>
      <c r="I1173" s="13" t="n">
        <v>174</v>
      </c>
      <c r="J1173" s="13" t="n">
        <v>434</v>
      </c>
      <c r="K1173" s="14">
        <f>IF(OR(COUNT(G1173:J1173)&lt;&gt;4,G1173&lt;0,G1173&gt;1,H1173&gt;I1173,I1173&gt;J1173),"n.a.",ROUND(G1173*(H1173+4*I1173+J1173)/6+0.00000001,2))</f>
        <v/>
      </c>
      <c r="L1173" s="13" t="n">
        <v>0</v>
      </c>
      <c r="M1173" s="14">
        <f>SUMIFS(Maßnahmen!$I$7:$I$126,Maßnahmen!$D$7:$D$126,C1173,Maßnahmen!$H$7:$H$126,"&lt;&gt;verworfen")</f>
        <v/>
      </c>
      <c r="N1173" s="14">
        <f>IF(ISNUMBER(K1173),MAX(0,K1173-L1173-M1173),"n.a.")</f>
        <v/>
      </c>
      <c r="O1173" s="14" t="n">
        <v>29.98</v>
      </c>
      <c r="P1173" s="14">
        <f>IF(ISNUMBER(K1173),K1173-O1173,"n.a.")</f>
        <v/>
      </c>
    </row>
    <row r="1174" ht="32" customHeight="1">
      <c r="C1174" s="10" t="inlineStr">
        <is>
          <t>PRJ-40723643-RK-10</t>
        </is>
      </c>
      <c r="D1174" s="10" t="inlineStr">
        <is>
          <t>W4102154964</t>
        </is>
      </c>
      <c r="E1174" s="11" t="inlineStr">
        <is>
          <t>Terminvorgabe Auftraggeber / Geräteauslastung</t>
        </is>
      </c>
      <c r="F1174" s="10" t="inlineStr">
        <is>
          <t>Termin</t>
        </is>
      </c>
      <c r="G1174" s="12" t="n">
        <v>0.1</v>
      </c>
      <c r="H1174" s="13" t="n">
        <v>69</v>
      </c>
      <c r="I1174" s="13" t="n">
        <v>174</v>
      </c>
      <c r="J1174" s="13" t="n">
        <v>434</v>
      </c>
      <c r="K1174" s="14">
        <f>IF(OR(COUNT(G1174:J1174)&lt;&gt;4,G1174&lt;0,G1174&gt;1,H1174&gt;I1174,I1174&gt;J1174),"n.a.",ROUND(G1174*(H1174+4*I1174+J1174)/6+0.00000001,2))</f>
        <v/>
      </c>
      <c r="L1174" s="13" t="n">
        <v>0</v>
      </c>
      <c r="M1174" s="14">
        <f>SUMIFS(Maßnahmen!$I$7:$I$126,Maßnahmen!$D$7:$D$126,C1174,Maßnahmen!$H$7:$H$126,"&lt;&gt;verworfen")</f>
        <v/>
      </c>
      <c r="N1174" s="14">
        <f>IF(ISNUMBER(K1174),MAX(0,K1174-L1174-M1174),"n.a.")</f>
        <v/>
      </c>
      <c r="O1174" s="14" t="n">
        <v>19.98</v>
      </c>
      <c r="P1174" s="14">
        <f>IF(ISNUMBER(K1174),K1174-O1174,"n.a.")</f>
        <v/>
      </c>
    </row>
    <row r="1175" ht="32" customHeight="1">
      <c r="C1175" s="10" t="inlineStr">
        <is>
          <t>PRJ-4f8e93f3-RK-01</t>
        </is>
      </c>
      <c r="D1175" s="10" t="inlineStr">
        <is>
          <t>P4102307426</t>
        </is>
      </c>
      <c r="E1175" s="11" t="inlineStr">
        <is>
          <t>Schadstofffund / Schadstoffsanierung (Asbest, PAK, PCB, PCP)</t>
        </is>
      </c>
      <c r="F1175" s="10" t="inlineStr">
        <is>
          <t>Schadstoffe</t>
        </is>
      </c>
      <c r="G1175" s="12" t="n">
        <v>0.1</v>
      </c>
      <c r="H1175" s="13" t="n">
        <v>629</v>
      </c>
      <c r="I1175" s="13" t="n">
        <v>1572</v>
      </c>
      <c r="J1175" s="13" t="n">
        <v>3145</v>
      </c>
      <c r="K1175" s="14">
        <f>IF(OR(COUNT(G1175:J1175)&lt;&gt;4,G1175&lt;0,G1175&gt;1,H1175&gt;I1175,I1175&gt;J1175),"n.a.",ROUND(G1175*(H1175+4*I1175+J1175)/6+0.00000001,2))</f>
        <v/>
      </c>
      <c r="L1175" s="13" t="n">
        <v>0</v>
      </c>
      <c r="M1175" s="14">
        <f>SUMIFS(Maßnahmen!$I$7:$I$126,Maßnahmen!$D$7:$D$126,C1175,Maßnahmen!$H$7:$H$126,"&lt;&gt;verworfen")</f>
        <v/>
      </c>
      <c r="N1175" s="14">
        <f>IF(ISNUMBER(K1175),MAX(0,K1175-L1175-M1175),"n.a.")</f>
        <v/>
      </c>
      <c r="O1175" s="14" t="n">
        <v>167.7</v>
      </c>
      <c r="P1175" s="14">
        <f>IF(ISNUMBER(K1175),K1175-O1175,"n.a.")</f>
        <v/>
      </c>
    </row>
    <row r="1176" ht="32" customHeight="1">
      <c r="C1176" s="10" t="inlineStr">
        <is>
          <t>PRJ-4f8e93f3-RK-02</t>
        </is>
      </c>
      <c r="D1176" s="10" t="inlineStr">
        <is>
          <t>P4102307426</t>
        </is>
      </c>
      <c r="E1176" s="11" t="inlineStr">
        <is>
          <t>Arbeitsschutz kontaminierte Bereiche (TRGS 524)</t>
        </is>
      </c>
      <c r="F1176" s="10" t="inlineStr">
        <is>
          <t>Schadstoffe</t>
        </is>
      </c>
      <c r="G1176" s="12" t="n">
        <v>0.1</v>
      </c>
      <c r="H1176" s="13" t="n">
        <v>157</v>
      </c>
      <c r="I1176" s="13" t="n">
        <v>314</v>
      </c>
      <c r="J1176" s="13" t="n">
        <v>629</v>
      </c>
      <c r="K1176" s="14">
        <f>IF(OR(COUNT(G1176:J1176)&lt;&gt;4,G1176&lt;0,G1176&gt;1,H1176&gt;I1176,I1176&gt;J1176),"n.a.",ROUND(G1176*(H1176+4*I1176+J1176)/6+0.00000001,2))</f>
        <v/>
      </c>
      <c r="L1176" s="13" t="n">
        <v>0</v>
      </c>
      <c r="M1176" s="14">
        <f>SUMIFS(Maßnahmen!$I$7:$I$126,Maßnahmen!$D$7:$D$126,C1176,Maßnahmen!$H$7:$H$126,"&lt;&gt;verworfen")</f>
        <v/>
      </c>
      <c r="N1176" s="14">
        <f>IF(ISNUMBER(K1176),MAX(0,K1176-L1176-M1176),"n.a.")</f>
        <v/>
      </c>
      <c r="O1176" s="14" t="n">
        <v>34.03</v>
      </c>
      <c r="P1176" s="14">
        <f>IF(ISNUMBER(K1176),K1176-O1176,"n.a.")</f>
        <v/>
      </c>
    </row>
    <row r="1177" ht="32" customHeight="1">
      <c r="C1177" s="10" t="inlineStr">
        <is>
          <t>PRJ-4f8e93f3-RK-04</t>
        </is>
      </c>
      <c r="D1177" s="10" t="inlineStr">
        <is>
          <t>P4102307426</t>
        </is>
      </c>
      <c r="E1177" s="11" t="inlineStr">
        <is>
          <t>Baustofftrennung / Aufbereitung nicht wie geplant</t>
        </is>
      </c>
      <c r="F1177" s="10" t="inlineStr">
        <is>
          <t>Entsorgung</t>
        </is>
      </c>
      <c r="G1177" s="12" t="n">
        <v>0.08</v>
      </c>
      <c r="H1177" s="13" t="n">
        <v>157</v>
      </c>
      <c r="I1177" s="13" t="n">
        <v>314</v>
      </c>
      <c r="J1177" s="13" t="n">
        <v>629</v>
      </c>
      <c r="K1177" s="14">
        <f>IF(OR(COUNT(G1177:J1177)&lt;&gt;4,G1177&lt;0,G1177&gt;1,H1177&gt;I1177,I1177&gt;J1177),"n.a.",ROUND(G1177*(H1177+4*I1177+J1177)/6+0.00000001,2))</f>
        <v/>
      </c>
      <c r="L1177" s="13" t="n">
        <v>0</v>
      </c>
      <c r="M1177" s="14">
        <f>SUMIFS(Maßnahmen!$I$7:$I$126,Maßnahmen!$D$7:$D$126,C1177,Maßnahmen!$H$7:$H$126,"&lt;&gt;verworfen")</f>
        <v/>
      </c>
      <c r="N1177" s="14">
        <f>IF(ISNUMBER(K1177),MAX(0,K1177-L1177-M1177),"n.a.")</f>
        <v/>
      </c>
      <c r="O1177" s="14" t="n">
        <v>27.23</v>
      </c>
      <c r="P1177" s="14">
        <f>IF(ISNUMBER(K1177),K1177-O1177,"n.a.")</f>
        <v/>
      </c>
    </row>
    <row r="1178" ht="32" customHeight="1">
      <c r="C1178" s="10" t="inlineStr">
        <is>
          <t>PRJ-4f8e93f3-RK-10</t>
        </is>
      </c>
      <c r="D1178" s="10" t="inlineStr">
        <is>
          <t>P4102307426</t>
        </is>
      </c>
      <c r="E1178" s="11" t="inlineStr">
        <is>
          <t>Terminvorgabe Auftraggeber / Geräteauslastung</t>
        </is>
      </c>
      <c r="F1178" s="10" t="inlineStr">
        <is>
          <t>Termin</t>
        </is>
      </c>
      <c r="G1178" s="12" t="n">
        <v>0.08</v>
      </c>
      <c r="H1178" s="13" t="n">
        <v>157</v>
      </c>
      <c r="I1178" s="13" t="n">
        <v>314</v>
      </c>
      <c r="J1178" s="13" t="n">
        <v>629</v>
      </c>
      <c r="K1178" s="14">
        <f>IF(OR(COUNT(G1178:J1178)&lt;&gt;4,G1178&lt;0,G1178&gt;1,H1178&gt;I1178,I1178&gt;J1178),"n.a.",ROUND(G1178*(H1178+4*I1178+J1178)/6+0.00000001,2))</f>
        <v/>
      </c>
      <c r="L1178" s="13" t="n">
        <v>0</v>
      </c>
      <c r="M1178" s="14">
        <f>SUMIFS(Maßnahmen!$I$7:$I$126,Maßnahmen!$D$7:$D$126,C1178,Maßnahmen!$H$7:$H$126,"&lt;&gt;verworfen")</f>
        <v/>
      </c>
      <c r="N1178" s="14">
        <f>IF(ISNUMBER(K1178),MAX(0,K1178-L1178-M1178),"n.a.")</f>
        <v/>
      </c>
      <c r="O1178" s="14" t="n">
        <v>27.23</v>
      </c>
      <c r="P1178" s="14">
        <f>IF(ISNUMBER(K1178),K1178-O1178,"n.a.")</f>
        <v/>
      </c>
    </row>
    <row r="1179" ht="32" customHeight="1">
      <c r="C1179" s="10" t="inlineStr">
        <is>
          <t>PRJ-4f8e93f3-RK-11</t>
        </is>
      </c>
      <c r="D1179" s="10" t="inlineStr">
        <is>
          <t>P4102307426</t>
        </is>
      </c>
      <c r="E1179" s="11" t="inlineStr">
        <is>
          <t>Witterung / Ablaufstörung</t>
        </is>
      </c>
      <c r="F1179" s="10" t="inlineStr">
        <is>
          <t>Termin</t>
        </is>
      </c>
      <c r="G1179" s="12" t="n">
        <v>0.25</v>
      </c>
      <c r="H1179" s="13" t="n">
        <v>314</v>
      </c>
      <c r="I1179" s="13" t="n">
        <v>943</v>
      </c>
      <c r="J1179" s="13" t="n">
        <v>1887</v>
      </c>
      <c r="K1179" s="14">
        <f>IF(OR(COUNT(G1179:J1179)&lt;&gt;4,G1179&lt;0,G1179&gt;1,H1179&gt;I1179,I1179&gt;J1179),"n.a.",ROUND(G1179*(H1179+4*I1179+J1179)/6+0.00000001,2))</f>
        <v/>
      </c>
      <c r="L1179" s="13" t="n">
        <v>0</v>
      </c>
      <c r="M1179" s="14">
        <f>SUMIFS(Maßnahmen!$I$7:$I$126,Maßnahmen!$D$7:$D$126,C1179,Maßnahmen!$H$7:$H$126,"&lt;&gt;verworfen")</f>
        <v/>
      </c>
      <c r="N1179" s="14">
        <f>IF(ISNUMBER(K1179),MAX(0,K1179-L1179-M1179),"n.a.")</f>
        <v/>
      </c>
      <c r="O1179" s="14" t="n">
        <v>248.88</v>
      </c>
      <c r="P1179" s="14">
        <f>IF(ISNUMBER(K1179),K1179-O1179,"n.a.")</f>
        <v/>
      </c>
    </row>
    <row r="1180" ht="32" customHeight="1">
      <c r="C1180" s="10" t="inlineStr">
        <is>
          <t>PRJ-4f8e93f3-RK-12</t>
        </is>
      </c>
      <c r="D1180" s="10" t="inlineStr">
        <is>
          <t>P4102307426</t>
        </is>
      </c>
      <c r="E1180" s="11" t="inlineStr">
        <is>
          <t>Staubemissionen (höchster Aufwand laut Umfrage)</t>
        </is>
      </c>
      <c r="F1180" s="10" t="inlineStr">
        <is>
          <t>Emissionen</t>
        </is>
      </c>
      <c r="G1180" s="12" t="n">
        <v>0.1</v>
      </c>
      <c r="H1180" s="13" t="n">
        <v>943</v>
      </c>
      <c r="I1180" s="13" t="n">
        <v>1887</v>
      </c>
      <c r="J1180" s="13" t="n">
        <v>3774</v>
      </c>
      <c r="K1180" s="14">
        <f>IF(OR(COUNT(G1180:J1180)&lt;&gt;4,G1180&lt;0,G1180&gt;1,H1180&gt;I1180,I1180&gt;J1180),"n.a.",ROUND(G1180*(H1180+4*I1180+J1180)/6+0.00000001,2))</f>
        <v/>
      </c>
      <c r="L1180" s="13" t="n">
        <v>0</v>
      </c>
      <c r="M1180" s="14">
        <f>SUMIFS(Maßnahmen!$I$7:$I$126,Maßnahmen!$D$7:$D$126,C1180,Maßnahmen!$H$7:$H$126,"&lt;&gt;verworfen")</f>
        <v/>
      </c>
      <c r="N1180" s="14">
        <f>IF(ISNUMBER(K1180),MAX(0,K1180-L1180-M1180),"n.a.")</f>
        <v/>
      </c>
      <c r="O1180" s="14" t="n">
        <v>204.42</v>
      </c>
      <c r="P1180" s="14">
        <f>IF(ISNUMBER(K1180),K1180-O1180,"n.a.")</f>
        <v/>
      </c>
    </row>
    <row r="1181" ht="32" customHeight="1">
      <c r="C1181" s="10" t="inlineStr">
        <is>
          <t>PRJ-4f8e93f3-RK-15</t>
        </is>
      </c>
      <c r="D1181" s="10" t="inlineStr">
        <is>
          <t>P4102307426</t>
        </is>
      </c>
      <c r="E1181" s="11" t="inlineStr">
        <is>
          <t>Konjunktur / Sekundärstoffpreise &amp; Gerätemiete</t>
        </is>
      </c>
      <c r="F1181" s="10" t="inlineStr">
        <is>
          <t>Markt</t>
        </is>
      </c>
      <c r="G1181" s="12" t="n">
        <v>0.12</v>
      </c>
      <c r="H1181" s="13" t="n">
        <v>252</v>
      </c>
      <c r="I1181" s="13" t="n">
        <v>629</v>
      </c>
      <c r="J1181" s="13" t="n">
        <v>1572</v>
      </c>
      <c r="K1181" s="14">
        <f>IF(OR(COUNT(G1181:J1181)&lt;&gt;4,G1181&lt;0,G1181&gt;1,H1181&gt;I1181,I1181&gt;J1181),"n.a.",ROUND(G1181*(H1181+4*I1181+J1181)/6+0.00000001,2))</f>
        <v/>
      </c>
      <c r="L1181" s="13" t="n">
        <v>0</v>
      </c>
      <c r="M1181" s="14">
        <f>SUMIFS(Maßnahmen!$I$7:$I$126,Maßnahmen!$D$7:$D$126,C1181,Maßnahmen!$H$7:$H$126,"&lt;&gt;verworfen")</f>
        <v/>
      </c>
      <c r="N1181" s="14">
        <f>IF(ISNUMBER(K1181),MAX(0,K1181-L1181-M1181),"n.a.")</f>
        <v/>
      </c>
      <c r="O1181" s="14" t="n">
        <v>86.8</v>
      </c>
      <c r="P1181" s="14">
        <f>IF(ISNUMBER(K1181),K1181-O1181,"n.a.")</f>
        <v/>
      </c>
    </row>
    <row r="1182" ht="32" customHeight="1">
      <c r="C1182" s="10" t="inlineStr">
        <is>
          <t>PRJ-4a29275d-RK-01</t>
        </is>
      </c>
      <c r="D1182" s="10" t="inlineStr">
        <is>
          <t>P4102658250</t>
        </is>
      </c>
      <c r="E1182" s="11" t="inlineStr">
        <is>
          <t>Schadstofffund / Schadstoffsanierung (Asbest, PAK, PCB, PCP)</t>
        </is>
      </c>
      <c r="F1182" s="10" t="inlineStr">
        <is>
          <t>Schadstoffe</t>
        </is>
      </c>
      <c r="G1182" s="12" t="n">
        <v>0.31</v>
      </c>
      <c r="H1182" s="13" t="n">
        <v>22</v>
      </c>
      <c r="I1182" s="13" t="n">
        <v>54</v>
      </c>
      <c r="J1182" s="13" t="n">
        <v>106</v>
      </c>
      <c r="K1182" s="14">
        <f>IF(OR(COUNT(G1182:J1182)&lt;&gt;4,G1182&lt;0,G1182&gt;1,H1182&gt;I1182,I1182&gt;J1182),"n.a.",ROUND(G1182*(H1182+4*I1182+J1182)/6+0.00000001,2))</f>
        <v/>
      </c>
      <c r="L1182" s="13" t="n">
        <v>0</v>
      </c>
      <c r="M1182" s="14">
        <f>SUMIFS(Maßnahmen!$I$7:$I$126,Maßnahmen!$D$7:$D$126,C1182,Maßnahmen!$H$7:$H$126,"&lt;&gt;verworfen")</f>
        <v/>
      </c>
      <c r="N1182" s="14">
        <f>IF(ISNUMBER(K1182),MAX(0,K1182-L1182-M1182),"n.a.")</f>
        <v/>
      </c>
      <c r="O1182" s="14" t="n">
        <v>17.77</v>
      </c>
      <c r="P1182" s="14">
        <f>IF(ISNUMBER(K1182),K1182-O1182,"n.a.")</f>
        <v/>
      </c>
    </row>
    <row r="1183" ht="32" customHeight="1">
      <c r="C1183" s="10" t="inlineStr">
        <is>
          <t>PRJ-4a29275d-RK-02</t>
        </is>
      </c>
      <c r="D1183" s="10" t="inlineStr">
        <is>
          <t>P4102658250</t>
        </is>
      </c>
      <c r="E1183" s="11" t="inlineStr">
        <is>
          <t>Arbeitsschutz kontaminierte Bereiche (TRGS 524)</t>
        </is>
      </c>
      <c r="F1183" s="10" t="inlineStr">
        <is>
          <t>Schadstoffe</t>
        </is>
      </c>
      <c r="G1183" s="12" t="n">
        <v>0.358</v>
      </c>
      <c r="H1183" s="13" t="n">
        <v>20</v>
      </c>
      <c r="I1183" s="13" t="n">
        <v>50</v>
      </c>
      <c r="J1183" s="13" t="n">
        <v>100</v>
      </c>
      <c r="K1183" s="14">
        <f>IF(OR(COUNT(G1183:J1183)&lt;&gt;4,G1183&lt;0,G1183&gt;1,H1183&gt;I1183,I1183&gt;J1183),"n.a.",ROUND(G1183*(H1183+4*I1183+J1183)/6+0.00000001,2))</f>
        <v/>
      </c>
      <c r="L1183" s="13" t="n">
        <v>0</v>
      </c>
      <c r="M1183" s="14">
        <f>SUMIFS(Maßnahmen!$I$7:$I$126,Maßnahmen!$D$7:$D$126,C1183,Maßnahmen!$H$7:$H$126,"&lt;&gt;verworfen")</f>
        <v/>
      </c>
      <c r="N1183" s="14">
        <f>IF(ISNUMBER(K1183),MAX(0,K1183-L1183-M1183),"n.a.")</f>
        <v/>
      </c>
      <c r="O1183" s="14" t="n">
        <v>19.09</v>
      </c>
      <c r="P1183" s="14">
        <f>IF(ISNUMBER(K1183),K1183-O1183,"n.a.")</f>
        <v/>
      </c>
    </row>
    <row r="1184" ht="32" customHeight="1">
      <c r="C1184" s="10" t="inlineStr">
        <is>
          <t>PRJ-4072363f-RK-09</t>
        </is>
      </c>
      <c r="D1184" s="10" t="inlineStr">
        <is>
          <t>W4102154968</t>
        </is>
      </c>
      <c r="E1184" s="11" t="inlineStr">
        <is>
          <t>Beennte Lage / nur Handabbruch möglich</t>
        </is>
      </c>
      <c r="F1184" s="10" t="inlineStr">
        <is>
          <t>Termin</t>
        </is>
      </c>
      <c r="G1184" s="12" t="n">
        <v>0.15</v>
      </c>
      <c r="H1184" s="13" t="n">
        <v>8</v>
      </c>
      <c r="I1184" s="13" t="n">
        <v>20</v>
      </c>
      <c r="J1184" s="13" t="n">
        <v>50</v>
      </c>
      <c r="K1184" s="14">
        <f>IF(OR(COUNT(G1184:J1184)&lt;&gt;4,G1184&lt;0,G1184&gt;1,H1184&gt;I1184,I1184&gt;J1184),"n.a.",ROUND(G1184*(H1184+4*I1184+J1184)/6+0.00000001,2))</f>
        <v/>
      </c>
      <c r="L1184" s="13" t="n">
        <v>0</v>
      </c>
      <c r="M1184" s="14">
        <f>SUMIFS(Maßnahmen!$I$7:$I$126,Maßnahmen!$D$7:$D$126,C1184,Maßnahmen!$H$7:$H$126,"&lt;&gt;verworfen")</f>
        <v/>
      </c>
      <c r="N1184" s="14">
        <f>IF(ISNUMBER(K1184),MAX(0,K1184-L1184-M1184),"n.a.")</f>
        <v/>
      </c>
      <c r="O1184" s="14" t="n">
        <v>3.45</v>
      </c>
      <c r="P1184" s="14">
        <f>IF(ISNUMBER(K1184),K1184-O1184,"n.a.")</f>
        <v/>
      </c>
    </row>
    <row r="1185" ht="32" customHeight="1">
      <c r="C1185" s="10" t="inlineStr">
        <is>
          <t>PRJ-40723643-RK-11</t>
        </is>
      </c>
      <c r="D1185" s="10" t="inlineStr">
        <is>
          <t>W4102154964</t>
        </is>
      </c>
      <c r="E1185" s="11" t="inlineStr">
        <is>
          <t>Witterung / Ablaufstörung</t>
        </is>
      </c>
      <c r="F1185" s="10" t="inlineStr">
        <is>
          <t>Termin</t>
        </is>
      </c>
      <c r="G1185" s="12" t="n">
        <v>0.25</v>
      </c>
      <c r="H1185" s="13" t="n">
        <v>87</v>
      </c>
      <c r="I1185" s="13" t="n">
        <v>260</v>
      </c>
      <c r="J1185" s="13" t="n">
        <v>521</v>
      </c>
      <c r="K1185" s="14">
        <f>IF(OR(COUNT(G1185:J1185)&lt;&gt;4,G1185&lt;0,G1185&gt;1,H1185&gt;I1185,I1185&gt;J1185),"n.a.",ROUND(G1185*(H1185+4*I1185+J1185)/6+0.00000001,2))</f>
        <v/>
      </c>
      <c r="L1185" s="13" t="n">
        <v>0</v>
      </c>
      <c r="M1185" s="14">
        <f>SUMIFS(Maßnahmen!$I$7:$I$126,Maßnahmen!$D$7:$D$126,C1185,Maßnahmen!$H$7:$H$126,"&lt;&gt;verworfen")</f>
        <v/>
      </c>
      <c r="N1185" s="14">
        <f>IF(ISNUMBER(K1185),MAX(0,K1185-L1185-M1185),"n.a.")</f>
        <v/>
      </c>
      <c r="O1185" s="14" t="n">
        <v>68.67</v>
      </c>
      <c r="P1185" s="14">
        <f>IF(ISNUMBER(K1185),K1185-O1185,"n.a.")</f>
        <v/>
      </c>
    </row>
    <row r="1186" ht="32" customHeight="1">
      <c r="C1186" s="10" t="inlineStr">
        <is>
          <t>PRJ-40723643-RK-12</t>
        </is>
      </c>
      <c r="D1186" s="10" t="inlineStr">
        <is>
          <t>W4102154964</t>
        </is>
      </c>
      <c r="E1186" s="11" t="inlineStr">
        <is>
          <t>Staubemissionen (höchster Aufwand laut Umfrage)</t>
        </is>
      </c>
      <c r="F1186" s="10" t="inlineStr">
        <is>
          <t>Emissionen</t>
        </is>
      </c>
      <c r="G1186" s="12" t="n">
        <v>0.1</v>
      </c>
      <c r="H1186" s="13" t="n">
        <v>260</v>
      </c>
      <c r="I1186" s="13" t="n">
        <v>521</v>
      </c>
      <c r="J1186" s="13" t="n">
        <v>1041</v>
      </c>
      <c r="K1186" s="14">
        <f>IF(OR(COUNT(G1186:J1186)&lt;&gt;4,G1186&lt;0,G1186&gt;1,H1186&gt;I1186,I1186&gt;J1186),"n.a.",ROUND(G1186*(H1186+4*I1186+J1186)/6+0.00000001,2))</f>
        <v/>
      </c>
      <c r="L1186" s="13" t="n">
        <v>0</v>
      </c>
      <c r="M1186" s="14">
        <f>SUMIFS(Maßnahmen!$I$7:$I$126,Maßnahmen!$D$7:$D$126,C1186,Maßnahmen!$H$7:$H$126,"&lt;&gt;verworfen")</f>
        <v/>
      </c>
      <c r="N1186" s="14">
        <f>IF(ISNUMBER(K1186),MAX(0,K1186-L1186-M1186),"n.a.")</f>
        <v/>
      </c>
      <c r="O1186" s="14" t="n">
        <v>56.42</v>
      </c>
      <c r="P1186" s="14">
        <f>IF(ISNUMBER(K1186),K1186-O1186,"n.a.")</f>
        <v/>
      </c>
    </row>
    <row r="1187" ht="32" customHeight="1">
      <c r="C1187" s="10" t="inlineStr">
        <is>
          <t>PRJ-40723643-RK-13</t>
        </is>
      </c>
      <c r="D1187" s="10" t="inlineStr">
        <is>
          <t>W4102154964</t>
        </is>
      </c>
      <c r="E1187" s="11" t="inlineStr">
        <is>
          <t>Lärm- und Erschütterungsauflagen</t>
        </is>
      </c>
      <c r="F1187" s="10" t="inlineStr">
        <is>
          <t>Emissionen</t>
        </is>
      </c>
      <c r="G1187" s="12" t="n">
        <v>0.2</v>
      </c>
      <c r="H1187" s="13" t="n">
        <v>174</v>
      </c>
      <c r="I1187" s="13" t="n">
        <v>434</v>
      </c>
      <c r="J1187" s="13" t="n">
        <v>868</v>
      </c>
      <c r="K1187" s="14">
        <f>IF(OR(COUNT(G1187:J1187)&lt;&gt;4,G1187&lt;0,G1187&gt;1,H1187&gt;I1187,I1187&gt;J1187),"n.a.",ROUND(G1187*(H1187+4*I1187+J1187)/6+0.00000001,2))</f>
        <v/>
      </c>
      <c r="L1187" s="13" t="n">
        <v>0</v>
      </c>
      <c r="M1187" s="14">
        <f>SUMIFS(Maßnahmen!$I$7:$I$126,Maßnahmen!$D$7:$D$126,C1187,Maßnahmen!$H$7:$H$126,"&lt;&gt;verworfen")</f>
        <v/>
      </c>
      <c r="N1187" s="14">
        <f>IF(ISNUMBER(K1187),MAX(0,K1187-L1187-M1187),"n.a.")</f>
        <v/>
      </c>
      <c r="O1187" s="14" t="n">
        <v>92.59999999999999</v>
      </c>
      <c r="P1187" s="14">
        <f>IF(ISNUMBER(K1187),K1187-O1187,"n.a.")</f>
        <v/>
      </c>
    </row>
    <row r="1188" ht="32" customHeight="1">
      <c r="C1188" s="10" t="inlineStr">
        <is>
          <t>PRJ-40723643-RK-14</t>
        </is>
      </c>
      <c r="D1188" s="10" t="inlineStr">
        <is>
          <t>W4102154964</t>
        </is>
      </c>
      <c r="E1188" s="11" t="inlineStr">
        <is>
          <t>Rechtliche Auflagen / Entsorgungsnachweise (Formalismus)</t>
        </is>
      </c>
      <c r="F1188" s="10" t="inlineStr">
        <is>
          <t>Genehmigung</t>
        </is>
      </c>
      <c r="G1188" s="12" t="n">
        <v>0.4</v>
      </c>
      <c r="H1188" s="13" t="n">
        <v>825</v>
      </c>
      <c r="I1188" s="13" t="n">
        <v>1606</v>
      </c>
      <c r="J1188" s="13" t="n">
        <v>3038</v>
      </c>
      <c r="K1188" s="14">
        <f>IF(OR(COUNT(G1188:J1188)&lt;&gt;4,G1188&lt;0,G1188&gt;1,H1188&gt;I1188,I1188&gt;J1188),"n.a.",ROUND(G1188*(H1188+4*I1188+J1188)/6+0.00000001,2))</f>
        <v/>
      </c>
      <c r="L1188" s="13" t="n">
        <v>0</v>
      </c>
      <c r="M1188" s="14">
        <f>SUMIFS(Maßnahmen!$I$7:$I$126,Maßnahmen!$D$7:$D$126,C1188,Maßnahmen!$H$7:$H$126,"&lt;&gt;verworfen")</f>
        <v/>
      </c>
      <c r="N1188" s="14">
        <f>IF(ISNUMBER(K1188),MAX(0,K1188-L1188-M1188),"n.a.")</f>
        <v/>
      </c>
      <c r="O1188" s="14" t="n">
        <v>685.8</v>
      </c>
      <c r="P1188" s="14">
        <f>IF(ISNUMBER(K1188),K1188-O1188,"n.a.")</f>
        <v/>
      </c>
    </row>
    <row r="1189" ht="32" customHeight="1">
      <c r="C1189" s="10" t="inlineStr">
        <is>
          <t>PRJ-40723643-RK-15</t>
        </is>
      </c>
      <c r="D1189" s="10" t="inlineStr">
        <is>
          <t>W4102154964</t>
        </is>
      </c>
      <c r="E1189" s="11" t="inlineStr">
        <is>
          <t>Konjunktur / Sekundärstoffpreise &amp; Gerätemiete</t>
        </is>
      </c>
      <c r="F1189" s="10" t="inlineStr">
        <is>
          <t>Markt</t>
        </is>
      </c>
      <c r="G1189" s="12" t="n">
        <v>0.12</v>
      </c>
      <c r="H1189" s="13" t="n">
        <v>69</v>
      </c>
      <c r="I1189" s="13" t="n">
        <v>174</v>
      </c>
      <c r="J1189" s="13" t="n">
        <v>434</v>
      </c>
      <c r="K1189" s="14">
        <f>IF(OR(COUNT(G1189:J1189)&lt;&gt;4,G1189&lt;0,G1189&gt;1,H1189&gt;I1189,I1189&gt;J1189),"n.a.",ROUND(G1189*(H1189+4*I1189+J1189)/6+0.00000001,2))</f>
        <v/>
      </c>
      <c r="L1189" s="13" t="n">
        <v>0</v>
      </c>
      <c r="M1189" s="14">
        <f>SUMIFS(Maßnahmen!$I$7:$I$126,Maßnahmen!$D$7:$D$126,C1189,Maßnahmen!$H$7:$H$126,"&lt;&gt;verworfen")</f>
        <v/>
      </c>
      <c r="N1189" s="14">
        <f>IF(ISNUMBER(K1189),MAX(0,K1189-L1189-M1189),"n.a.")</f>
        <v/>
      </c>
      <c r="O1189" s="14" t="n">
        <v>23.98</v>
      </c>
      <c r="P1189" s="14">
        <f>IF(ISNUMBER(K1189),K1189-O1189,"n.a.")</f>
        <v/>
      </c>
    </row>
    <row r="1190" ht="32" customHeight="1">
      <c r="C1190" s="10" t="inlineStr">
        <is>
          <t>PRJ-4f8e9412-RK-01</t>
        </is>
      </c>
      <c r="D1190" s="10" t="inlineStr">
        <is>
          <t>P4102307416</t>
        </is>
      </c>
      <c r="E1190" s="11" t="inlineStr">
        <is>
          <t>Schadstofffund / Schadstoffsanierung (Asbest, PAK, PCB, PCP)</t>
        </is>
      </c>
      <c r="F1190" s="10" t="inlineStr">
        <is>
          <t>Schadstoffe</t>
        </is>
      </c>
      <c r="G1190" s="12" t="n">
        <v>0.7</v>
      </c>
      <c r="H1190" s="13" t="n">
        <v>1750</v>
      </c>
      <c r="I1190" s="13" t="n">
        <v>2250</v>
      </c>
      <c r="J1190" s="13" t="n">
        <v>3250</v>
      </c>
      <c r="K1190" s="14">
        <f>IF(OR(COUNT(G1190:J1190)&lt;&gt;4,G1190&lt;0,G1190&gt;1,H1190&gt;I1190,I1190&gt;J1190),"n.a.",ROUND(G1190*(H1190+4*I1190+J1190)/6+0.00000001,2))</f>
        <v/>
      </c>
      <c r="L1190" s="13" t="n">
        <v>0</v>
      </c>
      <c r="M1190" s="14">
        <f>SUMIFS(Maßnahmen!$I$7:$I$126,Maßnahmen!$D$7:$D$126,C1190,Maßnahmen!$H$7:$H$126,"&lt;&gt;verworfen")</f>
        <v/>
      </c>
      <c r="N1190" s="14">
        <f>IF(ISNUMBER(K1190),MAX(0,K1190-L1190-M1190),"n.a.")</f>
        <v/>
      </c>
      <c r="O1190" s="14" t="n">
        <v>1633.33</v>
      </c>
      <c r="P1190" s="14">
        <f>IF(ISNUMBER(K1190),K1190-O1190,"n.a.")</f>
        <v/>
      </c>
    </row>
    <row r="1191" ht="32" customHeight="1">
      <c r="C1191" s="10" t="inlineStr">
        <is>
          <t>PRJ-4f8e9412-RK-02</t>
        </is>
      </c>
      <c r="D1191" s="10" t="inlineStr">
        <is>
          <t>P4102307416</t>
        </is>
      </c>
      <c r="E1191" s="11" t="inlineStr">
        <is>
          <t>Arbeitsschutz kontaminierte Bereiche (TRGS 524)</t>
        </is>
      </c>
      <c r="F1191" s="10" t="inlineStr">
        <is>
          <t>Schadstoffe</t>
        </is>
      </c>
      <c r="G1191" s="12" t="n">
        <v>0.47</v>
      </c>
      <c r="H1191" s="13" t="n">
        <v>100</v>
      </c>
      <c r="I1191" s="13" t="n">
        <v>250</v>
      </c>
      <c r="J1191" s="13" t="n">
        <v>500</v>
      </c>
      <c r="K1191" s="14">
        <f>IF(OR(COUNT(G1191:J1191)&lt;&gt;4,G1191&lt;0,G1191&gt;1,H1191&gt;I1191,I1191&gt;J1191),"n.a.",ROUND(G1191*(H1191+4*I1191+J1191)/6+0.00000001,2))</f>
        <v/>
      </c>
      <c r="L1191" s="13" t="n">
        <v>0</v>
      </c>
      <c r="M1191" s="14">
        <f>SUMIFS(Maßnahmen!$I$7:$I$126,Maßnahmen!$D$7:$D$126,C1191,Maßnahmen!$H$7:$H$126,"&lt;&gt;verworfen")</f>
        <v/>
      </c>
      <c r="N1191" s="14">
        <f>IF(ISNUMBER(K1191),MAX(0,K1191-L1191-M1191),"n.a.")</f>
        <v/>
      </c>
      <c r="O1191" s="14" t="n">
        <v>125.33</v>
      </c>
      <c r="P1191" s="14">
        <f>IF(ISNUMBER(K1191),K1191-O1191,"n.a.")</f>
        <v/>
      </c>
    </row>
    <row r="1192" ht="32" customHeight="1">
      <c r="C1192" s="10" t="inlineStr">
        <is>
          <t>PRJ-4f8e9412-RK-03</t>
        </is>
      </c>
      <c r="D1192" s="10" t="inlineStr">
        <is>
          <t>P4102307416</t>
        </is>
      </c>
      <c r="E1192" s="11" t="inlineStr">
        <is>
          <t>Entsorgungs-Mehrkosten / Entsorgungswege</t>
        </is>
      </c>
      <c r="F1192" s="10" t="inlineStr">
        <is>
          <t>Entsorgung</t>
        </is>
      </c>
      <c r="G1192" s="12" t="n">
        <v>0.27</v>
      </c>
      <c r="H1192" s="13" t="n">
        <v>100</v>
      </c>
      <c r="I1192" s="13" t="n">
        <v>250</v>
      </c>
      <c r="J1192" s="13" t="n">
        <v>500</v>
      </c>
      <c r="K1192" s="14">
        <f>IF(OR(COUNT(G1192:J1192)&lt;&gt;4,G1192&lt;0,G1192&gt;1,H1192&gt;I1192,I1192&gt;J1192),"n.a.",ROUND(G1192*(H1192+4*I1192+J1192)/6+0.00000001,2))</f>
        <v/>
      </c>
      <c r="L1192" s="13" t="n">
        <v>0</v>
      </c>
      <c r="M1192" s="14">
        <f>SUMIFS(Maßnahmen!$I$7:$I$126,Maßnahmen!$D$7:$D$126,C1192,Maßnahmen!$H$7:$H$126,"&lt;&gt;verworfen")</f>
        <v/>
      </c>
      <c r="N1192" s="14">
        <f>IF(ISNUMBER(K1192),MAX(0,K1192-L1192-M1192),"n.a.")</f>
        <v/>
      </c>
      <c r="O1192" s="14" t="n">
        <v>72</v>
      </c>
      <c r="P1192" s="14">
        <f>IF(ISNUMBER(K1192),K1192-O1192,"n.a.")</f>
        <v/>
      </c>
    </row>
    <row r="1193" ht="32" customHeight="1">
      <c r="C1193" s="10" t="inlineStr">
        <is>
          <t>PRJ-4f8e9412-RK-04</t>
        </is>
      </c>
      <c r="D1193" s="10" t="inlineStr">
        <is>
          <t>P4102307416</t>
        </is>
      </c>
      <c r="E1193" s="11" t="inlineStr">
        <is>
          <t>Baustofftrennung / Aufbereitung nicht wie geplant</t>
        </is>
      </c>
      <c r="F1193" s="10" t="inlineStr">
        <is>
          <t>Entsorgung</t>
        </is>
      </c>
      <c r="G1193" s="12" t="n">
        <v>0.1</v>
      </c>
      <c r="H1193" s="13" t="n">
        <v>100</v>
      </c>
      <c r="I1193" s="13" t="n">
        <v>250</v>
      </c>
      <c r="J1193" s="13" t="n">
        <v>500</v>
      </c>
      <c r="K1193" s="14">
        <f>IF(OR(COUNT(G1193:J1193)&lt;&gt;4,G1193&lt;0,G1193&gt;1,H1193&gt;I1193,I1193&gt;J1193),"n.a.",ROUND(G1193*(H1193+4*I1193+J1193)/6+0.00000001,2))</f>
        <v/>
      </c>
      <c r="L1193" s="13" t="n">
        <v>0</v>
      </c>
      <c r="M1193" s="14">
        <f>SUMIFS(Maßnahmen!$I$7:$I$126,Maßnahmen!$D$7:$D$126,C1193,Maßnahmen!$H$7:$H$126,"&lt;&gt;verworfen")</f>
        <v/>
      </c>
      <c r="N1193" s="14">
        <f>IF(ISNUMBER(K1193),MAX(0,K1193-L1193-M1193),"n.a.")</f>
        <v/>
      </c>
      <c r="O1193" s="14" t="n">
        <v>26.67</v>
      </c>
      <c r="P1193" s="14">
        <f>IF(ISNUMBER(K1193),K1193-O1193,"n.a.")</f>
        <v/>
      </c>
    </row>
    <row r="1194" ht="32" customHeight="1">
      <c r="C1194" s="10" t="inlineStr">
        <is>
          <t>PRJ-4f8e9412-RK-05</t>
        </is>
      </c>
      <c r="D1194" s="10" t="inlineStr">
        <is>
          <t>P4102307416</t>
        </is>
      </c>
      <c r="E1194" s="11" t="inlineStr">
        <is>
          <t>Unbekannte Bauwerkskonstruktion / fehlende Pläne</t>
        </is>
      </c>
      <c r="F1194" s="10" t="inlineStr">
        <is>
          <t>Statik</t>
        </is>
      </c>
      <c r="G1194" s="12" t="n">
        <v>0.12</v>
      </c>
      <c r="H1194" s="13" t="n">
        <v>200</v>
      </c>
      <c r="I1194" s="13" t="n">
        <v>400</v>
      </c>
      <c r="J1194" s="13" t="n">
        <v>750</v>
      </c>
      <c r="K1194" s="14">
        <f>IF(OR(COUNT(G1194:J1194)&lt;&gt;4,G1194&lt;0,G1194&gt;1,H1194&gt;I1194,I1194&gt;J1194),"n.a.",ROUND(G1194*(H1194+4*I1194+J1194)/6+0.00000001,2))</f>
        <v/>
      </c>
      <c r="L1194" s="13" t="n">
        <v>0</v>
      </c>
      <c r="M1194" s="14">
        <f>SUMIFS(Maßnahmen!$I$7:$I$126,Maßnahmen!$D$7:$D$126,C1194,Maßnahmen!$H$7:$H$126,"&lt;&gt;verworfen")</f>
        <v/>
      </c>
      <c r="N1194" s="14">
        <f>IF(ISNUMBER(K1194),MAX(0,K1194-L1194-M1194),"n.a.")</f>
        <v/>
      </c>
      <c r="O1194" s="14" t="n">
        <v>51</v>
      </c>
      <c r="P1194" s="14">
        <f>IF(ISNUMBER(K1194),K1194-O1194,"n.a.")</f>
        <v/>
      </c>
    </row>
    <row r="1195" ht="32" customHeight="1">
      <c r="C1195" s="10" t="inlineStr">
        <is>
          <t>PRJ-4f8e9412-RK-06</t>
        </is>
      </c>
      <c r="D1195" s="10" t="inlineStr">
        <is>
          <t>P4102307416</t>
        </is>
      </c>
      <c r="E1195" s="11" t="inlineStr">
        <is>
          <t>Statik / Einsturzsicherung während Abbruch</t>
        </is>
      </c>
      <c r="F1195" s="10" t="inlineStr">
        <is>
          <t>Statik</t>
        </is>
      </c>
      <c r="G1195" s="12" t="n">
        <v>0.24</v>
      </c>
      <c r="H1195" s="13" t="n">
        <v>150</v>
      </c>
      <c r="I1195" s="13" t="n">
        <v>350</v>
      </c>
      <c r="J1195" s="13" t="n">
        <v>700</v>
      </c>
      <c r="K1195" s="14">
        <f>IF(OR(COUNT(G1195:J1195)&lt;&gt;4,G1195&lt;0,G1195&gt;1,H1195&gt;I1195,I1195&gt;J1195),"n.a.",ROUND(G1195*(H1195+4*I1195+J1195)/6+0.00000001,2))</f>
        <v/>
      </c>
      <c r="L1195" s="13" t="n">
        <v>0</v>
      </c>
      <c r="M1195" s="14">
        <f>SUMIFS(Maßnahmen!$I$7:$I$126,Maßnahmen!$D$7:$D$126,C1195,Maßnahmen!$H$7:$H$126,"&lt;&gt;verworfen")</f>
        <v/>
      </c>
      <c r="N1195" s="14">
        <f>IF(ISNUMBER(K1195),MAX(0,K1195-L1195-M1195),"n.a.")</f>
        <v/>
      </c>
      <c r="O1195" s="14" t="n">
        <v>90</v>
      </c>
      <c r="P1195" s="14">
        <f>IF(ISNUMBER(K1195),K1195-O1195,"n.a.")</f>
        <v/>
      </c>
    </row>
    <row r="1196" ht="32" customHeight="1">
      <c r="C1196" s="10" t="inlineStr">
        <is>
          <t>PRJ-4f8e9412-RK-07</t>
        </is>
      </c>
      <c r="D1196" s="10" t="inlineStr">
        <is>
          <t>P4102307416</t>
        </is>
      </c>
      <c r="E1196" s="11" t="inlineStr">
        <is>
          <t>Unterirdische Tragkonstruktion / Fundamente</t>
        </is>
      </c>
      <c r="F1196" s="10" t="inlineStr">
        <is>
          <t>Statik</t>
        </is>
      </c>
      <c r="G1196" s="12" t="n">
        <v>0.4</v>
      </c>
      <c r="H1196" s="13" t="n">
        <v>25</v>
      </c>
      <c r="I1196" s="13" t="n">
        <v>100</v>
      </c>
      <c r="J1196" s="13" t="n">
        <v>250</v>
      </c>
      <c r="K1196" s="14">
        <f>IF(OR(COUNT(G1196:J1196)&lt;&gt;4,G1196&lt;0,G1196&gt;1,H1196&gt;I1196,I1196&gt;J1196),"n.a.",ROUND(G1196*(H1196+4*I1196+J1196)/6+0.00000001,2))</f>
        <v/>
      </c>
      <c r="L1196" s="13" t="n">
        <v>0</v>
      </c>
      <c r="M1196" s="14">
        <f>SUMIFS(Maßnahmen!$I$7:$I$126,Maßnahmen!$D$7:$D$126,C1196,Maßnahmen!$H$7:$H$126,"&lt;&gt;verworfen")</f>
        <v/>
      </c>
      <c r="N1196" s="14">
        <f>IF(ISNUMBER(K1196),MAX(0,K1196-L1196-M1196),"n.a.")</f>
        <v/>
      </c>
      <c r="O1196" s="14" t="n">
        <v>45</v>
      </c>
      <c r="P1196" s="14">
        <f>IF(ISNUMBER(K1196),K1196-O1196,"n.a.")</f>
        <v/>
      </c>
    </row>
    <row r="1197" ht="32" customHeight="1">
      <c r="C1197" s="10" t="inlineStr">
        <is>
          <t>PRJ-4f8e9412-RK-08</t>
        </is>
      </c>
      <c r="D1197" s="10" t="inlineStr">
        <is>
          <t>P4102307416</t>
        </is>
      </c>
      <c r="E1197" s="11" t="inlineStr">
        <is>
          <t>Gebäudehöhe &gt;22 m / Longfront-Bagger (+130–150 %)</t>
        </is>
      </c>
      <c r="F1197" s="10" t="inlineStr">
        <is>
          <t>Termin</t>
        </is>
      </c>
      <c r="G1197" s="12" t="n">
        <v>0.6</v>
      </c>
      <c r="H1197" s="13" t="n">
        <v>450</v>
      </c>
      <c r="I1197" s="13" t="n">
        <v>900</v>
      </c>
      <c r="J1197" s="13" t="n">
        <v>1700</v>
      </c>
      <c r="K1197" s="14">
        <f>IF(OR(COUNT(G1197:J1197)&lt;&gt;4,G1197&lt;0,G1197&gt;1,H1197&gt;I1197,I1197&gt;J1197),"n.a.",ROUND(G1197*(H1197+4*I1197+J1197)/6+0.00000001,2))</f>
        <v/>
      </c>
      <c r="L1197" s="13" t="n">
        <v>0</v>
      </c>
      <c r="M1197" s="14">
        <f>SUMIFS(Maßnahmen!$I$7:$I$126,Maßnahmen!$D$7:$D$126,C1197,Maßnahmen!$H$7:$H$126,"&lt;&gt;verworfen")</f>
        <v/>
      </c>
      <c r="N1197" s="14">
        <f>IF(ISNUMBER(K1197),MAX(0,K1197-L1197-M1197),"n.a.")</f>
        <v/>
      </c>
      <c r="O1197" s="14" t="n">
        <v>575</v>
      </c>
      <c r="P1197" s="14">
        <f>IF(ISNUMBER(K1197),K1197-O1197,"n.a.")</f>
        <v/>
      </c>
    </row>
    <row r="1198" ht="32" customHeight="1">
      <c r="C1198" s="10" t="inlineStr">
        <is>
          <t>PRJ-4f8e9412-RK-09</t>
        </is>
      </c>
      <c r="D1198" s="10" t="inlineStr">
        <is>
          <t>P4102307416</t>
        </is>
      </c>
      <c r="E1198" s="11" t="inlineStr">
        <is>
          <t>Beennte Lage / nur Handabbruch möglich</t>
        </is>
      </c>
      <c r="F1198" s="10" t="inlineStr">
        <is>
          <t>Termin</t>
        </is>
      </c>
      <c r="G1198" s="12" t="n">
        <v>0.15</v>
      </c>
      <c r="H1198" s="13" t="n">
        <v>40</v>
      </c>
      <c r="I1198" s="13" t="n">
        <v>100</v>
      </c>
      <c r="J1198" s="13" t="n">
        <v>250</v>
      </c>
      <c r="K1198" s="14">
        <f>IF(OR(COUNT(G1198:J1198)&lt;&gt;4,G1198&lt;0,G1198&gt;1,H1198&gt;I1198,I1198&gt;J1198),"n.a.",ROUND(G1198*(H1198+4*I1198+J1198)/6+0.00000001,2))</f>
        <v/>
      </c>
      <c r="L1198" s="13" t="n">
        <v>0</v>
      </c>
      <c r="M1198" s="14">
        <f>SUMIFS(Maßnahmen!$I$7:$I$126,Maßnahmen!$D$7:$D$126,C1198,Maßnahmen!$H$7:$H$126,"&lt;&gt;verworfen")</f>
        <v/>
      </c>
      <c r="N1198" s="14">
        <f>IF(ISNUMBER(K1198),MAX(0,K1198-L1198-M1198),"n.a.")</f>
        <v/>
      </c>
      <c r="O1198" s="14" t="n">
        <v>17.25</v>
      </c>
      <c r="P1198" s="14">
        <f>IF(ISNUMBER(K1198),K1198-O1198,"n.a.")</f>
        <v/>
      </c>
    </row>
    <row r="1199" ht="32" customHeight="1">
      <c r="C1199" s="10" t="inlineStr">
        <is>
          <t>PRJ-4f8e9412-RK-10</t>
        </is>
      </c>
      <c r="D1199" s="10" t="inlineStr">
        <is>
          <t>P4102307416</t>
        </is>
      </c>
      <c r="E1199" s="11" t="inlineStr">
        <is>
          <t>Terminvorgabe Auftraggeber / Geräteauslastung</t>
        </is>
      </c>
      <c r="F1199" s="10" t="inlineStr">
        <is>
          <t>Termin</t>
        </is>
      </c>
      <c r="G1199" s="12" t="n">
        <v>0.2</v>
      </c>
      <c r="H1199" s="13" t="n">
        <v>40</v>
      </c>
      <c r="I1199" s="13" t="n">
        <v>100</v>
      </c>
      <c r="J1199" s="13" t="n">
        <v>250</v>
      </c>
      <c r="K1199" s="14">
        <f>IF(OR(COUNT(G1199:J1199)&lt;&gt;4,G1199&lt;0,G1199&gt;1,H1199&gt;I1199,I1199&gt;J1199),"n.a.",ROUND(G1199*(H1199+4*I1199+J1199)/6+0.00000001,2))</f>
        <v/>
      </c>
      <c r="L1199" s="13" t="n">
        <v>0</v>
      </c>
      <c r="M1199" s="14">
        <f>SUMIFS(Maßnahmen!$I$7:$I$126,Maßnahmen!$D$7:$D$126,C1199,Maßnahmen!$H$7:$H$126,"&lt;&gt;verworfen")</f>
        <v/>
      </c>
      <c r="N1199" s="14">
        <f>IF(ISNUMBER(K1199),MAX(0,K1199-L1199-M1199),"n.a.")</f>
        <v/>
      </c>
      <c r="O1199" s="14" t="n">
        <v>23</v>
      </c>
      <c r="P1199" s="14">
        <f>IF(ISNUMBER(K1199),K1199-O1199,"n.a.")</f>
        <v/>
      </c>
    </row>
    <row r="1200" ht="32" customHeight="1">
      <c r="C1200" s="10" t="inlineStr">
        <is>
          <t>PRJ-4f8e9412-RK-11</t>
        </is>
      </c>
      <c r="D1200" s="10" t="inlineStr">
        <is>
          <t>P4102307416</t>
        </is>
      </c>
      <c r="E1200" s="11" t="inlineStr">
        <is>
          <t>Witterung / Ablaufstörung</t>
        </is>
      </c>
      <c r="F1200" s="10" t="inlineStr">
        <is>
          <t>Termin</t>
        </is>
      </c>
      <c r="G1200" s="12" t="n">
        <v>0.25</v>
      </c>
      <c r="H1200" s="13" t="n">
        <v>50</v>
      </c>
      <c r="I1200" s="13" t="n">
        <v>150</v>
      </c>
      <c r="J1200" s="13" t="n">
        <v>300</v>
      </c>
      <c r="K1200" s="14">
        <f>IF(OR(COUNT(G1200:J1200)&lt;&gt;4,G1200&lt;0,G1200&gt;1,H1200&gt;I1200,I1200&gt;J1200),"n.a.",ROUND(G1200*(H1200+4*I1200+J1200)/6+0.00000001,2))</f>
        <v/>
      </c>
      <c r="L1200" s="13" t="n">
        <v>0</v>
      </c>
      <c r="M1200" s="14">
        <f>SUMIFS(Maßnahmen!$I$7:$I$126,Maßnahmen!$D$7:$D$126,C1200,Maßnahmen!$H$7:$H$126,"&lt;&gt;verworfen")</f>
        <v/>
      </c>
      <c r="N1200" s="14">
        <f>IF(ISNUMBER(K1200),MAX(0,K1200-L1200-M1200),"n.a.")</f>
        <v/>
      </c>
      <c r="O1200" s="14" t="n">
        <v>39.58</v>
      </c>
      <c r="P1200" s="14">
        <f>IF(ISNUMBER(K1200),K1200-O1200,"n.a.")</f>
        <v/>
      </c>
    </row>
    <row r="1201" ht="32" customHeight="1">
      <c r="C1201" s="10" t="inlineStr">
        <is>
          <t>PRJ-4f8e9412-RK-12</t>
        </is>
      </c>
      <c r="D1201" s="10" t="inlineStr">
        <is>
          <t>P4102307416</t>
        </is>
      </c>
      <c r="E1201" s="11" t="inlineStr">
        <is>
          <t>Staubemissionen (höchster Aufwand laut Umfrage)</t>
        </is>
      </c>
      <c r="F1201" s="10" t="inlineStr">
        <is>
          <t>Emissionen</t>
        </is>
      </c>
      <c r="G1201" s="12" t="n">
        <v>0.1</v>
      </c>
      <c r="H1201" s="13" t="n">
        <v>150</v>
      </c>
      <c r="I1201" s="13" t="n">
        <v>300</v>
      </c>
      <c r="J1201" s="13" t="n">
        <v>600</v>
      </c>
      <c r="K1201" s="14">
        <f>IF(OR(COUNT(G1201:J1201)&lt;&gt;4,G1201&lt;0,G1201&gt;1,H1201&gt;I1201,I1201&gt;J1201),"n.a.",ROUND(G1201*(H1201+4*I1201+J1201)/6+0.00000001,2))</f>
        <v/>
      </c>
      <c r="L1201" s="13" t="n">
        <v>0</v>
      </c>
      <c r="M1201" s="14">
        <f>SUMIFS(Maßnahmen!$I$7:$I$126,Maßnahmen!$D$7:$D$126,C1201,Maßnahmen!$H$7:$H$126,"&lt;&gt;verworfen")</f>
        <v/>
      </c>
      <c r="N1201" s="14">
        <f>IF(ISNUMBER(K1201),MAX(0,K1201-L1201-M1201),"n.a.")</f>
        <v/>
      </c>
      <c r="O1201" s="14" t="n">
        <v>32.5</v>
      </c>
      <c r="P1201" s="14">
        <f>IF(ISNUMBER(K1201),K1201-O1201,"n.a.")</f>
        <v/>
      </c>
    </row>
    <row r="1202" ht="32" customHeight="1">
      <c r="C1202" s="10" t="inlineStr">
        <is>
          <t>PRJ-4f8e9412-RK-13</t>
        </is>
      </c>
      <c r="D1202" s="10" t="inlineStr">
        <is>
          <t>P4102307416</t>
        </is>
      </c>
      <c r="E1202" s="11" t="inlineStr">
        <is>
          <t>Lärm- und Erschütterungsauflagen</t>
        </is>
      </c>
      <c r="F1202" s="10" t="inlineStr">
        <is>
          <t>Emissionen</t>
        </is>
      </c>
      <c r="G1202" s="12" t="n">
        <v>0.2</v>
      </c>
      <c r="H1202" s="13" t="n">
        <v>100</v>
      </c>
      <c r="I1202" s="13" t="n">
        <v>250</v>
      </c>
      <c r="J1202" s="13" t="n">
        <v>500</v>
      </c>
      <c r="K1202" s="14">
        <f>IF(OR(COUNT(G1202:J1202)&lt;&gt;4,G1202&lt;0,G1202&gt;1,H1202&gt;I1202,I1202&gt;J1202),"n.a.",ROUND(G1202*(H1202+4*I1202+J1202)/6+0.00000001,2))</f>
        <v/>
      </c>
      <c r="L1202" s="13" t="n">
        <v>0</v>
      </c>
      <c r="M1202" s="14">
        <f>SUMIFS(Maßnahmen!$I$7:$I$126,Maßnahmen!$D$7:$D$126,C1202,Maßnahmen!$H$7:$H$126,"&lt;&gt;verworfen")</f>
        <v/>
      </c>
      <c r="N1202" s="14">
        <f>IF(ISNUMBER(K1202),MAX(0,K1202-L1202-M1202),"n.a.")</f>
        <v/>
      </c>
      <c r="O1202" s="14" t="n">
        <v>53.33</v>
      </c>
      <c r="P1202" s="14">
        <f>IF(ISNUMBER(K1202),K1202-O1202,"n.a.")</f>
        <v/>
      </c>
    </row>
    <row r="1203" ht="32" customHeight="1">
      <c r="C1203" s="10" t="inlineStr">
        <is>
          <t>PRJ-4f8e9412-RK-14</t>
        </is>
      </c>
      <c r="D1203" s="10" t="inlineStr">
        <is>
          <t>P4102307416</t>
        </is>
      </c>
      <c r="E1203" s="11" t="inlineStr">
        <is>
          <t>Rechtliche Auflagen / Entsorgungsnachweise (Formalismus)</t>
        </is>
      </c>
      <c r="F1203" s="10" t="inlineStr">
        <is>
          <t>Genehmigung</t>
        </is>
      </c>
      <c r="G1203" s="12" t="n">
        <v>0.4</v>
      </c>
      <c r="H1203" s="13" t="n">
        <v>475</v>
      </c>
      <c r="I1203" s="13" t="n">
        <v>925</v>
      </c>
      <c r="J1203" s="13" t="n">
        <v>1750</v>
      </c>
      <c r="K1203" s="14">
        <f>IF(OR(COUNT(G1203:J1203)&lt;&gt;4,G1203&lt;0,G1203&gt;1,H1203&gt;I1203,I1203&gt;J1203),"n.a.",ROUND(G1203*(H1203+4*I1203+J1203)/6+0.00000001,2))</f>
        <v/>
      </c>
      <c r="L1203" s="13" t="n">
        <v>0</v>
      </c>
      <c r="M1203" s="14">
        <f>SUMIFS(Maßnahmen!$I$7:$I$126,Maßnahmen!$D$7:$D$126,C1203,Maßnahmen!$H$7:$H$126,"&lt;&gt;verworfen")</f>
        <v/>
      </c>
      <c r="N1203" s="14">
        <f>IF(ISNUMBER(K1203),MAX(0,K1203-L1203-M1203),"n.a.")</f>
        <v/>
      </c>
      <c r="O1203" s="14" t="n">
        <v>395</v>
      </c>
      <c r="P1203" s="14">
        <f>IF(ISNUMBER(K1203),K1203-O1203,"n.a.")</f>
        <v/>
      </c>
    </row>
    <row r="1204" ht="32" customHeight="1">
      <c r="C1204" s="10" t="inlineStr">
        <is>
          <t>PRJ-4f8e9412-RK-15</t>
        </is>
      </c>
      <c r="D1204" s="10" t="inlineStr">
        <is>
          <t>P4102307416</t>
        </is>
      </c>
      <c r="E1204" s="11" t="inlineStr">
        <is>
          <t>Konjunktur / Sekundärstoffpreise &amp; Gerätemiete</t>
        </is>
      </c>
      <c r="F1204" s="10" t="inlineStr">
        <is>
          <t>Markt</t>
        </is>
      </c>
      <c r="G1204" s="12" t="n">
        <v>0.12</v>
      </c>
      <c r="H1204" s="13" t="n">
        <v>40</v>
      </c>
      <c r="I1204" s="13" t="n">
        <v>100</v>
      </c>
      <c r="J1204" s="13" t="n">
        <v>250</v>
      </c>
      <c r="K1204" s="14">
        <f>IF(OR(COUNT(G1204:J1204)&lt;&gt;4,G1204&lt;0,G1204&gt;1,H1204&gt;I1204,I1204&gt;J1204),"n.a.",ROUND(G1204*(H1204+4*I1204+J1204)/6+0.00000001,2))</f>
        <v/>
      </c>
      <c r="L1204" s="13" t="n">
        <v>0</v>
      </c>
      <c r="M1204" s="14">
        <f>SUMIFS(Maßnahmen!$I$7:$I$126,Maßnahmen!$D$7:$D$126,C1204,Maßnahmen!$H$7:$H$126,"&lt;&gt;verworfen")</f>
        <v/>
      </c>
      <c r="N1204" s="14">
        <f>IF(ISNUMBER(K1204),MAX(0,K1204-L1204-M1204),"n.a.")</f>
        <v/>
      </c>
      <c r="O1204" s="14" t="n">
        <v>13.8</v>
      </c>
      <c r="P1204" s="14">
        <f>IF(ISNUMBER(K1204),K1204-O1204,"n.a.")</f>
        <v/>
      </c>
    </row>
    <row r="1205" ht="32" customHeight="1">
      <c r="C1205" s="10" t="inlineStr">
        <is>
          <t>PRJ-39e54949-RK-01</t>
        </is>
      </c>
      <c r="D1205" s="10" t="inlineStr">
        <is>
          <t>W4102504967</t>
        </is>
      </c>
      <c r="E1205" s="11" t="inlineStr">
        <is>
          <t>Schadstofffund / Schadstoffsanierung (Asbest, PAK, PCB, PCP)</t>
        </is>
      </c>
      <c r="F1205" s="10" t="inlineStr">
        <is>
          <t>Schadstoffe</t>
        </is>
      </c>
      <c r="G1205" s="12" t="n">
        <v>0.1</v>
      </c>
      <c r="H1205" s="13" t="n">
        <v>20</v>
      </c>
      <c r="I1205" s="13" t="n">
        <v>50</v>
      </c>
      <c r="J1205" s="13" t="n">
        <v>100</v>
      </c>
      <c r="K1205" s="14">
        <f>IF(OR(COUNT(G1205:J1205)&lt;&gt;4,G1205&lt;0,G1205&gt;1,H1205&gt;I1205,I1205&gt;J1205),"n.a.",ROUND(G1205*(H1205+4*I1205+J1205)/6+0.00000001,2))</f>
        <v/>
      </c>
      <c r="L1205" s="13" t="n">
        <v>0</v>
      </c>
      <c r="M1205" s="14">
        <f>SUMIFS(Maßnahmen!$I$7:$I$126,Maßnahmen!$D$7:$D$126,C1205,Maßnahmen!$H$7:$H$126,"&lt;&gt;verworfen")</f>
        <v/>
      </c>
      <c r="N1205" s="14">
        <f>IF(ISNUMBER(K1205),MAX(0,K1205-L1205-M1205),"n.a.")</f>
        <v/>
      </c>
      <c r="O1205" s="14" t="n">
        <v>5.33</v>
      </c>
      <c r="P1205" s="14">
        <f>IF(ISNUMBER(K1205),K1205-O1205,"n.a.")</f>
        <v/>
      </c>
    </row>
    <row r="1206" ht="32" customHeight="1">
      <c r="C1206" s="10" t="inlineStr">
        <is>
          <t>PRJ-39e54949-RK-02</t>
        </is>
      </c>
      <c r="D1206" s="10" t="inlineStr">
        <is>
          <t>W4102504967</t>
        </is>
      </c>
      <c r="E1206" s="11" t="inlineStr">
        <is>
          <t>Arbeitsschutz kontaminierte Bereiche (TRGS 524)</t>
        </is>
      </c>
      <c r="F1206" s="10" t="inlineStr">
        <is>
          <t>Schadstoffe</t>
        </is>
      </c>
      <c r="G1206" s="12" t="n">
        <v>0.47</v>
      </c>
      <c r="H1206" s="13" t="n">
        <v>20</v>
      </c>
      <c r="I1206" s="13" t="n">
        <v>50</v>
      </c>
      <c r="J1206" s="13" t="n">
        <v>100</v>
      </c>
      <c r="K1206" s="14">
        <f>IF(OR(COUNT(G1206:J1206)&lt;&gt;4,G1206&lt;0,G1206&gt;1,H1206&gt;I1206,I1206&gt;J1206),"n.a.",ROUND(G1206*(H1206+4*I1206+J1206)/6+0.00000001,2))</f>
        <v/>
      </c>
      <c r="L1206" s="13" t="n">
        <v>0</v>
      </c>
      <c r="M1206" s="14">
        <f>SUMIFS(Maßnahmen!$I$7:$I$126,Maßnahmen!$D$7:$D$126,C1206,Maßnahmen!$H$7:$H$126,"&lt;&gt;verworfen")</f>
        <v/>
      </c>
      <c r="N1206" s="14">
        <f>IF(ISNUMBER(K1206),MAX(0,K1206-L1206-M1206),"n.a.")</f>
        <v/>
      </c>
      <c r="O1206" s="14" t="n">
        <v>25.07</v>
      </c>
      <c r="P1206" s="14">
        <f>IF(ISNUMBER(K1206),K1206-O1206,"n.a.")</f>
        <v/>
      </c>
    </row>
    <row r="1207" ht="32" customHeight="1">
      <c r="C1207" s="10" t="inlineStr">
        <is>
          <t>PRJ-4a29275d-RK-13</t>
        </is>
      </c>
      <c r="D1207" s="10" t="inlineStr">
        <is>
          <t>P4102658250</t>
        </is>
      </c>
      <c r="E1207" s="11" t="inlineStr">
        <is>
          <t>Lärm- und Erschütterungsauflagen</t>
        </is>
      </c>
      <c r="F1207" s="10" t="inlineStr">
        <is>
          <t>Emissionen</t>
        </is>
      </c>
      <c r="G1207" s="12" t="n">
        <v>0.2</v>
      </c>
      <c r="H1207" s="13" t="n">
        <v>20</v>
      </c>
      <c r="I1207" s="13" t="n">
        <v>50</v>
      </c>
      <c r="J1207" s="13" t="n">
        <v>100</v>
      </c>
      <c r="K1207" s="14">
        <f>IF(OR(COUNT(G1207:J1207)&lt;&gt;4,G1207&lt;0,G1207&gt;1,H1207&gt;I1207,I1207&gt;J1207),"n.a.",ROUND(G1207*(H1207+4*I1207+J1207)/6+0.00000001,2))</f>
        <v/>
      </c>
      <c r="L1207" s="13" t="n">
        <v>0</v>
      </c>
      <c r="M1207" s="14">
        <f>SUMIFS(Maßnahmen!$I$7:$I$126,Maßnahmen!$D$7:$D$126,C1207,Maßnahmen!$H$7:$H$126,"&lt;&gt;verworfen")</f>
        <v/>
      </c>
      <c r="N1207" s="14">
        <f>IF(ISNUMBER(K1207),MAX(0,K1207-L1207-M1207),"n.a.")</f>
        <v/>
      </c>
      <c r="O1207" s="14" t="n">
        <v>10.67</v>
      </c>
      <c r="P1207" s="14">
        <f>IF(ISNUMBER(K1207),K1207-O1207,"n.a.")</f>
        <v/>
      </c>
    </row>
    <row r="1208" ht="32" customHeight="1">
      <c r="C1208" s="10" t="inlineStr">
        <is>
          <t>PRJ-4a29275d-RK-15</t>
        </is>
      </c>
      <c r="D1208" s="10" t="inlineStr">
        <is>
          <t>P4102658250</t>
        </is>
      </c>
      <c r="E1208" s="11" t="inlineStr">
        <is>
          <t>Konjunktur / Sekundärstoffpreise &amp; Gerätemiete</t>
        </is>
      </c>
      <c r="F1208" s="10" t="inlineStr">
        <is>
          <t>Markt</t>
        </is>
      </c>
      <c r="G1208" s="12" t="n">
        <v>0.2</v>
      </c>
      <c r="H1208" s="13" t="n">
        <v>8</v>
      </c>
      <c r="I1208" s="13" t="n">
        <v>20</v>
      </c>
      <c r="J1208" s="13" t="n">
        <v>50</v>
      </c>
      <c r="K1208" s="14">
        <f>IF(OR(COUNT(G1208:J1208)&lt;&gt;4,G1208&lt;0,G1208&gt;1,H1208&gt;I1208,I1208&gt;J1208),"n.a.",ROUND(G1208*(H1208+4*I1208+J1208)/6+0.00000001,2))</f>
        <v/>
      </c>
      <c r="L1208" s="13" t="n">
        <v>0</v>
      </c>
      <c r="M1208" s="14">
        <f>SUMIFS(Maßnahmen!$I$7:$I$126,Maßnahmen!$D$7:$D$126,C1208,Maßnahmen!$H$7:$H$126,"&lt;&gt;verworfen")</f>
        <v/>
      </c>
      <c r="N1208" s="14">
        <f>IF(ISNUMBER(K1208),MAX(0,K1208-L1208-M1208),"n.a.")</f>
        <v/>
      </c>
      <c r="O1208" s="14" t="n">
        <v>4.6</v>
      </c>
      <c r="P1208" s="14">
        <f>IF(ISNUMBER(K1208),K1208-O1208,"n.a.")</f>
        <v/>
      </c>
    </row>
    <row r="1209" ht="32" customHeight="1">
      <c r="C1209" s="10" t="inlineStr">
        <is>
          <t>PRJ-52b1cf8a-RK-01</t>
        </is>
      </c>
      <c r="D1209" s="10" t="inlineStr">
        <is>
          <t>P4102157439</t>
        </is>
      </c>
      <c r="E1209" s="11" t="inlineStr">
        <is>
          <t>Schadstofffund / Schadstoffsanierung (Asbest, PAK, PCB, PCP)</t>
        </is>
      </c>
      <c r="F1209" s="10" t="inlineStr">
        <is>
          <t>Schadstoffe</t>
        </is>
      </c>
      <c r="G1209" s="12" t="n">
        <v>0.1</v>
      </c>
      <c r="H1209" s="13" t="n">
        <v>100</v>
      </c>
      <c r="I1209" s="13" t="n">
        <v>250</v>
      </c>
      <c r="J1209" s="13" t="n">
        <v>500</v>
      </c>
      <c r="K1209" s="14">
        <f>IF(OR(COUNT(G1209:J1209)&lt;&gt;4,G1209&lt;0,G1209&gt;1,H1209&gt;I1209,I1209&gt;J1209),"n.a.",ROUND(G1209*(H1209+4*I1209+J1209)/6+0.00000001,2))</f>
        <v/>
      </c>
      <c r="L1209" s="13" t="n">
        <v>0</v>
      </c>
      <c r="M1209" s="14">
        <f>SUMIFS(Maßnahmen!$I$7:$I$126,Maßnahmen!$D$7:$D$126,C1209,Maßnahmen!$H$7:$H$126,"&lt;&gt;verworfen")</f>
        <v/>
      </c>
      <c r="N1209" s="14">
        <f>IF(ISNUMBER(K1209),MAX(0,K1209-L1209-M1209),"n.a.")</f>
        <v/>
      </c>
      <c r="O1209" s="14" t="n">
        <v>26.67</v>
      </c>
      <c r="P1209" s="14">
        <f>IF(ISNUMBER(K1209),K1209-O1209,"n.a.")</f>
        <v/>
      </c>
    </row>
    <row r="1210" ht="32" customHeight="1">
      <c r="C1210" s="10" t="inlineStr">
        <is>
          <t>PRJ-52b1cf8a-RK-02</t>
        </is>
      </c>
      <c r="D1210" s="10" t="inlineStr">
        <is>
          <t>P4102157439</t>
        </is>
      </c>
      <c r="E1210" s="11" t="inlineStr">
        <is>
          <t>Arbeitsschutz kontaminierte Bereiche (TRGS 524)</t>
        </is>
      </c>
      <c r="F1210" s="10" t="inlineStr">
        <is>
          <t>Schadstoffe</t>
        </is>
      </c>
      <c r="G1210" s="12" t="n">
        <v>0.47</v>
      </c>
      <c r="H1210" s="13" t="n">
        <v>100</v>
      </c>
      <c r="I1210" s="13" t="n">
        <v>250</v>
      </c>
      <c r="J1210" s="13" t="n">
        <v>500</v>
      </c>
      <c r="K1210" s="14">
        <f>IF(OR(COUNT(G1210:J1210)&lt;&gt;4,G1210&lt;0,G1210&gt;1,H1210&gt;I1210,I1210&gt;J1210),"n.a.",ROUND(G1210*(H1210+4*I1210+J1210)/6+0.00000001,2))</f>
        <v/>
      </c>
      <c r="L1210" s="13" t="n">
        <v>0</v>
      </c>
      <c r="M1210" s="14">
        <f>SUMIFS(Maßnahmen!$I$7:$I$126,Maßnahmen!$D$7:$D$126,C1210,Maßnahmen!$H$7:$H$126,"&lt;&gt;verworfen")</f>
        <v/>
      </c>
      <c r="N1210" s="14">
        <f>IF(ISNUMBER(K1210),MAX(0,K1210-L1210-M1210),"n.a.")</f>
        <v/>
      </c>
      <c r="O1210" s="14" t="n">
        <v>125.33</v>
      </c>
      <c r="P1210" s="14">
        <f>IF(ISNUMBER(K1210),K1210-O1210,"n.a.")</f>
        <v/>
      </c>
    </row>
    <row r="1211" ht="32" customHeight="1">
      <c r="C1211" s="10" t="inlineStr">
        <is>
          <t>PRJ-52b1cf8a-RK-03</t>
        </is>
      </c>
      <c r="D1211" s="10" t="inlineStr">
        <is>
          <t>P4102157439</t>
        </is>
      </c>
      <c r="E1211" s="11" t="inlineStr">
        <is>
          <t>Entsorgungs-Mehrkosten / Entsorgungswege</t>
        </is>
      </c>
      <c r="F1211" s="10" t="inlineStr">
        <is>
          <t>Entsorgung</t>
        </is>
      </c>
      <c r="G1211" s="12" t="n">
        <v>0.27</v>
      </c>
      <c r="H1211" s="13" t="n">
        <v>100</v>
      </c>
      <c r="I1211" s="13" t="n">
        <v>250</v>
      </c>
      <c r="J1211" s="13" t="n">
        <v>500</v>
      </c>
      <c r="K1211" s="14">
        <f>IF(OR(COUNT(G1211:J1211)&lt;&gt;4,G1211&lt;0,G1211&gt;1,H1211&gt;I1211,I1211&gt;J1211),"n.a.",ROUND(G1211*(H1211+4*I1211+J1211)/6+0.00000001,2))</f>
        <v/>
      </c>
      <c r="L1211" s="13" t="n">
        <v>0</v>
      </c>
      <c r="M1211" s="14">
        <f>SUMIFS(Maßnahmen!$I$7:$I$126,Maßnahmen!$D$7:$D$126,C1211,Maßnahmen!$H$7:$H$126,"&lt;&gt;verworfen")</f>
        <v/>
      </c>
      <c r="N1211" s="14">
        <f>IF(ISNUMBER(K1211),MAX(0,K1211-L1211-M1211),"n.a.")</f>
        <v/>
      </c>
      <c r="O1211" s="14" t="n">
        <v>72</v>
      </c>
      <c r="P1211" s="14">
        <f>IF(ISNUMBER(K1211),K1211-O1211,"n.a.")</f>
        <v/>
      </c>
    </row>
    <row r="1212" ht="32" customHeight="1">
      <c r="C1212" s="10" t="inlineStr">
        <is>
          <t>PRJ-52b1cf8a-RK-04</t>
        </is>
      </c>
      <c r="D1212" s="10" t="inlineStr">
        <is>
          <t>P4102157439</t>
        </is>
      </c>
      <c r="E1212" s="11" t="inlineStr">
        <is>
          <t>Baustofftrennung / Aufbereitung nicht wie geplant</t>
        </is>
      </c>
      <c r="F1212" s="10" t="inlineStr">
        <is>
          <t>Entsorgung</t>
        </is>
      </c>
      <c r="G1212" s="12" t="n">
        <v>0.1</v>
      </c>
      <c r="H1212" s="13" t="n">
        <v>100</v>
      </c>
      <c r="I1212" s="13" t="n">
        <v>250</v>
      </c>
      <c r="J1212" s="13" t="n">
        <v>500</v>
      </c>
      <c r="K1212" s="14">
        <f>IF(OR(COUNT(G1212:J1212)&lt;&gt;4,G1212&lt;0,G1212&gt;1,H1212&gt;I1212,I1212&gt;J1212),"n.a.",ROUND(G1212*(H1212+4*I1212+J1212)/6+0.00000001,2))</f>
        <v/>
      </c>
      <c r="L1212" s="13" t="n">
        <v>0</v>
      </c>
      <c r="M1212" s="14">
        <f>SUMIFS(Maßnahmen!$I$7:$I$126,Maßnahmen!$D$7:$D$126,C1212,Maßnahmen!$H$7:$H$126,"&lt;&gt;verworfen")</f>
        <v/>
      </c>
      <c r="N1212" s="14">
        <f>IF(ISNUMBER(K1212),MAX(0,K1212-L1212-M1212),"n.a.")</f>
        <v/>
      </c>
      <c r="O1212" s="14" t="n">
        <v>26.67</v>
      </c>
      <c r="P1212" s="14">
        <f>IF(ISNUMBER(K1212),K1212-O1212,"n.a.")</f>
        <v/>
      </c>
    </row>
    <row r="1213" ht="32" customHeight="1">
      <c r="C1213" s="10" t="inlineStr">
        <is>
          <t>PRJ-52b1cf8a-RK-05</t>
        </is>
      </c>
      <c r="D1213" s="10" t="inlineStr">
        <is>
          <t>P4102157439</t>
        </is>
      </c>
      <c r="E1213" s="11" t="inlineStr">
        <is>
          <t>Unbekannte Bauwerkskonstruktion / fehlende Pläne</t>
        </is>
      </c>
      <c r="F1213" s="10" t="inlineStr">
        <is>
          <t>Statik</t>
        </is>
      </c>
      <c r="G1213" s="12" t="n">
        <v>0.12</v>
      </c>
      <c r="H1213" s="13" t="n">
        <v>200</v>
      </c>
      <c r="I1213" s="13" t="n">
        <v>400</v>
      </c>
      <c r="J1213" s="13" t="n">
        <v>750</v>
      </c>
      <c r="K1213" s="14">
        <f>IF(OR(COUNT(G1213:J1213)&lt;&gt;4,G1213&lt;0,G1213&gt;1,H1213&gt;I1213,I1213&gt;J1213),"n.a.",ROUND(G1213*(H1213+4*I1213+J1213)/6+0.00000001,2))</f>
        <v/>
      </c>
      <c r="L1213" s="13" t="n">
        <v>0</v>
      </c>
      <c r="M1213" s="14">
        <f>SUMIFS(Maßnahmen!$I$7:$I$126,Maßnahmen!$D$7:$D$126,C1213,Maßnahmen!$H$7:$H$126,"&lt;&gt;verworfen")</f>
        <v/>
      </c>
      <c r="N1213" s="14">
        <f>IF(ISNUMBER(K1213),MAX(0,K1213-L1213-M1213),"n.a.")</f>
        <v/>
      </c>
      <c r="O1213" s="14" t="n">
        <v>51</v>
      </c>
      <c r="P1213" s="14">
        <f>IF(ISNUMBER(K1213),K1213-O1213,"n.a.")</f>
        <v/>
      </c>
    </row>
    <row r="1214" ht="32" customHeight="1">
      <c r="C1214" s="10" t="inlineStr">
        <is>
          <t>PRJ-52b1cf8a-RK-06</t>
        </is>
      </c>
      <c r="D1214" s="10" t="inlineStr">
        <is>
          <t>P4102157439</t>
        </is>
      </c>
      <c r="E1214" s="11" t="inlineStr">
        <is>
          <t>Statik / Einsturzsicherung während Abbruch</t>
        </is>
      </c>
      <c r="F1214" s="10" t="inlineStr">
        <is>
          <t>Statik</t>
        </is>
      </c>
      <c r="G1214" s="12" t="n">
        <v>0.24</v>
      </c>
      <c r="H1214" s="13" t="n">
        <v>150</v>
      </c>
      <c r="I1214" s="13" t="n">
        <v>350</v>
      </c>
      <c r="J1214" s="13" t="n">
        <v>700</v>
      </c>
      <c r="K1214" s="14">
        <f>IF(OR(COUNT(G1214:J1214)&lt;&gt;4,G1214&lt;0,G1214&gt;1,H1214&gt;I1214,I1214&gt;J1214),"n.a.",ROUND(G1214*(H1214+4*I1214+J1214)/6+0.00000001,2))</f>
        <v/>
      </c>
      <c r="L1214" s="13" t="n">
        <v>0</v>
      </c>
      <c r="M1214" s="14">
        <f>SUMIFS(Maßnahmen!$I$7:$I$126,Maßnahmen!$D$7:$D$126,C1214,Maßnahmen!$H$7:$H$126,"&lt;&gt;verworfen")</f>
        <v/>
      </c>
      <c r="N1214" s="14">
        <f>IF(ISNUMBER(K1214),MAX(0,K1214-L1214-M1214),"n.a.")</f>
        <v/>
      </c>
      <c r="O1214" s="14" t="n">
        <v>90</v>
      </c>
      <c r="P1214" s="14">
        <f>IF(ISNUMBER(K1214),K1214-O1214,"n.a.")</f>
        <v/>
      </c>
    </row>
    <row r="1215" ht="32" customHeight="1">
      <c r="C1215" s="10" t="inlineStr">
        <is>
          <t>PRJ-52b1cf8a-RK-07</t>
        </is>
      </c>
      <c r="D1215" s="10" t="inlineStr">
        <is>
          <t>P4102157439</t>
        </is>
      </c>
      <c r="E1215" s="11" t="inlineStr">
        <is>
          <t>Unterirdische Tragkonstruktion / Fundamente</t>
        </is>
      </c>
      <c r="F1215" s="10" t="inlineStr">
        <is>
          <t>Statik</t>
        </is>
      </c>
      <c r="G1215" s="12" t="n">
        <v>0.5</v>
      </c>
      <c r="H1215" s="13" t="n">
        <v>25</v>
      </c>
      <c r="I1215" s="13" t="n">
        <v>100</v>
      </c>
      <c r="J1215" s="13" t="n">
        <v>250</v>
      </c>
      <c r="K1215" s="14">
        <f>IF(OR(COUNT(G1215:J1215)&lt;&gt;4,G1215&lt;0,G1215&gt;1,H1215&gt;I1215,I1215&gt;J1215),"n.a.",ROUND(G1215*(H1215+4*I1215+J1215)/6+0.00000001,2))</f>
        <v/>
      </c>
      <c r="L1215" s="13" t="n">
        <v>0</v>
      </c>
      <c r="M1215" s="14">
        <f>SUMIFS(Maßnahmen!$I$7:$I$126,Maßnahmen!$D$7:$D$126,C1215,Maßnahmen!$H$7:$H$126,"&lt;&gt;verworfen")</f>
        <v/>
      </c>
      <c r="N1215" s="14">
        <f>IF(ISNUMBER(K1215),MAX(0,K1215-L1215-M1215),"n.a.")</f>
        <v/>
      </c>
      <c r="O1215" s="14" t="n">
        <v>56.25</v>
      </c>
      <c r="P1215" s="14">
        <f>IF(ISNUMBER(K1215),K1215-O1215,"n.a.")</f>
        <v/>
      </c>
    </row>
    <row r="1216" ht="32" customHeight="1">
      <c r="C1216" s="10" t="inlineStr">
        <is>
          <t>PRJ-52b1cf8a-RK-08</t>
        </is>
      </c>
      <c r="D1216" s="10" t="inlineStr">
        <is>
          <t>P4102157439</t>
        </is>
      </c>
      <c r="E1216" s="11" t="inlineStr">
        <is>
          <t>Gebäudehöhe &gt;22 m / Longfront-Bagger (+130–150 %)</t>
        </is>
      </c>
      <c r="F1216" s="10" t="inlineStr">
        <is>
          <t>Termin</t>
        </is>
      </c>
      <c r="G1216" s="12" t="n">
        <v>0.6</v>
      </c>
      <c r="H1216" s="13" t="n">
        <v>450</v>
      </c>
      <c r="I1216" s="13" t="n">
        <v>900</v>
      </c>
      <c r="J1216" s="13" t="n">
        <v>1700</v>
      </c>
      <c r="K1216" s="14">
        <f>IF(OR(COUNT(G1216:J1216)&lt;&gt;4,G1216&lt;0,G1216&gt;1,H1216&gt;I1216,I1216&gt;J1216),"n.a.",ROUND(G1216*(H1216+4*I1216+J1216)/6+0.00000001,2))</f>
        <v/>
      </c>
      <c r="L1216" s="13" t="n">
        <v>0</v>
      </c>
      <c r="M1216" s="14">
        <f>SUMIFS(Maßnahmen!$I$7:$I$126,Maßnahmen!$D$7:$D$126,C1216,Maßnahmen!$H$7:$H$126,"&lt;&gt;verworfen")</f>
        <v/>
      </c>
      <c r="N1216" s="14">
        <f>IF(ISNUMBER(K1216),MAX(0,K1216-L1216-M1216),"n.a.")</f>
        <v/>
      </c>
      <c r="O1216" s="14" t="n">
        <v>575</v>
      </c>
      <c r="P1216" s="14">
        <f>IF(ISNUMBER(K1216),K1216-O1216,"n.a.")</f>
        <v/>
      </c>
    </row>
    <row r="1217" ht="32" customHeight="1">
      <c r="C1217" s="10" t="inlineStr">
        <is>
          <t>PRJ-52b1cf8a-RK-09</t>
        </is>
      </c>
      <c r="D1217" s="10" t="inlineStr">
        <is>
          <t>P4102157439</t>
        </is>
      </c>
      <c r="E1217" s="11" t="inlineStr">
        <is>
          <t>Beennte Lage / nur Handabbruch möglich</t>
        </is>
      </c>
      <c r="F1217" s="10" t="inlineStr">
        <is>
          <t>Termin</t>
        </is>
      </c>
      <c r="G1217" s="12" t="n">
        <v>0.15</v>
      </c>
      <c r="H1217" s="13" t="n">
        <v>40</v>
      </c>
      <c r="I1217" s="13" t="n">
        <v>100</v>
      </c>
      <c r="J1217" s="13" t="n">
        <v>250</v>
      </c>
      <c r="K1217" s="14">
        <f>IF(OR(COUNT(G1217:J1217)&lt;&gt;4,G1217&lt;0,G1217&gt;1,H1217&gt;I1217,I1217&gt;J1217),"n.a.",ROUND(G1217*(H1217+4*I1217+J1217)/6+0.00000001,2))</f>
        <v/>
      </c>
      <c r="L1217" s="13" t="n">
        <v>0</v>
      </c>
      <c r="M1217" s="14">
        <f>SUMIFS(Maßnahmen!$I$7:$I$126,Maßnahmen!$D$7:$D$126,C1217,Maßnahmen!$H$7:$H$126,"&lt;&gt;verworfen")</f>
        <v/>
      </c>
      <c r="N1217" s="14">
        <f>IF(ISNUMBER(K1217),MAX(0,K1217-L1217-M1217),"n.a.")</f>
        <v/>
      </c>
      <c r="O1217" s="14" t="n">
        <v>17.25</v>
      </c>
      <c r="P1217" s="14">
        <f>IF(ISNUMBER(K1217),K1217-O1217,"n.a.")</f>
        <v/>
      </c>
    </row>
    <row r="1218" ht="32" customHeight="1">
      <c r="C1218" s="10" t="inlineStr">
        <is>
          <t>PRJ-52b1cf8a-RK-10</t>
        </is>
      </c>
      <c r="D1218" s="10" t="inlineStr">
        <is>
          <t>P4102157439</t>
        </is>
      </c>
      <c r="E1218" s="11" t="inlineStr">
        <is>
          <t>Terminvorgabe Auftraggeber / Geräteauslastung</t>
        </is>
      </c>
      <c r="F1218" s="10" t="inlineStr">
        <is>
          <t>Termin</t>
        </is>
      </c>
      <c r="G1218" s="12" t="n">
        <v>0.1</v>
      </c>
      <c r="H1218" s="13" t="n">
        <v>40</v>
      </c>
      <c r="I1218" s="13" t="n">
        <v>100</v>
      </c>
      <c r="J1218" s="13" t="n">
        <v>250</v>
      </c>
      <c r="K1218" s="14">
        <f>IF(OR(COUNT(G1218:J1218)&lt;&gt;4,G1218&lt;0,G1218&gt;1,H1218&gt;I1218,I1218&gt;J1218),"n.a.",ROUND(G1218*(H1218+4*I1218+J1218)/6+0.00000001,2))</f>
        <v/>
      </c>
      <c r="L1218" s="13" t="n">
        <v>0</v>
      </c>
      <c r="M1218" s="14">
        <f>SUMIFS(Maßnahmen!$I$7:$I$126,Maßnahmen!$D$7:$D$126,C1218,Maßnahmen!$H$7:$H$126,"&lt;&gt;verworfen")</f>
        <v/>
      </c>
      <c r="N1218" s="14">
        <f>IF(ISNUMBER(K1218),MAX(0,K1218-L1218-M1218),"n.a.")</f>
        <v/>
      </c>
      <c r="O1218" s="14" t="n">
        <v>11.5</v>
      </c>
      <c r="P1218" s="14">
        <f>IF(ISNUMBER(K1218),K1218-O1218,"n.a.")</f>
        <v/>
      </c>
    </row>
    <row r="1219" ht="32" customHeight="1">
      <c r="C1219" s="10" t="inlineStr">
        <is>
          <t>PRJ-52b1cf8a-RK-11</t>
        </is>
      </c>
      <c r="D1219" s="10" t="inlineStr">
        <is>
          <t>P4102157439</t>
        </is>
      </c>
      <c r="E1219" s="11" t="inlineStr">
        <is>
          <t>Witterung / Ablaufstörung</t>
        </is>
      </c>
      <c r="F1219" s="10" t="inlineStr">
        <is>
          <t>Termin</t>
        </is>
      </c>
      <c r="G1219" s="12" t="n">
        <v>0.25</v>
      </c>
      <c r="H1219" s="13" t="n">
        <v>50</v>
      </c>
      <c r="I1219" s="13" t="n">
        <v>150</v>
      </c>
      <c r="J1219" s="13" t="n">
        <v>300</v>
      </c>
      <c r="K1219" s="14">
        <f>IF(OR(COUNT(G1219:J1219)&lt;&gt;4,G1219&lt;0,G1219&gt;1,H1219&gt;I1219,I1219&gt;J1219),"n.a.",ROUND(G1219*(H1219+4*I1219+J1219)/6+0.00000001,2))</f>
        <v/>
      </c>
      <c r="L1219" s="13" t="n">
        <v>0</v>
      </c>
      <c r="M1219" s="14">
        <f>SUMIFS(Maßnahmen!$I$7:$I$126,Maßnahmen!$D$7:$D$126,C1219,Maßnahmen!$H$7:$H$126,"&lt;&gt;verworfen")</f>
        <v/>
      </c>
      <c r="N1219" s="14">
        <f>IF(ISNUMBER(K1219),MAX(0,K1219-L1219-M1219),"n.a.")</f>
        <v/>
      </c>
      <c r="O1219" s="14" t="n">
        <v>39.58</v>
      </c>
      <c r="P1219" s="14">
        <f>IF(ISNUMBER(K1219),K1219-O1219,"n.a.")</f>
        <v/>
      </c>
    </row>
    <row r="1220" ht="32" customHeight="1">
      <c r="C1220" s="10" t="inlineStr">
        <is>
          <t>PRJ-52b1cf8a-RK-12</t>
        </is>
      </c>
      <c r="D1220" s="10" t="inlineStr">
        <is>
          <t>P4102157439</t>
        </is>
      </c>
      <c r="E1220" s="11" t="inlineStr">
        <is>
          <t>Staubemissionen (höchster Aufwand laut Umfrage)</t>
        </is>
      </c>
      <c r="F1220" s="10" t="inlineStr">
        <is>
          <t>Emissionen</t>
        </is>
      </c>
      <c r="G1220" s="12" t="n">
        <v>0.1</v>
      </c>
      <c r="H1220" s="13" t="n">
        <v>150</v>
      </c>
      <c r="I1220" s="13" t="n">
        <v>300</v>
      </c>
      <c r="J1220" s="13" t="n">
        <v>600</v>
      </c>
      <c r="K1220" s="14">
        <f>IF(OR(COUNT(G1220:J1220)&lt;&gt;4,G1220&lt;0,G1220&gt;1,H1220&gt;I1220,I1220&gt;J1220),"n.a.",ROUND(G1220*(H1220+4*I1220+J1220)/6+0.00000001,2))</f>
        <v/>
      </c>
      <c r="L1220" s="13" t="n">
        <v>0</v>
      </c>
      <c r="M1220" s="14">
        <f>SUMIFS(Maßnahmen!$I$7:$I$126,Maßnahmen!$D$7:$D$126,C1220,Maßnahmen!$H$7:$H$126,"&lt;&gt;verworfen")</f>
        <v/>
      </c>
      <c r="N1220" s="14">
        <f>IF(ISNUMBER(K1220),MAX(0,K1220-L1220-M1220),"n.a.")</f>
        <v/>
      </c>
      <c r="O1220" s="14" t="n">
        <v>32.5</v>
      </c>
      <c r="P1220" s="14">
        <f>IF(ISNUMBER(K1220),K1220-O1220,"n.a.")</f>
        <v/>
      </c>
    </row>
    <row r="1221" ht="32" customHeight="1">
      <c r="C1221" s="10" t="inlineStr">
        <is>
          <t>PRJ-52b1cf8a-RK-13</t>
        </is>
      </c>
      <c r="D1221" s="10" t="inlineStr">
        <is>
          <t>P4102157439</t>
        </is>
      </c>
      <c r="E1221" s="11" t="inlineStr">
        <is>
          <t>Lärm- und Erschütterungsauflagen</t>
        </is>
      </c>
      <c r="F1221" s="10" t="inlineStr">
        <is>
          <t>Emissionen</t>
        </is>
      </c>
      <c r="G1221" s="12" t="n">
        <v>0.2</v>
      </c>
      <c r="H1221" s="13" t="n">
        <v>100</v>
      </c>
      <c r="I1221" s="13" t="n">
        <v>250</v>
      </c>
      <c r="J1221" s="13" t="n">
        <v>500</v>
      </c>
      <c r="K1221" s="14">
        <f>IF(OR(COUNT(G1221:J1221)&lt;&gt;4,G1221&lt;0,G1221&gt;1,H1221&gt;I1221,I1221&gt;J1221),"n.a.",ROUND(G1221*(H1221+4*I1221+J1221)/6+0.00000001,2))</f>
        <v/>
      </c>
      <c r="L1221" s="13" t="n">
        <v>0</v>
      </c>
      <c r="M1221" s="14">
        <f>SUMIFS(Maßnahmen!$I$7:$I$126,Maßnahmen!$D$7:$D$126,C1221,Maßnahmen!$H$7:$H$126,"&lt;&gt;verworfen")</f>
        <v/>
      </c>
      <c r="N1221" s="14">
        <f>IF(ISNUMBER(K1221),MAX(0,K1221-L1221-M1221),"n.a.")</f>
        <v/>
      </c>
      <c r="O1221" s="14" t="n">
        <v>53.33</v>
      </c>
      <c r="P1221" s="14">
        <f>IF(ISNUMBER(K1221),K1221-O1221,"n.a.")</f>
        <v/>
      </c>
    </row>
    <row r="1222" ht="32" customHeight="1">
      <c r="C1222" s="10" t="inlineStr">
        <is>
          <t>PRJ-52b1cf8a-RK-14</t>
        </is>
      </c>
      <c r="D1222" s="10" t="inlineStr">
        <is>
          <t>P4102157439</t>
        </is>
      </c>
      <c r="E1222" s="11" t="inlineStr">
        <is>
          <t>Rechtliche Auflagen / Entsorgungsnachweise (Formalismus)</t>
        </is>
      </c>
      <c r="F1222" s="10" t="inlineStr">
        <is>
          <t>Genehmigung</t>
        </is>
      </c>
      <c r="G1222" s="12" t="n">
        <v>0.4</v>
      </c>
      <c r="H1222" s="13" t="n">
        <v>475</v>
      </c>
      <c r="I1222" s="13" t="n">
        <v>925</v>
      </c>
      <c r="J1222" s="13" t="n">
        <v>1750</v>
      </c>
      <c r="K1222" s="14">
        <f>IF(OR(COUNT(G1222:J1222)&lt;&gt;4,G1222&lt;0,G1222&gt;1,H1222&gt;I1222,I1222&gt;J1222),"n.a.",ROUND(G1222*(H1222+4*I1222+J1222)/6+0.00000001,2))</f>
        <v/>
      </c>
      <c r="L1222" s="13" t="n">
        <v>0</v>
      </c>
      <c r="M1222" s="14">
        <f>SUMIFS(Maßnahmen!$I$7:$I$126,Maßnahmen!$D$7:$D$126,C1222,Maßnahmen!$H$7:$H$126,"&lt;&gt;verworfen")</f>
        <v/>
      </c>
      <c r="N1222" s="14">
        <f>IF(ISNUMBER(K1222),MAX(0,K1222-L1222-M1222),"n.a.")</f>
        <v/>
      </c>
      <c r="O1222" s="14" t="n">
        <v>395</v>
      </c>
      <c r="P1222" s="14">
        <f>IF(ISNUMBER(K1222),K1222-O1222,"n.a.")</f>
        <v/>
      </c>
    </row>
    <row r="1223" ht="32" customHeight="1">
      <c r="C1223" s="10" t="inlineStr">
        <is>
          <t>PRJ-52b1cf8a-RK-15</t>
        </is>
      </c>
      <c r="D1223" s="10" t="inlineStr">
        <is>
          <t>P4102157439</t>
        </is>
      </c>
      <c r="E1223" s="11" t="inlineStr">
        <is>
          <t>Konjunktur / Sekundärstoffpreise &amp; Gerätemiete</t>
        </is>
      </c>
      <c r="F1223" s="10" t="inlineStr">
        <is>
          <t>Markt</t>
        </is>
      </c>
      <c r="G1223" s="12" t="n">
        <v>0.12</v>
      </c>
      <c r="H1223" s="13" t="n">
        <v>40</v>
      </c>
      <c r="I1223" s="13" t="n">
        <v>100</v>
      </c>
      <c r="J1223" s="13" t="n">
        <v>250</v>
      </c>
      <c r="K1223" s="14">
        <f>IF(OR(COUNT(G1223:J1223)&lt;&gt;4,G1223&lt;0,G1223&gt;1,H1223&gt;I1223,I1223&gt;J1223),"n.a.",ROUND(G1223*(H1223+4*I1223+J1223)/6+0.00000001,2))</f>
        <v/>
      </c>
      <c r="L1223" s="13" t="n">
        <v>0</v>
      </c>
      <c r="M1223" s="14">
        <f>SUMIFS(Maßnahmen!$I$7:$I$126,Maßnahmen!$D$7:$D$126,C1223,Maßnahmen!$H$7:$H$126,"&lt;&gt;verworfen")</f>
        <v/>
      </c>
      <c r="N1223" s="14">
        <f>IF(ISNUMBER(K1223),MAX(0,K1223-L1223-M1223),"n.a.")</f>
        <v/>
      </c>
      <c r="O1223" s="14" t="n">
        <v>13.8</v>
      </c>
      <c r="P1223" s="14">
        <f>IF(ISNUMBER(K1223),K1223-O1223,"n.a.")</f>
        <v/>
      </c>
    </row>
    <row r="1224" ht="32" customHeight="1">
      <c r="C1224" s="10" t="inlineStr">
        <is>
          <t>PRJ-39e54949-RK-03</t>
        </is>
      </c>
      <c r="D1224" s="10" t="inlineStr">
        <is>
          <t>W4102504967</t>
        </is>
      </c>
      <c r="E1224" s="11" t="inlineStr">
        <is>
          <t>Entsorgungs-Mehrkosten / Entsorgungswege</t>
        </is>
      </c>
      <c r="F1224" s="10" t="inlineStr">
        <is>
          <t>Entsorgung</t>
        </is>
      </c>
      <c r="G1224" s="12" t="n">
        <v>0.15</v>
      </c>
      <c r="H1224" s="13" t="n">
        <v>20</v>
      </c>
      <c r="I1224" s="13" t="n">
        <v>50</v>
      </c>
      <c r="J1224" s="13" t="n">
        <v>100</v>
      </c>
      <c r="K1224" s="14">
        <f>IF(OR(COUNT(G1224:J1224)&lt;&gt;4,G1224&lt;0,G1224&gt;1,H1224&gt;I1224,I1224&gt;J1224),"n.a.",ROUND(G1224*(H1224+4*I1224+J1224)/6+0.00000001,2))</f>
        <v/>
      </c>
      <c r="L1224" s="13" t="n">
        <v>0</v>
      </c>
      <c r="M1224" s="14">
        <f>SUMIFS(Maßnahmen!$I$7:$I$126,Maßnahmen!$D$7:$D$126,C1224,Maßnahmen!$H$7:$H$126,"&lt;&gt;verworfen")</f>
        <v/>
      </c>
      <c r="N1224" s="14">
        <f>IF(ISNUMBER(K1224),MAX(0,K1224-L1224-M1224),"n.a.")</f>
        <v/>
      </c>
      <c r="O1224" s="14" t="n">
        <v>8</v>
      </c>
      <c r="P1224" s="14">
        <f>IF(ISNUMBER(K1224),K1224-O1224,"n.a.")</f>
        <v/>
      </c>
    </row>
    <row r="1225" ht="32" customHeight="1">
      <c r="C1225" s="10" t="inlineStr">
        <is>
          <t>PRJ-39e54949-RK-04</t>
        </is>
      </c>
      <c r="D1225" s="10" t="inlineStr">
        <is>
          <t>W4102504967</t>
        </is>
      </c>
      <c r="E1225" s="11" t="inlineStr">
        <is>
          <t>Baustofftrennung / Aufbereitung nicht wie geplant</t>
        </is>
      </c>
      <c r="F1225" s="10" t="inlineStr">
        <is>
          <t>Entsorgung</t>
        </is>
      </c>
      <c r="G1225" s="12" t="n">
        <v>0.1</v>
      </c>
      <c r="H1225" s="13" t="n">
        <v>20</v>
      </c>
      <c r="I1225" s="13" t="n">
        <v>50</v>
      </c>
      <c r="J1225" s="13" t="n">
        <v>100</v>
      </c>
      <c r="K1225" s="14">
        <f>IF(OR(COUNT(G1225:J1225)&lt;&gt;4,G1225&lt;0,G1225&gt;1,H1225&gt;I1225,I1225&gt;J1225),"n.a.",ROUND(G1225*(H1225+4*I1225+J1225)/6+0.00000001,2))</f>
        <v/>
      </c>
      <c r="L1225" s="13" t="n">
        <v>0</v>
      </c>
      <c r="M1225" s="14">
        <f>SUMIFS(Maßnahmen!$I$7:$I$126,Maßnahmen!$D$7:$D$126,C1225,Maßnahmen!$H$7:$H$126,"&lt;&gt;verworfen")</f>
        <v/>
      </c>
      <c r="N1225" s="14">
        <f>IF(ISNUMBER(K1225),MAX(0,K1225-L1225-M1225),"n.a.")</f>
        <v/>
      </c>
      <c r="O1225" s="14" t="n">
        <v>5.33</v>
      </c>
      <c r="P1225" s="14">
        <f>IF(ISNUMBER(K1225),K1225-O1225,"n.a.")</f>
        <v/>
      </c>
    </row>
    <row r="1226" ht="32" customHeight="1">
      <c r="C1226" s="10" t="inlineStr">
        <is>
          <t>PRJ-39e54949-RK-05</t>
        </is>
      </c>
      <c r="D1226" s="10" t="inlineStr">
        <is>
          <t>W4102504967</t>
        </is>
      </c>
      <c r="E1226" s="11" t="inlineStr">
        <is>
          <t>Unbekannte Bauwerkskonstruktion / fehlende Pläne</t>
        </is>
      </c>
      <c r="F1226" s="10" t="inlineStr">
        <is>
          <t>Statik</t>
        </is>
      </c>
      <c r="G1226" s="12" t="n">
        <v>0.12</v>
      </c>
      <c r="H1226" s="13" t="n">
        <v>40</v>
      </c>
      <c r="I1226" s="13" t="n">
        <v>80</v>
      </c>
      <c r="J1226" s="13" t="n">
        <v>150</v>
      </c>
      <c r="K1226" s="14">
        <f>IF(OR(COUNT(G1226:J1226)&lt;&gt;4,G1226&lt;0,G1226&gt;1,H1226&gt;I1226,I1226&gt;J1226),"n.a.",ROUND(G1226*(H1226+4*I1226+J1226)/6+0.00000001,2))</f>
        <v/>
      </c>
      <c r="L1226" s="13" t="n">
        <v>0</v>
      </c>
      <c r="M1226" s="14">
        <f>SUMIFS(Maßnahmen!$I$7:$I$126,Maßnahmen!$D$7:$D$126,C1226,Maßnahmen!$H$7:$H$126,"&lt;&gt;verworfen")</f>
        <v/>
      </c>
      <c r="N1226" s="14">
        <f>IF(ISNUMBER(K1226),MAX(0,K1226-L1226-M1226),"n.a.")</f>
        <v/>
      </c>
      <c r="O1226" s="14" t="n">
        <v>10.2</v>
      </c>
      <c r="P1226" s="14">
        <f>IF(ISNUMBER(K1226),K1226-O1226,"n.a.")</f>
        <v/>
      </c>
    </row>
    <row r="1227" ht="32" customHeight="1">
      <c r="C1227" s="10" t="inlineStr">
        <is>
          <t>PRJ-39e54949-RK-06</t>
        </is>
      </c>
      <c r="D1227" s="10" t="inlineStr">
        <is>
          <t>W4102504967</t>
        </is>
      </c>
      <c r="E1227" s="11" t="inlineStr">
        <is>
          <t>Statik / Einsturzsicherung während Abbruch</t>
        </is>
      </c>
      <c r="F1227" s="10" t="inlineStr">
        <is>
          <t>Statik</t>
        </is>
      </c>
      <c r="G1227" s="12" t="n">
        <v>0.12</v>
      </c>
      <c r="H1227" s="13" t="n">
        <v>30</v>
      </c>
      <c r="I1227" s="13" t="n">
        <v>70</v>
      </c>
      <c r="J1227" s="13" t="n">
        <v>140</v>
      </c>
      <c r="K1227" s="14">
        <f>IF(OR(COUNT(G1227:J1227)&lt;&gt;4,G1227&lt;0,G1227&gt;1,H1227&gt;I1227,I1227&gt;J1227),"n.a.",ROUND(G1227*(H1227+4*I1227+J1227)/6+0.00000001,2))</f>
        <v/>
      </c>
      <c r="L1227" s="13" t="n">
        <v>0</v>
      </c>
      <c r="M1227" s="14">
        <f>SUMIFS(Maßnahmen!$I$7:$I$126,Maßnahmen!$D$7:$D$126,C1227,Maßnahmen!$H$7:$H$126,"&lt;&gt;verworfen")</f>
        <v/>
      </c>
      <c r="N1227" s="14">
        <f>IF(ISNUMBER(K1227),MAX(0,K1227-L1227-M1227),"n.a.")</f>
        <v/>
      </c>
      <c r="O1227" s="14" t="n">
        <v>9</v>
      </c>
      <c r="P1227" s="14">
        <f>IF(ISNUMBER(K1227),K1227-O1227,"n.a.")</f>
        <v/>
      </c>
    </row>
    <row r="1228" ht="32" customHeight="1">
      <c r="C1228" s="10" t="inlineStr">
        <is>
          <t>PRJ-39e54949-RK-07</t>
        </is>
      </c>
      <c r="D1228" s="10" t="inlineStr">
        <is>
          <t>W4102504967</t>
        </is>
      </c>
      <c r="E1228" s="11" t="inlineStr">
        <is>
          <t>Unterirdische Tragkonstruktion / Fundamente</t>
        </is>
      </c>
      <c r="F1228" s="10" t="inlineStr">
        <is>
          <t>Statik</t>
        </is>
      </c>
      <c r="G1228" s="12" t="n">
        <v>0.4</v>
      </c>
      <c r="H1228" s="13" t="n">
        <v>5</v>
      </c>
      <c r="I1228" s="13" t="n">
        <v>20</v>
      </c>
      <c r="J1228" s="13" t="n">
        <v>50</v>
      </c>
      <c r="K1228" s="14">
        <f>IF(OR(COUNT(G1228:J1228)&lt;&gt;4,G1228&lt;0,G1228&gt;1,H1228&gt;I1228,I1228&gt;J1228),"n.a.",ROUND(G1228*(H1228+4*I1228+J1228)/6+0.00000001,2))</f>
        <v/>
      </c>
      <c r="L1228" s="13" t="n">
        <v>0</v>
      </c>
      <c r="M1228" s="14">
        <f>SUMIFS(Maßnahmen!$I$7:$I$126,Maßnahmen!$D$7:$D$126,C1228,Maßnahmen!$H$7:$H$126,"&lt;&gt;verworfen")</f>
        <v/>
      </c>
      <c r="N1228" s="14">
        <f>IF(ISNUMBER(K1228),MAX(0,K1228-L1228-M1228),"n.a.")</f>
        <v/>
      </c>
      <c r="O1228" s="14" t="n">
        <v>9</v>
      </c>
      <c r="P1228" s="14">
        <f>IF(ISNUMBER(K1228),K1228-O1228,"n.a.")</f>
        <v/>
      </c>
    </row>
    <row r="1229" ht="32" customHeight="1">
      <c r="C1229" s="10" t="inlineStr">
        <is>
          <t>PRJ-39e54949-RK-08</t>
        </is>
      </c>
      <c r="D1229" s="10" t="inlineStr">
        <is>
          <t>W4102504967</t>
        </is>
      </c>
      <c r="E1229" s="11" t="inlineStr">
        <is>
          <t>Gebäudehöhe &gt;22 m / Longfront-Bagger (+130–150 %)</t>
        </is>
      </c>
      <c r="F1229" s="10" t="inlineStr">
        <is>
          <t>Termin</t>
        </is>
      </c>
      <c r="G1229" s="12" t="n">
        <v>0.6</v>
      </c>
      <c r="H1229" s="13" t="n">
        <v>90</v>
      </c>
      <c r="I1229" s="13" t="n">
        <v>180</v>
      </c>
      <c r="J1229" s="13" t="n">
        <v>340</v>
      </c>
      <c r="K1229" s="14">
        <f>IF(OR(COUNT(G1229:J1229)&lt;&gt;4,G1229&lt;0,G1229&gt;1,H1229&gt;I1229,I1229&gt;J1229),"n.a.",ROUND(G1229*(H1229+4*I1229+J1229)/6+0.00000001,2))</f>
        <v/>
      </c>
      <c r="L1229" s="13" t="n">
        <v>0</v>
      </c>
      <c r="M1229" s="14">
        <f>SUMIFS(Maßnahmen!$I$7:$I$126,Maßnahmen!$D$7:$D$126,C1229,Maßnahmen!$H$7:$H$126,"&lt;&gt;verworfen")</f>
        <v/>
      </c>
      <c r="N1229" s="14">
        <f>IF(ISNUMBER(K1229),MAX(0,K1229-L1229-M1229),"n.a.")</f>
        <v/>
      </c>
      <c r="O1229" s="14" t="n">
        <v>115</v>
      </c>
      <c r="P1229" s="14">
        <f>IF(ISNUMBER(K1229),K1229-O1229,"n.a.")</f>
        <v/>
      </c>
    </row>
    <row r="1230" ht="32" customHeight="1">
      <c r="C1230" s="10" t="inlineStr">
        <is>
          <t>PRJ-39e54949-RK-09</t>
        </is>
      </c>
      <c r="D1230" s="10" t="inlineStr">
        <is>
          <t>W4102504967</t>
        </is>
      </c>
      <c r="E1230" s="11" t="inlineStr">
        <is>
          <t>Beennte Lage / nur Handabbruch möglich</t>
        </is>
      </c>
      <c r="F1230" s="10" t="inlineStr">
        <is>
          <t>Termin</t>
        </is>
      </c>
      <c r="G1230" s="12" t="n">
        <v>0.15</v>
      </c>
      <c r="H1230" s="13" t="n">
        <v>8</v>
      </c>
      <c r="I1230" s="13" t="n">
        <v>20</v>
      </c>
      <c r="J1230" s="13" t="n">
        <v>50</v>
      </c>
      <c r="K1230" s="14">
        <f>IF(OR(COUNT(G1230:J1230)&lt;&gt;4,G1230&lt;0,G1230&gt;1,H1230&gt;I1230,I1230&gt;J1230),"n.a.",ROUND(G1230*(H1230+4*I1230+J1230)/6+0.00000001,2))</f>
        <v/>
      </c>
      <c r="L1230" s="13" t="n">
        <v>0</v>
      </c>
      <c r="M1230" s="14">
        <f>SUMIFS(Maßnahmen!$I$7:$I$126,Maßnahmen!$D$7:$D$126,C1230,Maßnahmen!$H$7:$H$126,"&lt;&gt;verworfen")</f>
        <v/>
      </c>
      <c r="N1230" s="14">
        <f>IF(ISNUMBER(K1230),MAX(0,K1230-L1230-M1230),"n.a.")</f>
        <v/>
      </c>
      <c r="O1230" s="14" t="n">
        <v>3.45</v>
      </c>
      <c r="P1230" s="14">
        <f>IF(ISNUMBER(K1230),K1230-O1230,"n.a.")</f>
        <v/>
      </c>
    </row>
    <row r="1231" ht="32" customHeight="1">
      <c r="C1231" s="10" t="inlineStr">
        <is>
          <t>PRJ-39e54949-RK-10</t>
        </is>
      </c>
      <c r="D1231" s="10" t="inlineStr">
        <is>
          <t>W4102504967</t>
        </is>
      </c>
      <c r="E1231" s="11" t="inlineStr">
        <is>
          <t>Terminvorgabe Auftraggeber / Geräteauslastung</t>
        </is>
      </c>
      <c r="F1231" s="10" t="inlineStr">
        <is>
          <t>Termin</t>
        </is>
      </c>
      <c r="G1231" s="12" t="n">
        <v>0.1</v>
      </c>
      <c r="H1231" s="13" t="n">
        <v>8</v>
      </c>
      <c r="I1231" s="13" t="n">
        <v>20</v>
      </c>
      <c r="J1231" s="13" t="n">
        <v>50</v>
      </c>
      <c r="K1231" s="14">
        <f>IF(OR(COUNT(G1231:J1231)&lt;&gt;4,G1231&lt;0,G1231&gt;1,H1231&gt;I1231,I1231&gt;J1231),"n.a.",ROUND(G1231*(H1231+4*I1231+J1231)/6+0.00000001,2))</f>
        <v/>
      </c>
      <c r="L1231" s="13" t="n">
        <v>0</v>
      </c>
      <c r="M1231" s="14">
        <f>SUMIFS(Maßnahmen!$I$7:$I$126,Maßnahmen!$D$7:$D$126,C1231,Maßnahmen!$H$7:$H$126,"&lt;&gt;verworfen")</f>
        <v/>
      </c>
      <c r="N1231" s="14">
        <f>IF(ISNUMBER(K1231),MAX(0,K1231-L1231-M1231),"n.a.")</f>
        <v/>
      </c>
      <c r="O1231" s="14" t="n">
        <v>2.3</v>
      </c>
      <c r="P1231" s="14">
        <f>IF(ISNUMBER(K1231),K1231-O1231,"n.a.")</f>
        <v/>
      </c>
    </row>
    <row r="1232" ht="32" customHeight="1">
      <c r="C1232" s="10" t="inlineStr">
        <is>
          <t>PRJ-4a29271d-RK-10</t>
        </is>
      </c>
      <c r="D1232" s="10" t="inlineStr">
        <is>
          <t>P4102658272</t>
        </is>
      </c>
      <c r="E1232" s="11" t="inlineStr">
        <is>
          <t>Terminvorgabe Auftraggeber / Geräteauslastung</t>
        </is>
      </c>
      <c r="F1232" s="10" t="inlineStr">
        <is>
          <t>Termin</t>
        </is>
      </c>
      <c r="G1232" s="12" t="n">
        <v>0.08</v>
      </c>
      <c r="H1232" s="13" t="n">
        <v>67</v>
      </c>
      <c r="I1232" s="13" t="n">
        <v>134</v>
      </c>
      <c r="J1232" s="13" t="n">
        <v>268</v>
      </c>
      <c r="K1232" s="14">
        <f>IF(OR(COUNT(G1232:J1232)&lt;&gt;4,G1232&lt;0,G1232&gt;1,H1232&gt;I1232,I1232&gt;J1232),"n.a.",ROUND(G1232*(H1232+4*I1232+J1232)/6+0.00000001,2))</f>
        <v/>
      </c>
      <c r="L1232" s="13" t="n">
        <v>0</v>
      </c>
      <c r="M1232" s="14">
        <f>SUMIFS(Maßnahmen!$I$7:$I$126,Maßnahmen!$D$7:$D$126,C1232,Maßnahmen!$H$7:$H$126,"&lt;&gt;verworfen")</f>
        <v/>
      </c>
      <c r="N1232" s="14">
        <f>IF(ISNUMBER(K1232),MAX(0,K1232-L1232-M1232),"n.a.")</f>
        <v/>
      </c>
      <c r="O1232" s="14" t="n">
        <v>11.61</v>
      </c>
      <c r="P1232" s="14">
        <f>IF(ISNUMBER(K1232),K1232-O1232,"n.a.")</f>
        <v/>
      </c>
    </row>
    <row r="1233" ht="32" customHeight="1">
      <c r="C1233" s="10" t="inlineStr">
        <is>
          <t>PRJ-4a29271d-RK-11</t>
        </is>
      </c>
      <c r="D1233" s="10" t="inlineStr">
        <is>
          <t>P4102658272</t>
        </is>
      </c>
      <c r="E1233" s="11" t="inlineStr">
        <is>
          <t>Witterung / Ablaufstörung</t>
        </is>
      </c>
      <c r="F1233" s="10" t="inlineStr">
        <is>
          <t>Termin</t>
        </is>
      </c>
      <c r="G1233" s="12" t="n">
        <v>0.55</v>
      </c>
      <c r="H1233" s="13" t="n">
        <v>3015</v>
      </c>
      <c r="I1233" s="13" t="n">
        <v>4723</v>
      </c>
      <c r="J1233" s="13" t="n">
        <v>8694</v>
      </c>
      <c r="K1233" s="14">
        <f>IF(OR(COUNT(G1233:J1233)&lt;&gt;4,G1233&lt;0,G1233&gt;1,H1233&gt;I1233,I1233&gt;J1233),"n.a.",ROUND(G1233*(H1233+4*I1233+J1233)/6+0.00000001,2))</f>
        <v/>
      </c>
      <c r="L1233" s="13" t="n">
        <v>0</v>
      </c>
      <c r="M1233" s="14">
        <f>SUMIFS(Maßnahmen!$I$7:$I$126,Maßnahmen!$D$7:$D$126,C1233,Maßnahmen!$H$7:$H$126,"&lt;&gt;verworfen")</f>
        <v/>
      </c>
      <c r="N1233" s="14">
        <f>IF(ISNUMBER(K1233),MAX(0,K1233-L1233-M1233),"n.a.")</f>
        <v/>
      </c>
      <c r="O1233" s="14" t="n">
        <v>2805.09</v>
      </c>
      <c r="P1233" s="14">
        <f>IF(ISNUMBER(K1233),K1233-O1233,"n.a.")</f>
        <v/>
      </c>
    </row>
    <row r="1234" ht="32" customHeight="1">
      <c r="C1234" s="10" t="inlineStr">
        <is>
          <t>PRJ-4a29271d-RK-12</t>
        </is>
      </c>
      <c r="D1234" s="10" t="inlineStr">
        <is>
          <t>P4102658272</t>
        </is>
      </c>
      <c r="E1234" s="11" t="inlineStr">
        <is>
          <t>Staubemissionen (höchster Aufwand laut Umfrage)</t>
        </is>
      </c>
      <c r="F1234" s="10" t="inlineStr">
        <is>
          <t>Emissionen</t>
        </is>
      </c>
      <c r="G1234" s="12" t="n">
        <v>0.22</v>
      </c>
      <c r="H1234" s="13" t="n">
        <v>401</v>
      </c>
      <c r="I1234" s="13" t="n">
        <v>803</v>
      </c>
      <c r="J1234" s="13" t="n">
        <v>1605</v>
      </c>
      <c r="K1234" s="14">
        <f>IF(OR(COUNT(G1234:J1234)&lt;&gt;4,G1234&lt;0,G1234&gt;1,H1234&gt;I1234,I1234&gt;J1234),"n.a.",ROUND(G1234*(H1234+4*I1234+J1234)/6+0.00000001,2))</f>
        <v/>
      </c>
      <c r="L1234" s="13" t="n">
        <v>0</v>
      </c>
      <c r="M1234" s="14">
        <f>SUMIFS(Maßnahmen!$I$7:$I$126,Maßnahmen!$D$7:$D$126,C1234,Maßnahmen!$H$7:$H$126,"&lt;&gt;verworfen")</f>
        <v/>
      </c>
      <c r="N1234" s="14">
        <f>IF(ISNUMBER(K1234),MAX(0,K1234-L1234-M1234),"n.a.")</f>
        <v/>
      </c>
      <c r="O1234" s="14" t="n">
        <v>191.33</v>
      </c>
      <c r="P1234" s="14">
        <f>IF(ISNUMBER(K1234),K1234-O1234,"n.a.")</f>
        <v/>
      </c>
    </row>
    <row r="1235" ht="32" customHeight="1">
      <c r="C1235" s="10" t="inlineStr">
        <is>
          <t>PRJ-4a29271d-RK-13</t>
        </is>
      </c>
      <c r="D1235" s="10" t="inlineStr">
        <is>
          <t>P4102658272</t>
        </is>
      </c>
      <c r="E1235" s="11" t="inlineStr">
        <is>
          <t>Lärm- und Erschütterungsauflagen</t>
        </is>
      </c>
      <c r="F1235" s="10" t="inlineStr">
        <is>
          <t>Emissionen</t>
        </is>
      </c>
      <c r="G1235" s="12" t="n">
        <v>0.6</v>
      </c>
      <c r="H1235" s="13" t="n">
        <v>4681</v>
      </c>
      <c r="I1235" s="13" t="n">
        <v>6019</v>
      </c>
      <c r="J1235" s="13" t="n">
        <v>8694</v>
      </c>
      <c r="K1235" s="14">
        <f>IF(OR(COUNT(G1235:J1235)&lt;&gt;4,G1235&lt;0,G1235&gt;1,H1235&gt;I1235,I1235&gt;J1235),"n.a.",ROUND(G1235*(H1235+4*I1235+J1235)/6+0.00000001,2))</f>
        <v/>
      </c>
      <c r="L1235" s="13" t="n">
        <v>0</v>
      </c>
      <c r="M1235" s="14">
        <f>SUMIFS(Maßnahmen!$I$7:$I$126,Maßnahmen!$D$7:$D$126,C1235,Maßnahmen!$H$7:$H$126,"&lt;&gt;verworfen")</f>
        <v/>
      </c>
      <c r="N1235" s="14">
        <f>IF(ISNUMBER(K1235),MAX(0,K1235-L1235-M1235),"n.a.")</f>
        <v/>
      </c>
      <c r="O1235" s="14" t="n">
        <v>3745.1</v>
      </c>
      <c r="P1235" s="14">
        <f>IF(ISNUMBER(K1235),K1235-O1235,"n.a.")</f>
        <v/>
      </c>
    </row>
    <row r="1236" ht="32" customHeight="1">
      <c r="C1236" s="10" t="inlineStr">
        <is>
          <t>PRJ-4a29271d-RK-14</t>
        </is>
      </c>
      <c r="D1236" s="10" t="inlineStr">
        <is>
          <t>P4102658272</t>
        </is>
      </c>
      <c r="E1236" s="11" t="inlineStr">
        <is>
          <t>Rechtliche Auflagen / Entsorgungsnachweise (Formalismus)</t>
        </is>
      </c>
      <c r="F1236" s="10" t="inlineStr">
        <is>
          <t>Genehmigung</t>
        </is>
      </c>
      <c r="G1236" s="12" t="n">
        <v>0.12</v>
      </c>
      <c r="H1236" s="13" t="n">
        <v>201</v>
      </c>
      <c r="I1236" s="13" t="n">
        <v>468</v>
      </c>
      <c r="J1236" s="13" t="n">
        <v>936</v>
      </c>
      <c r="K1236" s="14">
        <f>IF(OR(COUNT(G1236:J1236)&lt;&gt;4,G1236&lt;0,G1236&gt;1,H1236&gt;I1236,I1236&gt;J1236),"n.a.",ROUND(G1236*(H1236+4*I1236+J1236)/6+0.00000001,2))</f>
        <v/>
      </c>
      <c r="L1236" s="13" t="n">
        <v>0</v>
      </c>
      <c r="M1236" s="14">
        <f>SUMIFS(Maßnahmen!$I$7:$I$126,Maßnahmen!$D$7:$D$126,C1236,Maßnahmen!$H$7:$H$126,"&lt;&gt;verworfen")</f>
        <v/>
      </c>
      <c r="N1236" s="14">
        <f>IF(ISNUMBER(K1236),MAX(0,K1236-L1236-M1236),"n.a.")</f>
        <v/>
      </c>
      <c r="O1236" s="14" t="n">
        <v>60.18</v>
      </c>
      <c r="P1236" s="14">
        <f>IF(ISNUMBER(K1236),K1236-O1236,"n.a.")</f>
        <v/>
      </c>
    </row>
    <row r="1237" ht="32" customHeight="1">
      <c r="C1237" s="10" t="inlineStr">
        <is>
          <t>PRJ-4a29271d-RK-15</t>
        </is>
      </c>
      <c r="D1237" s="10" t="inlineStr">
        <is>
          <t>P4102658272</t>
        </is>
      </c>
      <c r="E1237" s="11" t="inlineStr">
        <is>
          <t>Konjunktur / Sekundärstoffpreise &amp; Gerätemiete</t>
        </is>
      </c>
      <c r="F1237" s="10" t="inlineStr">
        <is>
          <t>Markt</t>
        </is>
      </c>
      <c r="G1237" s="12" t="n">
        <v>0.5</v>
      </c>
      <c r="H1237" s="13" t="n">
        <v>2988</v>
      </c>
      <c r="I1237" s="13" t="n">
        <v>3725</v>
      </c>
      <c r="J1237" s="13" t="n">
        <v>7871</v>
      </c>
      <c r="K1237" s="14">
        <f>IF(OR(COUNT(G1237:J1237)&lt;&gt;4,G1237&lt;0,G1237&gt;1,H1237&gt;I1237,I1237&gt;J1237),"n.a.",ROUND(G1237*(H1237+4*I1237+J1237)/6+0.00000001,2))</f>
        <v/>
      </c>
      <c r="L1237" s="13" t="n">
        <v>0</v>
      </c>
      <c r="M1237" s="14">
        <f>SUMIFS(Maßnahmen!$I$7:$I$126,Maßnahmen!$D$7:$D$126,C1237,Maßnahmen!$H$7:$H$126,"&lt;&gt;verworfen")</f>
        <v/>
      </c>
      <c r="N1237" s="14">
        <f>IF(ISNUMBER(K1237),MAX(0,K1237-L1237-M1237),"n.a.")</f>
        <v/>
      </c>
      <c r="O1237" s="14" t="n">
        <v>2146.58</v>
      </c>
      <c r="P1237" s="14">
        <f>IF(ISNUMBER(K1237),K1237-O1237,"n.a.")</f>
        <v/>
      </c>
    </row>
    <row r="1238" ht="32" customHeight="1">
      <c r="C1238" s="10" t="inlineStr">
        <is>
          <t>PRJ-52b1cf4c-RK-01</t>
        </is>
      </c>
      <c r="D1238" s="10" t="inlineStr">
        <is>
          <t>P4102157459</t>
        </is>
      </c>
      <c r="E1238" s="11" t="inlineStr">
        <is>
          <t>Schadstofffund / Schadstoffsanierung (Asbest, PAK, PCB, PCP)</t>
        </is>
      </c>
      <c r="F1238" s="10" t="inlineStr">
        <is>
          <t>Schadstoffe</t>
        </is>
      </c>
      <c r="G1238" s="12" t="n">
        <v>0.1</v>
      </c>
      <c r="H1238" s="13" t="n">
        <v>318</v>
      </c>
      <c r="I1238" s="13" t="n">
        <v>796</v>
      </c>
      <c r="J1238" s="13" t="n">
        <v>1592</v>
      </c>
      <c r="K1238" s="14">
        <f>IF(OR(COUNT(G1238:J1238)&lt;&gt;4,G1238&lt;0,G1238&gt;1,H1238&gt;I1238,I1238&gt;J1238),"n.a.",ROUND(G1238*(H1238+4*I1238+J1238)/6+0.00000001,2))</f>
        <v/>
      </c>
      <c r="L1238" s="13" t="n">
        <v>0</v>
      </c>
      <c r="M1238" s="14">
        <f>SUMIFS(Maßnahmen!$I$7:$I$126,Maßnahmen!$D$7:$D$126,C1238,Maßnahmen!$H$7:$H$126,"&lt;&gt;verworfen")</f>
        <v/>
      </c>
      <c r="N1238" s="14">
        <f>IF(ISNUMBER(K1238),MAX(0,K1238-L1238-M1238),"n.a.")</f>
        <v/>
      </c>
      <c r="O1238" s="14" t="n">
        <v>84.90000000000001</v>
      </c>
      <c r="P1238" s="14">
        <f>IF(ISNUMBER(K1238),K1238-O1238,"n.a.")</f>
        <v/>
      </c>
    </row>
    <row r="1239" ht="32" customHeight="1">
      <c r="C1239" s="10" t="inlineStr">
        <is>
          <t>PRJ-52b1cf4c-RK-02</t>
        </is>
      </c>
      <c r="D1239" s="10" t="inlineStr">
        <is>
          <t>P4102157459</t>
        </is>
      </c>
      <c r="E1239" s="11" t="inlineStr">
        <is>
          <t>Arbeitsschutz kontaminierte Bereiche (TRGS 524)</t>
        </is>
      </c>
      <c r="F1239" s="10" t="inlineStr">
        <is>
          <t>Schadstoffe</t>
        </is>
      </c>
      <c r="G1239" s="12" t="n">
        <v>0.1</v>
      </c>
      <c r="H1239" s="13" t="n">
        <v>80</v>
      </c>
      <c r="I1239" s="13" t="n">
        <v>159</v>
      </c>
      <c r="J1239" s="13" t="n">
        <v>318</v>
      </c>
      <c r="K1239" s="14">
        <f>IF(OR(COUNT(G1239:J1239)&lt;&gt;4,G1239&lt;0,G1239&gt;1,H1239&gt;I1239,I1239&gt;J1239),"n.a.",ROUND(G1239*(H1239+4*I1239+J1239)/6+0.00000001,2))</f>
        <v/>
      </c>
      <c r="L1239" s="13" t="n">
        <v>0</v>
      </c>
      <c r="M1239" s="14">
        <f>SUMIFS(Maßnahmen!$I$7:$I$126,Maßnahmen!$D$7:$D$126,C1239,Maßnahmen!$H$7:$H$126,"&lt;&gt;verworfen")</f>
        <v/>
      </c>
      <c r="N1239" s="14">
        <f>IF(ISNUMBER(K1239),MAX(0,K1239-L1239-M1239),"n.a.")</f>
        <v/>
      </c>
      <c r="O1239" s="14" t="n">
        <v>17.23</v>
      </c>
      <c r="P1239" s="14">
        <f>IF(ISNUMBER(K1239),K1239-O1239,"n.a.")</f>
        <v/>
      </c>
    </row>
    <row r="1240" ht="32" customHeight="1">
      <c r="C1240" s="10" t="inlineStr">
        <is>
          <t>PRJ-52b1cf4c-RK-03</t>
        </is>
      </c>
      <c r="D1240" s="10" t="inlineStr">
        <is>
          <t>P4102157459</t>
        </is>
      </c>
      <c r="E1240" s="11" t="inlineStr">
        <is>
          <t>Entsorgungs-Mehrkosten / Entsorgungswege</t>
        </is>
      </c>
      <c r="F1240" s="10" t="inlineStr">
        <is>
          <t>Entsorgung</t>
        </is>
      </c>
      <c r="G1240" s="12" t="n">
        <v>0.391</v>
      </c>
      <c r="H1240" s="13" t="n">
        <v>1714</v>
      </c>
      <c r="I1240" s="13" t="n">
        <v>3237</v>
      </c>
      <c r="J1240" s="13" t="n">
        <v>5429</v>
      </c>
      <c r="K1240" s="14">
        <f>IF(OR(COUNT(G1240:J1240)&lt;&gt;4,G1240&lt;0,G1240&gt;1,H1240&gt;I1240,I1240&gt;J1240),"n.a.",ROUND(G1240*(H1240+4*I1240+J1240)/6+0.00000001,2))</f>
        <v/>
      </c>
      <c r="L1240" s="13" t="n">
        <v>0</v>
      </c>
      <c r="M1240" s="14">
        <f>SUMIFS(Maßnahmen!$I$7:$I$126,Maßnahmen!$D$7:$D$126,C1240,Maßnahmen!$H$7:$H$126,"&lt;&gt;verworfen")</f>
        <v/>
      </c>
      <c r="N1240" s="14">
        <f>IF(ISNUMBER(K1240),MAX(0,K1240-L1240-M1240),"n.a.")</f>
        <v/>
      </c>
      <c r="O1240" s="14" t="n">
        <v>1309.26</v>
      </c>
      <c r="P1240" s="14">
        <f>IF(ISNUMBER(K1240),K1240-O1240,"n.a.")</f>
        <v/>
      </c>
    </row>
    <row r="1241" ht="32" customHeight="1">
      <c r="C1241" s="10" t="inlineStr">
        <is>
          <t>PRJ-52b1cf4c-RK-04</t>
        </is>
      </c>
      <c r="D1241" s="10" t="inlineStr">
        <is>
          <t>P4102157459</t>
        </is>
      </c>
      <c r="E1241" s="11" t="inlineStr">
        <is>
          <t>Baustofftrennung / Aufbereitung nicht wie geplant</t>
        </is>
      </c>
      <c r="F1241" s="10" t="inlineStr">
        <is>
          <t>Entsorgung</t>
        </is>
      </c>
      <c r="G1241" s="12" t="n">
        <v>0.08</v>
      </c>
      <c r="H1241" s="13" t="n">
        <v>80</v>
      </c>
      <c r="I1241" s="13" t="n">
        <v>159</v>
      </c>
      <c r="J1241" s="13" t="n">
        <v>318</v>
      </c>
      <c r="K1241" s="14">
        <f>IF(OR(COUNT(G1241:J1241)&lt;&gt;4,G1241&lt;0,G1241&gt;1,H1241&gt;I1241,I1241&gt;J1241),"n.a.",ROUND(G1241*(H1241+4*I1241+J1241)/6+0.00000001,2))</f>
        <v/>
      </c>
      <c r="L1241" s="13" t="n">
        <v>0</v>
      </c>
      <c r="M1241" s="14">
        <f>SUMIFS(Maßnahmen!$I$7:$I$126,Maßnahmen!$D$7:$D$126,C1241,Maßnahmen!$H$7:$H$126,"&lt;&gt;verworfen")</f>
        <v/>
      </c>
      <c r="N1241" s="14">
        <f>IF(ISNUMBER(K1241),MAX(0,K1241-L1241-M1241),"n.a.")</f>
        <v/>
      </c>
      <c r="O1241" s="14" t="n">
        <v>13.79</v>
      </c>
      <c r="P1241" s="14">
        <f>IF(ISNUMBER(K1241),K1241-O1241,"n.a.")</f>
        <v/>
      </c>
    </row>
    <row r="1242" ht="32" customHeight="1">
      <c r="C1242" s="10" t="inlineStr">
        <is>
          <t>PRJ-52b1cf4c-RK-05</t>
        </is>
      </c>
      <c r="D1242" s="10" t="inlineStr">
        <is>
          <t>P4102157459</t>
        </is>
      </c>
      <c r="E1242" s="11" t="inlineStr">
        <is>
          <t>Unbekannte Bauwerkskonstruktion / fehlende Pläne</t>
        </is>
      </c>
      <c r="F1242" s="10" t="inlineStr">
        <is>
          <t>Statik</t>
        </is>
      </c>
      <c r="G1242" s="12" t="n">
        <v>0.22</v>
      </c>
      <c r="H1242" s="13" t="n">
        <v>2345</v>
      </c>
      <c r="I1242" s="13" t="n">
        <v>4120</v>
      </c>
      <c r="J1242" s="13" t="n">
        <v>6943</v>
      </c>
      <c r="K1242" s="14">
        <f>IF(OR(COUNT(G1242:J1242)&lt;&gt;4,G1242&lt;0,G1242&gt;1,H1242&gt;I1242,I1242&gt;J1242),"n.a.",ROUND(G1242*(H1242+4*I1242+J1242)/6+0.00000001,2))</f>
        <v/>
      </c>
      <c r="L1242" s="13" t="n">
        <v>0</v>
      </c>
      <c r="M1242" s="14">
        <f>SUMIFS(Maßnahmen!$I$7:$I$126,Maßnahmen!$D$7:$D$126,C1242,Maßnahmen!$H$7:$H$126,"&lt;&gt;verworfen")</f>
        <v/>
      </c>
      <c r="N1242" s="14">
        <f>IF(ISNUMBER(K1242),MAX(0,K1242-L1242-M1242),"n.a.")</f>
        <v/>
      </c>
      <c r="O1242" s="14" t="n">
        <v>944.83</v>
      </c>
      <c r="P1242" s="14">
        <f>IF(ISNUMBER(K1242),K1242-O1242,"n.a.")</f>
        <v/>
      </c>
    </row>
    <row r="1243" ht="32" customHeight="1">
      <c r="C1243" s="10" t="inlineStr">
        <is>
          <t>PRJ-52b1cf4c-RK-06</t>
        </is>
      </c>
      <c r="D1243" s="10" t="inlineStr">
        <is>
          <t>P4102157459</t>
        </is>
      </c>
      <c r="E1243" s="11" t="inlineStr">
        <is>
          <t>Statik / Einsturzsicherung während Abbruch</t>
        </is>
      </c>
      <c r="F1243" s="10" t="inlineStr">
        <is>
          <t>Statik</t>
        </is>
      </c>
      <c r="G1243" s="12" t="n">
        <v>0.35</v>
      </c>
      <c r="H1243" s="13" t="n">
        <v>1524</v>
      </c>
      <c r="I1243" s="13" t="n">
        <v>2858</v>
      </c>
      <c r="J1243" s="13" t="n">
        <v>5019</v>
      </c>
      <c r="K1243" s="14">
        <f>IF(OR(COUNT(G1243:J1243)&lt;&gt;4,G1243&lt;0,G1243&gt;1,H1243&gt;I1243,I1243&gt;J1243),"n.a.",ROUND(G1243*(H1243+4*I1243+J1243)/6+0.00000001,2))</f>
        <v/>
      </c>
      <c r="L1243" s="13" t="n">
        <v>0</v>
      </c>
      <c r="M1243" s="14">
        <f>SUMIFS(Maßnahmen!$I$7:$I$126,Maßnahmen!$D$7:$D$126,C1243,Maßnahmen!$H$7:$H$126,"&lt;&gt;verworfen")</f>
        <v/>
      </c>
      <c r="N1243" s="14">
        <f>IF(ISNUMBER(K1243),MAX(0,K1243-L1243-M1243),"n.a.")</f>
        <v/>
      </c>
      <c r="O1243" s="14" t="n">
        <v>1048.54</v>
      </c>
      <c r="P1243" s="14">
        <f>IF(ISNUMBER(K1243),K1243-O1243,"n.a.")</f>
        <v/>
      </c>
    </row>
    <row r="1244" ht="32" customHeight="1">
      <c r="C1244" s="10" t="inlineStr">
        <is>
          <t>PRJ-52b1cf4c-RK-07</t>
        </is>
      </c>
      <c r="D1244" s="10" t="inlineStr">
        <is>
          <t>P4102157459</t>
        </is>
      </c>
      <c r="E1244" s="11" t="inlineStr">
        <is>
          <t>Unterirdische Tragkonstruktion / Fundamente</t>
        </is>
      </c>
      <c r="F1244" s="10" t="inlineStr">
        <is>
          <t>Statik</t>
        </is>
      </c>
      <c r="G1244" s="12" t="n">
        <v>0.5</v>
      </c>
      <c r="H1244" s="13" t="n">
        <v>428</v>
      </c>
      <c r="I1244" s="13" t="n">
        <v>876</v>
      </c>
      <c r="J1244" s="13" t="n">
        <v>1842</v>
      </c>
      <c r="K1244" s="14">
        <f>IF(OR(COUNT(G1244:J1244)&lt;&gt;4,G1244&lt;0,G1244&gt;1,H1244&gt;I1244,I1244&gt;J1244),"n.a.",ROUND(G1244*(H1244+4*I1244+J1244)/6+0.00000001,2))</f>
        <v/>
      </c>
      <c r="L1244" s="13" t="n">
        <v>0</v>
      </c>
      <c r="M1244" s="14">
        <f>SUMIFS(Maßnahmen!$I$7:$I$126,Maßnahmen!$D$7:$D$126,C1244,Maßnahmen!$H$7:$H$126,"&lt;&gt;verworfen")</f>
        <v/>
      </c>
      <c r="N1244" s="14">
        <f>IF(ISNUMBER(K1244),MAX(0,K1244-L1244-M1244),"n.a.")</f>
        <v/>
      </c>
      <c r="O1244" s="14" t="n">
        <v>481.17</v>
      </c>
      <c r="P1244" s="14">
        <f>IF(ISNUMBER(K1244),K1244-O1244,"n.a.")</f>
        <v/>
      </c>
    </row>
    <row r="1245" ht="32" customHeight="1">
      <c r="C1245" s="10" t="inlineStr">
        <is>
          <t>PRJ-52b1cf4c-RK-10</t>
        </is>
      </c>
      <c r="D1245" s="10" t="inlineStr">
        <is>
          <t>P4102157459</t>
        </is>
      </c>
      <c r="E1245" s="11" t="inlineStr">
        <is>
          <t>Terminvorgabe Auftraggeber / Geräteauslastung</t>
        </is>
      </c>
      <c r="F1245" s="10" t="inlineStr">
        <is>
          <t>Termin</t>
        </is>
      </c>
      <c r="G1245" s="12" t="n">
        <v>0.08</v>
      </c>
      <c r="H1245" s="13" t="n">
        <v>80</v>
      </c>
      <c r="I1245" s="13" t="n">
        <v>159</v>
      </c>
      <c r="J1245" s="13" t="n">
        <v>318</v>
      </c>
      <c r="K1245" s="14">
        <f>IF(OR(COUNT(G1245:J1245)&lt;&gt;4,G1245&lt;0,G1245&gt;1,H1245&gt;I1245,I1245&gt;J1245),"n.a.",ROUND(G1245*(H1245+4*I1245+J1245)/6+0.00000001,2))</f>
        <v/>
      </c>
      <c r="L1245" s="13" t="n">
        <v>0</v>
      </c>
      <c r="M1245" s="14">
        <f>SUMIFS(Maßnahmen!$I$7:$I$126,Maßnahmen!$D$7:$D$126,C1245,Maßnahmen!$H$7:$H$126,"&lt;&gt;verworfen")</f>
        <v/>
      </c>
      <c r="N1245" s="14">
        <f>IF(ISNUMBER(K1245),MAX(0,K1245-L1245-M1245),"n.a.")</f>
        <v/>
      </c>
      <c r="O1245" s="14" t="n">
        <v>13.79</v>
      </c>
      <c r="P1245" s="14">
        <f>IF(ISNUMBER(K1245),K1245-O1245,"n.a.")</f>
        <v/>
      </c>
    </row>
    <row r="1246" ht="32" customHeight="1">
      <c r="C1246" s="10" t="inlineStr">
        <is>
          <t>PRJ-39e54949-RK-11</t>
        </is>
      </c>
      <c r="D1246" s="10" t="inlineStr">
        <is>
          <t>W4102504967</t>
        </is>
      </c>
      <c r="E1246" s="11" t="inlineStr">
        <is>
          <t>Witterung / Ablaufstörung</t>
        </is>
      </c>
      <c r="F1246" s="10" t="inlineStr">
        <is>
          <t>Termin</t>
        </is>
      </c>
      <c r="G1246" s="12" t="n">
        <v>0.25</v>
      </c>
      <c r="H1246" s="13" t="n">
        <v>10</v>
      </c>
      <c r="I1246" s="13" t="n">
        <v>30</v>
      </c>
      <c r="J1246" s="13" t="n">
        <v>60</v>
      </c>
      <c r="K1246" s="14">
        <f>IF(OR(COUNT(G1246:J1246)&lt;&gt;4,G1246&lt;0,G1246&gt;1,H1246&gt;I1246,I1246&gt;J1246),"n.a.",ROUND(G1246*(H1246+4*I1246+J1246)/6+0.00000001,2))</f>
        <v/>
      </c>
      <c r="L1246" s="13" t="n">
        <v>0</v>
      </c>
      <c r="M1246" s="14">
        <f>SUMIFS(Maßnahmen!$I$7:$I$126,Maßnahmen!$D$7:$D$126,C1246,Maßnahmen!$H$7:$H$126,"&lt;&gt;verworfen")</f>
        <v/>
      </c>
      <c r="N1246" s="14">
        <f>IF(ISNUMBER(K1246),MAX(0,K1246-L1246-M1246),"n.a.")</f>
        <v/>
      </c>
      <c r="O1246" s="14" t="n">
        <v>7.92</v>
      </c>
      <c r="P1246" s="14">
        <f>IF(ISNUMBER(K1246),K1246-O1246,"n.a.")</f>
        <v/>
      </c>
    </row>
    <row r="1247" ht="32" customHeight="1">
      <c r="C1247" s="10" t="inlineStr">
        <is>
          <t>PRJ-39e54949-RK-12</t>
        </is>
      </c>
      <c r="D1247" s="10" t="inlineStr">
        <is>
          <t>W4102504967</t>
        </is>
      </c>
      <c r="E1247" s="11" t="inlineStr">
        <is>
          <t>Staubemissionen (höchster Aufwand laut Umfrage)</t>
        </is>
      </c>
      <c r="F1247" s="10" t="inlineStr">
        <is>
          <t>Emissionen</t>
        </is>
      </c>
      <c r="G1247" s="12" t="n">
        <v>0.1</v>
      </c>
      <c r="H1247" s="13" t="n">
        <v>30</v>
      </c>
      <c r="I1247" s="13" t="n">
        <v>60</v>
      </c>
      <c r="J1247" s="13" t="n">
        <v>120</v>
      </c>
      <c r="K1247" s="14">
        <f>IF(OR(COUNT(G1247:J1247)&lt;&gt;4,G1247&lt;0,G1247&gt;1,H1247&gt;I1247,I1247&gt;J1247),"n.a.",ROUND(G1247*(H1247+4*I1247+J1247)/6+0.00000001,2))</f>
        <v/>
      </c>
      <c r="L1247" s="13" t="n">
        <v>0</v>
      </c>
      <c r="M1247" s="14">
        <f>SUMIFS(Maßnahmen!$I$7:$I$126,Maßnahmen!$D$7:$D$126,C1247,Maßnahmen!$H$7:$H$126,"&lt;&gt;verworfen")</f>
        <v/>
      </c>
      <c r="N1247" s="14">
        <f>IF(ISNUMBER(K1247),MAX(0,K1247-L1247-M1247),"n.a.")</f>
        <v/>
      </c>
      <c r="O1247" s="14" t="n">
        <v>6.5</v>
      </c>
      <c r="P1247" s="14">
        <f>IF(ISNUMBER(K1247),K1247-O1247,"n.a.")</f>
        <v/>
      </c>
    </row>
    <row r="1248" ht="32" customHeight="1">
      <c r="C1248" s="10" t="inlineStr">
        <is>
          <t>PRJ-39e54949-RK-13</t>
        </is>
      </c>
      <c r="D1248" s="10" t="inlineStr">
        <is>
          <t>W4102504967</t>
        </is>
      </c>
      <c r="E1248" s="11" t="inlineStr">
        <is>
          <t>Lärm- und Erschütterungsauflagen</t>
        </is>
      </c>
      <c r="F1248" s="10" t="inlineStr">
        <is>
          <t>Emissionen</t>
        </is>
      </c>
      <c r="G1248" s="12" t="n">
        <v>0.2</v>
      </c>
      <c r="H1248" s="13" t="n">
        <v>20</v>
      </c>
      <c r="I1248" s="13" t="n">
        <v>50</v>
      </c>
      <c r="J1248" s="13" t="n">
        <v>100</v>
      </c>
      <c r="K1248" s="14">
        <f>IF(OR(COUNT(G1248:J1248)&lt;&gt;4,G1248&lt;0,G1248&gt;1,H1248&gt;I1248,I1248&gt;J1248),"n.a.",ROUND(G1248*(H1248+4*I1248+J1248)/6+0.00000001,2))</f>
        <v/>
      </c>
      <c r="L1248" s="13" t="n">
        <v>0</v>
      </c>
      <c r="M1248" s="14">
        <f>SUMIFS(Maßnahmen!$I$7:$I$126,Maßnahmen!$D$7:$D$126,C1248,Maßnahmen!$H$7:$H$126,"&lt;&gt;verworfen")</f>
        <v/>
      </c>
      <c r="N1248" s="14">
        <f>IF(ISNUMBER(K1248),MAX(0,K1248-L1248-M1248),"n.a.")</f>
        <v/>
      </c>
      <c r="O1248" s="14" t="n">
        <v>10.67</v>
      </c>
      <c r="P1248" s="14">
        <f>IF(ISNUMBER(K1248),K1248-O1248,"n.a.")</f>
        <v/>
      </c>
    </row>
    <row r="1249" ht="32" customHeight="1">
      <c r="C1249" s="10" t="inlineStr">
        <is>
          <t>PRJ-39e54949-RK-14</t>
        </is>
      </c>
      <c r="D1249" s="10" t="inlineStr">
        <is>
          <t>W4102504967</t>
        </is>
      </c>
      <c r="E1249" s="11" t="inlineStr">
        <is>
          <t>Rechtliche Auflagen / Entsorgungsnachweise (Formalismus)</t>
        </is>
      </c>
      <c r="F1249" s="10" t="inlineStr">
        <is>
          <t>Genehmigung</t>
        </is>
      </c>
      <c r="G1249" s="12" t="n">
        <v>0.4</v>
      </c>
      <c r="H1249" s="13" t="n">
        <v>95</v>
      </c>
      <c r="I1249" s="13" t="n">
        <v>185</v>
      </c>
      <c r="J1249" s="13" t="n">
        <v>350</v>
      </c>
      <c r="K1249" s="14">
        <f>IF(OR(COUNT(G1249:J1249)&lt;&gt;4,G1249&lt;0,G1249&gt;1,H1249&gt;I1249,I1249&gt;J1249),"n.a.",ROUND(G1249*(H1249+4*I1249+J1249)/6+0.00000001,2))</f>
        <v/>
      </c>
      <c r="L1249" s="13" t="n">
        <v>0</v>
      </c>
      <c r="M1249" s="14">
        <f>SUMIFS(Maßnahmen!$I$7:$I$126,Maßnahmen!$D$7:$D$126,C1249,Maßnahmen!$H$7:$H$126,"&lt;&gt;verworfen")</f>
        <v/>
      </c>
      <c r="N1249" s="14">
        <f>IF(ISNUMBER(K1249),MAX(0,K1249-L1249-M1249),"n.a.")</f>
        <v/>
      </c>
      <c r="O1249" s="14" t="n">
        <v>79</v>
      </c>
      <c r="P1249" s="14">
        <f>IF(ISNUMBER(K1249),K1249-O1249,"n.a.")</f>
        <v/>
      </c>
    </row>
    <row r="1250" ht="32" customHeight="1">
      <c r="C1250" s="10" t="inlineStr">
        <is>
          <t>PRJ-39e54949-RK-15</t>
        </is>
      </c>
      <c r="D1250" s="10" t="inlineStr">
        <is>
          <t>W4102504967</t>
        </is>
      </c>
      <c r="E1250" s="11" t="inlineStr">
        <is>
          <t>Konjunktur / Sekundärstoffpreise &amp; Gerätemiete</t>
        </is>
      </c>
      <c r="F1250" s="10" t="inlineStr">
        <is>
          <t>Markt</t>
        </is>
      </c>
      <c r="G1250" s="12" t="n">
        <v>0.12</v>
      </c>
      <c r="H1250" s="13" t="n">
        <v>8</v>
      </c>
      <c r="I1250" s="13" t="n">
        <v>20</v>
      </c>
      <c r="J1250" s="13" t="n">
        <v>50</v>
      </c>
      <c r="K1250" s="14">
        <f>IF(OR(COUNT(G1250:J1250)&lt;&gt;4,G1250&lt;0,G1250&gt;1,H1250&gt;I1250,I1250&gt;J1250),"n.a.",ROUND(G1250*(H1250+4*I1250+J1250)/6+0.00000001,2))</f>
        <v/>
      </c>
      <c r="L1250" s="13" t="n">
        <v>0</v>
      </c>
      <c r="M1250" s="14">
        <f>SUMIFS(Maßnahmen!$I$7:$I$126,Maßnahmen!$D$7:$D$126,C1250,Maßnahmen!$H$7:$H$126,"&lt;&gt;verworfen")</f>
        <v/>
      </c>
      <c r="N1250" s="14">
        <f>IF(ISNUMBER(K1250),MAX(0,K1250-L1250-M1250),"n.a.")</f>
        <v/>
      </c>
      <c r="O1250" s="14" t="n">
        <v>2.76</v>
      </c>
      <c r="P1250" s="14">
        <f>IF(ISNUMBER(K1250),K1250-O1250,"n.a.")</f>
        <v/>
      </c>
    </row>
    <row r="1251" ht="32" customHeight="1">
      <c r="C1251" s="10" t="inlineStr">
        <is>
          <t>PRJ-39e56811-RK-01</t>
        </is>
      </c>
      <c r="D1251" s="10" t="inlineStr">
        <is>
          <t>W4102504101</t>
        </is>
      </c>
      <c r="E1251" s="11" t="inlineStr">
        <is>
          <t>Schadstofffund / Schadstoffsanierung (Asbest, PAK, PCB, PCP)</t>
        </is>
      </c>
      <c r="F1251" s="10" t="inlineStr">
        <is>
          <t>Schadstoffe</t>
        </is>
      </c>
      <c r="G1251" s="12" t="n">
        <v>0.1</v>
      </c>
      <c r="H1251" s="13" t="n">
        <v>20</v>
      </c>
      <c r="I1251" s="13" t="n">
        <v>50</v>
      </c>
      <c r="J1251" s="13" t="n">
        <v>100</v>
      </c>
      <c r="K1251" s="14">
        <f>IF(OR(COUNT(G1251:J1251)&lt;&gt;4,G1251&lt;0,G1251&gt;1,H1251&gt;I1251,I1251&gt;J1251),"n.a.",ROUND(G1251*(H1251+4*I1251+J1251)/6+0.00000001,2))</f>
        <v/>
      </c>
      <c r="L1251" s="13" t="n">
        <v>0</v>
      </c>
      <c r="M1251" s="14">
        <f>SUMIFS(Maßnahmen!$I$7:$I$126,Maßnahmen!$D$7:$D$126,C1251,Maßnahmen!$H$7:$H$126,"&lt;&gt;verworfen")</f>
        <v/>
      </c>
      <c r="N1251" s="14">
        <f>IF(ISNUMBER(K1251),MAX(0,K1251-L1251-M1251),"n.a.")</f>
        <v/>
      </c>
      <c r="O1251" s="14" t="n">
        <v>5.33</v>
      </c>
      <c r="P1251" s="14">
        <f>IF(ISNUMBER(K1251),K1251-O1251,"n.a.")</f>
        <v/>
      </c>
    </row>
    <row r="1252" ht="32" customHeight="1">
      <c r="C1252" s="10" t="inlineStr">
        <is>
          <t>PRJ-39e56811-RK-02</t>
        </is>
      </c>
      <c r="D1252" s="10" t="inlineStr">
        <is>
          <t>W4102504101</t>
        </is>
      </c>
      <c r="E1252" s="11" t="inlineStr">
        <is>
          <t>Arbeitsschutz kontaminierte Bereiche (TRGS 524)</t>
        </is>
      </c>
      <c r="F1252" s="10" t="inlineStr">
        <is>
          <t>Schadstoffe</t>
        </is>
      </c>
      <c r="G1252" s="12" t="n">
        <v>0.47</v>
      </c>
      <c r="H1252" s="13" t="n">
        <v>20</v>
      </c>
      <c r="I1252" s="13" t="n">
        <v>50</v>
      </c>
      <c r="J1252" s="13" t="n">
        <v>100</v>
      </c>
      <c r="K1252" s="14">
        <f>IF(OR(COUNT(G1252:J1252)&lt;&gt;4,G1252&lt;0,G1252&gt;1,H1252&gt;I1252,I1252&gt;J1252),"n.a.",ROUND(G1252*(H1252+4*I1252+J1252)/6+0.00000001,2))</f>
        <v/>
      </c>
      <c r="L1252" s="13" t="n">
        <v>0</v>
      </c>
      <c r="M1252" s="14">
        <f>SUMIFS(Maßnahmen!$I$7:$I$126,Maßnahmen!$D$7:$D$126,C1252,Maßnahmen!$H$7:$H$126,"&lt;&gt;verworfen")</f>
        <v/>
      </c>
      <c r="N1252" s="14">
        <f>IF(ISNUMBER(K1252),MAX(0,K1252-L1252-M1252),"n.a.")</f>
        <v/>
      </c>
      <c r="O1252" s="14" t="n">
        <v>25.07</v>
      </c>
      <c r="P1252" s="14">
        <f>IF(ISNUMBER(K1252),K1252-O1252,"n.a.")</f>
        <v/>
      </c>
    </row>
    <row r="1253" ht="32" customHeight="1">
      <c r="C1253" s="10" t="inlineStr">
        <is>
          <t>PRJ-39e56811-RK-03</t>
        </is>
      </c>
      <c r="D1253" s="10" t="inlineStr">
        <is>
          <t>W4102504101</t>
        </is>
      </c>
      <c r="E1253" s="11" t="inlineStr">
        <is>
          <t>Entsorgungs-Mehrkosten / Entsorgungswege</t>
        </is>
      </c>
      <c r="F1253" s="10" t="inlineStr">
        <is>
          <t>Entsorgung</t>
        </is>
      </c>
      <c r="G1253" s="12" t="n">
        <v>0.15</v>
      </c>
      <c r="H1253" s="13" t="n">
        <v>20</v>
      </c>
      <c r="I1253" s="13" t="n">
        <v>50</v>
      </c>
      <c r="J1253" s="13" t="n">
        <v>100</v>
      </c>
      <c r="K1253" s="14">
        <f>IF(OR(COUNT(G1253:J1253)&lt;&gt;4,G1253&lt;0,G1253&gt;1,H1253&gt;I1253,I1253&gt;J1253),"n.a.",ROUND(G1253*(H1253+4*I1253+J1253)/6+0.00000001,2))</f>
        <v/>
      </c>
      <c r="L1253" s="13" t="n">
        <v>0</v>
      </c>
      <c r="M1253" s="14">
        <f>SUMIFS(Maßnahmen!$I$7:$I$126,Maßnahmen!$D$7:$D$126,C1253,Maßnahmen!$H$7:$H$126,"&lt;&gt;verworfen")</f>
        <v/>
      </c>
      <c r="N1253" s="14">
        <f>IF(ISNUMBER(K1253),MAX(0,K1253-L1253-M1253),"n.a.")</f>
        <v/>
      </c>
      <c r="O1253" s="14" t="n">
        <v>8</v>
      </c>
      <c r="P1253" s="14">
        <f>IF(ISNUMBER(K1253),K1253-O1253,"n.a.")</f>
        <v/>
      </c>
    </row>
    <row r="1254" ht="32" customHeight="1">
      <c r="C1254" s="10" t="inlineStr">
        <is>
          <t>PRJ-39e56811-RK-04</t>
        </is>
      </c>
      <c r="D1254" s="10" t="inlineStr">
        <is>
          <t>W4102504101</t>
        </is>
      </c>
      <c r="E1254" s="11" t="inlineStr">
        <is>
          <t>Baustofftrennung / Aufbereitung nicht wie geplant</t>
        </is>
      </c>
      <c r="F1254" s="10" t="inlineStr">
        <is>
          <t>Entsorgung</t>
        </is>
      </c>
      <c r="G1254" s="12" t="n">
        <v>0.1</v>
      </c>
      <c r="H1254" s="13" t="n">
        <v>20</v>
      </c>
      <c r="I1254" s="13" t="n">
        <v>50</v>
      </c>
      <c r="J1254" s="13" t="n">
        <v>100</v>
      </c>
      <c r="K1254" s="14">
        <f>IF(OR(COUNT(G1254:J1254)&lt;&gt;4,G1254&lt;0,G1254&gt;1,H1254&gt;I1254,I1254&gt;J1254),"n.a.",ROUND(G1254*(H1254+4*I1254+J1254)/6+0.00000001,2))</f>
        <v/>
      </c>
      <c r="L1254" s="13" t="n">
        <v>0</v>
      </c>
      <c r="M1254" s="14">
        <f>SUMIFS(Maßnahmen!$I$7:$I$126,Maßnahmen!$D$7:$D$126,C1254,Maßnahmen!$H$7:$H$126,"&lt;&gt;verworfen")</f>
        <v/>
      </c>
      <c r="N1254" s="14">
        <f>IF(ISNUMBER(K1254),MAX(0,K1254-L1254-M1254),"n.a.")</f>
        <v/>
      </c>
      <c r="O1254" s="14" t="n">
        <v>5.33</v>
      </c>
      <c r="P1254" s="14">
        <f>IF(ISNUMBER(K1254),K1254-O1254,"n.a.")</f>
        <v/>
      </c>
    </row>
    <row r="1255" ht="32" customHeight="1">
      <c r="C1255" s="10" t="inlineStr">
        <is>
          <t>PRJ-39e56811-RK-05</t>
        </is>
      </c>
      <c r="D1255" s="10" t="inlineStr">
        <is>
          <t>W4102504101</t>
        </is>
      </c>
      <c r="E1255" s="11" t="inlineStr">
        <is>
          <t>Unbekannte Bauwerkskonstruktion / fehlende Pläne</t>
        </is>
      </c>
      <c r="F1255" s="10" t="inlineStr">
        <is>
          <t>Statik</t>
        </is>
      </c>
      <c r="G1255" s="12" t="n">
        <v>0.12</v>
      </c>
      <c r="H1255" s="13" t="n">
        <v>40</v>
      </c>
      <c r="I1255" s="13" t="n">
        <v>80</v>
      </c>
      <c r="J1255" s="13" t="n">
        <v>150</v>
      </c>
      <c r="K1255" s="14">
        <f>IF(OR(COUNT(G1255:J1255)&lt;&gt;4,G1255&lt;0,G1255&gt;1,H1255&gt;I1255,I1255&gt;J1255),"n.a.",ROUND(G1255*(H1255+4*I1255+J1255)/6+0.00000001,2))</f>
        <v/>
      </c>
      <c r="L1255" s="13" t="n">
        <v>0</v>
      </c>
      <c r="M1255" s="14">
        <f>SUMIFS(Maßnahmen!$I$7:$I$126,Maßnahmen!$D$7:$D$126,C1255,Maßnahmen!$H$7:$H$126,"&lt;&gt;verworfen")</f>
        <v/>
      </c>
      <c r="N1255" s="14">
        <f>IF(ISNUMBER(K1255),MAX(0,K1255-L1255-M1255),"n.a.")</f>
        <v/>
      </c>
      <c r="O1255" s="14" t="n">
        <v>10.2</v>
      </c>
      <c r="P1255" s="14">
        <f>IF(ISNUMBER(K1255),K1255-O1255,"n.a.")</f>
        <v/>
      </c>
    </row>
    <row r="1256" ht="32" customHeight="1">
      <c r="C1256" s="10" t="inlineStr">
        <is>
          <t>PRJ-39e56811-RK-06</t>
        </is>
      </c>
      <c r="D1256" s="10" t="inlineStr">
        <is>
          <t>W4102504101</t>
        </is>
      </c>
      <c r="E1256" s="11" t="inlineStr">
        <is>
          <t>Statik / Einsturzsicherung während Abbruch</t>
        </is>
      </c>
      <c r="F1256" s="10" t="inlineStr">
        <is>
          <t>Statik</t>
        </is>
      </c>
      <c r="G1256" s="12" t="n">
        <v>0.24</v>
      </c>
      <c r="H1256" s="13" t="n">
        <v>30</v>
      </c>
      <c r="I1256" s="13" t="n">
        <v>70</v>
      </c>
      <c r="J1256" s="13" t="n">
        <v>140</v>
      </c>
      <c r="K1256" s="14">
        <f>IF(OR(COUNT(G1256:J1256)&lt;&gt;4,G1256&lt;0,G1256&gt;1,H1256&gt;I1256,I1256&gt;J1256),"n.a.",ROUND(G1256*(H1256+4*I1256+J1256)/6+0.00000001,2))</f>
        <v/>
      </c>
      <c r="L1256" s="13" t="n">
        <v>0</v>
      </c>
      <c r="M1256" s="14">
        <f>SUMIFS(Maßnahmen!$I$7:$I$126,Maßnahmen!$D$7:$D$126,C1256,Maßnahmen!$H$7:$H$126,"&lt;&gt;verworfen")</f>
        <v/>
      </c>
      <c r="N1256" s="14">
        <f>IF(ISNUMBER(K1256),MAX(0,K1256-L1256-M1256),"n.a.")</f>
        <v/>
      </c>
      <c r="O1256" s="14" t="n">
        <v>18</v>
      </c>
      <c r="P1256" s="14">
        <f>IF(ISNUMBER(K1256),K1256-O1256,"n.a.")</f>
        <v/>
      </c>
    </row>
    <row r="1257" ht="32" customHeight="1">
      <c r="C1257" s="10" t="inlineStr">
        <is>
          <t>PRJ-39e56811-RK-07</t>
        </is>
      </c>
      <c r="D1257" s="10" t="inlineStr">
        <is>
          <t>W4102504101</t>
        </is>
      </c>
      <c r="E1257" s="11" t="inlineStr">
        <is>
          <t>Unterirdische Tragkonstruktion / Fundamente</t>
        </is>
      </c>
      <c r="F1257" s="10" t="inlineStr">
        <is>
          <t>Statik</t>
        </is>
      </c>
      <c r="G1257" s="12" t="n">
        <v>0.4</v>
      </c>
      <c r="H1257" s="13" t="n">
        <v>5</v>
      </c>
      <c r="I1257" s="13" t="n">
        <v>20</v>
      </c>
      <c r="J1257" s="13" t="n">
        <v>50</v>
      </c>
      <c r="K1257" s="14">
        <f>IF(OR(COUNT(G1257:J1257)&lt;&gt;4,G1257&lt;0,G1257&gt;1,H1257&gt;I1257,I1257&gt;J1257),"n.a.",ROUND(G1257*(H1257+4*I1257+J1257)/6+0.00000001,2))</f>
        <v/>
      </c>
      <c r="L1257" s="13" t="n">
        <v>0</v>
      </c>
      <c r="M1257" s="14">
        <f>SUMIFS(Maßnahmen!$I$7:$I$126,Maßnahmen!$D$7:$D$126,C1257,Maßnahmen!$H$7:$H$126,"&lt;&gt;verworfen")</f>
        <v/>
      </c>
      <c r="N1257" s="14">
        <f>IF(ISNUMBER(K1257),MAX(0,K1257-L1257-M1257),"n.a.")</f>
        <v/>
      </c>
      <c r="O1257" s="14" t="n">
        <v>9</v>
      </c>
      <c r="P1257" s="14">
        <f>IF(ISNUMBER(K1257),K1257-O1257,"n.a.")</f>
        <v/>
      </c>
    </row>
    <row r="1258" ht="32" customHeight="1">
      <c r="C1258" s="10" t="inlineStr">
        <is>
          <t>PRJ-39e56811-RK-08</t>
        </is>
      </c>
      <c r="D1258" s="10" t="inlineStr">
        <is>
          <t>W4102504101</t>
        </is>
      </c>
      <c r="E1258" s="11" t="inlineStr">
        <is>
          <t>Gebäudehöhe &gt;22 m / Longfront-Bagger (+130–150 %)</t>
        </is>
      </c>
      <c r="F1258" s="10" t="inlineStr">
        <is>
          <t>Termin</t>
        </is>
      </c>
      <c r="G1258" s="12" t="n">
        <v>0.6</v>
      </c>
      <c r="H1258" s="13" t="n">
        <v>90</v>
      </c>
      <c r="I1258" s="13" t="n">
        <v>180</v>
      </c>
      <c r="J1258" s="13" t="n">
        <v>340</v>
      </c>
      <c r="K1258" s="14">
        <f>IF(OR(COUNT(G1258:J1258)&lt;&gt;4,G1258&lt;0,G1258&gt;1,H1258&gt;I1258,I1258&gt;J1258),"n.a.",ROUND(G1258*(H1258+4*I1258+J1258)/6+0.00000001,2))</f>
        <v/>
      </c>
      <c r="L1258" s="13" t="n">
        <v>0</v>
      </c>
      <c r="M1258" s="14">
        <f>SUMIFS(Maßnahmen!$I$7:$I$126,Maßnahmen!$D$7:$D$126,C1258,Maßnahmen!$H$7:$H$126,"&lt;&gt;verworfen")</f>
        <v/>
      </c>
      <c r="N1258" s="14">
        <f>IF(ISNUMBER(K1258),MAX(0,K1258-L1258-M1258),"n.a.")</f>
        <v/>
      </c>
      <c r="O1258" s="14" t="n">
        <v>115</v>
      </c>
      <c r="P1258" s="14">
        <f>IF(ISNUMBER(K1258),K1258-O1258,"n.a.")</f>
        <v/>
      </c>
    </row>
    <row r="1259" ht="32" customHeight="1">
      <c r="C1259" s="10" t="inlineStr">
        <is>
          <t>PRJ-39e56811-RK-09</t>
        </is>
      </c>
      <c r="D1259" s="10" t="inlineStr">
        <is>
          <t>W4102504101</t>
        </is>
      </c>
      <c r="E1259" s="11" t="inlineStr">
        <is>
          <t>Beennte Lage / nur Handabbruch möglich</t>
        </is>
      </c>
      <c r="F1259" s="10" t="inlineStr">
        <is>
          <t>Termin</t>
        </is>
      </c>
      <c r="G1259" s="12" t="n">
        <v>0.15</v>
      </c>
      <c r="H1259" s="13" t="n">
        <v>8</v>
      </c>
      <c r="I1259" s="13" t="n">
        <v>20</v>
      </c>
      <c r="J1259" s="13" t="n">
        <v>50</v>
      </c>
      <c r="K1259" s="14">
        <f>IF(OR(COUNT(G1259:J1259)&lt;&gt;4,G1259&lt;0,G1259&gt;1,H1259&gt;I1259,I1259&gt;J1259),"n.a.",ROUND(G1259*(H1259+4*I1259+J1259)/6+0.00000001,2))</f>
        <v/>
      </c>
      <c r="L1259" s="13" t="n">
        <v>0</v>
      </c>
      <c r="M1259" s="14">
        <f>SUMIFS(Maßnahmen!$I$7:$I$126,Maßnahmen!$D$7:$D$126,C1259,Maßnahmen!$H$7:$H$126,"&lt;&gt;verworfen")</f>
        <v/>
      </c>
      <c r="N1259" s="14">
        <f>IF(ISNUMBER(K1259),MAX(0,K1259-L1259-M1259),"n.a.")</f>
        <v/>
      </c>
      <c r="O1259" s="14" t="n">
        <v>3.45</v>
      </c>
      <c r="P1259" s="14">
        <f>IF(ISNUMBER(K1259),K1259-O1259,"n.a.")</f>
        <v/>
      </c>
    </row>
    <row r="1260" ht="32" customHeight="1">
      <c r="C1260" s="10" t="inlineStr">
        <is>
          <t>PRJ-4f8e93f6-RK-01</t>
        </is>
      </c>
      <c r="D1260" s="10" t="inlineStr">
        <is>
          <t>P4102307423</t>
        </is>
      </c>
      <c r="E1260" s="11" t="inlineStr">
        <is>
          <t>Schadstofffund / Schadstoffsanierung (Asbest, PAK, PCB, PCP)</t>
        </is>
      </c>
      <c r="F1260" s="10" t="inlineStr">
        <is>
          <t>Schadstoffe</t>
        </is>
      </c>
      <c r="G1260" s="12" t="n">
        <v>0.1</v>
      </c>
      <c r="H1260" s="13" t="n">
        <v>620</v>
      </c>
      <c r="I1260" s="13" t="n">
        <v>1550</v>
      </c>
      <c r="J1260" s="13" t="n">
        <v>3100</v>
      </c>
      <c r="K1260" s="14">
        <f>IF(OR(COUNT(G1260:J1260)&lt;&gt;4,G1260&lt;0,G1260&gt;1,H1260&gt;I1260,I1260&gt;J1260),"n.a.",ROUND(G1260*(H1260+4*I1260+J1260)/6+0.00000001,2))</f>
        <v/>
      </c>
      <c r="L1260" s="13" t="n">
        <v>0</v>
      </c>
      <c r="M1260" s="14">
        <f>SUMIFS(Maßnahmen!$I$7:$I$126,Maßnahmen!$D$7:$D$126,C1260,Maßnahmen!$H$7:$H$126,"&lt;&gt;verworfen")</f>
        <v/>
      </c>
      <c r="N1260" s="14">
        <f>IF(ISNUMBER(K1260),MAX(0,K1260-L1260-M1260),"n.a.")</f>
        <v/>
      </c>
      <c r="O1260" s="14" t="n">
        <v>165.33</v>
      </c>
      <c r="P1260" s="14">
        <f>IF(ISNUMBER(K1260),K1260-O1260,"n.a.")</f>
        <v/>
      </c>
    </row>
    <row r="1261" ht="32" customHeight="1">
      <c r="C1261" s="10" t="inlineStr">
        <is>
          <t>PRJ-4f8e93f6-RK-02</t>
        </is>
      </c>
      <c r="D1261" s="10" t="inlineStr">
        <is>
          <t>P4102307423</t>
        </is>
      </c>
      <c r="E1261" s="11" t="inlineStr">
        <is>
          <t>Arbeitsschutz kontaminierte Bereiche (TRGS 524)</t>
        </is>
      </c>
      <c r="F1261" s="10" t="inlineStr">
        <is>
          <t>Schadstoffe</t>
        </is>
      </c>
      <c r="G1261" s="12" t="n">
        <v>0.1</v>
      </c>
      <c r="H1261" s="13" t="n">
        <v>155</v>
      </c>
      <c r="I1261" s="13" t="n">
        <v>310</v>
      </c>
      <c r="J1261" s="13" t="n">
        <v>620</v>
      </c>
      <c r="K1261" s="14">
        <f>IF(OR(COUNT(G1261:J1261)&lt;&gt;4,G1261&lt;0,G1261&gt;1,H1261&gt;I1261,I1261&gt;J1261),"n.a.",ROUND(G1261*(H1261+4*I1261+J1261)/6+0.00000001,2))</f>
        <v/>
      </c>
      <c r="L1261" s="13" t="n">
        <v>0</v>
      </c>
      <c r="M1261" s="14">
        <f>SUMIFS(Maßnahmen!$I$7:$I$126,Maßnahmen!$D$7:$D$126,C1261,Maßnahmen!$H$7:$H$126,"&lt;&gt;verworfen")</f>
        <v/>
      </c>
      <c r="N1261" s="14">
        <f>IF(ISNUMBER(K1261),MAX(0,K1261-L1261-M1261),"n.a.")</f>
        <v/>
      </c>
      <c r="O1261" s="14" t="n">
        <v>33.58</v>
      </c>
      <c r="P1261" s="14">
        <f>IF(ISNUMBER(K1261),K1261-O1261,"n.a.")</f>
        <v/>
      </c>
    </row>
    <row r="1262" ht="32" customHeight="1">
      <c r="C1262" s="10" t="inlineStr">
        <is>
          <t>PRJ-4f8e93f6-RK-04</t>
        </is>
      </c>
      <c r="D1262" s="10" t="inlineStr">
        <is>
          <t>P4102307423</t>
        </is>
      </c>
      <c r="E1262" s="11" t="inlineStr">
        <is>
          <t>Baustofftrennung / Aufbereitung nicht wie geplant</t>
        </is>
      </c>
      <c r="F1262" s="10" t="inlineStr">
        <is>
          <t>Entsorgung</t>
        </is>
      </c>
      <c r="G1262" s="12" t="n">
        <v>0.08</v>
      </c>
      <c r="H1262" s="13" t="n">
        <v>155</v>
      </c>
      <c r="I1262" s="13" t="n">
        <v>310</v>
      </c>
      <c r="J1262" s="13" t="n">
        <v>620</v>
      </c>
      <c r="K1262" s="14">
        <f>IF(OR(COUNT(G1262:J1262)&lt;&gt;4,G1262&lt;0,G1262&gt;1,H1262&gt;I1262,I1262&gt;J1262),"n.a.",ROUND(G1262*(H1262+4*I1262+J1262)/6+0.00000001,2))</f>
        <v/>
      </c>
      <c r="L1262" s="13" t="n">
        <v>0</v>
      </c>
      <c r="M1262" s="14">
        <f>SUMIFS(Maßnahmen!$I$7:$I$126,Maßnahmen!$D$7:$D$126,C1262,Maßnahmen!$H$7:$H$126,"&lt;&gt;verworfen")</f>
        <v/>
      </c>
      <c r="N1262" s="14">
        <f>IF(ISNUMBER(K1262),MAX(0,K1262-L1262-M1262),"n.a.")</f>
        <v/>
      </c>
      <c r="O1262" s="14" t="n">
        <v>26.87</v>
      </c>
      <c r="P1262" s="14">
        <f>IF(ISNUMBER(K1262),K1262-O1262,"n.a.")</f>
        <v/>
      </c>
    </row>
    <row r="1263" ht="32" customHeight="1">
      <c r="C1263" s="10" t="inlineStr">
        <is>
          <t>PRJ-4f8e93f6-RK-05</t>
        </is>
      </c>
      <c r="D1263" s="10" t="inlineStr">
        <is>
          <t>P4102307423</t>
        </is>
      </c>
      <c r="E1263" s="11" t="inlineStr">
        <is>
          <t>Unbekannte Bauwerkskonstruktion / fehlende Pläne</t>
        </is>
      </c>
      <c r="F1263" s="10" t="inlineStr">
        <is>
          <t>Statik</t>
        </is>
      </c>
      <c r="G1263" s="12" t="n">
        <v>0.12</v>
      </c>
      <c r="H1263" s="13" t="n">
        <v>1240</v>
      </c>
      <c r="I1263" s="13" t="n">
        <v>2480</v>
      </c>
      <c r="J1263" s="13" t="n">
        <v>4650</v>
      </c>
      <c r="K1263" s="14">
        <f>IF(OR(COUNT(G1263:J1263)&lt;&gt;4,G1263&lt;0,G1263&gt;1,H1263&gt;I1263,I1263&gt;J1263),"n.a.",ROUND(G1263*(H1263+4*I1263+J1263)/6+0.00000001,2))</f>
        <v/>
      </c>
      <c r="L1263" s="13" t="n">
        <v>0</v>
      </c>
      <c r="M1263" s="14">
        <f>SUMIFS(Maßnahmen!$I$7:$I$126,Maßnahmen!$D$7:$D$126,C1263,Maßnahmen!$H$7:$H$126,"&lt;&gt;verworfen")</f>
        <v/>
      </c>
      <c r="N1263" s="14">
        <f>IF(ISNUMBER(K1263),MAX(0,K1263-L1263-M1263),"n.a.")</f>
        <v/>
      </c>
      <c r="O1263" s="14" t="n">
        <v>316.2</v>
      </c>
      <c r="P1263" s="14">
        <f>IF(ISNUMBER(K1263),K1263-O1263,"n.a.")</f>
        <v/>
      </c>
    </row>
    <row r="1264" ht="32" customHeight="1">
      <c r="C1264" s="10" t="inlineStr">
        <is>
          <t>PRJ-4f8e93f6-RK-09</t>
        </is>
      </c>
      <c r="D1264" s="10" t="inlineStr">
        <is>
          <t>P4102307423</t>
        </is>
      </c>
      <c r="E1264" s="11" t="inlineStr">
        <is>
          <t>Beennte Lage / nur Handabbruch möglich</t>
        </is>
      </c>
      <c r="F1264" s="10" t="inlineStr">
        <is>
          <t>Termin</t>
        </is>
      </c>
      <c r="G1264" s="12" t="n">
        <v>0.15</v>
      </c>
      <c r="H1264" s="13" t="n">
        <v>248</v>
      </c>
      <c r="I1264" s="13" t="n">
        <v>620</v>
      </c>
      <c r="J1264" s="13" t="n">
        <v>1550</v>
      </c>
      <c r="K1264" s="14">
        <f>IF(OR(COUNT(G1264:J1264)&lt;&gt;4,G1264&lt;0,G1264&gt;1,H1264&gt;I1264,I1264&gt;J1264),"n.a.",ROUND(G1264*(H1264+4*I1264+J1264)/6+0.00000001,2))</f>
        <v/>
      </c>
      <c r="L1264" s="13" t="n">
        <v>0</v>
      </c>
      <c r="M1264" s="14">
        <f>SUMIFS(Maßnahmen!$I$7:$I$126,Maßnahmen!$D$7:$D$126,C1264,Maßnahmen!$H$7:$H$126,"&lt;&gt;verworfen")</f>
        <v/>
      </c>
      <c r="N1264" s="14">
        <f>IF(ISNUMBER(K1264),MAX(0,K1264-L1264-M1264),"n.a.")</f>
        <v/>
      </c>
      <c r="O1264" s="14" t="n">
        <v>106.95</v>
      </c>
      <c r="P1264" s="14">
        <f>IF(ISNUMBER(K1264),K1264-O1264,"n.a.")</f>
        <v/>
      </c>
    </row>
    <row r="1265" ht="32" customHeight="1">
      <c r="C1265" s="10" t="inlineStr">
        <is>
          <t>PRJ-4f8e93f6-RK-10</t>
        </is>
      </c>
      <c r="D1265" s="10" t="inlineStr">
        <is>
          <t>P4102307423</t>
        </is>
      </c>
      <c r="E1265" s="11" t="inlineStr">
        <is>
          <t>Terminvorgabe Auftraggeber / Geräteauslastung</t>
        </is>
      </c>
      <c r="F1265" s="10" t="inlineStr">
        <is>
          <t>Termin</t>
        </is>
      </c>
      <c r="G1265" s="12" t="n">
        <v>0.08</v>
      </c>
      <c r="H1265" s="13" t="n">
        <v>155</v>
      </c>
      <c r="I1265" s="13" t="n">
        <v>310</v>
      </c>
      <c r="J1265" s="13" t="n">
        <v>620</v>
      </c>
      <c r="K1265" s="14">
        <f>IF(OR(COUNT(G1265:J1265)&lt;&gt;4,G1265&lt;0,G1265&gt;1,H1265&gt;I1265,I1265&gt;J1265),"n.a.",ROUND(G1265*(H1265+4*I1265+J1265)/6+0.00000001,2))</f>
        <v/>
      </c>
      <c r="L1265" s="13" t="n">
        <v>0</v>
      </c>
      <c r="M1265" s="14">
        <f>SUMIFS(Maßnahmen!$I$7:$I$126,Maßnahmen!$D$7:$D$126,C1265,Maßnahmen!$H$7:$H$126,"&lt;&gt;verworfen")</f>
        <v/>
      </c>
      <c r="N1265" s="14">
        <f>IF(ISNUMBER(K1265),MAX(0,K1265-L1265-M1265),"n.a.")</f>
        <v/>
      </c>
      <c r="O1265" s="14" t="n">
        <v>26.87</v>
      </c>
      <c r="P1265" s="14">
        <f>IF(ISNUMBER(K1265),K1265-O1265,"n.a.")</f>
        <v/>
      </c>
    </row>
    <row r="1266" ht="32" customHeight="1">
      <c r="C1266" s="10" t="inlineStr">
        <is>
          <t>PRJ-4f8e93f6-RK-11</t>
        </is>
      </c>
      <c r="D1266" s="10" t="inlineStr">
        <is>
          <t>P4102307423</t>
        </is>
      </c>
      <c r="E1266" s="11" t="inlineStr">
        <is>
          <t>Witterung / Ablaufstörung</t>
        </is>
      </c>
      <c r="F1266" s="10" t="inlineStr">
        <is>
          <t>Termin</t>
        </is>
      </c>
      <c r="G1266" s="12" t="n">
        <v>0.25</v>
      </c>
      <c r="H1266" s="13" t="n">
        <v>310</v>
      </c>
      <c r="I1266" s="13" t="n">
        <v>930</v>
      </c>
      <c r="J1266" s="13" t="n">
        <v>1860</v>
      </c>
      <c r="K1266" s="14">
        <f>IF(OR(COUNT(G1266:J1266)&lt;&gt;4,G1266&lt;0,G1266&gt;1,H1266&gt;I1266,I1266&gt;J1266),"n.a.",ROUND(G1266*(H1266+4*I1266+J1266)/6+0.00000001,2))</f>
        <v/>
      </c>
      <c r="L1266" s="13" t="n">
        <v>0</v>
      </c>
      <c r="M1266" s="14">
        <f>SUMIFS(Maßnahmen!$I$7:$I$126,Maßnahmen!$D$7:$D$126,C1266,Maßnahmen!$H$7:$H$126,"&lt;&gt;verworfen")</f>
        <v/>
      </c>
      <c r="N1266" s="14">
        <f>IF(ISNUMBER(K1266),MAX(0,K1266-L1266-M1266),"n.a.")</f>
        <v/>
      </c>
      <c r="O1266" s="14" t="n">
        <v>245.42</v>
      </c>
      <c r="P1266" s="14">
        <f>IF(ISNUMBER(K1266),K1266-O1266,"n.a.")</f>
        <v/>
      </c>
    </row>
    <row r="1267" ht="32" customHeight="1">
      <c r="C1267" s="10" t="inlineStr">
        <is>
          <t>PRJ-4f8e93f6-RK-12</t>
        </is>
      </c>
      <c r="D1267" s="10" t="inlineStr">
        <is>
          <t>P4102307423</t>
        </is>
      </c>
      <c r="E1267" s="11" t="inlineStr">
        <is>
          <t>Staubemissionen (höchster Aufwand laut Umfrage)</t>
        </is>
      </c>
      <c r="F1267" s="10" t="inlineStr">
        <is>
          <t>Emissionen</t>
        </is>
      </c>
      <c r="G1267" s="12" t="n">
        <v>0.1</v>
      </c>
      <c r="H1267" s="13" t="n">
        <v>930</v>
      </c>
      <c r="I1267" s="13" t="n">
        <v>1860</v>
      </c>
      <c r="J1267" s="13" t="n">
        <v>3720</v>
      </c>
      <c r="K1267" s="14">
        <f>IF(OR(COUNT(G1267:J1267)&lt;&gt;4,G1267&lt;0,G1267&gt;1,H1267&gt;I1267,I1267&gt;J1267),"n.a.",ROUND(G1267*(H1267+4*I1267+J1267)/6+0.00000001,2))</f>
        <v/>
      </c>
      <c r="L1267" s="13" t="n">
        <v>0</v>
      </c>
      <c r="M1267" s="14">
        <f>SUMIFS(Maßnahmen!$I$7:$I$126,Maßnahmen!$D$7:$D$126,C1267,Maßnahmen!$H$7:$H$126,"&lt;&gt;verworfen")</f>
        <v/>
      </c>
      <c r="N1267" s="14">
        <f>IF(ISNUMBER(K1267),MAX(0,K1267-L1267-M1267),"n.a.")</f>
        <v/>
      </c>
      <c r="O1267" s="14" t="n">
        <v>201.5</v>
      </c>
      <c r="P1267" s="14">
        <f>IF(ISNUMBER(K1267),K1267-O1267,"n.a.")</f>
        <v/>
      </c>
    </row>
    <row r="1268" ht="32" customHeight="1">
      <c r="C1268" s="10" t="inlineStr">
        <is>
          <t>PRJ-4f8e93f6-RK-13</t>
        </is>
      </c>
      <c r="D1268" s="10" t="inlineStr">
        <is>
          <t>P4102307423</t>
        </is>
      </c>
      <c r="E1268" s="11" t="inlineStr">
        <is>
          <t>Lärm- und Erschütterungsauflagen</t>
        </is>
      </c>
      <c r="F1268" s="10" t="inlineStr">
        <is>
          <t>Emissionen</t>
        </is>
      </c>
      <c r="G1268" s="12" t="n">
        <v>0.2</v>
      </c>
      <c r="H1268" s="13" t="n">
        <v>620</v>
      </c>
      <c r="I1268" s="13" t="n">
        <v>1550</v>
      </c>
      <c r="J1268" s="13" t="n">
        <v>3100</v>
      </c>
      <c r="K1268" s="14">
        <f>IF(OR(COUNT(G1268:J1268)&lt;&gt;4,G1268&lt;0,G1268&gt;1,H1268&gt;I1268,I1268&gt;J1268),"n.a.",ROUND(G1268*(H1268+4*I1268+J1268)/6+0.00000001,2))</f>
        <v/>
      </c>
      <c r="L1268" s="13" t="n">
        <v>0</v>
      </c>
      <c r="M1268" s="14">
        <f>SUMIFS(Maßnahmen!$I$7:$I$126,Maßnahmen!$D$7:$D$126,C1268,Maßnahmen!$H$7:$H$126,"&lt;&gt;verworfen")</f>
        <v/>
      </c>
      <c r="N1268" s="14">
        <f>IF(ISNUMBER(K1268),MAX(0,K1268-L1268-M1268),"n.a.")</f>
        <v/>
      </c>
      <c r="O1268" s="14" t="n">
        <v>330.67</v>
      </c>
      <c r="P1268" s="14">
        <f>IF(ISNUMBER(K1268),K1268-O1268,"n.a.")</f>
        <v/>
      </c>
    </row>
    <row r="1269" ht="32" customHeight="1">
      <c r="C1269" s="10" t="inlineStr">
        <is>
          <t>PRJ-4f8e93f6-RK-15</t>
        </is>
      </c>
      <c r="D1269" s="10" t="inlineStr">
        <is>
          <t>P4102307423</t>
        </is>
      </c>
      <c r="E1269" s="11" t="inlineStr">
        <is>
          <t>Konjunktur / Sekundärstoffpreise &amp; Gerätemiete</t>
        </is>
      </c>
      <c r="F1269" s="10" t="inlineStr">
        <is>
          <t>Markt</t>
        </is>
      </c>
      <c r="G1269" s="12" t="n">
        <v>0.12</v>
      </c>
      <c r="H1269" s="13" t="n">
        <v>248</v>
      </c>
      <c r="I1269" s="13" t="n">
        <v>620</v>
      </c>
      <c r="J1269" s="13" t="n">
        <v>1550</v>
      </c>
      <c r="K1269" s="14">
        <f>IF(OR(COUNT(G1269:J1269)&lt;&gt;4,G1269&lt;0,G1269&gt;1,H1269&gt;I1269,I1269&gt;J1269),"n.a.",ROUND(G1269*(H1269+4*I1269+J1269)/6+0.00000001,2))</f>
        <v/>
      </c>
      <c r="L1269" s="13" t="n">
        <v>0</v>
      </c>
      <c r="M1269" s="14">
        <f>SUMIFS(Maßnahmen!$I$7:$I$126,Maßnahmen!$D$7:$D$126,C1269,Maßnahmen!$H$7:$H$126,"&lt;&gt;verworfen")</f>
        <v/>
      </c>
      <c r="N1269" s="14">
        <f>IF(ISNUMBER(K1269),MAX(0,K1269-L1269-M1269),"n.a.")</f>
        <v/>
      </c>
      <c r="O1269" s="14" t="n">
        <v>85.56</v>
      </c>
      <c r="P1269" s="14">
        <f>IF(ISNUMBER(K1269),K1269-O1269,"n.a.")</f>
        <v/>
      </c>
    </row>
    <row r="1270" ht="32" customHeight="1">
      <c r="C1270" s="10" t="inlineStr">
        <is>
          <t>PRJ-4a6f9cbc-RK-01</t>
        </is>
      </c>
      <c r="D1270" s="10" t="inlineStr">
        <is>
          <t>P4102608267</t>
        </is>
      </c>
      <c r="E1270" s="11" t="inlineStr">
        <is>
          <t>Schadstofffund / Schadstoffsanierung (Asbest, PAK, PCB, PCP)</t>
        </is>
      </c>
      <c r="F1270" s="10" t="inlineStr">
        <is>
          <t>Schadstoffe</t>
        </is>
      </c>
      <c r="G1270" s="12" t="n">
        <v>0.1</v>
      </c>
      <c r="H1270" s="13" t="n">
        <v>401</v>
      </c>
      <c r="I1270" s="13" t="n">
        <v>1003</v>
      </c>
      <c r="J1270" s="13" t="n">
        <v>2007</v>
      </c>
      <c r="K1270" s="14">
        <f>IF(OR(COUNT(G1270:J1270)&lt;&gt;4,G1270&lt;0,G1270&gt;1,H1270&gt;I1270,I1270&gt;J1270),"n.a.",ROUND(G1270*(H1270+4*I1270+J1270)/6+0.00000001,2))</f>
        <v/>
      </c>
      <c r="L1270" s="13" t="n">
        <v>0</v>
      </c>
      <c r="M1270" s="14">
        <f>SUMIFS(Maßnahmen!$I$7:$I$126,Maßnahmen!$D$7:$D$126,C1270,Maßnahmen!$H$7:$H$126,"&lt;&gt;verworfen")</f>
        <v/>
      </c>
      <c r="N1270" s="14">
        <f>IF(ISNUMBER(K1270),MAX(0,K1270-L1270-M1270),"n.a.")</f>
        <v/>
      </c>
      <c r="O1270" s="14" t="n">
        <v>107</v>
      </c>
      <c r="P1270" s="14">
        <f>IF(ISNUMBER(K1270),K1270-O1270,"n.a.")</f>
        <v/>
      </c>
    </row>
    <row r="1271" ht="32" customHeight="1">
      <c r="C1271" s="10" t="inlineStr">
        <is>
          <t>PRJ-4a6f9cbc-RK-02</t>
        </is>
      </c>
      <c r="D1271" s="10" t="inlineStr">
        <is>
          <t>P4102608267</t>
        </is>
      </c>
      <c r="E1271" s="11" t="inlineStr">
        <is>
          <t>Arbeitsschutz kontaminierte Bereiche (TRGS 524)</t>
        </is>
      </c>
      <c r="F1271" s="10" t="inlineStr">
        <is>
          <t>Schadstoffe</t>
        </is>
      </c>
      <c r="G1271" s="12" t="n">
        <v>0.1</v>
      </c>
      <c r="H1271" s="13" t="n">
        <v>100</v>
      </c>
      <c r="I1271" s="13" t="n">
        <v>201</v>
      </c>
      <c r="J1271" s="13" t="n">
        <v>401</v>
      </c>
      <c r="K1271" s="14">
        <f>IF(OR(COUNT(G1271:J1271)&lt;&gt;4,G1271&lt;0,G1271&gt;1,H1271&gt;I1271,I1271&gt;J1271),"n.a.",ROUND(G1271*(H1271+4*I1271+J1271)/6+0.00000001,2))</f>
        <v/>
      </c>
      <c r="L1271" s="13" t="n">
        <v>0</v>
      </c>
      <c r="M1271" s="14">
        <f>SUMIFS(Maßnahmen!$I$7:$I$126,Maßnahmen!$D$7:$D$126,C1271,Maßnahmen!$H$7:$H$126,"&lt;&gt;verworfen")</f>
        <v/>
      </c>
      <c r="N1271" s="14">
        <f>IF(ISNUMBER(K1271),MAX(0,K1271-L1271-M1271),"n.a.")</f>
        <v/>
      </c>
      <c r="O1271" s="14" t="n">
        <v>21.75</v>
      </c>
      <c r="P1271" s="14">
        <f>IF(ISNUMBER(K1271),K1271-O1271,"n.a.")</f>
        <v/>
      </c>
    </row>
    <row r="1272" ht="32" customHeight="1">
      <c r="C1272" s="10" t="inlineStr">
        <is>
          <t>PRJ-4a6f9cbc-RK-04</t>
        </is>
      </c>
      <c r="D1272" s="10" t="inlineStr">
        <is>
          <t>P4102608267</t>
        </is>
      </c>
      <c r="E1272" s="11" t="inlineStr">
        <is>
          <t>Baustofftrennung / Aufbereitung nicht wie geplant</t>
        </is>
      </c>
      <c r="F1272" s="10" t="inlineStr">
        <is>
          <t>Entsorgung</t>
        </is>
      </c>
      <c r="G1272" s="12" t="n">
        <v>0.08</v>
      </c>
      <c r="H1272" s="13" t="n">
        <v>100</v>
      </c>
      <c r="I1272" s="13" t="n">
        <v>201</v>
      </c>
      <c r="J1272" s="13" t="n">
        <v>401</v>
      </c>
      <c r="K1272" s="14">
        <f>IF(OR(COUNT(G1272:J1272)&lt;&gt;4,G1272&lt;0,G1272&gt;1,H1272&gt;I1272,I1272&gt;J1272),"n.a.",ROUND(G1272*(H1272+4*I1272+J1272)/6+0.00000001,2))</f>
        <v/>
      </c>
      <c r="L1272" s="13" t="n">
        <v>0</v>
      </c>
      <c r="M1272" s="14">
        <f>SUMIFS(Maßnahmen!$I$7:$I$126,Maßnahmen!$D$7:$D$126,C1272,Maßnahmen!$H$7:$H$126,"&lt;&gt;verworfen")</f>
        <v/>
      </c>
      <c r="N1272" s="14">
        <f>IF(ISNUMBER(K1272),MAX(0,K1272-L1272-M1272),"n.a.")</f>
        <v/>
      </c>
      <c r="O1272" s="14" t="n">
        <v>17.4</v>
      </c>
      <c r="P1272" s="14">
        <f>IF(ISNUMBER(K1272),K1272-O1272,"n.a.")</f>
        <v/>
      </c>
    </row>
    <row r="1273" ht="32" customHeight="1">
      <c r="C1273" s="10" t="inlineStr">
        <is>
          <t>PRJ-4a6f9cbc-RK-10</t>
        </is>
      </c>
      <c r="D1273" s="10" t="inlineStr">
        <is>
          <t>P4102608267</t>
        </is>
      </c>
      <c r="E1273" s="11" t="inlineStr">
        <is>
          <t>Terminvorgabe Auftraggeber / Geräteauslastung</t>
        </is>
      </c>
      <c r="F1273" s="10" t="inlineStr">
        <is>
          <t>Termin</t>
        </is>
      </c>
      <c r="G1273" s="12" t="n">
        <v>0.08</v>
      </c>
      <c r="H1273" s="13" t="n">
        <v>100</v>
      </c>
      <c r="I1273" s="13" t="n">
        <v>201</v>
      </c>
      <c r="J1273" s="13" t="n">
        <v>401</v>
      </c>
      <c r="K1273" s="14">
        <f>IF(OR(COUNT(G1273:J1273)&lt;&gt;4,G1273&lt;0,G1273&gt;1,H1273&gt;I1273,I1273&gt;J1273),"n.a.",ROUND(G1273*(H1273+4*I1273+J1273)/6+0.00000001,2))</f>
        <v/>
      </c>
      <c r="L1273" s="13" t="n">
        <v>0</v>
      </c>
      <c r="M1273" s="14">
        <f>SUMIFS(Maßnahmen!$I$7:$I$126,Maßnahmen!$D$7:$D$126,C1273,Maßnahmen!$H$7:$H$126,"&lt;&gt;verworfen")</f>
        <v/>
      </c>
      <c r="N1273" s="14">
        <f>IF(ISNUMBER(K1273),MAX(0,K1273-L1273-M1273),"n.a.")</f>
        <v/>
      </c>
      <c r="O1273" s="14" t="n">
        <v>17.4</v>
      </c>
      <c r="P1273" s="14">
        <f>IF(ISNUMBER(K1273),K1273-O1273,"n.a.")</f>
        <v/>
      </c>
    </row>
    <row r="1274" ht="32" customHeight="1">
      <c r="C1274" s="10" t="inlineStr">
        <is>
          <t>PRJ-4a6f9cbc-RK-11</t>
        </is>
      </c>
      <c r="D1274" s="10" t="inlineStr">
        <is>
          <t>P4102608267</t>
        </is>
      </c>
      <c r="E1274" s="11" t="inlineStr">
        <is>
          <t>Witterung / Ablaufstörung</t>
        </is>
      </c>
      <c r="F1274" s="10" t="inlineStr">
        <is>
          <t>Termin</t>
        </is>
      </c>
      <c r="G1274" s="12" t="n">
        <v>0.25</v>
      </c>
      <c r="H1274" s="13" t="n">
        <v>201</v>
      </c>
      <c r="I1274" s="13" t="n">
        <v>602</v>
      </c>
      <c r="J1274" s="13" t="n">
        <v>1204</v>
      </c>
      <c r="K1274" s="14">
        <f>IF(OR(COUNT(G1274:J1274)&lt;&gt;4,G1274&lt;0,G1274&gt;1,H1274&gt;I1274,I1274&gt;J1274),"n.a.",ROUND(G1274*(H1274+4*I1274+J1274)/6+0.00000001,2))</f>
        <v/>
      </c>
      <c r="L1274" s="13" t="n">
        <v>0</v>
      </c>
      <c r="M1274" s="14">
        <f>SUMIFS(Maßnahmen!$I$7:$I$126,Maßnahmen!$D$7:$D$126,C1274,Maßnahmen!$H$7:$H$126,"&lt;&gt;verworfen")</f>
        <v/>
      </c>
      <c r="N1274" s="14">
        <f>IF(ISNUMBER(K1274),MAX(0,K1274-L1274-M1274),"n.a.")</f>
        <v/>
      </c>
      <c r="O1274" s="14" t="n">
        <v>158.88</v>
      </c>
      <c r="P1274" s="14">
        <f>IF(ISNUMBER(K1274),K1274-O1274,"n.a.")</f>
        <v/>
      </c>
    </row>
    <row r="1275" ht="32" customHeight="1">
      <c r="C1275" s="10" t="inlineStr">
        <is>
          <t>PRJ-4a6f9cbc-RK-15</t>
        </is>
      </c>
      <c r="D1275" s="10" t="inlineStr">
        <is>
          <t>P4102608267</t>
        </is>
      </c>
      <c r="E1275" s="11" t="inlineStr">
        <is>
          <t>Konjunktur / Sekundärstoffpreise &amp; Gerätemiete</t>
        </is>
      </c>
      <c r="F1275" s="10" t="inlineStr">
        <is>
          <t>Markt</t>
        </is>
      </c>
      <c r="G1275" s="12" t="n">
        <v>0.12</v>
      </c>
      <c r="H1275" s="13" t="n">
        <v>161</v>
      </c>
      <c r="I1275" s="13" t="n">
        <v>401</v>
      </c>
      <c r="J1275" s="13" t="n">
        <v>1003</v>
      </c>
      <c r="K1275" s="14">
        <f>IF(OR(COUNT(G1275:J1275)&lt;&gt;4,G1275&lt;0,G1275&gt;1,H1275&gt;I1275,I1275&gt;J1275),"n.a.",ROUND(G1275*(H1275+4*I1275+J1275)/6+0.00000001,2))</f>
        <v/>
      </c>
      <c r="L1275" s="13" t="n">
        <v>0</v>
      </c>
      <c r="M1275" s="14">
        <f>SUMIFS(Maßnahmen!$I$7:$I$126,Maßnahmen!$D$7:$D$126,C1275,Maßnahmen!$H$7:$H$126,"&lt;&gt;verworfen")</f>
        <v/>
      </c>
      <c r="N1275" s="14">
        <f>IF(ISNUMBER(K1275),MAX(0,K1275-L1275-M1275),"n.a.")</f>
        <v/>
      </c>
      <c r="O1275" s="14" t="n">
        <v>55.36</v>
      </c>
      <c r="P1275" s="14">
        <f>IF(ISNUMBER(K1275),K1275-O1275,"n.a.")</f>
        <v/>
      </c>
    </row>
    <row r="1276" ht="32" customHeight="1">
      <c r="C1276" s="10" t="inlineStr">
        <is>
          <t>PRJ-52b1cf4d-RK-01</t>
        </is>
      </c>
      <c r="D1276" s="10" t="inlineStr">
        <is>
          <t>P4102157458</t>
        </is>
      </c>
      <c r="E1276" s="11" t="inlineStr">
        <is>
          <t>Schadstofffund / Schadstoffsanierung (Asbest, PAK, PCB, PCP)</t>
        </is>
      </c>
      <c r="F1276" s="10" t="inlineStr">
        <is>
          <t>Schadstoffe</t>
        </is>
      </c>
      <c r="G1276" s="12" t="n">
        <v>0.1</v>
      </c>
      <c r="H1276" s="13" t="n">
        <v>99</v>
      </c>
      <c r="I1276" s="13" t="n">
        <v>248</v>
      </c>
      <c r="J1276" s="13" t="n">
        <v>495</v>
      </c>
      <c r="K1276" s="14">
        <f>IF(OR(COUNT(G1276:J1276)&lt;&gt;4,G1276&lt;0,G1276&gt;1,H1276&gt;I1276,I1276&gt;J1276),"n.a.",ROUND(G1276*(H1276+4*I1276+J1276)/6+0.00000001,2))</f>
        <v/>
      </c>
      <c r="L1276" s="13" t="n">
        <v>0</v>
      </c>
      <c r="M1276" s="14">
        <f>SUMIFS(Maßnahmen!$I$7:$I$126,Maßnahmen!$D$7:$D$126,C1276,Maßnahmen!$H$7:$H$126,"&lt;&gt;verworfen")</f>
        <v/>
      </c>
      <c r="N1276" s="14">
        <f>IF(ISNUMBER(K1276),MAX(0,K1276-L1276-M1276),"n.a.")</f>
        <v/>
      </c>
      <c r="O1276" s="14" t="n">
        <v>26.43</v>
      </c>
      <c r="P1276" s="14">
        <f>IF(ISNUMBER(K1276),K1276-O1276,"n.a.")</f>
        <v/>
      </c>
    </row>
    <row r="1277" ht="32" customHeight="1">
      <c r="C1277" s="10" t="inlineStr">
        <is>
          <t>PRJ-52b1cf4d-RK-02</t>
        </is>
      </c>
      <c r="D1277" s="10" t="inlineStr">
        <is>
          <t>P4102157458</t>
        </is>
      </c>
      <c r="E1277" s="11" t="inlineStr">
        <is>
          <t>Arbeitsschutz kontaminierte Bereiche (TRGS 524)</t>
        </is>
      </c>
      <c r="F1277" s="10" t="inlineStr">
        <is>
          <t>Schadstoffe</t>
        </is>
      </c>
      <c r="G1277" s="12" t="n">
        <v>0.1</v>
      </c>
      <c r="H1277" s="13" t="n">
        <v>25</v>
      </c>
      <c r="I1277" s="13" t="n">
        <v>50</v>
      </c>
      <c r="J1277" s="13" t="n">
        <v>99</v>
      </c>
      <c r="K1277" s="14">
        <f>IF(OR(COUNT(G1277:J1277)&lt;&gt;4,G1277&lt;0,G1277&gt;1,H1277&gt;I1277,I1277&gt;J1277),"n.a.",ROUND(G1277*(H1277+4*I1277+J1277)/6+0.00000001,2))</f>
        <v/>
      </c>
      <c r="L1277" s="13" t="n">
        <v>0</v>
      </c>
      <c r="M1277" s="14">
        <f>SUMIFS(Maßnahmen!$I$7:$I$126,Maßnahmen!$D$7:$D$126,C1277,Maßnahmen!$H$7:$H$126,"&lt;&gt;verworfen")</f>
        <v/>
      </c>
      <c r="N1277" s="14">
        <f>IF(ISNUMBER(K1277),MAX(0,K1277-L1277-M1277),"n.a.")</f>
        <v/>
      </c>
      <c r="O1277" s="14" t="n">
        <v>5.4</v>
      </c>
      <c r="P1277" s="14">
        <f>IF(ISNUMBER(K1277),K1277-O1277,"n.a.")</f>
        <v/>
      </c>
    </row>
    <row r="1278" ht="32" customHeight="1">
      <c r="C1278" s="10" t="inlineStr">
        <is>
          <t>PRJ-52b1cf4d-RK-03</t>
        </is>
      </c>
      <c r="D1278" s="10" t="inlineStr">
        <is>
          <t>P4102157458</t>
        </is>
      </c>
      <c r="E1278" s="11" t="inlineStr">
        <is>
          <t>Entsorgungs-Mehrkosten / Entsorgungswege</t>
        </is>
      </c>
      <c r="F1278" s="10" t="inlineStr">
        <is>
          <t>Entsorgung</t>
        </is>
      </c>
      <c r="G1278" s="12" t="n">
        <v>0.15</v>
      </c>
      <c r="H1278" s="13" t="n">
        <v>99</v>
      </c>
      <c r="I1278" s="13" t="n">
        <v>248</v>
      </c>
      <c r="J1278" s="13" t="n">
        <v>495</v>
      </c>
      <c r="K1278" s="14">
        <f>IF(OR(COUNT(G1278:J1278)&lt;&gt;4,G1278&lt;0,G1278&gt;1,H1278&gt;I1278,I1278&gt;J1278),"n.a.",ROUND(G1278*(H1278+4*I1278+J1278)/6+0.00000001,2))</f>
        <v/>
      </c>
      <c r="L1278" s="13" t="n">
        <v>0</v>
      </c>
      <c r="M1278" s="14">
        <f>SUMIFS(Maßnahmen!$I$7:$I$126,Maßnahmen!$D$7:$D$126,C1278,Maßnahmen!$H$7:$H$126,"&lt;&gt;verworfen")</f>
        <v/>
      </c>
      <c r="N1278" s="14">
        <f>IF(ISNUMBER(K1278),MAX(0,K1278-L1278-M1278),"n.a.")</f>
        <v/>
      </c>
      <c r="O1278" s="14" t="n">
        <v>39.65</v>
      </c>
      <c r="P1278" s="14">
        <f>IF(ISNUMBER(K1278),K1278-O1278,"n.a.")</f>
        <v/>
      </c>
    </row>
    <row r="1279" ht="32" customHeight="1">
      <c r="C1279" s="10" t="inlineStr">
        <is>
          <t>PRJ-40724604-RK-15</t>
        </is>
      </c>
      <c r="D1279" s="10" t="inlineStr">
        <is>
          <t>W4102154501</t>
        </is>
      </c>
      <c r="E1279" s="11" t="inlineStr">
        <is>
          <t>Konjunktur / Sekundärstoffpreise &amp; Gerätemiete</t>
        </is>
      </c>
      <c r="F1279" s="10" t="inlineStr">
        <is>
          <t>Markt</t>
        </is>
      </c>
      <c r="G1279" s="12" t="n">
        <v>0.12</v>
      </c>
      <c r="H1279" s="13" t="n">
        <v>61</v>
      </c>
      <c r="I1279" s="13" t="n">
        <v>152</v>
      </c>
      <c r="J1279" s="13" t="n">
        <v>379</v>
      </c>
      <c r="K1279" s="14">
        <f>IF(OR(COUNT(G1279:J1279)&lt;&gt;4,G1279&lt;0,G1279&gt;1,H1279&gt;I1279,I1279&gt;J1279),"n.a.",ROUND(G1279*(H1279+4*I1279+J1279)/6+0.00000001,2))</f>
        <v/>
      </c>
      <c r="L1279" s="13" t="n">
        <v>0</v>
      </c>
      <c r="M1279" s="14">
        <f>SUMIFS(Maßnahmen!$I$7:$I$126,Maßnahmen!$D$7:$D$126,C1279,Maßnahmen!$H$7:$H$126,"&lt;&gt;verworfen")</f>
        <v/>
      </c>
      <c r="N1279" s="14">
        <f>IF(ISNUMBER(K1279),MAX(0,K1279-L1279-M1279),"n.a.")</f>
        <v/>
      </c>
      <c r="O1279" s="14" t="n">
        <v>20.96</v>
      </c>
      <c r="P1279" s="14">
        <f>IF(ISNUMBER(K1279),K1279-O1279,"n.a.")</f>
        <v/>
      </c>
    </row>
    <row r="1280" ht="32" customHeight="1">
      <c r="C1280" s="10" t="inlineStr">
        <is>
          <t>PRJ-39e56811-RK-10</t>
        </is>
      </c>
      <c r="D1280" s="10" t="inlineStr">
        <is>
          <t>W4102504101</t>
        </is>
      </c>
      <c r="E1280" s="11" t="inlineStr">
        <is>
          <t>Terminvorgabe Auftraggeber / Geräteauslastung</t>
        </is>
      </c>
      <c r="F1280" s="10" t="inlineStr">
        <is>
          <t>Termin</t>
        </is>
      </c>
      <c r="G1280" s="12" t="n">
        <v>0.1</v>
      </c>
      <c r="H1280" s="13" t="n">
        <v>8</v>
      </c>
      <c r="I1280" s="13" t="n">
        <v>20</v>
      </c>
      <c r="J1280" s="13" t="n">
        <v>50</v>
      </c>
      <c r="K1280" s="14">
        <f>IF(OR(COUNT(G1280:J1280)&lt;&gt;4,G1280&lt;0,G1280&gt;1,H1280&gt;I1280,I1280&gt;J1280),"n.a.",ROUND(G1280*(H1280+4*I1280+J1280)/6+0.00000001,2))</f>
        <v/>
      </c>
      <c r="L1280" s="13" t="n">
        <v>0</v>
      </c>
      <c r="M1280" s="14">
        <f>SUMIFS(Maßnahmen!$I$7:$I$126,Maßnahmen!$D$7:$D$126,C1280,Maßnahmen!$H$7:$H$126,"&lt;&gt;verworfen")</f>
        <v/>
      </c>
      <c r="N1280" s="14">
        <f>IF(ISNUMBER(K1280),MAX(0,K1280-L1280-M1280),"n.a.")</f>
        <v/>
      </c>
      <c r="O1280" s="14" t="n">
        <v>2.3</v>
      </c>
      <c r="P1280" s="14">
        <f>IF(ISNUMBER(K1280),K1280-O1280,"n.a.")</f>
        <v/>
      </c>
    </row>
    <row r="1281" ht="32" customHeight="1">
      <c r="C1281" s="10" t="inlineStr">
        <is>
          <t>PRJ-39e56811-RK-11</t>
        </is>
      </c>
      <c r="D1281" s="10" t="inlineStr">
        <is>
          <t>W4102504101</t>
        </is>
      </c>
      <c r="E1281" s="11" t="inlineStr">
        <is>
          <t>Witterung / Ablaufstörung</t>
        </is>
      </c>
      <c r="F1281" s="10" t="inlineStr">
        <is>
          <t>Termin</t>
        </is>
      </c>
      <c r="G1281" s="12" t="n">
        <v>0.25</v>
      </c>
      <c r="H1281" s="13" t="n">
        <v>10</v>
      </c>
      <c r="I1281" s="13" t="n">
        <v>30</v>
      </c>
      <c r="J1281" s="13" t="n">
        <v>60</v>
      </c>
      <c r="K1281" s="14">
        <f>IF(OR(COUNT(G1281:J1281)&lt;&gt;4,G1281&lt;0,G1281&gt;1,H1281&gt;I1281,I1281&gt;J1281),"n.a.",ROUND(G1281*(H1281+4*I1281+J1281)/6+0.00000001,2))</f>
        <v/>
      </c>
      <c r="L1281" s="13" t="n">
        <v>0</v>
      </c>
      <c r="M1281" s="14">
        <f>SUMIFS(Maßnahmen!$I$7:$I$126,Maßnahmen!$D$7:$D$126,C1281,Maßnahmen!$H$7:$H$126,"&lt;&gt;verworfen")</f>
        <v/>
      </c>
      <c r="N1281" s="14">
        <f>IF(ISNUMBER(K1281),MAX(0,K1281-L1281-M1281),"n.a.")</f>
        <v/>
      </c>
      <c r="O1281" s="14" t="n">
        <v>7.92</v>
      </c>
      <c r="P1281" s="14">
        <f>IF(ISNUMBER(K1281),K1281-O1281,"n.a.")</f>
        <v/>
      </c>
    </row>
    <row r="1282" ht="32" customHeight="1">
      <c r="C1282" s="10" t="inlineStr">
        <is>
          <t>PRJ-52b1cf4d-RK-04</t>
        </is>
      </c>
      <c r="D1282" s="10" t="inlineStr">
        <is>
          <t>P4102157458</t>
        </is>
      </c>
      <c r="E1282" s="11" t="inlineStr">
        <is>
          <t>Baustofftrennung / Aufbereitung nicht wie geplant</t>
        </is>
      </c>
      <c r="F1282" s="10" t="inlineStr">
        <is>
          <t>Entsorgung</t>
        </is>
      </c>
      <c r="G1282" s="12" t="n">
        <v>0.08</v>
      </c>
      <c r="H1282" s="13" t="n">
        <v>25</v>
      </c>
      <c r="I1282" s="13" t="n">
        <v>50</v>
      </c>
      <c r="J1282" s="13" t="n">
        <v>99</v>
      </c>
      <c r="K1282" s="14">
        <f>IF(OR(COUNT(G1282:J1282)&lt;&gt;4,G1282&lt;0,G1282&gt;1,H1282&gt;I1282,I1282&gt;J1282),"n.a.",ROUND(G1282*(H1282+4*I1282+J1282)/6+0.00000001,2))</f>
        <v/>
      </c>
      <c r="L1282" s="13" t="n">
        <v>0</v>
      </c>
      <c r="M1282" s="14">
        <f>SUMIFS(Maßnahmen!$I$7:$I$126,Maßnahmen!$D$7:$D$126,C1282,Maßnahmen!$H$7:$H$126,"&lt;&gt;verworfen")</f>
        <v/>
      </c>
      <c r="N1282" s="14">
        <f>IF(ISNUMBER(K1282),MAX(0,K1282-L1282-M1282),"n.a.")</f>
        <v/>
      </c>
      <c r="O1282" s="14" t="n">
        <v>4.32</v>
      </c>
      <c r="P1282" s="14">
        <f>IF(ISNUMBER(K1282),K1282-O1282,"n.a.")</f>
        <v/>
      </c>
    </row>
    <row r="1283" ht="32" customHeight="1">
      <c r="C1283" s="10" t="inlineStr">
        <is>
          <t>PRJ-52b1cf4d-RK-06</t>
        </is>
      </c>
      <c r="D1283" s="10" t="inlineStr">
        <is>
          <t>P4102157458</t>
        </is>
      </c>
      <c r="E1283" s="11" t="inlineStr">
        <is>
          <t>Statik / Einsturzsicherung während Abbruch</t>
        </is>
      </c>
      <c r="F1283" s="10" t="inlineStr">
        <is>
          <t>Statik</t>
        </is>
      </c>
      <c r="G1283" s="12" t="n">
        <v>0.12</v>
      </c>
      <c r="H1283" s="13" t="n">
        <v>149</v>
      </c>
      <c r="I1283" s="13" t="n">
        <v>347</v>
      </c>
      <c r="J1283" s="13" t="n">
        <v>693</v>
      </c>
      <c r="K1283" s="14">
        <f>IF(OR(COUNT(G1283:J1283)&lt;&gt;4,G1283&lt;0,G1283&gt;1,H1283&gt;I1283,I1283&gt;J1283),"n.a.",ROUND(G1283*(H1283+4*I1283+J1283)/6+0.00000001,2))</f>
        <v/>
      </c>
      <c r="L1283" s="13" t="n">
        <v>0</v>
      </c>
      <c r="M1283" s="14">
        <f>SUMIFS(Maßnahmen!$I$7:$I$126,Maßnahmen!$D$7:$D$126,C1283,Maßnahmen!$H$7:$H$126,"&lt;&gt;verworfen")</f>
        <v/>
      </c>
      <c r="N1283" s="14">
        <f>IF(ISNUMBER(K1283),MAX(0,K1283-L1283-M1283),"n.a.")</f>
        <v/>
      </c>
      <c r="O1283" s="14" t="n">
        <v>44.6</v>
      </c>
      <c r="P1283" s="14">
        <f>IF(ISNUMBER(K1283),K1283-O1283,"n.a.")</f>
        <v/>
      </c>
    </row>
    <row r="1284" ht="32" customHeight="1">
      <c r="C1284" s="10" t="inlineStr">
        <is>
          <t>PRJ-52b1cf4d-RK-07</t>
        </is>
      </c>
      <c r="D1284" s="10" t="inlineStr">
        <is>
          <t>P4102157458</t>
        </is>
      </c>
      <c r="E1284" s="11" t="inlineStr">
        <is>
          <t>Unterirdische Tragkonstruktion / Fundamente</t>
        </is>
      </c>
      <c r="F1284" s="10" t="inlineStr">
        <is>
          <t>Statik</t>
        </is>
      </c>
      <c r="G1284" s="12" t="n">
        <v>0.5</v>
      </c>
      <c r="H1284" s="13" t="n">
        <v>25</v>
      </c>
      <c r="I1284" s="13" t="n">
        <v>99</v>
      </c>
      <c r="J1284" s="13" t="n">
        <v>248</v>
      </c>
      <c r="K1284" s="14">
        <f>IF(OR(COUNT(G1284:J1284)&lt;&gt;4,G1284&lt;0,G1284&gt;1,H1284&gt;I1284,I1284&gt;J1284),"n.a.",ROUND(G1284*(H1284+4*I1284+J1284)/6+0.00000001,2))</f>
        <v/>
      </c>
      <c r="L1284" s="13" t="n">
        <v>0</v>
      </c>
      <c r="M1284" s="14">
        <f>SUMIFS(Maßnahmen!$I$7:$I$126,Maßnahmen!$D$7:$D$126,C1284,Maßnahmen!$H$7:$H$126,"&lt;&gt;verworfen")</f>
        <v/>
      </c>
      <c r="N1284" s="14">
        <f>IF(ISNUMBER(K1284),MAX(0,K1284-L1284-M1284),"n.a.")</f>
        <v/>
      </c>
      <c r="O1284" s="14" t="n">
        <v>55.75</v>
      </c>
      <c r="P1284" s="14">
        <f>IF(ISNUMBER(K1284),K1284-O1284,"n.a.")</f>
        <v/>
      </c>
    </row>
    <row r="1285" ht="32" customHeight="1">
      <c r="C1285" s="10" t="inlineStr">
        <is>
          <t>PRJ-52b1cf4d-RK-10</t>
        </is>
      </c>
      <c r="D1285" s="10" t="inlineStr">
        <is>
          <t>P4102157458</t>
        </is>
      </c>
      <c r="E1285" s="11" t="inlineStr">
        <is>
          <t>Terminvorgabe Auftraggeber / Geräteauslastung</t>
        </is>
      </c>
      <c r="F1285" s="10" t="inlineStr">
        <is>
          <t>Termin</t>
        </is>
      </c>
      <c r="G1285" s="12" t="n">
        <v>0.08</v>
      </c>
      <c r="H1285" s="13" t="n">
        <v>25</v>
      </c>
      <c r="I1285" s="13" t="n">
        <v>50</v>
      </c>
      <c r="J1285" s="13" t="n">
        <v>99</v>
      </c>
      <c r="K1285" s="14">
        <f>IF(OR(COUNT(G1285:J1285)&lt;&gt;4,G1285&lt;0,G1285&gt;1,H1285&gt;I1285,I1285&gt;J1285),"n.a.",ROUND(G1285*(H1285+4*I1285+J1285)/6+0.00000001,2))</f>
        <v/>
      </c>
      <c r="L1285" s="13" t="n">
        <v>0</v>
      </c>
      <c r="M1285" s="14">
        <f>SUMIFS(Maßnahmen!$I$7:$I$126,Maßnahmen!$D$7:$D$126,C1285,Maßnahmen!$H$7:$H$126,"&lt;&gt;verworfen")</f>
        <v/>
      </c>
      <c r="N1285" s="14">
        <f>IF(ISNUMBER(K1285),MAX(0,K1285-L1285-M1285),"n.a.")</f>
        <v/>
      </c>
      <c r="O1285" s="14" t="n">
        <v>4.32</v>
      </c>
      <c r="P1285" s="14">
        <f>IF(ISNUMBER(K1285),K1285-O1285,"n.a.")</f>
        <v/>
      </c>
    </row>
    <row r="1286" ht="32" customHeight="1">
      <c r="C1286" s="10" t="inlineStr">
        <is>
          <t>PRJ-52b1cf4d-RK-11</t>
        </is>
      </c>
      <c r="D1286" s="10" t="inlineStr">
        <is>
          <t>P4102157458</t>
        </is>
      </c>
      <c r="E1286" s="11" t="inlineStr">
        <is>
          <t>Witterung / Ablaufstörung</t>
        </is>
      </c>
      <c r="F1286" s="10" t="inlineStr">
        <is>
          <t>Termin</t>
        </is>
      </c>
      <c r="G1286" s="12" t="n">
        <v>0.55</v>
      </c>
      <c r="H1286" s="13" t="n">
        <v>1734</v>
      </c>
      <c r="I1286" s="13" t="n">
        <v>2229</v>
      </c>
      <c r="J1286" s="13" t="n">
        <v>3220</v>
      </c>
      <c r="K1286" s="14">
        <f>IF(OR(COUNT(G1286:J1286)&lt;&gt;4,G1286&lt;0,G1286&gt;1,H1286&gt;I1286,I1286&gt;J1286),"n.a.",ROUND(G1286*(H1286+4*I1286+J1286)/6+0.00000001,2))</f>
        <v/>
      </c>
      <c r="L1286" s="13" t="n">
        <v>0</v>
      </c>
      <c r="M1286" s="14">
        <f>SUMIFS(Maßnahmen!$I$7:$I$126,Maßnahmen!$D$7:$D$126,C1286,Maßnahmen!$H$7:$H$126,"&lt;&gt;verworfen")</f>
        <v/>
      </c>
      <c r="N1286" s="14">
        <f>IF(ISNUMBER(K1286),MAX(0,K1286-L1286-M1286),"n.a.")</f>
        <v/>
      </c>
      <c r="O1286" s="14" t="n">
        <v>1271.42</v>
      </c>
      <c r="P1286" s="14">
        <f>IF(ISNUMBER(K1286),K1286-O1286,"n.a.")</f>
        <v/>
      </c>
    </row>
    <row r="1287" ht="32" customHeight="1">
      <c r="C1287" s="10" t="inlineStr">
        <is>
          <t>PRJ-52b1cf4d-RK-15</t>
        </is>
      </c>
      <c r="D1287" s="10" t="inlineStr">
        <is>
          <t>P4102157458</t>
        </is>
      </c>
      <c r="E1287" s="11" t="inlineStr">
        <is>
          <t>Konjunktur / Sekundärstoffpreise &amp; Gerätemiete</t>
        </is>
      </c>
      <c r="F1287" s="10" t="inlineStr">
        <is>
          <t>Markt</t>
        </is>
      </c>
      <c r="G1287" s="12" t="n">
        <v>0.5</v>
      </c>
      <c r="H1287" s="13" t="n">
        <v>1734</v>
      </c>
      <c r="I1287" s="13" t="n">
        <v>2229</v>
      </c>
      <c r="J1287" s="13" t="n">
        <v>3220</v>
      </c>
      <c r="K1287" s="14">
        <f>IF(OR(COUNT(G1287:J1287)&lt;&gt;4,G1287&lt;0,G1287&gt;1,H1287&gt;I1287,I1287&gt;J1287),"n.a.",ROUND(G1287*(H1287+4*I1287+J1287)/6+0.00000001,2))</f>
        <v/>
      </c>
      <c r="L1287" s="13" t="n">
        <v>0</v>
      </c>
      <c r="M1287" s="14">
        <f>SUMIFS(Maßnahmen!$I$7:$I$126,Maßnahmen!$D$7:$D$126,C1287,Maßnahmen!$H$7:$H$126,"&lt;&gt;verworfen")</f>
        <v/>
      </c>
      <c r="N1287" s="14">
        <f>IF(ISNUMBER(K1287),MAX(0,K1287-L1287-M1287),"n.a.")</f>
        <v/>
      </c>
      <c r="O1287" s="14" t="n">
        <v>1155.83</v>
      </c>
      <c r="P1287" s="14">
        <f>IF(ISNUMBER(K1287),K1287-O1287,"n.a.")</f>
        <v/>
      </c>
    </row>
    <row r="1288" ht="32" customHeight="1">
      <c r="C1288" s="10" t="inlineStr">
        <is>
          <t>PRJ-52b1cf2d-RK-11</t>
        </is>
      </c>
      <c r="D1288" s="10" t="inlineStr">
        <is>
          <t>P4102157469</t>
        </is>
      </c>
      <c r="E1288" s="11" t="inlineStr">
        <is>
          <t>Witterung / Ablaufstörung</t>
        </is>
      </c>
      <c r="F1288" s="10" t="inlineStr">
        <is>
          <t>Termin</t>
        </is>
      </c>
      <c r="G1288" s="12" t="n">
        <v>0.25</v>
      </c>
      <c r="H1288" s="13" t="n">
        <v>22</v>
      </c>
      <c r="I1288" s="13" t="n">
        <v>65</v>
      </c>
      <c r="J1288" s="13" t="n">
        <v>130</v>
      </c>
      <c r="K1288" s="14">
        <f>IF(OR(COUNT(G1288:J1288)&lt;&gt;4,G1288&lt;0,G1288&gt;1,H1288&gt;I1288,I1288&gt;J1288),"n.a.",ROUND(G1288*(H1288+4*I1288+J1288)/6+0.00000001,2))</f>
        <v/>
      </c>
      <c r="L1288" s="13" t="n">
        <v>0</v>
      </c>
      <c r="M1288" s="14">
        <f>SUMIFS(Maßnahmen!$I$7:$I$126,Maßnahmen!$D$7:$D$126,C1288,Maßnahmen!$H$7:$H$126,"&lt;&gt;verworfen")</f>
        <v/>
      </c>
      <c r="N1288" s="14">
        <f>IF(ISNUMBER(K1288),MAX(0,K1288-L1288-M1288),"n.a.")</f>
        <v/>
      </c>
      <c r="O1288" s="14" t="n">
        <v>17.17</v>
      </c>
      <c r="P1288" s="14">
        <f>IF(ISNUMBER(K1288),K1288-O1288,"n.a.")</f>
        <v/>
      </c>
    </row>
    <row r="1289" ht="32" customHeight="1">
      <c r="C1289" s="10" t="inlineStr">
        <is>
          <t>PRJ-383070cf-RK-06</t>
        </is>
      </c>
      <c r="D1289" s="10" t="inlineStr">
        <is>
          <t>W4102604951</t>
        </is>
      </c>
      <c r="E1289" s="11" t="inlineStr">
        <is>
          <t>Statik / Einsturzsicherung während Abbruch</t>
        </is>
      </c>
      <c r="F1289" s="10" t="inlineStr">
        <is>
          <t>Statik</t>
        </is>
      </c>
      <c r="G1289" s="12" t="n">
        <v>0.12</v>
      </c>
      <c r="H1289" s="13" t="n">
        <v>61</v>
      </c>
      <c r="I1289" s="13" t="n">
        <v>143</v>
      </c>
      <c r="J1289" s="13" t="n">
        <v>286</v>
      </c>
      <c r="K1289" s="14">
        <f>IF(OR(COUNT(G1289:J1289)&lt;&gt;4,G1289&lt;0,G1289&gt;1,H1289&gt;I1289,I1289&gt;J1289),"n.a.",ROUND(G1289*(H1289+4*I1289+J1289)/6+0.00000001,2))</f>
        <v/>
      </c>
      <c r="L1289" s="13" t="n">
        <v>0</v>
      </c>
      <c r="M1289" s="14">
        <f>SUMIFS(Maßnahmen!$I$7:$I$126,Maßnahmen!$D$7:$D$126,C1289,Maßnahmen!$H$7:$H$126,"&lt;&gt;verworfen")</f>
        <v/>
      </c>
      <c r="N1289" s="14">
        <f>IF(ISNUMBER(K1289),MAX(0,K1289-L1289-M1289),"n.a.")</f>
        <v/>
      </c>
      <c r="O1289" s="14" t="n">
        <v>18.38</v>
      </c>
      <c r="P1289" s="14">
        <f>IF(ISNUMBER(K1289),K1289-O1289,"n.a.")</f>
        <v/>
      </c>
    </row>
    <row r="1290" ht="32" customHeight="1">
      <c r="C1290" s="10" t="inlineStr">
        <is>
          <t>PRJ-383070cf-RK-07</t>
        </is>
      </c>
      <c r="D1290" s="10" t="inlineStr">
        <is>
          <t>W4102604951</t>
        </is>
      </c>
      <c r="E1290" s="11" t="inlineStr">
        <is>
          <t>Unterirdische Tragkonstruktion / Fundamente</t>
        </is>
      </c>
      <c r="F1290" s="10" t="inlineStr">
        <is>
          <t>Statik</t>
        </is>
      </c>
      <c r="G1290" s="12" t="n">
        <v>0.5</v>
      </c>
      <c r="H1290" s="13" t="n">
        <v>10</v>
      </c>
      <c r="I1290" s="13" t="n">
        <v>41</v>
      </c>
      <c r="J1290" s="13" t="n">
        <v>102</v>
      </c>
      <c r="K1290" s="14">
        <f>IF(OR(COUNT(G1290:J1290)&lt;&gt;4,G1290&lt;0,G1290&gt;1,H1290&gt;I1290,I1290&gt;J1290),"n.a.",ROUND(G1290*(H1290+4*I1290+J1290)/6+0.00000001,2))</f>
        <v/>
      </c>
      <c r="L1290" s="13" t="n">
        <v>0</v>
      </c>
      <c r="M1290" s="14">
        <f>SUMIFS(Maßnahmen!$I$7:$I$126,Maßnahmen!$D$7:$D$126,C1290,Maßnahmen!$H$7:$H$126,"&lt;&gt;verworfen")</f>
        <v/>
      </c>
      <c r="N1290" s="14">
        <f>IF(ISNUMBER(K1290),MAX(0,K1290-L1290-M1290),"n.a.")</f>
        <v/>
      </c>
      <c r="O1290" s="14" t="n">
        <v>23</v>
      </c>
      <c r="P1290" s="14">
        <f>IF(ISNUMBER(K1290),K1290-O1290,"n.a.")</f>
        <v/>
      </c>
    </row>
    <row r="1291" ht="32" customHeight="1">
      <c r="C1291" s="10" t="inlineStr">
        <is>
          <t>PRJ-383070cf-RK-08</t>
        </is>
      </c>
      <c r="D1291" s="10" t="inlineStr">
        <is>
          <t>W4102604951</t>
        </is>
      </c>
      <c r="E1291" s="11" t="inlineStr">
        <is>
          <t>Gebäudehöhe &gt;22 m / Longfront-Bagger (+130–150 %)</t>
        </is>
      </c>
      <c r="F1291" s="10" t="inlineStr">
        <is>
          <t>Termin</t>
        </is>
      </c>
      <c r="G1291" s="12" t="n">
        <v>0.6</v>
      </c>
      <c r="H1291" s="13" t="n">
        <v>184</v>
      </c>
      <c r="I1291" s="13" t="n">
        <v>368</v>
      </c>
      <c r="J1291" s="13" t="n">
        <v>694</v>
      </c>
      <c r="K1291" s="14">
        <f>IF(OR(COUNT(G1291:J1291)&lt;&gt;4,G1291&lt;0,G1291&gt;1,H1291&gt;I1291,I1291&gt;J1291),"n.a.",ROUND(G1291*(H1291+4*I1291+J1291)/6+0.00000001,2))</f>
        <v/>
      </c>
      <c r="L1291" s="13" t="n">
        <v>0</v>
      </c>
      <c r="M1291" s="14">
        <f>SUMIFS(Maßnahmen!$I$7:$I$126,Maßnahmen!$D$7:$D$126,C1291,Maßnahmen!$H$7:$H$126,"&lt;&gt;verworfen")</f>
        <v/>
      </c>
      <c r="N1291" s="14">
        <f>IF(ISNUMBER(K1291),MAX(0,K1291-L1291-M1291),"n.a.")</f>
        <v/>
      </c>
      <c r="O1291" s="14" t="n">
        <v>235</v>
      </c>
      <c r="P1291" s="14">
        <f>IF(ISNUMBER(K1291),K1291-O1291,"n.a.")</f>
        <v/>
      </c>
    </row>
    <row r="1292" ht="32" customHeight="1">
      <c r="C1292" s="10" t="inlineStr">
        <is>
          <t>PRJ-383070cf-RK-09</t>
        </is>
      </c>
      <c r="D1292" s="10" t="inlineStr">
        <is>
          <t>W4102604951</t>
        </is>
      </c>
      <c r="E1292" s="11" t="inlineStr">
        <is>
          <t>Beennte Lage / nur Handabbruch möglich</t>
        </is>
      </c>
      <c r="F1292" s="10" t="inlineStr">
        <is>
          <t>Termin</t>
        </is>
      </c>
      <c r="G1292" s="12" t="n">
        <v>0.15</v>
      </c>
      <c r="H1292" s="13" t="n">
        <v>16</v>
      </c>
      <c r="I1292" s="13" t="n">
        <v>41</v>
      </c>
      <c r="J1292" s="13" t="n">
        <v>102</v>
      </c>
      <c r="K1292" s="14">
        <f>IF(OR(COUNT(G1292:J1292)&lt;&gt;4,G1292&lt;0,G1292&gt;1,H1292&gt;I1292,I1292&gt;J1292),"n.a.",ROUND(G1292*(H1292+4*I1292+J1292)/6+0.00000001,2))</f>
        <v/>
      </c>
      <c r="L1292" s="13" t="n">
        <v>0</v>
      </c>
      <c r="M1292" s="14">
        <f>SUMIFS(Maßnahmen!$I$7:$I$126,Maßnahmen!$D$7:$D$126,C1292,Maßnahmen!$H$7:$H$126,"&lt;&gt;verworfen")</f>
        <v/>
      </c>
      <c r="N1292" s="14">
        <f>IF(ISNUMBER(K1292),MAX(0,K1292-L1292-M1292),"n.a.")</f>
        <v/>
      </c>
      <c r="O1292" s="14" t="n">
        <v>7.05</v>
      </c>
      <c r="P1292" s="14">
        <f>IF(ISNUMBER(K1292),K1292-O1292,"n.a.")</f>
        <v/>
      </c>
    </row>
    <row r="1293" ht="32" customHeight="1">
      <c r="C1293" s="10" t="inlineStr">
        <is>
          <t>PRJ-383070cf-RK-10</t>
        </is>
      </c>
      <c r="D1293" s="10" t="inlineStr">
        <is>
          <t>W4102604951</t>
        </is>
      </c>
      <c r="E1293" s="11" t="inlineStr">
        <is>
          <t>Terminvorgabe Auftraggeber / Geräteauslastung</t>
        </is>
      </c>
      <c r="F1293" s="10" t="inlineStr">
        <is>
          <t>Termin</t>
        </is>
      </c>
      <c r="G1293" s="12" t="n">
        <v>0.1</v>
      </c>
      <c r="H1293" s="13" t="n">
        <v>16</v>
      </c>
      <c r="I1293" s="13" t="n">
        <v>41</v>
      </c>
      <c r="J1293" s="13" t="n">
        <v>102</v>
      </c>
      <c r="K1293" s="14">
        <f>IF(OR(COUNT(G1293:J1293)&lt;&gt;4,G1293&lt;0,G1293&gt;1,H1293&gt;I1293,I1293&gt;J1293),"n.a.",ROUND(G1293*(H1293+4*I1293+J1293)/6+0.00000001,2))</f>
        <v/>
      </c>
      <c r="L1293" s="13" t="n">
        <v>0</v>
      </c>
      <c r="M1293" s="14">
        <f>SUMIFS(Maßnahmen!$I$7:$I$126,Maßnahmen!$D$7:$D$126,C1293,Maßnahmen!$H$7:$H$126,"&lt;&gt;verworfen")</f>
        <v/>
      </c>
      <c r="N1293" s="14">
        <f>IF(ISNUMBER(K1293),MAX(0,K1293-L1293-M1293),"n.a.")</f>
        <v/>
      </c>
      <c r="O1293" s="14" t="n">
        <v>4.7</v>
      </c>
      <c r="P1293" s="14">
        <f>IF(ISNUMBER(K1293),K1293-O1293,"n.a.")</f>
        <v/>
      </c>
    </row>
    <row r="1294" ht="32" customHeight="1">
      <c r="C1294" s="10" t="inlineStr">
        <is>
          <t>PRJ-383070cf-RK-11</t>
        </is>
      </c>
      <c r="D1294" s="10" t="inlineStr">
        <is>
          <t>W4102604951</t>
        </is>
      </c>
      <c r="E1294" s="11" t="inlineStr">
        <is>
          <t>Witterung / Ablaufstörung</t>
        </is>
      </c>
      <c r="F1294" s="10" t="inlineStr">
        <is>
          <t>Termin</t>
        </is>
      </c>
      <c r="G1294" s="12" t="n">
        <v>0.25</v>
      </c>
      <c r="H1294" s="13" t="n">
        <v>20</v>
      </c>
      <c r="I1294" s="13" t="n">
        <v>61</v>
      </c>
      <c r="J1294" s="13" t="n">
        <v>123</v>
      </c>
      <c r="K1294" s="14">
        <f>IF(OR(COUNT(G1294:J1294)&lt;&gt;4,G1294&lt;0,G1294&gt;1,H1294&gt;I1294,I1294&gt;J1294),"n.a.",ROUND(G1294*(H1294+4*I1294+J1294)/6+0.00000001,2))</f>
        <v/>
      </c>
      <c r="L1294" s="13" t="n">
        <v>0</v>
      </c>
      <c r="M1294" s="14">
        <f>SUMIFS(Maßnahmen!$I$7:$I$126,Maßnahmen!$D$7:$D$126,C1294,Maßnahmen!$H$7:$H$126,"&lt;&gt;verworfen")</f>
        <v/>
      </c>
      <c r="N1294" s="14">
        <f>IF(ISNUMBER(K1294),MAX(0,K1294-L1294-M1294),"n.a.")</f>
        <v/>
      </c>
      <c r="O1294" s="14" t="n">
        <v>16.13</v>
      </c>
      <c r="P1294" s="14">
        <f>IF(ISNUMBER(K1294),K1294-O1294,"n.a.")</f>
        <v/>
      </c>
    </row>
    <row r="1295" ht="32" customHeight="1">
      <c r="C1295" s="10" t="inlineStr">
        <is>
          <t>PRJ-383070cf-RK-12</t>
        </is>
      </c>
      <c r="D1295" s="10" t="inlineStr">
        <is>
          <t>W4102604951</t>
        </is>
      </c>
      <c r="E1295" s="11" t="inlineStr">
        <is>
          <t>Staubemissionen (höchster Aufwand laut Umfrage)</t>
        </is>
      </c>
      <c r="F1295" s="10" t="inlineStr">
        <is>
          <t>Emissionen</t>
        </is>
      </c>
      <c r="G1295" s="12" t="n">
        <v>0.1</v>
      </c>
      <c r="H1295" s="13" t="n">
        <v>61</v>
      </c>
      <c r="I1295" s="13" t="n">
        <v>123</v>
      </c>
      <c r="J1295" s="13" t="n">
        <v>245</v>
      </c>
      <c r="K1295" s="14">
        <f>IF(OR(COUNT(G1295:J1295)&lt;&gt;4,G1295&lt;0,G1295&gt;1,H1295&gt;I1295,I1295&gt;J1295),"n.a.",ROUND(G1295*(H1295+4*I1295+J1295)/6+0.00000001,2))</f>
        <v/>
      </c>
      <c r="L1295" s="13" t="n">
        <v>0</v>
      </c>
      <c r="M1295" s="14">
        <f>SUMIFS(Maßnahmen!$I$7:$I$126,Maßnahmen!$D$7:$D$126,C1295,Maßnahmen!$H$7:$H$126,"&lt;&gt;verworfen")</f>
        <v/>
      </c>
      <c r="N1295" s="14">
        <f>IF(ISNUMBER(K1295),MAX(0,K1295-L1295-M1295),"n.a.")</f>
        <v/>
      </c>
      <c r="O1295" s="14" t="n">
        <v>13.3</v>
      </c>
      <c r="P1295" s="14">
        <f>IF(ISNUMBER(K1295),K1295-O1295,"n.a.")</f>
        <v/>
      </c>
    </row>
    <row r="1296" ht="32" customHeight="1">
      <c r="C1296" s="10" t="inlineStr">
        <is>
          <t>PRJ-383070cf-RK-13</t>
        </is>
      </c>
      <c r="D1296" s="10" t="inlineStr">
        <is>
          <t>W4102604951</t>
        </is>
      </c>
      <c r="E1296" s="11" t="inlineStr">
        <is>
          <t>Lärm- und Erschütterungsauflagen</t>
        </is>
      </c>
      <c r="F1296" s="10" t="inlineStr">
        <is>
          <t>Emissionen</t>
        </is>
      </c>
      <c r="G1296" s="12" t="n">
        <v>0.2</v>
      </c>
      <c r="H1296" s="13" t="n">
        <v>41</v>
      </c>
      <c r="I1296" s="13" t="n">
        <v>102</v>
      </c>
      <c r="J1296" s="13" t="n">
        <v>204</v>
      </c>
      <c r="K1296" s="14">
        <f>IF(OR(COUNT(G1296:J1296)&lt;&gt;4,G1296&lt;0,G1296&gt;1,H1296&gt;I1296,I1296&gt;J1296),"n.a.",ROUND(G1296*(H1296+4*I1296+J1296)/6+0.00000001,2))</f>
        <v/>
      </c>
      <c r="L1296" s="13" t="n">
        <v>0</v>
      </c>
      <c r="M1296" s="14">
        <f>SUMIFS(Maßnahmen!$I$7:$I$126,Maßnahmen!$D$7:$D$126,C1296,Maßnahmen!$H$7:$H$126,"&lt;&gt;verworfen")</f>
        <v/>
      </c>
      <c r="N1296" s="14">
        <f>IF(ISNUMBER(K1296),MAX(0,K1296-L1296-M1296),"n.a.")</f>
        <v/>
      </c>
      <c r="O1296" s="14" t="n">
        <v>21.77</v>
      </c>
      <c r="P1296" s="14">
        <f>IF(ISNUMBER(K1296),K1296-O1296,"n.a.")</f>
        <v/>
      </c>
    </row>
    <row r="1297" ht="32" customHeight="1">
      <c r="C1297" s="10" t="inlineStr">
        <is>
          <t>PRJ-383070cf-RK-14</t>
        </is>
      </c>
      <c r="D1297" s="10" t="inlineStr">
        <is>
          <t>W4102604951</t>
        </is>
      </c>
      <c r="E1297" s="11" t="inlineStr">
        <is>
          <t>Rechtliche Auflagen / Entsorgungsnachweise (Formalismus)</t>
        </is>
      </c>
      <c r="F1297" s="10" t="inlineStr">
        <is>
          <t>Genehmigung</t>
        </is>
      </c>
      <c r="G1297" s="12" t="n">
        <v>0.4</v>
      </c>
      <c r="H1297" s="13" t="n">
        <v>194</v>
      </c>
      <c r="I1297" s="13" t="n">
        <v>378</v>
      </c>
      <c r="J1297" s="13" t="n">
        <v>715</v>
      </c>
      <c r="K1297" s="14">
        <f>IF(OR(COUNT(G1297:J1297)&lt;&gt;4,G1297&lt;0,G1297&gt;1,H1297&gt;I1297,I1297&gt;J1297),"n.a.",ROUND(G1297*(H1297+4*I1297+J1297)/6+0.00000001,2))</f>
        <v/>
      </c>
      <c r="L1297" s="13" t="n">
        <v>0</v>
      </c>
      <c r="M1297" s="14">
        <f>SUMIFS(Maßnahmen!$I$7:$I$126,Maßnahmen!$D$7:$D$126,C1297,Maßnahmen!$H$7:$H$126,"&lt;&gt;verworfen")</f>
        <v/>
      </c>
      <c r="N1297" s="14">
        <f>IF(ISNUMBER(K1297),MAX(0,K1297-L1297-M1297),"n.a.")</f>
        <v/>
      </c>
      <c r="O1297" s="14" t="n">
        <v>161.4</v>
      </c>
      <c r="P1297" s="14">
        <f>IF(ISNUMBER(K1297),K1297-O1297,"n.a.")</f>
        <v/>
      </c>
    </row>
    <row r="1298" ht="32" customHeight="1">
      <c r="C1298" s="10" t="inlineStr">
        <is>
          <t>PRJ-383070cf-RK-15</t>
        </is>
      </c>
      <c r="D1298" s="10" t="inlineStr">
        <is>
          <t>W4102604951</t>
        </is>
      </c>
      <c r="E1298" s="11" t="inlineStr">
        <is>
          <t>Konjunktur / Sekundärstoffpreise &amp; Gerätemiete</t>
        </is>
      </c>
      <c r="F1298" s="10" t="inlineStr">
        <is>
          <t>Markt</t>
        </is>
      </c>
      <c r="G1298" s="12" t="n">
        <v>0.12</v>
      </c>
      <c r="H1298" s="13" t="n">
        <v>16</v>
      </c>
      <c r="I1298" s="13" t="n">
        <v>41</v>
      </c>
      <c r="J1298" s="13" t="n">
        <v>102</v>
      </c>
      <c r="K1298" s="14">
        <f>IF(OR(COUNT(G1298:J1298)&lt;&gt;4,G1298&lt;0,G1298&gt;1,H1298&gt;I1298,I1298&gt;J1298),"n.a.",ROUND(G1298*(H1298+4*I1298+J1298)/6+0.00000001,2))</f>
        <v/>
      </c>
      <c r="L1298" s="13" t="n">
        <v>0</v>
      </c>
      <c r="M1298" s="14">
        <f>SUMIFS(Maßnahmen!$I$7:$I$126,Maßnahmen!$D$7:$D$126,C1298,Maßnahmen!$H$7:$H$126,"&lt;&gt;verworfen")</f>
        <v/>
      </c>
      <c r="N1298" s="14">
        <f>IF(ISNUMBER(K1298),MAX(0,K1298-L1298-M1298),"n.a.")</f>
        <v/>
      </c>
      <c r="O1298" s="14" t="n">
        <v>5.64</v>
      </c>
      <c r="P1298" s="14">
        <f>IF(ISNUMBER(K1298),K1298-O1298,"n.a.")</f>
        <v/>
      </c>
    </row>
    <row r="1299" ht="32" customHeight="1">
      <c r="C1299" s="10" t="inlineStr">
        <is>
          <t>PRJ-39e5498d-RK-14</t>
        </is>
      </c>
      <c r="D1299" s="10" t="inlineStr">
        <is>
          <t>W4102504941</t>
        </is>
      </c>
      <c r="E1299" s="11" t="inlineStr">
        <is>
          <t>Rechtliche Auflagen / Entsorgungsnachweise (Formalismus)</t>
        </is>
      </c>
      <c r="F1299" s="10" t="inlineStr">
        <is>
          <t>Genehmigung</t>
        </is>
      </c>
      <c r="G1299" s="12" t="n">
        <v>0.4</v>
      </c>
      <c r="H1299" s="13" t="n">
        <v>95</v>
      </c>
      <c r="I1299" s="13" t="n">
        <v>185</v>
      </c>
      <c r="J1299" s="13" t="n">
        <v>350</v>
      </c>
      <c r="K1299" s="14">
        <f>IF(OR(COUNT(G1299:J1299)&lt;&gt;4,G1299&lt;0,G1299&gt;1,H1299&gt;I1299,I1299&gt;J1299),"n.a.",ROUND(G1299*(H1299+4*I1299+J1299)/6+0.00000001,2))</f>
        <v/>
      </c>
      <c r="L1299" s="13" t="n">
        <v>0</v>
      </c>
      <c r="M1299" s="14">
        <f>SUMIFS(Maßnahmen!$I$7:$I$126,Maßnahmen!$D$7:$D$126,C1299,Maßnahmen!$H$7:$H$126,"&lt;&gt;verworfen")</f>
        <v/>
      </c>
      <c r="N1299" s="14">
        <f>IF(ISNUMBER(K1299),MAX(0,K1299-L1299-M1299),"n.a.")</f>
        <v/>
      </c>
      <c r="O1299" s="14" t="n">
        <v>79</v>
      </c>
      <c r="P1299" s="14">
        <f>IF(ISNUMBER(K1299),K1299-O1299,"n.a.")</f>
        <v/>
      </c>
    </row>
    <row r="1300" ht="32" customHeight="1">
      <c r="C1300" s="10" t="inlineStr">
        <is>
          <t>PRJ-39e56811-RK-12</t>
        </is>
      </c>
      <c r="D1300" s="10" t="inlineStr">
        <is>
          <t>W4102504101</t>
        </is>
      </c>
      <c r="E1300" s="11" t="inlineStr">
        <is>
          <t>Staubemissionen (höchster Aufwand laut Umfrage)</t>
        </is>
      </c>
      <c r="F1300" s="10" t="inlineStr">
        <is>
          <t>Emissionen</t>
        </is>
      </c>
      <c r="G1300" s="12" t="n">
        <v>0.1</v>
      </c>
      <c r="H1300" s="13" t="n">
        <v>30</v>
      </c>
      <c r="I1300" s="13" t="n">
        <v>60</v>
      </c>
      <c r="J1300" s="13" t="n">
        <v>120</v>
      </c>
      <c r="K1300" s="14">
        <f>IF(OR(COUNT(G1300:J1300)&lt;&gt;4,G1300&lt;0,G1300&gt;1,H1300&gt;I1300,I1300&gt;J1300),"n.a.",ROUND(G1300*(H1300+4*I1300+J1300)/6+0.00000001,2))</f>
        <v/>
      </c>
      <c r="L1300" s="13" t="n">
        <v>0</v>
      </c>
      <c r="M1300" s="14">
        <f>SUMIFS(Maßnahmen!$I$7:$I$126,Maßnahmen!$D$7:$D$126,C1300,Maßnahmen!$H$7:$H$126,"&lt;&gt;verworfen")</f>
        <v/>
      </c>
      <c r="N1300" s="14">
        <f>IF(ISNUMBER(K1300),MAX(0,K1300-L1300-M1300),"n.a.")</f>
        <v/>
      </c>
      <c r="O1300" s="14" t="n">
        <v>6.5</v>
      </c>
      <c r="P1300" s="14">
        <f>IF(ISNUMBER(K1300),K1300-O1300,"n.a.")</f>
        <v/>
      </c>
    </row>
    <row r="1301" ht="32" customHeight="1">
      <c r="C1301" s="10" t="inlineStr">
        <is>
          <t>PRJ-39e56811-RK-13</t>
        </is>
      </c>
      <c r="D1301" s="10" t="inlineStr">
        <is>
          <t>W4102504101</t>
        </is>
      </c>
      <c r="E1301" s="11" t="inlineStr">
        <is>
          <t>Lärm- und Erschütterungsauflagen</t>
        </is>
      </c>
      <c r="F1301" s="10" t="inlineStr">
        <is>
          <t>Emissionen</t>
        </is>
      </c>
      <c r="G1301" s="12" t="n">
        <v>0.2</v>
      </c>
      <c r="H1301" s="13" t="n">
        <v>20</v>
      </c>
      <c r="I1301" s="13" t="n">
        <v>50</v>
      </c>
      <c r="J1301" s="13" t="n">
        <v>100</v>
      </c>
      <c r="K1301" s="14">
        <f>IF(OR(COUNT(G1301:J1301)&lt;&gt;4,G1301&lt;0,G1301&gt;1,H1301&gt;I1301,I1301&gt;J1301),"n.a.",ROUND(G1301*(H1301+4*I1301+J1301)/6+0.00000001,2))</f>
        <v/>
      </c>
      <c r="L1301" s="13" t="n">
        <v>0</v>
      </c>
      <c r="M1301" s="14">
        <f>SUMIFS(Maßnahmen!$I$7:$I$126,Maßnahmen!$D$7:$D$126,C1301,Maßnahmen!$H$7:$H$126,"&lt;&gt;verworfen")</f>
        <v/>
      </c>
      <c r="N1301" s="14">
        <f>IF(ISNUMBER(K1301),MAX(0,K1301-L1301-M1301),"n.a.")</f>
        <v/>
      </c>
      <c r="O1301" s="14" t="n">
        <v>10.67</v>
      </c>
      <c r="P1301" s="14">
        <f>IF(ISNUMBER(K1301),K1301-O1301,"n.a.")</f>
        <v/>
      </c>
    </row>
    <row r="1302" ht="32" customHeight="1">
      <c r="C1302" s="10" t="inlineStr">
        <is>
          <t>PRJ-39e56811-RK-14</t>
        </is>
      </c>
      <c r="D1302" s="10" t="inlineStr">
        <is>
          <t>W4102504101</t>
        </is>
      </c>
      <c r="E1302" s="11" t="inlineStr">
        <is>
          <t>Rechtliche Auflagen / Entsorgungsnachweise (Formalismus)</t>
        </is>
      </c>
      <c r="F1302" s="10" t="inlineStr">
        <is>
          <t>Genehmigung</t>
        </is>
      </c>
      <c r="G1302" s="12" t="n">
        <v>0.4</v>
      </c>
      <c r="H1302" s="13" t="n">
        <v>95</v>
      </c>
      <c r="I1302" s="13" t="n">
        <v>185</v>
      </c>
      <c r="J1302" s="13" t="n">
        <v>350</v>
      </c>
      <c r="K1302" s="14">
        <f>IF(OR(COUNT(G1302:J1302)&lt;&gt;4,G1302&lt;0,G1302&gt;1,H1302&gt;I1302,I1302&gt;J1302),"n.a.",ROUND(G1302*(H1302+4*I1302+J1302)/6+0.00000001,2))</f>
        <v/>
      </c>
      <c r="L1302" s="13" t="n">
        <v>0</v>
      </c>
      <c r="M1302" s="14">
        <f>SUMIFS(Maßnahmen!$I$7:$I$126,Maßnahmen!$D$7:$D$126,C1302,Maßnahmen!$H$7:$H$126,"&lt;&gt;verworfen")</f>
        <v/>
      </c>
      <c r="N1302" s="14">
        <f>IF(ISNUMBER(K1302),MAX(0,K1302-L1302-M1302),"n.a.")</f>
        <v/>
      </c>
      <c r="O1302" s="14" t="n">
        <v>79</v>
      </c>
      <c r="P1302" s="14">
        <f>IF(ISNUMBER(K1302),K1302-O1302,"n.a.")</f>
        <v/>
      </c>
    </row>
    <row r="1303" ht="32" customHeight="1">
      <c r="C1303" s="10" t="inlineStr">
        <is>
          <t>PRJ-39e56811-RK-15</t>
        </is>
      </c>
      <c r="D1303" s="10" t="inlineStr">
        <is>
          <t>W4102504101</t>
        </is>
      </c>
      <c r="E1303" s="11" t="inlineStr">
        <is>
          <t>Konjunktur / Sekundärstoffpreise &amp; Gerätemiete</t>
        </is>
      </c>
      <c r="F1303" s="10" t="inlineStr">
        <is>
          <t>Markt</t>
        </is>
      </c>
      <c r="G1303" s="12" t="n">
        <v>0.12</v>
      </c>
      <c r="H1303" s="13" t="n">
        <v>8</v>
      </c>
      <c r="I1303" s="13" t="n">
        <v>20</v>
      </c>
      <c r="J1303" s="13" t="n">
        <v>50</v>
      </c>
      <c r="K1303" s="14">
        <f>IF(OR(COUNT(G1303:J1303)&lt;&gt;4,G1303&lt;0,G1303&gt;1,H1303&gt;I1303,I1303&gt;J1303),"n.a.",ROUND(G1303*(H1303+4*I1303+J1303)/6+0.00000001,2))</f>
        <v/>
      </c>
      <c r="L1303" s="13" t="n">
        <v>0</v>
      </c>
      <c r="M1303" s="14">
        <f>SUMIFS(Maßnahmen!$I$7:$I$126,Maßnahmen!$D$7:$D$126,C1303,Maßnahmen!$H$7:$H$126,"&lt;&gt;verworfen")</f>
        <v/>
      </c>
      <c r="N1303" s="14">
        <f>IF(ISNUMBER(K1303),MAX(0,K1303-L1303-M1303),"n.a.")</f>
        <v/>
      </c>
      <c r="O1303" s="14" t="n">
        <v>2.76</v>
      </c>
      <c r="P1303" s="14">
        <f>IF(ISNUMBER(K1303),K1303-O1303,"n.a.")</f>
        <v/>
      </c>
    </row>
    <row r="1304" ht="32" customHeight="1">
      <c r="C1304" s="10" t="inlineStr">
        <is>
          <t>PRJ-39e5680e-RK-01</t>
        </is>
      </c>
      <c r="D1304" s="10" t="inlineStr">
        <is>
          <t>W4102504104</t>
        </is>
      </c>
      <c r="E1304" s="11" t="inlineStr">
        <is>
          <t>Schadstofffund / Schadstoffsanierung (Asbest, PAK, PCB, PCP)</t>
        </is>
      </c>
      <c r="F1304" s="10" t="inlineStr">
        <is>
          <t>Schadstoffe</t>
        </is>
      </c>
      <c r="G1304" s="12" t="n">
        <v>0.1</v>
      </c>
      <c r="H1304" s="13" t="n">
        <v>895</v>
      </c>
      <c r="I1304" s="13" t="n">
        <v>2236</v>
      </c>
      <c r="J1304" s="13" t="n">
        <v>4473</v>
      </c>
      <c r="K1304" s="14">
        <f>IF(OR(COUNT(G1304:J1304)&lt;&gt;4,G1304&lt;0,G1304&gt;1,H1304&gt;I1304,I1304&gt;J1304),"n.a.",ROUND(G1304*(H1304+4*I1304+J1304)/6+0.00000001,2))</f>
        <v/>
      </c>
      <c r="L1304" s="13" t="n">
        <v>0</v>
      </c>
      <c r="M1304" s="14">
        <f>SUMIFS(Maßnahmen!$I$7:$I$126,Maßnahmen!$D$7:$D$126,C1304,Maßnahmen!$H$7:$H$126,"&lt;&gt;verworfen")</f>
        <v/>
      </c>
      <c r="N1304" s="14">
        <f>IF(ISNUMBER(K1304),MAX(0,K1304-L1304-M1304),"n.a.")</f>
        <v/>
      </c>
      <c r="O1304" s="14" t="n">
        <v>238.53</v>
      </c>
      <c r="P1304" s="14">
        <f>IF(ISNUMBER(K1304),K1304-O1304,"n.a.")</f>
        <v/>
      </c>
    </row>
    <row r="1305" ht="32" customHeight="1">
      <c r="C1305" s="10" t="inlineStr">
        <is>
          <t>PRJ-39e5680e-RK-02</t>
        </is>
      </c>
      <c r="D1305" s="10" t="inlineStr">
        <is>
          <t>W4102504104</t>
        </is>
      </c>
      <c r="E1305" s="11" t="inlineStr">
        <is>
          <t>Arbeitsschutz kontaminierte Bereiche (TRGS 524)</t>
        </is>
      </c>
      <c r="F1305" s="10" t="inlineStr">
        <is>
          <t>Schadstoffe</t>
        </is>
      </c>
      <c r="G1305" s="12" t="n">
        <v>0.47</v>
      </c>
      <c r="H1305" s="13" t="n">
        <v>895</v>
      </c>
      <c r="I1305" s="13" t="n">
        <v>2236</v>
      </c>
      <c r="J1305" s="13" t="n">
        <v>4473</v>
      </c>
      <c r="K1305" s="14">
        <f>IF(OR(COUNT(G1305:J1305)&lt;&gt;4,G1305&lt;0,G1305&gt;1,H1305&gt;I1305,I1305&gt;J1305),"n.a.",ROUND(G1305*(H1305+4*I1305+J1305)/6+0.00000001,2))</f>
        <v/>
      </c>
      <c r="L1305" s="13" t="n">
        <v>0</v>
      </c>
      <c r="M1305" s="14">
        <f>SUMIFS(Maßnahmen!$I$7:$I$126,Maßnahmen!$D$7:$D$126,C1305,Maßnahmen!$H$7:$H$126,"&lt;&gt;verworfen")</f>
        <v/>
      </c>
      <c r="N1305" s="14">
        <f>IF(ISNUMBER(K1305),MAX(0,K1305-L1305-M1305),"n.a.")</f>
        <v/>
      </c>
      <c r="O1305" s="14" t="n">
        <v>1121.11</v>
      </c>
      <c r="P1305" s="14">
        <f>IF(ISNUMBER(K1305),K1305-O1305,"n.a.")</f>
        <v/>
      </c>
    </row>
    <row r="1306" ht="32" customHeight="1">
      <c r="C1306" s="10" t="inlineStr">
        <is>
          <t>PRJ-52b1cf32-RK-01</t>
        </is>
      </c>
      <c r="D1306" s="10" t="inlineStr">
        <is>
          <t>P4102157464</t>
        </is>
      </c>
      <c r="E1306" s="11" t="inlineStr">
        <is>
          <t>Schadstofffund / Schadstoffsanierung (Asbest, PAK, PCB, PCP)</t>
        </is>
      </c>
      <c r="F1306" s="10" t="inlineStr">
        <is>
          <t>Schadstoffe</t>
        </is>
      </c>
      <c r="G1306" s="12" t="n">
        <v>0.22</v>
      </c>
      <c r="H1306" s="13" t="n">
        <v>319</v>
      </c>
      <c r="I1306" s="13" t="n">
        <v>798</v>
      </c>
      <c r="J1306" s="13" t="n">
        <v>1597</v>
      </c>
      <c r="K1306" s="14">
        <f>IF(OR(COUNT(G1306:J1306)&lt;&gt;4,G1306&lt;0,G1306&gt;1,H1306&gt;I1306,I1306&gt;J1306),"n.a.",ROUND(G1306*(H1306+4*I1306+J1306)/6+0.00000001,2))</f>
        <v/>
      </c>
      <c r="L1306" s="13" t="n">
        <v>0</v>
      </c>
      <c r="M1306" s="14">
        <f>SUMIFS(Maßnahmen!$I$7:$I$126,Maßnahmen!$D$7:$D$126,C1306,Maßnahmen!$H$7:$H$126,"&lt;&gt;verworfen")</f>
        <v/>
      </c>
      <c r="N1306" s="14">
        <f>IF(ISNUMBER(K1306),MAX(0,K1306-L1306-M1306),"n.a.")</f>
        <v/>
      </c>
      <c r="O1306" s="14" t="n">
        <v>187.29</v>
      </c>
      <c r="P1306" s="14">
        <f>IF(ISNUMBER(K1306),K1306-O1306,"n.a.")</f>
        <v/>
      </c>
    </row>
    <row r="1307" ht="32" customHeight="1">
      <c r="C1307" s="10" t="inlineStr">
        <is>
          <t>PRJ-52b1cf32-RK-02</t>
        </is>
      </c>
      <c r="D1307" s="10" t="inlineStr">
        <is>
          <t>P4102157464</t>
        </is>
      </c>
      <c r="E1307" s="11" t="inlineStr">
        <is>
          <t>Arbeitsschutz kontaminierte Bereiche (TRGS 524)</t>
        </is>
      </c>
      <c r="F1307" s="10" t="inlineStr">
        <is>
          <t>Schadstoffe</t>
        </is>
      </c>
      <c r="G1307" s="12" t="n">
        <v>0.1</v>
      </c>
      <c r="H1307" s="13" t="n">
        <v>80</v>
      </c>
      <c r="I1307" s="13" t="n">
        <v>160</v>
      </c>
      <c r="J1307" s="13" t="n">
        <v>319</v>
      </c>
      <c r="K1307" s="14">
        <f>IF(OR(COUNT(G1307:J1307)&lt;&gt;4,G1307&lt;0,G1307&gt;1,H1307&gt;I1307,I1307&gt;J1307),"n.a.",ROUND(G1307*(H1307+4*I1307+J1307)/6+0.00000001,2))</f>
        <v/>
      </c>
      <c r="L1307" s="13" t="n">
        <v>0</v>
      </c>
      <c r="M1307" s="14">
        <f>SUMIFS(Maßnahmen!$I$7:$I$126,Maßnahmen!$D$7:$D$126,C1307,Maßnahmen!$H$7:$H$126,"&lt;&gt;verworfen")</f>
        <v/>
      </c>
      <c r="N1307" s="14">
        <f>IF(ISNUMBER(K1307),MAX(0,K1307-L1307-M1307),"n.a.")</f>
        <v/>
      </c>
      <c r="O1307" s="14" t="n">
        <v>17.32</v>
      </c>
      <c r="P1307" s="14">
        <f>IF(ISNUMBER(K1307),K1307-O1307,"n.a.")</f>
        <v/>
      </c>
    </row>
    <row r="1308" ht="32" customHeight="1">
      <c r="C1308" s="10" t="inlineStr">
        <is>
          <t>PRJ-52b1cf32-RK-04</t>
        </is>
      </c>
      <c r="D1308" s="10" t="inlineStr">
        <is>
          <t>P4102157464</t>
        </is>
      </c>
      <c r="E1308" s="11" t="inlineStr">
        <is>
          <t>Baustofftrennung / Aufbereitung nicht wie geplant</t>
        </is>
      </c>
      <c r="F1308" s="10" t="inlineStr">
        <is>
          <t>Entsorgung</t>
        </is>
      </c>
      <c r="G1308" s="12" t="n">
        <v>0.08</v>
      </c>
      <c r="H1308" s="13" t="n">
        <v>80</v>
      </c>
      <c r="I1308" s="13" t="n">
        <v>160</v>
      </c>
      <c r="J1308" s="13" t="n">
        <v>319</v>
      </c>
      <c r="K1308" s="14">
        <f>IF(OR(COUNT(G1308:J1308)&lt;&gt;4,G1308&lt;0,G1308&gt;1,H1308&gt;I1308,I1308&gt;J1308),"n.a.",ROUND(G1308*(H1308+4*I1308+J1308)/6+0.00000001,2))</f>
        <v/>
      </c>
      <c r="L1308" s="13" t="n">
        <v>0</v>
      </c>
      <c r="M1308" s="14">
        <f>SUMIFS(Maßnahmen!$I$7:$I$126,Maßnahmen!$D$7:$D$126,C1308,Maßnahmen!$H$7:$H$126,"&lt;&gt;verworfen")</f>
        <v/>
      </c>
      <c r="N1308" s="14">
        <f>IF(ISNUMBER(K1308),MAX(0,K1308-L1308-M1308),"n.a.")</f>
        <v/>
      </c>
      <c r="O1308" s="14" t="n">
        <v>13.85</v>
      </c>
      <c r="P1308" s="14">
        <f>IF(ISNUMBER(K1308),K1308-O1308,"n.a.")</f>
        <v/>
      </c>
    </row>
    <row r="1309" ht="32" customHeight="1">
      <c r="C1309" s="10" t="inlineStr">
        <is>
          <t>PRJ-52b1cf32-RK-10</t>
        </is>
      </c>
      <c r="D1309" s="10" t="inlineStr">
        <is>
          <t>P4102157464</t>
        </is>
      </c>
      <c r="E1309" s="11" t="inlineStr">
        <is>
          <t>Terminvorgabe Auftraggeber / Geräteauslastung</t>
        </is>
      </c>
      <c r="F1309" s="10" t="inlineStr">
        <is>
          <t>Termin</t>
        </is>
      </c>
      <c r="G1309" s="12" t="n">
        <v>0.08</v>
      </c>
      <c r="H1309" s="13" t="n">
        <v>80</v>
      </c>
      <c r="I1309" s="13" t="n">
        <v>160</v>
      </c>
      <c r="J1309" s="13" t="n">
        <v>319</v>
      </c>
      <c r="K1309" s="14">
        <f>IF(OR(COUNT(G1309:J1309)&lt;&gt;4,G1309&lt;0,G1309&gt;1,H1309&gt;I1309,I1309&gt;J1309),"n.a.",ROUND(G1309*(H1309+4*I1309+J1309)/6+0.00000001,2))</f>
        <v/>
      </c>
      <c r="L1309" s="13" t="n">
        <v>0</v>
      </c>
      <c r="M1309" s="14">
        <f>SUMIFS(Maßnahmen!$I$7:$I$126,Maßnahmen!$D$7:$D$126,C1309,Maßnahmen!$H$7:$H$126,"&lt;&gt;verworfen")</f>
        <v/>
      </c>
      <c r="N1309" s="14">
        <f>IF(ISNUMBER(K1309),MAX(0,K1309-L1309-M1309),"n.a.")</f>
        <v/>
      </c>
      <c r="O1309" s="14" t="n">
        <v>13.85</v>
      </c>
      <c r="P1309" s="14">
        <f>IF(ISNUMBER(K1309),K1309-O1309,"n.a.")</f>
        <v/>
      </c>
    </row>
    <row r="1310" ht="32" customHeight="1">
      <c r="C1310" s="10" t="inlineStr">
        <is>
          <t>PRJ-52b1cf32-RK-11</t>
        </is>
      </c>
      <c r="D1310" s="10" t="inlineStr">
        <is>
          <t>P4102157464</t>
        </is>
      </c>
      <c r="E1310" s="11" t="inlineStr">
        <is>
          <t>Witterung / Ablaufstörung</t>
        </is>
      </c>
      <c r="F1310" s="10" t="inlineStr">
        <is>
          <t>Termin</t>
        </is>
      </c>
      <c r="G1310" s="12" t="n">
        <v>0.25</v>
      </c>
      <c r="H1310" s="13" t="n">
        <v>160</v>
      </c>
      <c r="I1310" s="13" t="n">
        <v>479</v>
      </c>
      <c r="J1310" s="13" t="n">
        <v>958</v>
      </c>
      <c r="K1310" s="14">
        <f>IF(OR(COUNT(G1310:J1310)&lt;&gt;4,G1310&lt;0,G1310&gt;1,H1310&gt;I1310,I1310&gt;J1310),"n.a.",ROUND(G1310*(H1310+4*I1310+J1310)/6+0.00000001,2))</f>
        <v/>
      </c>
      <c r="L1310" s="13" t="n">
        <v>0</v>
      </c>
      <c r="M1310" s="14">
        <f>SUMIFS(Maßnahmen!$I$7:$I$126,Maßnahmen!$D$7:$D$126,C1310,Maßnahmen!$H$7:$H$126,"&lt;&gt;verworfen")</f>
        <v/>
      </c>
      <c r="N1310" s="14">
        <f>IF(ISNUMBER(K1310),MAX(0,K1310-L1310-M1310),"n.a.")</f>
        <v/>
      </c>
      <c r="O1310" s="14" t="n">
        <v>126.42</v>
      </c>
      <c r="P1310" s="14">
        <f>IF(ISNUMBER(K1310),K1310-O1310,"n.a.")</f>
        <v/>
      </c>
    </row>
    <row r="1311" ht="32" customHeight="1">
      <c r="C1311" s="10" t="inlineStr">
        <is>
          <t>PRJ-52b1cf32-RK-12</t>
        </is>
      </c>
      <c r="D1311" s="10" t="inlineStr">
        <is>
          <t>P4102157464</t>
        </is>
      </c>
      <c r="E1311" s="11" t="inlineStr">
        <is>
          <t>Staubemissionen (höchster Aufwand laut Umfrage)</t>
        </is>
      </c>
      <c r="F1311" s="10" t="inlineStr">
        <is>
          <t>Emissionen</t>
        </is>
      </c>
      <c r="G1311" s="12" t="n">
        <v>0.1</v>
      </c>
      <c r="H1311" s="13" t="n">
        <v>479</v>
      </c>
      <c r="I1311" s="13" t="n">
        <v>958</v>
      </c>
      <c r="J1311" s="13" t="n">
        <v>1916</v>
      </c>
      <c r="K1311" s="14">
        <f>IF(OR(COUNT(G1311:J1311)&lt;&gt;4,G1311&lt;0,G1311&gt;1,H1311&gt;I1311,I1311&gt;J1311),"n.a.",ROUND(G1311*(H1311+4*I1311+J1311)/6+0.00000001,2))</f>
        <v/>
      </c>
      <c r="L1311" s="13" t="n">
        <v>0</v>
      </c>
      <c r="M1311" s="14">
        <f>SUMIFS(Maßnahmen!$I$7:$I$126,Maßnahmen!$D$7:$D$126,C1311,Maßnahmen!$H$7:$H$126,"&lt;&gt;verworfen")</f>
        <v/>
      </c>
      <c r="N1311" s="14">
        <f>IF(ISNUMBER(K1311),MAX(0,K1311-L1311-M1311),"n.a.")</f>
        <v/>
      </c>
      <c r="O1311" s="14" t="n">
        <v>103.78</v>
      </c>
      <c r="P1311" s="14">
        <f>IF(ISNUMBER(K1311),K1311-O1311,"n.a.")</f>
        <v/>
      </c>
    </row>
    <row r="1312" ht="32" customHeight="1">
      <c r="C1312" s="10" t="inlineStr">
        <is>
          <t>PRJ-52b1cf32-RK-15</t>
        </is>
      </c>
      <c r="D1312" s="10" t="inlineStr">
        <is>
          <t>P4102157464</t>
        </is>
      </c>
      <c r="E1312" s="11" t="inlineStr">
        <is>
          <t>Konjunktur / Sekundärstoffpreise &amp; Gerätemiete</t>
        </is>
      </c>
      <c r="F1312" s="10" t="inlineStr">
        <is>
          <t>Markt</t>
        </is>
      </c>
      <c r="G1312" s="12" t="n">
        <v>0.12</v>
      </c>
      <c r="H1312" s="13" t="n">
        <v>128</v>
      </c>
      <c r="I1312" s="13" t="n">
        <v>319</v>
      </c>
      <c r="J1312" s="13" t="n">
        <v>798</v>
      </c>
      <c r="K1312" s="14">
        <f>IF(OR(COUNT(G1312:J1312)&lt;&gt;4,G1312&lt;0,G1312&gt;1,H1312&gt;I1312,I1312&gt;J1312),"n.a.",ROUND(G1312*(H1312+4*I1312+J1312)/6+0.00000001,2))</f>
        <v/>
      </c>
      <c r="L1312" s="13" t="n">
        <v>0</v>
      </c>
      <c r="M1312" s="14">
        <f>SUMIFS(Maßnahmen!$I$7:$I$126,Maßnahmen!$D$7:$D$126,C1312,Maßnahmen!$H$7:$H$126,"&lt;&gt;verworfen")</f>
        <v/>
      </c>
      <c r="N1312" s="14">
        <f>IF(ISNUMBER(K1312),MAX(0,K1312-L1312-M1312),"n.a.")</f>
        <v/>
      </c>
      <c r="O1312" s="14" t="n">
        <v>44.04</v>
      </c>
      <c r="P1312" s="14">
        <f>IF(ISNUMBER(K1312),K1312-O1312,"n.a.")</f>
        <v/>
      </c>
    </row>
    <row r="1313" ht="32" customHeight="1">
      <c r="C1313" s="10" t="inlineStr">
        <is>
          <t>PRJ-52b1cf71-RK-01</t>
        </is>
      </c>
      <c r="D1313" s="10" t="inlineStr">
        <is>
          <t>P4102157443</t>
        </is>
      </c>
      <c r="E1313" s="11" t="inlineStr">
        <is>
          <t>Schadstofffund / Schadstoffsanierung (Asbest, PAK, PCB, PCP)</t>
        </is>
      </c>
      <c r="F1313" s="10" t="inlineStr">
        <is>
          <t>Schadstoffe</t>
        </is>
      </c>
      <c r="G1313" s="12" t="n">
        <v>0.7</v>
      </c>
      <c r="H1313" s="13" t="n">
        <v>350</v>
      </c>
      <c r="I1313" s="13" t="n">
        <v>450</v>
      </c>
      <c r="J1313" s="13" t="n">
        <v>650</v>
      </c>
      <c r="K1313" s="14">
        <f>IF(OR(COUNT(G1313:J1313)&lt;&gt;4,G1313&lt;0,G1313&gt;1,H1313&gt;I1313,I1313&gt;J1313),"n.a.",ROUND(G1313*(H1313+4*I1313+J1313)/6+0.00000001,2))</f>
        <v/>
      </c>
      <c r="L1313" s="13" t="n">
        <v>0</v>
      </c>
      <c r="M1313" s="14">
        <f>SUMIFS(Maßnahmen!$I$7:$I$126,Maßnahmen!$D$7:$D$126,C1313,Maßnahmen!$H$7:$H$126,"&lt;&gt;verworfen")</f>
        <v/>
      </c>
      <c r="N1313" s="14">
        <f>IF(ISNUMBER(K1313),MAX(0,K1313-L1313-M1313),"n.a.")</f>
        <v/>
      </c>
      <c r="O1313" s="14" t="n">
        <v>326.67</v>
      </c>
      <c r="P1313" s="14">
        <f>IF(ISNUMBER(K1313),K1313-O1313,"n.a.")</f>
        <v/>
      </c>
    </row>
    <row r="1314" ht="32" customHeight="1">
      <c r="C1314" s="10" t="inlineStr">
        <is>
          <t>PRJ-52b1cf71-RK-04</t>
        </is>
      </c>
      <c r="D1314" s="10" t="inlineStr">
        <is>
          <t>P4102157443</t>
        </is>
      </c>
      <c r="E1314" s="11" t="inlineStr">
        <is>
          <t>Baustofftrennung / Aufbereitung nicht wie geplant</t>
        </is>
      </c>
      <c r="F1314" s="10" t="inlineStr">
        <is>
          <t>Entsorgung</t>
        </is>
      </c>
      <c r="G1314" s="12" t="n">
        <v>0.1</v>
      </c>
      <c r="H1314" s="13" t="n">
        <v>20</v>
      </c>
      <c r="I1314" s="13" t="n">
        <v>50</v>
      </c>
      <c r="J1314" s="13" t="n">
        <v>100</v>
      </c>
      <c r="K1314" s="14">
        <f>IF(OR(COUNT(G1314:J1314)&lt;&gt;4,G1314&lt;0,G1314&gt;1,H1314&gt;I1314,I1314&gt;J1314),"n.a.",ROUND(G1314*(H1314+4*I1314+J1314)/6+0.00000001,2))</f>
        <v/>
      </c>
      <c r="L1314" s="13" t="n">
        <v>0</v>
      </c>
      <c r="M1314" s="14">
        <f>SUMIFS(Maßnahmen!$I$7:$I$126,Maßnahmen!$D$7:$D$126,C1314,Maßnahmen!$H$7:$H$126,"&lt;&gt;verworfen")</f>
        <v/>
      </c>
      <c r="N1314" s="14">
        <f>IF(ISNUMBER(K1314),MAX(0,K1314-L1314-M1314),"n.a.")</f>
        <v/>
      </c>
      <c r="O1314" s="14" t="n">
        <v>5.33</v>
      </c>
      <c r="P1314" s="14">
        <f>IF(ISNUMBER(K1314),K1314-O1314,"n.a.")</f>
        <v/>
      </c>
    </row>
    <row r="1315" ht="32" customHeight="1">
      <c r="C1315" s="10" t="inlineStr">
        <is>
          <t>PRJ-52b1cf71-RK-10</t>
        </is>
      </c>
      <c r="D1315" s="10" t="inlineStr">
        <is>
          <t>P4102157443</t>
        </is>
      </c>
      <c r="E1315" s="11" t="inlineStr">
        <is>
          <t>Terminvorgabe Auftraggeber / Geräteauslastung</t>
        </is>
      </c>
      <c r="F1315" s="10" t="inlineStr">
        <is>
          <t>Termin</t>
        </is>
      </c>
      <c r="G1315" s="12" t="n">
        <v>0.2</v>
      </c>
      <c r="H1315" s="13" t="n">
        <v>8</v>
      </c>
      <c r="I1315" s="13" t="n">
        <v>20</v>
      </c>
      <c r="J1315" s="13" t="n">
        <v>50</v>
      </c>
      <c r="K1315" s="14">
        <f>IF(OR(COUNT(G1315:J1315)&lt;&gt;4,G1315&lt;0,G1315&gt;1,H1315&gt;I1315,I1315&gt;J1315),"n.a.",ROUND(G1315*(H1315+4*I1315+J1315)/6+0.00000001,2))</f>
        <v/>
      </c>
      <c r="L1315" s="13" t="n">
        <v>0</v>
      </c>
      <c r="M1315" s="14">
        <f>SUMIFS(Maßnahmen!$I$7:$I$126,Maßnahmen!$D$7:$D$126,C1315,Maßnahmen!$H$7:$H$126,"&lt;&gt;verworfen")</f>
        <v/>
      </c>
      <c r="N1315" s="14">
        <f>IF(ISNUMBER(K1315),MAX(0,K1315-L1315-M1315),"n.a.")</f>
        <v/>
      </c>
      <c r="O1315" s="14" t="n">
        <v>4.6</v>
      </c>
      <c r="P1315" s="14">
        <f>IF(ISNUMBER(K1315),K1315-O1315,"n.a.")</f>
        <v/>
      </c>
    </row>
    <row r="1316" ht="32" customHeight="1">
      <c r="C1316" s="10" t="inlineStr">
        <is>
          <t>PRJ-52b1cf71-RK-12</t>
        </is>
      </c>
      <c r="D1316" s="10" t="inlineStr">
        <is>
          <t>P4102157443</t>
        </is>
      </c>
      <c r="E1316" s="11" t="inlineStr">
        <is>
          <t>Staubemissionen (höchster Aufwand laut Umfrage)</t>
        </is>
      </c>
      <c r="F1316" s="10" t="inlineStr">
        <is>
          <t>Emissionen</t>
        </is>
      </c>
      <c r="G1316" s="12" t="n">
        <v>0.1</v>
      </c>
      <c r="H1316" s="13" t="n">
        <v>30</v>
      </c>
      <c r="I1316" s="13" t="n">
        <v>60</v>
      </c>
      <c r="J1316" s="13" t="n">
        <v>120</v>
      </c>
      <c r="K1316" s="14">
        <f>IF(OR(COUNT(G1316:J1316)&lt;&gt;4,G1316&lt;0,G1316&gt;1,H1316&gt;I1316,I1316&gt;J1316),"n.a.",ROUND(G1316*(H1316+4*I1316+J1316)/6+0.00000001,2))</f>
        <v/>
      </c>
      <c r="L1316" s="13" t="n">
        <v>0</v>
      </c>
      <c r="M1316" s="14">
        <f>SUMIFS(Maßnahmen!$I$7:$I$126,Maßnahmen!$D$7:$D$126,C1316,Maßnahmen!$H$7:$H$126,"&lt;&gt;verworfen")</f>
        <v/>
      </c>
      <c r="N1316" s="14">
        <f>IF(ISNUMBER(K1316),MAX(0,K1316-L1316-M1316),"n.a.")</f>
        <v/>
      </c>
      <c r="O1316" s="14" t="n">
        <v>6.5</v>
      </c>
      <c r="P1316" s="14">
        <f>IF(ISNUMBER(K1316),K1316-O1316,"n.a.")</f>
        <v/>
      </c>
    </row>
    <row r="1317" ht="32" customHeight="1">
      <c r="C1317" s="10" t="inlineStr">
        <is>
          <t>PRJ-52b1cf71-RK-15</t>
        </is>
      </c>
      <c r="D1317" s="10" t="inlineStr">
        <is>
          <t>P4102157443</t>
        </is>
      </c>
      <c r="E1317" s="11" t="inlineStr">
        <is>
          <t>Konjunktur / Sekundärstoffpreise &amp; Gerätemiete</t>
        </is>
      </c>
      <c r="F1317" s="10" t="inlineStr">
        <is>
          <t>Markt</t>
        </is>
      </c>
      <c r="G1317" s="12" t="n">
        <v>0.12</v>
      </c>
      <c r="H1317" s="13" t="n">
        <v>8</v>
      </c>
      <c r="I1317" s="13" t="n">
        <v>20</v>
      </c>
      <c r="J1317" s="13" t="n">
        <v>50</v>
      </c>
      <c r="K1317" s="14">
        <f>IF(OR(COUNT(G1317:J1317)&lt;&gt;4,G1317&lt;0,G1317&gt;1,H1317&gt;I1317,I1317&gt;J1317),"n.a.",ROUND(G1317*(H1317+4*I1317+J1317)/6+0.00000001,2))</f>
        <v/>
      </c>
      <c r="L1317" s="13" t="n">
        <v>0</v>
      </c>
      <c r="M1317" s="14">
        <f>SUMIFS(Maßnahmen!$I$7:$I$126,Maßnahmen!$D$7:$D$126,C1317,Maßnahmen!$H$7:$H$126,"&lt;&gt;verworfen")</f>
        <v/>
      </c>
      <c r="N1317" s="14">
        <f>IF(ISNUMBER(K1317),MAX(0,K1317-L1317-M1317),"n.a.")</f>
        <v/>
      </c>
      <c r="O1317" s="14" t="n">
        <v>2.76</v>
      </c>
      <c r="P1317" s="14">
        <f>IF(ISNUMBER(K1317),K1317-O1317,"n.a.")</f>
        <v/>
      </c>
    </row>
    <row r="1318" ht="32" customHeight="1">
      <c r="C1318" s="10" t="inlineStr">
        <is>
          <t>PRJ-52b1cf6f-RK-01</t>
        </is>
      </c>
      <c r="D1318" s="10" t="inlineStr">
        <is>
          <t>P4102157445</t>
        </is>
      </c>
      <c r="E1318" s="11" t="inlineStr">
        <is>
          <t>Schadstofffund / Schadstoffsanierung (Asbest, PAK, PCB, PCP)</t>
        </is>
      </c>
      <c r="F1318" s="10" t="inlineStr">
        <is>
          <t>Schadstoffe</t>
        </is>
      </c>
      <c r="G1318" s="12" t="n">
        <v>0.554</v>
      </c>
      <c r="H1318" s="13" t="n">
        <v>73</v>
      </c>
      <c r="I1318" s="13" t="n">
        <v>145</v>
      </c>
      <c r="J1318" s="13" t="n">
        <v>269</v>
      </c>
      <c r="K1318" s="14">
        <f>IF(OR(COUNT(G1318:J1318)&lt;&gt;4,G1318&lt;0,G1318&gt;1,H1318&gt;I1318,I1318&gt;J1318),"n.a.",ROUND(G1318*(H1318+4*I1318+J1318)/6+0.00000001,2))</f>
        <v/>
      </c>
      <c r="L1318" s="13" t="n">
        <v>0</v>
      </c>
      <c r="M1318" s="14">
        <f>SUMIFS(Maßnahmen!$I$7:$I$126,Maßnahmen!$D$7:$D$126,C1318,Maßnahmen!$H$7:$H$126,"&lt;&gt;verworfen")</f>
        <v/>
      </c>
      <c r="N1318" s="14">
        <f>IF(ISNUMBER(K1318),MAX(0,K1318-L1318-M1318),"n.a.")</f>
        <v/>
      </c>
      <c r="O1318" s="14" t="n">
        <v>85.13</v>
      </c>
      <c r="P1318" s="14">
        <f>IF(ISNUMBER(K1318),K1318-O1318,"n.a.")</f>
        <v/>
      </c>
    </row>
    <row r="1319" ht="32" customHeight="1">
      <c r="C1319" s="10" t="inlineStr">
        <is>
          <t>PRJ-52b1cf6f-RK-02</t>
        </is>
      </c>
      <c r="D1319" s="10" t="inlineStr">
        <is>
          <t>P4102157445</t>
        </is>
      </c>
      <c r="E1319" s="11" t="inlineStr">
        <is>
          <t>Arbeitsschutz kontaminierte Bereiche (TRGS 524)</t>
        </is>
      </c>
      <c r="F1319" s="10" t="inlineStr">
        <is>
          <t>Schadstoffe</t>
        </is>
      </c>
      <c r="G1319" s="12" t="n">
        <v>0.12</v>
      </c>
      <c r="H1319" s="13" t="n">
        <v>20</v>
      </c>
      <c r="I1319" s="13" t="n">
        <v>50</v>
      </c>
      <c r="J1319" s="13" t="n">
        <v>100</v>
      </c>
      <c r="K1319" s="14">
        <f>IF(OR(COUNT(G1319:J1319)&lt;&gt;4,G1319&lt;0,G1319&gt;1,H1319&gt;I1319,I1319&gt;J1319),"n.a.",ROUND(G1319*(H1319+4*I1319+J1319)/6+0.00000001,2))</f>
        <v/>
      </c>
      <c r="L1319" s="13" t="n">
        <v>0</v>
      </c>
      <c r="M1319" s="14">
        <f>SUMIFS(Maßnahmen!$I$7:$I$126,Maßnahmen!$D$7:$D$126,C1319,Maßnahmen!$H$7:$H$126,"&lt;&gt;verworfen")</f>
        <v/>
      </c>
      <c r="N1319" s="14">
        <f>IF(ISNUMBER(K1319),MAX(0,K1319-L1319-M1319),"n.a.")</f>
        <v/>
      </c>
      <c r="O1319" s="14" t="n">
        <v>6.4</v>
      </c>
      <c r="P1319" s="14">
        <f>IF(ISNUMBER(K1319),K1319-O1319,"n.a.")</f>
        <v/>
      </c>
    </row>
    <row r="1320" ht="32" customHeight="1">
      <c r="C1320" s="10" t="inlineStr">
        <is>
          <t>PRJ-52b1cf6f-RK-03</t>
        </is>
      </c>
      <c r="D1320" s="10" t="inlineStr">
        <is>
          <t>P4102157445</t>
        </is>
      </c>
      <c r="E1320" s="11" t="inlineStr">
        <is>
          <t>Entsorgungs-Mehrkosten / Entsorgungswege</t>
        </is>
      </c>
      <c r="F1320" s="10" t="inlineStr">
        <is>
          <t>Entsorgung</t>
        </is>
      </c>
      <c r="G1320" s="12" t="n">
        <v>0.55</v>
      </c>
      <c r="H1320" s="13" t="n">
        <v>219</v>
      </c>
      <c r="I1320" s="13" t="n">
        <v>398</v>
      </c>
      <c r="J1320" s="13" t="n">
        <v>648</v>
      </c>
      <c r="K1320" s="14">
        <f>IF(OR(COUNT(G1320:J1320)&lt;&gt;4,G1320&lt;0,G1320&gt;1,H1320&gt;I1320,I1320&gt;J1320),"n.a.",ROUND(G1320*(H1320+4*I1320+J1320)/6+0.00000001,2))</f>
        <v/>
      </c>
      <c r="L1320" s="13" t="n">
        <v>0</v>
      </c>
      <c r="M1320" s="14">
        <f>SUMIFS(Maßnahmen!$I$7:$I$126,Maßnahmen!$D$7:$D$126,C1320,Maßnahmen!$H$7:$H$126,"&lt;&gt;verworfen")</f>
        <v/>
      </c>
      <c r="N1320" s="14">
        <f>IF(ISNUMBER(K1320),MAX(0,K1320-L1320-M1320),"n.a.")</f>
        <v/>
      </c>
      <c r="O1320" s="14" t="n">
        <v>225.41</v>
      </c>
      <c r="P1320" s="14">
        <f>IF(ISNUMBER(K1320),K1320-O1320,"n.a.")</f>
        <v/>
      </c>
    </row>
    <row r="1321" ht="32" customHeight="1">
      <c r="C1321" s="10" t="inlineStr">
        <is>
          <t>PRJ-52b1cf6f-RK-04</t>
        </is>
      </c>
      <c r="D1321" s="10" t="inlineStr">
        <is>
          <t>P4102157445</t>
        </is>
      </c>
      <c r="E1321" s="11" t="inlineStr">
        <is>
          <t>Baustofftrennung / Aufbereitung nicht wie geplant</t>
        </is>
      </c>
      <c r="F1321" s="10" t="inlineStr">
        <is>
          <t>Entsorgung</t>
        </is>
      </c>
      <c r="G1321" s="12" t="n">
        <v>0.1</v>
      </c>
      <c r="H1321" s="13" t="n">
        <v>20</v>
      </c>
      <c r="I1321" s="13" t="n">
        <v>50</v>
      </c>
      <c r="J1321" s="13" t="n">
        <v>100</v>
      </c>
      <c r="K1321" s="14">
        <f>IF(OR(COUNT(G1321:J1321)&lt;&gt;4,G1321&lt;0,G1321&gt;1,H1321&gt;I1321,I1321&gt;J1321),"n.a.",ROUND(G1321*(H1321+4*I1321+J1321)/6+0.00000001,2))</f>
        <v/>
      </c>
      <c r="L1321" s="13" t="n">
        <v>0</v>
      </c>
      <c r="M1321" s="14">
        <f>SUMIFS(Maßnahmen!$I$7:$I$126,Maßnahmen!$D$7:$D$126,C1321,Maßnahmen!$H$7:$H$126,"&lt;&gt;verworfen")</f>
        <v/>
      </c>
      <c r="N1321" s="14">
        <f>IF(ISNUMBER(K1321),MAX(0,K1321-L1321-M1321),"n.a.")</f>
        <v/>
      </c>
      <c r="O1321" s="14" t="n">
        <v>5.33</v>
      </c>
      <c r="P1321" s="14">
        <f>IF(ISNUMBER(K1321),K1321-O1321,"n.a.")</f>
        <v/>
      </c>
    </row>
    <row r="1322" ht="32" customHeight="1">
      <c r="C1322" s="10" t="inlineStr">
        <is>
          <t>PRJ-52b1cf6f-RK-05</t>
        </is>
      </c>
      <c r="D1322" s="10" t="inlineStr">
        <is>
          <t>P4102157445</t>
        </is>
      </c>
      <c r="E1322" s="11" t="inlineStr">
        <is>
          <t>Unbekannte Bauwerkskonstruktion / fehlende Pläne</t>
        </is>
      </c>
      <c r="F1322" s="10" t="inlineStr">
        <is>
          <t>Statik</t>
        </is>
      </c>
      <c r="G1322" s="12" t="n">
        <v>0.12</v>
      </c>
      <c r="H1322" s="13" t="n">
        <v>40</v>
      </c>
      <c r="I1322" s="13" t="n">
        <v>80</v>
      </c>
      <c r="J1322" s="13" t="n">
        <v>150</v>
      </c>
      <c r="K1322" s="14">
        <f>IF(OR(COUNT(G1322:J1322)&lt;&gt;4,G1322&lt;0,G1322&gt;1,H1322&gt;I1322,I1322&gt;J1322),"n.a.",ROUND(G1322*(H1322+4*I1322+J1322)/6+0.00000001,2))</f>
        <v/>
      </c>
      <c r="L1322" s="13" t="n">
        <v>0</v>
      </c>
      <c r="M1322" s="14">
        <f>SUMIFS(Maßnahmen!$I$7:$I$126,Maßnahmen!$D$7:$D$126,C1322,Maßnahmen!$H$7:$H$126,"&lt;&gt;verworfen")</f>
        <v/>
      </c>
      <c r="N1322" s="14">
        <f>IF(ISNUMBER(K1322),MAX(0,K1322-L1322-M1322),"n.a.")</f>
        <v/>
      </c>
      <c r="O1322" s="14" t="n">
        <v>10.2</v>
      </c>
      <c r="P1322" s="14">
        <f>IF(ISNUMBER(K1322),K1322-O1322,"n.a.")</f>
        <v/>
      </c>
    </row>
    <row r="1323" ht="32" customHeight="1">
      <c r="C1323" s="10" t="inlineStr">
        <is>
          <t>PRJ-39e5680e-RK-03</t>
        </is>
      </c>
      <c r="D1323" s="10" t="inlineStr">
        <is>
          <t>W4102504104</t>
        </is>
      </c>
      <c r="E1323" s="11" t="inlineStr">
        <is>
          <t>Entsorgungs-Mehrkosten / Entsorgungswege</t>
        </is>
      </c>
      <c r="F1323" s="10" t="inlineStr">
        <is>
          <t>Entsorgung</t>
        </is>
      </c>
      <c r="G1323" s="12" t="n">
        <v>0.15</v>
      </c>
      <c r="H1323" s="13" t="n">
        <v>895</v>
      </c>
      <c r="I1323" s="13" t="n">
        <v>2236</v>
      </c>
      <c r="J1323" s="13" t="n">
        <v>4473</v>
      </c>
      <c r="K1323" s="14">
        <f>IF(OR(COUNT(G1323:J1323)&lt;&gt;4,G1323&lt;0,G1323&gt;1,H1323&gt;I1323,I1323&gt;J1323),"n.a.",ROUND(G1323*(H1323+4*I1323+J1323)/6+0.00000001,2))</f>
        <v/>
      </c>
      <c r="L1323" s="13" t="n">
        <v>0</v>
      </c>
      <c r="M1323" s="14">
        <f>SUMIFS(Maßnahmen!$I$7:$I$126,Maßnahmen!$D$7:$D$126,C1323,Maßnahmen!$H$7:$H$126,"&lt;&gt;verworfen")</f>
        <v/>
      </c>
      <c r="N1323" s="14">
        <f>IF(ISNUMBER(K1323),MAX(0,K1323-L1323-M1323),"n.a.")</f>
        <v/>
      </c>
      <c r="O1323" s="14" t="n">
        <v>357.8</v>
      </c>
      <c r="P1323" s="14">
        <f>IF(ISNUMBER(K1323),K1323-O1323,"n.a.")</f>
        <v/>
      </c>
    </row>
    <row r="1324" ht="32" customHeight="1">
      <c r="C1324" s="10" t="inlineStr">
        <is>
          <t>PRJ-39e5680e-RK-04</t>
        </is>
      </c>
      <c r="D1324" s="10" t="inlineStr">
        <is>
          <t>W4102504104</t>
        </is>
      </c>
      <c r="E1324" s="11" t="inlineStr">
        <is>
          <t>Baustofftrennung / Aufbereitung nicht wie geplant</t>
        </is>
      </c>
      <c r="F1324" s="10" t="inlineStr">
        <is>
          <t>Entsorgung</t>
        </is>
      </c>
      <c r="G1324" s="12" t="n">
        <v>0.1</v>
      </c>
      <c r="H1324" s="13" t="n">
        <v>895</v>
      </c>
      <c r="I1324" s="13" t="n">
        <v>2236</v>
      </c>
      <c r="J1324" s="13" t="n">
        <v>4473</v>
      </c>
      <c r="K1324" s="14">
        <f>IF(OR(COUNT(G1324:J1324)&lt;&gt;4,G1324&lt;0,G1324&gt;1,H1324&gt;I1324,I1324&gt;J1324),"n.a.",ROUND(G1324*(H1324+4*I1324+J1324)/6+0.00000001,2))</f>
        <v/>
      </c>
      <c r="L1324" s="13" t="n">
        <v>0</v>
      </c>
      <c r="M1324" s="14">
        <f>SUMIFS(Maßnahmen!$I$7:$I$126,Maßnahmen!$D$7:$D$126,C1324,Maßnahmen!$H$7:$H$126,"&lt;&gt;verworfen")</f>
        <v/>
      </c>
      <c r="N1324" s="14">
        <f>IF(ISNUMBER(K1324),MAX(0,K1324-L1324-M1324),"n.a.")</f>
        <v/>
      </c>
      <c r="O1324" s="14" t="n">
        <v>238.53</v>
      </c>
      <c r="P1324" s="14">
        <f>IF(ISNUMBER(K1324),K1324-O1324,"n.a.")</f>
        <v/>
      </c>
    </row>
    <row r="1325" ht="32" customHeight="1">
      <c r="C1325" s="10" t="inlineStr">
        <is>
          <t>PRJ-39e5680e-RK-05</t>
        </is>
      </c>
      <c r="D1325" s="10" t="inlineStr">
        <is>
          <t>W4102504104</t>
        </is>
      </c>
      <c r="E1325" s="11" t="inlineStr">
        <is>
          <t>Unbekannte Bauwerkskonstruktion / fehlende Pläne</t>
        </is>
      </c>
      <c r="F1325" s="10" t="inlineStr">
        <is>
          <t>Statik</t>
        </is>
      </c>
      <c r="G1325" s="12" t="n">
        <v>0.12</v>
      </c>
      <c r="H1325" s="13" t="n">
        <v>224</v>
      </c>
      <c r="I1325" s="13" t="n">
        <v>447</v>
      </c>
      <c r="J1325" s="13" t="n">
        <v>895</v>
      </c>
      <c r="K1325" s="14">
        <f>IF(OR(COUNT(G1325:J1325)&lt;&gt;4,G1325&lt;0,G1325&gt;1,H1325&gt;I1325,I1325&gt;J1325),"n.a.",ROUND(G1325*(H1325+4*I1325+J1325)/6+0.00000001,2))</f>
        <v/>
      </c>
      <c r="L1325" s="13" t="n">
        <v>0</v>
      </c>
      <c r="M1325" s="14">
        <f>SUMIFS(Maßnahmen!$I$7:$I$126,Maßnahmen!$D$7:$D$126,C1325,Maßnahmen!$H$7:$H$126,"&lt;&gt;verworfen")</f>
        <v/>
      </c>
      <c r="N1325" s="14">
        <f>IF(ISNUMBER(K1325),MAX(0,K1325-L1325-M1325),"n.a.")</f>
        <v/>
      </c>
      <c r="O1325" s="14" t="n">
        <v>58.14</v>
      </c>
      <c r="P1325" s="14">
        <f>IF(ISNUMBER(K1325),K1325-O1325,"n.a.")</f>
        <v/>
      </c>
    </row>
    <row r="1326" ht="32" customHeight="1">
      <c r="C1326" s="10" t="inlineStr">
        <is>
          <t>PRJ-39e5680e-RK-06</t>
        </is>
      </c>
      <c r="D1326" s="10" t="inlineStr">
        <is>
          <t>W4102504104</t>
        </is>
      </c>
      <c r="E1326" s="11" t="inlineStr">
        <is>
          <t>Statik / Einsturzsicherung während Abbruch</t>
        </is>
      </c>
      <c r="F1326" s="10" t="inlineStr">
        <is>
          <t>Statik</t>
        </is>
      </c>
      <c r="G1326" s="12" t="n">
        <v>0.12</v>
      </c>
      <c r="H1326" s="13" t="n">
        <v>1342</v>
      </c>
      <c r="I1326" s="13" t="n">
        <v>3131</v>
      </c>
      <c r="J1326" s="13" t="n">
        <v>6262</v>
      </c>
      <c r="K1326" s="14">
        <f>IF(OR(COUNT(G1326:J1326)&lt;&gt;4,G1326&lt;0,G1326&gt;1,H1326&gt;I1326,I1326&gt;J1326),"n.a.",ROUND(G1326*(H1326+4*I1326+J1326)/6+0.00000001,2))</f>
        <v/>
      </c>
      <c r="L1326" s="13" t="n">
        <v>0</v>
      </c>
      <c r="M1326" s="14">
        <f>SUMIFS(Maßnahmen!$I$7:$I$126,Maßnahmen!$D$7:$D$126,C1326,Maßnahmen!$H$7:$H$126,"&lt;&gt;verworfen")</f>
        <v/>
      </c>
      <c r="N1326" s="14">
        <f>IF(ISNUMBER(K1326),MAX(0,K1326-L1326-M1326),"n.a.")</f>
        <v/>
      </c>
      <c r="O1326" s="14" t="n">
        <v>402.56</v>
      </c>
      <c r="P1326" s="14">
        <f>IF(ISNUMBER(K1326),K1326-O1326,"n.a.")</f>
        <v/>
      </c>
    </row>
    <row r="1327" ht="32" customHeight="1">
      <c r="C1327" s="10" t="inlineStr">
        <is>
          <t>PRJ-39e5680e-RK-07</t>
        </is>
      </c>
      <c r="D1327" s="10" t="inlineStr">
        <is>
          <t>W4102504104</t>
        </is>
      </c>
      <c r="E1327" s="11" t="inlineStr">
        <is>
          <t>Unterirdische Tragkonstruktion / Fundamente</t>
        </is>
      </c>
      <c r="F1327" s="10" t="inlineStr">
        <is>
          <t>Statik</t>
        </is>
      </c>
      <c r="G1327" s="12" t="n">
        <v>0.5</v>
      </c>
      <c r="H1327" s="13" t="n">
        <v>224</v>
      </c>
      <c r="I1327" s="13" t="n">
        <v>895</v>
      </c>
      <c r="J1327" s="13" t="n">
        <v>2236</v>
      </c>
      <c r="K1327" s="14">
        <f>IF(OR(COUNT(G1327:J1327)&lt;&gt;4,G1327&lt;0,G1327&gt;1,H1327&gt;I1327,I1327&gt;J1327),"n.a.",ROUND(G1327*(H1327+4*I1327+J1327)/6+0.00000001,2))</f>
        <v/>
      </c>
      <c r="L1327" s="13" t="n">
        <v>0</v>
      </c>
      <c r="M1327" s="14">
        <f>SUMIFS(Maßnahmen!$I$7:$I$126,Maßnahmen!$D$7:$D$126,C1327,Maßnahmen!$H$7:$H$126,"&lt;&gt;verworfen")</f>
        <v/>
      </c>
      <c r="N1327" s="14">
        <f>IF(ISNUMBER(K1327),MAX(0,K1327-L1327-M1327),"n.a.")</f>
        <v/>
      </c>
      <c r="O1327" s="14" t="n">
        <v>503.33</v>
      </c>
      <c r="P1327" s="14">
        <f>IF(ISNUMBER(K1327),K1327-O1327,"n.a.")</f>
        <v/>
      </c>
    </row>
    <row r="1328" ht="32" customHeight="1">
      <c r="C1328" s="10" t="inlineStr">
        <is>
          <t>PRJ-39e5680e-RK-08</t>
        </is>
      </c>
      <c r="D1328" s="10" t="inlineStr">
        <is>
          <t>W4102504104</t>
        </is>
      </c>
      <c r="E1328" s="11" t="inlineStr">
        <is>
          <t>Gebäudehöhe &gt;22 m / Longfront-Bagger (+130–150 %)</t>
        </is>
      </c>
      <c r="F1328" s="10" t="inlineStr">
        <is>
          <t>Termin</t>
        </is>
      </c>
      <c r="G1328" s="12" t="n">
        <v>0.6</v>
      </c>
      <c r="H1328" s="13" t="n">
        <v>4025</v>
      </c>
      <c r="I1328" s="13" t="n">
        <v>8051</v>
      </c>
      <c r="J1328" s="13" t="n">
        <v>15207</v>
      </c>
      <c r="K1328" s="14">
        <f>IF(OR(COUNT(G1328:J1328)&lt;&gt;4,G1328&lt;0,G1328&gt;1,H1328&gt;I1328,I1328&gt;J1328),"n.a.",ROUND(G1328*(H1328+4*I1328+J1328)/6+0.00000001,2))</f>
        <v/>
      </c>
      <c r="L1328" s="13" t="n">
        <v>0</v>
      </c>
      <c r="M1328" s="14">
        <f>SUMIFS(Maßnahmen!$I$7:$I$126,Maßnahmen!$D$7:$D$126,C1328,Maßnahmen!$H$7:$H$126,"&lt;&gt;verworfen")</f>
        <v/>
      </c>
      <c r="N1328" s="14">
        <f>IF(ISNUMBER(K1328),MAX(0,K1328-L1328-M1328),"n.a.")</f>
        <v/>
      </c>
      <c r="O1328" s="14" t="n">
        <v>5143.6</v>
      </c>
      <c r="P1328" s="14">
        <f>IF(ISNUMBER(K1328),K1328-O1328,"n.a.")</f>
        <v/>
      </c>
    </row>
    <row r="1329" ht="32" customHeight="1">
      <c r="C1329" s="10" t="inlineStr">
        <is>
          <t>PRJ-39e5680e-RK-09</t>
        </is>
      </c>
      <c r="D1329" s="10" t="inlineStr">
        <is>
          <t>W4102504104</t>
        </is>
      </c>
      <c r="E1329" s="11" t="inlineStr">
        <is>
          <t>Beennte Lage / nur Handabbruch möglich</t>
        </is>
      </c>
      <c r="F1329" s="10" t="inlineStr">
        <is>
          <t>Termin</t>
        </is>
      </c>
      <c r="G1329" s="12" t="n">
        <v>0.1</v>
      </c>
      <c r="H1329" s="13" t="n">
        <v>224</v>
      </c>
      <c r="I1329" s="13" t="n">
        <v>447</v>
      </c>
      <c r="J1329" s="13" t="n">
        <v>895</v>
      </c>
      <c r="K1329" s="14">
        <f>IF(OR(COUNT(G1329:J1329)&lt;&gt;4,G1329&lt;0,G1329&gt;1,H1329&gt;I1329,I1329&gt;J1329),"n.a.",ROUND(G1329*(H1329+4*I1329+J1329)/6+0.00000001,2))</f>
        <v/>
      </c>
      <c r="L1329" s="13" t="n">
        <v>0</v>
      </c>
      <c r="M1329" s="14">
        <f>SUMIFS(Maßnahmen!$I$7:$I$126,Maßnahmen!$D$7:$D$126,C1329,Maßnahmen!$H$7:$H$126,"&lt;&gt;verworfen")</f>
        <v/>
      </c>
      <c r="N1329" s="14">
        <f>IF(ISNUMBER(K1329),MAX(0,K1329-L1329-M1329),"n.a.")</f>
        <v/>
      </c>
      <c r="O1329" s="14" t="n">
        <v>48.45</v>
      </c>
      <c r="P1329" s="14">
        <f>IF(ISNUMBER(K1329),K1329-O1329,"n.a.")</f>
        <v/>
      </c>
    </row>
    <row r="1330" ht="32" customHeight="1">
      <c r="C1330" s="10" t="inlineStr">
        <is>
          <t>PRJ-52b1cf92-RK-01</t>
        </is>
      </c>
      <c r="D1330" s="10" t="inlineStr">
        <is>
          <t>P4102157431</t>
        </is>
      </c>
      <c r="E1330" s="11" t="inlineStr">
        <is>
          <t>Schadstofffund / Schadstoffsanierung (Asbest, PAK, PCB, PCP)</t>
        </is>
      </c>
      <c r="F1330" s="10" t="inlineStr">
        <is>
          <t>Schadstoffe</t>
        </is>
      </c>
      <c r="G1330" s="12" t="n">
        <v>0.7</v>
      </c>
      <c r="H1330" s="13" t="n">
        <v>1750</v>
      </c>
      <c r="I1330" s="13" t="n">
        <v>2250</v>
      </c>
      <c r="J1330" s="13" t="n">
        <v>3250</v>
      </c>
      <c r="K1330" s="14">
        <f>IF(OR(COUNT(G1330:J1330)&lt;&gt;4,G1330&lt;0,G1330&gt;1,H1330&gt;I1330,I1330&gt;J1330),"n.a.",ROUND(G1330*(H1330+4*I1330+J1330)/6+0.00000001,2))</f>
        <v/>
      </c>
      <c r="L1330" s="13" t="n">
        <v>0</v>
      </c>
      <c r="M1330" s="14">
        <f>SUMIFS(Maßnahmen!$I$7:$I$126,Maßnahmen!$D$7:$D$126,C1330,Maßnahmen!$H$7:$H$126,"&lt;&gt;verworfen")</f>
        <v/>
      </c>
      <c r="N1330" s="14">
        <f>IF(ISNUMBER(K1330),MAX(0,K1330-L1330-M1330),"n.a.")</f>
        <v/>
      </c>
      <c r="O1330" s="14" t="n">
        <v>1633.33</v>
      </c>
      <c r="P1330" s="14">
        <f>IF(ISNUMBER(K1330),K1330-O1330,"n.a.")</f>
        <v/>
      </c>
    </row>
    <row r="1331" ht="32" customHeight="1">
      <c r="C1331" s="10" t="inlineStr">
        <is>
          <t>PRJ-52b1cf34-RK-01</t>
        </is>
      </c>
      <c r="D1331" s="10" t="inlineStr">
        <is>
          <t>P4102157462</t>
        </is>
      </c>
      <c r="E1331" s="11" t="inlineStr">
        <is>
          <t>Schadstofffund / Schadstoffsanierung (Asbest, PAK, PCB, PCP)</t>
        </is>
      </c>
      <c r="F1331" s="10" t="inlineStr">
        <is>
          <t>Schadstoffe</t>
        </is>
      </c>
      <c r="G1331" s="12" t="n">
        <v>0.1</v>
      </c>
      <c r="H1331" s="13" t="n">
        <v>517</v>
      </c>
      <c r="I1331" s="13" t="n">
        <v>1293</v>
      </c>
      <c r="J1331" s="13" t="n">
        <v>2586</v>
      </c>
      <c r="K1331" s="14">
        <f>IF(OR(COUNT(G1331:J1331)&lt;&gt;4,G1331&lt;0,G1331&gt;1,H1331&gt;I1331,I1331&gt;J1331),"n.a.",ROUND(G1331*(H1331+4*I1331+J1331)/6+0.00000001,2))</f>
        <v/>
      </c>
      <c r="L1331" s="13" t="n">
        <v>0</v>
      </c>
      <c r="M1331" s="14">
        <f>SUMIFS(Maßnahmen!$I$7:$I$126,Maßnahmen!$D$7:$D$126,C1331,Maßnahmen!$H$7:$H$126,"&lt;&gt;verworfen")</f>
        <v/>
      </c>
      <c r="N1331" s="14">
        <f>IF(ISNUMBER(K1331),MAX(0,K1331-L1331-M1331),"n.a.")</f>
        <v/>
      </c>
      <c r="O1331" s="14" t="n">
        <v>137.92</v>
      </c>
      <c r="P1331" s="14">
        <f>IF(ISNUMBER(K1331),K1331-O1331,"n.a.")</f>
        <v/>
      </c>
    </row>
    <row r="1332" ht="32" customHeight="1">
      <c r="C1332" s="10" t="inlineStr">
        <is>
          <t>PRJ-52b1cf34-RK-02</t>
        </is>
      </c>
      <c r="D1332" s="10" t="inlineStr">
        <is>
          <t>P4102157462</t>
        </is>
      </c>
      <c r="E1332" s="11" t="inlineStr">
        <is>
          <t>Arbeitsschutz kontaminierte Bereiche (TRGS 524)</t>
        </is>
      </c>
      <c r="F1332" s="10" t="inlineStr">
        <is>
          <t>Schadstoffe</t>
        </is>
      </c>
      <c r="G1332" s="12" t="n">
        <v>0.1</v>
      </c>
      <c r="H1332" s="13" t="n">
        <v>129</v>
      </c>
      <c r="I1332" s="13" t="n">
        <v>259</v>
      </c>
      <c r="J1332" s="13" t="n">
        <v>517</v>
      </c>
      <c r="K1332" s="14">
        <f>IF(OR(COUNT(G1332:J1332)&lt;&gt;4,G1332&lt;0,G1332&gt;1,H1332&gt;I1332,I1332&gt;J1332),"n.a.",ROUND(G1332*(H1332+4*I1332+J1332)/6+0.00000001,2))</f>
        <v/>
      </c>
      <c r="L1332" s="13" t="n">
        <v>0</v>
      </c>
      <c r="M1332" s="14">
        <f>SUMIFS(Maßnahmen!$I$7:$I$126,Maßnahmen!$D$7:$D$126,C1332,Maßnahmen!$H$7:$H$126,"&lt;&gt;verworfen")</f>
        <v/>
      </c>
      <c r="N1332" s="14">
        <f>IF(ISNUMBER(K1332),MAX(0,K1332-L1332-M1332),"n.a.")</f>
        <v/>
      </c>
      <c r="O1332" s="14" t="n">
        <v>28.03</v>
      </c>
      <c r="P1332" s="14">
        <f>IF(ISNUMBER(K1332),K1332-O1332,"n.a.")</f>
        <v/>
      </c>
    </row>
    <row r="1333" ht="32" customHeight="1">
      <c r="C1333" s="10" t="inlineStr">
        <is>
          <t>PRJ-52b1cf34-RK-03</t>
        </is>
      </c>
      <c r="D1333" s="10" t="inlineStr">
        <is>
          <t>P4102157462</t>
        </is>
      </c>
      <c r="E1333" s="11" t="inlineStr">
        <is>
          <t>Entsorgungs-Mehrkosten / Entsorgungswege</t>
        </is>
      </c>
      <c r="F1333" s="10" t="inlineStr">
        <is>
          <t>Entsorgung</t>
        </is>
      </c>
      <c r="G1333" s="12" t="n">
        <v>0.15</v>
      </c>
      <c r="H1333" s="13" t="n">
        <v>517</v>
      </c>
      <c r="I1333" s="13" t="n">
        <v>1293</v>
      </c>
      <c r="J1333" s="13" t="n">
        <v>2586</v>
      </c>
      <c r="K1333" s="14">
        <f>IF(OR(COUNT(G1333:J1333)&lt;&gt;4,G1333&lt;0,G1333&gt;1,H1333&gt;I1333,I1333&gt;J1333),"n.a.",ROUND(G1333*(H1333+4*I1333+J1333)/6+0.00000001,2))</f>
        <v/>
      </c>
      <c r="L1333" s="13" t="n">
        <v>0</v>
      </c>
      <c r="M1333" s="14">
        <f>SUMIFS(Maßnahmen!$I$7:$I$126,Maßnahmen!$D$7:$D$126,C1333,Maßnahmen!$H$7:$H$126,"&lt;&gt;verworfen")</f>
        <v/>
      </c>
      <c r="N1333" s="14">
        <f>IF(ISNUMBER(K1333),MAX(0,K1333-L1333-M1333),"n.a.")</f>
        <v/>
      </c>
      <c r="O1333" s="14" t="n">
        <v>206.88</v>
      </c>
      <c r="P1333" s="14">
        <f>IF(ISNUMBER(K1333),K1333-O1333,"n.a.")</f>
        <v/>
      </c>
    </row>
    <row r="1334" ht="32" customHeight="1">
      <c r="C1334" s="10" t="inlineStr">
        <is>
          <t>PRJ-52b1cf34-RK-04</t>
        </is>
      </c>
      <c r="D1334" s="10" t="inlineStr">
        <is>
          <t>P4102157462</t>
        </is>
      </c>
      <c r="E1334" s="11" t="inlineStr">
        <is>
          <t>Baustofftrennung / Aufbereitung nicht wie geplant</t>
        </is>
      </c>
      <c r="F1334" s="10" t="inlineStr">
        <is>
          <t>Entsorgung</t>
        </is>
      </c>
      <c r="G1334" s="12" t="n">
        <v>0.08</v>
      </c>
      <c r="H1334" s="13" t="n">
        <v>129</v>
      </c>
      <c r="I1334" s="13" t="n">
        <v>259</v>
      </c>
      <c r="J1334" s="13" t="n">
        <v>517</v>
      </c>
      <c r="K1334" s="14">
        <f>IF(OR(COUNT(G1334:J1334)&lt;&gt;4,G1334&lt;0,G1334&gt;1,H1334&gt;I1334,I1334&gt;J1334),"n.a.",ROUND(G1334*(H1334+4*I1334+J1334)/6+0.00000001,2))</f>
        <v/>
      </c>
      <c r="L1334" s="13" t="n">
        <v>0</v>
      </c>
      <c r="M1334" s="14">
        <f>SUMIFS(Maßnahmen!$I$7:$I$126,Maßnahmen!$D$7:$D$126,C1334,Maßnahmen!$H$7:$H$126,"&lt;&gt;verworfen")</f>
        <v/>
      </c>
      <c r="N1334" s="14">
        <f>IF(ISNUMBER(K1334),MAX(0,K1334-L1334-M1334),"n.a.")</f>
        <v/>
      </c>
      <c r="O1334" s="14" t="n">
        <v>22.43</v>
      </c>
      <c r="P1334" s="14">
        <f>IF(ISNUMBER(K1334),K1334-O1334,"n.a.")</f>
        <v/>
      </c>
    </row>
    <row r="1335" ht="32" customHeight="1">
      <c r="C1335" s="10" t="inlineStr">
        <is>
          <t>PRJ-52b1cf34-RK-06</t>
        </is>
      </c>
      <c r="D1335" s="10" t="inlineStr">
        <is>
          <t>P4102157462</t>
        </is>
      </c>
      <c r="E1335" s="11" t="inlineStr">
        <is>
          <t>Statik / Einsturzsicherung während Abbruch</t>
        </is>
      </c>
      <c r="F1335" s="10" t="inlineStr">
        <is>
          <t>Statik</t>
        </is>
      </c>
      <c r="G1335" s="12" t="n">
        <v>0.24</v>
      </c>
      <c r="H1335" s="13" t="n">
        <v>776</v>
      </c>
      <c r="I1335" s="13" t="n">
        <v>1810</v>
      </c>
      <c r="J1335" s="13" t="n">
        <v>3620</v>
      </c>
      <c r="K1335" s="14">
        <f>IF(OR(COUNT(G1335:J1335)&lt;&gt;4,G1335&lt;0,G1335&gt;1,H1335&gt;I1335,I1335&gt;J1335),"n.a.",ROUND(G1335*(H1335+4*I1335+J1335)/6+0.00000001,2))</f>
        <v/>
      </c>
      <c r="L1335" s="13" t="n">
        <v>0</v>
      </c>
      <c r="M1335" s="14">
        <f>SUMIFS(Maßnahmen!$I$7:$I$126,Maßnahmen!$D$7:$D$126,C1335,Maßnahmen!$H$7:$H$126,"&lt;&gt;verworfen")</f>
        <v/>
      </c>
      <c r="N1335" s="14">
        <f>IF(ISNUMBER(K1335),MAX(0,K1335-L1335-M1335),"n.a.")</f>
        <v/>
      </c>
      <c r="O1335" s="14" t="n">
        <v>465.44</v>
      </c>
      <c r="P1335" s="14">
        <f>IF(ISNUMBER(K1335),K1335-O1335,"n.a.")</f>
        <v/>
      </c>
    </row>
    <row r="1336" ht="32" customHeight="1">
      <c r="C1336" s="10" t="inlineStr">
        <is>
          <t>PRJ-52b1cf34-RK-07</t>
        </is>
      </c>
      <c r="D1336" s="10" t="inlineStr">
        <is>
          <t>P4102157462</t>
        </is>
      </c>
      <c r="E1336" s="11" t="inlineStr">
        <is>
          <t>Unterirdische Tragkonstruktion / Fundamente</t>
        </is>
      </c>
      <c r="F1336" s="10" t="inlineStr">
        <is>
          <t>Statik</t>
        </is>
      </c>
      <c r="G1336" s="12" t="n">
        <v>0.5</v>
      </c>
      <c r="H1336" s="13" t="n">
        <v>129</v>
      </c>
      <c r="I1336" s="13" t="n">
        <v>517</v>
      </c>
      <c r="J1336" s="13" t="n">
        <v>1293</v>
      </c>
      <c r="K1336" s="14">
        <f>IF(OR(COUNT(G1336:J1336)&lt;&gt;4,G1336&lt;0,G1336&gt;1,H1336&gt;I1336,I1336&gt;J1336),"n.a.",ROUND(G1336*(H1336+4*I1336+J1336)/6+0.00000001,2))</f>
        <v/>
      </c>
      <c r="L1336" s="13" t="n">
        <v>0</v>
      </c>
      <c r="M1336" s="14">
        <f>SUMIFS(Maßnahmen!$I$7:$I$126,Maßnahmen!$D$7:$D$126,C1336,Maßnahmen!$H$7:$H$126,"&lt;&gt;verworfen")</f>
        <v/>
      </c>
      <c r="N1336" s="14">
        <f>IF(ISNUMBER(K1336),MAX(0,K1336-L1336-M1336),"n.a.")</f>
        <v/>
      </c>
      <c r="O1336" s="14" t="n">
        <v>290.83</v>
      </c>
      <c r="P1336" s="14">
        <f>IF(ISNUMBER(K1336),K1336-O1336,"n.a.")</f>
        <v/>
      </c>
    </row>
    <row r="1337" ht="32" customHeight="1">
      <c r="C1337" s="10" t="inlineStr">
        <is>
          <t>PRJ-52b1cf34-RK-10</t>
        </is>
      </c>
      <c r="D1337" s="10" t="inlineStr">
        <is>
          <t>P4102157462</t>
        </is>
      </c>
      <c r="E1337" s="11" t="inlineStr">
        <is>
          <t>Terminvorgabe Auftraggeber / Geräteauslastung</t>
        </is>
      </c>
      <c r="F1337" s="10" t="inlineStr">
        <is>
          <t>Termin</t>
        </is>
      </c>
      <c r="G1337" s="12" t="n">
        <v>0.08</v>
      </c>
      <c r="H1337" s="13" t="n">
        <v>129</v>
      </c>
      <c r="I1337" s="13" t="n">
        <v>259</v>
      </c>
      <c r="J1337" s="13" t="n">
        <v>517</v>
      </c>
      <c r="K1337" s="14">
        <f>IF(OR(COUNT(G1337:J1337)&lt;&gt;4,G1337&lt;0,G1337&gt;1,H1337&gt;I1337,I1337&gt;J1337),"n.a.",ROUND(G1337*(H1337+4*I1337+J1337)/6+0.00000001,2))</f>
        <v/>
      </c>
      <c r="L1337" s="13" t="n">
        <v>0</v>
      </c>
      <c r="M1337" s="14">
        <f>SUMIFS(Maßnahmen!$I$7:$I$126,Maßnahmen!$D$7:$D$126,C1337,Maßnahmen!$H$7:$H$126,"&lt;&gt;verworfen")</f>
        <v/>
      </c>
      <c r="N1337" s="14">
        <f>IF(ISNUMBER(K1337),MAX(0,K1337-L1337-M1337),"n.a.")</f>
        <v/>
      </c>
      <c r="O1337" s="14" t="n">
        <v>22.43</v>
      </c>
      <c r="P1337" s="14">
        <f>IF(ISNUMBER(K1337),K1337-O1337,"n.a.")</f>
        <v/>
      </c>
    </row>
    <row r="1338" ht="32" customHeight="1">
      <c r="C1338" s="10" t="inlineStr">
        <is>
          <t>PRJ-52b1cf34-RK-11</t>
        </is>
      </c>
      <c r="D1338" s="10" t="inlineStr">
        <is>
          <t>P4102157462</t>
        </is>
      </c>
      <c r="E1338" s="11" t="inlineStr">
        <is>
          <t>Witterung / Ablaufstörung</t>
        </is>
      </c>
      <c r="F1338" s="10" t="inlineStr">
        <is>
          <t>Termin</t>
        </is>
      </c>
      <c r="G1338" s="12" t="n">
        <v>0.25</v>
      </c>
      <c r="H1338" s="13" t="n">
        <v>259</v>
      </c>
      <c r="I1338" s="13" t="n">
        <v>776</v>
      </c>
      <c r="J1338" s="13" t="n">
        <v>1551</v>
      </c>
      <c r="K1338" s="14">
        <f>IF(OR(COUNT(G1338:J1338)&lt;&gt;4,G1338&lt;0,G1338&gt;1,H1338&gt;I1338,I1338&gt;J1338),"n.a.",ROUND(G1338*(H1338+4*I1338+J1338)/6+0.00000001,2))</f>
        <v/>
      </c>
      <c r="L1338" s="13" t="n">
        <v>0</v>
      </c>
      <c r="M1338" s="14">
        <f>SUMIFS(Maßnahmen!$I$7:$I$126,Maßnahmen!$D$7:$D$126,C1338,Maßnahmen!$H$7:$H$126,"&lt;&gt;verworfen")</f>
        <v/>
      </c>
      <c r="N1338" s="14">
        <f>IF(ISNUMBER(K1338),MAX(0,K1338-L1338-M1338),"n.a.")</f>
        <v/>
      </c>
      <c r="O1338" s="14" t="n">
        <v>204.75</v>
      </c>
      <c r="P1338" s="14">
        <f>IF(ISNUMBER(K1338),K1338-O1338,"n.a.")</f>
        <v/>
      </c>
    </row>
    <row r="1339" ht="32" customHeight="1">
      <c r="C1339" s="10" t="inlineStr">
        <is>
          <t>PRJ-52b1cf34-RK-15</t>
        </is>
      </c>
      <c r="D1339" s="10" t="inlineStr">
        <is>
          <t>P4102157462</t>
        </is>
      </c>
      <c r="E1339" s="11" t="inlineStr">
        <is>
          <t>Konjunktur / Sekundärstoffpreise &amp; Gerätemiete</t>
        </is>
      </c>
      <c r="F1339" s="10" t="inlineStr">
        <is>
          <t>Markt</t>
        </is>
      </c>
      <c r="G1339" s="12" t="n">
        <v>0.12</v>
      </c>
      <c r="H1339" s="13" t="n">
        <v>207</v>
      </c>
      <c r="I1339" s="13" t="n">
        <v>517</v>
      </c>
      <c r="J1339" s="13" t="n">
        <v>1293</v>
      </c>
      <c r="K1339" s="14">
        <f>IF(OR(COUNT(G1339:J1339)&lt;&gt;4,G1339&lt;0,G1339&gt;1,H1339&gt;I1339,I1339&gt;J1339),"n.a.",ROUND(G1339*(H1339+4*I1339+J1339)/6+0.00000001,2))</f>
        <v/>
      </c>
      <c r="L1339" s="13" t="n">
        <v>0</v>
      </c>
      <c r="M1339" s="14">
        <f>SUMIFS(Maßnahmen!$I$7:$I$126,Maßnahmen!$D$7:$D$126,C1339,Maßnahmen!$H$7:$H$126,"&lt;&gt;verworfen")</f>
        <v/>
      </c>
      <c r="N1339" s="14">
        <f>IF(ISNUMBER(K1339),MAX(0,K1339-L1339-M1339),"n.a.")</f>
        <v/>
      </c>
      <c r="O1339" s="14" t="n">
        <v>71.36</v>
      </c>
      <c r="P1339" s="14">
        <f>IF(ISNUMBER(K1339),K1339-O1339,"n.a.")</f>
        <v/>
      </c>
    </row>
    <row r="1340" ht="32" customHeight="1">
      <c r="C1340" s="10" t="inlineStr">
        <is>
          <t>PRJ-39e5680e-RK-10</t>
        </is>
      </c>
      <c r="D1340" s="10" t="inlineStr">
        <is>
          <t>W4102504104</t>
        </is>
      </c>
      <c r="E1340" s="11" t="inlineStr">
        <is>
          <t>Terminvorgabe Auftraggeber / Geräteauslastung</t>
        </is>
      </c>
      <c r="F1340" s="10" t="inlineStr">
        <is>
          <t>Termin</t>
        </is>
      </c>
      <c r="G1340" s="12" t="n">
        <v>0.1</v>
      </c>
      <c r="H1340" s="13" t="n">
        <v>358</v>
      </c>
      <c r="I1340" s="13" t="n">
        <v>895</v>
      </c>
      <c r="J1340" s="13" t="n">
        <v>2236</v>
      </c>
      <c r="K1340" s="14">
        <f>IF(OR(COUNT(G1340:J1340)&lt;&gt;4,G1340&lt;0,G1340&gt;1,H1340&gt;I1340,I1340&gt;J1340),"n.a.",ROUND(G1340*(H1340+4*I1340+J1340)/6+0.00000001,2))</f>
        <v/>
      </c>
      <c r="L1340" s="13" t="n">
        <v>0</v>
      </c>
      <c r="M1340" s="14">
        <f>SUMIFS(Maßnahmen!$I$7:$I$126,Maßnahmen!$D$7:$D$126,C1340,Maßnahmen!$H$7:$H$126,"&lt;&gt;verworfen")</f>
        <v/>
      </c>
      <c r="N1340" s="14">
        <f>IF(ISNUMBER(K1340),MAX(0,K1340-L1340-M1340),"n.a.")</f>
        <v/>
      </c>
      <c r="O1340" s="14" t="n">
        <v>102.9</v>
      </c>
      <c r="P1340" s="14">
        <f>IF(ISNUMBER(K1340),K1340-O1340,"n.a.")</f>
        <v/>
      </c>
    </row>
    <row r="1341" ht="32" customHeight="1">
      <c r="C1341" s="10" t="inlineStr">
        <is>
          <t>PRJ-37ea0709-RK-01</t>
        </is>
      </c>
      <c r="D1341" s="10" t="inlineStr">
        <is>
          <t>W4102654611</t>
        </is>
      </c>
      <c r="E1341" s="11" t="inlineStr">
        <is>
          <t>Schadstofffund / Schadstoffsanierung (Asbest, PAK, PCB, PCP)</t>
        </is>
      </c>
      <c r="F1341" s="10" t="inlineStr">
        <is>
          <t>Schadstoffe</t>
        </is>
      </c>
      <c r="G1341" s="12" t="n">
        <v>0.1</v>
      </c>
      <c r="H1341" s="13" t="n">
        <v>1068</v>
      </c>
      <c r="I1341" s="13" t="n">
        <v>2669</v>
      </c>
      <c r="J1341" s="13" t="n">
        <v>5339</v>
      </c>
      <c r="K1341" s="14">
        <f>IF(OR(COUNT(G1341:J1341)&lt;&gt;4,G1341&lt;0,G1341&gt;1,H1341&gt;I1341,I1341&gt;J1341),"n.a.",ROUND(G1341*(H1341+4*I1341+J1341)/6+0.00000001,2))</f>
        <v/>
      </c>
      <c r="L1341" s="13" t="n">
        <v>0</v>
      </c>
      <c r="M1341" s="14">
        <f>SUMIFS(Maßnahmen!$I$7:$I$126,Maßnahmen!$D$7:$D$126,C1341,Maßnahmen!$H$7:$H$126,"&lt;&gt;verworfen")</f>
        <v/>
      </c>
      <c r="N1341" s="14">
        <f>IF(ISNUMBER(K1341),MAX(0,K1341-L1341-M1341),"n.a.")</f>
        <v/>
      </c>
      <c r="O1341" s="14" t="n">
        <v>284.72</v>
      </c>
      <c r="P1341" s="14">
        <f>IF(ISNUMBER(K1341),K1341-O1341,"n.a.")</f>
        <v/>
      </c>
    </row>
    <row r="1342" ht="32" customHeight="1">
      <c r="C1342" s="10" t="inlineStr">
        <is>
          <t>PRJ-37ea0709-RK-02</t>
        </is>
      </c>
      <c r="D1342" s="10" t="inlineStr">
        <is>
          <t>W4102654611</t>
        </is>
      </c>
      <c r="E1342" s="11" t="inlineStr">
        <is>
          <t>Arbeitsschutz kontaminierte Bereiche (TRGS 524)</t>
        </is>
      </c>
      <c r="F1342" s="10" t="inlineStr">
        <is>
          <t>Schadstoffe</t>
        </is>
      </c>
      <c r="G1342" s="12" t="n">
        <v>0.47</v>
      </c>
      <c r="H1342" s="13" t="n">
        <v>1068</v>
      </c>
      <c r="I1342" s="13" t="n">
        <v>2669</v>
      </c>
      <c r="J1342" s="13" t="n">
        <v>5339</v>
      </c>
      <c r="K1342" s="14">
        <f>IF(OR(COUNT(G1342:J1342)&lt;&gt;4,G1342&lt;0,G1342&gt;1,H1342&gt;I1342,I1342&gt;J1342),"n.a.",ROUND(G1342*(H1342+4*I1342+J1342)/6+0.00000001,2))</f>
        <v/>
      </c>
      <c r="L1342" s="13" t="n">
        <v>0</v>
      </c>
      <c r="M1342" s="14">
        <f>SUMIFS(Maßnahmen!$I$7:$I$126,Maßnahmen!$D$7:$D$126,C1342,Maßnahmen!$H$7:$H$126,"&lt;&gt;verworfen")</f>
        <v/>
      </c>
      <c r="N1342" s="14">
        <f>IF(ISNUMBER(K1342),MAX(0,K1342-L1342-M1342),"n.a.")</f>
        <v/>
      </c>
      <c r="O1342" s="14" t="n">
        <v>1338.17</v>
      </c>
      <c r="P1342" s="14">
        <f>IF(ISNUMBER(K1342),K1342-O1342,"n.a.")</f>
        <v/>
      </c>
    </row>
    <row r="1343" ht="32" customHeight="1">
      <c r="C1343" s="10" t="inlineStr">
        <is>
          <t>PRJ-37ea0709-RK-03</t>
        </is>
      </c>
      <c r="D1343" s="10" t="inlineStr">
        <is>
          <t>W4102654611</t>
        </is>
      </c>
      <c r="E1343" s="11" t="inlineStr">
        <is>
          <t>Entsorgungs-Mehrkosten / Entsorgungswege</t>
        </is>
      </c>
      <c r="F1343" s="10" t="inlineStr">
        <is>
          <t>Entsorgung</t>
        </is>
      </c>
      <c r="G1343" s="12" t="n">
        <v>0.15</v>
      </c>
      <c r="H1343" s="13" t="n">
        <v>1068</v>
      </c>
      <c r="I1343" s="13" t="n">
        <v>2669</v>
      </c>
      <c r="J1343" s="13" t="n">
        <v>5339</v>
      </c>
      <c r="K1343" s="14">
        <f>IF(OR(COUNT(G1343:J1343)&lt;&gt;4,G1343&lt;0,G1343&gt;1,H1343&gt;I1343,I1343&gt;J1343),"n.a.",ROUND(G1343*(H1343+4*I1343+J1343)/6+0.00000001,2))</f>
        <v/>
      </c>
      <c r="L1343" s="13" t="n">
        <v>0</v>
      </c>
      <c r="M1343" s="14">
        <f>SUMIFS(Maßnahmen!$I$7:$I$126,Maßnahmen!$D$7:$D$126,C1343,Maßnahmen!$H$7:$H$126,"&lt;&gt;verworfen")</f>
        <v/>
      </c>
      <c r="N1343" s="14">
        <f>IF(ISNUMBER(K1343),MAX(0,K1343-L1343-M1343),"n.a.")</f>
        <v/>
      </c>
      <c r="O1343" s="14" t="n">
        <v>427.08</v>
      </c>
      <c r="P1343" s="14">
        <f>IF(ISNUMBER(K1343),K1343-O1343,"n.a.")</f>
        <v/>
      </c>
    </row>
    <row r="1344" ht="32" customHeight="1">
      <c r="C1344" s="10" t="inlineStr">
        <is>
          <t>PRJ-37ea0709-RK-04</t>
        </is>
      </c>
      <c r="D1344" s="10" t="inlineStr">
        <is>
          <t>W4102654611</t>
        </is>
      </c>
      <c r="E1344" s="11" t="inlineStr">
        <is>
          <t>Baustofftrennung / Aufbereitung nicht wie geplant</t>
        </is>
      </c>
      <c r="F1344" s="10" t="inlineStr">
        <is>
          <t>Entsorgung</t>
        </is>
      </c>
      <c r="G1344" s="12" t="n">
        <v>0.1</v>
      </c>
      <c r="H1344" s="13" t="n">
        <v>1068</v>
      </c>
      <c r="I1344" s="13" t="n">
        <v>2669</v>
      </c>
      <c r="J1344" s="13" t="n">
        <v>5339</v>
      </c>
      <c r="K1344" s="14">
        <f>IF(OR(COUNT(G1344:J1344)&lt;&gt;4,G1344&lt;0,G1344&gt;1,H1344&gt;I1344,I1344&gt;J1344),"n.a.",ROUND(G1344*(H1344+4*I1344+J1344)/6+0.00000001,2))</f>
        <v/>
      </c>
      <c r="L1344" s="13" t="n">
        <v>0</v>
      </c>
      <c r="M1344" s="14">
        <f>SUMIFS(Maßnahmen!$I$7:$I$126,Maßnahmen!$D$7:$D$126,C1344,Maßnahmen!$H$7:$H$126,"&lt;&gt;verworfen")</f>
        <v/>
      </c>
      <c r="N1344" s="14">
        <f>IF(ISNUMBER(K1344),MAX(0,K1344-L1344-M1344),"n.a.")</f>
        <v/>
      </c>
      <c r="O1344" s="14" t="n">
        <v>284.72</v>
      </c>
      <c r="P1344" s="14">
        <f>IF(ISNUMBER(K1344),K1344-O1344,"n.a.")</f>
        <v/>
      </c>
    </row>
    <row r="1345" ht="32" customHeight="1">
      <c r="C1345" s="10" t="inlineStr">
        <is>
          <t>PRJ-37ea0709-RK-05</t>
        </is>
      </c>
      <c r="D1345" s="10" t="inlineStr">
        <is>
          <t>W4102654611</t>
        </is>
      </c>
      <c r="E1345" s="11" t="inlineStr">
        <is>
          <t>Unbekannte Bauwerkskonstruktion / fehlende Pläne</t>
        </is>
      </c>
      <c r="F1345" s="10" t="inlineStr">
        <is>
          <t>Statik</t>
        </is>
      </c>
      <c r="G1345" s="12" t="n">
        <v>0.12</v>
      </c>
      <c r="H1345" s="13" t="n">
        <v>1857</v>
      </c>
      <c r="I1345" s="13" t="n">
        <v>3807</v>
      </c>
      <c r="J1345" s="13" t="n">
        <v>7265</v>
      </c>
      <c r="K1345" s="14">
        <f>IF(OR(COUNT(G1345:J1345)&lt;&gt;4,G1345&lt;0,G1345&gt;1,H1345&gt;I1345,I1345&gt;J1345),"n.a.",ROUND(G1345*(H1345+4*I1345+J1345)/6+0.00000001,2))</f>
        <v/>
      </c>
      <c r="L1345" s="13" t="n">
        <v>0</v>
      </c>
      <c r="M1345" s="14">
        <f>SUMIFS(Maßnahmen!$I$7:$I$126,Maßnahmen!$D$7:$D$126,C1345,Maßnahmen!$H$7:$H$126,"&lt;&gt;verworfen")</f>
        <v/>
      </c>
      <c r="N1345" s="14">
        <f>IF(ISNUMBER(K1345),MAX(0,K1345-L1345-M1345),"n.a.")</f>
        <v/>
      </c>
      <c r="O1345" s="14" t="n">
        <v>487</v>
      </c>
      <c r="P1345" s="14">
        <f>IF(ISNUMBER(K1345),K1345-O1345,"n.a.")</f>
        <v/>
      </c>
    </row>
    <row r="1346" ht="32" customHeight="1">
      <c r="C1346" s="10" t="inlineStr">
        <is>
          <t>PRJ-37ea0709-RK-06</t>
        </is>
      </c>
      <c r="D1346" s="10" t="inlineStr">
        <is>
          <t>W4102654611</t>
        </is>
      </c>
      <c r="E1346" s="11" t="inlineStr">
        <is>
          <t>Statik / Einsturzsicherung während Abbruch</t>
        </is>
      </c>
      <c r="F1346" s="10" t="inlineStr">
        <is>
          <t>Statik</t>
        </is>
      </c>
      <c r="G1346" s="12" t="n">
        <v>0.12</v>
      </c>
      <c r="H1346" s="13" t="n">
        <v>1602</v>
      </c>
      <c r="I1346" s="13" t="n">
        <v>3737</v>
      </c>
      <c r="J1346" s="13" t="n">
        <v>7474</v>
      </c>
      <c r="K1346" s="14">
        <f>IF(OR(COUNT(G1346:J1346)&lt;&gt;4,G1346&lt;0,G1346&gt;1,H1346&gt;I1346,I1346&gt;J1346),"n.a.",ROUND(G1346*(H1346+4*I1346+J1346)/6+0.00000001,2))</f>
        <v/>
      </c>
      <c r="L1346" s="13" t="n">
        <v>0</v>
      </c>
      <c r="M1346" s="14">
        <f>SUMIFS(Maßnahmen!$I$7:$I$126,Maßnahmen!$D$7:$D$126,C1346,Maßnahmen!$H$7:$H$126,"&lt;&gt;verworfen")</f>
        <v/>
      </c>
      <c r="N1346" s="14">
        <f>IF(ISNUMBER(K1346),MAX(0,K1346-L1346-M1346),"n.a.")</f>
        <v/>
      </c>
      <c r="O1346" s="14" t="n">
        <v>480.48</v>
      </c>
      <c r="P1346" s="14">
        <f>IF(ISNUMBER(K1346),K1346-O1346,"n.a.")</f>
        <v/>
      </c>
    </row>
    <row r="1347" ht="32" customHeight="1">
      <c r="C1347" s="10" t="inlineStr">
        <is>
          <t>PRJ-37ea0709-RK-07</t>
        </is>
      </c>
      <c r="D1347" s="10" t="inlineStr">
        <is>
          <t>W4102654611</t>
        </is>
      </c>
      <c r="E1347" s="11" t="inlineStr">
        <is>
          <t>Unterirdische Tragkonstruktion / Fundamente</t>
        </is>
      </c>
      <c r="F1347" s="10" t="inlineStr">
        <is>
          <t>Statik</t>
        </is>
      </c>
      <c r="G1347" s="12" t="n">
        <v>0.5</v>
      </c>
      <c r="H1347" s="13" t="n">
        <v>267</v>
      </c>
      <c r="I1347" s="13" t="n">
        <v>1068</v>
      </c>
      <c r="J1347" s="13" t="n">
        <v>2669</v>
      </c>
      <c r="K1347" s="14">
        <f>IF(OR(COUNT(G1347:J1347)&lt;&gt;4,G1347&lt;0,G1347&gt;1,H1347&gt;I1347,I1347&gt;J1347),"n.a.",ROUND(G1347*(H1347+4*I1347+J1347)/6+0.00000001,2))</f>
        <v/>
      </c>
      <c r="L1347" s="13" t="n">
        <v>0</v>
      </c>
      <c r="M1347" s="14">
        <f>SUMIFS(Maßnahmen!$I$7:$I$126,Maßnahmen!$D$7:$D$126,C1347,Maßnahmen!$H$7:$H$126,"&lt;&gt;verworfen")</f>
        <v/>
      </c>
      <c r="N1347" s="14">
        <f>IF(ISNUMBER(K1347),MAX(0,K1347-L1347-M1347),"n.a.")</f>
        <v/>
      </c>
      <c r="O1347" s="14" t="n">
        <v>600.67</v>
      </c>
      <c r="P1347" s="14">
        <f>IF(ISNUMBER(K1347),K1347-O1347,"n.a.")</f>
        <v/>
      </c>
    </row>
    <row r="1348" ht="32" customHeight="1">
      <c r="C1348" s="10" t="inlineStr">
        <is>
          <t>PRJ-37ea0709-RK-08</t>
        </is>
      </c>
      <c r="D1348" s="10" t="inlineStr">
        <is>
          <t>W4102654611</t>
        </is>
      </c>
      <c r="E1348" s="11" t="inlineStr">
        <is>
          <t>Gebäudehöhe &gt;22 m / Longfront-Bagger (+130–150 %)</t>
        </is>
      </c>
      <c r="F1348" s="10" t="inlineStr">
        <is>
          <t>Termin</t>
        </is>
      </c>
      <c r="G1348" s="12" t="n">
        <v>0.6</v>
      </c>
      <c r="H1348" s="13" t="n">
        <v>4805</v>
      </c>
      <c r="I1348" s="13" t="n">
        <v>9610</v>
      </c>
      <c r="J1348" s="13" t="n">
        <v>18152</v>
      </c>
      <c r="K1348" s="14">
        <f>IF(OR(COUNT(G1348:J1348)&lt;&gt;4,G1348&lt;0,G1348&gt;1,H1348&gt;I1348,I1348&gt;J1348),"n.a.",ROUND(G1348*(H1348+4*I1348+J1348)/6+0.00000001,2))</f>
        <v/>
      </c>
      <c r="L1348" s="13" t="n">
        <v>0</v>
      </c>
      <c r="M1348" s="14">
        <f>SUMIFS(Maßnahmen!$I$7:$I$126,Maßnahmen!$D$7:$D$126,C1348,Maßnahmen!$H$7:$H$126,"&lt;&gt;verworfen")</f>
        <v/>
      </c>
      <c r="N1348" s="14">
        <f>IF(ISNUMBER(K1348),MAX(0,K1348-L1348-M1348),"n.a.")</f>
        <v/>
      </c>
      <c r="O1348" s="14" t="n">
        <v>6139.7</v>
      </c>
      <c r="P1348" s="14">
        <f>IF(ISNUMBER(K1348),K1348-O1348,"n.a.")</f>
        <v/>
      </c>
    </row>
    <row r="1349" ht="32" customHeight="1">
      <c r="C1349" s="10" t="inlineStr">
        <is>
          <t>PRJ-37ea0709-RK-09</t>
        </is>
      </c>
      <c r="D1349" s="10" t="inlineStr">
        <is>
          <t>W4102654611</t>
        </is>
      </c>
      <c r="E1349" s="11" t="inlineStr">
        <is>
          <t>Beennte Lage / nur Handabbruch möglich</t>
        </is>
      </c>
      <c r="F1349" s="10" t="inlineStr">
        <is>
          <t>Termin</t>
        </is>
      </c>
      <c r="G1349" s="12" t="n">
        <v>0.138</v>
      </c>
      <c r="H1349" s="13" t="n">
        <v>334</v>
      </c>
      <c r="I1349" s="13" t="n">
        <v>882</v>
      </c>
      <c r="J1349" s="13" t="n">
        <v>2298</v>
      </c>
      <c r="K1349" s="14">
        <f>IF(OR(COUNT(G1349:J1349)&lt;&gt;4,G1349&lt;0,G1349&gt;1,H1349&gt;I1349,I1349&gt;J1349),"n.a.",ROUND(G1349*(H1349+4*I1349+J1349)/6+0.00000001,2))</f>
        <v/>
      </c>
      <c r="L1349" s="13" t="n">
        <v>0</v>
      </c>
      <c r="M1349" s="14">
        <f>SUMIFS(Maßnahmen!$I$7:$I$126,Maßnahmen!$D$7:$D$126,C1349,Maßnahmen!$H$7:$H$126,"&lt;&gt;verworfen")</f>
        <v/>
      </c>
      <c r="N1349" s="14">
        <f>IF(ISNUMBER(K1349),MAX(0,K1349-L1349-M1349),"n.a.")</f>
        <v/>
      </c>
      <c r="O1349" s="14" t="n">
        <v>141.68</v>
      </c>
      <c r="P1349" s="14">
        <f>IF(ISNUMBER(K1349),K1349-O1349,"n.a.")</f>
        <v/>
      </c>
    </row>
    <row r="1350" ht="32" customHeight="1">
      <c r="C1350" s="10" t="inlineStr">
        <is>
          <t>PRJ-37ea0709-RK-10</t>
        </is>
      </c>
      <c r="D1350" s="10" t="inlineStr">
        <is>
          <t>W4102654611</t>
        </is>
      </c>
      <c r="E1350" s="11" t="inlineStr">
        <is>
          <t>Terminvorgabe Auftraggeber / Geräteauslastung</t>
        </is>
      </c>
      <c r="F1350" s="10" t="inlineStr">
        <is>
          <t>Termin</t>
        </is>
      </c>
      <c r="G1350" s="12" t="n">
        <v>0.1</v>
      </c>
      <c r="H1350" s="13" t="n">
        <v>427</v>
      </c>
      <c r="I1350" s="13" t="n">
        <v>1068</v>
      </c>
      <c r="J1350" s="13" t="n">
        <v>2669</v>
      </c>
      <c r="K1350" s="14">
        <f>IF(OR(COUNT(G1350:J1350)&lt;&gt;4,G1350&lt;0,G1350&gt;1,H1350&gt;I1350,I1350&gt;J1350),"n.a.",ROUND(G1350*(H1350+4*I1350+J1350)/6+0.00000001,2))</f>
        <v/>
      </c>
      <c r="L1350" s="13" t="n">
        <v>0</v>
      </c>
      <c r="M1350" s="14">
        <f>SUMIFS(Maßnahmen!$I$7:$I$126,Maßnahmen!$D$7:$D$126,C1350,Maßnahmen!$H$7:$H$126,"&lt;&gt;verworfen")</f>
        <v/>
      </c>
      <c r="N1350" s="14">
        <f>IF(ISNUMBER(K1350),MAX(0,K1350-L1350-M1350),"n.a.")</f>
        <v/>
      </c>
      <c r="O1350" s="14" t="n">
        <v>122.8</v>
      </c>
      <c r="P1350" s="14">
        <f>IF(ISNUMBER(K1350),K1350-O1350,"n.a.")</f>
        <v/>
      </c>
    </row>
    <row r="1351" ht="32" customHeight="1">
      <c r="C1351" s="10" t="inlineStr">
        <is>
          <t>PRJ-37ea0709-RK-11</t>
        </is>
      </c>
      <c r="D1351" s="10" t="inlineStr">
        <is>
          <t>W4102654611</t>
        </is>
      </c>
      <c r="E1351" s="11" t="inlineStr">
        <is>
          <t>Witterung / Ablaufstörung</t>
        </is>
      </c>
      <c r="F1351" s="10" t="inlineStr">
        <is>
          <t>Termin</t>
        </is>
      </c>
      <c r="G1351" s="12" t="n">
        <v>0.25</v>
      </c>
      <c r="H1351" s="13" t="n">
        <v>534</v>
      </c>
      <c r="I1351" s="13" t="n">
        <v>1602</v>
      </c>
      <c r="J1351" s="13" t="n">
        <v>3203</v>
      </c>
      <c r="K1351" s="14">
        <f>IF(OR(COUNT(G1351:J1351)&lt;&gt;4,G1351&lt;0,G1351&gt;1,H1351&gt;I1351,I1351&gt;J1351),"n.a.",ROUND(G1351*(H1351+4*I1351+J1351)/6+0.00000001,2))</f>
        <v/>
      </c>
      <c r="L1351" s="13" t="n">
        <v>0</v>
      </c>
      <c r="M1351" s="14">
        <f>SUMIFS(Maßnahmen!$I$7:$I$126,Maßnahmen!$D$7:$D$126,C1351,Maßnahmen!$H$7:$H$126,"&lt;&gt;verworfen")</f>
        <v/>
      </c>
      <c r="N1351" s="14">
        <f>IF(ISNUMBER(K1351),MAX(0,K1351-L1351-M1351),"n.a.")</f>
        <v/>
      </c>
      <c r="O1351" s="14" t="n">
        <v>422.71</v>
      </c>
      <c r="P1351" s="14">
        <f>IF(ISNUMBER(K1351),K1351-O1351,"n.a.")</f>
        <v/>
      </c>
    </row>
    <row r="1352" ht="32" customHeight="1">
      <c r="C1352" s="10" t="inlineStr">
        <is>
          <t>PRJ-37ea0709-RK-12</t>
        </is>
      </c>
      <c r="D1352" s="10" t="inlineStr">
        <is>
          <t>W4102654611</t>
        </is>
      </c>
      <c r="E1352" s="11" t="inlineStr">
        <is>
          <t>Staubemissionen (höchster Aufwand laut Umfrage)</t>
        </is>
      </c>
      <c r="F1352" s="10" t="inlineStr">
        <is>
          <t>Emissionen</t>
        </is>
      </c>
      <c r="G1352" s="12" t="n">
        <v>0.1</v>
      </c>
      <c r="H1352" s="13" t="n">
        <v>1602</v>
      </c>
      <c r="I1352" s="13" t="n">
        <v>3203</v>
      </c>
      <c r="J1352" s="13" t="n">
        <v>6406</v>
      </c>
      <c r="K1352" s="14">
        <f>IF(OR(COUNT(G1352:J1352)&lt;&gt;4,G1352&lt;0,G1352&gt;1,H1352&gt;I1352,I1352&gt;J1352),"n.a.",ROUND(G1352*(H1352+4*I1352+J1352)/6+0.00000001,2))</f>
        <v/>
      </c>
      <c r="L1352" s="13" t="n">
        <v>0</v>
      </c>
      <c r="M1352" s="14">
        <f>SUMIFS(Maßnahmen!$I$7:$I$126,Maßnahmen!$D$7:$D$126,C1352,Maßnahmen!$H$7:$H$126,"&lt;&gt;verworfen")</f>
        <v/>
      </c>
      <c r="N1352" s="14">
        <f>IF(ISNUMBER(K1352),MAX(0,K1352-L1352-M1352),"n.a.")</f>
        <v/>
      </c>
      <c r="O1352" s="14" t="n">
        <v>347</v>
      </c>
      <c r="P1352" s="14">
        <f>IF(ISNUMBER(K1352),K1352-O1352,"n.a.")</f>
        <v/>
      </c>
    </row>
    <row r="1353" ht="32" customHeight="1">
      <c r="C1353" s="10" t="inlineStr">
        <is>
          <t>PRJ-37ea0709-RK-13</t>
        </is>
      </c>
      <c r="D1353" s="10" t="inlineStr">
        <is>
          <t>W4102654611</t>
        </is>
      </c>
      <c r="E1353" s="11" t="inlineStr">
        <is>
          <t>Lärm- und Erschütterungsauflagen</t>
        </is>
      </c>
      <c r="F1353" s="10" t="inlineStr">
        <is>
          <t>Emissionen</t>
        </is>
      </c>
      <c r="G1353" s="12" t="n">
        <v>0.181</v>
      </c>
      <c r="H1353" s="13" t="n">
        <v>845</v>
      </c>
      <c r="I1353" s="13" t="n">
        <v>2261</v>
      </c>
      <c r="J1353" s="13" t="n">
        <v>4633</v>
      </c>
      <c r="K1353" s="14">
        <f>IF(OR(COUNT(G1353:J1353)&lt;&gt;4,G1353&lt;0,G1353&gt;1,H1353&gt;I1353,I1353&gt;J1353),"n.a.",ROUND(G1353*(H1353+4*I1353+J1353)/6+0.00000001,2))</f>
        <v/>
      </c>
      <c r="L1353" s="13" t="n">
        <v>0</v>
      </c>
      <c r="M1353" s="14">
        <f>SUMIFS(Maßnahmen!$I$7:$I$126,Maßnahmen!$D$7:$D$126,C1353,Maßnahmen!$H$7:$H$126,"&lt;&gt;verworfen")</f>
        <v/>
      </c>
      <c r="N1353" s="14">
        <f>IF(ISNUMBER(K1353),MAX(0,K1353-L1353-M1353),"n.a.")</f>
        <v/>
      </c>
      <c r="O1353" s="14" t="n">
        <v>438.08</v>
      </c>
      <c r="P1353" s="14">
        <f>IF(ISNUMBER(K1353),K1353-O1353,"n.a.")</f>
        <v/>
      </c>
    </row>
    <row r="1354" ht="32" customHeight="1">
      <c r="C1354" s="10" t="inlineStr">
        <is>
          <t>PRJ-37ea0709-RK-14</t>
        </is>
      </c>
      <c r="D1354" s="10" t="inlineStr">
        <is>
          <t>W4102654611</t>
        </is>
      </c>
      <c r="E1354" s="11" t="inlineStr">
        <is>
          <t>Rechtliche Auflagen / Entsorgungsnachweise (Formalismus)</t>
        </is>
      </c>
      <c r="F1354" s="10" t="inlineStr">
        <is>
          <t>Genehmigung</t>
        </is>
      </c>
      <c r="G1354" s="12" t="n">
        <v>0.4</v>
      </c>
      <c r="H1354" s="13" t="n">
        <v>5072</v>
      </c>
      <c r="I1354" s="13" t="n">
        <v>9877</v>
      </c>
      <c r="J1354" s="13" t="n">
        <v>18686</v>
      </c>
      <c r="K1354" s="14">
        <f>IF(OR(COUNT(G1354:J1354)&lt;&gt;4,G1354&lt;0,G1354&gt;1,H1354&gt;I1354,I1354&gt;J1354),"n.a.",ROUND(G1354*(H1354+4*I1354+J1354)/6+0.00000001,2))</f>
        <v/>
      </c>
      <c r="L1354" s="13" t="n">
        <v>0</v>
      </c>
      <c r="M1354" s="14">
        <f>SUMIFS(Maßnahmen!$I$7:$I$126,Maßnahmen!$D$7:$D$126,C1354,Maßnahmen!$H$7:$H$126,"&lt;&gt;verworfen")</f>
        <v/>
      </c>
      <c r="N1354" s="14">
        <f>IF(ISNUMBER(K1354),MAX(0,K1354-L1354-M1354),"n.a.")</f>
        <v/>
      </c>
      <c r="O1354" s="14" t="n">
        <v>4217.73</v>
      </c>
      <c r="P1354" s="14">
        <f>IF(ISNUMBER(K1354),K1354-O1354,"n.a.")</f>
        <v/>
      </c>
    </row>
    <row r="1355" ht="32" customHeight="1">
      <c r="C1355" s="10" t="inlineStr">
        <is>
          <t>PRJ-37ea0709-RK-15</t>
        </is>
      </c>
      <c r="D1355" s="10" t="inlineStr">
        <is>
          <t>W4102654611</t>
        </is>
      </c>
      <c r="E1355" s="11" t="inlineStr">
        <is>
          <t>Konjunktur / Sekundärstoffpreise &amp; Gerätemiete</t>
        </is>
      </c>
      <c r="F1355" s="10" t="inlineStr">
        <is>
          <t>Markt</t>
        </is>
      </c>
      <c r="G1355" s="12" t="n">
        <v>0.12</v>
      </c>
      <c r="H1355" s="13" t="n">
        <v>427</v>
      </c>
      <c r="I1355" s="13" t="n">
        <v>1068</v>
      </c>
      <c r="J1355" s="13" t="n">
        <v>2669</v>
      </c>
      <c r="K1355" s="14">
        <f>IF(OR(COUNT(G1355:J1355)&lt;&gt;4,G1355&lt;0,G1355&gt;1,H1355&gt;I1355,I1355&gt;J1355),"n.a.",ROUND(G1355*(H1355+4*I1355+J1355)/6+0.00000001,2))</f>
        <v/>
      </c>
      <c r="L1355" s="13" t="n">
        <v>0</v>
      </c>
      <c r="M1355" s="14">
        <f>SUMIFS(Maßnahmen!$I$7:$I$126,Maßnahmen!$D$7:$D$126,C1355,Maßnahmen!$H$7:$H$126,"&lt;&gt;verworfen")</f>
        <v/>
      </c>
      <c r="N1355" s="14">
        <f>IF(ISNUMBER(K1355),MAX(0,K1355-L1355-M1355),"n.a.")</f>
        <v/>
      </c>
      <c r="O1355" s="14" t="n">
        <v>147.36</v>
      </c>
      <c r="P1355" s="14">
        <f>IF(ISNUMBER(K1355),K1355-O1355,"n.a.")</f>
        <v/>
      </c>
    </row>
    <row r="1356" ht="32" customHeight="1">
      <c r="C1356" s="10" t="inlineStr">
        <is>
          <t>PRJ-52b1cfa9-RK-01</t>
        </is>
      </c>
      <c r="D1356" s="10" t="inlineStr">
        <is>
          <t>P4102157429</t>
        </is>
      </c>
      <c r="E1356" s="11" t="inlineStr">
        <is>
          <t>Schadstofffund / Schadstoffsanierung (Asbest, PAK, PCB, PCP)</t>
        </is>
      </c>
      <c r="F1356" s="10" t="inlineStr">
        <is>
          <t>Schadstoffe</t>
        </is>
      </c>
      <c r="G1356" s="12" t="n">
        <v>0.7</v>
      </c>
      <c r="H1356" s="13" t="n">
        <v>350</v>
      </c>
      <c r="I1356" s="13" t="n">
        <v>450</v>
      </c>
      <c r="J1356" s="13" t="n">
        <v>650</v>
      </c>
      <c r="K1356" s="14">
        <f>IF(OR(COUNT(G1356:J1356)&lt;&gt;4,G1356&lt;0,G1356&gt;1,H1356&gt;I1356,I1356&gt;J1356),"n.a.",ROUND(G1356*(H1356+4*I1356+J1356)/6+0.00000001,2))</f>
        <v/>
      </c>
      <c r="L1356" s="13" t="n">
        <v>0</v>
      </c>
      <c r="M1356" s="14">
        <f>SUMIFS(Maßnahmen!$I$7:$I$126,Maßnahmen!$D$7:$D$126,C1356,Maßnahmen!$H$7:$H$126,"&lt;&gt;verworfen")</f>
        <v/>
      </c>
      <c r="N1356" s="14">
        <f>IF(ISNUMBER(K1356),MAX(0,K1356-L1356-M1356),"n.a.")</f>
        <v/>
      </c>
      <c r="O1356" s="14" t="n">
        <v>326.67</v>
      </c>
      <c r="P1356" s="14">
        <f>IF(ISNUMBER(K1356),K1356-O1356,"n.a.")</f>
        <v/>
      </c>
    </row>
    <row r="1357" ht="32" customHeight="1">
      <c r="C1357" s="10" t="inlineStr">
        <is>
          <t>PRJ-52b1cfa9-RK-02</t>
        </is>
      </c>
      <c r="D1357" s="10" t="inlineStr">
        <is>
          <t>P4102157429</t>
        </is>
      </c>
      <c r="E1357" s="11" t="inlineStr">
        <is>
          <t>Arbeitsschutz kontaminierte Bereiche (TRGS 524)</t>
        </is>
      </c>
      <c r="F1357" s="10" t="inlineStr">
        <is>
          <t>Schadstoffe</t>
        </is>
      </c>
      <c r="G1357" s="12" t="n">
        <v>0.12</v>
      </c>
      <c r="H1357" s="13" t="n">
        <v>20</v>
      </c>
      <c r="I1357" s="13" t="n">
        <v>50</v>
      </c>
      <c r="J1357" s="13" t="n">
        <v>100</v>
      </c>
      <c r="K1357" s="14">
        <f>IF(OR(COUNT(G1357:J1357)&lt;&gt;4,G1357&lt;0,G1357&gt;1,H1357&gt;I1357,I1357&gt;J1357),"n.a.",ROUND(G1357*(H1357+4*I1357+J1357)/6+0.00000001,2))</f>
        <v/>
      </c>
      <c r="L1357" s="13" t="n">
        <v>0</v>
      </c>
      <c r="M1357" s="14">
        <f>SUMIFS(Maßnahmen!$I$7:$I$126,Maßnahmen!$D$7:$D$126,C1357,Maßnahmen!$H$7:$H$126,"&lt;&gt;verworfen")</f>
        <v/>
      </c>
      <c r="N1357" s="14">
        <f>IF(ISNUMBER(K1357),MAX(0,K1357-L1357-M1357),"n.a.")</f>
        <v/>
      </c>
      <c r="O1357" s="14" t="n">
        <v>6.4</v>
      </c>
      <c r="P1357" s="14">
        <f>IF(ISNUMBER(K1357),K1357-O1357,"n.a.")</f>
        <v/>
      </c>
    </row>
    <row r="1358" ht="32" customHeight="1">
      <c r="C1358" s="10" t="inlineStr">
        <is>
          <t>PRJ-52b1cfa9-RK-03</t>
        </is>
      </c>
      <c r="D1358" s="10" t="inlineStr">
        <is>
          <t>P4102157429</t>
        </is>
      </c>
      <c r="E1358" s="11" t="inlineStr">
        <is>
          <t>Entsorgungs-Mehrkosten / Entsorgungswege</t>
        </is>
      </c>
      <c r="F1358" s="10" t="inlineStr">
        <is>
          <t>Entsorgung</t>
        </is>
      </c>
      <c r="G1358" s="12" t="n">
        <v>0.55</v>
      </c>
      <c r="H1358" s="13" t="n">
        <v>220</v>
      </c>
      <c r="I1358" s="13" t="n">
        <v>400</v>
      </c>
      <c r="J1358" s="13" t="n">
        <v>650</v>
      </c>
      <c r="K1358" s="14">
        <f>IF(OR(COUNT(G1358:J1358)&lt;&gt;4,G1358&lt;0,G1358&gt;1,H1358&gt;I1358,I1358&gt;J1358),"n.a.",ROUND(G1358*(H1358+4*I1358+J1358)/6+0.00000001,2))</f>
        <v/>
      </c>
      <c r="L1358" s="13" t="n">
        <v>0</v>
      </c>
      <c r="M1358" s="14">
        <f>SUMIFS(Maßnahmen!$I$7:$I$126,Maßnahmen!$D$7:$D$126,C1358,Maßnahmen!$H$7:$H$126,"&lt;&gt;verworfen")</f>
        <v/>
      </c>
      <c r="N1358" s="14">
        <f>IF(ISNUMBER(K1358),MAX(0,K1358-L1358-M1358),"n.a.")</f>
        <v/>
      </c>
      <c r="O1358" s="14" t="n">
        <v>226.42</v>
      </c>
      <c r="P1358" s="14">
        <f>IF(ISNUMBER(K1358),K1358-O1358,"n.a.")</f>
        <v/>
      </c>
    </row>
    <row r="1359" ht="32" customHeight="1">
      <c r="C1359" s="10" t="inlineStr">
        <is>
          <t>PRJ-52b1cfa9-RK-04</t>
        </is>
      </c>
      <c r="D1359" s="10" t="inlineStr">
        <is>
          <t>P4102157429</t>
        </is>
      </c>
      <c r="E1359" s="11" t="inlineStr">
        <is>
          <t>Baustofftrennung / Aufbereitung nicht wie geplant</t>
        </is>
      </c>
      <c r="F1359" s="10" t="inlineStr">
        <is>
          <t>Entsorgung</t>
        </is>
      </c>
      <c r="G1359" s="12" t="n">
        <v>0.1</v>
      </c>
      <c r="H1359" s="13" t="n">
        <v>20</v>
      </c>
      <c r="I1359" s="13" t="n">
        <v>50</v>
      </c>
      <c r="J1359" s="13" t="n">
        <v>100</v>
      </c>
      <c r="K1359" s="14">
        <f>IF(OR(COUNT(G1359:J1359)&lt;&gt;4,G1359&lt;0,G1359&gt;1,H1359&gt;I1359,I1359&gt;J1359),"n.a.",ROUND(G1359*(H1359+4*I1359+J1359)/6+0.00000001,2))</f>
        <v/>
      </c>
      <c r="L1359" s="13" t="n">
        <v>0</v>
      </c>
      <c r="M1359" s="14">
        <f>SUMIFS(Maßnahmen!$I$7:$I$126,Maßnahmen!$D$7:$D$126,C1359,Maßnahmen!$H$7:$H$126,"&lt;&gt;verworfen")</f>
        <v/>
      </c>
      <c r="N1359" s="14">
        <f>IF(ISNUMBER(K1359),MAX(0,K1359-L1359-M1359),"n.a.")</f>
        <v/>
      </c>
      <c r="O1359" s="14" t="n">
        <v>5.33</v>
      </c>
      <c r="P1359" s="14">
        <f>IF(ISNUMBER(K1359),K1359-O1359,"n.a.")</f>
        <v/>
      </c>
    </row>
    <row r="1360" ht="32" customHeight="1">
      <c r="C1360" s="10" t="inlineStr">
        <is>
          <t>PRJ-52b1cfa9-RK-05</t>
        </is>
      </c>
      <c r="D1360" s="10" t="inlineStr">
        <is>
          <t>P4102157429</t>
        </is>
      </c>
      <c r="E1360" s="11" t="inlineStr">
        <is>
          <t>Unbekannte Bauwerkskonstruktion / fehlende Pläne</t>
        </is>
      </c>
      <c r="F1360" s="10" t="inlineStr">
        <is>
          <t>Statik</t>
        </is>
      </c>
      <c r="G1360" s="12" t="n">
        <v>0.12</v>
      </c>
      <c r="H1360" s="13" t="n">
        <v>40</v>
      </c>
      <c r="I1360" s="13" t="n">
        <v>80</v>
      </c>
      <c r="J1360" s="13" t="n">
        <v>150</v>
      </c>
      <c r="K1360" s="14">
        <f>IF(OR(COUNT(G1360:J1360)&lt;&gt;4,G1360&lt;0,G1360&gt;1,H1360&gt;I1360,I1360&gt;J1360),"n.a.",ROUND(G1360*(H1360+4*I1360+J1360)/6+0.00000001,2))</f>
        <v/>
      </c>
      <c r="L1360" s="13" t="n">
        <v>0</v>
      </c>
      <c r="M1360" s="14">
        <f>SUMIFS(Maßnahmen!$I$7:$I$126,Maßnahmen!$D$7:$D$126,C1360,Maßnahmen!$H$7:$H$126,"&lt;&gt;verworfen")</f>
        <v/>
      </c>
      <c r="N1360" s="14">
        <f>IF(ISNUMBER(K1360),MAX(0,K1360-L1360-M1360),"n.a.")</f>
        <v/>
      </c>
      <c r="O1360" s="14" t="n">
        <v>10.2</v>
      </c>
      <c r="P1360" s="14">
        <f>IF(ISNUMBER(K1360),K1360-O1360,"n.a.")</f>
        <v/>
      </c>
    </row>
    <row r="1361" ht="32" customHeight="1">
      <c r="C1361" s="10" t="inlineStr">
        <is>
          <t>PRJ-52b1cfa9-RK-06</t>
        </is>
      </c>
      <c r="D1361" s="10" t="inlineStr">
        <is>
          <t>P4102157429</t>
        </is>
      </c>
      <c r="E1361" s="11" t="inlineStr">
        <is>
          <t>Statik / Einsturzsicherung während Abbruch</t>
        </is>
      </c>
      <c r="F1361" s="10" t="inlineStr">
        <is>
          <t>Statik</t>
        </is>
      </c>
      <c r="G1361" s="12" t="n">
        <v>0.37</v>
      </c>
      <c r="H1361" s="13" t="n">
        <v>180</v>
      </c>
      <c r="I1361" s="13" t="n">
        <v>320</v>
      </c>
      <c r="J1361" s="13" t="n">
        <v>540</v>
      </c>
      <c r="K1361" s="14">
        <f>IF(OR(COUNT(G1361:J1361)&lt;&gt;4,G1361&lt;0,G1361&gt;1,H1361&gt;I1361,I1361&gt;J1361),"n.a.",ROUND(G1361*(H1361+4*I1361+J1361)/6+0.00000001,2))</f>
        <v/>
      </c>
      <c r="L1361" s="13" t="n">
        <v>0</v>
      </c>
      <c r="M1361" s="14">
        <f>SUMIFS(Maßnahmen!$I$7:$I$126,Maßnahmen!$D$7:$D$126,C1361,Maßnahmen!$H$7:$H$126,"&lt;&gt;verworfen")</f>
        <v/>
      </c>
      <c r="N1361" s="14">
        <f>IF(ISNUMBER(K1361),MAX(0,K1361-L1361-M1361),"n.a.")</f>
        <v/>
      </c>
      <c r="O1361" s="14" t="n">
        <v>123.33</v>
      </c>
      <c r="P1361" s="14">
        <f>IF(ISNUMBER(K1361),K1361-O1361,"n.a.")</f>
        <v/>
      </c>
    </row>
    <row r="1362" ht="32" customHeight="1">
      <c r="C1362" s="10" t="inlineStr">
        <is>
          <t>PRJ-4a6f9cc3-RK-10</t>
        </is>
      </c>
      <c r="D1362" s="10" t="inlineStr">
        <is>
          <t>P4102608260</t>
        </is>
      </c>
      <c r="E1362" s="11" t="inlineStr">
        <is>
          <t>Terminvorgabe Auftraggeber / Geräteauslastung</t>
        </is>
      </c>
      <c r="F1362" s="10" t="inlineStr">
        <is>
          <t>Termin</t>
        </is>
      </c>
      <c r="G1362" s="12" t="n">
        <v>0.08</v>
      </c>
      <c r="H1362" s="13" t="n">
        <v>130</v>
      </c>
      <c r="I1362" s="13" t="n">
        <v>261</v>
      </c>
      <c r="J1362" s="13" t="n">
        <v>521</v>
      </c>
      <c r="K1362" s="14">
        <f>IF(OR(COUNT(G1362:J1362)&lt;&gt;4,G1362&lt;0,G1362&gt;1,H1362&gt;I1362,I1362&gt;J1362),"n.a.",ROUND(G1362*(H1362+4*I1362+J1362)/6+0.00000001,2))</f>
        <v/>
      </c>
      <c r="L1362" s="13" t="n">
        <v>0</v>
      </c>
      <c r="M1362" s="14">
        <f>SUMIFS(Maßnahmen!$I$7:$I$126,Maßnahmen!$D$7:$D$126,C1362,Maßnahmen!$H$7:$H$126,"&lt;&gt;verworfen")</f>
        <v/>
      </c>
      <c r="N1362" s="14">
        <f>IF(ISNUMBER(K1362),MAX(0,K1362-L1362-M1362),"n.a.")</f>
        <v/>
      </c>
      <c r="O1362" s="14" t="n">
        <v>22.6</v>
      </c>
      <c r="P1362" s="14">
        <f>IF(ISNUMBER(K1362),K1362-O1362,"n.a.")</f>
        <v/>
      </c>
    </row>
    <row r="1363" ht="32" customHeight="1">
      <c r="C1363" s="10" t="inlineStr">
        <is>
          <t>PRJ-4a6f9cc3-RK-11</t>
        </is>
      </c>
      <c r="D1363" s="10" t="inlineStr">
        <is>
          <t>P4102608260</t>
        </is>
      </c>
      <c r="E1363" s="11" t="inlineStr">
        <is>
          <t>Witterung / Ablaufstörung</t>
        </is>
      </c>
      <c r="F1363" s="10" t="inlineStr">
        <is>
          <t>Termin</t>
        </is>
      </c>
      <c r="G1363" s="12" t="n">
        <v>0.25</v>
      </c>
      <c r="H1363" s="13" t="n">
        <v>261</v>
      </c>
      <c r="I1363" s="13" t="n">
        <v>782</v>
      </c>
      <c r="J1363" s="13" t="n">
        <v>1563</v>
      </c>
      <c r="K1363" s="14">
        <f>IF(OR(COUNT(G1363:J1363)&lt;&gt;4,G1363&lt;0,G1363&gt;1,H1363&gt;I1363,I1363&gt;J1363),"n.a.",ROUND(G1363*(H1363+4*I1363+J1363)/6+0.00000001,2))</f>
        <v/>
      </c>
      <c r="L1363" s="13" t="n">
        <v>0</v>
      </c>
      <c r="M1363" s="14">
        <f>SUMIFS(Maßnahmen!$I$7:$I$126,Maßnahmen!$D$7:$D$126,C1363,Maßnahmen!$H$7:$H$126,"&lt;&gt;verworfen")</f>
        <v/>
      </c>
      <c r="N1363" s="14">
        <f>IF(ISNUMBER(K1363),MAX(0,K1363-L1363-M1363),"n.a.")</f>
        <v/>
      </c>
      <c r="O1363" s="14" t="n">
        <v>206.33</v>
      </c>
      <c r="P1363" s="14">
        <f>IF(ISNUMBER(K1363),K1363-O1363,"n.a.")</f>
        <v/>
      </c>
    </row>
    <row r="1364" ht="32" customHeight="1">
      <c r="C1364" s="10" t="inlineStr">
        <is>
          <t>PRJ-4a6f9cc3-RK-12</t>
        </is>
      </c>
      <c r="D1364" s="10" t="inlineStr">
        <is>
          <t>P4102608260</t>
        </is>
      </c>
      <c r="E1364" s="11" t="inlineStr">
        <is>
          <t>Staubemissionen (höchster Aufwand laut Umfrage)</t>
        </is>
      </c>
      <c r="F1364" s="10" t="inlineStr">
        <is>
          <t>Emissionen</t>
        </is>
      </c>
      <c r="G1364" s="12" t="n">
        <v>0.1</v>
      </c>
      <c r="H1364" s="13" t="n">
        <v>782</v>
      </c>
      <c r="I1364" s="13" t="n">
        <v>1563</v>
      </c>
      <c r="J1364" s="13" t="n">
        <v>3127</v>
      </c>
      <c r="K1364" s="14">
        <f>IF(OR(COUNT(G1364:J1364)&lt;&gt;4,G1364&lt;0,G1364&gt;1,H1364&gt;I1364,I1364&gt;J1364),"n.a.",ROUND(G1364*(H1364+4*I1364+J1364)/6+0.00000001,2))</f>
        <v/>
      </c>
      <c r="L1364" s="13" t="n">
        <v>0</v>
      </c>
      <c r="M1364" s="14">
        <f>SUMIFS(Maßnahmen!$I$7:$I$126,Maßnahmen!$D$7:$D$126,C1364,Maßnahmen!$H$7:$H$126,"&lt;&gt;verworfen")</f>
        <v/>
      </c>
      <c r="N1364" s="14">
        <f>IF(ISNUMBER(K1364),MAX(0,K1364-L1364-M1364),"n.a.")</f>
        <v/>
      </c>
      <c r="O1364" s="14" t="n">
        <v>169.35</v>
      </c>
      <c r="P1364" s="14">
        <f>IF(ISNUMBER(K1364),K1364-O1364,"n.a.")</f>
        <v/>
      </c>
    </row>
    <row r="1365" ht="32" customHeight="1">
      <c r="C1365" s="10" t="inlineStr">
        <is>
          <t>PRJ-4a292735-RK-01</t>
        </is>
      </c>
      <c r="D1365" s="10" t="inlineStr">
        <is>
          <t>P4102658269</t>
        </is>
      </c>
      <c r="E1365" s="11" t="inlineStr">
        <is>
          <t>Schadstofffund / Schadstoffsanierung (Asbest, PAK, PCB, PCP)</t>
        </is>
      </c>
      <c r="F1365" s="10" t="inlineStr">
        <is>
          <t>Schadstoffe</t>
        </is>
      </c>
      <c r="G1365" s="12" t="n">
        <v>0.3</v>
      </c>
      <c r="H1365" s="13" t="n">
        <v>54</v>
      </c>
      <c r="I1365" s="13" t="n">
        <v>135</v>
      </c>
      <c r="J1365" s="13" t="n">
        <v>271</v>
      </c>
      <c r="K1365" s="14">
        <f>IF(OR(COUNT(G1365:J1365)&lt;&gt;4,G1365&lt;0,G1365&gt;1,H1365&gt;I1365,I1365&gt;J1365),"n.a.",ROUND(G1365*(H1365+4*I1365+J1365)/6+0.00000001,2))</f>
        <v/>
      </c>
      <c r="L1365" s="13" t="n">
        <v>0</v>
      </c>
      <c r="M1365" s="14">
        <f>SUMIFS(Maßnahmen!$I$7:$I$126,Maßnahmen!$D$7:$D$126,C1365,Maßnahmen!$H$7:$H$126,"&lt;&gt;verworfen")</f>
        <v/>
      </c>
      <c r="N1365" s="14">
        <f>IF(ISNUMBER(K1365),MAX(0,K1365-L1365-M1365),"n.a.")</f>
        <v/>
      </c>
      <c r="O1365" s="14" t="n">
        <v>43.25</v>
      </c>
      <c r="P1365" s="14">
        <f>IF(ISNUMBER(K1365),K1365-O1365,"n.a.")</f>
        <v/>
      </c>
    </row>
    <row r="1366" ht="32" customHeight="1">
      <c r="C1366" s="10" t="inlineStr">
        <is>
          <t>PRJ-4a292735-RK-04</t>
        </is>
      </c>
      <c r="D1366" s="10" t="inlineStr">
        <is>
          <t>P4102658269</t>
        </is>
      </c>
      <c r="E1366" s="11" t="inlineStr">
        <is>
          <t>Baustofftrennung / Aufbereitung nicht wie geplant</t>
        </is>
      </c>
      <c r="F1366" s="10" t="inlineStr">
        <is>
          <t>Entsorgung</t>
        </is>
      </c>
      <c r="G1366" s="12" t="n">
        <v>0.08</v>
      </c>
      <c r="H1366" s="13" t="n">
        <v>14</v>
      </c>
      <c r="I1366" s="13" t="n">
        <v>27</v>
      </c>
      <c r="J1366" s="13" t="n">
        <v>54</v>
      </c>
      <c r="K1366" s="14">
        <f>IF(OR(COUNT(G1366:J1366)&lt;&gt;4,G1366&lt;0,G1366&gt;1,H1366&gt;I1366,I1366&gt;J1366),"n.a.",ROUND(G1366*(H1366+4*I1366+J1366)/6+0.00000001,2))</f>
        <v/>
      </c>
      <c r="L1366" s="13" t="n">
        <v>0</v>
      </c>
      <c r="M1366" s="14">
        <f>SUMIFS(Maßnahmen!$I$7:$I$126,Maßnahmen!$D$7:$D$126,C1366,Maßnahmen!$H$7:$H$126,"&lt;&gt;verworfen")</f>
        <v/>
      </c>
      <c r="N1366" s="14">
        <f>IF(ISNUMBER(K1366),MAX(0,K1366-L1366-M1366),"n.a.")</f>
        <v/>
      </c>
      <c r="O1366" s="14" t="n">
        <v>2.35</v>
      </c>
      <c r="P1366" s="14">
        <f>IF(ISNUMBER(K1366),K1366-O1366,"n.a.")</f>
        <v/>
      </c>
    </row>
    <row r="1367" ht="32" customHeight="1">
      <c r="C1367" s="10" t="inlineStr">
        <is>
          <t>PRJ-4a292735-RK-10</t>
        </is>
      </c>
      <c r="D1367" s="10" t="inlineStr">
        <is>
          <t>P4102658269</t>
        </is>
      </c>
      <c r="E1367" s="11" t="inlineStr">
        <is>
          <t>Terminvorgabe Auftraggeber / Geräteauslastung</t>
        </is>
      </c>
      <c r="F1367" s="10" t="inlineStr">
        <is>
          <t>Termin</t>
        </is>
      </c>
      <c r="G1367" s="12" t="n">
        <v>0.08</v>
      </c>
      <c r="H1367" s="13" t="n">
        <v>14</v>
      </c>
      <c r="I1367" s="13" t="n">
        <v>27</v>
      </c>
      <c r="J1367" s="13" t="n">
        <v>54</v>
      </c>
      <c r="K1367" s="14">
        <f>IF(OR(COUNT(G1367:J1367)&lt;&gt;4,G1367&lt;0,G1367&gt;1,H1367&gt;I1367,I1367&gt;J1367),"n.a.",ROUND(G1367*(H1367+4*I1367+J1367)/6+0.00000001,2))</f>
        <v/>
      </c>
      <c r="L1367" s="13" t="n">
        <v>0</v>
      </c>
      <c r="M1367" s="14">
        <f>SUMIFS(Maßnahmen!$I$7:$I$126,Maßnahmen!$D$7:$D$126,C1367,Maßnahmen!$H$7:$H$126,"&lt;&gt;verworfen")</f>
        <v/>
      </c>
      <c r="N1367" s="14">
        <f>IF(ISNUMBER(K1367),MAX(0,K1367-L1367-M1367),"n.a.")</f>
        <v/>
      </c>
      <c r="O1367" s="14" t="n">
        <v>2.35</v>
      </c>
      <c r="P1367" s="14">
        <f>IF(ISNUMBER(K1367),K1367-O1367,"n.a.")</f>
        <v/>
      </c>
    </row>
    <row r="1368" ht="32" customHeight="1">
      <c r="C1368" s="10" t="inlineStr">
        <is>
          <t>PRJ-4a292735-RK-12</t>
        </is>
      </c>
      <c r="D1368" s="10" t="inlineStr">
        <is>
          <t>P4102658269</t>
        </is>
      </c>
      <c r="E1368" s="11" t="inlineStr">
        <is>
          <t>Staubemissionen (höchster Aufwand laut Umfrage)</t>
        </is>
      </c>
      <c r="F1368" s="10" t="inlineStr">
        <is>
          <t>Emissionen</t>
        </is>
      </c>
      <c r="G1368" s="12" t="n">
        <v>0.1</v>
      </c>
      <c r="H1368" s="13" t="n">
        <v>81</v>
      </c>
      <c r="I1368" s="13" t="n">
        <v>162</v>
      </c>
      <c r="J1368" s="13" t="n">
        <v>325</v>
      </c>
      <c r="K1368" s="14">
        <f>IF(OR(COUNT(G1368:J1368)&lt;&gt;4,G1368&lt;0,G1368&gt;1,H1368&gt;I1368,I1368&gt;J1368),"n.a.",ROUND(G1368*(H1368+4*I1368+J1368)/6+0.00000001,2))</f>
        <v/>
      </c>
      <c r="L1368" s="13" t="n">
        <v>0</v>
      </c>
      <c r="M1368" s="14">
        <f>SUMIFS(Maßnahmen!$I$7:$I$126,Maßnahmen!$D$7:$D$126,C1368,Maßnahmen!$H$7:$H$126,"&lt;&gt;verworfen")</f>
        <v/>
      </c>
      <c r="N1368" s="14">
        <f>IF(ISNUMBER(K1368),MAX(0,K1368-L1368-M1368),"n.a.")</f>
        <v/>
      </c>
      <c r="O1368" s="14" t="n">
        <v>17.57</v>
      </c>
      <c r="P1368" s="14">
        <f>IF(ISNUMBER(K1368),K1368-O1368,"n.a.")</f>
        <v/>
      </c>
    </row>
    <row r="1369" ht="32" customHeight="1">
      <c r="C1369" s="10" t="inlineStr">
        <is>
          <t>PRJ-4a292735-RK-15</t>
        </is>
      </c>
      <c r="D1369" s="10" t="inlineStr">
        <is>
          <t>P4102658269</t>
        </is>
      </c>
      <c r="E1369" s="11" t="inlineStr">
        <is>
          <t>Konjunktur / Sekundärstoffpreise &amp; Gerätemiete</t>
        </is>
      </c>
      <c r="F1369" s="10" t="inlineStr">
        <is>
          <t>Markt</t>
        </is>
      </c>
      <c r="G1369" s="12" t="n">
        <v>0.12</v>
      </c>
      <c r="H1369" s="13" t="n">
        <v>22</v>
      </c>
      <c r="I1369" s="13" t="n">
        <v>54</v>
      </c>
      <c r="J1369" s="13" t="n">
        <v>135</v>
      </c>
      <c r="K1369" s="14">
        <f>IF(OR(COUNT(G1369:J1369)&lt;&gt;4,G1369&lt;0,G1369&gt;1,H1369&gt;I1369,I1369&gt;J1369),"n.a.",ROUND(G1369*(H1369+4*I1369+J1369)/6+0.00000001,2))</f>
        <v/>
      </c>
      <c r="L1369" s="13" t="n">
        <v>0</v>
      </c>
      <c r="M1369" s="14">
        <f>SUMIFS(Maßnahmen!$I$7:$I$126,Maßnahmen!$D$7:$D$126,C1369,Maßnahmen!$H$7:$H$126,"&lt;&gt;verworfen")</f>
        <v/>
      </c>
      <c r="N1369" s="14">
        <f>IF(ISNUMBER(K1369),MAX(0,K1369-L1369-M1369),"n.a.")</f>
        <v/>
      </c>
      <c r="O1369" s="14" t="n">
        <v>7.46</v>
      </c>
      <c r="P1369" s="14">
        <f>IF(ISNUMBER(K1369),K1369-O1369,"n.a.")</f>
        <v/>
      </c>
    </row>
    <row r="1370" ht="32" customHeight="1">
      <c r="C1370" s="10" t="inlineStr">
        <is>
          <t>PRJ-52b1cf31-RK-01</t>
        </is>
      </c>
      <c r="D1370" s="10" t="inlineStr">
        <is>
          <t>P4102157465</t>
        </is>
      </c>
      <c r="E1370" s="11" t="inlineStr">
        <is>
          <t>Schadstofffund / Schadstoffsanierung (Asbest, PAK, PCB, PCP)</t>
        </is>
      </c>
      <c r="F1370" s="10" t="inlineStr">
        <is>
          <t>Schadstoffe</t>
        </is>
      </c>
      <c r="G1370" s="12" t="n">
        <v>0.22</v>
      </c>
      <c r="H1370" s="13" t="n">
        <v>162</v>
      </c>
      <c r="I1370" s="13" t="n">
        <v>406</v>
      </c>
      <c r="J1370" s="13" t="n">
        <v>812</v>
      </c>
      <c r="K1370" s="14">
        <f>IF(OR(COUNT(G1370:J1370)&lt;&gt;4,G1370&lt;0,G1370&gt;1,H1370&gt;I1370,I1370&gt;J1370),"n.a.",ROUND(G1370*(H1370+4*I1370+J1370)/6+0.00000001,2))</f>
        <v/>
      </c>
      <c r="L1370" s="13" t="n">
        <v>0</v>
      </c>
      <c r="M1370" s="14">
        <f>SUMIFS(Maßnahmen!$I$7:$I$126,Maßnahmen!$D$7:$D$126,C1370,Maßnahmen!$H$7:$H$126,"&lt;&gt;verworfen")</f>
        <v/>
      </c>
      <c r="N1370" s="14">
        <f>IF(ISNUMBER(K1370),MAX(0,K1370-L1370-M1370),"n.a.")</f>
        <v/>
      </c>
      <c r="O1370" s="14" t="n">
        <v>95.26000000000001</v>
      </c>
      <c r="P1370" s="14">
        <f>IF(ISNUMBER(K1370),K1370-O1370,"n.a.")</f>
        <v/>
      </c>
    </row>
    <row r="1371" ht="32" customHeight="1">
      <c r="C1371" s="10" t="inlineStr">
        <is>
          <t>PRJ-52b1cf31-RK-02</t>
        </is>
      </c>
      <c r="D1371" s="10" t="inlineStr">
        <is>
          <t>P4102157465</t>
        </is>
      </c>
      <c r="E1371" s="11" t="inlineStr">
        <is>
          <t>Arbeitsschutz kontaminierte Bereiche (TRGS 524)</t>
        </is>
      </c>
      <c r="F1371" s="10" t="inlineStr">
        <is>
          <t>Schadstoffe</t>
        </is>
      </c>
      <c r="G1371" s="12" t="n">
        <v>0.1</v>
      </c>
      <c r="H1371" s="13" t="n">
        <v>41</v>
      </c>
      <c r="I1371" s="13" t="n">
        <v>81</v>
      </c>
      <c r="J1371" s="13" t="n">
        <v>162</v>
      </c>
      <c r="K1371" s="14">
        <f>IF(OR(COUNT(G1371:J1371)&lt;&gt;4,G1371&lt;0,G1371&gt;1,H1371&gt;I1371,I1371&gt;J1371),"n.a.",ROUND(G1371*(H1371+4*I1371+J1371)/6+0.00000001,2))</f>
        <v/>
      </c>
      <c r="L1371" s="13" t="n">
        <v>0</v>
      </c>
      <c r="M1371" s="14">
        <f>SUMIFS(Maßnahmen!$I$7:$I$126,Maßnahmen!$D$7:$D$126,C1371,Maßnahmen!$H$7:$H$126,"&lt;&gt;verworfen")</f>
        <v/>
      </c>
      <c r="N1371" s="14">
        <f>IF(ISNUMBER(K1371),MAX(0,K1371-L1371-M1371),"n.a.")</f>
        <v/>
      </c>
      <c r="O1371" s="14" t="n">
        <v>8.779999999999999</v>
      </c>
      <c r="P1371" s="14">
        <f>IF(ISNUMBER(K1371),K1371-O1371,"n.a.")</f>
        <v/>
      </c>
    </row>
    <row r="1372" ht="32" customHeight="1">
      <c r="C1372" s="10" t="inlineStr">
        <is>
          <t>PRJ-52b1cf31-RK-04</t>
        </is>
      </c>
      <c r="D1372" s="10" t="inlineStr">
        <is>
          <t>P4102157465</t>
        </is>
      </c>
      <c r="E1372" s="11" t="inlineStr">
        <is>
          <t>Baustofftrennung / Aufbereitung nicht wie geplant</t>
        </is>
      </c>
      <c r="F1372" s="10" t="inlineStr">
        <is>
          <t>Entsorgung</t>
        </is>
      </c>
      <c r="G1372" s="12" t="n">
        <v>0.08</v>
      </c>
      <c r="H1372" s="13" t="n">
        <v>41</v>
      </c>
      <c r="I1372" s="13" t="n">
        <v>81</v>
      </c>
      <c r="J1372" s="13" t="n">
        <v>162</v>
      </c>
      <c r="K1372" s="14">
        <f>IF(OR(COUNT(G1372:J1372)&lt;&gt;4,G1372&lt;0,G1372&gt;1,H1372&gt;I1372,I1372&gt;J1372),"n.a.",ROUND(G1372*(H1372+4*I1372+J1372)/6+0.00000001,2))</f>
        <v/>
      </c>
      <c r="L1372" s="13" t="n">
        <v>0</v>
      </c>
      <c r="M1372" s="14">
        <f>SUMIFS(Maßnahmen!$I$7:$I$126,Maßnahmen!$D$7:$D$126,C1372,Maßnahmen!$H$7:$H$126,"&lt;&gt;verworfen")</f>
        <v/>
      </c>
      <c r="N1372" s="14">
        <f>IF(ISNUMBER(K1372),MAX(0,K1372-L1372-M1372),"n.a.")</f>
        <v/>
      </c>
      <c r="O1372" s="14" t="n">
        <v>7.03</v>
      </c>
      <c r="P1372" s="14">
        <f>IF(ISNUMBER(K1372),K1372-O1372,"n.a.")</f>
        <v/>
      </c>
    </row>
    <row r="1373" ht="32" customHeight="1">
      <c r="C1373" s="10" t="inlineStr">
        <is>
          <t>PRJ-52b1cf31-RK-10</t>
        </is>
      </c>
      <c r="D1373" s="10" t="inlineStr">
        <is>
          <t>P4102157465</t>
        </is>
      </c>
      <c r="E1373" s="11" t="inlineStr">
        <is>
          <t>Terminvorgabe Auftraggeber / Geräteauslastung</t>
        </is>
      </c>
      <c r="F1373" s="10" t="inlineStr">
        <is>
          <t>Termin</t>
        </is>
      </c>
      <c r="G1373" s="12" t="n">
        <v>0.08</v>
      </c>
      <c r="H1373" s="13" t="n">
        <v>41</v>
      </c>
      <c r="I1373" s="13" t="n">
        <v>81</v>
      </c>
      <c r="J1373" s="13" t="n">
        <v>162</v>
      </c>
      <c r="K1373" s="14">
        <f>IF(OR(COUNT(G1373:J1373)&lt;&gt;4,G1373&lt;0,G1373&gt;1,H1373&gt;I1373,I1373&gt;J1373),"n.a.",ROUND(G1373*(H1373+4*I1373+J1373)/6+0.00000001,2))</f>
        <v/>
      </c>
      <c r="L1373" s="13" t="n">
        <v>0</v>
      </c>
      <c r="M1373" s="14">
        <f>SUMIFS(Maßnahmen!$I$7:$I$126,Maßnahmen!$D$7:$D$126,C1373,Maßnahmen!$H$7:$H$126,"&lt;&gt;verworfen")</f>
        <v/>
      </c>
      <c r="N1373" s="14">
        <f>IF(ISNUMBER(K1373),MAX(0,K1373-L1373-M1373),"n.a.")</f>
        <v/>
      </c>
      <c r="O1373" s="14" t="n">
        <v>7.03</v>
      </c>
      <c r="P1373" s="14">
        <f>IF(ISNUMBER(K1373),K1373-O1373,"n.a.")</f>
        <v/>
      </c>
    </row>
    <row r="1374" ht="32" customHeight="1">
      <c r="C1374" s="10" t="inlineStr">
        <is>
          <t>PRJ-52b1cf31-RK-11</t>
        </is>
      </c>
      <c r="D1374" s="10" t="inlineStr">
        <is>
          <t>P4102157465</t>
        </is>
      </c>
      <c r="E1374" s="11" t="inlineStr">
        <is>
          <t>Witterung / Ablaufstörung</t>
        </is>
      </c>
      <c r="F1374" s="10" t="inlineStr">
        <is>
          <t>Termin</t>
        </is>
      </c>
      <c r="G1374" s="12" t="n">
        <v>0.15</v>
      </c>
      <c r="H1374" s="13" t="n">
        <v>81</v>
      </c>
      <c r="I1374" s="13" t="n">
        <v>244</v>
      </c>
      <c r="J1374" s="13" t="n">
        <v>487</v>
      </c>
      <c r="K1374" s="14">
        <f>IF(OR(COUNT(G1374:J1374)&lt;&gt;4,G1374&lt;0,G1374&gt;1,H1374&gt;I1374,I1374&gt;J1374),"n.a.",ROUND(G1374*(H1374+4*I1374+J1374)/6+0.00000001,2))</f>
        <v/>
      </c>
      <c r="L1374" s="13" t="n">
        <v>0</v>
      </c>
      <c r="M1374" s="14">
        <f>SUMIFS(Maßnahmen!$I$7:$I$126,Maßnahmen!$D$7:$D$126,C1374,Maßnahmen!$H$7:$H$126,"&lt;&gt;verworfen")</f>
        <v/>
      </c>
      <c r="N1374" s="14">
        <f>IF(ISNUMBER(K1374),MAX(0,K1374-L1374-M1374),"n.a.")</f>
        <v/>
      </c>
      <c r="O1374" s="14" t="n">
        <v>38.6</v>
      </c>
      <c r="P1374" s="14">
        <f>IF(ISNUMBER(K1374),K1374-O1374,"n.a.")</f>
        <v/>
      </c>
    </row>
    <row r="1375" ht="32" customHeight="1">
      <c r="C1375" s="10" t="inlineStr">
        <is>
          <t>PRJ-52b1cf31-RK-12</t>
        </is>
      </c>
      <c r="D1375" s="10" t="inlineStr">
        <is>
          <t>P4102157465</t>
        </is>
      </c>
      <c r="E1375" s="11" t="inlineStr">
        <is>
          <t>Staubemissionen (höchster Aufwand laut Umfrage)</t>
        </is>
      </c>
      <c r="F1375" s="10" t="inlineStr">
        <is>
          <t>Emissionen</t>
        </is>
      </c>
      <c r="G1375" s="12" t="n">
        <v>0.1</v>
      </c>
      <c r="H1375" s="13" t="n">
        <v>244</v>
      </c>
      <c r="I1375" s="13" t="n">
        <v>487</v>
      </c>
      <c r="J1375" s="13" t="n">
        <v>974</v>
      </c>
      <c r="K1375" s="14">
        <f>IF(OR(COUNT(G1375:J1375)&lt;&gt;4,G1375&lt;0,G1375&gt;1,H1375&gt;I1375,I1375&gt;J1375),"n.a.",ROUND(G1375*(H1375+4*I1375+J1375)/6+0.00000001,2))</f>
        <v/>
      </c>
      <c r="L1375" s="13" t="n">
        <v>0</v>
      </c>
      <c r="M1375" s="14">
        <f>SUMIFS(Maßnahmen!$I$7:$I$126,Maßnahmen!$D$7:$D$126,C1375,Maßnahmen!$H$7:$H$126,"&lt;&gt;verworfen")</f>
        <v/>
      </c>
      <c r="N1375" s="14">
        <f>IF(ISNUMBER(K1375),MAX(0,K1375-L1375-M1375),"n.a.")</f>
        <v/>
      </c>
      <c r="O1375" s="14" t="n">
        <v>52.77</v>
      </c>
      <c r="P1375" s="14">
        <f>IF(ISNUMBER(K1375),K1375-O1375,"n.a.")</f>
        <v/>
      </c>
    </row>
    <row r="1376" ht="32" customHeight="1">
      <c r="C1376" s="10" t="inlineStr">
        <is>
          <t>PRJ-52b1cf31-RK-15</t>
        </is>
      </c>
      <c r="D1376" s="10" t="inlineStr">
        <is>
          <t>P4102157465</t>
        </is>
      </c>
      <c r="E1376" s="11" t="inlineStr">
        <is>
          <t>Konjunktur / Sekundärstoffpreise &amp; Gerätemiete</t>
        </is>
      </c>
      <c r="F1376" s="10" t="inlineStr">
        <is>
          <t>Markt</t>
        </is>
      </c>
      <c r="G1376" s="12" t="n">
        <v>0.12</v>
      </c>
      <c r="H1376" s="13" t="n">
        <v>65</v>
      </c>
      <c r="I1376" s="13" t="n">
        <v>162</v>
      </c>
      <c r="J1376" s="13" t="n">
        <v>406</v>
      </c>
      <c r="K1376" s="14">
        <f>IF(OR(COUNT(G1376:J1376)&lt;&gt;4,G1376&lt;0,G1376&gt;1,H1376&gt;I1376,I1376&gt;J1376),"n.a.",ROUND(G1376*(H1376+4*I1376+J1376)/6+0.00000001,2))</f>
        <v/>
      </c>
      <c r="L1376" s="13" t="n">
        <v>0</v>
      </c>
      <c r="M1376" s="14">
        <f>SUMIFS(Maßnahmen!$I$7:$I$126,Maßnahmen!$D$7:$D$126,C1376,Maßnahmen!$H$7:$H$126,"&lt;&gt;verworfen")</f>
        <v/>
      </c>
      <c r="N1376" s="14">
        <f>IF(ISNUMBER(K1376),MAX(0,K1376-L1376-M1376),"n.a.")</f>
        <v/>
      </c>
      <c r="O1376" s="14" t="n">
        <v>22.38</v>
      </c>
      <c r="P1376" s="14">
        <f>IF(ISNUMBER(K1376),K1376-O1376,"n.a.")</f>
        <v/>
      </c>
    </row>
    <row r="1377" ht="32" customHeight="1">
      <c r="C1377" s="10" t="inlineStr">
        <is>
          <t>PRJ-52b1cf30-RK-01</t>
        </is>
      </c>
      <c r="D1377" s="10" t="inlineStr">
        <is>
          <t>P4102157466</t>
        </is>
      </c>
      <c r="E1377" s="11" t="inlineStr">
        <is>
          <t>Schadstofffund / Schadstoffsanierung (Asbest, PAK, PCB, PCP)</t>
        </is>
      </c>
      <c r="F1377" s="10" t="inlineStr">
        <is>
          <t>Schadstoffe</t>
        </is>
      </c>
      <c r="G1377" s="12" t="n">
        <v>0.1</v>
      </c>
      <c r="H1377" s="13" t="n">
        <v>164</v>
      </c>
      <c r="I1377" s="13" t="n">
        <v>410</v>
      </c>
      <c r="J1377" s="13" t="n">
        <v>819</v>
      </c>
      <c r="K1377" s="14">
        <f>IF(OR(COUNT(G1377:J1377)&lt;&gt;4,G1377&lt;0,G1377&gt;1,H1377&gt;I1377,I1377&gt;J1377),"n.a.",ROUND(G1377*(H1377+4*I1377+J1377)/6+0.00000001,2))</f>
        <v/>
      </c>
      <c r="L1377" s="13" t="n">
        <v>0</v>
      </c>
      <c r="M1377" s="14">
        <f>SUMIFS(Maßnahmen!$I$7:$I$126,Maßnahmen!$D$7:$D$126,C1377,Maßnahmen!$H$7:$H$126,"&lt;&gt;verworfen")</f>
        <v/>
      </c>
      <c r="N1377" s="14">
        <f>IF(ISNUMBER(K1377),MAX(0,K1377-L1377-M1377),"n.a.")</f>
        <v/>
      </c>
      <c r="O1377" s="14" t="n">
        <v>43.72</v>
      </c>
      <c r="P1377" s="14">
        <f>IF(ISNUMBER(K1377),K1377-O1377,"n.a.")</f>
        <v/>
      </c>
    </row>
    <row r="1378" ht="32" customHeight="1">
      <c r="C1378" s="10" t="inlineStr">
        <is>
          <t>PRJ-52b1cf30-RK-02</t>
        </is>
      </c>
      <c r="D1378" s="10" t="inlineStr">
        <is>
          <t>P4102157466</t>
        </is>
      </c>
      <c r="E1378" s="11" t="inlineStr">
        <is>
          <t>Arbeitsschutz kontaminierte Bereiche (TRGS 524)</t>
        </is>
      </c>
      <c r="F1378" s="10" t="inlineStr">
        <is>
          <t>Schadstoffe</t>
        </is>
      </c>
      <c r="G1378" s="12" t="n">
        <v>0.1</v>
      </c>
      <c r="H1378" s="13" t="n">
        <v>41</v>
      </c>
      <c r="I1378" s="13" t="n">
        <v>82</v>
      </c>
      <c r="J1378" s="13" t="n">
        <v>164</v>
      </c>
      <c r="K1378" s="14">
        <f>IF(OR(COUNT(G1378:J1378)&lt;&gt;4,G1378&lt;0,G1378&gt;1,H1378&gt;I1378,I1378&gt;J1378),"n.a.",ROUND(G1378*(H1378+4*I1378+J1378)/6+0.00000001,2))</f>
        <v/>
      </c>
      <c r="L1378" s="13" t="n">
        <v>0</v>
      </c>
      <c r="M1378" s="14">
        <f>SUMIFS(Maßnahmen!$I$7:$I$126,Maßnahmen!$D$7:$D$126,C1378,Maßnahmen!$H$7:$H$126,"&lt;&gt;verworfen")</f>
        <v/>
      </c>
      <c r="N1378" s="14">
        <f>IF(ISNUMBER(K1378),MAX(0,K1378-L1378-M1378),"n.a.")</f>
        <v/>
      </c>
      <c r="O1378" s="14" t="n">
        <v>8.880000000000001</v>
      </c>
      <c r="P1378" s="14">
        <f>IF(ISNUMBER(K1378),K1378-O1378,"n.a.")</f>
        <v/>
      </c>
    </row>
    <row r="1379" ht="32" customHeight="1">
      <c r="C1379" s="10" t="inlineStr">
        <is>
          <t>PRJ-52b1cf30-RK-03</t>
        </is>
      </c>
      <c r="D1379" s="10" t="inlineStr">
        <is>
          <t>P4102157466</t>
        </is>
      </c>
      <c r="E1379" s="11" t="inlineStr">
        <is>
          <t>Entsorgungs-Mehrkosten / Entsorgungswege</t>
        </is>
      </c>
      <c r="F1379" s="10" t="inlineStr">
        <is>
          <t>Entsorgung</t>
        </is>
      </c>
      <c r="G1379" s="12" t="n">
        <v>0.15</v>
      </c>
      <c r="H1379" s="13" t="n">
        <v>164</v>
      </c>
      <c r="I1379" s="13" t="n">
        <v>410</v>
      </c>
      <c r="J1379" s="13" t="n">
        <v>819</v>
      </c>
      <c r="K1379" s="14">
        <f>IF(OR(COUNT(G1379:J1379)&lt;&gt;4,G1379&lt;0,G1379&gt;1,H1379&gt;I1379,I1379&gt;J1379),"n.a.",ROUND(G1379*(H1379+4*I1379+J1379)/6+0.00000001,2))</f>
        <v/>
      </c>
      <c r="L1379" s="13" t="n">
        <v>0</v>
      </c>
      <c r="M1379" s="14">
        <f>SUMIFS(Maßnahmen!$I$7:$I$126,Maßnahmen!$D$7:$D$126,C1379,Maßnahmen!$H$7:$H$126,"&lt;&gt;verworfen")</f>
        <v/>
      </c>
      <c r="N1379" s="14">
        <f>IF(ISNUMBER(K1379),MAX(0,K1379-L1379-M1379),"n.a.")</f>
        <v/>
      </c>
      <c r="O1379" s="14" t="n">
        <v>65.58</v>
      </c>
      <c r="P1379" s="14">
        <f>IF(ISNUMBER(K1379),K1379-O1379,"n.a.")</f>
        <v/>
      </c>
    </row>
    <row r="1380" ht="32" customHeight="1">
      <c r="C1380" s="10" t="inlineStr">
        <is>
          <t>PRJ-52b1cf30-RK-04</t>
        </is>
      </c>
      <c r="D1380" s="10" t="inlineStr">
        <is>
          <t>P4102157466</t>
        </is>
      </c>
      <c r="E1380" s="11" t="inlineStr">
        <is>
          <t>Baustofftrennung / Aufbereitung nicht wie geplant</t>
        </is>
      </c>
      <c r="F1380" s="10" t="inlineStr">
        <is>
          <t>Entsorgung</t>
        </is>
      </c>
      <c r="G1380" s="12" t="n">
        <v>0.08</v>
      </c>
      <c r="H1380" s="13" t="n">
        <v>41</v>
      </c>
      <c r="I1380" s="13" t="n">
        <v>82</v>
      </c>
      <c r="J1380" s="13" t="n">
        <v>164</v>
      </c>
      <c r="K1380" s="14">
        <f>IF(OR(COUNT(G1380:J1380)&lt;&gt;4,G1380&lt;0,G1380&gt;1,H1380&gt;I1380,I1380&gt;J1380),"n.a.",ROUND(G1380*(H1380+4*I1380+J1380)/6+0.00000001,2))</f>
        <v/>
      </c>
      <c r="L1380" s="13" t="n">
        <v>0</v>
      </c>
      <c r="M1380" s="14">
        <f>SUMIFS(Maßnahmen!$I$7:$I$126,Maßnahmen!$D$7:$D$126,C1380,Maßnahmen!$H$7:$H$126,"&lt;&gt;verworfen")</f>
        <v/>
      </c>
      <c r="N1380" s="14">
        <f>IF(ISNUMBER(K1380),MAX(0,K1380-L1380-M1380),"n.a.")</f>
        <v/>
      </c>
      <c r="O1380" s="14" t="n">
        <v>7.11</v>
      </c>
      <c r="P1380" s="14">
        <f>IF(ISNUMBER(K1380),K1380-O1380,"n.a.")</f>
        <v/>
      </c>
    </row>
    <row r="1381" ht="32" customHeight="1">
      <c r="C1381" s="10" t="inlineStr">
        <is>
          <t>PRJ-52b1cfa9-RK-07</t>
        </is>
      </c>
      <c r="D1381" s="10" t="inlineStr">
        <is>
          <t>P4102157429</t>
        </is>
      </c>
      <c r="E1381" s="11" t="inlineStr">
        <is>
          <t>Unterirdische Tragkonstruktion / Fundamente</t>
        </is>
      </c>
      <c r="F1381" s="10" t="inlineStr">
        <is>
          <t>Statik</t>
        </is>
      </c>
      <c r="G1381" s="12" t="n">
        <v>0.4</v>
      </c>
      <c r="H1381" s="13" t="n">
        <v>55</v>
      </c>
      <c r="I1381" s="13" t="n">
        <v>100</v>
      </c>
      <c r="J1381" s="13" t="n">
        <v>200</v>
      </c>
      <c r="K1381" s="14">
        <f>IF(OR(COUNT(G1381:J1381)&lt;&gt;4,G1381&lt;0,G1381&gt;1,H1381&gt;I1381,I1381&gt;J1381),"n.a.",ROUND(G1381*(H1381+4*I1381+J1381)/6+0.00000001,2))</f>
        <v/>
      </c>
      <c r="L1381" s="13" t="n">
        <v>0</v>
      </c>
      <c r="M1381" s="14">
        <f>SUMIFS(Maßnahmen!$I$7:$I$126,Maßnahmen!$D$7:$D$126,C1381,Maßnahmen!$H$7:$H$126,"&lt;&gt;verworfen")</f>
        <v/>
      </c>
      <c r="N1381" s="14">
        <f>IF(ISNUMBER(K1381),MAX(0,K1381-L1381-M1381),"n.a.")</f>
        <v/>
      </c>
      <c r="O1381" s="14" t="n">
        <v>43.67</v>
      </c>
      <c r="P1381" s="14">
        <f>IF(ISNUMBER(K1381),K1381-O1381,"n.a.")</f>
        <v/>
      </c>
    </row>
    <row r="1382" ht="32" customHeight="1">
      <c r="C1382" s="10" t="inlineStr">
        <is>
          <t>PRJ-52b1cfa9-RK-08</t>
        </is>
      </c>
      <c r="D1382" s="10" t="inlineStr">
        <is>
          <t>P4102157429</t>
        </is>
      </c>
      <c r="E1382" s="11" t="inlineStr">
        <is>
          <t>Gebäudehöhe &gt;22 m / Longfront-Bagger (+130–150 %)</t>
        </is>
      </c>
      <c r="F1382" s="10" t="inlineStr">
        <is>
          <t>Termin</t>
        </is>
      </c>
      <c r="G1382" s="12" t="n">
        <v>0.2</v>
      </c>
      <c r="H1382" s="13" t="n">
        <v>10</v>
      </c>
      <c r="I1382" s="13" t="n">
        <v>30</v>
      </c>
      <c r="J1382" s="13" t="n">
        <v>60</v>
      </c>
      <c r="K1382" s="14">
        <f>IF(OR(COUNT(G1382:J1382)&lt;&gt;4,G1382&lt;0,G1382&gt;1,H1382&gt;I1382,I1382&gt;J1382),"n.a.",ROUND(G1382*(H1382+4*I1382+J1382)/6+0.00000001,2))</f>
        <v/>
      </c>
      <c r="L1382" s="13" t="n">
        <v>0</v>
      </c>
      <c r="M1382" s="14">
        <f>SUMIFS(Maßnahmen!$I$7:$I$126,Maßnahmen!$D$7:$D$126,C1382,Maßnahmen!$H$7:$H$126,"&lt;&gt;verworfen")</f>
        <v/>
      </c>
      <c r="N1382" s="14">
        <f>IF(ISNUMBER(K1382),MAX(0,K1382-L1382-M1382),"n.a.")</f>
        <v/>
      </c>
      <c r="O1382" s="14" t="n">
        <v>6.33</v>
      </c>
      <c r="P1382" s="14">
        <f>IF(ISNUMBER(K1382),K1382-O1382,"n.a.")</f>
        <v/>
      </c>
    </row>
    <row r="1383" ht="32" customHeight="1">
      <c r="C1383" s="10" t="inlineStr">
        <is>
          <t>PRJ-52b1cfa9-RK-09</t>
        </is>
      </c>
      <c r="D1383" s="10" t="inlineStr">
        <is>
          <t>P4102157429</t>
        </is>
      </c>
      <c r="E1383" s="11" t="inlineStr">
        <is>
          <t>Beennte Lage / nur Handabbruch möglich</t>
        </is>
      </c>
      <c r="F1383" s="10" t="inlineStr">
        <is>
          <t>Termin</t>
        </is>
      </c>
      <c r="G1383" s="12" t="n">
        <v>0.15</v>
      </c>
      <c r="H1383" s="13" t="n">
        <v>8</v>
      </c>
      <c r="I1383" s="13" t="n">
        <v>20</v>
      </c>
      <c r="J1383" s="13" t="n">
        <v>50</v>
      </c>
      <c r="K1383" s="14">
        <f>IF(OR(COUNT(G1383:J1383)&lt;&gt;4,G1383&lt;0,G1383&gt;1,H1383&gt;I1383,I1383&gt;J1383),"n.a.",ROUND(G1383*(H1383+4*I1383+J1383)/6+0.00000001,2))</f>
        <v/>
      </c>
      <c r="L1383" s="13" t="n">
        <v>0</v>
      </c>
      <c r="M1383" s="14">
        <f>SUMIFS(Maßnahmen!$I$7:$I$126,Maßnahmen!$D$7:$D$126,C1383,Maßnahmen!$H$7:$H$126,"&lt;&gt;verworfen")</f>
        <v/>
      </c>
      <c r="N1383" s="14">
        <f>IF(ISNUMBER(K1383),MAX(0,K1383-L1383-M1383),"n.a.")</f>
        <v/>
      </c>
      <c r="O1383" s="14" t="n">
        <v>3.45</v>
      </c>
      <c r="P1383" s="14">
        <f>IF(ISNUMBER(K1383),K1383-O1383,"n.a.")</f>
        <v/>
      </c>
    </row>
    <row r="1384" ht="32" customHeight="1">
      <c r="C1384" s="10" t="inlineStr">
        <is>
          <t>PRJ-52b1cf30-RK-07</t>
        </is>
      </c>
      <c r="D1384" s="10" t="inlineStr">
        <is>
          <t>P4102157466</t>
        </is>
      </c>
      <c r="E1384" s="11" t="inlineStr">
        <is>
          <t>Unterirdische Tragkonstruktion / Fundamente</t>
        </is>
      </c>
      <c r="F1384" s="10" t="inlineStr">
        <is>
          <t>Statik</t>
        </is>
      </c>
      <c r="G1384" s="12" t="n">
        <v>0.5</v>
      </c>
      <c r="H1384" s="13" t="n">
        <v>41</v>
      </c>
      <c r="I1384" s="13" t="n">
        <v>164</v>
      </c>
      <c r="J1384" s="13" t="n">
        <v>410</v>
      </c>
      <c r="K1384" s="14">
        <f>IF(OR(COUNT(G1384:J1384)&lt;&gt;4,G1384&lt;0,G1384&gt;1,H1384&gt;I1384,I1384&gt;J1384),"n.a.",ROUND(G1384*(H1384+4*I1384+J1384)/6+0.00000001,2))</f>
        <v/>
      </c>
      <c r="L1384" s="13" t="n">
        <v>0</v>
      </c>
      <c r="M1384" s="14">
        <f>SUMIFS(Maßnahmen!$I$7:$I$126,Maßnahmen!$D$7:$D$126,C1384,Maßnahmen!$H$7:$H$126,"&lt;&gt;verworfen")</f>
        <v/>
      </c>
      <c r="N1384" s="14">
        <f>IF(ISNUMBER(K1384),MAX(0,K1384-L1384-M1384),"n.a.")</f>
        <v/>
      </c>
      <c r="O1384" s="14" t="n">
        <v>92.25</v>
      </c>
      <c r="P1384" s="14">
        <f>IF(ISNUMBER(K1384),K1384-O1384,"n.a.")</f>
        <v/>
      </c>
    </row>
    <row r="1385" ht="32" customHeight="1">
      <c r="C1385" s="10" t="inlineStr">
        <is>
          <t>PRJ-52b1cf30-RK-08</t>
        </is>
      </c>
      <c r="D1385" s="10" t="inlineStr">
        <is>
          <t>P4102157466</t>
        </is>
      </c>
      <c r="E1385" s="11" t="inlineStr">
        <is>
          <t>Gebäudehöhe &gt;22 m / Longfront-Bagger (+130–150 %)</t>
        </is>
      </c>
      <c r="F1385" s="10" t="inlineStr">
        <is>
          <t>Termin</t>
        </is>
      </c>
      <c r="G1385" s="12" t="n">
        <v>0.514</v>
      </c>
      <c r="H1385" s="13" t="n">
        <v>596</v>
      </c>
      <c r="I1385" s="13" t="n">
        <v>1210</v>
      </c>
      <c r="J1385" s="13" t="n">
        <v>2291</v>
      </c>
      <c r="K1385" s="14">
        <f>IF(OR(COUNT(G1385:J1385)&lt;&gt;4,G1385&lt;0,G1385&gt;1,H1385&gt;I1385,I1385&gt;J1385),"n.a.",ROUND(G1385*(H1385+4*I1385+J1385)/6+0.00000001,2))</f>
        <v/>
      </c>
      <c r="L1385" s="13" t="n">
        <v>0</v>
      </c>
      <c r="M1385" s="14">
        <f>SUMIFS(Maßnahmen!$I$7:$I$126,Maßnahmen!$D$7:$D$126,C1385,Maßnahmen!$H$7:$H$126,"&lt;&gt;verworfen")</f>
        <v/>
      </c>
      <c r="N1385" s="14">
        <f>IF(ISNUMBER(K1385),MAX(0,K1385-L1385-M1385),"n.a.")</f>
        <v/>
      </c>
      <c r="O1385" s="14" t="n">
        <v>661.95</v>
      </c>
      <c r="P1385" s="14">
        <f>IF(ISNUMBER(K1385),K1385-O1385,"n.a.")</f>
        <v/>
      </c>
    </row>
    <row r="1386" ht="32" customHeight="1">
      <c r="C1386" s="10" t="inlineStr">
        <is>
          <t>PRJ-52b1cf30-RK-09</t>
        </is>
      </c>
      <c r="D1386" s="10" t="inlineStr">
        <is>
          <t>P4102157466</t>
        </is>
      </c>
      <c r="E1386" s="11" t="inlineStr">
        <is>
          <t>Beennte Lage / nur Handabbruch möglich</t>
        </is>
      </c>
      <c r="F1386" s="10" t="inlineStr">
        <is>
          <t>Termin</t>
        </is>
      </c>
      <c r="G1386" s="12" t="n">
        <v>0.312</v>
      </c>
      <c r="H1386" s="13" t="n">
        <v>138</v>
      </c>
      <c r="I1386" s="13" t="n">
        <v>308</v>
      </c>
      <c r="J1386" s="13" t="n">
        <v>698</v>
      </c>
      <c r="K1386" s="14">
        <f>IF(OR(COUNT(G1386:J1386)&lt;&gt;4,G1386&lt;0,G1386&gt;1,H1386&gt;I1386,I1386&gt;J1386),"n.a.",ROUND(G1386*(H1386+4*I1386+J1386)/6+0.00000001,2))</f>
        <v/>
      </c>
      <c r="L1386" s="13" t="n">
        <v>0</v>
      </c>
      <c r="M1386" s="14">
        <f>SUMIFS(Maßnahmen!$I$7:$I$126,Maßnahmen!$D$7:$D$126,C1386,Maßnahmen!$H$7:$H$126,"&lt;&gt;verworfen")</f>
        <v/>
      </c>
      <c r="N1386" s="14">
        <f>IF(ISNUMBER(K1386),MAX(0,K1386-L1386-M1386),"n.a.")</f>
        <v/>
      </c>
      <c r="O1386" s="14" t="n">
        <v>107.54</v>
      </c>
      <c r="P1386" s="14">
        <f>IF(ISNUMBER(K1386),K1386-O1386,"n.a.")</f>
        <v/>
      </c>
    </row>
    <row r="1387" ht="32" customHeight="1">
      <c r="C1387" s="10" t="inlineStr">
        <is>
          <t>PRJ-52b1cf30-RK-10</t>
        </is>
      </c>
      <c r="D1387" s="10" t="inlineStr">
        <is>
          <t>P4102157466</t>
        </is>
      </c>
      <c r="E1387" s="11" t="inlineStr">
        <is>
          <t>Terminvorgabe Auftraggeber / Geräteauslastung</t>
        </is>
      </c>
      <c r="F1387" s="10" t="inlineStr">
        <is>
          <t>Termin</t>
        </is>
      </c>
      <c r="G1387" s="12" t="n">
        <v>0.08</v>
      </c>
      <c r="H1387" s="13" t="n">
        <v>41</v>
      </c>
      <c r="I1387" s="13" t="n">
        <v>82</v>
      </c>
      <c r="J1387" s="13" t="n">
        <v>164</v>
      </c>
      <c r="K1387" s="14">
        <f>IF(OR(COUNT(G1387:J1387)&lt;&gt;4,G1387&lt;0,G1387&gt;1,H1387&gt;I1387,I1387&gt;J1387),"n.a.",ROUND(G1387*(H1387+4*I1387+J1387)/6+0.00000001,2))</f>
        <v/>
      </c>
      <c r="L1387" s="13" t="n">
        <v>0</v>
      </c>
      <c r="M1387" s="14">
        <f>SUMIFS(Maßnahmen!$I$7:$I$126,Maßnahmen!$D$7:$D$126,C1387,Maßnahmen!$H$7:$H$126,"&lt;&gt;verworfen")</f>
        <v/>
      </c>
      <c r="N1387" s="14">
        <f>IF(ISNUMBER(K1387),MAX(0,K1387-L1387-M1387),"n.a.")</f>
        <v/>
      </c>
      <c r="O1387" s="14" t="n">
        <v>7.11</v>
      </c>
      <c r="P1387" s="14">
        <f>IF(ISNUMBER(K1387),K1387-O1387,"n.a.")</f>
        <v/>
      </c>
    </row>
    <row r="1388" ht="32" customHeight="1">
      <c r="C1388" s="10" t="inlineStr">
        <is>
          <t>PRJ-52b1cf30-RK-11</t>
        </is>
      </c>
      <c r="D1388" s="10" t="inlineStr">
        <is>
          <t>P4102157466</t>
        </is>
      </c>
      <c r="E1388" s="11" t="inlineStr">
        <is>
          <t>Witterung / Ablaufstörung</t>
        </is>
      </c>
      <c r="F1388" s="10" t="inlineStr">
        <is>
          <t>Termin</t>
        </is>
      </c>
      <c r="G1388" s="12" t="n">
        <v>0.25</v>
      </c>
      <c r="H1388" s="13" t="n">
        <v>82</v>
      </c>
      <c r="I1388" s="13" t="n">
        <v>246</v>
      </c>
      <c r="J1388" s="13" t="n">
        <v>492</v>
      </c>
      <c r="K1388" s="14">
        <f>IF(OR(COUNT(G1388:J1388)&lt;&gt;4,G1388&lt;0,G1388&gt;1,H1388&gt;I1388,I1388&gt;J1388),"n.a.",ROUND(G1388*(H1388+4*I1388+J1388)/6+0.00000001,2))</f>
        <v/>
      </c>
      <c r="L1388" s="13" t="n">
        <v>0</v>
      </c>
      <c r="M1388" s="14">
        <f>SUMIFS(Maßnahmen!$I$7:$I$126,Maßnahmen!$D$7:$D$126,C1388,Maßnahmen!$H$7:$H$126,"&lt;&gt;verworfen")</f>
        <v/>
      </c>
      <c r="N1388" s="14">
        <f>IF(ISNUMBER(K1388),MAX(0,K1388-L1388-M1388),"n.a.")</f>
        <v/>
      </c>
      <c r="O1388" s="14" t="n">
        <v>64.92</v>
      </c>
      <c r="P1388" s="14">
        <f>IF(ISNUMBER(K1388),K1388-O1388,"n.a.")</f>
        <v/>
      </c>
    </row>
    <row r="1389" ht="32" customHeight="1">
      <c r="C1389" s="10" t="inlineStr">
        <is>
          <t>PRJ-52b1cf30-RK-12</t>
        </is>
      </c>
      <c r="D1389" s="10" t="inlineStr">
        <is>
          <t>P4102157466</t>
        </is>
      </c>
      <c r="E1389" s="11" t="inlineStr">
        <is>
          <t>Staubemissionen (höchster Aufwand laut Umfrage)</t>
        </is>
      </c>
      <c r="F1389" s="10" t="inlineStr">
        <is>
          <t>Emissionen</t>
        </is>
      </c>
      <c r="G1389" s="12" t="n">
        <v>0.22</v>
      </c>
      <c r="H1389" s="13" t="n">
        <v>246</v>
      </c>
      <c r="I1389" s="13" t="n">
        <v>492</v>
      </c>
      <c r="J1389" s="13" t="n">
        <v>983</v>
      </c>
      <c r="K1389" s="14">
        <f>IF(OR(COUNT(G1389:J1389)&lt;&gt;4,G1389&lt;0,G1389&gt;1,H1389&gt;I1389,I1389&gt;J1389),"n.a.",ROUND(G1389*(H1389+4*I1389+J1389)/6+0.00000001,2))</f>
        <v/>
      </c>
      <c r="L1389" s="13" t="n">
        <v>0</v>
      </c>
      <c r="M1389" s="14">
        <f>SUMIFS(Maßnahmen!$I$7:$I$126,Maßnahmen!$D$7:$D$126,C1389,Maßnahmen!$H$7:$H$126,"&lt;&gt;verworfen")</f>
        <v/>
      </c>
      <c r="N1389" s="14">
        <f>IF(ISNUMBER(K1389),MAX(0,K1389-L1389-M1389),"n.a.")</f>
        <v/>
      </c>
      <c r="O1389" s="14" t="n">
        <v>117.22</v>
      </c>
      <c r="P1389" s="14">
        <f>IF(ISNUMBER(K1389),K1389-O1389,"n.a.")</f>
        <v/>
      </c>
    </row>
    <row r="1390" ht="32" customHeight="1">
      <c r="C1390" s="10" t="inlineStr">
        <is>
          <t>PRJ-4a2927b1-RK-01</t>
        </is>
      </c>
      <c r="D1390" s="10" t="inlineStr">
        <is>
          <t>P4102658229</t>
        </is>
      </c>
      <c r="E1390" s="11" t="inlineStr">
        <is>
          <t>Schadstofffund / Schadstoffsanierung (Asbest, PAK, PCB, PCP)</t>
        </is>
      </c>
      <c r="F1390" s="10" t="inlineStr">
        <is>
          <t>Schadstoffe</t>
        </is>
      </c>
      <c r="G1390" s="12" t="n">
        <v>0.7</v>
      </c>
      <c r="H1390" s="13" t="n">
        <v>131149</v>
      </c>
      <c r="I1390" s="13" t="n">
        <v>176393</v>
      </c>
      <c r="J1390" s="13" t="n">
        <v>254790</v>
      </c>
      <c r="K1390" s="14">
        <f>IF(OR(COUNT(G1390:J1390)&lt;&gt;4,G1390&lt;0,G1390&gt;1,H1390&gt;I1390,I1390&gt;J1390),"n.a.",ROUND(G1390*(H1390+4*I1390+J1390)/6+0.00000001,2))</f>
        <v/>
      </c>
      <c r="L1390" s="13" t="n">
        <v>0</v>
      </c>
      <c r="M1390" s="14">
        <f>SUMIFS(Maßnahmen!$I$7:$I$126,Maßnahmen!$D$7:$D$126,C1390,Maßnahmen!$H$7:$H$126,"&lt;&gt;verworfen")</f>
        <v/>
      </c>
      <c r="N1390" s="14">
        <f>IF(ISNUMBER(K1390),MAX(0,K1390-L1390-M1390),"n.a.")</f>
        <v/>
      </c>
      <c r="O1390" s="14" t="n">
        <v>127342.95</v>
      </c>
      <c r="P1390" s="14">
        <f>IF(ISNUMBER(K1390),K1390-O1390,"n.a.")</f>
        <v/>
      </c>
    </row>
    <row r="1391" ht="32" customHeight="1">
      <c r="C1391" s="10" t="inlineStr">
        <is>
          <t>PRJ-4a2927b1-RK-02</t>
        </is>
      </c>
      <c r="D1391" s="10" t="inlineStr">
        <is>
          <t>P4102658229</t>
        </is>
      </c>
      <c r="E1391" s="11" t="inlineStr">
        <is>
          <t>Arbeitsschutz kontaminierte Bereiche (TRGS 524)</t>
        </is>
      </c>
      <c r="F1391" s="10" t="inlineStr">
        <is>
          <t>Schadstoffe</t>
        </is>
      </c>
      <c r="G1391" s="12" t="n">
        <v>0.1</v>
      </c>
      <c r="H1391" s="13" t="n">
        <v>1960</v>
      </c>
      <c r="I1391" s="13" t="n">
        <v>3920</v>
      </c>
      <c r="J1391" s="13" t="n">
        <v>7840</v>
      </c>
      <c r="K1391" s="14">
        <f>IF(OR(COUNT(G1391:J1391)&lt;&gt;4,G1391&lt;0,G1391&gt;1,H1391&gt;I1391,I1391&gt;J1391),"n.a.",ROUND(G1391*(H1391+4*I1391+J1391)/6+0.00000001,2))</f>
        <v/>
      </c>
      <c r="L1391" s="13" t="n">
        <v>0</v>
      </c>
      <c r="M1391" s="14">
        <f>SUMIFS(Maßnahmen!$I$7:$I$126,Maßnahmen!$D$7:$D$126,C1391,Maßnahmen!$H$7:$H$126,"&lt;&gt;verworfen")</f>
        <v/>
      </c>
      <c r="N1391" s="14">
        <f>IF(ISNUMBER(K1391),MAX(0,K1391-L1391-M1391),"n.a.")</f>
        <v/>
      </c>
      <c r="O1391" s="14" t="n">
        <v>424.67</v>
      </c>
      <c r="P1391" s="14">
        <f>IF(ISNUMBER(K1391),K1391-O1391,"n.a.")</f>
        <v/>
      </c>
    </row>
    <row r="1392" ht="32" customHeight="1">
      <c r="C1392" s="10" t="inlineStr">
        <is>
          <t>PRJ-4a2927b1-RK-03</t>
        </is>
      </c>
      <c r="D1392" s="10" t="inlineStr">
        <is>
          <t>P4102658229</t>
        </is>
      </c>
      <c r="E1392" s="11" t="inlineStr">
        <is>
          <t>Entsorgungs-Mehrkosten / Entsorgungswege</t>
        </is>
      </c>
      <c r="F1392" s="10" t="inlineStr">
        <is>
          <t>Entsorgung</t>
        </is>
      </c>
      <c r="G1392" s="12" t="n">
        <v>0.342</v>
      </c>
      <c r="H1392" s="13" t="n">
        <v>35223</v>
      </c>
      <c r="I1392" s="13" t="n">
        <v>67519</v>
      </c>
      <c r="J1392" s="13" t="n">
        <v>114502</v>
      </c>
      <c r="K1392" s="14">
        <f>IF(OR(COUNT(G1392:J1392)&lt;&gt;4,G1392&lt;0,G1392&gt;1,H1392&gt;I1392,I1392&gt;J1392),"n.a.",ROUND(G1392*(H1392+4*I1392+J1392)/6+0.00000001,2))</f>
        <v/>
      </c>
      <c r="L1392" s="13" t="n">
        <v>0</v>
      </c>
      <c r="M1392" s="14">
        <f>SUMIFS(Maßnahmen!$I$7:$I$126,Maßnahmen!$D$7:$D$126,C1392,Maßnahmen!$H$7:$H$126,"&lt;&gt;verworfen")</f>
        <v/>
      </c>
      <c r="N1392" s="14">
        <f>IF(ISNUMBER(K1392),MAX(0,K1392-L1392-M1392),"n.a.")</f>
        <v/>
      </c>
      <c r="O1392" s="14" t="n">
        <v>23928.66</v>
      </c>
      <c r="P1392" s="14">
        <f>IF(ISNUMBER(K1392),K1392-O1392,"n.a.")</f>
        <v/>
      </c>
    </row>
    <row r="1393" ht="32" customHeight="1">
      <c r="C1393" s="10" t="inlineStr">
        <is>
          <t>PRJ-52b1cfa9-RK-10</t>
        </is>
      </c>
      <c r="D1393" s="10" t="inlineStr">
        <is>
          <t>P4102157429</t>
        </is>
      </c>
      <c r="E1393" s="11" t="inlineStr">
        <is>
          <t>Terminvorgabe Auftraggeber / Geräteauslastung</t>
        </is>
      </c>
      <c r="F1393" s="10" t="inlineStr">
        <is>
          <t>Termin</t>
        </is>
      </c>
      <c r="G1393" s="12" t="n">
        <v>0.2</v>
      </c>
      <c r="H1393" s="13" t="n">
        <v>8</v>
      </c>
      <c r="I1393" s="13" t="n">
        <v>20</v>
      </c>
      <c r="J1393" s="13" t="n">
        <v>50</v>
      </c>
      <c r="K1393" s="14">
        <f>IF(OR(COUNT(G1393:J1393)&lt;&gt;4,G1393&lt;0,G1393&gt;1,H1393&gt;I1393,I1393&gt;J1393),"n.a.",ROUND(G1393*(H1393+4*I1393+J1393)/6+0.00000001,2))</f>
        <v/>
      </c>
      <c r="L1393" s="13" t="n">
        <v>0</v>
      </c>
      <c r="M1393" s="14">
        <f>SUMIFS(Maßnahmen!$I$7:$I$126,Maßnahmen!$D$7:$D$126,C1393,Maßnahmen!$H$7:$H$126,"&lt;&gt;verworfen")</f>
        <v/>
      </c>
      <c r="N1393" s="14">
        <f>IF(ISNUMBER(K1393),MAX(0,K1393-L1393-M1393),"n.a.")</f>
        <v/>
      </c>
      <c r="O1393" s="14" t="n">
        <v>4.6</v>
      </c>
      <c r="P1393" s="14">
        <f>IF(ISNUMBER(K1393),K1393-O1393,"n.a.")</f>
        <v/>
      </c>
    </row>
    <row r="1394" ht="32" customHeight="1">
      <c r="C1394" s="10" t="inlineStr">
        <is>
          <t>PRJ-52b1cfa9-RK-11</t>
        </is>
      </c>
      <c r="D1394" s="10" t="inlineStr">
        <is>
          <t>P4102157429</t>
        </is>
      </c>
      <c r="E1394" s="11" t="inlineStr">
        <is>
          <t>Witterung / Ablaufstörung</t>
        </is>
      </c>
      <c r="F1394" s="10" t="inlineStr">
        <is>
          <t>Termin</t>
        </is>
      </c>
      <c r="G1394" s="12" t="n">
        <v>0.15</v>
      </c>
      <c r="H1394" s="13" t="n">
        <v>10</v>
      </c>
      <c r="I1394" s="13" t="n">
        <v>30</v>
      </c>
      <c r="J1394" s="13" t="n">
        <v>60</v>
      </c>
      <c r="K1394" s="14">
        <f>IF(OR(COUNT(G1394:J1394)&lt;&gt;4,G1394&lt;0,G1394&gt;1,H1394&gt;I1394,I1394&gt;J1394),"n.a.",ROUND(G1394*(H1394+4*I1394+J1394)/6+0.00000001,2))</f>
        <v/>
      </c>
      <c r="L1394" s="13" t="n">
        <v>0</v>
      </c>
      <c r="M1394" s="14">
        <f>SUMIFS(Maßnahmen!$I$7:$I$126,Maßnahmen!$D$7:$D$126,C1394,Maßnahmen!$H$7:$H$126,"&lt;&gt;verworfen")</f>
        <v/>
      </c>
      <c r="N1394" s="14">
        <f>IF(ISNUMBER(K1394),MAX(0,K1394-L1394-M1394),"n.a.")</f>
        <v/>
      </c>
      <c r="O1394" s="14" t="n">
        <v>4.75</v>
      </c>
      <c r="P1394" s="14">
        <f>IF(ISNUMBER(K1394),K1394-O1394,"n.a.")</f>
        <v/>
      </c>
    </row>
    <row r="1395" ht="32" customHeight="1">
      <c r="C1395" s="10" t="inlineStr">
        <is>
          <t>PRJ-52b1cfa9-RK-12</t>
        </is>
      </c>
      <c r="D1395" s="10" t="inlineStr">
        <is>
          <t>P4102157429</t>
        </is>
      </c>
      <c r="E1395" s="11" t="inlineStr">
        <is>
          <t>Staubemissionen (höchster Aufwand laut Umfrage)</t>
        </is>
      </c>
      <c r="F1395" s="10" t="inlineStr">
        <is>
          <t>Emissionen</t>
        </is>
      </c>
      <c r="G1395" s="12" t="n">
        <v>0.1</v>
      </c>
      <c r="H1395" s="13" t="n">
        <v>30</v>
      </c>
      <c r="I1395" s="13" t="n">
        <v>60</v>
      </c>
      <c r="J1395" s="13" t="n">
        <v>120</v>
      </c>
      <c r="K1395" s="14">
        <f>IF(OR(COUNT(G1395:J1395)&lt;&gt;4,G1395&lt;0,G1395&gt;1,H1395&gt;I1395,I1395&gt;J1395),"n.a.",ROUND(G1395*(H1395+4*I1395+J1395)/6+0.00000001,2))</f>
        <v/>
      </c>
      <c r="L1395" s="13" t="n">
        <v>0</v>
      </c>
      <c r="M1395" s="14">
        <f>SUMIFS(Maßnahmen!$I$7:$I$126,Maßnahmen!$D$7:$D$126,C1395,Maßnahmen!$H$7:$H$126,"&lt;&gt;verworfen")</f>
        <v/>
      </c>
      <c r="N1395" s="14">
        <f>IF(ISNUMBER(K1395),MAX(0,K1395-L1395-M1395),"n.a.")</f>
        <v/>
      </c>
      <c r="O1395" s="14" t="n">
        <v>6.5</v>
      </c>
      <c r="P1395" s="14">
        <f>IF(ISNUMBER(K1395),K1395-O1395,"n.a.")</f>
        <v/>
      </c>
    </row>
    <row r="1396" ht="32" customHeight="1">
      <c r="C1396" s="10" t="inlineStr">
        <is>
          <t>PRJ-52b1cfa9-RK-14</t>
        </is>
      </c>
      <c r="D1396" s="10" t="inlineStr">
        <is>
          <t>P4102157429</t>
        </is>
      </c>
      <c r="E1396" s="11" t="inlineStr">
        <is>
          <t>Rechtliche Auflagen / Entsorgungsnachweise (Formalismus)</t>
        </is>
      </c>
      <c r="F1396" s="10" t="inlineStr">
        <is>
          <t>Genehmigung</t>
        </is>
      </c>
      <c r="G1396" s="12" t="n">
        <v>0.12</v>
      </c>
      <c r="H1396" s="13" t="n">
        <v>15</v>
      </c>
      <c r="I1396" s="13" t="n">
        <v>35</v>
      </c>
      <c r="J1396" s="13" t="n">
        <v>70</v>
      </c>
      <c r="K1396" s="14">
        <f>IF(OR(COUNT(G1396:J1396)&lt;&gt;4,G1396&lt;0,G1396&gt;1,H1396&gt;I1396,I1396&gt;J1396),"n.a.",ROUND(G1396*(H1396+4*I1396+J1396)/6+0.00000001,2))</f>
        <v/>
      </c>
      <c r="L1396" s="13" t="n">
        <v>0</v>
      </c>
      <c r="M1396" s="14">
        <f>SUMIFS(Maßnahmen!$I$7:$I$126,Maßnahmen!$D$7:$D$126,C1396,Maßnahmen!$H$7:$H$126,"&lt;&gt;verworfen")</f>
        <v/>
      </c>
      <c r="N1396" s="14">
        <f>IF(ISNUMBER(K1396),MAX(0,K1396-L1396-M1396),"n.a.")</f>
        <v/>
      </c>
      <c r="O1396" s="14" t="n">
        <v>4.5</v>
      </c>
      <c r="P1396" s="14">
        <f>IF(ISNUMBER(K1396),K1396-O1396,"n.a.")</f>
        <v/>
      </c>
    </row>
    <row r="1397" ht="32" customHeight="1">
      <c r="C1397" s="10" t="inlineStr">
        <is>
          <t>PRJ-52b1cfa9-RK-15</t>
        </is>
      </c>
      <c r="D1397" s="10" t="inlineStr">
        <is>
          <t>P4102157429</t>
        </is>
      </c>
      <c r="E1397" s="11" t="inlineStr">
        <is>
          <t>Konjunktur / Sekundärstoffpreise &amp; Gerätemiete</t>
        </is>
      </c>
      <c r="F1397" s="10" t="inlineStr">
        <is>
          <t>Markt</t>
        </is>
      </c>
      <c r="G1397" s="12" t="n">
        <v>0.12</v>
      </c>
      <c r="H1397" s="13" t="n">
        <v>8</v>
      </c>
      <c r="I1397" s="13" t="n">
        <v>20</v>
      </c>
      <c r="J1397" s="13" t="n">
        <v>50</v>
      </c>
      <c r="K1397" s="14">
        <f>IF(OR(COUNT(G1397:J1397)&lt;&gt;4,G1397&lt;0,G1397&gt;1,H1397&gt;I1397,I1397&gt;J1397),"n.a.",ROUND(G1397*(H1397+4*I1397+J1397)/6+0.00000001,2))</f>
        <v/>
      </c>
      <c r="L1397" s="13" t="n">
        <v>0</v>
      </c>
      <c r="M1397" s="14">
        <f>SUMIFS(Maßnahmen!$I$7:$I$126,Maßnahmen!$D$7:$D$126,C1397,Maßnahmen!$H$7:$H$126,"&lt;&gt;verworfen")</f>
        <v/>
      </c>
      <c r="N1397" s="14">
        <f>IF(ISNUMBER(K1397),MAX(0,K1397-L1397-M1397),"n.a.")</f>
        <v/>
      </c>
      <c r="O1397" s="14" t="n">
        <v>2.76</v>
      </c>
      <c r="P1397" s="14">
        <f>IF(ISNUMBER(K1397),K1397-O1397,"n.a.")</f>
        <v/>
      </c>
    </row>
    <row r="1398" ht="32" customHeight="1">
      <c r="C1398" s="10" t="inlineStr">
        <is>
          <t>PRJ-39e5680b-RK-01</t>
        </is>
      </c>
      <c r="D1398" s="10" t="inlineStr">
        <is>
          <t>W4102504107</t>
        </is>
      </c>
      <c r="E1398" s="11" t="inlineStr">
        <is>
          <t>Schadstofffund / Schadstoffsanierung (Asbest, PAK, PCB, PCP)</t>
        </is>
      </c>
      <c r="F1398" s="10" t="inlineStr">
        <is>
          <t>Schadstoffe</t>
        </is>
      </c>
      <c r="G1398" s="12" t="n">
        <v>0.1</v>
      </c>
      <c r="H1398" s="13" t="n">
        <v>20</v>
      </c>
      <c r="I1398" s="13" t="n">
        <v>50</v>
      </c>
      <c r="J1398" s="13" t="n">
        <v>100</v>
      </c>
      <c r="K1398" s="14">
        <f>IF(OR(COUNT(G1398:J1398)&lt;&gt;4,G1398&lt;0,G1398&gt;1,H1398&gt;I1398,I1398&gt;J1398),"n.a.",ROUND(G1398*(H1398+4*I1398+J1398)/6+0.00000001,2))</f>
        <v/>
      </c>
      <c r="L1398" s="13" t="n">
        <v>0</v>
      </c>
      <c r="M1398" s="14">
        <f>SUMIFS(Maßnahmen!$I$7:$I$126,Maßnahmen!$D$7:$D$126,C1398,Maßnahmen!$H$7:$H$126,"&lt;&gt;verworfen")</f>
        <v/>
      </c>
      <c r="N1398" s="14">
        <f>IF(ISNUMBER(K1398),MAX(0,K1398-L1398-M1398),"n.a.")</f>
        <v/>
      </c>
      <c r="O1398" s="14" t="n">
        <v>5.33</v>
      </c>
      <c r="P1398" s="14">
        <f>IF(ISNUMBER(K1398),K1398-O1398,"n.a.")</f>
        <v/>
      </c>
    </row>
    <row r="1399" ht="32" customHeight="1">
      <c r="C1399" s="10" t="inlineStr">
        <is>
          <t>PRJ-39e5680b-RK-02</t>
        </is>
      </c>
      <c r="D1399" s="10" t="inlineStr">
        <is>
          <t>W4102504107</t>
        </is>
      </c>
      <c r="E1399" s="11" t="inlineStr">
        <is>
          <t>Arbeitsschutz kontaminierte Bereiche (TRGS 524)</t>
        </is>
      </c>
      <c r="F1399" s="10" t="inlineStr">
        <is>
          <t>Schadstoffe</t>
        </is>
      </c>
      <c r="G1399" s="12" t="n">
        <v>0.47</v>
      </c>
      <c r="H1399" s="13" t="n">
        <v>20</v>
      </c>
      <c r="I1399" s="13" t="n">
        <v>50</v>
      </c>
      <c r="J1399" s="13" t="n">
        <v>100</v>
      </c>
      <c r="K1399" s="14">
        <f>IF(OR(COUNT(G1399:J1399)&lt;&gt;4,G1399&lt;0,G1399&gt;1,H1399&gt;I1399,I1399&gt;J1399),"n.a.",ROUND(G1399*(H1399+4*I1399+J1399)/6+0.00000001,2))</f>
        <v/>
      </c>
      <c r="L1399" s="13" t="n">
        <v>0</v>
      </c>
      <c r="M1399" s="14">
        <f>SUMIFS(Maßnahmen!$I$7:$I$126,Maßnahmen!$D$7:$D$126,C1399,Maßnahmen!$H$7:$H$126,"&lt;&gt;verworfen")</f>
        <v/>
      </c>
      <c r="N1399" s="14">
        <f>IF(ISNUMBER(K1399),MAX(0,K1399-L1399-M1399),"n.a.")</f>
        <v/>
      </c>
      <c r="O1399" s="14" t="n">
        <v>25.07</v>
      </c>
      <c r="P1399" s="14">
        <f>IF(ISNUMBER(K1399),K1399-O1399,"n.a.")</f>
        <v/>
      </c>
    </row>
    <row r="1400" ht="32" customHeight="1">
      <c r="C1400" s="10" t="inlineStr">
        <is>
          <t>PRJ-39e5680b-RK-03</t>
        </is>
      </c>
      <c r="D1400" s="10" t="inlineStr">
        <is>
          <t>W4102504107</t>
        </is>
      </c>
      <c r="E1400" s="11" t="inlineStr">
        <is>
          <t>Entsorgungs-Mehrkosten / Entsorgungswege</t>
        </is>
      </c>
      <c r="F1400" s="10" t="inlineStr">
        <is>
          <t>Entsorgung</t>
        </is>
      </c>
      <c r="G1400" s="12" t="n">
        <v>0.15</v>
      </c>
      <c r="H1400" s="13" t="n">
        <v>20</v>
      </c>
      <c r="I1400" s="13" t="n">
        <v>50</v>
      </c>
      <c r="J1400" s="13" t="n">
        <v>100</v>
      </c>
      <c r="K1400" s="14">
        <f>IF(OR(COUNT(G1400:J1400)&lt;&gt;4,G1400&lt;0,G1400&gt;1,H1400&gt;I1400,I1400&gt;J1400),"n.a.",ROUND(G1400*(H1400+4*I1400+J1400)/6+0.00000001,2))</f>
        <v/>
      </c>
      <c r="L1400" s="13" t="n">
        <v>0</v>
      </c>
      <c r="M1400" s="14">
        <f>SUMIFS(Maßnahmen!$I$7:$I$126,Maßnahmen!$D$7:$D$126,C1400,Maßnahmen!$H$7:$H$126,"&lt;&gt;verworfen")</f>
        <v/>
      </c>
      <c r="N1400" s="14">
        <f>IF(ISNUMBER(K1400),MAX(0,K1400-L1400-M1400),"n.a.")</f>
        <v/>
      </c>
      <c r="O1400" s="14" t="n">
        <v>8</v>
      </c>
      <c r="P1400" s="14">
        <f>IF(ISNUMBER(K1400),K1400-O1400,"n.a.")</f>
        <v/>
      </c>
    </row>
    <row r="1401" ht="32" customHeight="1">
      <c r="C1401" s="10" t="inlineStr">
        <is>
          <t>PRJ-39e5680b-RK-04</t>
        </is>
      </c>
      <c r="D1401" s="10" t="inlineStr">
        <is>
          <t>W4102504107</t>
        </is>
      </c>
      <c r="E1401" s="11" t="inlineStr">
        <is>
          <t>Baustofftrennung / Aufbereitung nicht wie geplant</t>
        </is>
      </c>
      <c r="F1401" s="10" t="inlineStr">
        <is>
          <t>Entsorgung</t>
        </is>
      </c>
      <c r="G1401" s="12" t="n">
        <v>0.08</v>
      </c>
      <c r="H1401" s="13" t="n">
        <v>5</v>
      </c>
      <c r="I1401" s="13" t="n">
        <v>10</v>
      </c>
      <c r="J1401" s="13" t="n">
        <v>20</v>
      </c>
      <c r="K1401" s="14">
        <f>IF(OR(COUNT(G1401:J1401)&lt;&gt;4,G1401&lt;0,G1401&gt;1,H1401&gt;I1401,I1401&gt;J1401),"n.a.",ROUND(G1401*(H1401+4*I1401+J1401)/6+0.00000001,2))</f>
        <v/>
      </c>
      <c r="L1401" s="13" t="n">
        <v>0</v>
      </c>
      <c r="M1401" s="14">
        <f>SUMIFS(Maßnahmen!$I$7:$I$126,Maßnahmen!$D$7:$D$126,C1401,Maßnahmen!$H$7:$H$126,"&lt;&gt;verworfen")</f>
        <v/>
      </c>
      <c r="N1401" s="14">
        <f>IF(ISNUMBER(K1401),MAX(0,K1401-L1401-M1401),"n.a.")</f>
        <v/>
      </c>
      <c r="O1401" s="14" t="n">
        <v>0.87</v>
      </c>
      <c r="P1401" s="14">
        <f>IF(ISNUMBER(K1401),K1401-O1401,"n.a.")</f>
        <v/>
      </c>
    </row>
    <row r="1402" ht="32" customHeight="1">
      <c r="C1402" s="10" t="inlineStr">
        <is>
          <t>PRJ-39e5680b-RK-05</t>
        </is>
      </c>
      <c r="D1402" s="10" t="inlineStr">
        <is>
          <t>W4102504107</t>
        </is>
      </c>
      <c r="E1402" s="11" t="inlineStr">
        <is>
          <t>Unbekannte Bauwerkskonstruktion / fehlende Pläne</t>
        </is>
      </c>
      <c r="F1402" s="10" t="inlineStr">
        <is>
          <t>Statik</t>
        </is>
      </c>
      <c r="G1402" s="12" t="n">
        <v>0.12</v>
      </c>
      <c r="H1402" s="13" t="n">
        <v>40</v>
      </c>
      <c r="I1402" s="13" t="n">
        <v>80</v>
      </c>
      <c r="J1402" s="13" t="n">
        <v>150</v>
      </c>
      <c r="K1402" s="14">
        <f>IF(OR(COUNT(G1402:J1402)&lt;&gt;4,G1402&lt;0,G1402&gt;1,H1402&gt;I1402,I1402&gt;J1402),"n.a.",ROUND(G1402*(H1402+4*I1402+J1402)/6+0.00000001,2))</f>
        <v/>
      </c>
      <c r="L1402" s="13" t="n">
        <v>0</v>
      </c>
      <c r="M1402" s="14">
        <f>SUMIFS(Maßnahmen!$I$7:$I$126,Maßnahmen!$D$7:$D$126,C1402,Maßnahmen!$H$7:$H$126,"&lt;&gt;verworfen")</f>
        <v/>
      </c>
      <c r="N1402" s="14">
        <f>IF(ISNUMBER(K1402),MAX(0,K1402-L1402-M1402),"n.a.")</f>
        <v/>
      </c>
      <c r="O1402" s="14" t="n">
        <v>10.2</v>
      </c>
      <c r="P1402" s="14">
        <f>IF(ISNUMBER(K1402),K1402-O1402,"n.a.")</f>
        <v/>
      </c>
    </row>
    <row r="1403" ht="32" customHeight="1">
      <c r="C1403" s="10" t="inlineStr">
        <is>
          <t>PRJ-39e5680b-RK-06</t>
        </is>
      </c>
      <c r="D1403" s="10" t="inlineStr">
        <is>
          <t>W4102504107</t>
        </is>
      </c>
      <c r="E1403" s="11" t="inlineStr">
        <is>
          <t>Statik / Einsturzsicherung während Abbruch</t>
        </is>
      </c>
      <c r="F1403" s="10" t="inlineStr">
        <is>
          <t>Statik</t>
        </is>
      </c>
      <c r="G1403" s="12" t="n">
        <v>0.12</v>
      </c>
      <c r="H1403" s="13" t="n">
        <v>30</v>
      </c>
      <c r="I1403" s="13" t="n">
        <v>70</v>
      </c>
      <c r="J1403" s="13" t="n">
        <v>140</v>
      </c>
      <c r="K1403" s="14">
        <f>IF(OR(COUNT(G1403:J1403)&lt;&gt;4,G1403&lt;0,G1403&gt;1,H1403&gt;I1403,I1403&gt;J1403),"n.a.",ROUND(G1403*(H1403+4*I1403+J1403)/6+0.00000001,2))</f>
        <v/>
      </c>
      <c r="L1403" s="13" t="n">
        <v>0</v>
      </c>
      <c r="M1403" s="14">
        <f>SUMIFS(Maßnahmen!$I$7:$I$126,Maßnahmen!$D$7:$D$126,C1403,Maßnahmen!$H$7:$H$126,"&lt;&gt;verworfen")</f>
        <v/>
      </c>
      <c r="N1403" s="14">
        <f>IF(ISNUMBER(K1403),MAX(0,K1403-L1403-M1403),"n.a.")</f>
        <v/>
      </c>
      <c r="O1403" s="14" t="n">
        <v>9</v>
      </c>
      <c r="P1403" s="14">
        <f>IF(ISNUMBER(K1403),K1403-O1403,"n.a.")</f>
        <v/>
      </c>
    </row>
    <row r="1404" ht="32" customHeight="1">
      <c r="C1404" s="10" t="inlineStr">
        <is>
          <t>PRJ-39e5680b-RK-07</t>
        </is>
      </c>
      <c r="D1404" s="10" t="inlineStr">
        <is>
          <t>W4102504107</t>
        </is>
      </c>
      <c r="E1404" s="11" t="inlineStr">
        <is>
          <t>Unterirdische Tragkonstruktion / Fundamente</t>
        </is>
      </c>
      <c r="F1404" s="10" t="inlineStr">
        <is>
          <t>Statik</t>
        </is>
      </c>
      <c r="G1404" s="12" t="n">
        <v>0.5</v>
      </c>
      <c r="H1404" s="13" t="n">
        <v>5</v>
      </c>
      <c r="I1404" s="13" t="n">
        <v>20</v>
      </c>
      <c r="J1404" s="13" t="n">
        <v>50</v>
      </c>
      <c r="K1404" s="14">
        <f>IF(OR(COUNT(G1404:J1404)&lt;&gt;4,G1404&lt;0,G1404&gt;1,H1404&gt;I1404,I1404&gt;J1404),"n.a.",ROUND(G1404*(H1404+4*I1404+J1404)/6+0.00000001,2))</f>
        <v/>
      </c>
      <c r="L1404" s="13" t="n">
        <v>0</v>
      </c>
      <c r="M1404" s="14">
        <f>SUMIFS(Maßnahmen!$I$7:$I$126,Maßnahmen!$D$7:$D$126,C1404,Maßnahmen!$H$7:$H$126,"&lt;&gt;verworfen")</f>
        <v/>
      </c>
      <c r="N1404" s="14">
        <f>IF(ISNUMBER(K1404),MAX(0,K1404-L1404-M1404),"n.a.")</f>
        <v/>
      </c>
      <c r="O1404" s="14" t="n">
        <v>11.25</v>
      </c>
      <c r="P1404" s="14">
        <f>IF(ISNUMBER(K1404),K1404-O1404,"n.a.")</f>
        <v/>
      </c>
    </row>
    <row r="1405" ht="32" customHeight="1">
      <c r="C1405" s="10" t="inlineStr">
        <is>
          <t>PRJ-39e5680b-RK-08</t>
        </is>
      </c>
      <c r="D1405" s="10" t="inlineStr">
        <is>
          <t>W4102504107</t>
        </is>
      </c>
      <c r="E1405" s="11" t="inlineStr">
        <is>
          <t>Gebäudehöhe &gt;22 m / Longfront-Bagger (+130–150 %)</t>
        </is>
      </c>
      <c r="F1405" s="10" t="inlineStr">
        <is>
          <t>Termin</t>
        </is>
      </c>
      <c r="G1405" s="12" t="n">
        <v>0.6</v>
      </c>
      <c r="H1405" s="13" t="n">
        <v>90</v>
      </c>
      <c r="I1405" s="13" t="n">
        <v>180</v>
      </c>
      <c r="J1405" s="13" t="n">
        <v>340</v>
      </c>
      <c r="K1405" s="14">
        <f>IF(OR(COUNT(G1405:J1405)&lt;&gt;4,G1405&lt;0,G1405&gt;1,H1405&gt;I1405,I1405&gt;J1405),"n.a.",ROUND(G1405*(H1405+4*I1405+J1405)/6+0.00000001,2))</f>
        <v/>
      </c>
      <c r="L1405" s="13" t="n">
        <v>0</v>
      </c>
      <c r="M1405" s="14">
        <f>SUMIFS(Maßnahmen!$I$7:$I$126,Maßnahmen!$D$7:$D$126,C1405,Maßnahmen!$H$7:$H$126,"&lt;&gt;verworfen")</f>
        <v/>
      </c>
      <c r="N1405" s="14">
        <f>IF(ISNUMBER(K1405),MAX(0,K1405-L1405-M1405),"n.a.")</f>
        <v/>
      </c>
      <c r="O1405" s="14" t="n">
        <v>115</v>
      </c>
      <c r="P1405" s="14">
        <f>IF(ISNUMBER(K1405),K1405-O1405,"n.a.")</f>
        <v/>
      </c>
    </row>
    <row r="1406" ht="32" customHeight="1">
      <c r="C1406" s="10" t="inlineStr">
        <is>
          <t>PRJ-39e5680b-RK-09</t>
        </is>
      </c>
      <c r="D1406" s="10" t="inlineStr">
        <is>
          <t>W4102504107</t>
        </is>
      </c>
      <c r="E1406" s="11" t="inlineStr">
        <is>
          <t>Beennte Lage / nur Handabbruch möglich</t>
        </is>
      </c>
      <c r="F1406" s="10" t="inlineStr">
        <is>
          <t>Termin</t>
        </is>
      </c>
      <c r="G1406" s="12" t="n">
        <v>0.15</v>
      </c>
      <c r="H1406" s="13" t="n">
        <v>8</v>
      </c>
      <c r="I1406" s="13" t="n">
        <v>20</v>
      </c>
      <c r="J1406" s="13" t="n">
        <v>50</v>
      </c>
      <c r="K1406" s="14">
        <f>IF(OR(COUNT(G1406:J1406)&lt;&gt;4,G1406&lt;0,G1406&gt;1,H1406&gt;I1406,I1406&gt;J1406),"n.a.",ROUND(G1406*(H1406+4*I1406+J1406)/6+0.00000001,2))</f>
        <v/>
      </c>
      <c r="L1406" s="13" t="n">
        <v>0</v>
      </c>
      <c r="M1406" s="14">
        <f>SUMIFS(Maßnahmen!$I$7:$I$126,Maßnahmen!$D$7:$D$126,C1406,Maßnahmen!$H$7:$H$126,"&lt;&gt;verworfen")</f>
        <v/>
      </c>
      <c r="N1406" s="14">
        <f>IF(ISNUMBER(K1406),MAX(0,K1406-L1406-M1406),"n.a.")</f>
        <v/>
      </c>
      <c r="O1406" s="14" t="n">
        <v>3.45</v>
      </c>
      <c r="P1406" s="14">
        <f>IF(ISNUMBER(K1406),K1406-O1406,"n.a.")</f>
        <v/>
      </c>
    </row>
    <row r="1407" ht="32" customHeight="1">
      <c r="C1407" s="10" t="inlineStr">
        <is>
          <t>PRJ-39e5680b-RK-10</t>
        </is>
      </c>
      <c r="D1407" s="10" t="inlineStr">
        <is>
          <t>W4102504107</t>
        </is>
      </c>
      <c r="E1407" s="11" t="inlineStr">
        <is>
          <t>Terminvorgabe Auftraggeber / Geräteauslastung</t>
        </is>
      </c>
      <c r="F1407" s="10" t="inlineStr">
        <is>
          <t>Termin</t>
        </is>
      </c>
      <c r="G1407" s="12" t="n">
        <v>0.1</v>
      </c>
      <c r="H1407" s="13" t="n">
        <v>8</v>
      </c>
      <c r="I1407" s="13" t="n">
        <v>20</v>
      </c>
      <c r="J1407" s="13" t="n">
        <v>50</v>
      </c>
      <c r="K1407" s="14">
        <f>IF(OR(COUNT(G1407:J1407)&lt;&gt;4,G1407&lt;0,G1407&gt;1,H1407&gt;I1407,I1407&gt;J1407),"n.a.",ROUND(G1407*(H1407+4*I1407+J1407)/6+0.00000001,2))</f>
        <v/>
      </c>
      <c r="L1407" s="13" t="n">
        <v>0</v>
      </c>
      <c r="M1407" s="14">
        <f>SUMIFS(Maßnahmen!$I$7:$I$126,Maßnahmen!$D$7:$D$126,C1407,Maßnahmen!$H$7:$H$126,"&lt;&gt;verworfen")</f>
        <v/>
      </c>
      <c r="N1407" s="14">
        <f>IF(ISNUMBER(K1407),MAX(0,K1407-L1407-M1407),"n.a.")</f>
        <v/>
      </c>
      <c r="O1407" s="14" t="n">
        <v>2.3</v>
      </c>
      <c r="P1407" s="14">
        <f>IF(ISNUMBER(K1407),K1407-O1407,"n.a.")</f>
        <v/>
      </c>
    </row>
    <row r="1408" ht="32" customHeight="1">
      <c r="C1408" s="10" t="inlineStr">
        <is>
          <t>PRJ-39e5680b-RK-11</t>
        </is>
      </c>
      <c r="D1408" s="10" t="inlineStr">
        <is>
          <t>W4102504107</t>
        </is>
      </c>
      <c r="E1408" s="11" t="inlineStr">
        <is>
          <t>Witterung / Ablaufstörung</t>
        </is>
      </c>
      <c r="F1408" s="10" t="inlineStr">
        <is>
          <t>Termin</t>
        </is>
      </c>
      <c r="G1408" s="12" t="n">
        <v>0.25</v>
      </c>
      <c r="H1408" s="13" t="n">
        <v>10</v>
      </c>
      <c r="I1408" s="13" t="n">
        <v>30</v>
      </c>
      <c r="J1408" s="13" t="n">
        <v>60</v>
      </c>
      <c r="K1408" s="14">
        <f>IF(OR(COUNT(G1408:J1408)&lt;&gt;4,G1408&lt;0,G1408&gt;1,H1408&gt;I1408,I1408&gt;J1408),"n.a.",ROUND(G1408*(H1408+4*I1408+J1408)/6+0.00000001,2))</f>
        <v/>
      </c>
      <c r="L1408" s="13" t="n">
        <v>0</v>
      </c>
      <c r="M1408" s="14">
        <f>SUMIFS(Maßnahmen!$I$7:$I$126,Maßnahmen!$D$7:$D$126,C1408,Maßnahmen!$H$7:$H$126,"&lt;&gt;verworfen")</f>
        <v/>
      </c>
      <c r="N1408" s="14">
        <f>IF(ISNUMBER(K1408),MAX(0,K1408-L1408-M1408),"n.a.")</f>
        <v/>
      </c>
      <c r="O1408" s="14" t="n">
        <v>7.92</v>
      </c>
      <c r="P1408" s="14">
        <f>IF(ISNUMBER(K1408),K1408-O1408,"n.a.")</f>
        <v/>
      </c>
    </row>
    <row r="1409" ht="32" customHeight="1">
      <c r="C1409" s="10" t="inlineStr">
        <is>
          <t>PRJ-39e5680b-RK-12</t>
        </is>
      </c>
      <c r="D1409" s="10" t="inlineStr">
        <is>
          <t>W4102504107</t>
        </is>
      </c>
      <c r="E1409" s="11" t="inlineStr">
        <is>
          <t>Staubemissionen (höchster Aufwand laut Umfrage)</t>
        </is>
      </c>
      <c r="F1409" s="10" t="inlineStr">
        <is>
          <t>Emissionen</t>
        </is>
      </c>
      <c r="G1409" s="12" t="n">
        <v>0.1</v>
      </c>
      <c r="H1409" s="13" t="n">
        <v>30</v>
      </c>
      <c r="I1409" s="13" t="n">
        <v>60</v>
      </c>
      <c r="J1409" s="13" t="n">
        <v>120</v>
      </c>
      <c r="K1409" s="14">
        <f>IF(OR(COUNT(G1409:J1409)&lt;&gt;4,G1409&lt;0,G1409&gt;1,H1409&gt;I1409,I1409&gt;J1409),"n.a.",ROUND(G1409*(H1409+4*I1409+J1409)/6+0.00000001,2))</f>
        <v/>
      </c>
      <c r="L1409" s="13" t="n">
        <v>0</v>
      </c>
      <c r="M1409" s="14">
        <f>SUMIFS(Maßnahmen!$I$7:$I$126,Maßnahmen!$D$7:$D$126,C1409,Maßnahmen!$H$7:$H$126,"&lt;&gt;verworfen")</f>
        <v/>
      </c>
      <c r="N1409" s="14">
        <f>IF(ISNUMBER(K1409),MAX(0,K1409-L1409-M1409),"n.a.")</f>
        <v/>
      </c>
      <c r="O1409" s="14" t="n">
        <v>6.5</v>
      </c>
      <c r="P1409" s="14">
        <f>IF(ISNUMBER(K1409),K1409-O1409,"n.a.")</f>
        <v/>
      </c>
    </row>
    <row r="1410" ht="32" customHeight="1">
      <c r="C1410" s="10" t="inlineStr">
        <is>
          <t>PRJ-39e5680b-RK-13</t>
        </is>
      </c>
      <c r="D1410" s="10" t="inlineStr">
        <is>
          <t>W4102504107</t>
        </is>
      </c>
      <c r="E1410" s="11" t="inlineStr">
        <is>
          <t>Lärm- und Erschütterungsauflagen</t>
        </is>
      </c>
      <c r="F1410" s="10" t="inlineStr">
        <is>
          <t>Emissionen</t>
        </is>
      </c>
      <c r="G1410" s="12" t="n">
        <v>0.2</v>
      </c>
      <c r="H1410" s="13" t="n">
        <v>20</v>
      </c>
      <c r="I1410" s="13" t="n">
        <v>50</v>
      </c>
      <c r="J1410" s="13" t="n">
        <v>100</v>
      </c>
      <c r="K1410" s="14">
        <f>IF(OR(COUNT(G1410:J1410)&lt;&gt;4,G1410&lt;0,G1410&gt;1,H1410&gt;I1410,I1410&gt;J1410),"n.a.",ROUND(G1410*(H1410+4*I1410+J1410)/6+0.00000001,2))</f>
        <v/>
      </c>
      <c r="L1410" s="13" t="n">
        <v>0</v>
      </c>
      <c r="M1410" s="14">
        <f>SUMIFS(Maßnahmen!$I$7:$I$126,Maßnahmen!$D$7:$D$126,C1410,Maßnahmen!$H$7:$H$126,"&lt;&gt;verworfen")</f>
        <v/>
      </c>
      <c r="N1410" s="14">
        <f>IF(ISNUMBER(K1410),MAX(0,K1410-L1410-M1410),"n.a.")</f>
        <v/>
      </c>
      <c r="O1410" s="14" t="n">
        <v>10.67</v>
      </c>
      <c r="P1410" s="14">
        <f>IF(ISNUMBER(K1410),K1410-O1410,"n.a.")</f>
        <v/>
      </c>
    </row>
    <row r="1411" ht="32" customHeight="1">
      <c r="C1411" s="10" t="inlineStr">
        <is>
          <t>PRJ-39e5680b-RK-14</t>
        </is>
      </c>
      <c r="D1411" s="10" t="inlineStr">
        <is>
          <t>W4102504107</t>
        </is>
      </c>
      <c r="E1411" s="11" t="inlineStr">
        <is>
          <t>Rechtliche Auflagen / Entsorgungsnachweise (Formalismus)</t>
        </is>
      </c>
      <c r="F1411" s="10" t="inlineStr">
        <is>
          <t>Genehmigung</t>
        </is>
      </c>
      <c r="G1411" s="12" t="n">
        <v>0.4</v>
      </c>
      <c r="H1411" s="13" t="n">
        <v>95</v>
      </c>
      <c r="I1411" s="13" t="n">
        <v>185</v>
      </c>
      <c r="J1411" s="13" t="n">
        <v>350</v>
      </c>
      <c r="K1411" s="14">
        <f>IF(OR(COUNT(G1411:J1411)&lt;&gt;4,G1411&lt;0,G1411&gt;1,H1411&gt;I1411,I1411&gt;J1411),"n.a.",ROUND(G1411*(H1411+4*I1411+J1411)/6+0.00000001,2))</f>
        <v/>
      </c>
      <c r="L1411" s="13" t="n">
        <v>0</v>
      </c>
      <c r="M1411" s="14">
        <f>SUMIFS(Maßnahmen!$I$7:$I$126,Maßnahmen!$D$7:$D$126,C1411,Maßnahmen!$H$7:$H$126,"&lt;&gt;verworfen")</f>
        <v/>
      </c>
      <c r="N1411" s="14">
        <f>IF(ISNUMBER(K1411),MAX(0,K1411-L1411-M1411),"n.a.")</f>
        <v/>
      </c>
      <c r="O1411" s="14" t="n">
        <v>79</v>
      </c>
      <c r="P1411" s="14">
        <f>IF(ISNUMBER(K1411),K1411-O1411,"n.a.")</f>
        <v/>
      </c>
    </row>
    <row r="1412" ht="32" customHeight="1">
      <c r="C1412" s="10" t="inlineStr">
        <is>
          <t>PRJ-39e5680b-RK-15</t>
        </is>
      </c>
      <c r="D1412" s="10" t="inlineStr">
        <is>
          <t>W4102504107</t>
        </is>
      </c>
      <c r="E1412" s="11" t="inlineStr">
        <is>
          <t>Konjunktur / Sekundärstoffpreise &amp; Gerätemiete</t>
        </is>
      </c>
      <c r="F1412" s="10" t="inlineStr">
        <is>
          <t>Markt</t>
        </is>
      </c>
      <c r="G1412" s="12" t="n">
        <v>0.12</v>
      </c>
      <c r="H1412" s="13" t="n">
        <v>8</v>
      </c>
      <c r="I1412" s="13" t="n">
        <v>20</v>
      </c>
      <c r="J1412" s="13" t="n">
        <v>50</v>
      </c>
      <c r="K1412" s="14">
        <f>IF(OR(COUNT(G1412:J1412)&lt;&gt;4,G1412&lt;0,G1412&gt;1,H1412&gt;I1412,I1412&gt;J1412),"n.a.",ROUND(G1412*(H1412+4*I1412+J1412)/6+0.00000001,2))</f>
        <v/>
      </c>
      <c r="L1412" s="13" t="n">
        <v>0</v>
      </c>
      <c r="M1412" s="14">
        <f>SUMIFS(Maßnahmen!$I$7:$I$126,Maßnahmen!$D$7:$D$126,C1412,Maßnahmen!$H$7:$H$126,"&lt;&gt;verworfen")</f>
        <v/>
      </c>
      <c r="N1412" s="14">
        <f>IF(ISNUMBER(K1412),MAX(0,K1412-L1412-M1412),"n.a.")</f>
        <v/>
      </c>
      <c r="O1412" s="14" t="n">
        <v>2.76</v>
      </c>
      <c r="P1412" s="14">
        <f>IF(ISNUMBER(K1412),K1412-O1412,"n.a.")</f>
        <v/>
      </c>
    </row>
    <row r="1413" ht="32" customHeight="1">
      <c r="C1413" s="10" t="inlineStr">
        <is>
          <t>PRJ-4a6f9c9f-RK-07</t>
        </is>
      </c>
      <c r="D1413" s="10" t="inlineStr">
        <is>
          <t>P4102608275</t>
        </is>
      </c>
      <c r="E1413" s="11" t="inlineStr">
        <is>
          <t>Unterirdische Tragkonstruktion / Fundamente</t>
        </is>
      </c>
      <c r="F1413" s="10" t="inlineStr">
        <is>
          <t>Statik</t>
        </is>
      </c>
      <c r="G1413" s="12" t="n">
        <v>0.4</v>
      </c>
      <c r="H1413" s="13" t="n">
        <v>5</v>
      </c>
      <c r="I1413" s="13" t="n">
        <v>20</v>
      </c>
      <c r="J1413" s="13" t="n">
        <v>50</v>
      </c>
      <c r="K1413" s="14">
        <f>IF(OR(COUNT(G1413:J1413)&lt;&gt;4,G1413&lt;0,G1413&gt;1,H1413&gt;I1413,I1413&gt;J1413),"n.a.",ROUND(G1413*(H1413+4*I1413+J1413)/6+0.00000001,2))</f>
        <v/>
      </c>
      <c r="L1413" s="13" t="n">
        <v>0</v>
      </c>
      <c r="M1413" s="14">
        <f>SUMIFS(Maßnahmen!$I$7:$I$126,Maßnahmen!$D$7:$D$126,C1413,Maßnahmen!$H$7:$H$126,"&lt;&gt;verworfen")</f>
        <v/>
      </c>
      <c r="N1413" s="14">
        <f>IF(ISNUMBER(K1413),MAX(0,K1413-L1413-M1413),"n.a.")</f>
        <v/>
      </c>
      <c r="O1413" s="14" t="n">
        <v>9</v>
      </c>
      <c r="P1413" s="14">
        <f>IF(ISNUMBER(K1413),K1413-O1413,"n.a.")</f>
        <v/>
      </c>
    </row>
    <row r="1414" ht="32" customHeight="1">
      <c r="C1414" s="10" t="inlineStr">
        <is>
          <t>PRJ-4a6f9c9f-RK-08</t>
        </is>
      </c>
      <c r="D1414" s="10" t="inlineStr">
        <is>
          <t>P4102608275</t>
        </is>
      </c>
      <c r="E1414" s="11" t="inlineStr">
        <is>
          <t>Gebäudehöhe &gt;22 m / Longfront-Bagger (+130–150 %)</t>
        </is>
      </c>
      <c r="F1414" s="10" t="inlineStr">
        <is>
          <t>Termin</t>
        </is>
      </c>
      <c r="G1414" s="12" t="n">
        <v>0.6</v>
      </c>
      <c r="H1414" s="13" t="n">
        <v>90</v>
      </c>
      <c r="I1414" s="13" t="n">
        <v>180</v>
      </c>
      <c r="J1414" s="13" t="n">
        <v>340</v>
      </c>
      <c r="K1414" s="14">
        <f>IF(OR(COUNT(G1414:J1414)&lt;&gt;4,G1414&lt;0,G1414&gt;1,H1414&gt;I1414,I1414&gt;J1414),"n.a.",ROUND(G1414*(H1414+4*I1414+J1414)/6+0.00000001,2))</f>
        <v/>
      </c>
      <c r="L1414" s="13" t="n">
        <v>0</v>
      </c>
      <c r="M1414" s="14">
        <f>SUMIFS(Maßnahmen!$I$7:$I$126,Maßnahmen!$D$7:$D$126,C1414,Maßnahmen!$H$7:$H$126,"&lt;&gt;verworfen")</f>
        <v/>
      </c>
      <c r="N1414" s="14">
        <f>IF(ISNUMBER(K1414),MAX(0,K1414-L1414-M1414),"n.a.")</f>
        <v/>
      </c>
      <c r="O1414" s="14" t="n">
        <v>115</v>
      </c>
      <c r="P1414" s="14">
        <f>IF(ISNUMBER(K1414),K1414-O1414,"n.a.")</f>
        <v/>
      </c>
    </row>
    <row r="1415" ht="32" customHeight="1">
      <c r="C1415" s="10" t="inlineStr">
        <is>
          <t>PRJ-4a6f9c9f-RK-09</t>
        </is>
      </c>
      <c r="D1415" s="10" t="inlineStr">
        <is>
          <t>P4102608275</t>
        </is>
      </c>
      <c r="E1415" s="11" t="inlineStr">
        <is>
          <t>Beennte Lage / nur Handabbruch möglich</t>
        </is>
      </c>
      <c r="F1415" s="10" t="inlineStr">
        <is>
          <t>Termin</t>
        </is>
      </c>
      <c r="G1415" s="12" t="n">
        <v>0.15</v>
      </c>
      <c r="H1415" s="13" t="n">
        <v>8</v>
      </c>
      <c r="I1415" s="13" t="n">
        <v>20</v>
      </c>
      <c r="J1415" s="13" t="n">
        <v>50</v>
      </c>
      <c r="K1415" s="14">
        <f>IF(OR(COUNT(G1415:J1415)&lt;&gt;4,G1415&lt;0,G1415&gt;1,H1415&gt;I1415,I1415&gt;J1415),"n.a.",ROUND(G1415*(H1415+4*I1415+J1415)/6+0.00000001,2))</f>
        <v/>
      </c>
      <c r="L1415" s="13" t="n">
        <v>0</v>
      </c>
      <c r="M1415" s="14">
        <f>SUMIFS(Maßnahmen!$I$7:$I$126,Maßnahmen!$D$7:$D$126,C1415,Maßnahmen!$H$7:$H$126,"&lt;&gt;verworfen")</f>
        <v/>
      </c>
      <c r="N1415" s="14">
        <f>IF(ISNUMBER(K1415),MAX(0,K1415-L1415-M1415),"n.a.")</f>
        <v/>
      </c>
      <c r="O1415" s="14" t="n">
        <v>3.45</v>
      </c>
      <c r="P1415" s="14">
        <f>IF(ISNUMBER(K1415),K1415-O1415,"n.a.")</f>
        <v/>
      </c>
    </row>
    <row r="1416" ht="32" customHeight="1">
      <c r="C1416" s="10" t="inlineStr">
        <is>
          <t>PRJ-4a6f9c9f-RK-10</t>
        </is>
      </c>
      <c r="D1416" s="10" t="inlineStr">
        <is>
          <t>P4102608275</t>
        </is>
      </c>
      <c r="E1416" s="11" t="inlineStr">
        <is>
          <t>Terminvorgabe Auftraggeber / Geräteauslastung</t>
        </is>
      </c>
      <c r="F1416" s="10" t="inlineStr">
        <is>
          <t>Termin</t>
        </is>
      </c>
      <c r="G1416" s="12" t="n">
        <v>0.08</v>
      </c>
      <c r="H1416" s="13" t="n">
        <v>5</v>
      </c>
      <c r="I1416" s="13" t="n">
        <v>10</v>
      </c>
      <c r="J1416" s="13" t="n">
        <v>20</v>
      </c>
      <c r="K1416" s="14">
        <f>IF(OR(COUNT(G1416:J1416)&lt;&gt;4,G1416&lt;0,G1416&gt;1,H1416&gt;I1416,I1416&gt;J1416),"n.a.",ROUND(G1416*(H1416+4*I1416+J1416)/6+0.00000001,2))</f>
        <v/>
      </c>
      <c r="L1416" s="13" t="n">
        <v>0</v>
      </c>
      <c r="M1416" s="14">
        <f>SUMIFS(Maßnahmen!$I$7:$I$126,Maßnahmen!$D$7:$D$126,C1416,Maßnahmen!$H$7:$H$126,"&lt;&gt;verworfen")</f>
        <v/>
      </c>
      <c r="N1416" s="14">
        <f>IF(ISNUMBER(K1416),MAX(0,K1416-L1416-M1416),"n.a.")</f>
        <v/>
      </c>
      <c r="O1416" s="14" t="n">
        <v>0.87</v>
      </c>
      <c r="P1416" s="14">
        <f>IF(ISNUMBER(K1416),K1416-O1416,"n.a.")</f>
        <v/>
      </c>
    </row>
    <row r="1417" ht="32" customHeight="1">
      <c r="C1417" s="10" t="inlineStr">
        <is>
          <t>PRJ-3830840d-RK-01</t>
        </is>
      </c>
      <c r="D1417" s="10" t="inlineStr">
        <is>
          <t>W4102604414</t>
        </is>
      </c>
      <c r="E1417" s="11" t="inlineStr">
        <is>
          <t>Schadstofffund / Schadstoffsanierung (Asbest, PAK, PCB, PCP)</t>
        </is>
      </c>
      <c r="F1417" s="10" t="inlineStr">
        <is>
          <t>Schadstoffe</t>
        </is>
      </c>
      <c r="G1417" s="12" t="n">
        <v>0.1</v>
      </c>
      <c r="H1417" s="13" t="n">
        <v>174</v>
      </c>
      <c r="I1417" s="13" t="n">
        <v>436</v>
      </c>
      <c r="J1417" s="13" t="n">
        <v>871</v>
      </c>
      <c r="K1417" s="14">
        <f>IF(OR(COUNT(G1417:J1417)&lt;&gt;4,G1417&lt;0,G1417&gt;1,H1417&gt;I1417,I1417&gt;J1417),"n.a.",ROUND(G1417*(H1417+4*I1417+J1417)/6+0.00000001,2))</f>
        <v/>
      </c>
      <c r="L1417" s="13" t="n">
        <v>0</v>
      </c>
      <c r="M1417" s="14">
        <f>SUMIFS(Maßnahmen!$I$7:$I$126,Maßnahmen!$D$7:$D$126,C1417,Maßnahmen!$H$7:$H$126,"&lt;&gt;verworfen")</f>
        <v/>
      </c>
      <c r="N1417" s="14">
        <f>IF(ISNUMBER(K1417),MAX(0,K1417-L1417-M1417),"n.a.")</f>
        <v/>
      </c>
      <c r="O1417" s="14" t="n">
        <v>46.48</v>
      </c>
      <c r="P1417" s="14">
        <f>IF(ISNUMBER(K1417),K1417-O1417,"n.a.")</f>
        <v/>
      </c>
    </row>
    <row r="1418" ht="32" customHeight="1">
      <c r="C1418" s="10" t="inlineStr">
        <is>
          <t>PRJ-3830840d-RK-02</t>
        </is>
      </c>
      <c r="D1418" s="10" t="inlineStr">
        <is>
          <t>W4102604414</t>
        </is>
      </c>
      <c r="E1418" s="11" t="inlineStr">
        <is>
          <t>Arbeitsschutz kontaminierte Bereiche (TRGS 524)</t>
        </is>
      </c>
      <c r="F1418" s="10" t="inlineStr">
        <is>
          <t>Schadstoffe</t>
        </is>
      </c>
      <c r="G1418" s="12" t="n">
        <v>0.47</v>
      </c>
      <c r="H1418" s="13" t="n">
        <v>174</v>
      </c>
      <c r="I1418" s="13" t="n">
        <v>436</v>
      </c>
      <c r="J1418" s="13" t="n">
        <v>871</v>
      </c>
      <c r="K1418" s="14">
        <f>IF(OR(COUNT(G1418:J1418)&lt;&gt;4,G1418&lt;0,G1418&gt;1,H1418&gt;I1418,I1418&gt;J1418),"n.a.",ROUND(G1418*(H1418+4*I1418+J1418)/6+0.00000001,2))</f>
        <v/>
      </c>
      <c r="L1418" s="13" t="n">
        <v>0</v>
      </c>
      <c r="M1418" s="14">
        <f>SUMIFS(Maßnahmen!$I$7:$I$126,Maßnahmen!$D$7:$D$126,C1418,Maßnahmen!$H$7:$H$126,"&lt;&gt;verworfen")</f>
        <v/>
      </c>
      <c r="N1418" s="14">
        <f>IF(ISNUMBER(K1418),MAX(0,K1418-L1418-M1418),"n.a.")</f>
        <v/>
      </c>
      <c r="O1418" s="14" t="n">
        <v>218.47</v>
      </c>
      <c r="P1418" s="14">
        <f>IF(ISNUMBER(K1418),K1418-O1418,"n.a.")</f>
        <v/>
      </c>
    </row>
    <row r="1419" ht="32" customHeight="1">
      <c r="C1419" s="10" t="inlineStr">
        <is>
          <t>PRJ-3830840d-RK-03</t>
        </is>
      </c>
      <c r="D1419" s="10" t="inlineStr">
        <is>
          <t>W4102604414</t>
        </is>
      </c>
      <c r="E1419" s="11" t="inlineStr">
        <is>
          <t>Entsorgungs-Mehrkosten / Entsorgungswege</t>
        </is>
      </c>
      <c r="F1419" s="10" t="inlineStr">
        <is>
          <t>Entsorgung</t>
        </is>
      </c>
      <c r="G1419" s="12" t="n">
        <v>0.15</v>
      </c>
      <c r="H1419" s="13" t="n">
        <v>174</v>
      </c>
      <c r="I1419" s="13" t="n">
        <v>436</v>
      </c>
      <c r="J1419" s="13" t="n">
        <v>871</v>
      </c>
      <c r="K1419" s="14">
        <f>IF(OR(COUNT(G1419:J1419)&lt;&gt;4,G1419&lt;0,G1419&gt;1,H1419&gt;I1419,I1419&gt;J1419),"n.a.",ROUND(G1419*(H1419+4*I1419+J1419)/6+0.00000001,2))</f>
        <v/>
      </c>
      <c r="L1419" s="13" t="n">
        <v>0</v>
      </c>
      <c r="M1419" s="14">
        <f>SUMIFS(Maßnahmen!$I$7:$I$126,Maßnahmen!$D$7:$D$126,C1419,Maßnahmen!$H$7:$H$126,"&lt;&gt;verworfen")</f>
        <v/>
      </c>
      <c r="N1419" s="14">
        <f>IF(ISNUMBER(K1419),MAX(0,K1419-L1419-M1419),"n.a.")</f>
        <v/>
      </c>
      <c r="O1419" s="14" t="n">
        <v>69.73</v>
      </c>
      <c r="P1419" s="14">
        <f>IF(ISNUMBER(K1419),K1419-O1419,"n.a.")</f>
        <v/>
      </c>
    </row>
    <row r="1420" ht="32" customHeight="1">
      <c r="C1420" s="10" t="inlineStr">
        <is>
          <t>PRJ-3830840d-RK-04</t>
        </is>
      </c>
      <c r="D1420" s="10" t="inlineStr">
        <is>
          <t>W4102604414</t>
        </is>
      </c>
      <c r="E1420" s="11" t="inlineStr">
        <is>
          <t>Baustofftrennung / Aufbereitung nicht wie geplant</t>
        </is>
      </c>
      <c r="F1420" s="10" t="inlineStr">
        <is>
          <t>Entsorgung</t>
        </is>
      </c>
      <c r="G1420" s="12" t="n">
        <v>0.1</v>
      </c>
      <c r="H1420" s="13" t="n">
        <v>174</v>
      </c>
      <c r="I1420" s="13" t="n">
        <v>436</v>
      </c>
      <c r="J1420" s="13" t="n">
        <v>871</v>
      </c>
      <c r="K1420" s="14">
        <f>IF(OR(COUNT(G1420:J1420)&lt;&gt;4,G1420&lt;0,G1420&gt;1,H1420&gt;I1420,I1420&gt;J1420),"n.a.",ROUND(G1420*(H1420+4*I1420+J1420)/6+0.00000001,2))</f>
        <v/>
      </c>
      <c r="L1420" s="13" t="n">
        <v>0</v>
      </c>
      <c r="M1420" s="14">
        <f>SUMIFS(Maßnahmen!$I$7:$I$126,Maßnahmen!$D$7:$D$126,C1420,Maßnahmen!$H$7:$H$126,"&lt;&gt;verworfen")</f>
        <v/>
      </c>
      <c r="N1420" s="14">
        <f>IF(ISNUMBER(K1420),MAX(0,K1420-L1420-M1420),"n.a.")</f>
        <v/>
      </c>
      <c r="O1420" s="14" t="n">
        <v>46.48</v>
      </c>
      <c r="P1420" s="14">
        <f>IF(ISNUMBER(K1420),K1420-O1420,"n.a.")</f>
        <v/>
      </c>
    </row>
    <row r="1421" ht="32" customHeight="1">
      <c r="C1421" s="10" t="inlineStr">
        <is>
          <t>PRJ-4a2927b1-RK-04</t>
        </is>
      </c>
      <c r="D1421" s="10" t="inlineStr">
        <is>
          <t>P4102658229</t>
        </is>
      </c>
      <c r="E1421" s="11" t="inlineStr">
        <is>
          <t>Baustofftrennung / Aufbereitung nicht wie geplant</t>
        </is>
      </c>
      <c r="F1421" s="10" t="inlineStr">
        <is>
          <t>Entsorgung</t>
        </is>
      </c>
      <c r="G1421" s="12" t="n">
        <v>0.08</v>
      </c>
      <c r="H1421" s="13" t="n">
        <v>1960</v>
      </c>
      <c r="I1421" s="13" t="n">
        <v>3920</v>
      </c>
      <c r="J1421" s="13" t="n">
        <v>7840</v>
      </c>
      <c r="K1421" s="14">
        <f>IF(OR(COUNT(G1421:J1421)&lt;&gt;4,G1421&lt;0,G1421&gt;1,H1421&gt;I1421,I1421&gt;J1421),"n.a.",ROUND(G1421*(H1421+4*I1421+J1421)/6+0.00000001,2))</f>
        <v/>
      </c>
      <c r="L1421" s="13" t="n">
        <v>0</v>
      </c>
      <c r="M1421" s="14">
        <f>SUMIFS(Maßnahmen!$I$7:$I$126,Maßnahmen!$D$7:$D$126,C1421,Maßnahmen!$H$7:$H$126,"&lt;&gt;verworfen")</f>
        <v/>
      </c>
      <c r="N1421" s="14">
        <f>IF(ISNUMBER(K1421),MAX(0,K1421-L1421-M1421),"n.a.")</f>
        <v/>
      </c>
      <c r="O1421" s="14" t="n">
        <v>339.73</v>
      </c>
      <c r="P1421" s="14">
        <f>IF(ISNUMBER(K1421),K1421-O1421,"n.a.")</f>
        <v/>
      </c>
    </row>
    <row r="1422" ht="32" customHeight="1">
      <c r="C1422" s="10" t="inlineStr">
        <is>
          <t>PRJ-4a2927b1-RK-10</t>
        </is>
      </c>
      <c r="D1422" s="10" t="inlineStr">
        <is>
          <t>P4102658229</t>
        </is>
      </c>
      <c r="E1422" s="11" t="inlineStr">
        <is>
          <t>Terminvorgabe Auftraggeber / Geräteauslastung</t>
        </is>
      </c>
      <c r="F1422" s="10" t="inlineStr">
        <is>
          <t>Termin</t>
        </is>
      </c>
      <c r="G1422" s="12" t="n">
        <v>0.08</v>
      </c>
      <c r="H1422" s="13" t="n">
        <v>1960</v>
      </c>
      <c r="I1422" s="13" t="n">
        <v>3920</v>
      </c>
      <c r="J1422" s="13" t="n">
        <v>7840</v>
      </c>
      <c r="K1422" s="14">
        <f>IF(OR(COUNT(G1422:J1422)&lt;&gt;4,G1422&lt;0,G1422&gt;1,H1422&gt;I1422,I1422&gt;J1422),"n.a.",ROUND(G1422*(H1422+4*I1422+J1422)/6+0.00000001,2))</f>
        <v/>
      </c>
      <c r="L1422" s="13" t="n">
        <v>0</v>
      </c>
      <c r="M1422" s="14">
        <f>SUMIFS(Maßnahmen!$I$7:$I$126,Maßnahmen!$D$7:$D$126,C1422,Maßnahmen!$H$7:$H$126,"&lt;&gt;verworfen")</f>
        <v/>
      </c>
      <c r="N1422" s="14">
        <f>IF(ISNUMBER(K1422),MAX(0,K1422-L1422-M1422),"n.a.")</f>
        <v/>
      </c>
      <c r="O1422" s="14" t="n">
        <v>339.73</v>
      </c>
      <c r="P1422" s="14">
        <f>IF(ISNUMBER(K1422),K1422-O1422,"n.a.")</f>
        <v/>
      </c>
    </row>
    <row r="1423" ht="32" customHeight="1">
      <c r="C1423" s="10" t="inlineStr">
        <is>
          <t>PRJ-4a2927b1-RK-11</t>
        </is>
      </c>
      <c r="D1423" s="10" t="inlineStr">
        <is>
          <t>P4102658229</t>
        </is>
      </c>
      <c r="E1423" s="11" t="inlineStr">
        <is>
          <t>Witterung / Ablaufstörung</t>
        </is>
      </c>
      <c r="F1423" s="10" t="inlineStr">
        <is>
          <t>Termin</t>
        </is>
      </c>
      <c r="G1423" s="12" t="n">
        <v>0.55</v>
      </c>
      <c r="H1423" s="13" t="n">
        <v>13618</v>
      </c>
      <c r="I1423" s="13" t="n">
        <v>26306</v>
      </c>
      <c r="J1423" s="13" t="n">
        <v>52612</v>
      </c>
      <c r="K1423" s="14">
        <f>IF(OR(COUNT(G1423:J1423)&lt;&gt;4,G1423&lt;0,G1423&gt;1,H1423&gt;I1423,I1423&gt;J1423),"n.a.",ROUND(G1423*(H1423+4*I1423+J1423)/6+0.00000001,2))</f>
        <v/>
      </c>
      <c r="L1423" s="13" t="n">
        <v>0</v>
      </c>
      <c r="M1423" s="14">
        <f>SUMIFS(Maßnahmen!$I$7:$I$126,Maßnahmen!$D$7:$D$126,C1423,Maßnahmen!$H$7:$H$126,"&lt;&gt;verworfen")</f>
        <v/>
      </c>
      <c r="N1423" s="14">
        <f>IF(ISNUMBER(K1423),MAX(0,K1423-L1423-M1423),"n.a.")</f>
        <v/>
      </c>
      <c r="O1423" s="14" t="n">
        <v>15716.62</v>
      </c>
      <c r="P1423" s="14">
        <f>IF(ISNUMBER(K1423),K1423-O1423,"n.a.")</f>
        <v/>
      </c>
    </row>
    <row r="1424" ht="32" customHeight="1">
      <c r="C1424" s="10" t="inlineStr">
        <is>
          <t>PRJ-4a2927b1-RK-15</t>
        </is>
      </c>
      <c r="D1424" s="10" t="inlineStr">
        <is>
          <t>P4102658229</t>
        </is>
      </c>
      <c r="E1424" s="11" t="inlineStr">
        <is>
          <t>Konjunktur / Sekundärstoffpreise &amp; Gerätemiete</t>
        </is>
      </c>
      <c r="F1424" s="10" t="inlineStr">
        <is>
          <t>Markt</t>
        </is>
      </c>
      <c r="G1424" s="12" t="n">
        <v>0.169</v>
      </c>
      <c r="H1424" s="13" t="n">
        <v>12834</v>
      </c>
      <c r="I1424" s="13" t="n">
        <v>19477</v>
      </c>
      <c r="J1424" s="13" t="n">
        <v>43843</v>
      </c>
      <c r="K1424" s="14">
        <f>IF(OR(COUNT(G1424:J1424)&lt;&gt;4,G1424&lt;0,G1424&gt;1,H1424&gt;I1424,I1424&gt;J1424),"n.a.",ROUND(G1424*(H1424+4*I1424+J1424)/6+0.00000001,2))</f>
        <v/>
      </c>
      <c r="L1424" s="13" t="n">
        <v>0</v>
      </c>
      <c r="M1424" s="14">
        <f>SUMIFS(Maßnahmen!$I$7:$I$126,Maßnahmen!$D$7:$D$126,C1424,Maßnahmen!$H$7:$H$126,"&lt;&gt;verworfen")</f>
        <v/>
      </c>
      <c r="N1424" s="14">
        <f>IF(ISNUMBER(K1424),MAX(0,K1424-L1424-M1424),"n.a.")</f>
        <v/>
      </c>
      <c r="O1424" s="14" t="n">
        <v>3790.81</v>
      </c>
      <c r="P1424" s="14">
        <f>IF(ISNUMBER(K1424),K1424-O1424,"n.a.")</f>
        <v/>
      </c>
    </row>
    <row r="1425" ht="32" customHeight="1">
      <c r="C1425" s="10" t="inlineStr">
        <is>
          <t>PRJ-4a6f9c9f-RK-11</t>
        </is>
      </c>
      <c r="D1425" s="10" t="inlineStr">
        <is>
          <t>P4102608275</t>
        </is>
      </c>
      <c r="E1425" s="11" t="inlineStr">
        <is>
          <t>Witterung / Ablaufstörung</t>
        </is>
      </c>
      <c r="F1425" s="10" t="inlineStr">
        <is>
          <t>Termin</t>
        </is>
      </c>
      <c r="G1425" s="12" t="n">
        <v>0.25</v>
      </c>
      <c r="H1425" s="13" t="n">
        <v>10</v>
      </c>
      <c r="I1425" s="13" t="n">
        <v>30</v>
      </c>
      <c r="J1425" s="13" t="n">
        <v>60</v>
      </c>
      <c r="K1425" s="14">
        <f>IF(OR(COUNT(G1425:J1425)&lt;&gt;4,G1425&lt;0,G1425&gt;1,H1425&gt;I1425,I1425&gt;J1425),"n.a.",ROUND(G1425*(H1425+4*I1425+J1425)/6+0.00000001,2))</f>
        <v/>
      </c>
      <c r="L1425" s="13" t="n">
        <v>0</v>
      </c>
      <c r="M1425" s="14">
        <f>SUMIFS(Maßnahmen!$I$7:$I$126,Maßnahmen!$D$7:$D$126,C1425,Maßnahmen!$H$7:$H$126,"&lt;&gt;verworfen")</f>
        <v/>
      </c>
      <c r="N1425" s="14">
        <f>IF(ISNUMBER(K1425),MAX(0,K1425-L1425-M1425),"n.a.")</f>
        <v/>
      </c>
      <c r="O1425" s="14" t="n">
        <v>7.92</v>
      </c>
      <c r="P1425" s="14">
        <f>IF(ISNUMBER(K1425),K1425-O1425,"n.a.")</f>
        <v/>
      </c>
    </row>
    <row r="1426" ht="32" customHeight="1">
      <c r="C1426" s="10" t="inlineStr">
        <is>
          <t>PRJ-4a6f9c9f-RK-12</t>
        </is>
      </c>
      <c r="D1426" s="10" t="inlineStr">
        <is>
          <t>P4102608275</t>
        </is>
      </c>
      <c r="E1426" s="11" t="inlineStr">
        <is>
          <t>Staubemissionen (höchster Aufwand laut Umfrage)</t>
        </is>
      </c>
      <c r="F1426" s="10" t="inlineStr">
        <is>
          <t>Emissionen</t>
        </is>
      </c>
      <c r="G1426" s="12" t="n">
        <v>0.1</v>
      </c>
      <c r="H1426" s="13" t="n">
        <v>30</v>
      </c>
      <c r="I1426" s="13" t="n">
        <v>60</v>
      </c>
      <c r="J1426" s="13" t="n">
        <v>120</v>
      </c>
      <c r="K1426" s="14">
        <f>IF(OR(COUNT(G1426:J1426)&lt;&gt;4,G1426&lt;0,G1426&gt;1,H1426&gt;I1426,I1426&gt;J1426),"n.a.",ROUND(G1426*(H1426+4*I1426+J1426)/6+0.00000001,2))</f>
        <v/>
      </c>
      <c r="L1426" s="13" t="n">
        <v>0</v>
      </c>
      <c r="M1426" s="14">
        <f>SUMIFS(Maßnahmen!$I$7:$I$126,Maßnahmen!$D$7:$D$126,C1426,Maßnahmen!$H$7:$H$126,"&lt;&gt;verworfen")</f>
        <v/>
      </c>
      <c r="N1426" s="14">
        <f>IF(ISNUMBER(K1426),MAX(0,K1426-L1426-M1426),"n.a.")</f>
        <v/>
      </c>
      <c r="O1426" s="14" t="n">
        <v>6.5</v>
      </c>
      <c r="P1426" s="14">
        <f>IF(ISNUMBER(K1426),K1426-O1426,"n.a.")</f>
        <v/>
      </c>
    </row>
    <row r="1427" ht="32" customHeight="1">
      <c r="C1427" s="10" t="inlineStr">
        <is>
          <t>PRJ-4a6f9c9f-RK-13</t>
        </is>
      </c>
      <c r="D1427" s="10" t="inlineStr">
        <is>
          <t>P4102608275</t>
        </is>
      </c>
      <c r="E1427" s="11" t="inlineStr">
        <is>
          <t>Lärm- und Erschütterungsauflagen</t>
        </is>
      </c>
      <c r="F1427" s="10" t="inlineStr">
        <is>
          <t>Emissionen</t>
        </is>
      </c>
      <c r="G1427" s="12" t="n">
        <v>0.2</v>
      </c>
      <c r="H1427" s="13" t="n">
        <v>20</v>
      </c>
      <c r="I1427" s="13" t="n">
        <v>50</v>
      </c>
      <c r="J1427" s="13" t="n">
        <v>100</v>
      </c>
      <c r="K1427" s="14">
        <f>IF(OR(COUNT(G1427:J1427)&lt;&gt;4,G1427&lt;0,G1427&gt;1,H1427&gt;I1427,I1427&gt;J1427),"n.a.",ROUND(G1427*(H1427+4*I1427+J1427)/6+0.00000001,2))</f>
        <v/>
      </c>
      <c r="L1427" s="13" t="n">
        <v>0</v>
      </c>
      <c r="M1427" s="14">
        <f>SUMIFS(Maßnahmen!$I$7:$I$126,Maßnahmen!$D$7:$D$126,C1427,Maßnahmen!$H$7:$H$126,"&lt;&gt;verworfen")</f>
        <v/>
      </c>
      <c r="N1427" s="14">
        <f>IF(ISNUMBER(K1427),MAX(0,K1427-L1427-M1427),"n.a.")</f>
        <v/>
      </c>
      <c r="O1427" s="14" t="n">
        <v>10.67</v>
      </c>
      <c r="P1427" s="14">
        <f>IF(ISNUMBER(K1427),K1427-O1427,"n.a.")</f>
        <v/>
      </c>
    </row>
    <row r="1428" ht="32" customHeight="1">
      <c r="C1428" s="10" t="inlineStr">
        <is>
          <t>PRJ-4a6f9c9f-RK-14</t>
        </is>
      </c>
      <c r="D1428" s="10" t="inlineStr">
        <is>
          <t>P4102608275</t>
        </is>
      </c>
      <c r="E1428" s="11" t="inlineStr">
        <is>
          <t>Rechtliche Auflagen / Entsorgungsnachweise (Formalismus)</t>
        </is>
      </c>
      <c r="F1428" s="10" t="inlineStr">
        <is>
          <t>Genehmigung</t>
        </is>
      </c>
      <c r="G1428" s="12" t="n">
        <v>0.4</v>
      </c>
      <c r="H1428" s="13" t="n">
        <v>95</v>
      </c>
      <c r="I1428" s="13" t="n">
        <v>185</v>
      </c>
      <c r="J1428" s="13" t="n">
        <v>350</v>
      </c>
      <c r="K1428" s="14">
        <f>IF(OR(COUNT(G1428:J1428)&lt;&gt;4,G1428&lt;0,G1428&gt;1,H1428&gt;I1428,I1428&gt;J1428),"n.a.",ROUND(G1428*(H1428+4*I1428+J1428)/6+0.00000001,2))</f>
        <v/>
      </c>
      <c r="L1428" s="13" t="n">
        <v>0</v>
      </c>
      <c r="M1428" s="14">
        <f>SUMIFS(Maßnahmen!$I$7:$I$126,Maßnahmen!$D$7:$D$126,C1428,Maßnahmen!$H$7:$H$126,"&lt;&gt;verworfen")</f>
        <v/>
      </c>
      <c r="N1428" s="14">
        <f>IF(ISNUMBER(K1428),MAX(0,K1428-L1428-M1428),"n.a.")</f>
        <v/>
      </c>
      <c r="O1428" s="14" t="n">
        <v>79</v>
      </c>
      <c r="P1428" s="14">
        <f>IF(ISNUMBER(K1428),K1428-O1428,"n.a.")</f>
        <v/>
      </c>
    </row>
    <row r="1429" ht="32" customHeight="1">
      <c r="C1429" s="10" t="inlineStr">
        <is>
          <t>PRJ-4a6f9c9f-RK-15</t>
        </is>
      </c>
      <c r="D1429" s="10" t="inlineStr">
        <is>
          <t>P4102608275</t>
        </is>
      </c>
      <c r="E1429" s="11" t="inlineStr">
        <is>
          <t>Konjunktur / Sekundärstoffpreise &amp; Gerätemiete</t>
        </is>
      </c>
      <c r="F1429" s="10" t="inlineStr">
        <is>
          <t>Markt</t>
        </is>
      </c>
      <c r="G1429" s="12" t="n">
        <v>0.12</v>
      </c>
      <c r="H1429" s="13" t="n">
        <v>8</v>
      </c>
      <c r="I1429" s="13" t="n">
        <v>20</v>
      </c>
      <c r="J1429" s="13" t="n">
        <v>50</v>
      </c>
      <c r="K1429" s="14">
        <f>IF(OR(COUNT(G1429:J1429)&lt;&gt;4,G1429&lt;0,G1429&gt;1,H1429&gt;I1429,I1429&gt;J1429),"n.a.",ROUND(G1429*(H1429+4*I1429+J1429)/6+0.00000001,2))</f>
        <v/>
      </c>
      <c r="L1429" s="13" t="n">
        <v>0</v>
      </c>
      <c r="M1429" s="14">
        <f>SUMIFS(Maßnahmen!$I$7:$I$126,Maßnahmen!$D$7:$D$126,C1429,Maßnahmen!$H$7:$H$126,"&lt;&gt;verworfen")</f>
        <v/>
      </c>
      <c r="N1429" s="14">
        <f>IF(ISNUMBER(K1429),MAX(0,K1429-L1429-M1429),"n.a.")</f>
        <v/>
      </c>
      <c r="O1429" s="14" t="n">
        <v>2.76</v>
      </c>
      <c r="P1429" s="14">
        <f>IF(ISNUMBER(K1429),K1429-O1429,"n.a.")</f>
        <v/>
      </c>
    </row>
    <row r="1430" ht="32" customHeight="1">
      <c r="C1430" s="10" t="inlineStr">
        <is>
          <t>PRJ-40723640-RK-01</t>
        </is>
      </c>
      <c r="D1430" s="10" t="inlineStr">
        <is>
          <t>W4102154967</t>
        </is>
      </c>
      <c r="E1430" s="11" t="inlineStr">
        <is>
          <t>Schadstofffund / Schadstoffsanierung (Asbest, PAK, PCB, PCP)</t>
        </is>
      </c>
      <c r="F1430" s="10" t="inlineStr">
        <is>
          <t>Schadstoffe</t>
        </is>
      </c>
      <c r="G1430" s="12" t="n">
        <v>0.1</v>
      </c>
      <c r="H1430" s="13" t="n">
        <v>220</v>
      </c>
      <c r="I1430" s="13" t="n">
        <v>550</v>
      </c>
      <c r="J1430" s="13" t="n">
        <v>1100</v>
      </c>
      <c r="K1430" s="14">
        <f>IF(OR(COUNT(G1430:J1430)&lt;&gt;4,G1430&lt;0,G1430&gt;1,H1430&gt;I1430,I1430&gt;J1430),"n.a.",ROUND(G1430*(H1430+4*I1430+J1430)/6+0.00000001,2))</f>
        <v/>
      </c>
      <c r="L1430" s="13" t="n">
        <v>0</v>
      </c>
      <c r="M1430" s="14">
        <f>SUMIFS(Maßnahmen!$I$7:$I$126,Maßnahmen!$D$7:$D$126,C1430,Maßnahmen!$H$7:$H$126,"&lt;&gt;verworfen")</f>
        <v/>
      </c>
      <c r="N1430" s="14">
        <f>IF(ISNUMBER(K1430),MAX(0,K1430-L1430-M1430),"n.a.")</f>
        <v/>
      </c>
      <c r="O1430" s="14" t="n">
        <v>58.67</v>
      </c>
      <c r="P1430" s="14">
        <f>IF(ISNUMBER(K1430),K1430-O1430,"n.a.")</f>
        <v/>
      </c>
    </row>
    <row r="1431" ht="32" customHeight="1">
      <c r="C1431" s="10" t="inlineStr">
        <is>
          <t>PRJ-40723640-RK-02</t>
        </is>
      </c>
      <c r="D1431" s="10" t="inlineStr">
        <is>
          <t>W4102154967</t>
        </is>
      </c>
      <c r="E1431" s="11" t="inlineStr">
        <is>
          <t>Arbeitsschutz kontaminierte Bereiche (TRGS 524)</t>
        </is>
      </c>
      <c r="F1431" s="10" t="inlineStr">
        <is>
          <t>Schadstoffe</t>
        </is>
      </c>
      <c r="G1431" s="12" t="n">
        <v>0.462</v>
      </c>
      <c r="H1431" s="13" t="n">
        <v>172</v>
      </c>
      <c r="I1431" s="13" t="n">
        <v>478</v>
      </c>
      <c r="J1431" s="13" t="n">
        <v>980</v>
      </c>
      <c r="K1431" s="14">
        <f>IF(OR(COUNT(G1431:J1431)&lt;&gt;4,G1431&lt;0,G1431&gt;1,H1431&gt;I1431,I1431&gt;J1431),"n.a.",ROUND(G1431*(H1431+4*I1431+J1431)/6+0.00000001,2))</f>
        <v/>
      </c>
      <c r="L1431" s="13" t="n">
        <v>0</v>
      </c>
      <c r="M1431" s="14">
        <f>SUMIFS(Maßnahmen!$I$7:$I$126,Maßnahmen!$D$7:$D$126,C1431,Maßnahmen!$H$7:$H$126,"&lt;&gt;verworfen")</f>
        <v/>
      </c>
      <c r="N1431" s="14">
        <f>IF(ISNUMBER(K1431),MAX(0,K1431-L1431-M1431),"n.a.")</f>
        <v/>
      </c>
      <c r="O1431" s="14" t="n">
        <v>235.93</v>
      </c>
      <c r="P1431" s="14">
        <f>IF(ISNUMBER(K1431),K1431-O1431,"n.a.")</f>
        <v/>
      </c>
    </row>
    <row r="1432" ht="32" customHeight="1">
      <c r="C1432" s="10" t="inlineStr">
        <is>
          <t>PRJ-40723640-RK-03</t>
        </is>
      </c>
      <c r="D1432" s="10" t="inlineStr">
        <is>
          <t>W4102154967</t>
        </is>
      </c>
      <c r="E1432" s="11" t="inlineStr">
        <is>
          <t>Entsorgungs-Mehrkosten / Entsorgungswege</t>
        </is>
      </c>
      <c r="F1432" s="10" t="inlineStr">
        <is>
          <t>Entsorgung</t>
        </is>
      </c>
      <c r="G1432" s="12" t="n">
        <v>0.15</v>
      </c>
      <c r="H1432" s="13" t="n">
        <v>220</v>
      </c>
      <c r="I1432" s="13" t="n">
        <v>550</v>
      </c>
      <c r="J1432" s="13" t="n">
        <v>1100</v>
      </c>
      <c r="K1432" s="14">
        <f>IF(OR(COUNT(G1432:J1432)&lt;&gt;4,G1432&lt;0,G1432&gt;1,H1432&gt;I1432,I1432&gt;J1432),"n.a.",ROUND(G1432*(H1432+4*I1432+J1432)/6+0.00000001,2))</f>
        <v/>
      </c>
      <c r="L1432" s="13" t="n">
        <v>0</v>
      </c>
      <c r="M1432" s="14">
        <f>SUMIFS(Maßnahmen!$I$7:$I$126,Maßnahmen!$D$7:$D$126,C1432,Maßnahmen!$H$7:$H$126,"&lt;&gt;verworfen")</f>
        <v/>
      </c>
      <c r="N1432" s="14">
        <f>IF(ISNUMBER(K1432),MAX(0,K1432-L1432-M1432),"n.a.")</f>
        <v/>
      </c>
      <c r="O1432" s="14" t="n">
        <v>88</v>
      </c>
      <c r="P1432" s="14">
        <f>IF(ISNUMBER(K1432),K1432-O1432,"n.a.")</f>
        <v/>
      </c>
    </row>
    <row r="1433" ht="32" customHeight="1">
      <c r="C1433" s="10" t="inlineStr">
        <is>
          <t>PRJ-40723640-RK-04</t>
        </is>
      </c>
      <c r="D1433" s="10" t="inlineStr">
        <is>
          <t>W4102154967</t>
        </is>
      </c>
      <c r="E1433" s="11" t="inlineStr">
        <is>
          <t>Baustofftrennung / Aufbereitung nicht wie geplant</t>
        </is>
      </c>
      <c r="F1433" s="10" t="inlineStr">
        <is>
          <t>Entsorgung</t>
        </is>
      </c>
      <c r="G1433" s="12" t="n">
        <v>0.098</v>
      </c>
      <c r="H1433" s="13" t="n">
        <v>160</v>
      </c>
      <c r="I1433" s="13" t="n">
        <v>460</v>
      </c>
      <c r="J1433" s="13" t="n">
        <v>949</v>
      </c>
      <c r="K1433" s="14">
        <f>IF(OR(COUNT(G1433:J1433)&lt;&gt;4,G1433&lt;0,G1433&gt;1,H1433&gt;I1433,I1433&gt;J1433),"n.a.",ROUND(G1433*(H1433+4*I1433+J1433)/6+0.00000001,2))</f>
        <v/>
      </c>
      <c r="L1433" s="13" t="n">
        <v>0</v>
      </c>
      <c r="M1433" s="14">
        <f>SUMIFS(Maßnahmen!$I$7:$I$126,Maßnahmen!$D$7:$D$126,C1433,Maßnahmen!$H$7:$H$126,"&lt;&gt;verworfen")</f>
        <v/>
      </c>
      <c r="N1433" s="14">
        <f>IF(ISNUMBER(K1433),MAX(0,K1433-L1433-M1433),"n.a.")</f>
        <v/>
      </c>
      <c r="O1433" s="14" t="n">
        <v>48.17</v>
      </c>
      <c r="P1433" s="14">
        <f>IF(ISNUMBER(K1433),K1433-O1433,"n.a.")</f>
        <v/>
      </c>
    </row>
    <row r="1434" ht="32" customHeight="1">
      <c r="C1434" s="10" t="inlineStr">
        <is>
          <t>PRJ-40723640-RK-05</t>
        </is>
      </c>
      <c r="D1434" s="10" t="inlineStr">
        <is>
          <t>W4102154967</t>
        </is>
      </c>
      <c r="E1434" s="11" t="inlineStr">
        <is>
          <t>Unbekannte Bauwerkskonstruktion / fehlende Pläne</t>
        </is>
      </c>
      <c r="F1434" s="10" t="inlineStr">
        <is>
          <t>Statik</t>
        </is>
      </c>
      <c r="G1434" s="12" t="n">
        <v>0.12</v>
      </c>
      <c r="H1434" s="13" t="n">
        <v>440</v>
      </c>
      <c r="I1434" s="13" t="n">
        <v>880</v>
      </c>
      <c r="J1434" s="13" t="n">
        <v>1650</v>
      </c>
      <c r="K1434" s="14">
        <f>IF(OR(COUNT(G1434:J1434)&lt;&gt;4,G1434&lt;0,G1434&gt;1,H1434&gt;I1434,I1434&gt;J1434),"n.a.",ROUND(G1434*(H1434+4*I1434+J1434)/6+0.00000001,2))</f>
        <v/>
      </c>
      <c r="L1434" s="13" t="n">
        <v>0</v>
      </c>
      <c r="M1434" s="14">
        <f>SUMIFS(Maßnahmen!$I$7:$I$126,Maßnahmen!$D$7:$D$126,C1434,Maßnahmen!$H$7:$H$126,"&lt;&gt;verworfen")</f>
        <v/>
      </c>
      <c r="N1434" s="14">
        <f>IF(ISNUMBER(K1434),MAX(0,K1434-L1434-M1434),"n.a.")</f>
        <v/>
      </c>
      <c r="O1434" s="14" t="n">
        <v>112.2</v>
      </c>
      <c r="P1434" s="14">
        <f>IF(ISNUMBER(K1434),K1434-O1434,"n.a.")</f>
        <v/>
      </c>
    </row>
    <row r="1435" ht="32" customHeight="1">
      <c r="C1435" s="10" t="inlineStr">
        <is>
          <t>PRJ-40723640-RK-06</t>
        </is>
      </c>
      <c r="D1435" s="10" t="inlineStr">
        <is>
          <t>W4102154967</t>
        </is>
      </c>
      <c r="E1435" s="11" t="inlineStr">
        <is>
          <t>Statik / Einsturzsicherung während Abbruch</t>
        </is>
      </c>
      <c r="F1435" s="10" t="inlineStr">
        <is>
          <t>Statik</t>
        </is>
      </c>
      <c r="G1435" s="12" t="n">
        <v>0.12</v>
      </c>
      <c r="H1435" s="13" t="n">
        <v>330</v>
      </c>
      <c r="I1435" s="13" t="n">
        <v>770</v>
      </c>
      <c r="J1435" s="13" t="n">
        <v>1540</v>
      </c>
      <c r="K1435" s="14">
        <f>IF(OR(COUNT(G1435:J1435)&lt;&gt;4,G1435&lt;0,G1435&gt;1,H1435&gt;I1435,I1435&gt;J1435),"n.a.",ROUND(G1435*(H1435+4*I1435+J1435)/6+0.00000001,2))</f>
        <v/>
      </c>
      <c r="L1435" s="13" t="n">
        <v>0</v>
      </c>
      <c r="M1435" s="14">
        <f>SUMIFS(Maßnahmen!$I$7:$I$126,Maßnahmen!$D$7:$D$126,C1435,Maßnahmen!$H$7:$H$126,"&lt;&gt;verworfen")</f>
        <v/>
      </c>
      <c r="N1435" s="14">
        <f>IF(ISNUMBER(K1435),MAX(0,K1435-L1435-M1435),"n.a.")</f>
        <v/>
      </c>
      <c r="O1435" s="14" t="n">
        <v>99</v>
      </c>
      <c r="P1435" s="14">
        <f>IF(ISNUMBER(K1435),K1435-O1435,"n.a.")</f>
        <v/>
      </c>
    </row>
    <row r="1436" ht="32" customHeight="1">
      <c r="C1436" s="10" t="inlineStr">
        <is>
          <t>PRJ-40723640-RK-07</t>
        </is>
      </c>
      <c r="D1436" s="10" t="inlineStr">
        <is>
          <t>W4102154967</t>
        </is>
      </c>
      <c r="E1436" s="11" t="inlineStr">
        <is>
          <t>Unterirdische Tragkonstruktion / Fundamente</t>
        </is>
      </c>
      <c r="F1436" s="10" t="inlineStr">
        <is>
          <t>Statik</t>
        </is>
      </c>
      <c r="G1436" s="12" t="n">
        <v>0.5</v>
      </c>
      <c r="H1436" s="13" t="n">
        <v>55</v>
      </c>
      <c r="I1436" s="13" t="n">
        <v>220</v>
      </c>
      <c r="J1436" s="13" t="n">
        <v>550</v>
      </c>
      <c r="K1436" s="14">
        <f>IF(OR(COUNT(G1436:J1436)&lt;&gt;4,G1436&lt;0,G1436&gt;1,H1436&gt;I1436,I1436&gt;J1436),"n.a.",ROUND(G1436*(H1436+4*I1436+J1436)/6+0.00000001,2))</f>
        <v/>
      </c>
      <c r="L1436" s="13" t="n">
        <v>0</v>
      </c>
      <c r="M1436" s="14">
        <f>SUMIFS(Maßnahmen!$I$7:$I$126,Maßnahmen!$D$7:$D$126,C1436,Maßnahmen!$H$7:$H$126,"&lt;&gt;verworfen")</f>
        <v/>
      </c>
      <c r="N1436" s="14">
        <f>IF(ISNUMBER(K1436),MAX(0,K1436-L1436-M1436),"n.a.")</f>
        <v/>
      </c>
      <c r="O1436" s="14" t="n">
        <v>123.75</v>
      </c>
      <c r="P1436" s="14">
        <f>IF(ISNUMBER(K1436),K1436-O1436,"n.a.")</f>
        <v/>
      </c>
    </row>
    <row r="1437" ht="32" customHeight="1">
      <c r="C1437" s="10" t="inlineStr">
        <is>
          <t>PRJ-40723640-RK-08</t>
        </is>
      </c>
      <c r="D1437" s="10" t="inlineStr">
        <is>
          <t>W4102154967</t>
        </is>
      </c>
      <c r="E1437" s="11" t="inlineStr">
        <is>
          <t>Gebäudehöhe &gt;22 m / Longfront-Bagger (+130–150 %)</t>
        </is>
      </c>
      <c r="F1437" s="10" t="inlineStr">
        <is>
          <t>Termin</t>
        </is>
      </c>
      <c r="G1437" s="12" t="n">
        <v>0.6</v>
      </c>
      <c r="H1437" s="13" t="n">
        <v>990</v>
      </c>
      <c r="I1437" s="13" t="n">
        <v>1980</v>
      </c>
      <c r="J1437" s="13" t="n">
        <v>3740</v>
      </c>
      <c r="K1437" s="14">
        <f>IF(OR(COUNT(G1437:J1437)&lt;&gt;4,G1437&lt;0,G1437&gt;1,H1437&gt;I1437,I1437&gt;J1437),"n.a.",ROUND(G1437*(H1437+4*I1437+J1437)/6+0.00000001,2))</f>
        <v/>
      </c>
      <c r="L1437" s="13" t="n">
        <v>0</v>
      </c>
      <c r="M1437" s="14">
        <f>SUMIFS(Maßnahmen!$I$7:$I$126,Maßnahmen!$D$7:$D$126,C1437,Maßnahmen!$H$7:$H$126,"&lt;&gt;verworfen")</f>
        <v/>
      </c>
      <c r="N1437" s="14">
        <f>IF(ISNUMBER(K1437),MAX(0,K1437-L1437-M1437),"n.a.")</f>
        <v/>
      </c>
      <c r="O1437" s="14" t="n">
        <v>1265</v>
      </c>
      <c r="P1437" s="14">
        <f>IF(ISNUMBER(K1437),K1437-O1437,"n.a.")</f>
        <v/>
      </c>
    </row>
    <row r="1438" ht="32" customHeight="1">
      <c r="C1438" s="10" t="inlineStr">
        <is>
          <t>PRJ-40723640-RK-09</t>
        </is>
      </c>
      <c r="D1438" s="10" t="inlineStr">
        <is>
          <t>W4102154967</t>
        </is>
      </c>
      <c r="E1438" s="11" t="inlineStr">
        <is>
          <t>Beennte Lage / nur Handabbruch möglich</t>
        </is>
      </c>
      <c r="F1438" s="10" t="inlineStr">
        <is>
          <t>Termin</t>
        </is>
      </c>
      <c r="G1438" s="12" t="n">
        <v>0.15</v>
      </c>
      <c r="H1438" s="13" t="n">
        <v>88</v>
      </c>
      <c r="I1438" s="13" t="n">
        <v>220</v>
      </c>
      <c r="J1438" s="13" t="n">
        <v>550</v>
      </c>
      <c r="K1438" s="14">
        <f>IF(OR(COUNT(G1438:J1438)&lt;&gt;4,G1438&lt;0,G1438&gt;1,H1438&gt;I1438,I1438&gt;J1438),"n.a.",ROUND(G1438*(H1438+4*I1438+J1438)/6+0.00000001,2))</f>
        <v/>
      </c>
      <c r="L1438" s="13" t="n">
        <v>0</v>
      </c>
      <c r="M1438" s="14">
        <f>SUMIFS(Maßnahmen!$I$7:$I$126,Maßnahmen!$D$7:$D$126,C1438,Maßnahmen!$H$7:$H$126,"&lt;&gt;verworfen")</f>
        <v/>
      </c>
      <c r="N1438" s="14">
        <f>IF(ISNUMBER(K1438),MAX(0,K1438-L1438-M1438),"n.a.")</f>
        <v/>
      </c>
      <c r="O1438" s="14" t="n">
        <v>37.95</v>
      </c>
      <c r="P1438" s="14">
        <f>IF(ISNUMBER(K1438),K1438-O1438,"n.a.")</f>
        <v/>
      </c>
    </row>
    <row r="1439" ht="32" customHeight="1">
      <c r="C1439" s="10" t="inlineStr">
        <is>
          <t>PRJ-40723640-RK-10</t>
        </is>
      </c>
      <c r="D1439" s="10" t="inlineStr">
        <is>
          <t>W4102154967</t>
        </is>
      </c>
      <c r="E1439" s="11" t="inlineStr">
        <is>
          <t>Terminvorgabe Auftraggeber / Geräteauslastung</t>
        </is>
      </c>
      <c r="F1439" s="10" t="inlineStr">
        <is>
          <t>Termin</t>
        </is>
      </c>
      <c r="G1439" s="12" t="n">
        <v>0.097</v>
      </c>
      <c r="H1439" s="13" t="n">
        <v>82</v>
      </c>
      <c r="I1439" s="13" t="n">
        <v>211</v>
      </c>
      <c r="J1439" s="13" t="n">
        <v>535</v>
      </c>
      <c r="K1439" s="14">
        <f>IF(OR(COUNT(G1439:J1439)&lt;&gt;4,G1439&lt;0,G1439&gt;1,H1439&gt;I1439,I1439&gt;J1439),"n.a.",ROUND(G1439*(H1439+4*I1439+J1439)/6+0.00000001,2))</f>
        <v/>
      </c>
      <c r="L1439" s="13" t="n">
        <v>0</v>
      </c>
      <c r="M1439" s="14">
        <f>SUMIFS(Maßnahmen!$I$7:$I$126,Maßnahmen!$D$7:$D$126,C1439,Maßnahmen!$H$7:$H$126,"&lt;&gt;verworfen")</f>
        <v/>
      </c>
      <c r="N1439" s="14">
        <f>IF(ISNUMBER(K1439),MAX(0,K1439-L1439-M1439),"n.a.")</f>
        <v/>
      </c>
      <c r="O1439" s="14" t="n">
        <v>23.62</v>
      </c>
      <c r="P1439" s="14">
        <f>IF(ISNUMBER(K1439),K1439-O1439,"n.a.")</f>
        <v/>
      </c>
    </row>
    <row r="1440" ht="32" customHeight="1">
      <c r="C1440" s="10" t="inlineStr">
        <is>
          <t>PRJ-40723640-RK-11</t>
        </is>
      </c>
      <c r="D1440" s="10" t="inlineStr">
        <is>
          <t>W4102154967</t>
        </is>
      </c>
      <c r="E1440" s="11" t="inlineStr">
        <is>
          <t>Witterung / Ablaufstörung</t>
        </is>
      </c>
      <c r="F1440" s="10" t="inlineStr">
        <is>
          <t>Termin</t>
        </is>
      </c>
      <c r="G1440" s="12" t="n">
        <v>0.25</v>
      </c>
      <c r="H1440" s="13" t="n">
        <v>110</v>
      </c>
      <c r="I1440" s="13" t="n">
        <v>330</v>
      </c>
      <c r="J1440" s="13" t="n">
        <v>660</v>
      </c>
      <c r="K1440" s="14">
        <f>IF(OR(COUNT(G1440:J1440)&lt;&gt;4,G1440&lt;0,G1440&gt;1,H1440&gt;I1440,I1440&gt;J1440),"n.a.",ROUND(G1440*(H1440+4*I1440+J1440)/6+0.00000001,2))</f>
        <v/>
      </c>
      <c r="L1440" s="13" t="n">
        <v>0</v>
      </c>
      <c r="M1440" s="14">
        <f>SUMIFS(Maßnahmen!$I$7:$I$126,Maßnahmen!$D$7:$D$126,C1440,Maßnahmen!$H$7:$H$126,"&lt;&gt;verworfen")</f>
        <v/>
      </c>
      <c r="N1440" s="14">
        <f>IF(ISNUMBER(K1440),MAX(0,K1440-L1440-M1440),"n.a.")</f>
        <v/>
      </c>
      <c r="O1440" s="14" t="n">
        <v>87.08</v>
      </c>
      <c r="P1440" s="14">
        <f>IF(ISNUMBER(K1440),K1440-O1440,"n.a.")</f>
        <v/>
      </c>
    </row>
    <row r="1441" ht="32" customHeight="1">
      <c r="C1441" s="10" t="inlineStr">
        <is>
          <t>PRJ-40723640-RK-12</t>
        </is>
      </c>
      <c r="D1441" s="10" t="inlineStr">
        <is>
          <t>W4102154967</t>
        </is>
      </c>
      <c r="E1441" s="11" t="inlineStr">
        <is>
          <t>Staubemissionen (höchster Aufwand laut Umfrage)</t>
        </is>
      </c>
      <c r="F1441" s="10" t="inlineStr">
        <is>
          <t>Emissionen</t>
        </is>
      </c>
      <c r="G1441" s="12" t="n">
        <v>0.1</v>
      </c>
      <c r="H1441" s="13" t="n">
        <v>330</v>
      </c>
      <c r="I1441" s="13" t="n">
        <v>660</v>
      </c>
      <c r="J1441" s="13" t="n">
        <v>1320</v>
      </c>
      <c r="K1441" s="14">
        <f>IF(OR(COUNT(G1441:J1441)&lt;&gt;4,G1441&lt;0,G1441&gt;1,H1441&gt;I1441,I1441&gt;J1441),"n.a.",ROUND(G1441*(H1441+4*I1441+J1441)/6+0.00000001,2))</f>
        <v/>
      </c>
      <c r="L1441" s="13" t="n">
        <v>0</v>
      </c>
      <c r="M1441" s="14">
        <f>SUMIFS(Maßnahmen!$I$7:$I$126,Maßnahmen!$D$7:$D$126,C1441,Maßnahmen!$H$7:$H$126,"&lt;&gt;verworfen")</f>
        <v/>
      </c>
      <c r="N1441" s="14">
        <f>IF(ISNUMBER(K1441),MAX(0,K1441-L1441-M1441),"n.a.")</f>
        <v/>
      </c>
      <c r="O1441" s="14" t="n">
        <v>71.5</v>
      </c>
      <c r="P1441" s="14">
        <f>IF(ISNUMBER(K1441),K1441-O1441,"n.a.")</f>
        <v/>
      </c>
    </row>
    <row r="1442" ht="32" customHeight="1">
      <c r="C1442" s="10" t="inlineStr">
        <is>
          <t>PRJ-40723640-RK-13</t>
        </is>
      </c>
      <c r="D1442" s="10" t="inlineStr">
        <is>
          <t>W4102154967</t>
        </is>
      </c>
      <c r="E1442" s="11" t="inlineStr">
        <is>
          <t>Lärm- und Erschütterungsauflagen</t>
        </is>
      </c>
      <c r="F1442" s="10" t="inlineStr">
        <is>
          <t>Emissionen</t>
        </is>
      </c>
      <c r="G1442" s="12" t="n">
        <v>0.2</v>
      </c>
      <c r="H1442" s="13" t="n">
        <v>220</v>
      </c>
      <c r="I1442" s="13" t="n">
        <v>550</v>
      </c>
      <c r="J1442" s="13" t="n">
        <v>1100</v>
      </c>
      <c r="K1442" s="14">
        <f>IF(OR(COUNT(G1442:J1442)&lt;&gt;4,G1442&lt;0,G1442&gt;1,H1442&gt;I1442,I1442&gt;J1442),"n.a.",ROUND(G1442*(H1442+4*I1442+J1442)/6+0.00000001,2))</f>
        <v/>
      </c>
      <c r="L1442" s="13" t="n">
        <v>0</v>
      </c>
      <c r="M1442" s="14">
        <f>SUMIFS(Maßnahmen!$I$7:$I$126,Maßnahmen!$D$7:$D$126,C1442,Maßnahmen!$H$7:$H$126,"&lt;&gt;verworfen")</f>
        <v/>
      </c>
      <c r="N1442" s="14">
        <f>IF(ISNUMBER(K1442),MAX(0,K1442-L1442-M1442),"n.a.")</f>
        <v/>
      </c>
      <c r="O1442" s="14" t="n">
        <v>117.33</v>
      </c>
      <c r="P1442" s="14">
        <f>IF(ISNUMBER(K1442),K1442-O1442,"n.a.")</f>
        <v/>
      </c>
    </row>
    <row r="1443" ht="32" customHeight="1">
      <c r="C1443" s="10" t="inlineStr">
        <is>
          <t>PRJ-40723640-RK-14</t>
        </is>
      </c>
      <c r="D1443" s="10" t="inlineStr">
        <is>
          <t>W4102154967</t>
        </is>
      </c>
      <c r="E1443" s="11" t="inlineStr">
        <is>
          <t>Rechtliche Auflagen / Entsorgungsnachweise (Formalismus)</t>
        </is>
      </c>
      <c r="F1443" s="10" t="inlineStr">
        <is>
          <t>Genehmigung</t>
        </is>
      </c>
      <c r="G1443" s="12" t="n">
        <v>0.4</v>
      </c>
      <c r="H1443" s="13" t="n">
        <v>1045</v>
      </c>
      <c r="I1443" s="13" t="n">
        <v>2035</v>
      </c>
      <c r="J1443" s="13" t="n">
        <v>3850</v>
      </c>
      <c r="K1443" s="14">
        <f>IF(OR(COUNT(G1443:J1443)&lt;&gt;4,G1443&lt;0,G1443&gt;1,H1443&gt;I1443,I1443&gt;J1443),"n.a.",ROUND(G1443*(H1443+4*I1443+J1443)/6+0.00000001,2))</f>
        <v/>
      </c>
      <c r="L1443" s="13" t="n">
        <v>0</v>
      </c>
      <c r="M1443" s="14">
        <f>SUMIFS(Maßnahmen!$I$7:$I$126,Maßnahmen!$D$7:$D$126,C1443,Maßnahmen!$H$7:$H$126,"&lt;&gt;verworfen")</f>
        <v/>
      </c>
      <c r="N1443" s="14">
        <f>IF(ISNUMBER(K1443),MAX(0,K1443-L1443-M1443),"n.a.")</f>
        <v/>
      </c>
      <c r="O1443" s="14" t="n">
        <v>869</v>
      </c>
      <c r="P1443" s="14">
        <f>IF(ISNUMBER(K1443),K1443-O1443,"n.a.")</f>
        <v/>
      </c>
    </row>
    <row r="1444" ht="32" customHeight="1">
      <c r="C1444" s="10" t="inlineStr">
        <is>
          <t>PRJ-40723640-RK-15</t>
        </is>
      </c>
      <c r="D1444" s="10" t="inlineStr">
        <is>
          <t>W4102154967</t>
        </is>
      </c>
      <c r="E1444" s="11" t="inlineStr">
        <is>
          <t>Konjunktur / Sekundärstoffpreise &amp; Gerätemiete</t>
        </is>
      </c>
      <c r="F1444" s="10" t="inlineStr">
        <is>
          <t>Markt</t>
        </is>
      </c>
      <c r="G1444" s="12" t="n">
        <v>0.12</v>
      </c>
      <c r="H1444" s="13" t="n">
        <v>88</v>
      </c>
      <c r="I1444" s="13" t="n">
        <v>220</v>
      </c>
      <c r="J1444" s="13" t="n">
        <v>550</v>
      </c>
      <c r="K1444" s="14">
        <f>IF(OR(COUNT(G1444:J1444)&lt;&gt;4,G1444&lt;0,G1444&gt;1,H1444&gt;I1444,I1444&gt;J1444),"n.a.",ROUND(G1444*(H1444+4*I1444+J1444)/6+0.00000001,2))</f>
        <v/>
      </c>
      <c r="L1444" s="13" t="n">
        <v>0</v>
      </c>
      <c r="M1444" s="14">
        <f>SUMIFS(Maßnahmen!$I$7:$I$126,Maßnahmen!$D$7:$D$126,C1444,Maßnahmen!$H$7:$H$126,"&lt;&gt;verworfen")</f>
        <v/>
      </c>
      <c r="N1444" s="14">
        <f>IF(ISNUMBER(K1444),MAX(0,K1444-L1444-M1444),"n.a.")</f>
        <v/>
      </c>
      <c r="O1444" s="14" t="n">
        <v>30.36</v>
      </c>
      <c r="P1444" s="14">
        <f>IF(ISNUMBER(K1444),K1444-O1444,"n.a.")</f>
        <v/>
      </c>
    </row>
    <row r="1445" ht="32" customHeight="1">
      <c r="C1445" s="10" t="inlineStr">
        <is>
          <t>PRJ-39e5680a-RK-01</t>
        </is>
      </c>
      <c r="D1445" s="10" t="inlineStr">
        <is>
          <t>W4102504108</t>
        </is>
      </c>
      <c r="E1445" s="11" t="inlineStr">
        <is>
          <t>Schadstofffund / Schadstoffsanierung (Asbest, PAK, PCB, PCP)</t>
        </is>
      </c>
      <c r="F1445" s="10" t="inlineStr">
        <is>
          <t>Schadstoffe</t>
        </is>
      </c>
      <c r="G1445" s="12" t="n">
        <v>0.1</v>
      </c>
      <c r="H1445" s="13" t="n">
        <v>78</v>
      </c>
      <c r="I1445" s="13" t="n">
        <v>194</v>
      </c>
      <c r="J1445" s="13" t="n">
        <v>388</v>
      </c>
      <c r="K1445" s="14">
        <f>IF(OR(COUNT(G1445:J1445)&lt;&gt;4,G1445&lt;0,G1445&gt;1,H1445&gt;I1445,I1445&gt;J1445),"n.a.",ROUND(G1445*(H1445+4*I1445+J1445)/6+0.00000001,2))</f>
        <v/>
      </c>
      <c r="L1445" s="13" t="n">
        <v>0</v>
      </c>
      <c r="M1445" s="14">
        <f>SUMIFS(Maßnahmen!$I$7:$I$126,Maßnahmen!$D$7:$D$126,C1445,Maßnahmen!$H$7:$H$126,"&lt;&gt;verworfen")</f>
        <v/>
      </c>
      <c r="N1445" s="14">
        <f>IF(ISNUMBER(K1445),MAX(0,K1445-L1445-M1445),"n.a.")</f>
        <v/>
      </c>
      <c r="O1445" s="14" t="n">
        <v>20.7</v>
      </c>
      <c r="P1445" s="14">
        <f>IF(ISNUMBER(K1445),K1445-O1445,"n.a.")</f>
        <v/>
      </c>
    </row>
    <row r="1446" ht="32" customHeight="1">
      <c r="C1446" s="10" t="inlineStr">
        <is>
          <t>PRJ-39e5680a-RK-02</t>
        </is>
      </c>
      <c r="D1446" s="10" t="inlineStr">
        <is>
          <t>W4102504108</t>
        </is>
      </c>
      <c r="E1446" s="11" t="inlineStr">
        <is>
          <t>Arbeitsschutz kontaminierte Bereiche (TRGS 524)</t>
        </is>
      </c>
      <c r="F1446" s="10" t="inlineStr">
        <is>
          <t>Schadstoffe</t>
        </is>
      </c>
      <c r="G1446" s="12" t="n">
        <v>0.47</v>
      </c>
      <c r="H1446" s="13" t="n">
        <v>78</v>
      </c>
      <c r="I1446" s="13" t="n">
        <v>194</v>
      </c>
      <c r="J1446" s="13" t="n">
        <v>388</v>
      </c>
      <c r="K1446" s="14">
        <f>IF(OR(COUNT(G1446:J1446)&lt;&gt;4,G1446&lt;0,G1446&gt;1,H1446&gt;I1446,I1446&gt;J1446),"n.a.",ROUND(G1446*(H1446+4*I1446+J1446)/6+0.00000001,2))</f>
        <v/>
      </c>
      <c r="L1446" s="13" t="n">
        <v>0</v>
      </c>
      <c r="M1446" s="14">
        <f>SUMIFS(Maßnahmen!$I$7:$I$126,Maßnahmen!$D$7:$D$126,C1446,Maßnahmen!$H$7:$H$126,"&lt;&gt;verworfen")</f>
        <v/>
      </c>
      <c r="N1446" s="14">
        <f>IF(ISNUMBER(K1446),MAX(0,K1446-L1446-M1446),"n.a.")</f>
        <v/>
      </c>
      <c r="O1446" s="14" t="n">
        <v>97.29000000000001</v>
      </c>
      <c r="P1446" s="14">
        <f>IF(ISNUMBER(K1446),K1446-O1446,"n.a.")</f>
        <v/>
      </c>
    </row>
    <row r="1447" ht="32" customHeight="1">
      <c r="C1447" s="10" t="inlineStr">
        <is>
          <t>PRJ-39e5680a-RK-03</t>
        </is>
      </c>
      <c r="D1447" s="10" t="inlineStr">
        <is>
          <t>W4102504108</t>
        </is>
      </c>
      <c r="E1447" s="11" t="inlineStr">
        <is>
          <t>Entsorgungs-Mehrkosten / Entsorgungswege</t>
        </is>
      </c>
      <c r="F1447" s="10" t="inlineStr">
        <is>
          <t>Entsorgung</t>
        </is>
      </c>
      <c r="G1447" s="12" t="n">
        <v>0.15</v>
      </c>
      <c r="H1447" s="13" t="n">
        <v>78</v>
      </c>
      <c r="I1447" s="13" t="n">
        <v>194</v>
      </c>
      <c r="J1447" s="13" t="n">
        <v>388</v>
      </c>
      <c r="K1447" s="14">
        <f>IF(OR(COUNT(G1447:J1447)&lt;&gt;4,G1447&lt;0,G1447&gt;1,H1447&gt;I1447,I1447&gt;J1447),"n.a.",ROUND(G1447*(H1447+4*I1447+J1447)/6+0.00000001,2))</f>
        <v/>
      </c>
      <c r="L1447" s="13" t="n">
        <v>0</v>
      </c>
      <c r="M1447" s="14">
        <f>SUMIFS(Maßnahmen!$I$7:$I$126,Maßnahmen!$D$7:$D$126,C1447,Maßnahmen!$H$7:$H$126,"&lt;&gt;verworfen")</f>
        <v/>
      </c>
      <c r="N1447" s="14">
        <f>IF(ISNUMBER(K1447),MAX(0,K1447-L1447-M1447),"n.a.")</f>
        <v/>
      </c>
      <c r="O1447" s="14" t="n">
        <v>31.05</v>
      </c>
      <c r="P1447" s="14">
        <f>IF(ISNUMBER(K1447),K1447-O1447,"n.a.")</f>
        <v/>
      </c>
    </row>
    <row r="1448" ht="32" customHeight="1">
      <c r="C1448" s="10" t="inlineStr">
        <is>
          <t>PRJ-39e5680a-RK-04</t>
        </is>
      </c>
      <c r="D1448" s="10" t="inlineStr">
        <is>
          <t>W4102504108</t>
        </is>
      </c>
      <c r="E1448" s="11" t="inlineStr">
        <is>
          <t>Baustofftrennung / Aufbereitung nicht wie geplant</t>
        </is>
      </c>
      <c r="F1448" s="10" t="inlineStr">
        <is>
          <t>Entsorgung</t>
        </is>
      </c>
      <c r="G1448" s="12" t="n">
        <v>0.08</v>
      </c>
      <c r="H1448" s="13" t="n">
        <v>19</v>
      </c>
      <c r="I1448" s="13" t="n">
        <v>39</v>
      </c>
      <c r="J1448" s="13" t="n">
        <v>78</v>
      </c>
      <c r="K1448" s="14">
        <f>IF(OR(COUNT(G1448:J1448)&lt;&gt;4,G1448&lt;0,G1448&gt;1,H1448&gt;I1448,I1448&gt;J1448),"n.a.",ROUND(G1448*(H1448+4*I1448+J1448)/6+0.00000001,2))</f>
        <v/>
      </c>
      <c r="L1448" s="13" t="n">
        <v>0</v>
      </c>
      <c r="M1448" s="14">
        <f>SUMIFS(Maßnahmen!$I$7:$I$126,Maßnahmen!$D$7:$D$126,C1448,Maßnahmen!$H$7:$H$126,"&lt;&gt;verworfen")</f>
        <v/>
      </c>
      <c r="N1448" s="14">
        <f>IF(ISNUMBER(K1448),MAX(0,K1448-L1448-M1448),"n.a.")</f>
        <v/>
      </c>
      <c r="O1448" s="14" t="n">
        <v>3.37</v>
      </c>
      <c r="P1448" s="14">
        <f>IF(ISNUMBER(K1448),K1448-O1448,"n.a.")</f>
        <v/>
      </c>
    </row>
    <row r="1449" ht="32" customHeight="1">
      <c r="C1449" s="10" t="inlineStr">
        <is>
          <t>PRJ-39e5680a-RK-05</t>
        </is>
      </c>
      <c r="D1449" s="10" t="inlineStr">
        <is>
          <t>W4102504108</t>
        </is>
      </c>
      <c r="E1449" s="11" t="inlineStr">
        <is>
          <t>Unbekannte Bauwerkskonstruktion / fehlende Pläne</t>
        </is>
      </c>
      <c r="F1449" s="10" t="inlineStr">
        <is>
          <t>Statik</t>
        </is>
      </c>
      <c r="G1449" s="12" t="n">
        <v>0.12</v>
      </c>
      <c r="H1449" s="13" t="n">
        <v>146</v>
      </c>
      <c r="I1449" s="13" t="n">
        <v>295</v>
      </c>
      <c r="J1449" s="13" t="n">
        <v>557</v>
      </c>
      <c r="K1449" s="14">
        <f>IF(OR(COUNT(G1449:J1449)&lt;&gt;4,G1449&lt;0,G1449&gt;1,H1449&gt;I1449,I1449&gt;J1449),"n.a.",ROUND(G1449*(H1449+4*I1449+J1449)/6+0.00000001,2))</f>
        <v/>
      </c>
      <c r="L1449" s="13" t="n">
        <v>0</v>
      </c>
      <c r="M1449" s="14">
        <f>SUMIFS(Maßnahmen!$I$7:$I$126,Maßnahmen!$D$7:$D$126,C1449,Maßnahmen!$H$7:$H$126,"&lt;&gt;verworfen")</f>
        <v/>
      </c>
      <c r="N1449" s="14">
        <f>IF(ISNUMBER(K1449),MAX(0,K1449-L1449-M1449),"n.a.")</f>
        <v/>
      </c>
      <c r="O1449" s="14" t="n">
        <v>37.66</v>
      </c>
      <c r="P1449" s="14">
        <f>IF(ISNUMBER(K1449),K1449-O1449,"n.a.")</f>
        <v/>
      </c>
    </row>
    <row r="1450" ht="32" customHeight="1">
      <c r="C1450" s="10" t="inlineStr">
        <is>
          <t>PRJ-39e5680a-RK-06</t>
        </is>
      </c>
      <c r="D1450" s="10" t="inlineStr">
        <is>
          <t>W4102504108</t>
        </is>
      </c>
      <c r="E1450" s="11" t="inlineStr">
        <is>
          <t>Statik / Einsturzsicherung während Abbruch</t>
        </is>
      </c>
      <c r="F1450" s="10" t="inlineStr">
        <is>
          <t>Statik</t>
        </is>
      </c>
      <c r="G1450" s="12" t="n">
        <v>0.12</v>
      </c>
      <c r="H1450" s="13" t="n">
        <v>116</v>
      </c>
      <c r="I1450" s="13" t="n">
        <v>272</v>
      </c>
      <c r="J1450" s="13" t="n">
        <v>543</v>
      </c>
      <c r="K1450" s="14">
        <f>IF(OR(COUNT(G1450:J1450)&lt;&gt;4,G1450&lt;0,G1450&gt;1,H1450&gt;I1450,I1450&gt;J1450),"n.a.",ROUND(G1450*(H1450+4*I1450+J1450)/6+0.00000001,2))</f>
        <v/>
      </c>
      <c r="L1450" s="13" t="n">
        <v>0</v>
      </c>
      <c r="M1450" s="14">
        <f>SUMIFS(Maßnahmen!$I$7:$I$126,Maßnahmen!$D$7:$D$126,C1450,Maßnahmen!$H$7:$H$126,"&lt;&gt;verworfen")</f>
        <v/>
      </c>
      <c r="N1450" s="14">
        <f>IF(ISNUMBER(K1450),MAX(0,K1450-L1450-M1450),"n.a.")</f>
        <v/>
      </c>
      <c r="O1450" s="14" t="n">
        <v>34.94</v>
      </c>
      <c r="P1450" s="14">
        <f>IF(ISNUMBER(K1450),K1450-O1450,"n.a.")</f>
        <v/>
      </c>
    </row>
    <row r="1451" ht="32" customHeight="1">
      <c r="C1451" s="10" t="inlineStr">
        <is>
          <t>PRJ-4a6f9d1e-RK-01</t>
        </is>
      </c>
      <c r="D1451" s="10" t="inlineStr">
        <is>
          <t>P4102608232</t>
        </is>
      </c>
      <c r="E1451" s="11" t="inlineStr">
        <is>
          <t>Schadstofffund / Schadstoffsanierung (Asbest, PAK, PCB, PCP)</t>
        </is>
      </c>
      <c r="F1451" s="10" t="inlineStr">
        <is>
          <t>Schadstoffe</t>
        </is>
      </c>
      <c r="G1451" s="12" t="n">
        <v>0.1</v>
      </c>
      <c r="H1451" s="13" t="n">
        <v>100</v>
      </c>
      <c r="I1451" s="13" t="n">
        <v>250</v>
      </c>
      <c r="J1451" s="13" t="n">
        <v>500</v>
      </c>
      <c r="K1451" s="14">
        <f>IF(OR(COUNT(G1451:J1451)&lt;&gt;4,G1451&lt;0,G1451&gt;1,H1451&gt;I1451,I1451&gt;J1451),"n.a.",ROUND(G1451*(H1451+4*I1451+J1451)/6+0.00000001,2))</f>
        <v/>
      </c>
      <c r="L1451" s="13" t="n">
        <v>0</v>
      </c>
      <c r="M1451" s="14">
        <f>SUMIFS(Maßnahmen!$I$7:$I$126,Maßnahmen!$D$7:$D$126,C1451,Maßnahmen!$H$7:$H$126,"&lt;&gt;verworfen")</f>
        <v/>
      </c>
      <c r="N1451" s="14">
        <f>IF(ISNUMBER(K1451),MAX(0,K1451-L1451-M1451),"n.a.")</f>
        <v/>
      </c>
      <c r="O1451" s="14" t="n">
        <v>26.67</v>
      </c>
      <c r="P1451" s="14">
        <f>IF(ISNUMBER(K1451),K1451-O1451,"n.a.")</f>
        <v/>
      </c>
    </row>
    <row r="1452" ht="32" customHeight="1">
      <c r="C1452" s="10" t="inlineStr">
        <is>
          <t>PRJ-4a6f9d1e-RK-02</t>
        </is>
      </c>
      <c r="D1452" s="10" t="inlineStr">
        <is>
          <t>P4102608232</t>
        </is>
      </c>
      <c r="E1452" s="11" t="inlineStr">
        <is>
          <t>Arbeitsschutz kontaminierte Bereiche (TRGS 524)</t>
        </is>
      </c>
      <c r="F1452" s="10" t="inlineStr">
        <is>
          <t>Schadstoffe</t>
        </is>
      </c>
      <c r="G1452" s="12" t="n">
        <v>0.47</v>
      </c>
      <c r="H1452" s="13" t="n">
        <v>100</v>
      </c>
      <c r="I1452" s="13" t="n">
        <v>250</v>
      </c>
      <c r="J1452" s="13" t="n">
        <v>500</v>
      </c>
      <c r="K1452" s="14">
        <f>IF(OR(COUNT(G1452:J1452)&lt;&gt;4,G1452&lt;0,G1452&gt;1,H1452&gt;I1452,I1452&gt;J1452),"n.a.",ROUND(G1452*(H1452+4*I1452+J1452)/6+0.00000001,2))</f>
        <v/>
      </c>
      <c r="L1452" s="13" t="n">
        <v>0</v>
      </c>
      <c r="M1452" s="14">
        <f>SUMIFS(Maßnahmen!$I$7:$I$126,Maßnahmen!$D$7:$D$126,C1452,Maßnahmen!$H$7:$H$126,"&lt;&gt;verworfen")</f>
        <v/>
      </c>
      <c r="N1452" s="14">
        <f>IF(ISNUMBER(K1452),MAX(0,K1452-L1452-M1452),"n.a.")</f>
        <v/>
      </c>
      <c r="O1452" s="14" t="n">
        <v>125.33</v>
      </c>
      <c r="P1452" s="14">
        <f>IF(ISNUMBER(K1452),K1452-O1452,"n.a.")</f>
        <v/>
      </c>
    </row>
    <row r="1453" ht="32" customHeight="1">
      <c r="C1453" s="10" t="inlineStr">
        <is>
          <t>PRJ-4a6f9d1e-RK-03</t>
        </is>
      </c>
      <c r="D1453" s="10" t="inlineStr">
        <is>
          <t>P4102608232</t>
        </is>
      </c>
      <c r="E1453" s="11" t="inlineStr">
        <is>
          <t>Entsorgungs-Mehrkosten / Entsorgungswege</t>
        </is>
      </c>
      <c r="F1453" s="10" t="inlineStr">
        <is>
          <t>Entsorgung</t>
        </is>
      </c>
      <c r="G1453" s="12" t="n">
        <v>0.27</v>
      </c>
      <c r="H1453" s="13" t="n">
        <v>100</v>
      </c>
      <c r="I1453" s="13" t="n">
        <v>250</v>
      </c>
      <c r="J1453" s="13" t="n">
        <v>500</v>
      </c>
      <c r="K1453" s="14">
        <f>IF(OR(COUNT(G1453:J1453)&lt;&gt;4,G1453&lt;0,G1453&gt;1,H1453&gt;I1453,I1453&gt;J1453),"n.a.",ROUND(G1453*(H1453+4*I1453+J1453)/6+0.00000001,2))</f>
        <v/>
      </c>
      <c r="L1453" s="13" t="n">
        <v>0</v>
      </c>
      <c r="M1453" s="14">
        <f>SUMIFS(Maßnahmen!$I$7:$I$126,Maßnahmen!$D$7:$D$126,C1453,Maßnahmen!$H$7:$H$126,"&lt;&gt;verworfen")</f>
        <v/>
      </c>
      <c r="N1453" s="14">
        <f>IF(ISNUMBER(K1453),MAX(0,K1453-L1453-M1453),"n.a.")</f>
        <v/>
      </c>
      <c r="O1453" s="14" t="n">
        <v>72</v>
      </c>
      <c r="P1453" s="14">
        <f>IF(ISNUMBER(K1453),K1453-O1453,"n.a.")</f>
        <v/>
      </c>
    </row>
    <row r="1454" ht="32" customHeight="1">
      <c r="C1454" s="10" t="inlineStr">
        <is>
          <t>PRJ-4a6f9d1e-RK-04</t>
        </is>
      </c>
      <c r="D1454" s="10" t="inlineStr">
        <is>
          <t>P4102608232</t>
        </is>
      </c>
      <c r="E1454" s="11" t="inlineStr">
        <is>
          <t>Baustofftrennung / Aufbereitung nicht wie geplant</t>
        </is>
      </c>
      <c r="F1454" s="10" t="inlineStr">
        <is>
          <t>Entsorgung</t>
        </is>
      </c>
      <c r="G1454" s="12" t="n">
        <v>0.1</v>
      </c>
      <c r="H1454" s="13" t="n">
        <v>100</v>
      </c>
      <c r="I1454" s="13" t="n">
        <v>250</v>
      </c>
      <c r="J1454" s="13" t="n">
        <v>500</v>
      </c>
      <c r="K1454" s="14">
        <f>IF(OR(COUNT(G1454:J1454)&lt;&gt;4,G1454&lt;0,G1454&gt;1,H1454&gt;I1454,I1454&gt;J1454),"n.a.",ROUND(G1454*(H1454+4*I1454+J1454)/6+0.00000001,2))</f>
        <v/>
      </c>
      <c r="L1454" s="13" t="n">
        <v>0</v>
      </c>
      <c r="M1454" s="14">
        <f>SUMIFS(Maßnahmen!$I$7:$I$126,Maßnahmen!$D$7:$D$126,C1454,Maßnahmen!$H$7:$H$126,"&lt;&gt;verworfen")</f>
        <v/>
      </c>
      <c r="N1454" s="14">
        <f>IF(ISNUMBER(K1454),MAX(0,K1454-L1454-M1454),"n.a.")</f>
        <v/>
      </c>
      <c r="O1454" s="14" t="n">
        <v>26.67</v>
      </c>
      <c r="P1454" s="14">
        <f>IF(ISNUMBER(K1454),K1454-O1454,"n.a.")</f>
        <v/>
      </c>
    </row>
    <row r="1455" ht="32" customHeight="1">
      <c r="C1455" s="10" t="inlineStr">
        <is>
          <t>PRJ-4a6f9d1e-RK-05</t>
        </is>
      </c>
      <c r="D1455" s="10" t="inlineStr">
        <is>
          <t>P4102608232</t>
        </is>
      </c>
      <c r="E1455" s="11" t="inlineStr">
        <is>
          <t>Unbekannte Bauwerkskonstruktion / fehlende Pläne</t>
        </is>
      </c>
      <c r="F1455" s="10" t="inlineStr">
        <is>
          <t>Statik</t>
        </is>
      </c>
      <c r="G1455" s="12" t="n">
        <v>0.12</v>
      </c>
      <c r="H1455" s="13" t="n">
        <v>200</v>
      </c>
      <c r="I1455" s="13" t="n">
        <v>400</v>
      </c>
      <c r="J1455" s="13" t="n">
        <v>750</v>
      </c>
      <c r="K1455" s="14">
        <f>IF(OR(COUNT(G1455:J1455)&lt;&gt;4,G1455&lt;0,G1455&gt;1,H1455&gt;I1455,I1455&gt;J1455),"n.a.",ROUND(G1455*(H1455+4*I1455+J1455)/6+0.00000001,2))</f>
        <v/>
      </c>
      <c r="L1455" s="13" t="n">
        <v>0</v>
      </c>
      <c r="M1455" s="14">
        <f>SUMIFS(Maßnahmen!$I$7:$I$126,Maßnahmen!$D$7:$D$126,C1455,Maßnahmen!$H$7:$H$126,"&lt;&gt;verworfen")</f>
        <v/>
      </c>
      <c r="N1455" s="14">
        <f>IF(ISNUMBER(K1455),MAX(0,K1455-L1455-M1455),"n.a.")</f>
        <v/>
      </c>
      <c r="O1455" s="14" t="n">
        <v>51</v>
      </c>
      <c r="P1455" s="14">
        <f>IF(ISNUMBER(K1455),K1455-O1455,"n.a.")</f>
        <v/>
      </c>
    </row>
    <row r="1456" ht="32" customHeight="1">
      <c r="C1456" s="10" t="inlineStr">
        <is>
          <t>PRJ-4a6f9d1e-RK-06</t>
        </is>
      </c>
      <c r="D1456" s="10" t="inlineStr">
        <is>
          <t>P4102608232</t>
        </is>
      </c>
      <c r="E1456" s="11" t="inlineStr">
        <is>
          <t>Statik / Einsturzsicherung während Abbruch</t>
        </is>
      </c>
      <c r="F1456" s="10" t="inlineStr">
        <is>
          <t>Statik</t>
        </is>
      </c>
      <c r="G1456" s="12" t="n">
        <v>0.24</v>
      </c>
      <c r="H1456" s="13" t="n">
        <v>150</v>
      </c>
      <c r="I1456" s="13" t="n">
        <v>350</v>
      </c>
      <c r="J1456" s="13" t="n">
        <v>700</v>
      </c>
      <c r="K1456" s="14">
        <f>IF(OR(COUNT(G1456:J1456)&lt;&gt;4,G1456&lt;0,G1456&gt;1,H1456&gt;I1456,I1456&gt;J1456),"n.a.",ROUND(G1456*(H1456+4*I1456+J1456)/6+0.00000001,2))</f>
        <v/>
      </c>
      <c r="L1456" s="13" t="n">
        <v>0</v>
      </c>
      <c r="M1456" s="14">
        <f>SUMIFS(Maßnahmen!$I$7:$I$126,Maßnahmen!$D$7:$D$126,C1456,Maßnahmen!$H$7:$H$126,"&lt;&gt;verworfen")</f>
        <v/>
      </c>
      <c r="N1456" s="14">
        <f>IF(ISNUMBER(K1456),MAX(0,K1456-L1456-M1456),"n.a.")</f>
        <v/>
      </c>
      <c r="O1456" s="14" t="n">
        <v>90</v>
      </c>
      <c r="P1456" s="14">
        <f>IF(ISNUMBER(K1456),K1456-O1456,"n.a.")</f>
        <v/>
      </c>
    </row>
    <row r="1457" ht="32" customHeight="1">
      <c r="C1457" s="10" t="inlineStr">
        <is>
          <t>PRJ-4a6f9d1e-RK-07</t>
        </is>
      </c>
      <c r="D1457" s="10" t="inlineStr">
        <is>
          <t>P4102608232</t>
        </is>
      </c>
      <c r="E1457" s="11" t="inlineStr">
        <is>
          <t>Unterirdische Tragkonstruktion / Fundamente</t>
        </is>
      </c>
      <c r="F1457" s="10" t="inlineStr">
        <is>
          <t>Statik</t>
        </is>
      </c>
      <c r="G1457" s="12" t="n">
        <v>0.5</v>
      </c>
      <c r="H1457" s="13" t="n">
        <v>25</v>
      </c>
      <c r="I1457" s="13" t="n">
        <v>100</v>
      </c>
      <c r="J1457" s="13" t="n">
        <v>250</v>
      </c>
      <c r="K1457" s="14">
        <f>IF(OR(COUNT(G1457:J1457)&lt;&gt;4,G1457&lt;0,G1457&gt;1,H1457&gt;I1457,I1457&gt;J1457),"n.a.",ROUND(G1457*(H1457+4*I1457+J1457)/6+0.00000001,2))</f>
        <v/>
      </c>
      <c r="L1457" s="13" t="n">
        <v>0</v>
      </c>
      <c r="M1457" s="14">
        <f>SUMIFS(Maßnahmen!$I$7:$I$126,Maßnahmen!$D$7:$D$126,C1457,Maßnahmen!$H$7:$H$126,"&lt;&gt;verworfen")</f>
        <v/>
      </c>
      <c r="N1457" s="14">
        <f>IF(ISNUMBER(K1457),MAX(0,K1457-L1457-M1457),"n.a.")</f>
        <v/>
      </c>
      <c r="O1457" s="14" t="n">
        <v>56.25</v>
      </c>
      <c r="P1457" s="14">
        <f>IF(ISNUMBER(K1457),K1457-O1457,"n.a.")</f>
        <v/>
      </c>
    </row>
    <row r="1458" ht="32" customHeight="1">
      <c r="C1458" s="10" t="inlineStr">
        <is>
          <t>PRJ-4a6f9d1e-RK-08</t>
        </is>
      </c>
      <c r="D1458" s="10" t="inlineStr">
        <is>
          <t>P4102608232</t>
        </is>
      </c>
      <c r="E1458" s="11" t="inlineStr">
        <is>
          <t>Gebäudehöhe &gt;22 m / Longfront-Bagger (+130–150 %)</t>
        </is>
      </c>
      <c r="F1458" s="10" t="inlineStr">
        <is>
          <t>Termin</t>
        </is>
      </c>
      <c r="G1458" s="12" t="n">
        <v>0.6</v>
      </c>
      <c r="H1458" s="13" t="n">
        <v>450</v>
      </c>
      <c r="I1458" s="13" t="n">
        <v>900</v>
      </c>
      <c r="J1458" s="13" t="n">
        <v>1700</v>
      </c>
      <c r="K1458" s="14">
        <f>IF(OR(COUNT(G1458:J1458)&lt;&gt;4,G1458&lt;0,G1458&gt;1,H1458&gt;I1458,I1458&gt;J1458),"n.a.",ROUND(G1458*(H1458+4*I1458+J1458)/6+0.00000001,2))</f>
        <v/>
      </c>
      <c r="L1458" s="13" t="n">
        <v>0</v>
      </c>
      <c r="M1458" s="14">
        <f>SUMIFS(Maßnahmen!$I$7:$I$126,Maßnahmen!$D$7:$D$126,C1458,Maßnahmen!$H$7:$H$126,"&lt;&gt;verworfen")</f>
        <v/>
      </c>
      <c r="N1458" s="14">
        <f>IF(ISNUMBER(K1458),MAX(0,K1458-L1458-M1458),"n.a.")</f>
        <v/>
      </c>
      <c r="O1458" s="14" t="n">
        <v>575</v>
      </c>
      <c r="P1458" s="14">
        <f>IF(ISNUMBER(K1458),K1458-O1458,"n.a.")</f>
        <v/>
      </c>
    </row>
    <row r="1459" ht="32" customHeight="1">
      <c r="C1459" s="10" t="inlineStr">
        <is>
          <t>PRJ-39e5680a-RK-07</t>
        </is>
      </c>
      <c r="D1459" s="10" t="inlineStr">
        <is>
          <t>W4102504108</t>
        </is>
      </c>
      <c r="E1459" s="11" t="inlineStr">
        <is>
          <t>Unterirdische Tragkonstruktion / Fundamente</t>
        </is>
      </c>
      <c r="F1459" s="10" t="inlineStr">
        <is>
          <t>Statik</t>
        </is>
      </c>
      <c r="G1459" s="12" t="n">
        <v>0.5</v>
      </c>
      <c r="H1459" s="13" t="n">
        <v>19</v>
      </c>
      <c r="I1459" s="13" t="n">
        <v>78</v>
      </c>
      <c r="J1459" s="13" t="n">
        <v>194</v>
      </c>
      <c r="K1459" s="14">
        <f>IF(OR(COUNT(G1459:J1459)&lt;&gt;4,G1459&lt;0,G1459&gt;1,H1459&gt;I1459,I1459&gt;J1459),"n.a.",ROUND(G1459*(H1459+4*I1459+J1459)/6+0.00000001,2))</f>
        <v/>
      </c>
      <c r="L1459" s="13" t="n">
        <v>0</v>
      </c>
      <c r="M1459" s="14">
        <f>SUMIFS(Maßnahmen!$I$7:$I$126,Maßnahmen!$D$7:$D$126,C1459,Maßnahmen!$H$7:$H$126,"&lt;&gt;verworfen")</f>
        <v/>
      </c>
      <c r="N1459" s="14">
        <f>IF(ISNUMBER(K1459),MAX(0,K1459-L1459-M1459),"n.a.")</f>
        <v/>
      </c>
      <c r="O1459" s="14" t="n">
        <v>43.75</v>
      </c>
      <c r="P1459" s="14">
        <f>IF(ISNUMBER(K1459),K1459-O1459,"n.a.")</f>
        <v/>
      </c>
    </row>
    <row r="1460" ht="32" customHeight="1">
      <c r="C1460" s="10" t="inlineStr">
        <is>
          <t>PRJ-39e5680a-RK-08</t>
        </is>
      </c>
      <c r="D1460" s="10" t="inlineStr">
        <is>
          <t>W4102504108</t>
        </is>
      </c>
      <c r="E1460" s="11" t="inlineStr">
        <is>
          <t>Gebäudehöhe &gt;22 m / Longfront-Bagger (+130–150 %)</t>
        </is>
      </c>
      <c r="F1460" s="10" t="inlineStr">
        <is>
          <t>Termin</t>
        </is>
      </c>
      <c r="G1460" s="12" t="n">
        <v>0.6</v>
      </c>
      <c r="H1460" s="13" t="n">
        <v>349</v>
      </c>
      <c r="I1460" s="13" t="n">
        <v>698</v>
      </c>
      <c r="J1460" s="13" t="n">
        <v>1319</v>
      </c>
      <c r="K1460" s="14">
        <f>IF(OR(COUNT(G1460:J1460)&lt;&gt;4,G1460&lt;0,G1460&gt;1,H1460&gt;I1460,I1460&gt;J1460),"n.a.",ROUND(G1460*(H1460+4*I1460+J1460)/6+0.00000001,2))</f>
        <v/>
      </c>
      <c r="L1460" s="13" t="n">
        <v>0</v>
      </c>
      <c r="M1460" s="14">
        <f>SUMIFS(Maßnahmen!$I$7:$I$126,Maßnahmen!$D$7:$D$126,C1460,Maßnahmen!$H$7:$H$126,"&lt;&gt;verworfen")</f>
        <v/>
      </c>
      <c r="N1460" s="14">
        <f>IF(ISNUMBER(K1460),MAX(0,K1460-L1460-M1460),"n.a.")</f>
        <v/>
      </c>
      <c r="O1460" s="14" t="n">
        <v>446</v>
      </c>
      <c r="P1460" s="14">
        <f>IF(ISNUMBER(K1460),K1460-O1460,"n.a.")</f>
        <v/>
      </c>
    </row>
    <row r="1461" ht="32" customHeight="1">
      <c r="C1461" s="10" t="inlineStr">
        <is>
          <t>PRJ-39e5680a-RK-09</t>
        </is>
      </c>
      <c r="D1461" s="10" t="inlineStr">
        <is>
          <t>W4102504108</t>
        </is>
      </c>
      <c r="E1461" s="11" t="inlineStr">
        <is>
          <t>Beennte Lage / nur Handabbruch möglich</t>
        </is>
      </c>
      <c r="F1461" s="10" t="inlineStr">
        <is>
          <t>Termin</t>
        </is>
      </c>
      <c r="G1461" s="12" t="n">
        <v>0.144</v>
      </c>
      <c r="H1461" s="13" t="n">
        <v>28</v>
      </c>
      <c r="I1461" s="13" t="n">
        <v>71</v>
      </c>
      <c r="J1461" s="13" t="n">
        <v>182</v>
      </c>
      <c r="K1461" s="14">
        <f>IF(OR(COUNT(G1461:J1461)&lt;&gt;4,G1461&lt;0,G1461&gt;1,H1461&gt;I1461,I1461&gt;J1461),"n.a.",ROUND(G1461*(H1461+4*I1461+J1461)/6+0.00000001,2))</f>
        <v/>
      </c>
      <c r="L1461" s="13" t="n">
        <v>0</v>
      </c>
      <c r="M1461" s="14">
        <f>SUMIFS(Maßnahmen!$I$7:$I$126,Maßnahmen!$D$7:$D$126,C1461,Maßnahmen!$H$7:$H$126,"&lt;&gt;verworfen")</f>
        <v/>
      </c>
      <c r="N1461" s="14">
        <f>IF(ISNUMBER(K1461),MAX(0,K1461-L1461-M1461),"n.a.")</f>
        <v/>
      </c>
      <c r="O1461" s="14" t="n">
        <v>11.86</v>
      </c>
      <c r="P1461" s="14">
        <f>IF(ISNUMBER(K1461),K1461-O1461,"n.a.")</f>
        <v/>
      </c>
    </row>
    <row r="1462" ht="32" customHeight="1">
      <c r="C1462" s="10" t="inlineStr">
        <is>
          <t>PRJ-39e5680a-RK-10</t>
        </is>
      </c>
      <c r="D1462" s="10" t="inlineStr">
        <is>
          <t>W4102504108</t>
        </is>
      </c>
      <c r="E1462" s="11" t="inlineStr">
        <is>
          <t>Terminvorgabe Auftraggeber / Geräteauslastung</t>
        </is>
      </c>
      <c r="F1462" s="10" t="inlineStr">
        <is>
          <t>Termin</t>
        </is>
      </c>
      <c r="G1462" s="12" t="n">
        <v>0.1</v>
      </c>
      <c r="H1462" s="13" t="n">
        <v>31</v>
      </c>
      <c r="I1462" s="13" t="n">
        <v>78</v>
      </c>
      <c r="J1462" s="13" t="n">
        <v>194</v>
      </c>
      <c r="K1462" s="14">
        <f>IF(OR(COUNT(G1462:J1462)&lt;&gt;4,G1462&lt;0,G1462&gt;1,H1462&gt;I1462,I1462&gt;J1462),"n.a.",ROUND(G1462*(H1462+4*I1462+J1462)/6+0.00000001,2))</f>
        <v/>
      </c>
      <c r="L1462" s="13" t="n">
        <v>0</v>
      </c>
      <c r="M1462" s="14">
        <f>SUMIFS(Maßnahmen!$I$7:$I$126,Maßnahmen!$D$7:$D$126,C1462,Maßnahmen!$H$7:$H$126,"&lt;&gt;verworfen")</f>
        <v/>
      </c>
      <c r="N1462" s="14">
        <f>IF(ISNUMBER(K1462),MAX(0,K1462-L1462-M1462),"n.a.")</f>
        <v/>
      </c>
      <c r="O1462" s="14" t="n">
        <v>8.949999999999999</v>
      </c>
      <c r="P1462" s="14">
        <f>IF(ISNUMBER(K1462),K1462-O1462,"n.a.")</f>
        <v/>
      </c>
    </row>
    <row r="1463" ht="32" customHeight="1">
      <c r="C1463" s="10" t="inlineStr">
        <is>
          <t>PRJ-39e5680a-RK-12</t>
        </is>
      </c>
      <c r="D1463" s="10" t="inlineStr">
        <is>
          <t>W4102504108</t>
        </is>
      </c>
      <c r="E1463" s="11" t="inlineStr">
        <is>
          <t>Staubemissionen (höchster Aufwand laut Umfrage)</t>
        </is>
      </c>
      <c r="F1463" s="10" t="inlineStr">
        <is>
          <t>Emissionen</t>
        </is>
      </c>
      <c r="G1463" s="12" t="n">
        <v>0.1</v>
      </c>
      <c r="H1463" s="13" t="n">
        <v>116</v>
      </c>
      <c r="I1463" s="13" t="n">
        <v>233</v>
      </c>
      <c r="J1463" s="13" t="n">
        <v>466</v>
      </c>
      <c r="K1463" s="14">
        <f>IF(OR(COUNT(G1463:J1463)&lt;&gt;4,G1463&lt;0,G1463&gt;1,H1463&gt;I1463,I1463&gt;J1463),"n.a.",ROUND(G1463*(H1463+4*I1463+J1463)/6+0.00000001,2))</f>
        <v/>
      </c>
      <c r="L1463" s="13" t="n">
        <v>0</v>
      </c>
      <c r="M1463" s="14">
        <f>SUMIFS(Maßnahmen!$I$7:$I$126,Maßnahmen!$D$7:$D$126,C1463,Maßnahmen!$H$7:$H$126,"&lt;&gt;verworfen")</f>
        <v/>
      </c>
      <c r="N1463" s="14">
        <f>IF(ISNUMBER(K1463),MAX(0,K1463-L1463-M1463),"n.a.")</f>
        <v/>
      </c>
      <c r="O1463" s="14" t="n">
        <v>25.23</v>
      </c>
      <c r="P1463" s="14">
        <f>IF(ISNUMBER(K1463),K1463-O1463,"n.a.")</f>
        <v/>
      </c>
    </row>
    <row r="1464" ht="32" customHeight="1">
      <c r="C1464" s="10" t="inlineStr">
        <is>
          <t>PRJ-39e5680a-RK-13</t>
        </is>
      </c>
      <c r="D1464" s="10" t="inlineStr">
        <is>
          <t>W4102504108</t>
        </is>
      </c>
      <c r="E1464" s="11" t="inlineStr">
        <is>
          <t>Lärm- und Erschütterungsauflagen</t>
        </is>
      </c>
      <c r="F1464" s="10" t="inlineStr">
        <is>
          <t>Emissionen</t>
        </is>
      </c>
      <c r="G1464" s="12" t="n">
        <v>0.191</v>
      </c>
      <c r="H1464" s="13" t="n">
        <v>70</v>
      </c>
      <c r="I1464" s="13" t="n">
        <v>180</v>
      </c>
      <c r="J1464" s="13" t="n">
        <v>364</v>
      </c>
      <c r="K1464" s="14">
        <f>IF(OR(COUNT(G1464:J1464)&lt;&gt;4,G1464&lt;0,G1464&gt;1,H1464&gt;I1464,I1464&gt;J1464),"n.a.",ROUND(G1464*(H1464+4*I1464+J1464)/6+0.00000001,2))</f>
        <v/>
      </c>
      <c r="L1464" s="13" t="n">
        <v>0</v>
      </c>
      <c r="M1464" s="14">
        <f>SUMIFS(Maßnahmen!$I$7:$I$126,Maßnahmen!$D$7:$D$126,C1464,Maßnahmen!$H$7:$H$126,"&lt;&gt;verworfen")</f>
        <v/>
      </c>
      <c r="N1464" s="14">
        <f>IF(ISNUMBER(K1464),MAX(0,K1464-L1464-M1464),"n.a.")</f>
        <v/>
      </c>
      <c r="O1464" s="14" t="n">
        <v>36.74</v>
      </c>
      <c r="P1464" s="14">
        <f>IF(ISNUMBER(K1464),K1464-O1464,"n.a.")</f>
        <v/>
      </c>
    </row>
    <row r="1465" ht="32" customHeight="1">
      <c r="C1465" s="10" t="inlineStr">
        <is>
          <t>PRJ-39e5680a-RK-14</t>
        </is>
      </c>
      <c r="D1465" s="10" t="inlineStr">
        <is>
          <t>W4102504108</t>
        </is>
      </c>
      <c r="E1465" s="11" t="inlineStr">
        <is>
          <t>Rechtliche Auflagen / Entsorgungsnachweise (Formalismus)</t>
        </is>
      </c>
      <c r="F1465" s="10" t="inlineStr">
        <is>
          <t>Genehmigung</t>
        </is>
      </c>
      <c r="G1465" s="12" t="n">
        <v>0.4</v>
      </c>
      <c r="H1465" s="13" t="n">
        <v>369</v>
      </c>
      <c r="I1465" s="13" t="n">
        <v>718</v>
      </c>
      <c r="J1465" s="13" t="n">
        <v>1358</v>
      </c>
      <c r="K1465" s="14">
        <f>IF(OR(COUNT(G1465:J1465)&lt;&gt;4,G1465&lt;0,G1465&gt;1,H1465&gt;I1465,I1465&gt;J1465),"n.a.",ROUND(G1465*(H1465+4*I1465+J1465)/6+0.00000001,2))</f>
        <v/>
      </c>
      <c r="L1465" s="13" t="n">
        <v>0</v>
      </c>
      <c r="M1465" s="14">
        <f>SUMIFS(Maßnahmen!$I$7:$I$126,Maßnahmen!$D$7:$D$126,C1465,Maßnahmen!$H$7:$H$126,"&lt;&gt;verworfen")</f>
        <v/>
      </c>
      <c r="N1465" s="14">
        <f>IF(ISNUMBER(K1465),MAX(0,K1465-L1465-M1465),"n.a.")</f>
        <v/>
      </c>
      <c r="O1465" s="14" t="n">
        <v>306.6</v>
      </c>
      <c r="P1465" s="14">
        <f>IF(ISNUMBER(K1465),K1465-O1465,"n.a.")</f>
        <v/>
      </c>
    </row>
    <row r="1466" ht="32" customHeight="1">
      <c r="C1466" s="10" t="inlineStr">
        <is>
          <t>PRJ-39e5680a-RK-15</t>
        </is>
      </c>
      <c r="D1466" s="10" t="inlineStr">
        <is>
          <t>W4102504108</t>
        </is>
      </c>
      <c r="E1466" s="11" t="inlineStr">
        <is>
          <t>Konjunktur / Sekundärstoffpreise &amp; Gerätemiete</t>
        </is>
      </c>
      <c r="F1466" s="10" t="inlineStr">
        <is>
          <t>Markt</t>
        </is>
      </c>
      <c r="G1466" s="12" t="n">
        <v>0.12</v>
      </c>
      <c r="H1466" s="13" t="n">
        <v>31</v>
      </c>
      <c r="I1466" s="13" t="n">
        <v>78</v>
      </c>
      <c r="J1466" s="13" t="n">
        <v>194</v>
      </c>
      <c r="K1466" s="14">
        <f>IF(OR(COUNT(G1466:J1466)&lt;&gt;4,G1466&lt;0,G1466&gt;1,H1466&gt;I1466,I1466&gt;J1466),"n.a.",ROUND(G1466*(H1466+4*I1466+J1466)/6+0.00000001,2))</f>
        <v/>
      </c>
      <c r="L1466" s="13" t="n">
        <v>0</v>
      </c>
      <c r="M1466" s="14">
        <f>SUMIFS(Maßnahmen!$I$7:$I$126,Maßnahmen!$D$7:$D$126,C1466,Maßnahmen!$H$7:$H$126,"&lt;&gt;verworfen")</f>
        <v/>
      </c>
      <c r="N1466" s="14">
        <f>IF(ISNUMBER(K1466),MAX(0,K1466-L1466-M1466),"n.a.")</f>
        <v/>
      </c>
      <c r="O1466" s="14" t="n">
        <v>10.74</v>
      </c>
      <c r="P1466" s="14">
        <f>IF(ISNUMBER(K1466),K1466-O1466,"n.a.")</f>
        <v/>
      </c>
    </row>
    <row r="1467" ht="32" customHeight="1">
      <c r="C1467" s="10" t="inlineStr">
        <is>
          <t>PRJ-39e56411-RK-01</t>
        </is>
      </c>
      <c r="D1467" s="10" t="inlineStr">
        <is>
          <t>W4102504222</t>
        </is>
      </c>
      <c r="E1467" s="11" t="inlineStr">
        <is>
          <t>Schadstofffund / Schadstoffsanierung (Asbest, PAK, PCB, PCP)</t>
        </is>
      </c>
      <c r="F1467" s="10" t="inlineStr">
        <is>
          <t>Schadstoffe</t>
        </is>
      </c>
      <c r="G1467" s="12" t="n">
        <v>0.1</v>
      </c>
      <c r="H1467" s="13" t="n">
        <v>7251</v>
      </c>
      <c r="I1467" s="13" t="n">
        <v>18128</v>
      </c>
      <c r="J1467" s="13" t="n">
        <v>36256</v>
      </c>
      <c r="K1467" s="14">
        <f>IF(OR(COUNT(G1467:J1467)&lt;&gt;4,G1467&lt;0,G1467&gt;1,H1467&gt;I1467,I1467&gt;J1467),"n.a.",ROUND(G1467*(H1467+4*I1467+J1467)/6+0.00000001,2))</f>
        <v/>
      </c>
      <c r="L1467" s="13" t="n">
        <v>0</v>
      </c>
      <c r="M1467" s="14">
        <f>SUMIFS(Maßnahmen!$I$7:$I$126,Maßnahmen!$D$7:$D$126,C1467,Maßnahmen!$H$7:$H$126,"&lt;&gt;verworfen")</f>
        <v/>
      </c>
      <c r="N1467" s="14">
        <f>IF(ISNUMBER(K1467),MAX(0,K1467-L1467-M1467),"n.a.")</f>
        <v/>
      </c>
      <c r="O1467" s="14" t="n">
        <v>1933.65</v>
      </c>
      <c r="P1467" s="14">
        <f>IF(ISNUMBER(K1467),K1467-O1467,"n.a.")</f>
        <v/>
      </c>
    </row>
    <row r="1468" ht="32" customHeight="1">
      <c r="C1468" s="10" t="inlineStr">
        <is>
          <t>PRJ-39e56411-RK-02</t>
        </is>
      </c>
      <c r="D1468" s="10" t="inlineStr">
        <is>
          <t>W4102504222</t>
        </is>
      </c>
      <c r="E1468" s="11" t="inlineStr">
        <is>
          <t>Arbeitsschutz kontaminierte Bereiche (TRGS 524)</t>
        </is>
      </c>
      <c r="F1468" s="10" t="inlineStr">
        <is>
          <t>Schadstoffe</t>
        </is>
      </c>
      <c r="G1468" s="12" t="n">
        <v>0.467</v>
      </c>
      <c r="H1468" s="13" t="n">
        <v>6695</v>
      </c>
      <c r="I1468" s="13" t="n">
        <v>17294</v>
      </c>
      <c r="J1468" s="13" t="n">
        <v>34866</v>
      </c>
      <c r="K1468" s="14">
        <f>IF(OR(COUNT(G1468:J1468)&lt;&gt;4,G1468&lt;0,G1468&gt;1,H1468&gt;I1468,I1468&gt;J1468),"n.a.",ROUND(G1468*(H1468+4*I1468+J1468)/6+0.00000001,2))</f>
        <v/>
      </c>
      <c r="L1468" s="13" t="n">
        <v>0</v>
      </c>
      <c r="M1468" s="14">
        <f>SUMIFS(Maßnahmen!$I$7:$I$126,Maßnahmen!$D$7:$D$126,C1468,Maßnahmen!$H$7:$H$126,"&lt;&gt;verworfen")</f>
        <v/>
      </c>
      <c r="N1468" s="14">
        <f>IF(ISNUMBER(K1468),MAX(0,K1468-L1468-M1468),"n.a.")</f>
        <v/>
      </c>
      <c r="O1468" s="14" t="n">
        <v>8619.030000000001</v>
      </c>
      <c r="P1468" s="14">
        <f>IF(ISNUMBER(K1468),K1468-O1468,"n.a.")</f>
        <v/>
      </c>
    </row>
    <row r="1469" ht="32" customHeight="1">
      <c r="C1469" s="10" t="inlineStr">
        <is>
          <t>PRJ-39e56411-RK-03</t>
        </is>
      </c>
      <c r="D1469" s="10" t="inlineStr">
        <is>
          <t>W4102504222</t>
        </is>
      </c>
      <c r="E1469" s="11" t="inlineStr">
        <is>
          <t>Entsorgungs-Mehrkosten / Entsorgungswege</t>
        </is>
      </c>
      <c r="F1469" s="10" t="inlineStr">
        <is>
          <t>Entsorgung</t>
        </is>
      </c>
      <c r="G1469" s="12" t="n">
        <v>0.15</v>
      </c>
      <c r="H1469" s="13" t="n">
        <v>7251</v>
      </c>
      <c r="I1469" s="13" t="n">
        <v>18128</v>
      </c>
      <c r="J1469" s="13" t="n">
        <v>36256</v>
      </c>
      <c r="K1469" s="14">
        <f>IF(OR(COUNT(G1469:J1469)&lt;&gt;4,G1469&lt;0,G1469&gt;1,H1469&gt;I1469,I1469&gt;J1469),"n.a.",ROUND(G1469*(H1469+4*I1469+J1469)/6+0.00000001,2))</f>
        <v/>
      </c>
      <c r="L1469" s="13" t="n">
        <v>0</v>
      </c>
      <c r="M1469" s="14">
        <f>SUMIFS(Maßnahmen!$I$7:$I$126,Maßnahmen!$D$7:$D$126,C1469,Maßnahmen!$H$7:$H$126,"&lt;&gt;verworfen")</f>
        <v/>
      </c>
      <c r="N1469" s="14">
        <f>IF(ISNUMBER(K1469),MAX(0,K1469-L1469-M1469),"n.a.")</f>
        <v/>
      </c>
      <c r="O1469" s="14" t="n">
        <v>2900.48</v>
      </c>
      <c r="P1469" s="14">
        <f>IF(ISNUMBER(K1469),K1469-O1469,"n.a.")</f>
        <v/>
      </c>
    </row>
    <row r="1470" ht="32" customHeight="1">
      <c r="C1470" s="10" t="inlineStr">
        <is>
          <t>PRJ-39e56411-RK-04</t>
        </is>
      </c>
      <c r="D1470" s="10" t="inlineStr">
        <is>
          <t>W4102504222</t>
        </is>
      </c>
      <c r="E1470" s="11" t="inlineStr">
        <is>
          <t>Baustofftrennung / Aufbereitung nicht wie geplant</t>
        </is>
      </c>
      <c r="F1470" s="10" t="inlineStr">
        <is>
          <t>Entsorgung</t>
        </is>
      </c>
      <c r="G1470" s="12" t="n">
        <v>0.097</v>
      </c>
      <c r="H1470" s="13" t="n">
        <v>4412</v>
      </c>
      <c r="I1470" s="13" t="n">
        <v>13870</v>
      </c>
      <c r="J1470" s="13" t="n">
        <v>29159</v>
      </c>
      <c r="K1470" s="14">
        <f>IF(OR(COUNT(G1470:J1470)&lt;&gt;4,G1470&lt;0,G1470&gt;1,H1470&gt;I1470,I1470&gt;J1470),"n.a.",ROUND(G1470*(H1470+4*I1470+J1470)/6+0.00000001,2))</f>
        <v/>
      </c>
      <c r="L1470" s="13" t="n">
        <v>0</v>
      </c>
      <c r="M1470" s="14">
        <f>SUMIFS(Maßnahmen!$I$7:$I$126,Maßnahmen!$D$7:$D$126,C1470,Maßnahmen!$H$7:$H$126,"&lt;&gt;verworfen")</f>
        <v/>
      </c>
      <c r="N1470" s="14">
        <f>IF(ISNUMBER(K1470),MAX(0,K1470-L1470-M1470),"n.a.")</f>
        <v/>
      </c>
      <c r="O1470" s="14" t="n">
        <v>1439.66</v>
      </c>
      <c r="P1470" s="14">
        <f>IF(ISNUMBER(K1470),K1470-O1470,"n.a.")</f>
        <v/>
      </c>
    </row>
    <row r="1471" ht="32" customHeight="1">
      <c r="C1471" s="10" t="inlineStr">
        <is>
          <t>PRJ-39e56411-RK-05</t>
        </is>
      </c>
      <c r="D1471" s="10" t="inlineStr">
        <is>
          <t>W4102504222</t>
        </is>
      </c>
      <c r="E1471" s="11" t="inlineStr">
        <is>
          <t>Unbekannte Bauwerkskonstruktion / fehlende Pläne</t>
        </is>
      </c>
      <c r="F1471" s="10" t="inlineStr">
        <is>
          <t>Statik</t>
        </is>
      </c>
      <c r="G1471" s="12" t="n">
        <v>0.12</v>
      </c>
      <c r="H1471" s="13" t="n">
        <v>12115</v>
      </c>
      <c r="I1471" s="13" t="n">
        <v>25025</v>
      </c>
      <c r="J1471" s="13" t="n">
        <v>48017</v>
      </c>
      <c r="K1471" s="14">
        <f>IF(OR(COUNT(G1471:J1471)&lt;&gt;4,G1471&lt;0,G1471&gt;1,H1471&gt;I1471,I1471&gt;J1471),"n.a.",ROUND(G1471*(H1471+4*I1471+J1471)/6+0.00000001,2))</f>
        <v/>
      </c>
      <c r="L1471" s="13" t="n">
        <v>0</v>
      </c>
      <c r="M1471" s="14">
        <f>SUMIFS(Maßnahmen!$I$7:$I$126,Maßnahmen!$D$7:$D$126,C1471,Maßnahmen!$H$7:$H$126,"&lt;&gt;verworfen")</f>
        <v/>
      </c>
      <c r="N1471" s="14">
        <f>IF(ISNUMBER(K1471),MAX(0,K1471-L1471-M1471),"n.a.")</f>
        <v/>
      </c>
      <c r="O1471" s="14" t="n">
        <v>3204.64</v>
      </c>
      <c r="P1471" s="14">
        <f>IF(ISNUMBER(K1471),K1471-O1471,"n.a.")</f>
        <v/>
      </c>
    </row>
    <row r="1472" ht="32" customHeight="1">
      <c r="C1472" s="10" t="inlineStr">
        <is>
          <t>PRJ-39e56411-RK-06</t>
        </is>
      </c>
      <c r="D1472" s="10" t="inlineStr">
        <is>
          <t>W4102504222</t>
        </is>
      </c>
      <c r="E1472" s="11" t="inlineStr">
        <is>
          <t>Statik / Einsturzsicherung während Abbruch</t>
        </is>
      </c>
      <c r="F1472" s="10" t="inlineStr">
        <is>
          <t>Statik</t>
        </is>
      </c>
      <c r="G1472" s="12" t="n">
        <v>0.12</v>
      </c>
      <c r="H1472" s="13" t="n">
        <v>10877</v>
      </c>
      <c r="I1472" s="13" t="n">
        <v>25379</v>
      </c>
      <c r="J1472" s="13" t="n">
        <v>50758</v>
      </c>
      <c r="K1472" s="14">
        <f>IF(OR(COUNT(G1472:J1472)&lt;&gt;4,G1472&lt;0,G1472&gt;1,H1472&gt;I1472,I1472&gt;J1472),"n.a.",ROUND(G1472*(H1472+4*I1472+J1472)/6+0.00000001,2))</f>
        <v/>
      </c>
      <c r="L1472" s="13" t="n">
        <v>0</v>
      </c>
      <c r="M1472" s="14">
        <f>SUMIFS(Maßnahmen!$I$7:$I$126,Maßnahmen!$D$7:$D$126,C1472,Maßnahmen!$H$7:$H$126,"&lt;&gt;verworfen")</f>
        <v/>
      </c>
      <c r="N1472" s="14">
        <f>IF(ISNUMBER(K1472),MAX(0,K1472-L1472-M1472),"n.a.")</f>
        <v/>
      </c>
      <c r="O1472" s="14" t="n">
        <v>3263.02</v>
      </c>
      <c r="P1472" s="14">
        <f>IF(ISNUMBER(K1472),K1472-O1472,"n.a.")</f>
        <v/>
      </c>
    </row>
    <row r="1473" ht="32" customHeight="1">
      <c r="C1473" s="10" t="inlineStr">
        <is>
          <t>PRJ-39e56411-RK-07</t>
        </is>
      </c>
      <c r="D1473" s="10" t="inlineStr">
        <is>
          <t>W4102504222</t>
        </is>
      </c>
      <c r="E1473" s="11" t="inlineStr">
        <is>
          <t>Unterirdische Tragkonstruktion / Fundamente</t>
        </is>
      </c>
      <c r="F1473" s="10" t="inlineStr">
        <is>
          <t>Statik</t>
        </is>
      </c>
      <c r="G1473" s="12" t="n">
        <v>0.5</v>
      </c>
      <c r="H1473" s="13" t="n">
        <v>1813</v>
      </c>
      <c r="I1473" s="13" t="n">
        <v>7251</v>
      </c>
      <c r="J1473" s="13" t="n">
        <v>18128</v>
      </c>
      <c r="K1473" s="14">
        <f>IF(OR(COUNT(G1473:J1473)&lt;&gt;4,G1473&lt;0,G1473&gt;1,H1473&gt;I1473,I1473&gt;J1473),"n.a.",ROUND(G1473*(H1473+4*I1473+J1473)/6+0.00000001,2))</f>
        <v/>
      </c>
      <c r="L1473" s="13" t="n">
        <v>0</v>
      </c>
      <c r="M1473" s="14">
        <f>SUMIFS(Maßnahmen!$I$7:$I$126,Maßnahmen!$D$7:$D$126,C1473,Maßnahmen!$H$7:$H$126,"&lt;&gt;verworfen")</f>
        <v/>
      </c>
      <c r="N1473" s="14">
        <f>IF(ISNUMBER(K1473),MAX(0,K1473-L1473-M1473),"n.a.")</f>
        <v/>
      </c>
      <c r="O1473" s="14" t="n">
        <v>4078.75</v>
      </c>
      <c r="P1473" s="14">
        <f>IF(ISNUMBER(K1473),K1473-O1473,"n.a.")</f>
        <v/>
      </c>
    </row>
    <row r="1474" ht="32" customHeight="1">
      <c r="C1474" s="10" t="inlineStr">
        <is>
          <t>PRJ-39e56411-RK-08</t>
        </is>
      </c>
      <c r="D1474" s="10" t="inlineStr">
        <is>
          <t>W4102504222</t>
        </is>
      </c>
      <c r="E1474" s="11" t="inlineStr">
        <is>
          <t>Gebäudehöhe &gt;22 m / Longfront-Bagger (+130–150 %)</t>
        </is>
      </c>
      <c r="F1474" s="10" t="inlineStr">
        <is>
          <t>Termin</t>
        </is>
      </c>
      <c r="G1474" s="12" t="n">
        <v>0.6</v>
      </c>
      <c r="H1474" s="13" t="n">
        <v>32630</v>
      </c>
      <c r="I1474" s="13" t="n">
        <v>65260</v>
      </c>
      <c r="J1474" s="13" t="n">
        <v>123269</v>
      </c>
      <c r="K1474" s="14">
        <f>IF(OR(COUNT(G1474:J1474)&lt;&gt;4,G1474&lt;0,G1474&gt;1,H1474&gt;I1474,I1474&gt;J1474),"n.a.",ROUND(G1474*(H1474+4*I1474+J1474)/6+0.00000001,2))</f>
        <v/>
      </c>
      <c r="L1474" s="13" t="n">
        <v>0</v>
      </c>
      <c r="M1474" s="14">
        <f>SUMIFS(Maßnahmen!$I$7:$I$126,Maßnahmen!$D$7:$D$126,C1474,Maßnahmen!$H$7:$H$126,"&lt;&gt;verworfen")</f>
        <v/>
      </c>
      <c r="N1474" s="14">
        <f>IF(ISNUMBER(K1474),MAX(0,K1474-L1474-M1474),"n.a.")</f>
        <v/>
      </c>
      <c r="O1474" s="14" t="n">
        <v>41693.9</v>
      </c>
      <c r="P1474" s="14">
        <f>IF(ISNUMBER(K1474),K1474-O1474,"n.a.")</f>
        <v/>
      </c>
    </row>
    <row r="1475" ht="32" customHeight="1">
      <c r="C1475" s="10" t="inlineStr">
        <is>
          <t>PRJ-39e56411-RK-09</t>
        </is>
      </c>
      <c r="D1475" s="10" t="inlineStr">
        <is>
          <t>W4102504222</t>
        </is>
      </c>
      <c r="E1475" s="11" t="inlineStr">
        <is>
          <t>Beennte Lage / nur Handabbruch möglich</t>
        </is>
      </c>
      <c r="F1475" s="10" t="inlineStr">
        <is>
          <t>Termin</t>
        </is>
      </c>
      <c r="G1475" s="12" t="n">
        <v>0.135</v>
      </c>
      <c r="H1475" s="13" t="n">
        <v>2105</v>
      </c>
      <c r="I1475" s="13" t="n">
        <v>5659</v>
      </c>
      <c r="J1475" s="13" t="n">
        <v>14945</v>
      </c>
      <c r="K1475" s="14">
        <f>IF(OR(COUNT(G1475:J1475)&lt;&gt;4,G1475&lt;0,G1475&gt;1,H1475&gt;I1475,I1475&gt;J1475),"n.a.",ROUND(G1475*(H1475+4*I1475+J1475)/6+0.00000001,2))</f>
        <v/>
      </c>
      <c r="L1475" s="13" t="n">
        <v>0</v>
      </c>
      <c r="M1475" s="14">
        <f>SUMIFS(Maßnahmen!$I$7:$I$126,Maßnahmen!$D$7:$D$126,C1475,Maßnahmen!$H$7:$H$126,"&lt;&gt;verworfen")</f>
        <v/>
      </c>
      <c r="N1475" s="14">
        <f>IF(ISNUMBER(K1475),MAX(0,K1475-L1475-M1475),"n.a.")</f>
        <v/>
      </c>
      <c r="O1475" s="14" t="n">
        <v>892.9400000000001</v>
      </c>
      <c r="P1475" s="14">
        <f>IF(ISNUMBER(K1475),K1475-O1475,"n.a.")</f>
        <v/>
      </c>
    </row>
    <row r="1476" ht="32" customHeight="1">
      <c r="C1476" s="10" t="inlineStr">
        <is>
          <t>PRJ-39e56411-RK-10</t>
        </is>
      </c>
      <c r="D1476" s="10" t="inlineStr">
        <is>
          <t>W4102504222</t>
        </is>
      </c>
      <c r="E1476" s="11" t="inlineStr">
        <is>
          <t>Terminvorgabe Auftraggeber / Geräteauslastung</t>
        </is>
      </c>
      <c r="F1476" s="10" t="inlineStr">
        <is>
          <t>Termin</t>
        </is>
      </c>
      <c r="G1476" s="12" t="n">
        <v>0.099</v>
      </c>
      <c r="H1476" s="13" t="n">
        <v>2831</v>
      </c>
      <c r="I1476" s="13" t="n">
        <v>7147</v>
      </c>
      <c r="J1476" s="13" t="n">
        <v>17954</v>
      </c>
      <c r="K1476" s="14">
        <f>IF(OR(COUNT(G1476:J1476)&lt;&gt;4,G1476&lt;0,G1476&gt;1,H1476&gt;I1476,I1476&gt;J1476),"n.a.",ROUND(G1476*(H1476+4*I1476+J1476)/6+0.00000001,2))</f>
        <v/>
      </c>
      <c r="L1476" s="13" t="n">
        <v>0</v>
      </c>
      <c r="M1476" s="14">
        <f>SUMIFS(Maßnahmen!$I$7:$I$126,Maßnahmen!$D$7:$D$126,C1476,Maßnahmen!$H$7:$H$126,"&lt;&gt;verworfen")</f>
        <v/>
      </c>
      <c r="N1476" s="14">
        <f>IF(ISNUMBER(K1476),MAX(0,K1476-L1476-M1476),"n.a.")</f>
        <v/>
      </c>
      <c r="O1476" s="14" t="n">
        <v>814.65</v>
      </c>
      <c r="P1476" s="14">
        <f>IF(ISNUMBER(K1476),K1476-O1476,"n.a.")</f>
        <v/>
      </c>
    </row>
    <row r="1477" ht="32" customHeight="1">
      <c r="C1477" s="10" t="inlineStr">
        <is>
          <t>PRJ-39e56411-RK-11</t>
        </is>
      </c>
      <c r="D1477" s="10" t="inlineStr">
        <is>
          <t>W4102504222</t>
        </is>
      </c>
      <c r="E1477" s="11" t="inlineStr">
        <is>
          <t>Witterung / Ablaufstörung</t>
        </is>
      </c>
      <c r="F1477" s="10" t="inlineStr">
        <is>
          <t>Termin</t>
        </is>
      </c>
      <c r="G1477" s="12" t="n">
        <v>0.25</v>
      </c>
      <c r="H1477" s="13" t="n">
        <v>3626</v>
      </c>
      <c r="I1477" s="13" t="n">
        <v>10877</v>
      </c>
      <c r="J1477" s="13" t="n">
        <v>21753</v>
      </c>
      <c r="K1477" s="14">
        <f>IF(OR(COUNT(G1477:J1477)&lt;&gt;4,G1477&lt;0,G1477&gt;1,H1477&gt;I1477,I1477&gt;J1477),"n.a.",ROUND(G1477*(H1477+4*I1477+J1477)/6+0.00000001,2))</f>
        <v/>
      </c>
      <c r="L1477" s="13" t="n">
        <v>0</v>
      </c>
      <c r="M1477" s="14">
        <f>SUMIFS(Maßnahmen!$I$7:$I$126,Maßnahmen!$D$7:$D$126,C1477,Maßnahmen!$H$7:$H$126,"&lt;&gt;verworfen")</f>
        <v/>
      </c>
      <c r="N1477" s="14">
        <f>IF(ISNUMBER(K1477),MAX(0,K1477-L1477-M1477),"n.a.")</f>
        <v/>
      </c>
      <c r="O1477" s="14" t="n">
        <v>2870.29</v>
      </c>
      <c r="P1477" s="14">
        <f>IF(ISNUMBER(K1477),K1477-O1477,"n.a.")</f>
        <v/>
      </c>
    </row>
    <row r="1478" ht="32" customHeight="1">
      <c r="C1478" s="10" t="inlineStr">
        <is>
          <t>PRJ-39e56411-RK-12</t>
        </is>
      </c>
      <c r="D1478" s="10" t="inlineStr">
        <is>
          <t>W4102504222</t>
        </is>
      </c>
      <c r="E1478" s="11" t="inlineStr">
        <is>
          <t>Staubemissionen (höchster Aufwand laut Umfrage)</t>
        </is>
      </c>
      <c r="F1478" s="10" t="inlineStr">
        <is>
          <t>Emissionen</t>
        </is>
      </c>
      <c r="G1478" s="12" t="n">
        <v>0.1</v>
      </c>
      <c r="H1478" s="13" t="n">
        <v>10877</v>
      </c>
      <c r="I1478" s="13" t="n">
        <v>21753</v>
      </c>
      <c r="J1478" s="13" t="n">
        <v>43507</v>
      </c>
      <c r="K1478" s="14">
        <f>IF(OR(COUNT(G1478:J1478)&lt;&gt;4,G1478&lt;0,G1478&gt;1,H1478&gt;I1478,I1478&gt;J1478),"n.a.",ROUND(G1478*(H1478+4*I1478+J1478)/6+0.00000001,2))</f>
        <v/>
      </c>
      <c r="L1478" s="13" t="n">
        <v>0</v>
      </c>
      <c r="M1478" s="14">
        <f>SUMIFS(Maßnahmen!$I$7:$I$126,Maßnahmen!$D$7:$D$126,C1478,Maßnahmen!$H$7:$H$126,"&lt;&gt;verworfen")</f>
        <v/>
      </c>
      <c r="N1478" s="14">
        <f>IF(ISNUMBER(K1478),MAX(0,K1478-L1478-M1478),"n.a.")</f>
        <v/>
      </c>
      <c r="O1478" s="14" t="n">
        <v>2356.6</v>
      </c>
      <c r="P1478" s="14">
        <f>IF(ISNUMBER(K1478),K1478-O1478,"n.a.")</f>
        <v/>
      </c>
    </row>
    <row r="1479" ht="32" customHeight="1">
      <c r="C1479" s="10" t="inlineStr">
        <is>
          <t>PRJ-39e56411-RK-13</t>
        </is>
      </c>
      <c r="D1479" s="10" t="inlineStr">
        <is>
          <t>W4102504222</t>
        </is>
      </c>
      <c r="E1479" s="11" t="inlineStr">
        <is>
          <t>Lärm- und Erschütterungsauflagen</t>
        </is>
      </c>
      <c r="F1479" s="10" t="inlineStr">
        <is>
          <t>Emissionen</t>
        </is>
      </c>
      <c r="G1479" s="12" t="n">
        <v>0.176</v>
      </c>
      <c r="H1479" s="13" t="n">
        <v>5341</v>
      </c>
      <c r="I1479" s="13" t="n">
        <v>14626</v>
      </c>
      <c r="J1479" s="13" t="n">
        <v>30207</v>
      </c>
      <c r="K1479" s="14">
        <f>IF(OR(COUNT(G1479:J1479)&lt;&gt;4,G1479&lt;0,G1479&gt;1,H1479&gt;I1479,I1479&gt;J1479),"n.a.",ROUND(G1479*(H1479+4*I1479+J1479)/6+0.00000001,2))</f>
        <v/>
      </c>
      <c r="L1479" s="13" t="n">
        <v>0</v>
      </c>
      <c r="M1479" s="14">
        <f>SUMIFS(Maßnahmen!$I$7:$I$126,Maßnahmen!$D$7:$D$126,C1479,Maßnahmen!$H$7:$H$126,"&lt;&gt;verworfen")</f>
        <v/>
      </c>
      <c r="N1479" s="14">
        <f>IF(ISNUMBER(K1479),MAX(0,K1479-L1479-M1479),"n.a.")</f>
        <v/>
      </c>
      <c r="O1479" s="14" t="n">
        <v>2758.86</v>
      </c>
      <c r="P1479" s="14">
        <f>IF(ISNUMBER(K1479),K1479-O1479,"n.a.")</f>
        <v/>
      </c>
    </row>
    <row r="1480" ht="32" customHeight="1">
      <c r="C1480" s="10" t="inlineStr">
        <is>
          <t>PRJ-39e56411-RK-14</t>
        </is>
      </c>
      <c r="D1480" s="10" t="inlineStr">
        <is>
          <t>W4102504222</t>
        </is>
      </c>
      <c r="E1480" s="11" t="inlineStr">
        <is>
          <t>Rechtliche Auflagen / Entsorgungsnachweise (Formalismus)</t>
        </is>
      </c>
      <c r="F1480" s="10" t="inlineStr">
        <is>
          <t>Genehmigung</t>
        </is>
      </c>
      <c r="G1480" s="12" t="n">
        <v>0.4</v>
      </c>
      <c r="H1480" s="13" t="n">
        <v>34443</v>
      </c>
      <c r="I1480" s="13" t="n">
        <v>67073</v>
      </c>
      <c r="J1480" s="13" t="n">
        <v>126895</v>
      </c>
      <c r="K1480" s="14">
        <f>IF(OR(COUNT(G1480:J1480)&lt;&gt;4,G1480&lt;0,G1480&gt;1,H1480&gt;I1480,I1480&gt;J1480),"n.a.",ROUND(G1480*(H1480+4*I1480+J1480)/6+0.00000001,2))</f>
        <v/>
      </c>
      <c r="L1480" s="13" t="n">
        <v>0</v>
      </c>
      <c r="M1480" s="14">
        <f>SUMIFS(Maßnahmen!$I$7:$I$126,Maßnahmen!$D$7:$D$126,C1480,Maßnahmen!$H$7:$H$126,"&lt;&gt;verworfen")</f>
        <v/>
      </c>
      <c r="N1480" s="14">
        <f>IF(ISNUMBER(K1480),MAX(0,K1480-L1480-M1480),"n.a.")</f>
        <v/>
      </c>
      <c r="O1480" s="14" t="n">
        <v>28642</v>
      </c>
      <c r="P1480" s="14">
        <f>IF(ISNUMBER(K1480),K1480-O1480,"n.a.")</f>
        <v/>
      </c>
    </row>
    <row r="1481" ht="32" customHeight="1">
      <c r="C1481" s="10" t="inlineStr">
        <is>
          <t>PRJ-39e56411-RK-15</t>
        </is>
      </c>
      <c r="D1481" s="10" t="inlineStr">
        <is>
          <t>W4102504222</t>
        </is>
      </c>
      <c r="E1481" s="11" t="inlineStr">
        <is>
          <t>Konjunktur / Sekundärstoffpreise &amp; Gerätemiete</t>
        </is>
      </c>
      <c r="F1481" s="10" t="inlineStr">
        <is>
          <t>Markt</t>
        </is>
      </c>
      <c r="G1481" s="12" t="n">
        <v>0.12</v>
      </c>
      <c r="H1481" s="13" t="n">
        <v>2900</v>
      </c>
      <c r="I1481" s="13" t="n">
        <v>7251</v>
      </c>
      <c r="J1481" s="13" t="n">
        <v>18128</v>
      </c>
      <c r="K1481" s="14">
        <f>IF(OR(COUNT(G1481:J1481)&lt;&gt;4,G1481&lt;0,G1481&gt;1,H1481&gt;I1481,I1481&gt;J1481),"n.a.",ROUND(G1481*(H1481+4*I1481+J1481)/6+0.00000001,2))</f>
        <v/>
      </c>
      <c r="L1481" s="13" t="n">
        <v>0</v>
      </c>
      <c r="M1481" s="14">
        <f>SUMIFS(Maßnahmen!$I$7:$I$126,Maßnahmen!$D$7:$D$126,C1481,Maßnahmen!$H$7:$H$126,"&lt;&gt;verworfen")</f>
        <v/>
      </c>
      <c r="N1481" s="14">
        <f>IF(ISNUMBER(K1481),MAX(0,K1481-L1481-M1481),"n.a.")</f>
        <v/>
      </c>
      <c r="O1481" s="14" t="n">
        <v>1000.64</v>
      </c>
      <c r="P1481" s="14">
        <f>IF(ISNUMBER(K1481),K1481-O1481,"n.a.")</f>
        <v/>
      </c>
    </row>
    <row r="1482" ht="32" customHeight="1">
      <c r="C1482" s="10" t="inlineStr">
        <is>
          <t>PRJ-4a2be973-RK-01</t>
        </is>
      </c>
      <c r="D1482" s="10" t="inlineStr">
        <is>
          <t>P4102652023</t>
        </is>
      </c>
      <c r="E1482" s="11" t="inlineStr">
        <is>
          <t>Schadstofffund / Schadstoffsanierung (Asbest, PAK, PCB, PCP)</t>
        </is>
      </c>
      <c r="F1482" s="10" t="inlineStr">
        <is>
          <t>Schadstoffe</t>
        </is>
      </c>
      <c r="G1482" s="12" t="n">
        <v>0.1</v>
      </c>
      <c r="H1482" s="13" t="n">
        <v>20</v>
      </c>
      <c r="I1482" s="13" t="n">
        <v>50</v>
      </c>
      <c r="J1482" s="13" t="n">
        <v>100</v>
      </c>
      <c r="K1482" s="14">
        <f>IF(OR(COUNT(G1482:J1482)&lt;&gt;4,G1482&lt;0,G1482&gt;1,H1482&gt;I1482,I1482&gt;J1482),"n.a.",ROUND(G1482*(H1482+4*I1482+J1482)/6+0.00000001,2))</f>
        <v/>
      </c>
      <c r="L1482" s="13" t="n">
        <v>0</v>
      </c>
      <c r="M1482" s="14">
        <f>SUMIFS(Maßnahmen!$I$7:$I$126,Maßnahmen!$D$7:$D$126,C1482,Maßnahmen!$H$7:$H$126,"&lt;&gt;verworfen")</f>
        <v/>
      </c>
      <c r="N1482" s="14">
        <f>IF(ISNUMBER(K1482),MAX(0,K1482-L1482-M1482),"n.a.")</f>
        <v/>
      </c>
      <c r="O1482" s="14" t="n">
        <v>5.33</v>
      </c>
      <c r="P1482" s="14">
        <f>IF(ISNUMBER(K1482),K1482-O1482,"n.a.")</f>
        <v/>
      </c>
    </row>
    <row r="1483" ht="32" customHeight="1">
      <c r="C1483" s="10" t="inlineStr">
        <is>
          <t>PRJ-4a2be973-RK-02</t>
        </is>
      </c>
      <c r="D1483" s="10" t="inlineStr">
        <is>
          <t>P4102652023</t>
        </is>
      </c>
      <c r="E1483" s="11" t="inlineStr">
        <is>
          <t>Arbeitsschutz kontaminierte Bereiche (TRGS 524)</t>
        </is>
      </c>
      <c r="F1483" s="10" t="inlineStr">
        <is>
          <t>Schadstoffe</t>
        </is>
      </c>
      <c r="G1483" s="12" t="n">
        <v>0.1</v>
      </c>
      <c r="H1483" s="13" t="n">
        <v>5</v>
      </c>
      <c r="I1483" s="13" t="n">
        <v>10</v>
      </c>
      <c r="J1483" s="13" t="n">
        <v>20</v>
      </c>
      <c r="K1483" s="14">
        <f>IF(OR(COUNT(G1483:J1483)&lt;&gt;4,G1483&lt;0,G1483&gt;1,H1483&gt;I1483,I1483&gt;J1483),"n.a.",ROUND(G1483*(H1483+4*I1483+J1483)/6+0.00000001,2))</f>
        <v/>
      </c>
      <c r="L1483" s="13" t="n">
        <v>0</v>
      </c>
      <c r="M1483" s="14">
        <f>SUMIFS(Maßnahmen!$I$7:$I$126,Maßnahmen!$D$7:$D$126,C1483,Maßnahmen!$H$7:$H$126,"&lt;&gt;verworfen")</f>
        <v/>
      </c>
      <c r="N1483" s="14">
        <f>IF(ISNUMBER(K1483),MAX(0,K1483-L1483-M1483),"n.a.")</f>
        <v/>
      </c>
      <c r="O1483" s="14" t="n">
        <v>1.08</v>
      </c>
      <c r="P1483" s="14">
        <f>IF(ISNUMBER(K1483),K1483-O1483,"n.a.")</f>
        <v/>
      </c>
    </row>
    <row r="1484" ht="32" customHeight="1">
      <c r="C1484" s="10" t="inlineStr">
        <is>
          <t>PRJ-4a6f9cbb-RK-01</t>
        </is>
      </c>
      <c r="D1484" s="10" t="inlineStr">
        <is>
          <t>P4102608268</t>
        </is>
      </c>
      <c r="E1484" s="11" t="inlineStr">
        <is>
          <t>Schadstofffund / Schadstoffsanierung (Asbest, PAK, PCB, PCP)</t>
        </is>
      </c>
      <c r="F1484" s="10" t="inlineStr">
        <is>
          <t>Schadstoffe</t>
        </is>
      </c>
      <c r="G1484" s="12" t="n">
        <v>0.1</v>
      </c>
      <c r="H1484" s="13" t="n">
        <v>20</v>
      </c>
      <c r="I1484" s="13" t="n">
        <v>50</v>
      </c>
      <c r="J1484" s="13" t="n">
        <v>100</v>
      </c>
      <c r="K1484" s="14">
        <f>IF(OR(COUNT(G1484:J1484)&lt;&gt;4,G1484&lt;0,G1484&gt;1,H1484&gt;I1484,I1484&gt;J1484),"n.a.",ROUND(G1484*(H1484+4*I1484+J1484)/6+0.00000001,2))</f>
        <v/>
      </c>
      <c r="L1484" s="13" t="n">
        <v>0</v>
      </c>
      <c r="M1484" s="14">
        <f>SUMIFS(Maßnahmen!$I$7:$I$126,Maßnahmen!$D$7:$D$126,C1484,Maßnahmen!$H$7:$H$126,"&lt;&gt;verworfen")</f>
        <v/>
      </c>
      <c r="N1484" s="14">
        <f>IF(ISNUMBER(K1484),MAX(0,K1484-L1484-M1484),"n.a.")</f>
        <v/>
      </c>
      <c r="O1484" s="14" t="n">
        <v>5.33</v>
      </c>
      <c r="P1484" s="14">
        <f>IF(ISNUMBER(K1484),K1484-O1484,"n.a.")</f>
        <v/>
      </c>
    </row>
    <row r="1485" ht="32" customHeight="1">
      <c r="C1485" s="10" t="inlineStr">
        <is>
          <t>PRJ-4a6f9cbb-RK-04</t>
        </is>
      </c>
      <c r="D1485" s="10" t="inlineStr">
        <is>
          <t>P4102608268</t>
        </is>
      </c>
      <c r="E1485" s="11" t="inlineStr">
        <is>
          <t>Baustofftrennung / Aufbereitung nicht wie geplant</t>
        </is>
      </c>
      <c r="F1485" s="10" t="inlineStr">
        <is>
          <t>Entsorgung</t>
        </is>
      </c>
      <c r="G1485" s="12" t="n">
        <v>0.08</v>
      </c>
      <c r="H1485" s="13" t="n">
        <v>5</v>
      </c>
      <c r="I1485" s="13" t="n">
        <v>10</v>
      </c>
      <c r="J1485" s="13" t="n">
        <v>20</v>
      </c>
      <c r="K1485" s="14">
        <f>IF(OR(COUNT(G1485:J1485)&lt;&gt;4,G1485&lt;0,G1485&gt;1,H1485&gt;I1485,I1485&gt;J1485),"n.a.",ROUND(G1485*(H1485+4*I1485+J1485)/6+0.00000001,2))</f>
        <v/>
      </c>
      <c r="L1485" s="13" t="n">
        <v>0</v>
      </c>
      <c r="M1485" s="14">
        <f>SUMIFS(Maßnahmen!$I$7:$I$126,Maßnahmen!$D$7:$D$126,C1485,Maßnahmen!$H$7:$H$126,"&lt;&gt;verworfen")</f>
        <v/>
      </c>
      <c r="N1485" s="14">
        <f>IF(ISNUMBER(K1485),MAX(0,K1485-L1485-M1485),"n.a.")</f>
        <v/>
      </c>
      <c r="O1485" s="14" t="n">
        <v>0.87</v>
      </c>
      <c r="P1485" s="14">
        <f>IF(ISNUMBER(K1485),K1485-O1485,"n.a.")</f>
        <v/>
      </c>
    </row>
    <row r="1486" ht="32" customHeight="1">
      <c r="C1486" s="10" t="inlineStr">
        <is>
          <t>PRJ-4a6f9cbb-RK-10</t>
        </is>
      </c>
      <c r="D1486" s="10" t="inlineStr">
        <is>
          <t>P4102608268</t>
        </is>
      </c>
      <c r="E1486" s="11" t="inlineStr">
        <is>
          <t>Terminvorgabe Auftraggeber / Geräteauslastung</t>
        </is>
      </c>
      <c r="F1486" s="10" t="inlineStr">
        <is>
          <t>Termin</t>
        </is>
      </c>
      <c r="G1486" s="12" t="n">
        <v>0.08</v>
      </c>
      <c r="H1486" s="13" t="n">
        <v>5</v>
      </c>
      <c r="I1486" s="13" t="n">
        <v>10</v>
      </c>
      <c r="J1486" s="13" t="n">
        <v>20</v>
      </c>
      <c r="K1486" s="14">
        <f>IF(OR(COUNT(G1486:J1486)&lt;&gt;4,G1486&lt;0,G1486&gt;1,H1486&gt;I1486,I1486&gt;J1486),"n.a.",ROUND(G1486*(H1486+4*I1486+J1486)/6+0.00000001,2))</f>
        <v/>
      </c>
      <c r="L1486" s="13" t="n">
        <v>0</v>
      </c>
      <c r="M1486" s="14">
        <f>SUMIFS(Maßnahmen!$I$7:$I$126,Maßnahmen!$D$7:$D$126,C1486,Maßnahmen!$H$7:$H$126,"&lt;&gt;verworfen")</f>
        <v/>
      </c>
      <c r="N1486" s="14">
        <f>IF(ISNUMBER(K1486),MAX(0,K1486-L1486-M1486),"n.a.")</f>
        <v/>
      </c>
      <c r="O1486" s="14" t="n">
        <v>0.87</v>
      </c>
      <c r="P1486" s="14">
        <f>IF(ISNUMBER(K1486),K1486-O1486,"n.a.")</f>
        <v/>
      </c>
    </row>
    <row r="1487" ht="32" customHeight="1">
      <c r="C1487" s="10" t="inlineStr">
        <is>
          <t>PRJ-4a6f9cbb-RK-12</t>
        </is>
      </c>
      <c r="D1487" s="10" t="inlineStr">
        <is>
          <t>P4102608268</t>
        </is>
      </c>
      <c r="E1487" s="11" t="inlineStr">
        <is>
          <t>Staubemissionen (höchster Aufwand laut Umfrage)</t>
        </is>
      </c>
      <c r="F1487" s="10" t="inlineStr">
        <is>
          <t>Emissionen</t>
        </is>
      </c>
      <c r="G1487" s="12" t="n">
        <v>0.1</v>
      </c>
      <c r="H1487" s="13" t="n">
        <v>30</v>
      </c>
      <c r="I1487" s="13" t="n">
        <v>60</v>
      </c>
      <c r="J1487" s="13" t="n">
        <v>120</v>
      </c>
      <c r="K1487" s="14">
        <f>IF(OR(COUNT(G1487:J1487)&lt;&gt;4,G1487&lt;0,G1487&gt;1,H1487&gt;I1487,I1487&gt;J1487),"n.a.",ROUND(G1487*(H1487+4*I1487+J1487)/6+0.00000001,2))</f>
        <v/>
      </c>
      <c r="L1487" s="13" t="n">
        <v>0</v>
      </c>
      <c r="M1487" s="14">
        <f>SUMIFS(Maßnahmen!$I$7:$I$126,Maßnahmen!$D$7:$D$126,C1487,Maßnahmen!$H$7:$H$126,"&lt;&gt;verworfen")</f>
        <v/>
      </c>
      <c r="N1487" s="14">
        <f>IF(ISNUMBER(K1487),MAX(0,K1487-L1487-M1487),"n.a.")</f>
        <v/>
      </c>
      <c r="O1487" s="14" t="n">
        <v>6.5</v>
      </c>
      <c r="P1487" s="14">
        <f>IF(ISNUMBER(K1487),K1487-O1487,"n.a.")</f>
        <v/>
      </c>
    </row>
    <row r="1488" ht="32" customHeight="1">
      <c r="C1488" s="10" t="inlineStr">
        <is>
          <t>PRJ-4a6f9cbb-RK-15</t>
        </is>
      </c>
      <c r="D1488" s="10" t="inlineStr">
        <is>
          <t>P4102608268</t>
        </is>
      </c>
      <c r="E1488" s="11" t="inlineStr">
        <is>
          <t>Konjunktur / Sekundärstoffpreise &amp; Gerätemiete</t>
        </is>
      </c>
      <c r="F1488" s="10" t="inlineStr">
        <is>
          <t>Markt</t>
        </is>
      </c>
      <c r="G1488" s="12" t="n">
        <v>0.12</v>
      </c>
      <c r="H1488" s="13" t="n">
        <v>8</v>
      </c>
      <c r="I1488" s="13" t="n">
        <v>20</v>
      </c>
      <c r="J1488" s="13" t="n">
        <v>50</v>
      </c>
      <c r="K1488" s="14">
        <f>IF(OR(COUNT(G1488:J1488)&lt;&gt;4,G1488&lt;0,G1488&gt;1,H1488&gt;I1488,I1488&gt;J1488),"n.a.",ROUND(G1488*(H1488+4*I1488+J1488)/6+0.00000001,2))</f>
        <v/>
      </c>
      <c r="L1488" s="13" t="n">
        <v>0</v>
      </c>
      <c r="M1488" s="14">
        <f>SUMIFS(Maßnahmen!$I$7:$I$126,Maßnahmen!$D$7:$D$126,C1488,Maßnahmen!$H$7:$H$126,"&lt;&gt;verworfen")</f>
        <v/>
      </c>
      <c r="N1488" s="14">
        <f>IF(ISNUMBER(K1488),MAX(0,K1488-L1488-M1488),"n.a.")</f>
        <v/>
      </c>
      <c r="O1488" s="14" t="n">
        <v>2.76</v>
      </c>
      <c r="P1488" s="14">
        <f>IF(ISNUMBER(K1488),K1488-O1488,"n.a.")</f>
        <v/>
      </c>
    </row>
    <row r="1489" ht="32" customHeight="1">
      <c r="C1489" s="10" t="inlineStr">
        <is>
          <t>PRJ-4f8e93f7-RK-01</t>
        </is>
      </c>
      <c r="D1489" s="10" t="inlineStr">
        <is>
          <t>P4102307422</t>
        </is>
      </c>
      <c r="E1489" s="11" t="inlineStr">
        <is>
          <t>Schadstofffund / Schadstoffsanierung (Asbest, PAK, PCB, PCP)</t>
        </is>
      </c>
      <c r="F1489" s="10" t="inlineStr">
        <is>
          <t>Schadstoffe</t>
        </is>
      </c>
      <c r="G1489" s="12" t="n">
        <v>0.7</v>
      </c>
      <c r="H1489" s="13" t="n">
        <v>2948</v>
      </c>
      <c r="I1489" s="13" t="n">
        <v>5559</v>
      </c>
      <c r="J1489" s="13" t="n">
        <v>10082</v>
      </c>
      <c r="K1489" s="14">
        <f>IF(OR(COUNT(G1489:J1489)&lt;&gt;4,G1489&lt;0,G1489&gt;1,H1489&gt;I1489,I1489&gt;J1489),"n.a.",ROUND(G1489*(H1489+4*I1489+J1489)/6+0.00000001,2))</f>
        <v/>
      </c>
      <c r="L1489" s="13" t="n">
        <v>0</v>
      </c>
      <c r="M1489" s="14">
        <f>SUMIFS(Maßnahmen!$I$7:$I$126,Maßnahmen!$D$7:$D$126,C1489,Maßnahmen!$H$7:$H$126,"&lt;&gt;verworfen")</f>
        <v/>
      </c>
      <c r="N1489" s="14">
        <f>IF(ISNUMBER(K1489),MAX(0,K1489-L1489-M1489),"n.a.")</f>
        <v/>
      </c>
      <c r="O1489" s="14" t="n">
        <v>4114.37</v>
      </c>
      <c r="P1489" s="14">
        <f>IF(ISNUMBER(K1489),K1489-O1489,"n.a.")</f>
        <v/>
      </c>
    </row>
    <row r="1490" ht="32" customHeight="1">
      <c r="C1490" s="10" t="inlineStr">
        <is>
          <t>PRJ-4f8e93f7-RK-02</t>
        </is>
      </c>
      <c r="D1490" s="10" t="inlineStr">
        <is>
          <t>P4102307422</t>
        </is>
      </c>
      <c r="E1490" s="11" t="inlineStr">
        <is>
          <t>Arbeitsschutz kontaminierte Bereiche (TRGS 524)</t>
        </is>
      </c>
      <c r="F1490" s="10" t="inlineStr">
        <is>
          <t>Schadstoffe</t>
        </is>
      </c>
      <c r="G1490" s="12" t="n">
        <v>0.1</v>
      </c>
      <c r="H1490" s="13" t="n">
        <v>90</v>
      </c>
      <c r="I1490" s="13" t="n">
        <v>180</v>
      </c>
      <c r="J1490" s="13" t="n">
        <v>360</v>
      </c>
      <c r="K1490" s="14">
        <f>IF(OR(COUNT(G1490:J1490)&lt;&gt;4,G1490&lt;0,G1490&gt;1,H1490&gt;I1490,I1490&gt;J1490),"n.a.",ROUND(G1490*(H1490+4*I1490+J1490)/6+0.00000001,2))</f>
        <v/>
      </c>
      <c r="L1490" s="13" t="n">
        <v>0</v>
      </c>
      <c r="M1490" s="14">
        <f>SUMIFS(Maßnahmen!$I$7:$I$126,Maßnahmen!$D$7:$D$126,C1490,Maßnahmen!$H$7:$H$126,"&lt;&gt;verworfen")</f>
        <v/>
      </c>
      <c r="N1490" s="14">
        <f>IF(ISNUMBER(K1490),MAX(0,K1490-L1490-M1490),"n.a.")</f>
        <v/>
      </c>
      <c r="O1490" s="14" t="n">
        <v>19.5</v>
      </c>
      <c r="P1490" s="14">
        <f>IF(ISNUMBER(K1490),K1490-O1490,"n.a.")</f>
        <v/>
      </c>
    </row>
    <row r="1491" ht="32" customHeight="1">
      <c r="C1491" s="10" t="inlineStr">
        <is>
          <t>PRJ-4f8e93f7-RK-04</t>
        </is>
      </c>
      <c r="D1491" s="10" t="inlineStr">
        <is>
          <t>P4102307422</t>
        </is>
      </c>
      <c r="E1491" s="11" t="inlineStr">
        <is>
          <t>Baustofftrennung / Aufbereitung nicht wie geplant</t>
        </is>
      </c>
      <c r="F1491" s="10" t="inlineStr">
        <is>
          <t>Entsorgung</t>
        </is>
      </c>
      <c r="G1491" s="12" t="n">
        <v>0.08</v>
      </c>
      <c r="H1491" s="13" t="n">
        <v>90</v>
      </c>
      <c r="I1491" s="13" t="n">
        <v>180</v>
      </c>
      <c r="J1491" s="13" t="n">
        <v>360</v>
      </c>
      <c r="K1491" s="14">
        <f>IF(OR(COUNT(G1491:J1491)&lt;&gt;4,G1491&lt;0,G1491&gt;1,H1491&gt;I1491,I1491&gt;J1491),"n.a.",ROUND(G1491*(H1491+4*I1491+J1491)/6+0.00000001,2))</f>
        <v/>
      </c>
      <c r="L1491" s="13" t="n">
        <v>0</v>
      </c>
      <c r="M1491" s="14">
        <f>SUMIFS(Maßnahmen!$I$7:$I$126,Maßnahmen!$D$7:$D$126,C1491,Maßnahmen!$H$7:$H$126,"&lt;&gt;verworfen")</f>
        <v/>
      </c>
      <c r="N1491" s="14">
        <f>IF(ISNUMBER(K1491),MAX(0,K1491-L1491-M1491),"n.a.")</f>
        <v/>
      </c>
      <c r="O1491" s="14" t="n">
        <v>15.6</v>
      </c>
      <c r="P1491" s="14">
        <f>IF(ISNUMBER(K1491),K1491-O1491,"n.a.")</f>
        <v/>
      </c>
    </row>
    <row r="1492" ht="32" customHeight="1">
      <c r="C1492" s="10" t="inlineStr">
        <is>
          <t>PRJ-4f8e93f7-RK-05</t>
        </is>
      </c>
      <c r="D1492" s="10" t="inlineStr">
        <is>
          <t>P4102307422</t>
        </is>
      </c>
      <c r="E1492" s="11" t="inlineStr">
        <is>
          <t>Unbekannte Bauwerkskonstruktion / fehlende Pläne</t>
        </is>
      </c>
      <c r="F1492" s="10" t="inlineStr">
        <is>
          <t>Statik</t>
        </is>
      </c>
      <c r="G1492" s="12" t="n">
        <v>0.12</v>
      </c>
      <c r="H1492" s="13" t="n">
        <v>720</v>
      </c>
      <c r="I1492" s="13" t="n">
        <v>1440</v>
      </c>
      <c r="J1492" s="13" t="n">
        <v>2699</v>
      </c>
      <c r="K1492" s="14">
        <f>IF(OR(COUNT(G1492:J1492)&lt;&gt;4,G1492&lt;0,G1492&gt;1,H1492&gt;I1492,I1492&gt;J1492),"n.a.",ROUND(G1492*(H1492+4*I1492+J1492)/6+0.00000001,2))</f>
        <v/>
      </c>
      <c r="L1492" s="13" t="n">
        <v>0</v>
      </c>
      <c r="M1492" s="14">
        <f>SUMIFS(Maßnahmen!$I$7:$I$126,Maßnahmen!$D$7:$D$126,C1492,Maßnahmen!$H$7:$H$126,"&lt;&gt;verworfen")</f>
        <v/>
      </c>
      <c r="N1492" s="14">
        <f>IF(ISNUMBER(K1492),MAX(0,K1492-L1492-M1492),"n.a.")</f>
        <v/>
      </c>
      <c r="O1492" s="14" t="n">
        <v>183.58</v>
      </c>
      <c r="P1492" s="14">
        <f>IF(ISNUMBER(K1492),K1492-O1492,"n.a.")</f>
        <v/>
      </c>
    </row>
    <row r="1493" ht="32" customHeight="1">
      <c r="C1493" s="10" t="inlineStr">
        <is>
          <t>PRJ-4f8e93f7-RK-09</t>
        </is>
      </c>
      <c r="D1493" s="10" t="inlineStr">
        <is>
          <t>P4102307422</t>
        </is>
      </c>
      <c r="E1493" s="11" t="inlineStr">
        <is>
          <t>Beennte Lage / nur Handabbruch möglich</t>
        </is>
      </c>
      <c r="F1493" s="10" t="inlineStr">
        <is>
          <t>Termin</t>
        </is>
      </c>
      <c r="G1493" s="12" t="n">
        <v>0.15</v>
      </c>
      <c r="H1493" s="13" t="n">
        <v>144</v>
      </c>
      <c r="I1493" s="13" t="n">
        <v>360</v>
      </c>
      <c r="J1493" s="13" t="n">
        <v>900</v>
      </c>
      <c r="K1493" s="14">
        <f>IF(OR(COUNT(G1493:J1493)&lt;&gt;4,G1493&lt;0,G1493&gt;1,H1493&gt;I1493,I1493&gt;J1493),"n.a.",ROUND(G1493*(H1493+4*I1493+J1493)/6+0.00000001,2))</f>
        <v/>
      </c>
      <c r="L1493" s="13" t="n">
        <v>0</v>
      </c>
      <c r="M1493" s="14">
        <f>SUMIFS(Maßnahmen!$I$7:$I$126,Maßnahmen!$D$7:$D$126,C1493,Maßnahmen!$H$7:$H$126,"&lt;&gt;verworfen")</f>
        <v/>
      </c>
      <c r="N1493" s="14">
        <f>IF(ISNUMBER(K1493),MAX(0,K1493-L1493-M1493),"n.a.")</f>
        <v/>
      </c>
      <c r="O1493" s="14" t="n">
        <v>62.1</v>
      </c>
      <c r="P1493" s="14">
        <f>IF(ISNUMBER(K1493),K1493-O1493,"n.a.")</f>
        <v/>
      </c>
    </row>
    <row r="1494" ht="32" customHeight="1">
      <c r="C1494" s="10" t="inlineStr">
        <is>
          <t>PRJ-4f8e93f7-RK-10</t>
        </is>
      </c>
      <c r="D1494" s="10" t="inlineStr">
        <is>
          <t>P4102307422</t>
        </is>
      </c>
      <c r="E1494" s="11" t="inlineStr">
        <is>
          <t>Terminvorgabe Auftraggeber / Geräteauslastung</t>
        </is>
      </c>
      <c r="F1494" s="10" t="inlineStr">
        <is>
          <t>Termin</t>
        </is>
      </c>
      <c r="G1494" s="12" t="n">
        <v>0.08</v>
      </c>
      <c r="H1494" s="13" t="n">
        <v>90</v>
      </c>
      <c r="I1494" s="13" t="n">
        <v>180</v>
      </c>
      <c r="J1494" s="13" t="n">
        <v>360</v>
      </c>
      <c r="K1494" s="14">
        <f>IF(OR(COUNT(G1494:J1494)&lt;&gt;4,G1494&lt;0,G1494&gt;1,H1494&gt;I1494,I1494&gt;J1494),"n.a.",ROUND(G1494*(H1494+4*I1494+J1494)/6+0.00000001,2))</f>
        <v/>
      </c>
      <c r="L1494" s="13" t="n">
        <v>0</v>
      </c>
      <c r="M1494" s="14">
        <f>SUMIFS(Maßnahmen!$I$7:$I$126,Maßnahmen!$D$7:$D$126,C1494,Maßnahmen!$H$7:$H$126,"&lt;&gt;verworfen")</f>
        <v/>
      </c>
      <c r="N1494" s="14">
        <f>IF(ISNUMBER(K1494),MAX(0,K1494-L1494-M1494),"n.a.")</f>
        <v/>
      </c>
      <c r="O1494" s="14" t="n">
        <v>15.6</v>
      </c>
      <c r="P1494" s="14">
        <f>IF(ISNUMBER(K1494),K1494-O1494,"n.a.")</f>
        <v/>
      </c>
    </row>
    <row r="1495" ht="32" customHeight="1">
      <c r="C1495" s="10" t="inlineStr">
        <is>
          <t>PRJ-4f8e93f7-RK-11</t>
        </is>
      </c>
      <c r="D1495" s="10" t="inlineStr">
        <is>
          <t>P4102307422</t>
        </is>
      </c>
      <c r="E1495" s="11" t="inlineStr">
        <is>
          <t>Witterung / Ablaufstörung</t>
        </is>
      </c>
      <c r="F1495" s="10" t="inlineStr">
        <is>
          <t>Termin</t>
        </is>
      </c>
      <c r="G1495" s="12" t="n">
        <v>0.25</v>
      </c>
      <c r="H1495" s="13" t="n">
        <v>180</v>
      </c>
      <c r="I1495" s="13" t="n">
        <v>540</v>
      </c>
      <c r="J1495" s="13" t="n">
        <v>1080</v>
      </c>
      <c r="K1495" s="14">
        <f>IF(OR(COUNT(G1495:J1495)&lt;&gt;4,G1495&lt;0,G1495&gt;1,H1495&gt;I1495,I1495&gt;J1495),"n.a.",ROUND(G1495*(H1495+4*I1495+J1495)/6+0.00000001,2))</f>
        <v/>
      </c>
      <c r="L1495" s="13" t="n">
        <v>0</v>
      </c>
      <c r="M1495" s="14">
        <f>SUMIFS(Maßnahmen!$I$7:$I$126,Maßnahmen!$D$7:$D$126,C1495,Maßnahmen!$H$7:$H$126,"&lt;&gt;verworfen")</f>
        <v/>
      </c>
      <c r="N1495" s="14">
        <f>IF(ISNUMBER(K1495),MAX(0,K1495-L1495-M1495),"n.a.")</f>
        <v/>
      </c>
      <c r="O1495" s="14" t="n">
        <v>142.5</v>
      </c>
      <c r="P1495" s="14">
        <f>IF(ISNUMBER(K1495),K1495-O1495,"n.a.")</f>
        <v/>
      </c>
    </row>
    <row r="1496" ht="32" customHeight="1">
      <c r="C1496" s="10" t="inlineStr">
        <is>
          <t>PRJ-4a715fd4-RK-01</t>
        </is>
      </c>
      <c r="D1496" s="10" t="inlineStr">
        <is>
          <t>P4102604612</t>
        </is>
      </c>
      <c r="E1496" s="11" t="inlineStr">
        <is>
          <t>Schadstofffund / Schadstoffsanierung (Asbest, PAK, PCB, PCP)</t>
        </is>
      </c>
      <c r="F1496" s="10" t="inlineStr">
        <is>
          <t>Schadstoffe</t>
        </is>
      </c>
      <c r="G1496" s="12" t="n">
        <v>0.1</v>
      </c>
      <c r="H1496" s="13" t="n">
        <v>195</v>
      </c>
      <c r="I1496" s="13" t="n">
        <v>489</v>
      </c>
      <c r="J1496" s="13" t="n">
        <v>977</v>
      </c>
      <c r="K1496" s="14">
        <f>IF(OR(COUNT(G1496:J1496)&lt;&gt;4,G1496&lt;0,G1496&gt;1,H1496&gt;I1496,I1496&gt;J1496),"n.a.",ROUND(G1496*(H1496+4*I1496+J1496)/6+0.00000001,2))</f>
        <v/>
      </c>
      <c r="L1496" s="13" t="n">
        <v>0</v>
      </c>
      <c r="M1496" s="14">
        <f>SUMIFS(Maßnahmen!$I$7:$I$126,Maßnahmen!$D$7:$D$126,C1496,Maßnahmen!$H$7:$H$126,"&lt;&gt;verworfen")</f>
        <v/>
      </c>
      <c r="N1496" s="14">
        <f>IF(ISNUMBER(K1496),MAX(0,K1496-L1496-M1496),"n.a.")</f>
        <v/>
      </c>
      <c r="O1496" s="14" t="n">
        <v>52.13</v>
      </c>
      <c r="P1496" s="14">
        <f>IF(ISNUMBER(K1496),K1496-O1496,"n.a.")</f>
        <v/>
      </c>
    </row>
    <row r="1497" ht="32" customHeight="1">
      <c r="C1497" s="10" t="inlineStr">
        <is>
          <t>PRJ-4a715fd4-RK-02</t>
        </is>
      </c>
      <c r="D1497" s="10" t="inlineStr">
        <is>
          <t>P4102604612</t>
        </is>
      </c>
      <c r="E1497" s="11" t="inlineStr">
        <is>
          <t>Arbeitsschutz kontaminierte Bereiche (TRGS 524)</t>
        </is>
      </c>
      <c r="F1497" s="10" t="inlineStr">
        <is>
          <t>Schadstoffe</t>
        </is>
      </c>
      <c r="G1497" s="12" t="n">
        <v>0.1</v>
      </c>
      <c r="H1497" s="13" t="n">
        <v>49</v>
      </c>
      <c r="I1497" s="13" t="n">
        <v>98</v>
      </c>
      <c r="J1497" s="13" t="n">
        <v>195</v>
      </c>
      <c r="K1497" s="14">
        <f>IF(OR(COUNT(G1497:J1497)&lt;&gt;4,G1497&lt;0,G1497&gt;1,H1497&gt;I1497,I1497&gt;J1497),"n.a.",ROUND(G1497*(H1497+4*I1497+J1497)/6+0.00000001,2))</f>
        <v/>
      </c>
      <c r="L1497" s="13" t="n">
        <v>0</v>
      </c>
      <c r="M1497" s="14">
        <f>SUMIFS(Maßnahmen!$I$7:$I$126,Maßnahmen!$D$7:$D$126,C1497,Maßnahmen!$H$7:$H$126,"&lt;&gt;verworfen")</f>
        <v/>
      </c>
      <c r="N1497" s="14">
        <f>IF(ISNUMBER(K1497),MAX(0,K1497-L1497-M1497),"n.a.")</f>
        <v/>
      </c>
      <c r="O1497" s="14" t="n">
        <v>10.6</v>
      </c>
      <c r="P1497" s="14">
        <f>IF(ISNUMBER(K1497),K1497-O1497,"n.a.")</f>
        <v/>
      </c>
    </row>
    <row r="1498" ht="32" customHeight="1">
      <c r="C1498" s="10" t="inlineStr">
        <is>
          <t>PRJ-4a715fd4-RK-03</t>
        </is>
      </c>
      <c r="D1498" s="10" t="inlineStr">
        <is>
          <t>P4102604612</t>
        </is>
      </c>
      <c r="E1498" s="11" t="inlineStr">
        <is>
          <t>Entsorgungs-Mehrkosten / Entsorgungswege</t>
        </is>
      </c>
      <c r="F1498" s="10" t="inlineStr">
        <is>
          <t>Entsorgung</t>
        </is>
      </c>
      <c r="G1498" s="12" t="n">
        <v>0.15</v>
      </c>
      <c r="H1498" s="13" t="n">
        <v>195</v>
      </c>
      <c r="I1498" s="13" t="n">
        <v>489</v>
      </c>
      <c r="J1498" s="13" t="n">
        <v>977</v>
      </c>
      <c r="K1498" s="14">
        <f>IF(OR(COUNT(G1498:J1498)&lt;&gt;4,G1498&lt;0,G1498&gt;1,H1498&gt;I1498,I1498&gt;J1498),"n.a.",ROUND(G1498*(H1498+4*I1498+J1498)/6+0.00000001,2))</f>
        <v/>
      </c>
      <c r="L1498" s="13" t="n">
        <v>0</v>
      </c>
      <c r="M1498" s="14">
        <f>SUMIFS(Maßnahmen!$I$7:$I$126,Maßnahmen!$D$7:$D$126,C1498,Maßnahmen!$H$7:$H$126,"&lt;&gt;verworfen")</f>
        <v/>
      </c>
      <c r="N1498" s="14">
        <f>IF(ISNUMBER(K1498),MAX(0,K1498-L1498-M1498),"n.a.")</f>
        <v/>
      </c>
      <c r="O1498" s="14" t="n">
        <v>78.2</v>
      </c>
      <c r="P1498" s="14">
        <f>IF(ISNUMBER(K1498),K1498-O1498,"n.a.")</f>
        <v/>
      </c>
    </row>
    <row r="1499" ht="32" customHeight="1">
      <c r="C1499" s="10" t="inlineStr">
        <is>
          <t>PRJ-4a715fd4-RK-04</t>
        </is>
      </c>
      <c r="D1499" s="10" t="inlineStr">
        <is>
          <t>P4102604612</t>
        </is>
      </c>
      <c r="E1499" s="11" t="inlineStr">
        <is>
          <t>Baustofftrennung / Aufbereitung nicht wie geplant</t>
        </is>
      </c>
      <c r="F1499" s="10" t="inlineStr">
        <is>
          <t>Entsorgung</t>
        </is>
      </c>
      <c r="G1499" s="12" t="n">
        <v>0.08</v>
      </c>
      <c r="H1499" s="13" t="n">
        <v>49</v>
      </c>
      <c r="I1499" s="13" t="n">
        <v>98</v>
      </c>
      <c r="J1499" s="13" t="n">
        <v>195</v>
      </c>
      <c r="K1499" s="14">
        <f>IF(OR(COUNT(G1499:J1499)&lt;&gt;4,G1499&lt;0,G1499&gt;1,H1499&gt;I1499,I1499&gt;J1499),"n.a.",ROUND(G1499*(H1499+4*I1499+J1499)/6+0.00000001,2))</f>
        <v/>
      </c>
      <c r="L1499" s="13" t="n">
        <v>0</v>
      </c>
      <c r="M1499" s="14">
        <f>SUMIFS(Maßnahmen!$I$7:$I$126,Maßnahmen!$D$7:$D$126,C1499,Maßnahmen!$H$7:$H$126,"&lt;&gt;verworfen")</f>
        <v/>
      </c>
      <c r="N1499" s="14">
        <f>IF(ISNUMBER(K1499),MAX(0,K1499-L1499-M1499),"n.a.")</f>
        <v/>
      </c>
      <c r="O1499" s="14" t="n">
        <v>8.48</v>
      </c>
      <c r="P1499" s="14">
        <f>IF(ISNUMBER(K1499),K1499-O1499,"n.a.")</f>
        <v/>
      </c>
    </row>
    <row r="1500" ht="32" customHeight="1">
      <c r="C1500" s="10" t="inlineStr">
        <is>
          <t>PRJ-4a715fd4-RK-06</t>
        </is>
      </c>
      <c r="D1500" s="10" t="inlineStr">
        <is>
          <t>P4102604612</t>
        </is>
      </c>
      <c r="E1500" s="11" t="inlineStr">
        <is>
          <t>Statik / Einsturzsicherung während Abbruch</t>
        </is>
      </c>
      <c r="F1500" s="10" t="inlineStr">
        <is>
          <t>Statik</t>
        </is>
      </c>
      <c r="G1500" s="12" t="n">
        <v>0.12</v>
      </c>
      <c r="H1500" s="13" t="n">
        <v>293</v>
      </c>
      <c r="I1500" s="13" t="n">
        <v>684</v>
      </c>
      <c r="J1500" s="13" t="n">
        <v>1368</v>
      </c>
      <c r="K1500" s="14">
        <f>IF(OR(COUNT(G1500:J1500)&lt;&gt;4,G1500&lt;0,G1500&gt;1,H1500&gt;I1500,I1500&gt;J1500),"n.a.",ROUND(G1500*(H1500+4*I1500+J1500)/6+0.00000001,2))</f>
        <v/>
      </c>
      <c r="L1500" s="13" t="n">
        <v>0</v>
      </c>
      <c r="M1500" s="14">
        <f>SUMIFS(Maßnahmen!$I$7:$I$126,Maßnahmen!$D$7:$D$126,C1500,Maßnahmen!$H$7:$H$126,"&lt;&gt;verworfen")</f>
        <v/>
      </c>
      <c r="N1500" s="14">
        <f>IF(ISNUMBER(K1500),MAX(0,K1500-L1500-M1500),"n.a.")</f>
        <v/>
      </c>
      <c r="O1500" s="14" t="n">
        <v>87.94</v>
      </c>
      <c r="P1500" s="14">
        <f>IF(ISNUMBER(K1500),K1500-O1500,"n.a.")</f>
        <v/>
      </c>
    </row>
    <row r="1501" ht="32" customHeight="1">
      <c r="C1501" s="10" t="inlineStr">
        <is>
          <t>PRJ-4a715fd4-RK-07</t>
        </is>
      </c>
      <c r="D1501" s="10" t="inlineStr">
        <is>
          <t>P4102604612</t>
        </is>
      </c>
      <c r="E1501" s="11" t="inlineStr">
        <is>
          <t>Unterirdische Tragkonstruktion / Fundamente</t>
        </is>
      </c>
      <c r="F1501" s="10" t="inlineStr">
        <is>
          <t>Statik</t>
        </is>
      </c>
      <c r="G1501" s="12" t="n">
        <v>0.5</v>
      </c>
      <c r="H1501" s="13" t="n">
        <v>49</v>
      </c>
      <c r="I1501" s="13" t="n">
        <v>195</v>
      </c>
      <c r="J1501" s="13" t="n">
        <v>489</v>
      </c>
      <c r="K1501" s="14">
        <f>IF(OR(COUNT(G1501:J1501)&lt;&gt;4,G1501&lt;0,G1501&gt;1,H1501&gt;I1501,I1501&gt;J1501),"n.a.",ROUND(G1501*(H1501+4*I1501+J1501)/6+0.00000001,2))</f>
        <v/>
      </c>
      <c r="L1501" s="13" t="n">
        <v>0</v>
      </c>
      <c r="M1501" s="14">
        <f>SUMIFS(Maßnahmen!$I$7:$I$126,Maßnahmen!$D$7:$D$126,C1501,Maßnahmen!$H$7:$H$126,"&lt;&gt;verworfen")</f>
        <v/>
      </c>
      <c r="N1501" s="14">
        <f>IF(ISNUMBER(K1501),MAX(0,K1501-L1501-M1501),"n.a.")</f>
        <v/>
      </c>
      <c r="O1501" s="14" t="n">
        <v>109.83</v>
      </c>
      <c r="P1501" s="14">
        <f>IF(ISNUMBER(K1501),K1501-O1501,"n.a.")</f>
        <v/>
      </c>
    </row>
    <row r="1502" ht="32" customHeight="1">
      <c r="C1502" s="10" t="inlineStr">
        <is>
          <t>PRJ-4a2be973-RK-04</t>
        </is>
      </c>
      <c r="D1502" s="10" t="inlineStr">
        <is>
          <t>P4102652023</t>
        </is>
      </c>
      <c r="E1502" s="11" t="inlineStr">
        <is>
          <t>Baustofftrennung / Aufbereitung nicht wie geplant</t>
        </is>
      </c>
      <c r="F1502" s="10" t="inlineStr">
        <is>
          <t>Entsorgung</t>
        </is>
      </c>
      <c r="G1502" s="12" t="n">
        <v>0.08</v>
      </c>
      <c r="H1502" s="13" t="n">
        <v>5</v>
      </c>
      <c r="I1502" s="13" t="n">
        <v>10</v>
      </c>
      <c r="J1502" s="13" t="n">
        <v>20</v>
      </c>
      <c r="K1502" s="14">
        <f>IF(OR(COUNT(G1502:J1502)&lt;&gt;4,G1502&lt;0,G1502&gt;1,H1502&gt;I1502,I1502&gt;J1502),"n.a.",ROUND(G1502*(H1502+4*I1502+J1502)/6+0.00000001,2))</f>
        <v/>
      </c>
      <c r="L1502" s="13" t="n">
        <v>0</v>
      </c>
      <c r="M1502" s="14">
        <f>SUMIFS(Maßnahmen!$I$7:$I$126,Maßnahmen!$D$7:$D$126,C1502,Maßnahmen!$H$7:$H$126,"&lt;&gt;verworfen")</f>
        <v/>
      </c>
      <c r="N1502" s="14">
        <f>IF(ISNUMBER(K1502),MAX(0,K1502-L1502-M1502),"n.a.")</f>
        <v/>
      </c>
      <c r="O1502" s="14" t="n">
        <v>0.87</v>
      </c>
      <c r="P1502" s="14">
        <f>IF(ISNUMBER(K1502),K1502-O1502,"n.a.")</f>
        <v/>
      </c>
    </row>
    <row r="1503" ht="32" customHeight="1">
      <c r="C1503" s="10" t="inlineStr">
        <is>
          <t>PRJ-4a2be973-RK-05</t>
        </is>
      </c>
      <c r="D1503" s="10" t="inlineStr">
        <is>
          <t>P4102652023</t>
        </is>
      </c>
      <c r="E1503" s="11" t="inlineStr">
        <is>
          <t>Unbekannte Bauwerkskonstruktion / fehlende Pläne</t>
        </is>
      </c>
      <c r="F1503" s="10" t="inlineStr">
        <is>
          <t>Statik</t>
        </is>
      </c>
      <c r="G1503" s="12" t="n">
        <v>0.12</v>
      </c>
      <c r="H1503" s="13" t="n">
        <v>40</v>
      </c>
      <c r="I1503" s="13" t="n">
        <v>80</v>
      </c>
      <c r="J1503" s="13" t="n">
        <v>150</v>
      </c>
      <c r="K1503" s="14">
        <f>IF(OR(COUNT(G1503:J1503)&lt;&gt;4,G1503&lt;0,G1503&gt;1,H1503&gt;I1503,I1503&gt;J1503),"n.a.",ROUND(G1503*(H1503+4*I1503+J1503)/6+0.00000001,2))</f>
        <v/>
      </c>
      <c r="L1503" s="13" t="n">
        <v>0</v>
      </c>
      <c r="M1503" s="14">
        <f>SUMIFS(Maßnahmen!$I$7:$I$126,Maßnahmen!$D$7:$D$126,C1503,Maßnahmen!$H$7:$H$126,"&lt;&gt;verworfen")</f>
        <v/>
      </c>
      <c r="N1503" s="14">
        <f>IF(ISNUMBER(K1503),MAX(0,K1503-L1503-M1503),"n.a.")</f>
        <v/>
      </c>
      <c r="O1503" s="14" t="n">
        <v>10.2</v>
      </c>
      <c r="P1503" s="14">
        <f>IF(ISNUMBER(K1503),K1503-O1503,"n.a.")</f>
        <v/>
      </c>
    </row>
    <row r="1504" ht="32" customHeight="1">
      <c r="C1504" s="10" t="inlineStr">
        <is>
          <t>PRJ-4a2be973-RK-06</t>
        </is>
      </c>
      <c r="D1504" s="10" t="inlineStr">
        <is>
          <t>P4102652023</t>
        </is>
      </c>
      <c r="E1504" s="11" t="inlineStr">
        <is>
          <t>Statik / Einsturzsicherung während Abbruch</t>
        </is>
      </c>
      <c r="F1504" s="10" t="inlineStr">
        <is>
          <t>Statik</t>
        </is>
      </c>
      <c r="G1504" s="12" t="n">
        <v>0.24</v>
      </c>
      <c r="H1504" s="13" t="n">
        <v>30</v>
      </c>
      <c r="I1504" s="13" t="n">
        <v>70</v>
      </c>
      <c r="J1504" s="13" t="n">
        <v>140</v>
      </c>
      <c r="K1504" s="14">
        <f>IF(OR(COUNT(G1504:J1504)&lt;&gt;4,G1504&lt;0,G1504&gt;1,H1504&gt;I1504,I1504&gt;J1504),"n.a.",ROUND(G1504*(H1504+4*I1504+J1504)/6+0.00000001,2))</f>
        <v/>
      </c>
      <c r="L1504" s="13" t="n">
        <v>0</v>
      </c>
      <c r="M1504" s="14">
        <f>SUMIFS(Maßnahmen!$I$7:$I$126,Maßnahmen!$D$7:$D$126,C1504,Maßnahmen!$H$7:$H$126,"&lt;&gt;verworfen")</f>
        <v/>
      </c>
      <c r="N1504" s="14">
        <f>IF(ISNUMBER(K1504),MAX(0,K1504-L1504-M1504),"n.a.")</f>
        <v/>
      </c>
      <c r="O1504" s="14" t="n">
        <v>18</v>
      </c>
      <c r="P1504" s="14">
        <f>IF(ISNUMBER(K1504),K1504-O1504,"n.a.")</f>
        <v/>
      </c>
    </row>
    <row r="1505" ht="32" customHeight="1">
      <c r="C1505" s="10" t="inlineStr">
        <is>
          <t>PRJ-4a2be973-RK-07</t>
        </is>
      </c>
      <c r="D1505" s="10" t="inlineStr">
        <is>
          <t>P4102652023</t>
        </is>
      </c>
      <c r="E1505" s="11" t="inlineStr">
        <is>
          <t>Unterirdische Tragkonstruktion / Fundamente</t>
        </is>
      </c>
      <c r="F1505" s="10" t="inlineStr">
        <is>
          <t>Statik</t>
        </is>
      </c>
      <c r="G1505" s="12" t="n">
        <v>0.4</v>
      </c>
      <c r="H1505" s="13" t="n">
        <v>5</v>
      </c>
      <c r="I1505" s="13" t="n">
        <v>20</v>
      </c>
      <c r="J1505" s="13" t="n">
        <v>50</v>
      </c>
      <c r="K1505" s="14">
        <f>IF(OR(COUNT(G1505:J1505)&lt;&gt;4,G1505&lt;0,G1505&gt;1,H1505&gt;I1505,I1505&gt;J1505),"n.a.",ROUND(G1505*(H1505+4*I1505+J1505)/6+0.00000001,2))</f>
        <v/>
      </c>
      <c r="L1505" s="13" t="n">
        <v>0</v>
      </c>
      <c r="M1505" s="14">
        <f>SUMIFS(Maßnahmen!$I$7:$I$126,Maßnahmen!$D$7:$D$126,C1505,Maßnahmen!$H$7:$H$126,"&lt;&gt;verworfen")</f>
        <v/>
      </c>
      <c r="N1505" s="14">
        <f>IF(ISNUMBER(K1505),MAX(0,K1505-L1505-M1505),"n.a.")</f>
        <v/>
      </c>
      <c r="O1505" s="14" t="n">
        <v>9</v>
      </c>
      <c r="P1505" s="14">
        <f>IF(ISNUMBER(K1505),K1505-O1505,"n.a.")</f>
        <v/>
      </c>
    </row>
    <row r="1506" ht="32" customHeight="1">
      <c r="C1506" s="10" t="inlineStr">
        <is>
          <t>PRJ-4a2be973-RK-08</t>
        </is>
      </c>
      <c r="D1506" s="10" t="inlineStr">
        <is>
          <t>P4102652023</t>
        </is>
      </c>
      <c r="E1506" s="11" t="inlineStr">
        <is>
          <t>Gebäudehöhe &gt;22 m / Longfront-Bagger (+130–150 %)</t>
        </is>
      </c>
      <c r="F1506" s="10" t="inlineStr">
        <is>
          <t>Termin</t>
        </is>
      </c>
      <c r="G1506" s="12" t="n">
        <v>0.6</v>
      </c>
      <c r="H1506" s="13" t="n">
        <v>90</v>
      </c>
      <c r="I1506" s="13" t="n">
        <v>180</v>
      </c>
      <c r="J1506" s="13" t="n">
        <v>340</v>
      </c>
      <c r="K1506" s="14">
        <f>IF(OR(COUNT(G1506:J1506)&lt;&gt;4,G1506&lt;0,G1506&gt;1,H1506&gt;I1506,I1506&gt;J1506),"n.a.",ROUND(G1506*(H1506+4*I1506+J1506)/6+0.00000001,2))</f>
        <v/>
      </c>
      <c r="L1506" s="13" t="n">
        <v>0</v>
      </c>
      <c r="M1506" s="14">
        <f>SUMIFS(Maßnahmen!$I$7:$I$126,Maßnahmen!$D$7:$D$126,C1506,Maßnahmen!$H$7:$H$126,"&lt;&gt;verworfen")</f>
        <v/>
      </c>
      <c r="N1506" s="14">
        <f>IF(ISNUMBER(K1506),MAX(0,K1506-L1506-M1506),"n.a.")</f>
        <v/>
      </c>
      <c r="O1506" s="14" t="n">
        <v>115</v>
      </c>
      <c r="P1506" s="14">
        <f>IF(ISNUMBER(K1506),K1506-O1506,"n.a.")</f>
        <v/>
      </c>
    </row>
    <row r="1507" ht="32" customHeight="1">
      <c r="C1507" s="10" t="inlineStr">
        <is>
          <t>PRJ-4a715fd4-RK-10</t>
        </is>
      </c>
      <c r="D1507" s="10" t="inlineStr">
        <is>
          <t>P4102604612</t>
        </is>
      </c>
      <c r="E1507" s="11" t="inlineStr">
        <is>
          <t>Terminvorgabe Auftraggeber / Geräteauslastung</t>
        </is>
      </c>
      <c r="F1507" s="10" t="inlineStr">
        <is>
          <t>Termin</t>
        </is>
      </c>
      <c r="G1507" s="12" t="n">
        <v>0.08</v>
      </c>
      <c r="H1507" s="13" t="n">
        <v>49</v>
      </c>
      <c r="I1507" s="13" t="n">
        <v>98</v>
      </c>
      <c r="J1507" s="13" t="n">
        <v>195</v>
      </c>
      <c r="K1507" s="14">
        <f>IF(OR(COUNT(G1507:J1507)&lt;&gt;4,G1507&lt;0,G1507&gt;1,H1507&gt;I1507,I1507&gt;J1507),"n.a.",ROUND(G1507*(H1507+4*I1507+J1507)/6+0.00000001,2))</f>
        <v/>
      </c>
      <c r="L1507" s="13" t="n">
        <v>0</v>
      </c>
      <c r="M1507" s="14">
        <f>SUMIFS(Maßnahmen!$I$7:$I$126,Maßnahmen!$D$7:$D$126,C1507,Maßnahmen!$H$7:$H$126,"&lt;&gt;verworfen")</f>
        <v/>
      </c>
      <c r="N1507" s="14">
        <f>IF(ISNUMBER(K1507),MAX(0,K1507-L1507-M1507),"n.a.")</f>
        <v/>
      </c>
      <c r="O1507" s="14" t="n">
        <v>8.48</v>
      </c>
      <c r="P1507" s="14">
        <f>IF(ISNUMBER(K1507),K1507-O1507,"n.a.")</f>
        <v/>
      </c>
    </row>
    <row r="1508" ht="32" customHeight="1">
      <c r="C1508" s="10" t="inlineStr">
        <is>
          <t>PRJ-4a715fd4-RK-11</t>
        </is>
      </c>
      <c r="D1508" s="10" t="inlineStr">
        <is>
          <t>P4102604612</t>
        </is>
      </c>
      <c r="E1508" s="11" t="inlineStr">
        <is>
          <t>Witterung / Ablaufstörung</t>
        </is>
      </c>
      <c r="F1508" s="10" t="inlineStr">
        <is>
          <t>Termin</t>
        </is>
      </c>
      <c r="G1508" s="12" t="n">
        <v>0.25</v>
      </c>
      <c r="H1508" s="13" t="n">
        <v>98</v>
      </c>
      <c r="I1508" s="13" t="n">
        <v>293</v>
      </c>
      <c r="J1508" s="13" t="n">
        <v>586</v>
      </c>
      <c r="K1508" s="14">
        <f>IF(OR(COUNT(G1508:J1508)&lt;&gt;4,G1508&lt;0,G1508&gt;1,H1508&gt;I1508,I1508&gt;J1508),"n.a.",ROUND(G1508*(H1508+4*I1508+J1508)/6+0.00000001,2))</f>
        <v/>
      </c>
      <c r="L1508" s="13" t="n">
        <v>0</v>
      </c>
      <c r="M1508" s="14">
        <f>SUMIFS(Maßnahmen!$I$7:$I$126,Maßnahmen!$D$7:$D$126,C1508,Maßnahmen!$H$7:$H$126,"&lt;&gt;verworfen")</f>
        <v/>
      </c>
      <c r="N1508" s="14">
        <f>IF(ISNUMBER(K1508),MAX(0,K1508-L1508-M1508),"n.a.")</f>
        <v/>
      </c>
      <c r="O1508" s="14" t="n">
        <v>77.33</v>
      </c>
      <c r="P1508" s="14">
        <f>IF(ISNUMBER(K1508),K1508-O1508,"n.a.")</f>
        <v/>
      </c>
    </row>
    <row r="1509" ht="32" customHeight="1">
      <c r="C1509" s="10" t="inlineStr">
        <is>
          <t>PRJ-4a715fd4-RK-12</t>
        </is>
      </c>
      <c r="D1509" s="10" t="inlineStr">
        <is>
          <t>P4102604612</t>
        </is>
      </c>
      <c r="E1509" s="11" t="inlineStr">
        <is>
          <t>Staubemissionen (höchster Aufwand laut Umfrage)</t>
        </is>
      </c>
      <c r="F1509" s="10" t="inlineStr">
        <is>
          <t>Emissionen</t>
        </is>
      </c>
      <c r="G1509" s="12" t="n">
        <v>0.1</v>
      </c>
      <c r="H1509" s="13" t="n">
        <v>293</v>
      </c>
      <c r="I1509" s="13" t="n">
        <v>586</v>
      </c>
      <c r="J1509" s="13" t="n">
        <v>1173</v>
      </c>
      <c r="K1509" s="14">
        <f>IF(OR(COUNT(G1509:J1509)&lt;&gt;4,G1509&lt;0,G1509&gt;1,H1509&gt;I1509,I1509&gt;J1509),"n.a.",ROUND(G1509*(H1509+4*I1509+J1509)/6+0.00000001,2))</f>
        <v/>
      </c>
      <c r="L1509" s="13" t="n">
        <v>0</v>
      </c>
      <c r="M1509" s="14">
        <f>SUMIFS(Maßnahmen!$I$7:$I$126,Maßnahmen!$D$7:$D$126,C1509,Maßnahmen!$H$7:$H$126,"&lt;&gt;verworfen")</f>
        <v/>
      </c>
      <c r="N1509" s="14">
        <f>IF(ISNUMBER(K1509),MAX(0,K1509-L1509-M1509),"n.a.")</f>
        <v/>
      </c>
      <c r="O1509" s="14" t="n">
        <v>63.5</v>
      </c>
      <c r="P1509" s="14">
        <f>IF(ISNUMBER(K1509),K1509-O1509,"n.a.")</f>
        <v/>
      </c>
    </row>
    <row r="1510" ht="32" customHeight="1">
      <c r="C1510" s="10" t="inlineStr">
        <is>
          <t>PRJ-4a715fd4-RK-13</t>
        </is>
      </c>
      <c r="D1510" s="10" t="inlineStr">
        <is>
          <t>P4102604612</t>
        </is>
      </c>
      <c r="E1510" s="11" t="inlineStr">
        <is>
          <t>Lärm- und Erschütterungsauflagen</t>
        </is>
      </c>
      <c r="F1510" s="10" t="inlineStr">
        <is>
          <t>Emissionen</t>
        </is>
      </c>
      <c r="G1510" s="12" t="n">
        <v>0.215</v>
      </c>
      <c r="H1510" s="13" t="n">
        <v>227</v>
      </c>
      <c r="I1510" s="13" t="n">
        <v>547</v>
      </c>
      <c r="J1510" s="13" t="n">
        <v>1077</v>
      </c>
      <c r="K1510" s="14">
        <f>IF(OR(COUNT(G1510:J1510)&lt;&gt;4,G1510&lt;0,G1510&gt;1,H1510&gt;I1510,I1510&gt;J1510),"n.a.",ROUND(G1510*(H1510+4*I1510+J1510)/6+0.00000001,2))</f>
        <v/>
      </c>
      <c r="L1510" s="13" t="n">
        <v>0</v>
      </c>
      <c r="M1510" s="14">
        <f>SUMIFS(Maßnahmen!$I$7:$I$126,Maßnahmen!$D$7:$D$126,C1510,Maßnahmen!$H$7:$H$126,"&lt;&gt;verworfen")</f>
        <v/>
      </c>
      <c r="N1510" s="14">
        <f>IF(ISNUMBER(K1510),MAX(0,K1510-L1510-M1510),"n.a.")</f>
        <v/>
      </c>
      <c r="O1510" s="14" t="n">
        <v>125.13</v>
      </c>
      <c r="P1510" s="14">
        <f>IF(ISNUMBER(K1510),K1510-O1510,"n.a.")</f>
        <v/>
      </c>
    </row>
    <row r="1511" ht="32" customHeight="1">
      <c r="C1511" s="10" t="inlineStr">
        <is>
          <t>PRJ-4a715fd4-RK-14</t>
        </is>
      </c>
      <c r="D1511" s="10" t="inlineStr">
        <is>
          <t>P4102604612</t>
        </is>
      </c>
      <c r="E1511" s="11" t="inlineStr">
        <is>
          <t>Rechtliche Auflagen / Entsorgungsnachweise (Formalismus)</t>
        </is>
      </c>
      <c r="F1511" s="10" t="inlineStr">
        <is>
          <t>Genehmigung</t>
        </is>
      </c>
      <c r="G1511" s="12" t="n">
        <v>0.4</v>
      </c>
      <c r="H1511" s="13" t="n">
        <v>907</v>
      </c>
      <c r="I1511" s="13" t="n">
        <v>1768</v>
      </c>
      <c r="J1511" s="13" t="n">
        <v>3346</v>
      </c>
      <c r="K1511" s="14">
        <f>IF(OR(COUNT(G1511:J1511)&lt;&gt;4,G1511&lt;0,G1511&gt;1,H1511&gt;I1511,I1511&gt;J1511),"n.a.",ROUND(G1511*(H1511+4*I1511+J1511)/6+0.00000001,2))</f>
        <v/>
      </c>
      <c r="L1511" s="13" t="n">
        <v>0</v>
      </c>
      <c r="M1511" s="14">
        <f>SUMIFS(Maßnahmen!$I$7:$I$126,Maßnahmen!$D$7:$D$126,C1511,Maßnahmen!$H$7:$H$126,"&lt;&gt;verworfen")</f>
        <v/>
      </c>
      <c r="N1511" s="14">
        <f>IF(ISNUMBER(K1511),MAX(0,K1511-L1511-M1511),"n.a.")</f>
        <v/>
      </c>
      <c r="O1511" s="14" t="n">
        <v>755</v>
      </c>
      <c r="P1511" s="14">
        <f>IF(ISNUMBER(K1511),K1511-O1511,"n.a.")</f>
        <v/>
      </c>
    </row>
    <row r="1512" ht="32" customHeight="1">
      <c r="C1512" s="10" t="inlineStr">
        <is>
          <t>PRJ-4a715fd4-RK-15</t>
        </is>
      </c>
      <c r="D1512" s="10" t="inlineStr">
        <is>
          <t>P4102604612</t>
        </is>
      </c>
      <c r="E1512" s="11" t="inlineStr">
        <is>
          <t>Konjunktur / Sekundärstoffpreise &amp; Gerätemiete</t>
        </is>
      </c>
      <c r="F1512" s="10" t="inlineStr">
        <is>
          <t>Markt</t>
        </is>
      </c>
      <c r="G1512" s="12" t="n">
        <v>0.12</v>
      </c>
      <c r="H1512" s="13" t="n">
        <v>78</v>
      </c>
      <c r="I1512" s="13" t="n">
        <v>195</v>
      </c>
      <c r="J1512" s="13" t="n">
        <v>489</v>
      </c>
      <c r="K1512" s="14">
        <f>IF(OR(COUNT(G1512:J1512)&lt;&gt;4,G1512&lt;0,G1512&gt;1,H1512&gt;I1512,I1512&gt;J1512),"n.a.",ROUND(G1512*(H1512+4*I1512+J1512)/6+0.00000001,2))</f>
        <v/>
      </c>
      <c r="L1512" s="13" t="n">
        <v>0</v>
      </c>
      <c r="M1512" s="14">
        <f>SUMIFS(Maßnahmen!$I$7:$I$126,Maßnahmen!$D$7:$D$126,C1512,Maßnahmen!$H$7:$H$126,"&lt;&gt;verworfen")</f>
        <v/>
      </c>
      <c r="N1512" s="14">
        <f>IF(ISNUMBER(K1512),MAX(0,K1512-L1512-M1512),"n.a.")</f>
        <v/>
      </c>
      <c r="O1512" s="14" t="n">
        <v>26.94</v>
      </c>
      <c r="P1512" s="14">
        <f>IF(ISNUMBER(K1512),K1512-O1512,"n.a.")</f>
        <v/>
      </c>
    </row>
    <row r="1513" ht="32" customHeight="1">
      <c r="C1513" s="10" t="inlineStr">
        <is>
          <t>PRJ-4a6f9cbd-RK-01</t>
        </is>
      </c>
      <c r="D1513" s="10" t="inlineStr">
        <is>
          <t>P4102608266</t>
        </is>
      </c>
      <c r="E1513" s="11" t="inlineStr">
        <is>
          <t>Schadstofffund / Schadstoffsanierung (Asbest, PAK, PCB, PCP)</t>
        </is>
      </c>
      <c r="F1513" s="10" t="inlineStr">
        <is>
          <t>Schadstoffe</t>
        </is>
      </c>
      <c r="G1513" s="12" t="n">
        <v>0.1</v>
      </c>
      <c r="H1513" s="13" t="n">
        <v>20</v>
      </c>
      <c r="I1513" s="13" t="n">
        <v>50</v>
      </c>
      <c r="J1513" s="13" t="n">
        <v>100</v>
      </c>
      <c r="K1513" s="14">
        <f>IF(OR(COUNT(G1513:J1513)&lt;&gt;4,G1513&lt;0,G1513&gt;1,H1513&gt;I1513,I1513&gt;J1513),"n.a.",ROUND(G1513*(H1513+4*I1513+J1513)/6+0.00000001,2))</f>
        <v/>
      </c>
      <c r="L1513" s="13" t="n">
        <v>0</v>
      </c>
      <c r="M1513" s="14">
        <f>SUMIFS(Maßnahmen!$I$7:$I$126,Maßnahmen!$D$7:$D$126,C1513,Maßnahmen!$H$7:$H$126,"&lt;&gt;verworfen")</f>
        <v/>
      </c>
      <c r="N1513" s="14">
        <f>IF(ISNUMBER(K1513),MAX(0,K1513-L1513-M1513),"n.a.")</f>
        <v/>
      </c>
      <c r="O1513" s="14" t="n">
        <v>5.33</v>
      </c>
      <c r="P1513" s="14">
        <f>IF(ISNUMBER(K1513),K1513-O1513,"n.a.")</f>
        <v/>
      </c>
    </row>
    <row r="1514" ht="32" customHeight="1">
      <c r="C1514" s="10" t="inlineStr">
        <is>
          <t>PRJ-4a6f9cbd-RK-02</t>
        </is>
      </c>
      <c r="D1514" s="10" t="inlineStr">
        <is>
          <t>P4102608266</t>
        </is>
      </c>
      <c r="E1514" s="11" t="inlineStr">
        <is>
          <t>Arbeitsschutz kontaminierte Bereiche (TRGS 524)</t>
        </is>
      </c>
      <c r="F1514" s="10" t="inlineStr">
        <is>
          <t>Schadstoffe</t>
        </is>
      </c>
      <c r="G1514" s="12" t="n">
        <v>0.1</v>
      </c>
      <c r="H1514" s="13" t="n">
        <v>5</v>
      </c>
      <c r="I1514" s="13" t="n">
        <v>10</v>
      </c>
      <c r="J1514" s="13" t="n">
        <v>20</v>
      </c>
      <c r="K1514" s="14">
        <f>IF(OR(COUNT(G1514:J1514)&lt;&gt;4,G1514&lt;0,G1514&gt;1,H1514&gt;I1514,I1514&gt;J1514),"n.a.",ROUND(G1514*(H1514+4*I1514+J1514)/6+0.00000001,2))</f>
        <v/>
      </c>
      <c r="L1514" s="13" t="n">
        <v>0</v>
      </c>
      <c r="M1514" s="14">
        <f>SUMIFS(Maßnahmen!$I$7:$I$126,Maßnahmen!$D$7:$D$126,C1514,Maßnahmen!$H$7:$H$126,"&lt;&gt;verworfen")</f>
        <v/>
      </c>
      <c r="N1514" s="14">
        <f>IF(ISNUMBER(K1514),MAX(0,K1514-L1514-M1514),"n.a.")</f>
        <v/>
      </c>
      <c r="O1514" s="14" t="n">
        <v>1.08</v>
      </c>
      <c r="P1514" s="14">
        <f>IF(ISNUMBER(K1514),K1514-O1514,"n.a.")</f>
        <v/>
      </c>
    </row>
    <row r="1515" ht="32" customHeight="1">
      <c r="C1515" s="10" t="inlineStr">
        <is>
          <t>PRJ-4a6f9cbd-RK-03</t>
        </is>
      </c>
      <c r="D1515" s="10" t="inlineStr">
        <is>
          <t>P4102608266</t>
        </is>
      </c>
      <c r="E1515" s="11" t="inlineStr">
        <is>
          <t>Entsorgungs-Mehrkosten / Entsorgungswege</t>
        </is>
      </c>
      <c r="F1515" s="10" t="inlineStr">
        <is>
          <t>Entsorgung</t>
        </is>
      </c>
      <c r="G1515" s="12" t="n">
        <v>0.55</v>
      </c>
      <c r="H1515" s="13" t="n">
        <v>218</v>
      </c>
      <c r="I1515" s="13" t="n">
        <v>397</v>
      </c>
      <c r="J1515" s="13" t="n">
        <v>645</v>
      </c>
      <c r="K1515" s="14">
        <f>IF(OR(COUNT(G1515:J1515)&lt;&gt;4,G1515&lt;0,G1515&gt;1,H1515&gt;I1515,I1515&gt;J1515),"n.a.",ROUND(G1515*(H1515+4*I1515+J1515)/6+0.00000001,2))</f>
        <v/>
      </c>
      <c r="L1515" s="13" t="n">
        <v>0</v>
      </c>
      <c r="M1515" s="14">
        <f>SUMIFS(Maßnahmen!$I$7:$I$126,Maßnahmen!$D$7:$D$126,C1515,Maßnahmen!$H$7:$H$126,"&lt;&gt;verworfen")</f>
        <v/>
      </c>
      <c r="N1515" s="14">
        <f>IF(ISNUMBER(K1515),MAX(0,K1515-L1515-M1515),"n.a.")</f>
        <v/>
      </c>
      <c r="O1515" s="14" t="n">
        <v>224.68</v>
      </c>
      <c r="P1515" s="14">
        <f>IF(ISNUMBER(K1515),K1515-O1515,"n.a.")</f>
        <v/>
      </c>
    </row>
    <row r="1516" ht="32" customHeight="1">
      <c r="C1516" s="10" t="inlineStr">
        <is>
          <t>PRJ-4a6f9cbd-RK-04</t>
        </is>
      </c>
      <c r="D1516" s="10" t="inlineStr">
        <is>
          <t>P4102608266</t>
        </is>
      </c>
      <c r="E1516" s="11" t="inlineStr">
        <is>
          <t>Baustofftrennung / Aufbereitung nicht wie geplant</t>
        </is>
      </c>
      <c r="F1516" s="10" t="inlineStr">
        <is>
          <t>Entsorgung</t>
        </is>
      </c>
      <c r="G1516" s="12" t="n">
        <v>0.08</v>
      </c>
      <c r="H1516" s="13" t="n">
        <v>5</v>
      </c>
      <c r="I1516" s="13" t="n">
        <v>10</v>
      </c>
      <c r="J1516" s="13" t="n">
        <v>20</v>
      </c>
      <c r="K1516" s="14">
        <f>IF(OR(COUNT(G1516:J1516)&lt;&gt;4,G1516&lt;0,G1516&gt;1,H1516&gt;I1516,I1516&gt;J1516),"n.a.",ROUND(G1516*(H1516+4*I1516+J1516)/6+0.00000001,2))</f>
        <v/>
      </c>
      <c r="L1516" s="13" t="n">
        <v>0</v>
      </c>
      <c r="M1516" s="14">
        <f>SUMIFS(Maßnahmen!$I$7:$I$126,Maßnahmen!$D$7:$D$126,C1516,Maßnahmen!$H$7:$H$126,"&lt;&gt;verworfen")</f>
        <v/>
      </c>
      <c r="N1516" s="14">
        <f>IF(ISNUMBER(K1516),MAX(0,K1516-L1516-M1516),"n.a.")</f>
        <v/>
      </c>
      <c r="O1516" s="14" t="n">
        <v>0.87</v>
      </c>
      <c r="P1516" s="14">
        <f>IF(ISNUMBER(K1516),K1516-O1516,"n.a.")</f>
        <v/>
      </c>
    </row>
    <row r="1517" ht="32" customHeight="1">
      <c r="C1517" s="10" t="inlineStr">
        <is>
          <t>PRJ-4a2be973-RK-09</t>
        </is>
      </c>
      <c r="D1517" s="10" t="inlineStr">
        <is>
          <t>P4102652023</t>
        </is>
      </c>
      <c r="E1517" s="11" t="inlineStr">
        <is>
          <t>Beennte Lage / nur Handabbruch möglich</t>
        </is>
      </c>
      <c r="F1517" s="10" t="inlineStr">
        <is>
          <t>Termin</t>
        </is>
      </c>
      <c r="G1517" s="12" t="n">
        <v>0.15</v>
      </c>
      <c r="H1517" s="13" t="n">
        <v>8</v>
      </c>
      <c r="I1517" s="13" t="n">
        <v>20</v>
      </c>
      <c r="J1517" s="13" t="n">
        <v>50</v>
      </c>
      <c r="K1517" s="14">
        <f>IF(OR(COUNT(G1517:J1517)&lt;&gt;4,G1517&lt;0,G1517&gt;1,H1517&gt;I1517,I1517&gt;J1517),"n.a.",ROUND(G1517*(H1517+4*I1517+J1517)/6+0.00000001,2))</f>
        <v/>
      </c>
      <c r="L1517" s="13" t="n">
        <v>0</v>
      </c>
      <c r="M1517" s="14">
        <f>SUMIFS(Maßnahmen!$I$7:$I$126,Maßnahmen!$D$7:$D$126,C1517,Maßnahmen!$H$7:$H$126,"&lt;&gt;verworfen")</f>
        <v/>
      </c>
      <c r="N1517" s="14">
        <f>IF(ISNUMBER(K1517),MAX(0,K1517-L1517-M1517),"n.a.")</f>
        <v/>
      </c>
      <c r="O1517" s="14" t="n">
        <v>3.45</v>
      </c>
      <c r="P1517" s="14">
        <f>IF(ISNUMBER(K1517),K1517-O1517,"n.a.")</f>
        <v/>
      </c>
    </row>
    <row r="1518" ht="32" customHeight="1">
      <c r="C1518" s="10" t="inlineStr">
        <is>
          <t>PRJ-4a2be973-RK-10</t>
        </is>
      </c>
      <c r="D1518" s="10" t="inlineStr">
        <is>
          <t>P4102652023</t>
        </is>
      </c>
      <c r="E1518" s="11" t="inlineStr">
        <is>
          <t>Terminvorgabe Auftraggeber / Geräteauslastung</t>
        </is>
      </c>
      <c r="F1518" s="10" t="inlineStr">
        <is>
          <t>Termin</t>
        </is>
      </c>
      <c r="G1518" s="12" t="n">
        <v>0.08</v>
      </c>
      <c r="H1518" s="13" t="n">
        <v>5</v>
      </c>
      <c r="I1518" s="13" t="n">
        <v>10</v>
      </c>
      <c r="J1518" s="13" t="n">
        <v>20</v>
      </c>
      <c r="K1518" s="14">
        <f>IF(OR(COUNT(G1518:J1518)&lt;&gt;4,G1518&lt;0,G1518&gt;1,H1518&gt;I1518,I1518&gt;J1518),"n.a.",ROUND(G1518*(H1518+4*I1518+J1518)/6+0.00000001,2))</f>
        <v/>
      </c>
      <c r="L1518" s="13" t="n">
        <v>0</v>
      </c>
      <c r="M1518" s="14">
        <f>SUMIFS(Maßnahmen!$I$7:$I$126,Maßnahmen!$D$7:$D$126,C1518,Maßnahmen!$H$7:$H$126,"&lt;&gt;verworfen")</f>
        <v/>
      </c>
      <c r="N1518" s="14">
        <f>IF(ISNUMBER(K1518),MAX(0,K1518-L1518-M1518),"n.a.")</f>
        <v/>
      </c>
      <c r="O1518" s="14" t="n">
        <v>0.87</v>
      </c>
      <c r="P1518" s="14">
        <f>IF(ISNUMBER(K1518),K1518-O1518,"n.a.")</f>
        <v/>
      </c>
    </row>
    <row r="1519" ht="32" customHeight="1">
      <c r="C1519" s="10" t="inlineStr">
        <is>
          <t>PRJ-4a2be973-RK-11</t>
        </is>
      </c>
      <c r="D1519" s="10" t="inlineStr">
        <is>
          <t>P4102652023</t>
        </is>
      </c>
      <c r="E1519" s="11" t="inlineStr">
        <is>
          <t>Witterung / Ablaufstörung</t>
        </is>
      </c>
      <c r="F1519" s="10" t="inlineStr">
        <is>
          <t>Termin</t>
        </is>
      </c>
      <c r="G1519" s="12" t="n">
        <v>0.25</v>
      </c>
      <c r="H1519" s="13" t="n">
        <v>10</v>
      </c>
      <c r="I1519" s="13" t="n">
        <v>30</v>
      </c>
      <c r="J1519" s="13" t="n">
        <v>60</v>
      </c>
      <c r="K1519" s="14">
        <f>IF(OR(COUNT(G1519:J1519)&lt;&gt;4,G1519&lt;0,G1519&gt;1,H1519&gt;I1519,I1519&gt;J1519),"n.a.",ROUND(G1519*(H1519+4*I1519+J1519)/6+0.00000001,2))</f>
        <v/>
      </c>
      <c r="L1519" s="13" t="n">
        <v>0</v>
      </c>
      <c r="M1519" s="14">
        <f>SUMIFS(Maßnahmen!$I$7:$I$126,Maßnahmen!$D$7:$D$126,C1519,Maßnahmen!$H$7:$H$126,"&lt;&gt;verworfen")</f>
        <v/>
      </c>
      <c r="N1519" s="14">
        <f>IF(ISNUMBER(K1519),MAX(0,K1519-L1519-M1519),"n.a.")</f>
        <v/>
      </c>
      <c r="O1519" s="14" t="n">
        <v>7.92</v>
      </c>
      <c r="P1519" s="14">
        <f>IF(ISNUMBER(K1519),K1519-O1519,"n.a.")</f>
        <v/>
      </c>
    </row>
    <row r="1520" ht="32" customHeight="1">
      <c r="C1520" s="10" t="inlineStr">
        <is>
          <t>PRJ-4a2be973-RK-12</t>
        </is>
      </c>
      <c r="D1520" s="10" t="inlineStr">
        <is>
          <t>P4102652023</t>
        </is>
      </c>
      <c r="E1520" s="11" t="inlineStr">
        <is>
          <t>Staubemissionen (höchster Aufwand laut Umfrage)</t>
        </is>
      </c>
      <c r="F1520" s="10" t="inlineStr">
        <is>
          <t>Emissionen</t>
        </is>
      </c>
      <c r="G1520" s="12" t="n">
        <v>0.1</v>
      </c>
      <c r="H1520" s="13" t="n">
        <v>30</v>
      </c>
      <c r="I1520" s="13" t="n">
        <v>60</v>
      </c>
      <c r="J1520" s="13" t="n">
        <v>120</v>
      </c>
      <c r="K1520" s="14">
        <f>IF(OR(COUNT(G1520:J1520)&lt;&gt;4,G1520&lt;0,G1520&gt;1,H1520&gt;I1520,I1520&gt;J1520),"n.a.",ROUND(G1520*(H1520+4*I1520+J1520)/6+0.00000001,2))</f>
        <v/>
      </c>
      <c r="L1520" s="13" t="n">
        <v>0</v>
      </c>
      <c r="M1520" s="14">
        <f>SUMIFS(Maßnahmen!$I$7:$I$126,Maßnahmen!$D$7:$D$126,C1520,Maßnahmen!$H$7:$H$126,"&lt;&gt;verworfen")</f>
        <v/>
      </c>
      <c r="N1520" s="14">
        <f>IF(ISNUMBER(K1520),MAX(0,K1520-L1520-M1520),"n.a.")</f>
        <v/>
      </c>
      <c r="O1520" s="14" t="n">
        <v>6.5</v>
      </c>
      <c r="P1520" s="14">
        <f>IF(ISNUMBER(K1520),K1520-O1520,"n.a.")</f>
        <v/>
      </c>
    </row>
    <row r="1521" ht="32" customHeight="1">
      <c r="C1521" s="10" t="inlineStr">
        <is>
          <t>PRJ-4a2be973-RK-13</t>
        </is>
      </c>
      <c r="D1521" s="10" t="inlineStr">
        <is>
          <t>P4102652023</t>
        </is>
      </c>
      <c r="E1521" s="11" t="inlineStr">
        <is>
          <t>Lärm- und Erschütterungsauflagen</t>
        </is>
      </c>
      <c r="F1521" s="10" t="inlineStr">
        <is>
          <t>Emissionen</t>
        </is>
      </c>
      <c r="G1521" s="12" t="n">
        <v>0.2</v>
      </c>
      <c r="H1521" s="13" t="n">
        <v>20</v>
      </c>
      <c r="I1521" s="13" t="n">
        <v>50</v>
      </c>
      <c r="J1521" s="13" t="n">
        <v>100</v>
      </c>
      <c r="K1521" s="14">
        <f>IF(OR(COUNT(G1521:J1521)&lt;&gt;4,G1521&lt;0,G1521&gt;1,H1521&gt;I1521,I1521&gt;J1521),"n.a.",ROUND(G1521*(H1521+4*I1521+J1521)/6+0.00000001,2))</f>
        <v/>
      </c>
      <c r="L1521" s="13" t="n">
        <v>0</v>
      </c>
      <c r="M1521" s="14">
        <f>SUMIFS(Maßnahmen!$I$7:$I$126,Maßnahmen!$D$7:$D$126,C1521,Maßnahmen!$H$7:$H$126,"&lt;&gt;verworfen")</f>
        <v/>
      </c>
      <c r="N1521" s="14">
        <f>IF(ISNUMBER(K1521),MAX(0,K1521-L1521-M1521),"n.a.")</f>
        <v/>
      </c>
      <c r="O1521" s="14" t="n">
        <v>10.67</v>
      </c>
      <c r="P1521" s="14">
        <f>IF(ISNUMBER(K1521),K1521-O1521,"n.a.")</f>
        <v/>
      </c>
    </row>
    <row r="1522" ht="32" customHeight="1">
      <c r="C1522" s="10" t="inlineStr">
        <is>
          <t>PRJ-4a2be973-RK-14</t>
        </is>
      </c>
      <c r="D1522" s="10" t="inlineStr">
        <is>
          <t>P4102652023</t>
        </is>
      </c>
      <c r="E1522" s="11" t="inlineStr">
        <is>
          <t>Rechtliche Auflagen / Entsorgungsnachweise (Formalismus)</t>
        </is>
      </c>
      <c r="F1522" s="10" t="inlineStr">
        <is>
          <t>Genehmigung</t>
        </is>
      </c>
      <c r="G1522" s="12" t="n">
        <v>0.4</v>
      </c>
      <c r="H1522" s="13" t="n">
        <v>95</v>
      </c>
      <c r="I1522" s="13" t="n">
        <v>185</v>
      </c>
      <c r="J1522" s="13" t="n">
        <v>350</v>
      </c>
      <c r="K1522" s="14">
        <f>IF(OR(COUNT(G1522:J1522)&lt;&gt;4,G1522&lt;0,G1522&gt;1,H1522&gt;I1522,I1522&gt;J1522),"n.a.",ROUND(G1522*(H1522+4*I1522+J1522)/6+0.00000001,2))</f>
        <v/>
      </c>
      <c r="L1522" s="13" t="n">
        <v>0</v>
      </c>
      <c r="M1522" s="14">
        <f>SUMIFS(Maßnahmen!$I$7:$I$126,Maßnahmen!$D$7:$D$126,C1522,Maßnahmen!$H$7:$H$126,"&lt;&gt;verworfen")</f>
        <v/>
      </c>
      <c r="N1522" s="14">
        <f>IF(ISNUMBER(K1522),MAX(0,K1522-L1522-M1522),"n.a.")</f>
        <v/>
      </c>
      <c r="O1522" s="14" t="n">
        <v>79</v>
      </c>
      <c r="P1522" s="14">
        <f>IF(ISNUMBER(K1522),K1522-O1522,"n.a.")</f>
        <v/>
      </c>
    </row>
    <row r="1523" ht="32" customHeight="1">
      <c r="C1523" s="10" t="inlineStr">
        <is>
          <t>PRJ-4a2be973-RK-15</t>
        </is>
      </c>
      <c r="D1523" s="10" t="inlineStr">
        <is>
          <t>P4102652023</t>
        </is>
      </c>
      <c r="E1523" s="11" t="inlineStr">
        <is>
          <t>Konjunktur / Sekundärstoffpreise &amp; Gerätemiete</t>
        </is>
      </c>
      <c r="F1523" s="10" t="inlineStr">
        <is>
          <t>Markt</t>
        </is>
      </c>
      <c r="G1523" s="12" t="n">
        <v>0.12</v>
      </c>
      <c r="H1523" s="13" t="n">
        <v>8</v>
      </c>
      <c r="I1523" s="13" t="n">
        <v>20</v>
      </c>
      <c r="J1523" s="13" t="n">
        <v>50</v>
      </c>
      <c r="K1523" s="14">
        <f>IF(OR(COUNT(G1523:J1523)&lt;&gt;4,G1523&lt;0,G1523&gt;1,H1523&gt;I1523,I1523&gt;J1523),"n.a.",ROUND(G1523*(H1523+4*I1523+J1523)/6+0.00000001,2))</f>
        <v/>
      </c>
      <c r="L1523" s="13" t="n">
        <v>0</v>
      </c>
      <c r="M1523" s="14">
        <f>SUMIFS(Maßnahmen!$I$7:$I$126,Maßnahmen!$D$7:$D$126,C1523,Maßnahmen!$H$7:$H$126,"&lt;&gt;verworfen")</f>
        <v/>
      </c>
      <c r="N1523" s="14">
        <f>IF(ISNUMBER(K1523),MAX(0,K1523-L1523-M1523),"n.a.")</f>
        <v/>
      </c>
      <c r="O1523" s="14" t="n">
        <v>2.76</v>
      </c>
      <c r="P1523" s="14">
        <f>IF(ISNUMBER(K1523),K1523-O1523,"n.a.")</f>
        <v/>
      </c>
    </row>
    <row r="1524" ht="32" customHeight="1">
      <c r="C1524" s="10" t="inlineStr">
        <is>
          <t>PRJ-4a6f9d3b-RK-01</t>
        </is>
      </c>
      <c r="D1524" s="10" t="inlineStr">
        <is>
          <t>P4102608224</t>
        </is>
      </c>
      <c r="E1524" s="11" t="inlineStr">
        <is>
          <t>Schadstofffund / Schadstoffsanierung (Asbest, PAK, PCB, PCP)</t>
        </is>
      </c>
      <c r="F1524" s="10" t="inlineStr">
        <is>
          <t>Schadstoffe</t>
        </is>
      </c>
      <c r="G1524" s="12" t="n">
        <v>0.7</v>
      </c>
      <c r="H1524" s="13" t="n">
        <v>528</v>
      </c>
      <c r="I1524" s="13" t="n">
        <v>791</v>
      </c>
      <c r="J1524" s="13" t="n">
        <v>1143</v>
      </c>
      <c r="K1524" s="14">
        <f>IF(OR(COUNT(G1524:J1524)&lt;&gt;4,G1524&lt;0,G1524&gt;1,H1524&gt;I1524,I1524&gt;J1524),"n.a.",ROUND(G1524*(H1524+4*I1524+J1524)/6+0.00000001,2))</f>
        <v/>
      </c>
      <c r="L1524" s="13" t="n">
        <v>0</v>
      </c>
      <c r="M1524" s="14">
        <f>SUMIFS(Maßnahmen!$I$7:$I$126,Maßnahmen!$D$7:$D$126,C1524,Maßnahmen!$H$7:$H$126,"&lt;&gt;verworfen")</f>
        <v/>
      </c>
      <c r="N1524" s="14">
        <f>IF(ISNUMBER(K1524),MAX(0,K1524-L1524-M1524),"n.a.")</f>
        <v/>
      </c>
      <c r="O1524" s="14" t="n">
        <v>564.08</v>
      </c>
      <c r="P1524" s="14">
        <f>IF(ISNUMBER(K1524),K1524-O1524,"n.a.")</f>
        <v/>
      </c>
    </row>
    <row r="1525" ht="32" customHeight="1">
      <c r="C1525" s="10" t="inlineStr">
        <is>
          <t>PRJ-4a6f9d3b-RK-02</t>
        </is>
      </c>
      <c r="D1525" s="10" t="inlineStr">
        <is>
          <t>P4102608224</t>
        </is>
      </c>
      <c r="E1525" s="11" t="inlineStr">
        <is>
          <t>Arbeitsschutz kontaminierte Bereiche (TRGS 524)</t>
        </is>
      </c>
      <c r="F1525" s="10" t="inlineStr">
        <is>
          <t>Schadstoffe</t>
        </is>
      </c>
      <c r="G1525" s="12" t="n">
        <v>0.1</v>
      </c>
      <c r="H1525" s="13" t="n">
        <v>9</v>
      </c>
      <c r="I1525" s="13" t="n">
        <v>18</v>
      </c>
      <c r="J1525" s="13" t="n">
        <v>35</v>
      </c>
      <c r="K1525" s="14">
        <f>IF(OR(COUNT(G1525:J1525)&lt;&gt;4,G1525&lt;0,G1525&gt;1,H1525&gt;I1525,I1525&gt;J1525),"n.a.",ROUND(G1525*(H1525+4*I1525+J1525)/6+0.00000001,2))</f>
        <v/>
      </c>
      <c r="L1525" s="13" t="n">
        <v>0</v>
      </c>
      <c r="M1525" s="14">
        <f>SUMIFS(Maßnahmen!$I$7:$I$126,Maßnahmen!$D$7:$D$126,C1525,Maßnahmen!$H$7:$H$126,"&lt;&gt;verworfen")</f>
        <v/>
      </c>
      <c r="N1525" s="14">
        <f>IF(ISNUMBER(K1525),MAX(0,K1525-L1525-M1525),"n.a.")</f>
        <v/>
      </c>
      <c r="O1525" s="14" t="n">
        <v>1.93</v>
      </c>
      <c r="P1525" s="14">
        <f>IF(ISNUMBER(K1525),K1525-O1525,"n.a.")</f>
        <v/>
      </c>
    </row>
    <row r="1526" ht="32" customHeight="1">
      <c r="C1526" s="10" t="inlineStr">
        <is>
          <t>PRJ-4a6f9d3b-RK-03</t>
        </is>
      </c>
      <c r="D1526" s="10" t="inlineStr">
        <is>
          <t>P4102608224</t>
        </is>
      </c>
      <c r="E1526" s="11" t="inlineStr">
        <is>
          <t>Entsorgungs-Mehrkosten / Entsorgungswege</t>
        </is>
      </c>
      <c r="F1526" s="10" t="inlineStr">
        <is>
          <t>Entsorgung</t>
        </is>
      </c>
      <c r="G1526" s="12" t="n">
        <v>0.55</v>
      </c>
      <c r="H1526" s="13" t="n">
        <v>386</v>
      </c>
      <c r="I1526" s="13" t="n">
        <v>702</v>
      </c>
      <c r="J1526" s="13" t="n">
        <v>1140</v>
      </c>
      <c r="K1526" s="14">
        <f>IF(OR(COUNT(G1526:J1526)&lt;&gt;4,G1526&lt;0,G1526&gt;1,H1526&gt;I1526,I1526&gt;J1526),"n.a.",ROUND(G1526*(H1526+4*I1526+J1526)/6+0.00000001,2))</f>
        <v/>
      </c>
      <c r="L1526" s="13" t="n">
        <v>0</v>
      </c>
      <c r="M1526" s="14">
        <f>SUMIFS(Maßnahmen!$I$7:$I$126,Maßnahmen!$D$7:$D$126,C1526,Maßnahmen!$H$7:$H$126,"&lt;&gt;verworfen")</f>
        <v/>
      </c>
      <c r="N1526" s="14">
        <f>IF(ISNUMBER(K1526),MAX(0,K1526-L1526-M1526),"n.a.")</f>
        <v/>
      </c>
      <c r="O1526" s="14" t="n">
        <v>397.28</v>
      </c>
      <c r="P1526" s="14">
        <f>IF(ISNUMBER(K1526),K1526-O1526,"n.a.")</f>
        <v/>
      </c>
    </row>
    <row r="1527" ht="32" customHeight="1">
      <c r="C1527" s="10" t="inlineStr">
        <is>
          <t>PRJ-4a6f9d3b-RK-04</t>
        </is>
      </c>
      <c r="D1527" s="10" t="inlineStr">
        <is>
          <t>P4102608224</t>
        </is>
      </c>
      <c r="E1527" s="11" t="inlineStr">
        <is>
          <t>Baustofftrennung / Aufbereitung nicht wie geplant</t>
        </is>
      </c>
      <c r="F1527" s="10" t="inlineStr">
        <is>
          <t>Entsorgung</t>
        </is>
      </c>
      <c r="G1527" s="12" t="n">
        <v>0.08</v>
      </c>
      <c r="H1527" s="13" t="n">
        <v>9</v>
      </c>
      <c r="I1527" s="13" t="n">
        <v>18</v>
      </c>
      <c r="J1527" s="13" t="n">
        <v>35</v>
      </c>
      <c r="K1527" s="14">
        <f>IF(OR(COUNT(G1527:J1527)&lt;&gt;4,G1527&lt;0,G1527&gt;1,H1527&gt;I1527,I1527&gt;J1527),"n.a.",ROUND(G1527*(H1527+4*I1527+J1527)/6+0.00000001,2))</f>
        <v/>
      </c>
      <c r="L1527" s="13" t="n">
        <v>0</v>
      </c>
      <c r="M1527" s="14">
        <f>SUMIFS(Maßnahmen!$I$7:$I$126,Maßnahmen!$D$7:$D$126,C1527,Maßnahmen!$H$7:$H$126,"&lt;&gt;verworfen")</f>
        <v/>
      </c>
      <c r="N1527" s="14">
        <f>IF(ISNUMBER(K1527),MAX(0,K1527-L1527-M1527),"n.a.")</f>
        <v/>
      </c>
      <c r="O1527" s="14" t="n">
        <v>1.55</v>
      </c>
      <c r="P1527" s="14">
        <f>IF(ISNUMBER(K1527),K1527-O1527,"n.a.")</f>
        <v/>
      </c>
    </row>
    <row r="1528" ht="32" customHeight="1">
      <c r="C1528" s="10" t="inlineStr">
        <is>
          <t>PRJ-4a6f9d3b-RK-05</t>
        </is>
      </c>
      <c r="D1528" s="10" t="inlineStr">
        <is>
          <t>P4102608224</t>
        </is>
      </c>
      <c r="E1528" s="11" t="inlineStr">
        <is>
          <t>Unbekannte Bauwerkskonstruktion / fehlende Pläne</t>
        </is>
      </c>
      <c r="F1528" s="10" t="inlineStr">
        <is>
          <t>Statik</t>
        </is>
      </c>
      <c r="G1528" s="12" t="n">
        <v>0.12</v>
      </c>
      <c r="H1528" s="13" t="n">
        <v>70</v>
      </c>
      <c r="I1528" s="13" t="n">
        <v>141</v>
      </c>
      <c r="J1528" s="13" t="n">
        <v>264</v>
      </c>
      <c r="K1528" s="14">
        <f>IF(OR(COUNT(G1528:J1528)&lt;&gt;4,G1528&lt;0,G1528&gt;1,H1528&gt;I1528,I1528&gt;J1528),"n.a.",ROUND(G1528*(H1528+4*I1528+J1528)/6+0.00000001,2))</f>
        <v/>
      </c>
      <c r="L1528" s="13" t="n">
        <v>0</v>
      </c>
      <c r="M1528" s="14">
        <f>SUMIFS(Maßnahmen!$I$7:$I$126,Maßnahmen!$D$7:$D$126,C1528,Maßnahmen!$H$7:$H$126,"&lt;&gt;verworfen")</f>
        <v/>
      </c>
      <c r="N1528" s="14">
        <f>IF(ISNUMBER(K1528),MAX(0,K1528-L1528-M1528),"n.a.")</f>
        <v/>
      </c>
      <c r="O1528" s="14" t="n">
        <v>17.96</v>
      </c>
      <c r="P1528" s="14">
        <f>IF(ISNUMBER(K1528),K1528-O1528,"n.a.")</f>
        <v/>
      </c>
    </row>
    <row r="1529" ht="32" customHeight="1">
      <c r="C1529" s="10" t="inlineStr">
        <is>
          <t>PRJ-4a6f9d3b-RK-06</t>
        </is>
      </c>
      <c r="D1529" s="10" t="inlineStr">
        <is>
          <t>P4102608224</t>
        </is>
      </c>
      <c r="E1529" s="11" t="inlineStr">
        <is>
          <t>Statik / Einsturzsicherung während Abbruch</t>
        </is>
      </c>
      <c r="F1529" s="10" t="inlineStr">
        <is>
          <t>Statik</t>
        </is>
      </c>
      <c r="G1529" s="12" t="n">
        <v>0.45</v>
      </c>
      <c r="H1529" s="13" t="n">
        <v>316</v>
      </c>
      <c r="I1529" s="13" t="n">
        <v>561</v>
      </c>
      <c r="J1529" s="13" t="n">
        <v>947</v>
      </c>
      <c r="K1529" s="14">
        <f>IF(OR(COUNT(G1529:J1529)&lt;&gt;4,G1529&lt;0,G1529&gt;1,H1529&gt;I1529,I1529&gt;J1529),"n.a.",ROUND(G1529*(H1529+4*I1529+J1529)/6+0.00000001,2))</f>
        <v/>
      </c>
      <c r="L1529" s="13" t="n">
        <v>0</v>
      </c>
      <c r="M1529" s="14">
        <f>SUMIFS(Maßnahmen!$I$7:$I$126,Maßnahmen!$D$7:$D$126,C1529,Maßnahmen!$H$7:$H$126,"&lt;&gt;verworfen")</f>
        <v/>
      </c>
      <c r="N1529" s="14">
        <f>IF(ISNUMBER(K1529),MAX(0,K1529-L1529-M1529),"n.a.")</f>
        <v/>
      </c>
      <c r="O1529" s="14" t="n">
        <v>263.03</v>
      </c>
      <c r="P1529" s="14">
        <f>IF(ISNUMBER(K1529),K1529-O1529,"n.a.")</f>
        <v/>
      </c>
    </row>
    <row r="1530" ht="32" customHeight="1">
      <c r="C1530" s="10" t="inlineStr">
        <is>
          <t>PRJ-4a6f9d3b-RK-07</t>
        </is>
      </c>
      <c r="D1530" s="10" t="inlineStr">
        <is>
          <t>P4102608224</t>
        </is>
      </c>
      <c r="E1530" s="11" t="inlineStr">
        <is>
          <t>Unterirdische Tragkonstruktion / Fundamente</t>
        </is>
      </c>
      <c r="F1530" s="10" t="inlineStr">
        <is>
          <t>Statik</t>
        </is>
      </c>
      <c r="G1530" s="12" t="n">
        <v>0.4</v>
      </c>
      <c r="H1530" s="13" t="n">
        <v>96</v>
      </c>
      <c r="I1530" s="13" t="n">
        <v>175</v>
      </c>
      <c r="J1530" s="13" t="n">
        <v>351</v>
      </c>
      <c r="K1530" s="14">
        <f>IF(OR(COUNT(G1530:J1530)&lt;&gt;4,G1530&lt;0,G1530&gt;1,H1530&gt;I1530,I1530&gt;J1530),"n.a.",ROUND(G1530*(H1530+4*I1530+J1530)/6+0.00000001,2))</f>
        <v/>
      </c>
      <c r="L1530" s="13" t="n">
        <v>0</v>
      </c>
      <c r="M1530" s="14">
        <f>SUMIFS(Maßnahmen!$I$7:$I$126,Maßnahmen!$D$7:$D$126,C1530,Maßnahmen!$H$7:$H$126,"&lt;&gt;verworfen")</f>
        <v/>
      </c>
      <c r="N1530" s="14">
        <f>IF(ISNUMBER(K1530),MAX(0,K1530-L1530-M1530),"n.a.")</f>
        <v/>
      </c>
      <c r="O1530" s="14" t="n">
        <v>76.47</v>
      </c>
      <c r="P1530" s="14">
        <f>IF(ISNUMBER(K1530),K1530-O1530,"n.a.")</f>
        <v/>
      </c>
    </row>
    <row r="1531" ht="32" customHeight="1">
      <c r="C1531" s="10" t="inlineStr">
        <is>
          <t>PRJ-383070e6-RK-01</t>
        </is>
      </c>
      <c r="D1531" s="10" t="inlineStr">
        <is>
          <t>W4102604949</t>
        </is>
      </c>
      <c r="E1531" s="11" t="inlineStr">
        <is>
          <t>Schadstofffund / Schadstoffsanierung (Asbest, PAK, PCB, PCP)</t>
        </is>
      </c>
      <c r="F1531" s="10" t="inlineStr">
        <is>
          <t>Schadstoffe</t>
        </is>
      </c>
      <c r="G1531" s="12" t="n">
        <v>0.1</v>
      </c>
      <c r="H1531" s="13" t="n">
        <v>131</v>
      </c>
      <c r="I1531" s="13" t="n">
        <v>327</v>
      </c>
      <c r="J1531" s="13" t="n">
        <v>654</v>
      </c>
      <c r="K1531" s="14">
        <f>IF(OR(COUNT(G1531:J1531)&lt;&gt;4,G1531&lt;0,G1531&gt;1,H1531&gt;I1531,I1531&gt;J1531),"n.a.",ROUND(G1531*(H1531+4*I1531+J1531)/6+0.00000001,2))</f>
        <v/>
      </c>
      <c r="L1531" s="13" t="n">
        <v>0</v>
      </c>
      <c r="M1531" s="14">
        <f>SUMIFS(Maßnahmen!$I$7:$I$126,Maßnahmen!$D$7:$D$126,C1531,Maßnahmen!$H$7:$H$126,"&lt;&gt;verworfen")</f>
        <v/>
      </c>
      <c r="N1531" s="14">
        <f>IF(ISNUMBER(K1531),MAX(0,K1531-L1531-M1531),"n.a.")</f>
        <v/>
      </c>
      <c r="O1531" s="14" t="n">
        <v>34.88</v>
      </c>
      <c r="P1531" s="14">
        <f>IF(ISNUMBER(K1531),K1531-O1531,"n.a.")</f>
        <v/>
      </c>
    </row>
    <row r="1532" ht="32" customHeight="1">
      <c r="C1532" s="10" t="inlineStr">
        <is>
          <t>PRJ-383070e6-RK-02</t>
        </is>
      </c>
      <c r="D1532" s="10" t="inlineStr">
        <is>
          <t>W4102604949</t>
        </is>
      </c>
      <c r="E1532" s="11" t="inlineStr">
        <is>
          <t>Arbeitsschutz kontaminierte Bereiche (TRGS 524)</t>
        </is>
      </c>
      <c r="F1532" s="10" t="inlineStr">
        <is>
          <t>Schadstoffe</t>
        </is>
      </c>
      <c r="G1532" s="12" t="n">
        <v>0.47</v>
      </c>
      <c r="H1532" s="13" t="n">
        <v>131</v>
      </c>
      <c r="I1532" s="13" t="n">
        <v>327</v>
      </c>
      <c r="J1532" s="13" t="n">
        <v>654</v>
      </c>
      <c r="K1532" s="14">
        <f>IF(OR(COUNT(G1532:J1532)&lt;&gt;4,G1532&lt;0,G1532&gt;1,H1532&gt;I1532,I1532&gt;J1532),"n.a.",ROUND(G1532*(H1532+4*I1532+J1532)/6+0.00000001,2))</f>
        <v/>
      </c>
      <c r="L1532" s="13" t="n">
        <v>0</v>
      </c>
      <c r="M1532" s="14">
        <f>SUMIFS(Maßnahmen!$I$7:$I$126,Maßnahmen!$D$7:$D$126,C1532,Maßnahmen!$H$7:$H$126,"&lt;&gt;verworfen")</f>
        <v/>
      </c>
      <c r="N1532" s="14">
        <f>IF(ISNUMBER(K1532),MAX(0,K1532-L1532-M1532),"n.a.")</f>
        <v/>
      </c>
      <c r="O1532" s="14" t="n">
        <v>163.95</v>
      </c>
      <c r="P1532" s="14">
        <f>IF(ISNUMBER(K1532),K1532-O1532,"n.a.")</f>
        <v/>
      </c>
    </row>
    <row r="1533" ht="32" customHeight="1">
      <c r="C1533" s="10" t="inlineStr">
        <is>
          <t>PRJ-383070e6-RK-03</t>
        </is>
      </c>
      <c r="D1533" s="10" t="inlineStr">
        <is>
          <t>W4102604949</t>
        </is>
      </c>
      <c r="E1533" s="11" t="inlineStr">
        <is>
          <t>Entsorgungs-Mehrkosten / Entsorgungswege</t>
        </is>
      </c>
      <c r="F1533" s="10" t="inlineStr">
        <is>
          <t>Entsorgung</t>
        </is>
      </c>
      <c r="G1533" s="12" t="n">
        <v>0.15</v>
      </c>
      <c r="H1533" s="13" t="n">
        <v>131</v>
      </c>
      <c r="I1533" s="13" t="n">
        <v>327</v>
      </c>
      <c r="J1533" s="13" t="n">
        <v>654</v>
      </c>
      <c r="K1533" s="14">
        <f>IF(OR(COUNT(G1533:J1533)&lt;&gt;4,G1533&lt;0,G1533&gt;1,H1533&gt;I1533,I1533&gt;J1533),"n.a.",ROUND(G1533*(H1533+4*I1533+J1533)/6+0.00000001,2))</f>
        <v/>
      </c>
      <c r="L1533" s="13" t="n">
        <v>0</v>
      </c>
      <c r="M1533" s="14">
        <f>SUMIFS(Maßnahmen!$I$7:$I$126,Maßnahmen!$D$7:$D$126,C1533,Maßnahmen!$H$7:$H$126,"&lt;&gt;verworfen")</f>
        <v/>
      </c>
      <c r="N1533" s="14">
        <f>IF(ISNUMBER(K1533),MAX(0,K1533-L1533-M1533),"n.a.")</f>
        <v/>
      </c>
      <c r="O1533" s="14" t="n">
        <v>52.33</v>
      </c>
      <c r="P1533" s="14">
        <f>IF(ISNUMBER(K1533),K1533-O1533,"n.a.")</f>
        <v/>
      </c>
    </row>
    <row r="1534" ht="32" customHeight="1">
      <c r="C1534" s="10" t="inlineStr">
        <is>
          <t>PRJ-383070e6-RK-04</t>
        </is>
      </c>
      <c r="D1534" s="10" t="inlineStr">
        <is>
          <t>W4102604949</t>
        </is>
      </c>
      <c r="E1534" s="11" t="inlineStr">
        <is>
          <t>Baustofftrennung / Aufbereitung nicht wie geplant</t>
        </is>
      </c>
      <c r="F1534" s="10" t="inlineStr">
        <is>
          <t>Entsorgung</t>
        </is>
      </c>
      <c r="G1534" s="12" t="n">
        <v>0.1</v>
      </c>
      <c r="H1534" s="13" t="n">
        <v>131</v>
      </c>
      <c r="I1534" s="13" t="n">
        <v>327</v>
      </c>
      <c r="J1534" s="13" t="n">
        <v>654</v>
      </c>
      <c r="K1534" s="14">
        <f>IF(OR(COUNT(G1534:J1534)&lt;&gt;4,G1534&lt;0,G1534&gt;1,H1534&gt;I1534,I1534&gt;J1534),"n.a.",ROUND(G1534*(H1534+4*I1534+J1534)/6+0.00000001,2))</f>
        <v/>
      </c>
      <c r="L1534" s="13" t="n">
        <v>0</v>
      </c>
      <c r="M1534" s="14">
        <f>SUMIFS(Maßnahmen!$I$7:$I$126,Maßnahmen!$D$7:$D$126,C1534,Maßnahmen!$H$7:$H$126,"&lt;&gt;verworfen")</f>
        <v/>
      </c>
      <c r="N1534" s="14">
        <f>IF(ISNUMBER(K1534),MAX(0,K1534-L1534-M1534),"n.a.")</f>
        <v/>
      </c>
      <c r="O1534" s="14" t="n">
        <v>34.88</v>
      </c>
      <c r="P1534" s="14">
        <f>IF(ISNUMBER(K1534),K1534-O1534,"n.a.")</f>
        <v/>
      </c>
    </row>
    <row r="1535" ht="32" customHeight="1">
      <c r="C1535" s="10" t="inlineStr">
        <is>
          <t>PRJ-383070e6-RK-05</t>
        </is>
      </c>
      <c r="D1535" s="10" t="inlineStr">
        <is>
          <t>W4102604949</t>
        </is>
      </c>
      <c r="E1535" s="11" t="inlineStr">
        <is>
          <t>Unbekannte Bauwerkskonstruktion / fehlende Pläne</t>
        </is>
      </c>
      <c r="F1535" s="10" t="inlineStr">
        <is>
          <t>Statik</t>
        </is>
      </c>
      <c r="G1535" s="12" t="n">
        <v>0.12</v>
      </c>
      <c r="H1535" s="13" t="n">
        <v>261</v>
      </c>
      <c r="I1535" s="13" t="n">
        <v>523</v>
      </c>
      <c r="J1535" s="13" t="n">
        <v>980</v>
      </c>
      <c r="K1535" s="14">
        <f>IF(OR(COUNT(G1535:J1535)&lt;&gt;4,G1535&lt;0,G1535&gt;1,H1535&gt;I1535,I1535&gt;J1535),"n.a.",ROUND(G1535*(H1535+4*I1535+J1535)/6+0.00000001,2))</f>
        <v/>
      </c>
      <c r="L1535" s="13" t="n">
        <v>0</v>
      </c>
      <c r="M1535" s="14">
        <f>SUMIFS(Maßnahmen!$I$7:$I$126,Maßnahmen!$D$7:$D$126,C1535,Maßnahmen!$H$7:$H$126,"&lt;&gt;verworfen")</f>
        <v/>
      </c>
      <c r="N1535" s="14">
        <f>IF(ISNUMBER(K1535),MAX(0,K1535-L1535-M1535),"n.a.")</f>
        <v/>
      </c>
      <c r="O1535" s="14" t="n">
        <v>66.66</v>
      </c>
      <c r="P1535" s="14">
        <f>IF(ISNUMBER(K1535),K1535-O1535,"n.a.")</f>
        <v/>
      </c>
    </row>
    <row r="1536" ht="32" customHeight="1">
      <c r="C1536" s="10" t="inlineStr">
        <is>
          <t>PRJ-383070e6-RK-06</t>
        </is>
      </c>
      <c r="D1536" s="10" t="inlineStr">
        <is>
          <t>W4102604949</t>
        </is>
      </c>
      <c r="E1536" s="11" t="inlineStr">
        <is>
          <t>Statik / Einsturzsicherung während Abbruch</t>
        </is>
      </c>
      <c r="F1536" s="10" t="inlineStr">
        <is>
          <t>Statik</t>
        </is>
      </c>
      <c r="G1536" s="12" t="n">
        <v>0.12</v>
      </c>
      <c r="H1536" s="13" t="n">
        <v>196</v>
      </c>
      <c r="I1536" s="13" t="n">
        <v>458</v>
      </c>
      <c r="J1536" s="13" t="n">
        <v>915</v>
      </c>
      <c r="K1536" s="14">
        <f>IF(OR(COUNT(G1536:J1536)&lt;&gt;4,G1536&lt;0,G1536&gt;1,H1536&gt;I1536,I1536&gt;J1536),"n.a.",ROUND(G1536*(H1536+4*I1536+J1536)/6+0.00000001,2))</f>
        <v/>
      </c>
      <c r="L1536" s="13" t="n">
        <v>0</v>
      </c>
      <c r="M1536" s="14">
        <f>SUMIFS(Maßnahmen!$I$7:$I$126,Maßnahmen!$D$7:$D$126,C1536,Maßnahmen!$H$7:$H$126,"&lt;&gt;verworfen")</f>
        <v/>
      </c>
      <c r="N1536" s="14">
        <f>IF(ISNUMBER(K1536),MAX(0,K1536-L1536-M1536),"n.a.")</f>
        <v/>
      </c>
      <c r="O1536" s="14" t="n">
        <v>58.86</v>
      </c>
      <c r="P1536" s="14">
        <f>IF(ISNUMBER(K1536),K1536-O1536,"n.a.")</f>
        <v/>
      </c>
    </row>
    <row r="1537" ht="32" customHeight="1">
      <c r="C1537" s="10" t="inlineStr">
        <is>
          <t>PRJ-383070e6-RK-07</t>
        </is>
      </c>
      <c r="D1537" s="10" t="inlineStr">
        <is>
          <t>W4102604949</t>
        </is>
      </c>
      <c r="E1537" s="11" t="inlineStr">
        <is>
          <t>Unterirdische Tragkonstruktion / Fundamente</t>
        </is>
      </c>
      <c r="F1537" s="10" t="inlineStr">
        <is>
          <t>Statik</t>
        </is>
      </c>
      <c r="G1537" s="12" t="n">
        <v>0.5</v>
      </c>
      <c r="H1537" s="13" t="n">
        <v>33</v>
      </c>
      <c r="I1537" s="13" t="n">
        <v>131</v>
      </c>
      <c r="J1537" s="13" t="n">
        <v>327</v>
      </c>
      <c r="K1537" s="14">
        <f>IF(OR(COUNT(G1537:J1537)&lt;&gt;4,G1537&lt;0,G1537&gt;1,H1537&gt;I1537,I1537&gt;J1537),"n.a.",ROUND(G1537*(H1537+4*I1537+J1537)/6+0.00000001,2))</f>
        <v/>
      </c>
      <c r="L1537" s="13" t="n">
        <v>0</v>
      </c>
      <c r="M1537" s="14">
        <f>SUMIFS(Maßnahmen!$I$7:$I$126,Maßnahmen!$D$7:$D$126,C1537,Maßnahmen!$H$7:$H$126,"&lt;&gt;verworfen")</f>
        <v/>
      </c>
      <c r="N1537" s="14">
        <f>IF(ISNUMBER(K1537),MAX(0,K1537-L1537-M1537),"n.a.")</f>
        <v/>
      </c>
      <c r="O1537" s="14" t="n">
        <v>73.67</v>
      </c>
      <c r="P1537" s="14">
        <f>IF(ISNUMBER(K1537),K1537-O1537,"n.a.")</f>
        <v/>
      </c>
    </row>
    <row r="1538" ht="32" customHeight="1">
      <c r="C1538" s="10" t="inlineStr">
        <is>
          <t>PRJ-383070e6-RK-08</t>
        </is>
      </c>
      <c r="D1538" s="10" t="inlineStr">
        <is>
          <t>W4102604949</t>
        </is>
      </c>
      <c r="E1538" s="11" t="inlineStr">
        <is>
          <t>Gebäudehöhe &gt;22 m / Longfront-Bagger (+130–150 %)</t>
        </is>
      </c>
      <c r="F1538" s="10" t="inlineStr">
        <is>
          <t>Termin</t>
        </is>
      </c>
      <c r="G1538" s="12" t="n">
        <v>0.6</v>
      </c>
      <c r="H1538" s="13" t="n">
        <v>588</v>
      </c>
      <c r="I1538" s="13" t="n">
        <v>1177</v>
      </c>
      <c r="J1538" s="13" t="n">
        <v>2222</v>
      </c>
      <c r="K1538" s="14">
        <f>IF(OR(COUNT(G1538:J1538)&lt;&gt;4,G1538&lt;0,G1538&gt;1,H1538&gt;I1538,I1538&gt;J1538),"n.a.",ROUND(G1538*(H1538+4*I1538+J1538)/6+0.00000001,2))</f>
        <v/>
      </c>
      <c r="L1538" s="13" t="n">
        <v>0</v>
      </c>
      <c r="M1538" s="14">
        <f>SUMIFS(Maßnahmen!$I$7:$I$126,Maßnahmen!$D$7:$D$126,C1538,Maßnahmen!$H$7:$H$126,"&lt;&gt;verworfen")</f>
        <v/>
      </c>
      <c r="N1538" s="14">
        <f>IF(ISNUMBER(K1538),MAX(0,K1538-L1538-M1538),"n.a.")</f>
        <v/>
      </c>
      <c r="O1538" s="14" t="n">
        <v>751.8</v>
      </c>
      <c r="P1538" s="14">
        <f>IF(ISNUMBER(K1538),K1538-O1538,"n.a.")</f>
        <v/>
      </c>
    </row>
    <row r="1539" ht="32" customHeight="1">
      <c r="C1539" s="10" t="inlineStr">
        <is>
          <t>PRJ-3d4efac5-RK-01</t>
        </is>
      </c>
      <c r="D1539" s="10" t="inlineStr">
        <is>
          <t>W4102304947</t>
        </is>
      </c>
      <c r="E1539" s="11" t="inlineStr">
        <is>
          <t>Schadstofffund / Schadstoffsanierung (Asbest, PAK, PCB, PCP)</t>
        </is>
      </c>
      <c r="F1539" s="10" t="inlineStr">
        <is>
          <t>Schadstoffe</t>
        </is>
      </c>
      <c r="G1539" s="12" t="n">
        <v>0.1</v>
      </c>
      <c r="H1539" s="13" t="n">
        <v>20</v>
      </c>
      <c r="I1539" s="13" t="n">
        <v>50</v>
      </c>
      <c r="J1539" s="13" t="n">
        <v>100</v>
      </c>
      <c r="K1539" s="14">
        <f>IF(OR(COUNT(G1539:J1539)&lt;&gt;4,G1539&lt;0,G1539&gt;1,H1539&gt;I1539,I1539&gt;J1539),"n.a.",ROUND(G1539*(H1539+4*I1539+J1539)/6+0.00000001,2))</f>
        <v/>
      </c>
      <c r="L1539" s="13" t="n">
        <v>0</v>
      </c>
      <c r="M1539" s="14">
        <f>SUMIFS(Maßnahmen!$I$7:$I$126,Maßnahmen!$D$7:$D$126,C1539,Maßnahmen!$H$7:$H$126,"&lt;&gt;verworfen")</f>
        <v/>
      </c>
      <c r="N1539" s="14">
        <f>IF(ISNUMBER(K1539),MAX(0,K1539-L1539-M1539),"n.a.")</f>
        <v/>
      </c>
      <c r="O1539" s="14" t="n">
        <v>5.33</v>
      </c>
      <c r="P1539" s="14">
        <f>IF(ISNUMBER(K1539),K1539-O1539,"n.a.")</f>
        <v/>
      </c>
    </row>
    <row r="1540" ht="32" customHeight="1">
      <c r="C1540" s="10" t="inlineStr">
        <is>
          <t>PRJ-3d4efac5-RK-02</t>
        </is>
      </c>
      <c r="D1540" s="10" t="inlineStr">
        <is>
          <t>W4102304947</t>
        </is>
      </c>
      <c r="E1540" s="11" t="inlineStr">
        <is>
          <t>Arbeitsschutz kontaminierte Bereiche (TRGS 524)</t>
        </is>
      </c>
      <c r="F1540" s="10" t="inlineStr">
        <is>
          <t>Schadstoffe</t>
        </is>
      </c>
      <c r="G1540" s="12" t="n">
        <v>0.47</v>
      </c>
      <c r="H1540" s="13" t="n">
        <v>20</v>
      </c>
      <c r="I1540" s="13" t="n">
        <v>50</v>
      </c>
      <c r="J1540" s="13" t="n">
        <v>100</v>
      </c>
      <c r="K1540" s="14">
        <f>IF(OR(COUNT(G1540:J1540)&lt;&gt;4,G1540&lt;0,G1540&gt;1,H1540&gt;I1540,I1540&gt;J1540),"n.a.",ROUND(G1540*(H1540+4*I1540+J1540)/6+0.00000001,2))</f>
        <v/>
      </c>
      <c r="L1540" s="13" t="n">
        <v>0</v>
      </c>
      <c r="M1540" s="14">
        <f>SUMIFS(Maßnahmen!$I$7:$I$126,Maßnahmen!$D$7:$D$126,C1540,Maßnahmen!$H$7:$H$126,"&lt;&gt;verworfen")</f>
        <v/>
      </c>
      <c r="N1540" s="14">
        <f>IF(ISNUMBER(K1540),MAX(0,K1540-L1540-M1540),"n.a.")</f>
        <v/>
      </c>
      <c r="O1540" s="14" t="n">
        <v>25.07</v>
      </c>
      <c r="P1540" s="14">
        <f>IF(ISNUMBER(K1540),K1540-O1540,"n.a.")</f>
        <v/>
      </c>
    </row>
    <row r="1541" ht="32" customHeight="1">
      <c r="C1541" s="10" t="inlineStr">
        <is>
          <t>PRJ-3d4efac5-RK-03</t>
        </is>
      </c>
      <c r="D1541" s="10" t="inlineStr">
        <is>
          <t>W4102304947</t>
        </is>
      </c>
      <c r="E1541" s="11" t="inlineStr">
        <is>
          <t>Entsorgungs-Mehrkosten / Entsorgungswege</t>
        </is>
      </c>
      <c r="F1541" s="10" t="inlineStr">
        <is>
          <t>Entsorgung</t>
        </is>
      </c>
      <c r="G1541" s="12" t="n">
        <v>0.15</v>
      </c>
      <c r="H1541" s="13" t="n">
        <v>20</v>
      </c>
      <c r="I1541" s="13" t="n">
        <v>50</v>
      </c>
      <c r="J1541" s="13" t="n">
        <v>100</v>
      </c>
      <c r="K1541" s="14">
        <f>IF(OR(COUNT(G1541:J1541)&lt;&gt;4,G1541&lt;0,G1541&gt;1,H1541&gt;I1541,I1541&gt;J1541),"n.a.",ROUND(G1541*(H1541+4*I1541+J1541)/6+0.00000001,2))</f>
        <v/>
      </c>
      <c r="L1541" s="13" t="n">
        <v>0</v>
      </c>
      <c r="M1541" s="14">
        <f>SUMIFS(Maßnahmen!$I$7:$I$126,Maßnahmen!$D$7:$D$126,C1541,Maßnahmen!$H$7:$H$126,"&lt;&gt;verworfen")</f>
        <v/>
      </c>
      <c r="N1541" s="14">
        <f>IF(ISNUMBER(K1541),MAX(0,K1541-L1541-M1541),"n.a.")</f>
        <v/>
      </c>
      <c r="O1541" s="14" t="n">
        <v>8</v>
      </c>
      <c r="P1541" s="14">
        <f>IF(ISNUMBER(K1541),K1541-O1541,"n.a.")</f>
        <v/>
      </c>
    </row>
    <row r="1542" ht="32" customHeight="1">
      <c r="C1542" s="10" t="inlineStr">
        <is>
          <t>PRJ-3d4efac5-RK-04</t>
        </is>
      </c>
      <c r="D1542" s="10" t="inlineStr">
        <is>
          <t>W4102304947</t>
        </is>
      </c>
      <c r="E1542" s="11" t="inlineStr">
        <is>
          <t>Baustofftrennung / Aufbereitung nicht wie geplant</t>
        </is>
      </c>
      <c r="F1542" s="10" t="inlineStr">
        <is>
          <t>Entsorgung</t>
        </is>
      </c>
      <c r="G1542" s="12" t="n">
        <v>0.1</v>
      </c>
      <c r="H1542" s="13" t="n">
        <v>20</v>
      </c>
      <c r="I1542" s="13" t="n">
        <v>50</v>
      </c>
      <c r="J1542" s="13" t="n">
        <v>100</v>
      </c>
      <c r="K1542" s="14">
        <f>IF(OR(COUNT(G1542:J1542)&lt;&gt;4,G1542&lt;0,G1542&gt;1,H1542&gt;I1542,I1542&gt;J1542),"n.a.",ROUND(G1542*(H1542+4*I1542+J1542)/6+0.00000001,2))</f>
        <v/>
      </c>
      <c r="L1542" s="13" t="n">
        <v>0</v>
      </c>
      <c r="M1542" s="14">
        <f>SUMIFS(Maßnahmen!$I$7:$I$126,Maßnahmen!$D$7:$D$126,C1542,Maßnahmen!$H$7:$H$126,"&lt;&gt;verworfen")</f>
        <v/>
      </c>
      <c r="N1542" s="14">
        <f>IF(ISNUMBER(K1542),MAX(0,K1542-L1542-M1542),"n.a.")</f>
        <v/>
      </c>
      <c r="O1542" s="14" t="n">
        <v>5.33</v>
      </c>
      <c r="P1542" s="14">
        <f>IF(ISNUMBER(K1542),K1542-O1542,"n.a.")</f>
        <v/>
      </c>
    </row>
    <row r="1543" ht="32" customHeight="1">
      <c r="C1543" s="10" t="inlineStr">
        <is>
          <t>PRJ-3d4efac5-RK-05</t>
        </is>
      </c>
      <c r="D1543" s="10" t="inlineStr">
        <is>
          <t>W4102304947</t>
        </is>
      </c>
      <c r="E1543" s="11" t="inlineStr">
        <is>
          <t>Unbekannte Bauwerkskonstruktion / fehlende Pläne</t>
        </is>
      </c>
      <c r="F1543" s="10" t="inlineStr">
        <is>
          <t>Statik</t>
        </is>
      </c>
      <c r="G1543" s="12" t="n">
        <v>0.12</v>
      </c>
      <c r="H1543" s="13" t="n">
        <v>40</v>
      </c>
      <c r="I1543" s="13" t="n">
        <v>80</v>
      </c>
      <c r="J1543" s="13" t="n">
        <v>150</v>
      </c>
      <c r="K1543" s="14">
        <f>IF(OR(COUNT(G1543:J1543)&lt;&gt;4,G1543&lt;0,G1543&gt;1,H1543&gt;I1543,I1543&gt;J1543),"n.a.",ROUND(G1543*(H1543+4*I1543+J1543)/6+0.00000001,2))</f>
        <v/>
      </c>
      <c r="L1543" s="13" t="n">
        <v>0</v>
      </c>
      <c r="M1543" s="14">
        <f>SUMIFS(Maßnahmen!$I$7:$I$126,Maßnahmen!$D$7:$D$126,C1543,Maßnahmen!$H$7:$H$126,"&lt;&gt;verworfen")</f>
        <v/>
      </c>
      <c r="N1543" s="14">
        <f>IF(ISNUMBER(K1543),MAX(0,K1543-L1543-M1543),"n.a.")</f>
        <v/>
      </c>
      <c r="O1543" s="14" t="n">
        <v>10.2</v>
      </c>
      <c r="P1543" s="14">
        <f>IF(ISNUMBER(K1543),K1543-O1543,"n.a.")</f>
        <v/>
      </c>
    </row>
    <row r="1544" ht="32" customHeight="1">
      <c r="C1544" s="10" t="inlineStr">
        <is>
          <t>PRJ-3d4efac5-RK-06</t>
        </is>
      </c>
      <c r="D1544" s="10" t="inlineStr">
        <is>
          <t>W4102304947</t>
        </is>
      </c>
      <c r="E1544" s="11" t="inlineStr">
        <is>
          <t>Statik / Einsturzsicherung während Abbruch</t>
        </is>
      </c>
      <c r="F1544" s="10" t="inlineStr">
        <is>
          <t>Statik</t>
        </is>
      </c>
      <c r="G1544" s="12" t="n">
        <v>0.12</v>
      </c>
      <c r="H1544" s="13" t="n">
        <v>30</v>
      </c>
      <c r="I1544" s="13" t="n">
        <v>70</v>
      </c>
      <c r="J1544" s="13" t="n">
        <v>140</v>
      </c>
      <c r="K1544" s="14">
        <f>IF(OR(COUNT(G1544:J1544)&lt;&gt;4,G1544&lt;0,G1544&gt;1,H1544&gt;I1544,I1544&gt;J1544),"n.a.",ROUND(G1544*(H1544+4*I1544+J1544)/6+0.00000001,2))</f>
        <v/>
      </c>
      <c r="L1544" s="13" t="n">
        <v>0</v>
      </c>
      <c r="M1544" s="14">
        <f>SUMIFS(Maßnahmen!$I$7:$I$126,Maßnahmen!$D$7:$D$126,C1544,Maßnahmen!$H$7:$H$126,"&lt;&gt;verworfen")</f>
        <v/>
      </c>
      <c r="N1544" s="14">
        <f>IF(ISNUMBER(K1544),MAX(0,K1544-L1544-M1544),"n.a.")</f>
        <v/>
      </c>
      <c r="O1544" s="14" t="n">
        <v>9</v>
      </c>
      <c r="P1544" s="14">
        <f>IF(ISNUMBER(K1544),K1544-O1544,"n.a.")</f>
        <v/>
      </c>
    </row>
    <row r="1545" ht="32" customHeight="1">
      <c r="C1545" s="10" t="inlineStr">
        <is>
          <t>PRJ-3d4efac5-RK-07</t>
        </is>
      </c>
      <c r="D1545" s="10" t="inlineStr">
        <is>
          <t>W4102304947</t>
        </is>
      </c>
      <c r="E1545" s="11" t="inlineStr">
        <is>
          <t>Unterirdische Tragkonstruktion / Fundamente</t>
        </is>
      </c>
      <c r="F1545" s="10" t="inlineStr">
        <is>
          <t>Statik</t>
        </is>
      </c>
      <c r="G1545" s="12" t="n">
        <v>0.5</v>
      </c>
      <c r="H1545" s="13" t="n">
        <v>5</v>
      </c>
      <c r="I1545" s="13" t="n">
        <v>20</v>
      </c>
      <c r="J1545" s="13" t="n">
        <v>50</v>
      </c>
      <c r="K1545" s="14">
        <f>IF(OR(COUNT(G1545:J1545)&lt;&gt;4,G1545&lt;0,G1545&gt;1,H1545&gt;I1545,I1545&gt;J1545),"n.a.",ROUND(G1545*(H1545+4*I1545+J1545)/6+0.00000001,2))</f>
        <v/>
      </c>
      <c r="L1545" s="13" t="n">
        <v>0</v>
      </c>
      <c r="M1545" s="14">
        <f>SUMIFS(Maßnahmen!$I$7:$I$126,Maßnahmen!$D$7:$D$126,C1545,Maßnahmen!$H$7:$H$126,"&lt;&gt;verworfen")</f>
        <v/>
      </c>
      <c r="N1545" s="14">
        <f>IF(ISNUMBER(K1545),MAX(0,K1545-L1545-M1545),"n.a.")</f>
        <v/>
      </c>
      <c r="O1545" s="14" t="n">
        <v>11.25</v>
      </c>
      <c r="P1545" s="14">
        <f>IF(ISNUMBER(K1545),K1545-O1545,"n.a.")</f>
        <v/>
      </c>
    </row>
    <row r="1546" ht="32" customHeight="1">
      <c r="C1546" s="10" t="inlineStr">
        <is>
          <t>PRJ-3d4efac5-RK-08</t>
        </is>
      </c>
      <c r="D1546" s="10" t="inlineStr">
        <is>
          <t>W4102304947</t>
        </is>
      </c>
      <c r="E1546" s="11" t="inlineStr">
        <is>
          <t>Gebäudehöhe &gt;22 m / Longfront-Bagger (+130–150 %)</t>
        </is>
      </c>
      <c r="F1546" s="10" t="inlineStr">
        <is>
          <t>Termin</t>
        </is>
      </c>
      <c r="G1546" s="12" t="n">
        <v>0.6</v>
      </c>
      <c r="H1546" s="13" t="n">
        <v>90</v>
      </c>
      <c r="I1546" s="13" t="n">
        <v>180</v>
      </c>
      <c r="J1546" s="13" t="n">
        <v>340</v>
      </c>
      <c r="K1546" s="14">
        <f>IF(OR(COUNT(G1546:J1546)&lt;&gt;4,G1546&lt;0,G1546&gt;1,H1546&gt;I1546,I1546&gt;J1546),"n.a.",ROUND(G1546*(H1546+4*I1546+J1546)/6+0.00000001,2))</f>
        <v/>
      </c>
      <c r="L1546" s="13" t="n">
        <v>0</v>
      </c>
      <c r="M1546" s="14">
        <f>SUMIFS(Maßnahmen!$I$7:$I$126,Maßnahmen!$D$7:$D$126,C1546,Maßnahmen!$H$7:$H$126,"&lt;&gt;verworfen")</f>
        <v/>
      </c>
      <c r="N1546" s="14">
        <f>IF(ISNUMBER(K1546),MAX(0,K1546-L1546-M1546),"n.a.")</f>
        <v/>
      </c>
      <c r="O1546" s="14" t="n">
        <v>115</v>
      </c>
      <c r="P1546" s="14">
        <f>IF(ISNUMBER(K1546),K1546-O1546,"n.a.")</f>
        <v/>
      </c>
    </row>
    <row r="1547" ht="32" customHeight="1">
      <c r="C1547" s="10" t="inlineStr">
        <is>
          <t>PRJ-3d4efac5-RK-09</t>
        </is>
      </c>
      <c r="D1547" s="10" t="inlineStr">
        <is>
          <t>W4102304947</t>
        </is>
      </c>
      <c r="E1547" s="11" t="inlineStr">
        <is>
          <t>Beennte Lage / nur Handabbruch möglich</t>
        </is>
      </c>
      <c r="F1547" s="10" t="inlineStr">
        <is>
          <t>Termin</t>
        </is>
      </c>
      <c r="G1547" s="12" t="n">
        <v>0.15</v>
      </c>
      <c r="H1547" s="13" t="n">
        <v>8</v>
      </c>
      <c r="I1547" s="13" t="n">
        <v>20</v>
      </c>
      <c r="J1547" s="13" t="n">
        <v>50</v>
      </c>
      <c r="K1547" s="14">
        <f>IF(OR(COUNT(G1547:J1547)&lt;&gt;4,G1547&lt;0,G1547&gt;1,H1547&gt;I1547,I1547&gt;J1547),"n.a.",ROUND(G1547*(H1547+4*I1547+J1547)/6+0.00000001,2))</f>
        <v/>
      </c>
      <c r="L1547" s="13" t="n">
        <v>0</v>
      </c>
      <c r="M1547" s="14">
        <f>SUMIFS(Maßnahmen!$I$7:$I$126,Maßnahmen!$D$7:$D$126,C1547,Maßnahmen!$H$7:$H$126,"&lt;&gt;verworfen")</f>
        <v/>
      </c>
      <c r="N1547" s="14">
        <f>IF(ISNUMBER(K1547),MAX(0,K1547-L1547-M1547),"n.a.")</f>
        <v/>
      </c>
      <c r="O1547" s="14" t="n">
        <v>3.45</v>
      </c>
      <c r="P1547" s="14">
        <f>IF(ISNUMBER(K1547),K1547-O1547,"n.a.")</f>
        <v/>
      </c>
    </row>
    <row r="1548" ht="32" customHeight="1">
      <c r="C1548" s="10" t="inlineStr">
        <is>
          <t>PRJ-52b1cfb2-RK-09</t>
        </is>
      </c>
      <c r="D1548" s="10" t="inlineStr">
        <is>
          <t>P4102157420</t>
        </is>
      </c>
      <c r="E1548" s="11" t="inlineStr">
        <is>
          <t>Beennte Lage / nur Handabbruch möglich</t>
        </is>
      </c>
      <c r="F1548" s="10" t="inlineStr">
        <is>
          <t>Termin</t>
        </is>
      </c>
      <c r="G1548" s="12" t="n">
        <v>0.15</v>
      </c>
      <c r="H1548" s="13" t="n">
        <v>8</v>
      </c>
      <c r="I1548" s="13" t="n">
        <v>20</v>
      </c>
      <c r="J1548" s="13" t="n">
        <v>50</v>
      </c>
      <c r="K1548" s="14">
        <f>IF(OR(COUNT(G1548:J1548)&lt;&gt;4,G1548&lt;0,G1548&gt;1,H1548&gt;I1548,I1548&gt;J1548),"n.a.",ROUND(G1548*(H1548+4*I1548+J1548)/6+0.00000001,2))</f>
        <v/>
      </c>
      <c r="L1548" s="13" t="n">
        <v>0</v>
      </c>
      <c r="M1548" s="14">
        <f>SUMIFS(Maßnahmen!$I$7:$I$126,Maßnahmen!$D$7:$D$126,C1548,Maßnahmen!$H$7:$H$126,"&lt;&gt;verworfen")</f>
        <v/>
      </c>
      <c r="N1548" s="14">
        <f>IF(ISNUMBER(K1548),MAX(0,K1548-L1548-M1548),"n.a.")</f>
        <v/>
      </c>
      <c r="O1548" s="14" t="n">
        <v>3.45</v>
      </c>
      <c r="P1548" s="14">
        <f>IF(ISNUMBER(K1548),K1548-O1548,"n.a.")</f>
        <v/>
      </c>
    </row>
    <row r="1549" ht="32" customHeight="1">
      <c r="C1549" s="10" t="inlineStr">
        <is>
          <t>PRJ-52b1cfb2-RK-10</t>
        </is>
      </c>
      <c r="D1549" s="10" t="inlineStr">
        <is>
          <t>P4102157420</t>
        </is>
      </c>
      <c r="E1549" s="11" t="inlineStr">
        <is>
          <t>Terminvorgabe Auftraggeber / Geräteauslastung</t>
        </is>
      </c>
      <c r="F1549" s="10" t="inlineStr">
        <is>
          <t>Termin</t>
        </is>
      </c>
      <c r="G1549" s="12" t="n">
        <v>0.2</v>
      </c>
      <c r="H1549" s="13" t="n">
        <v>8</v>
      </c>
      <c r="I1549" s="13" t="n">
        <v>20</v>
      </c>
      <c r="J1549" s="13" t="n">
        <v>50</v>
      </c>
      <c r="K1549" s="14">
        <f>IF(OR(COUNT(G1549:J1549)&lt;&gt;4,G1549&lt;0,G1549&gt;1,H1549&gt;I1549,I1549&gt;J1549),"n.a.",ROUND(G1549*(H1549+4*I1549+J1549)/6+0.00000001,2))</f>
        <v/>
      </c>
      <c r="L1549" s="13" t="n">
        <v>0</v>
      </c>
      <c r="M1549" s="14">
        <f>SUMIFS(Maßnahmen!$I$7:$I$126,Maßnahmen!$D$7:$D$126,C1549,Maßnahmen!$H$7:$H$126,"&lt;&gt;verworfen")</f>
        <v/>
      </c>
      <c r="N1549" s="14">
        <f>IF(ISNUMBER(K1549),MAX(0,K1549-L1549-M1549),"n.a.")</f>
        <v/>
      </c>
      <c r="O1549" s="14" t="n">
        <v>4.6</v>
      </c>
      <c r="P1549" s="14">
        <f>IF(ISNUMBER(K1549),K1549-O1549,"n.a.")</f>
        <v/>
      </c>
    </row>
    <row r="1550" ht="32" customHeight="1">
      <c r="C1550" s="10" t="inlineStr">
        <is>
          <t>PRJ-52b1cfb2-RK-11</t>
        </is>
      </c>
      <c r="D1550" s="10" t="inlineStr">
        <is>
          <t>P4102157420</t>
        </is>
      </c>
      <c r="E1550" s="11" t="inlineStr">
        <is>
          <t>Witterung / Ablaufstörung</t>
        </is>
      </c>
      <c r="F1550" s="10" t="inlineStr">
        <is>
          <t>Termin</t>
        </is>
      </c>
      <c r="G1550" s="12" t="n">
        <v>0.25</v>
      </c>
      <c r="H1550" s="13" t="n">
        <v>10</v>
      </c>
      <c r="I1550" s="13" t="n">
        <v>30</v>
      </c>
      <c r="J1550" s="13" t="n">
        <v>60</v>
      </c>
      <c r="K1550" s="14">
        <f>IF(OR(COUNT(G1550:J1550)&lt;&gt;4,G1550&lt;0,G1550&gt;1,H1550&gt;I1550,I1550&gt;J1550),"n.a.",ROUND(G1550*(H1550+4*I1550+J1550)/6+0.00000001,2))</f>
        <v/>
      </c>
      <c r="L1550" s="13" t="n">
        <v>0</v>
      </c>
      <c r="M1550" s="14">
        <f>SUMIFS(Maßnahmen!$I$7:$I$126,Maßnahmen!$D$7:$D$126,C1550,Maßnahmen!$H$7:$H$126,"&lt;&gt;verworfen")</f>
        <v/>
      </c>
      <c r="N1550" s="14">
        <f>IF(ISNUMBER(K1550),MAX(0,K1550-L1550-M1550),"n.a.")</f>
        <v/>
      </c>
      <c r="O1550" s="14" t="n">
        <v>7.92</v>
      </c>
      <c r="P1550" s="14">
        <f>IF(ISNUMBER(K1550),K1550-O1550,"n.a.")</f>
        <v/>
      </c>
    </row>
    <row r="1551" ht="32" customHeight="1">
      <c r="C1551" s="10" t="inlineStr">
        <is>
          <t>PRJ-52b1cfb2-RK-12</t>
        </is>
      </c>
      <c r="D1551" s="10" t="inlineStr">
        <is>
          <t>P4102157420</t>
        </is>
      </c>
      <c r="E1551" s="11" t="inlineStr">
        <is>
          <t>Staubemissionen (höchster Aufwand laut Umfrage)</t>
        </is>
      </c>
      <c r="F1551" s="10" t="inlineStr">
        <is>
          <t>Emissionen</t>
        </is>
      </c>
      <c r="G1551" s="12" t="n">
        <v>0.1</v>
      </c>
      <c r="H1551" s="13" t="n">
        <v>30</v>
      </c>
      <c r="I1551" s="13" t="n">
        <v>60</v>
      </c>
      <c r="J1551" s="13" t="n">
        <v>120</v>
      </c>
      <c r="K1551" s="14">
        <f>IF(OR(COUNT(G1551:J1551)&lt;&gt;4,G1551&lt;0,G1551&gt;1,H1551&gt;I1551,I1551&gt;J1551),"n.a.",ROUND(G1551*(H1551+4*I1551+J1551)/6+0.00000001,2))</f>
        <v/>
      </c>
      <c r="L1551" s="13" t="n">
        <v>0</v>
      </c>
      <c r="M1551" s="14">
        <f>SUMIFS(Maßnahmen!$I$7:$I$126,Maßnahmen!$D$7:$D$126,C1551,Maßnahmen!$H$7:$H$126,"&lt;&gt;verworfen")</f>
        <v/>
      </c>
      <c r="N1551" s="14">
        <f>IF(ISNUMBER(K1551),MAX(0,K1551-L1551-M1551),"n.a.")</f>
        <v/>
      </c>
      <c r="O1551" s="14" t="n">
        <v>6.5</v>
      </c>
      <c r="P1551" s="14">
        <f>IF(ISNUMBER(K1551),K1551-O1551,"n.a.")</f>
        <v/>
      </c>
    </row>
    <row r="1552" ht="32" customHeight="1">
      <c r="C1552" s="10" t="inlineStr">
        <is>
          <t>PRJ-52b1cfb2-RK-13</t>
        </is>
      </c>
      <c r="D1552" s="10" t="inlineStr">
        <is>
          <t>P4102157420</t>
        </is>
      </c>
      <c r="E1552" s="11" t="inlineStr">
        <is>
          <t>Lärm- und Erschütterungsauflagen</t>
        </is>
      </c>
      <c r="F1552" s="10" t="inlineStr">
        <is>
          <t>Emissionen</t>
        </is>
      </c>
      <c r="G1552" s="12" t="n">
        <v>0.2</v>
      </c>
      <c r="H1552" s="13" t="n">
        <v>20</v>
      </c>
      <c r="I1552" s="13" t="n">
        <v>50</v>
      </c>
      <c r="J1552" s="13" t="n">
        <v>100</v>
      </c>
      <c r="K1552" s="14">
        <f>IF(OR(COUNT(G1552:J1552)&lt;&gt;4,G1552&lt;0,G1552&gt;1,H1552&gt;I1552,I1552&gt;J1552),"n.a.",ROUND(G1552*(H1552+4*I1552+J1552)/6+0.00000001,2))</f>
        <v/>
      </c>
      <c r="L1552" s="13" t="n">
        <v>0</v>
      </c>
      <c r="M1552" s="14">
        <f>SUMIFS(Maßnahmen!$I$7:$I$126,Maßnahmen!$D$7:$D$126,C1552,Maßnahmen!$H$7:$H$126,"&lt;&gt;verworfen")</f>
        <v/>
      </c>
      <c r="N1552" s="14">
        <f>IF(ISNUMBER(K1552),MAX(0,K1552-L1552-M1552),"n.a.")</f>
        <v/>
      </c>
      <c r="O1552" s="14" t="n">
        <v>10.67</v>
      </c>
      <c r="P1552" s="14">
        <f>IF(ISNUMBER(K1552),K1552-O1552,"n.a.")</f>
        <v/>
      </c>
    </row>
    <row r="1553" ht="32" customHeight="1">
      <c r="C1553" s="10" t="inlineStr">
        <is>
          <t>PRJ-52b1cfb2-RK-15</t>
        </is>
      </c>
      <c r="D1553" s="10" t="inlineStr">
        <is>
          <t>P4102157420</t>
        </is>
      </c>
      <c r="E1553" s="11" t="inlineStr">
        <is>
          <t>Konjunktur / Sekundärstoffpreise &amp; Gerätemiete</t>
        </is>
      </c>
      <c r="F1553" s="10" t="inlineStr">
        <is>
          <t>Markt</t>
        </is>
      </c>
      <c r="G1553" s="12" t="n">
        <v>0.12</v>
      </c>
      <c r="H1553" s="13" t="n">
        <v>8</v>
      </c>
      <c r="I1553" s="13" t="n">
        <v>20</v>
      </c>
      <c r="J1553" s="13" t="n">
        <v>50</v>
      </c>
      <c r="K1553" s="14">
        <f>IF(OR(COUNT(G1553:J1553)&lt;&gt;4,G1553&lt;0,G1553&gt;1,H1553&gt;I1553,I1553&gt;J1553),"n.a.",ROUND(G1553*(H1553+4*I1553+J1553)/6+0.00000001,2))</f>
        <v/>
      </c>
      <c r="L1553" s="13" t="n">
        <v>0</v>
      </c>
      <c r="M1553" s="14">
        <f>SUMIFS(Maßnahmen!$I$7:$I$126,Maßnahmen!$D$7:$D$126,C1553,Maßnahmen!$H$7:$H$126,"&lt;&gt;verworfen")</f>
        <v/>
      </c>
      <c r="N1553" s="14">
        <f>IF(ISNUMBER(K1553),MAX(0,K1553-L1553-M1553),"n.a.")</f>
        <v/>
      </c>
      <c r="O1553" s="14" t="n">
        <v>2.76</v>
      </c>
      <c r="P1553" s="14">
        <f>IF(ISNUMBER(K1553),K1553-O1553,"n.a.")</f>
        <v/>
      </c>
    </row>
    <row r="1554" ht="32" customHeight="1">
      <c r="C1554" s="10" t="inlineStr">
        <is>
          <t>PRJ-4a6f9cbf-RK-06</t>
        </is>
      </c>
      <c r="D1554" s="10" t="inlineStr">
        <is>
          <t>P4102608264</t>
        </is>
      </c>
      <c r="E1554" s="11" t="inlineStr">
        <is>
          <t>Statik / Einsturzsicherung während Abbruch</t>
        </is>
      </c>
      <c r="F1554" s="10" t="inlineStr">
        <is>
          <t>Statik</t>
        </is>
      </c>
      <c r="G1554" s="12" t="n">
        <v>0.24</v>
      </c>
      <c r="H1554" s="13" t="n">
        <v>30</v>
      </c>
      <c r="I1554" s="13" t="n">
        <v>70</v>
      </c>
      <c r="J1554" s="13" t="n">
        <v>140</v>
      </c>
      <c r="K1554" s="14">
        <f>IF(OR(COUNT(G1554:J1554)&lt;&gt;4,G1554&lt;0,G1554&gt;1,H1554&gt;I1554,I1554&gt;J1554),"n.a.",ROUND(G1554*(H1554+4*I1554+J1554)/6+0.00000001,2))</f>
        <v/>
      </c>
      <c r="L1554" s="13" t="n">
        <v>0</v>
      </c>
      <c r="M1554" s="14">
        <f>SUMIFS(Maßnahmen!$I$7:$I$126,Maßnahmen!$D$7:$D$126,C1554,Maßnahmen!$H$7:$H$126,"&lt;&gt;verworfen")</f>
        <v/>
      </c>
      <c r="N1554" s="14">
        <f>IF(ISNUMBER(K1554),MAX(0,K1554-L1554-M1554),"n.a.")</f>
        <v/>
      </c>
      <c r="O1554" s="14" t="n">
        <v>18</v>
      </c>
      <c r="P1554" s="14">
        <f>IF(ISNUMBER(K1554),K1554-O1554,"n.a.")</f>
        <v/>
      </c>
    </row>
    <row r="1555" ht="32" customHeight="1">
      <c r="C1555" s="10" t="inlineStr">
        <is>
          <t>PRJ-4a6f9cbf-RK-07</t>
        </is>
      </c>
      <c r="D1555" s="10" t="inlineStr">
        <is>
          <t>P4102608264</t>
        </is>
      </c>
      <c r="E1555" s="11" t="inlineStr">
        <is>
          <t>Unterirdische Tragkonstruktion / Fundamente</t>
        </is>
      </c>
      <c r="F1555" s="10" t="inlineStr">
        <is>
          <t>Statik</t>
        </is>
      </c>
      <c r="G1555" s="12" t="n">
        <v>0.4</v>
      </c>
      <c r="H1555" s="13" t="n">
        <v>5</v>
      </c>
      <c r="I1555" s="13" t="n">
        <v>20</v>
      </c>
      <c r="J1555" s="13" t="n">
        <v>50</v>
      </c>
      <c r="K1555" s="14">
        <f>IF(OR(COUNT(G1555:J1555)&lt;&gt;4,G1555&lt;0,G1555&gt;1,H1555&gt;I1555,I1555&gt;J1555),"n.a.",ROUND(G1555*(H1555+4*I1555+J1555)/6+0.00000001,2))</f>
        <v/>
      </c>
      <c r="L1555" s="13" t="n">
        <v>0</v>
      </c>
      <c r="M1555" s="14">
        <f>SUMIFS(Maßnahmen!$I$7:$I$126,Maßnahmen!$D$7:$D$126,C1555,Maßnahmen!$H$7:$H$126,"&lt;&gt;verworfen")</f>
        <v/>
      </c>
      <c r="N1555" s="14">
        <f>IF(ISNUMBER(K1555),MAX(0,K1555-L1555-M1555),"n.a.")</f>
        <v/>
      </c>
      <c r="O1555" s="14" t="n">
        <v>9</v>
      </c>
      <c r="P1555" s="14">
        <f>IF(ISNUMBER(K1555),K1555-O1555,"n.a.")</f>
        <v/>
      </c>
    </row>
    <row r="1556" ht="32" customHeight="1">
      <c r="C1556" s="10" t="inlineStr">
        <is>
          <t>PRJ-4a6f9cbf-RK-08</t>
        </is>
      </c>
      <c r="D1556" s="10" t="inlineStr">
        <is>
          <t>P4102608264</t>
        </is>
      </c>
      <c r="E1556" s="11" t="inlineStr">
        <is>
          <t>Gebäudehöhe &gt;22 m / Longfront-Bagger (+130–150 %)</t>
        </is>
      </c>
      <c r="F1556" s="10" t="inlineStr">
        <is>
          <t>Termin</t>
        </is>
      </c>
      <c r="G1556" s="12" t="n">
        <v>0.6</v>
      </c>
      <c r="H1556" s="13" t="n">
        <v>90</v>
      </c>
      <c r="I1556" s="13" t="n">
        <v>180</v>
      </c>
      <c r="J1556" s="13" t="n">
        <v>340</v>
      </c>
      <c r="K1556" s="14">
        <f>IF(OR(COUNT(G1556:J1556)&lt;&gt;4,G1556&lt;0,G1556&gt;1,H1556&gt;I1556,I1556&gt;J1556),"n.a.",ROUND(G1556*(H1556+4*I1556+J1556)/6+0.00000001,2))</f>
        <v/>
      </c>
      <c r="L1556" s="13" t="n">
        <v>0</v>
      </c>
      <c r="M1556" s="14">
        <f>SUMIFS(Maßnahmen!$I$7:$I$126,Maßnahmen!$D$7:$D$126,C1556,Maßnahmen!$H$7:$H$126,"&lt;&gt;verworfen")</f>
        <v/>
      </c>
      <c r="N1556" s="14">
        <f>IF(ISNUMBER(K1556),MAX(0,K1556-L1556-M1556),"n.a.")</f>
        <v/>
      </c>
      <c r="O1556" s="14" t="n">
        <v>115</v>
      </c>
      <c r="P1556" s="14">
        <f>IF(ISNUMBER(K1556),K1556-O1556,"n.a.")</f>
        <v/>
      </c>
    </row>
    <row r="1557" ht="32" customHeight="1">
      <c r="C1557" s="10" t="inlineStr">
        <is>
          <t>PRJ-4a6f9cbf-RK-09</t>
        </is>
      </c>
      <c r="D1557" s="10" t="inlineStr">
        <is>
          <t>P4102608264</t>
        </is>
      </c>
      <c r="E1557" s="11" t="inlineStr">
        <is>
          <t>Beennte Lage / nur Handabbruch möglich</t>
        </is>
      </c>
      <c r="F1557" s="10" t="inlineStr">
        <is>
          <t>Termin</t>
        </is>
      </c>
      <c r="G1557" s="12" t="n">
        <v>0.15</v>
      </c>
      <c r="H1557" s="13" t="n">
        <v>8</v>
      </c>
      <c r="I1557" s="13" t="n">
        <v>20</v>
      </c>
      <c r="J1557" s="13" t="n">
        <v>50</v>
      </c>
      <c r="K1557" s="14">
        <f>IF(OR(COUNT(G1557:J1557)&lt;&gt;4,G1557&lt;0,G1557&gt;1,H1557&gt;I1557,I1557&gt;J1557),"n.a.",ROUND(G1557*(H1557+4*I1557+J1557)/6+0.00000001,2))</f>
        <v/>
      </c>
      <c r="L1557" s="13" t="n">
        <v>0</v>
      </c>
      <c r="M1557" s="14">
        <f>SUMIFS(Maßnahmen!$I$7:$I$126,Maßnahmen!$D$7:$D$126,C1557,Maßnahmen!$H$7:$H$126,"&lt;&gt;verworfen")</f>
        <v/>
      </c>
      <c r="N1557" s="14">
        <f>IF(ISNUMBER(K1557),MAX(0,K1557-L1557-M1557),"n.a.")</f>
        <v/>
      </c>
      <c r="O1557" s="14" t="n">
        <v>3.45</v>
      </c>
      <c r="P1557" s="14">
        <f>IF(ISNUMBER(K1557),K1557-O1557,"n.a.")</f>
        <v/>
      </c>
    </row>
    <row r="1558" ht="32" customHeight="1">
      <c r="C1558" s="10" t="inlineStr">
        <is>
          <t>PRJ-383070e6-RK-09</t>
        </is>
      </c>
      <c r="D1558" s="10" t="inlineStr">
        <is>
          <t>W4102604949</t>
        </is>
      </c>
      <c r="E1558" s="11" t="inlineStr">
        <is>
          <t>Beennte Lage / nur Handabbruch möglich</t>
        </is>
      </c>
      <c r="F1558" s="10" t="inlineStr">
        <is>
          <t>Termin</t>
        </is>
      </c>
      <c r="G1558" s="12" t="n">
        <v>0.15</v>
      </c>
      <c r="H1558" s="13" t="n">
        <v>52</v>
      </c>
      <c r="I1558" s="13" t="n">
        <v>131</v>
      </c>
      <c r="J1558" s="13" t="n">
        <v>327</v>
      </c>
      <c r="K1558" s="14">
        <f>IF(OR(COUNT(G1558:J1558)&lt;&gt;4,G1558&lt;0,G1558&gt;1,H1558&gt;I1558,I1558&gt;J1558),"n.a.",ROUND(G1558*(H1558+4*I1558+J1558)/6+0.00000001,2))</f>
        <v/>
      </c>
      <c r="L1558" s="13" t="n">
        <v>0</v>
      </c>
      <c r="M1558" s="14">
        <f>SUMIFS(Maßnahmen!$I$7:$I$126,Maßnahmen!$D$7:$D$126,C1558,Maßnahmen!$H$7:$H$126,"&lt;&gt;verworfen")</f>
        <v/>
      </c>
      <c r="N1558" s="14">
        <f>IF(ISNUMBER(K1558),MAX(0,K1558-L1558-M1558),"n.a.")</f>
        <v/>
      </c>
      <c r="O1558" s="14" t="n">
        <v>22.58</v>
      </c>
      <c r="P1558" s="14">
        <f>IF(ISNUMBER(K1558),K1558-O1558,"n.a.")</f>
        <v/>
      </c>
    </row>
    <row r="1559" ht="32" customHeight="1">
      <c r="C1559" s="10" t="inlineStr">
        <is>
          <t>PRJ-383070e6-RK-10</t>
        </is>
      </c>
      <c r="D1559" s="10" t="inlineStr">
        <is>
          <t>W4102604949</t>
        </is>
      </c>
      <c r="E1559" s="11" t="inlineStr">
        <is>
          <t>Terminvorgabe Auftraggeber / Geräteauslastung</t>
        </is>
      </c>
      <c r="F1559" s="10" t="inlineStr">
        <is>
          <t>Termin</t>
        </is>
      </c>
      <c r="G1559" s="12" t="n">
        <v>0.1</v>
      </c>
      <c r="H1559" s="13" t="n">
        <v>52</v>
      </c>
      <c r="I1559" s="13" t="n">
        <v>131</v>
      </c>
      <c r="J1559" s="13" t="n">
        <v>327</v>
      </c>
      <c r="K1559" s="14">
        <f>IF(OR(COUNT(G1559:J1559)&lt;&gt;4,G1559&lt;0,G1559&gt;1,H1559&gt;I1559,I1559&gt;J1559),"n.a.",ROUND(G1559*(H1559+4*I1559+J1559)/6+0.00000001,2))</f>
        <v/>
      </c>
      <c r="L1559" s="13" t="n">
        <v>0</v>
      </c>
      <c r="M1559" s="14">
        <f>SUMIFS(Maßnahmen!$I$7:$I$126,Maßnahmen!$D$7:$D$126,C1559,Maßnahmen!$H$7:$H$126,"&lt;&gt;verworfen")</f>
        <v/>
      </c>
      <c r="N1559" s="14">
        <f>IF(ISNUMBER(K1559),MAX(0,K1559-L1559-M1559),"n.a.")</f>
        <v/>
      </c>
      <c r="O1559" s="14" t="n">
        <v>15.05</v>
      </c>
      <c r="P1559" s="14">
        <f>IF(ISNUMBER(K1559),K1559-O1559,"n.a.")</f>
        <v/>
      </c>
    </row>
    <row r="1560" ht="32" customHeight="1">
      <c r="C1560" s="10" t="inlineStr">
        <is>
          <t>PRJ-383070e6-RK-11</t>
        </is>
      </c>
      <c r="D1560" s="10" t="inlineStr">
        <is>
          <t>W4102604949</t>
        </is>
      </c>
      <c r="E1560" s="11" t="inlineStr">
        <is>
          <t>Witterung / Ablaufstörung</t>
        </is>
      </c>
      <c r="F1560" s="10" t="inlineStr">
        <is>
          <t>Termin</t>
        </is>
      </c>
      <c r="G1560" s="12" t="n">
        <v>0.25</v>
      </c>
      <c r="H1560" s="13" t="n">
        <v>65</v>
      </c>
      <c r="I1560" s="13" t="n">
        <v>196</v>
      </c>
      <c r="J1560" s="13" t="n">
        <v>392</v>
      </c>
      <c r="K1560" s="14">
        <f>IF(OR(COUNT(G1560:J1560)&lt;&gt;4,G1560&lt;0,G1560&gt;1,H1560&gt;I1560,I1560&gt;J1560),"n.a.",ROUND(G1560*(H1560+4*I1560+J1560)/6+0.00000001,2))</f>
        <v/>
      </c>
      <c r="L1560" s="13" t="n">
        <v>0</v>
      </c>
      <c r="M1560" s="14">
        <f>SUMIFS(Maßnahmen!$I$7:$I$126,Maßnahmen!$D$7:$D$126,C1560,Maßnahmen!$H$7:$H$126,"&lt;&gt;verworfen")</f>
        <v/>
      </c>
      <c r="N1560" s="14">
        <f>IF(ISNUMBER(K1560),MAX(0,K1560-L1560-M1560),"n.a.")</f>
        <v/>
      </c>
      <c r="O1560" s="14" t="n">
        <v>51.71</v>
      </c>
      <c r="P1560" s="14">
        <f>IF(ISNUMBER(K1560),K1560-O1560,"n.a.")</f>
        <v/>
      </c>
    </row>
    <row r="1561" ht="32" customHeight="1">
      <c r="C1561" s="10" t="inlineStr">
        <is>
          <t>PRJ-383070e6-RK-12</t>
        </is>
      </c>
      <c r="D1561" s="10" t="inlineStr">
        <is>
          <t>W4102604949</t>
        </is>
      </c>
      <c r="E1561" s="11" t="inlineStr">
        <is>
          <t>Staubemissionen (höchster Aufwand laut Umfrage)</t>
        </is>
      </c>
      <c r="F1561" s="10" t="inlineStr">
        <is>
          <t>Emissionen</t>
        </is>
      </c>
      <c r="G1561" s="12" t="n">
        <v>0.1</v>
      </c>
      <c r="H1561" s="13" t="n">
        <v>196</v>
      </c>
      <c r="I1561" s="13" t="n">
        <v>392</v>
      </c>
      <c r="J1561" s="13" t="n">
        <v>784</v>
      </c>
      <c r="K1561" s="14">
        <f>IF(OR(COUNT(G1561:J1561)&lt;&gt;4,G1561&lt;0,G1561&gt;1,H1561&gt;I1561,I1561&gt;J1561),"n.a.",ROUND(G1561*(H1561+4*I1561+J1561)/6+0.00000001,2))</f>
        <v/>
      </c>
      <c r="L1561" s="13" t="n">
        <v>0</v>
      </c>
      <c r="M1561" s="14">
        <f>SUMIFS(Maßnahmen!$I$7:$I$126,Maßnahmen!$D$7:$D$126,C1561,Maßnahmen!$H$7:$H$126,"&lt;&gt;verworfen")</f>
        <v/>
      </c>
      <c r="N1561" s="14">
        <f>IF(ISNUMBER(K1561),MAX(0,K1561-L1561-M1561),"n.a.")</f>
        <v/>
      </c>
      <c r="O1561" s="14" t="n">
        <v>42.47</v>
      </c>
      <c r="P1561" s="14">
        <f>IF(ISNUMBER(K1561),K1561-O1561,"n.a.")</f>
        <v/>
      </c>
    </row>
    <row r="1562" ht="32" customHeight="1">
      <c r="C1562" s="10" t="inlineStr">
        <is>
          <t>PRJ-52b1cf6d-RK-01</t>
        </is>
      </c>
      <c r="D1562" s="10" t="inlineStr">
        <is>
          <t>P4102157447</t>
        </is>
      </c>
      <c r="E1562" s="11" t="inlineStr">
        <is>
          <t>Schadstofffund / Schadstoffsanierung (Asbest, PAK, PCB, PCP)</t>
        </is>
      </c>
      <c r="F1562" s="10" t="inlineStr">
        <is>
          <t>Schadstoffe</t>
        </is>
      </c>
      <c r="G1562" s="12" t="n">
        <v>0.7</v>
      </c>
      <c r="H1562" s="13" t="n">
        <v>1750</v>
      </c>
      <c r="I1562" s="13" t="n">
        <v>2250</v>
      </c>
      <c r="J1562" s="13" t="n">
        <v>3250</v>
      </c>
      <c r="K1562" s="14">
        <f>IF(OR(COUNT(G1562:J1562)&lt;&gt;4,G1562&lt;0,G1562&gt;1,H1562&gt;I1562,I1562&gt;J1562),"n.a.",ROUND(G1562*(H1562+4*I1562+J1562)/6+0.00000001,2))</f>
        <v/>
      </c>
      <c r="L1562" s="13" t="n">
        <v>0</v>
      </c>
      <c r="M1562" s="14">
        <f>SUMIFS(Maßnahmen!$I$7:$I$126,Maßnahmen!$D$7:$D$126,C1562,Maßnahmen!$H$7:$H$126,"&lt;&gt;verworfen")</f>
        <v/>
      </c>
      <c r="N1562" s="14">
        <f>IF(ISNUMBER(K1562),MAX(0,K1562-L1562-M1562),"n.a.")</f>
        <v/>
      </c>
      <c r="O1562" s="14" t="n">
        <v>1633.33</v>
      </c>
      <c r="P1562" s="14">
        <f>IF(ISNUMBER(K1562),K1562-O1562,"n.a.")</f>
        <v/>
      </c>
    </row>
    <row r="1563" ht="32" customHeight="1">
      <c r="C1563" s="10" t="inlineStr">
        <is>
          <t>PRJ-52b1cf6d-RK-02</t>
        </is>
      </c>
      <c r="D1563" s="10" t="inlineStr">
        <is>
          <t>P4102157447</t>
        </is>
      </c>
      <c r="E1563" s="11" t="inlineStr">
        <is>
          <t>Arbeitsschutz kontaminierte Bereiche (TRGS 524)</t>
        </is>
      </c>
      <c r="F1563" s="10" t="inlineStr">
        <is>
          <t>Schadstoffe</t>
        </is>
      </c>
      <c r="G1563" s="12" t="n">
        <v>0.47</v>
      </c>
      <c r="H1563" s="13" t="n">
        <v>100</v>
      </c>
      <c r="I1563" s="13" t="n">
        <v>250</v>
      </c>
      <c r="J1563" s="13" t="n">
        <v>500</v>
      </c>
      <c r="K1563" s="14">
        <f>IF(OR(COUNT(G1563:J1563)&lt;&gt;4,G1563&lt;0,G1563&gt;1,H1563&gt;I1563,I1563&gt;J1563),"n.a.",ROUND(G1563*(H1563+4*I1563+J1563)/6+0.00000001,2))</f>
        <v/>
      </c>
      <c r="L1563" s="13" t="n">
        <v>0</v>
      </c>
      <c r="M1563" s="14">
        <f>SUMIFS(Maßnahmen!$I$7:$I$126,Maßnahmen!$D$7:$D$126,C1563,Maßnahmen!$H$7:$H$126,"&lt;&gt;verworfen")</f>
        <v/>
      </c>
      <c r="N1563" s="14">
        <f>IF(ISNUMBER(K1563),MAX(0,K1563-L1563-M1563),"n.a.")</f>
        <v/>
      </c>
      <c r="O1563" s="14" t="n">
        <v>125.33</v>
      </c>
      <c r="P1563" s="14">
        <f>IF(ISNUMBER(K1563),K1563-O1563,"n.a.")</f>
        <v/>
      </c>
    </row>
    <row r="1564" ht="32" customHeight="1">
      <c r="C1564" s="10" t="inlineStr">
        <is>
          <t>PRJ-52b1cf6d-RK-03</t>
        </is>
      </c>
      <c r="D1564" s="10" t="inlineStr">
        <is>
          <t>P4102157447</t>
        </is>
      </c>
      <c r="E1564" s="11" t="inlineStr">
        <is>
          <t>Entsorgungs-Mehrkosten / Entsorgungswege</t>
        </is>
      </c>
      <c r="F1564" s="10" t="inlineStr">
        <is>
          <t>Entsorgung</t>
        </is>
      </c>
      <c r="G1564" s="12" t="n">
        <v>0.27</v>
      </c>
      <c r="H1564" s="13" t="n">
        <v>100</v>
      </c>
      <c r="I1564" s="13" t="n">
        <v>250</v>
      </c>
      <c r="J1564" s="13" t="n">
        <v>500</v>
      </c>
      <c r="K1564" s="14">
        <f>IF(OR(COUNT(G1564:J1564)&lt;&gt;4,G1564&lt;0,G1564&gt;1,H1564&gt;I1564,I1564&gt;J1564),"n.a.",ROUND(G1564*(H1564+4*I1564+J1564)/6+0.00000001,2))</f>
        <v/>
      </c>
      <c r="L1564" s="13" t="n">
        <v>0</v>
      </c>
      <c r="M1564" s="14">
        <f>SUMIFS(Maßnahmen!$I$7:$I$126,Maßnahmen!$D$7:$D$126,C1564,Maßnahmen!$H$7:$H$126,"&lt;&gt;verworfen")</f>
        <v/>
      </c>
      <c r="N1564" s="14">
        <f>IF(ISNUMBER(K1564),MAX(0,K1564-L1564-M1564),"n.a.")</f>
        <v/>
      </c>
      <c r="O1564" s="14" t="n">
        <v>72</v>
      </c>
      <c r="P1564" s="14">
        <f>IF(ISNUMBER(K1564),K1564-O1564,"n.a.")</f>
        <v/>
      </c>
    </row>
    <row r="1565" ht="32" customHeight="1">
      <c r="C1565" s="10" t="inlineStr">
        <is>
          <t>PRJ-52b1cf6d-RK-04</t>
        </is>
      </c>
      <c r="D1565" s="10" t="inlineStr">
        <is>
          <t>P4102157447</t>
        </is>
      </c>
      <c r="E1565" s="11" t="inlineStr">
        <is>
          <t>Baustofftrennung / Aufbereitung nicht wie geplant</t>
        </is>
      </c>
      <c r="F1565" s="10" t="inlineStr">
        <is>
          <t>Entsorgung</t>
        </is>
      </c>
      <c r="G1565" s="12" t="n">
        <v>0.1</v>
      </c>
      <c r="H1565" s="13" t="n">
        <v>100</v>
      </c>
      <c r="I1565" s="13" t="n">
        <v>250</v>
      </c>
      <c r="J1565" s="13" t="n">
        <v>500</v>
      </c>
      <c r="K1565" s="14">
        <f>IF(OR(COUNT(G1565:J1565)&lt;&gt;4,G1565&lt;0,G1565&gt;1,H1565&gt;I1565,I1565&gt;J1565),"n.a.",ROUND(G1565*(H1565+4*I1565+J1565)/6+0.00000001,2))</f>
        <v/>
      </c>
      <c r="L1565" s="13" t="n">
        <v>0</v>
      </c>
      <c r="M1565" s="14">
        <f>SUMIFS(Maßnahmen!$I$7:$I$126,Maßnahmen!$D$7:$D$126,C1565,Maßnahmen!$H$7:$H$126,"&lt;&gt;verworfen")</f>
        <v/>
      </c>
      <c r="N1565" s="14">
        <f>IF(ISNUMBER(K1565),MAX(0,K1565-L1565-M1565),"n.a.")</f>
        <v/>
      </c>
      <c r="O1565" s="14" t="n">
        <v>26.67</v>
      </c>
      <c r="P1565" s="14">
        <f>IF(ISNUMBER(K1565),K1565-O1565,"n.a.")</f>
        <v/>
      </c>
    </row>
    <row r="1566" ht="32" customHeight="1">
      <c r="C1566" s="10" t="inlineStr">
        <is>
          <t>PRJ-52b1cf6d-RK-05</t>
        </is>
      </c>
      <c r="D1566" s="10" t="inlineStr">
        <is>
          <t>P4102157447</t>
        </is>
      </c>
      <c r="E1566" s="11" t="inlineStr">
        <is>
          <t>Unbekannte Bauwerkskonstruktion / fehlende Pläne</t>
        </is>
      </c>
      <c r="F1566" s="10" t="inlineStr">
        <is>
          <t>Statik</t>
        </is>
      </c>
      <c r="G1566" s="12" t="n">
        <v>0.12</v>
      </c>
      <c r="H1566" s="13" t="n">
        <v>200</v>
      </c>
      <c r="I1566" s="13" t="n">
        <v>400</v>
      </c>
      <c r="J1566" s="13" t="n">
        <v>750</v>
      </c>
      <c r="K1566" s="14">
        <f>IF(OR(COUNT(G1566:J1566)&lt;&gt;4,G1566&lt;0,G1566&gt;1,H1566&gt;I1566,I1566&gt;J1566),"n.a.",ROUND(G1566*(H1566+4*I1566+J1566)/6+0.00000001,2))</f>
        <v/>
      </c>
      <c r="L1566" s="13" t="n">
        <v>0</v>
      </c>
      <c r="M1566" s="14">
        <f>SUMIFS(Maßnahmen!$I$7:$I$126,Maßnahmen!$D$7:$D$126,C1566,Maßnahmen!$H$7:$H$126,"&lt;&gt;verworfen")</f>
        <v/>
      </c>
      <c r="N1566" s="14">
        <f>IF(ISNUMBER(K1566),MAX(0,K1566-L1566-M1566),"n.a.")</f>
        <v/>
      </c>
      <c r="O1566" s="14" t="n">
        <v>51</v>
      </c>
      <c r="P1566" s="14">
        <f>IF(ISNUMBER(K1566),K1566-O1566,"n.a.")</f>
        <v/>
      </c>
    </row>
    <row r="1567" ht="32" customHeight="1">
      <c r="C1567" s="10" t="inlineStr">
        <is>
          <t>PRJ-52b1cf6d-RK-06</t>
        </is>
      </c>
      <c r="D1567" s="10" t="inlineStr">
        <is>
          <t>P4102157447</t>
        </is>
      </c>
      <c r="E1567" s="11" t="inlineStr">
        <is>
          <t>Statik / Einsturzsicherung während Abbruch</t>
        </is>
      </c>
      <c r="F1567" s="10" t="inlineStr">
        <is>
          <t>Statik</t>
        </is>
      </c>
      <c r="G1567" s="12" t="n">
        <v>0.24</v>
      </c>
      <c r="H1567" s="13" t="n">
        <v>150</v>
      </c>
      <c r="I1567" s="13" t="n">
        <v>350</v>
      </c>
      <c r="J1567" s="13" t="n">
        <v>700</v>
      </c>
      <c r="K1567" s="14">
        <f>IF(OR(COUNT(G1567:J1567)&lt;&gt;4,G1567&lt;0,G1567&gt;1,H1567&gt;I1567,I1567&gt;J1567),"n.a.",ROUND(G1567*(H1567+4*I1567+J1567)/6+0.00000001,2))</f>
        <v/>
      </c>
      <c r="L1567" s="13" t="n">
        <v>0</v>
      </c>
      <c r="M1567" s="14">
        <f>SUMIFS(Maßnahmen!$I$7:$I$126,Maßnahmen!$D$7:$D$126,C1567,Maßnahmen!$H$7:$H$126,"&lt;&gt;verworfen")</f>
        <v/>
      </c>
      <c r="N1567" s="14">
        <f>IF(ISNUMBER(K1567),MAX(0,K1567-L1567-M1567),"n.a.")</f>
        <v/>
      </c>
      <c r="O1567" s="14" t="n">
        <v>90</v>
      </c>
      <c r="P1567" s="14">
        <f>IF(ISNUMBER(K1567),K1567-O1567,"n.a.")</f>
        <v/>
      </c>
    </row>
    <row r="1568" ht="32" customHeight="1">
      <c r="C1568" s="10" t="inlineStr">
        <is>
          <t>PRJ-52b1cf6d-RK-07</t>
        </is>
      </c>
      <c r="D1568" s="10" t="inlineStr">
        <is>
          <t>P4102157447</t>
        </is>
      </c>
      <c r="E1568" s="11" t="inlineStr">
        <is>
          <t>Unterirdische Tragkonstruktion / Fundamente</t>
        </is>
      </c>
      <c r="F1568" s="10" t="inlineStr">
        <is>
          <t>Statik</t>
        </is>
      </c>
      <c r="G1568" s="12" t="n">
        <v>0.4</v>
      </c>
      <c r="H1568" s="13" t="n">
        <v>25</v>
      </c>
      <c r="I1568" s="13" t="n">
        <v>100</v>
      </c>
      <c r="J1568" s="13" t="n">
        <v>250</v>
      </c>
      <c r="K1568" s="14">
        <f>IF(OR(COUNT(G1568:J1568)&lt;&gt;4,G1568&lt;0,G1568&gt;1,H1568&gt;I1568,I1568&gt;J1568),"n.a.",ROUND(G1568*(H1568+4*I1568+J1568)/6+0.00000001,2))</f>
        <v/>
      </c>
      <c r="L1568" s="13" t="n">
        <v>0</v>
      </c>
      <c r="M1568" s="14">
        <f>SUMIFS(Maßnahmen!$I$7:$I$126,Maßnahmen!$D$7:$D$126,C1568,Maßnahmen!$H$7:$H$126,"&lt;&gt;verworfen")</f>
        <v/>
      </c>
      <c r="N1568" s="14">
        <f>IF(ISNUMBER(K1568),MAX(0,K1568-L1568-M1568),"n.a.")</f>
        <v/>
      </c>
      <c r="O1568" s="14" t="n">
        <v>45</v>
      </c>
      <c r="P1568" s="14">
        <f>IF(ISNUMBER(K1568),K1568-O1568,"n.a.")</f>
        <v/>
      </c>
    </row>
    <row r="1569" ht="32" customHeight="1">
      <c r="C1569" s="10" t="inlineStr">
        <is>
          <t>PRJ-52b1cf6d-RK-08</t>
        </is>
      </c>
      <c r="D1569" s="10" t="inlineStr">
        <is>
          <t>P4102157447</t>
        </is>
      </c>
      <c r="E1569" s="11" t="inlineStr">
        <is>
          <t>Gebäudehöhe &gt;22 m / Longfront-Bagger (+130–150 %)</t>
        </is>
      </c>
      <c r="F1569" s="10" t="inlineStr">
        <is>
          <t>Termin</t>
        </is>
      </c>
      <c r="G1569" s="12" t="n">
        <v>0.6</v>
      </c>
      <c r="H1569" s="13" t="n">
        <v>450</v>
      </c>
      <c r="I1569" s="13" t="n">
        <v>900</v>
      </c>
      <c r="J1569" s="13" t="n">
        <v>1700</v>
      </c>
      <c r="K1569" s="14">
        <f>IF(OR(COUNT(G1569:J1569)&lt;&gt;4,G1569&lt;0,G1569&gt;1,H1569&gt;I1569,I1569&gt;J1569),"n.a.",ROUND(G1569*(H1569+4*I1569+J1569)/6+0.00000001,2))</f>
        <v/>
      </c>
      <c r="L1569" s="13" t="n">
        <v>0</v>
      </c>
      <c r="M1569" s="14">
        <f>SUMIFS(Maßnahmen!$I$7:$I$126,Maßnahmen!$D$7:$D$126,C1569,Maßnahmen!$H$7:$H$126,"&lt;&gt;verworfen")</f>
        <v/>
      </c>
      <c r="N1569" s="14">
        <f>IF(ISNUMBER(K1569),MAX(0,K1569-L1569-M1569),"n.a.")</f>
        <v/>
      </c>
      <c r="O1569" s="14" t="n">
        <v>575</v>
      </c>
      <c r="P1569" s="14">
        <f>IF(ISNUMBER(K1569),K1569-O1569,"n.a.")</f>
        <v/>
      </c>
    </row>
    <row r="1570" ht="32" customHeight="1">
      <c r="C1570" s="10" t="inlineStr">
        <is>
          <t>PRJ-52b1cf6d-RK-09</t>
        </is>
      </c>
      <c r="D1570" s="10" t="inlineStr">
        <is>
          <t>P4102157447</t>
        </is>
      </c>
      <c r="E1570" s="11" t="inlineStr">
        <is>
          <t>Beennte Lage / nur Handabbruch möglich</t>
        </is>
      </c>
      <c r="F1570" s="10" t="inlineStr">
        <is>
          <t>Termin</t>
        </is>
      </c>
      <c r="G1570" s="12" t="n">
        <v>0.15</v>
      </c>
      <c r="H1570" s="13" t="n">
        <v>40</v>
      </c>
      <c r="I1570" s="13" t="n">
        <v>100</v>
      </c>
      <c r="J1570" s="13" t="n">
        <v>250</v>
      </c>
      <c r="K1570" s="14">
        <f>IF(OR(COUNT(G1570:J1570)&lt;&gt;4,G1570&lt;0,G1570&gt;1,H1570&gt;I1570,I1570&gt;J1570),"n.a.",ROUND(G1570*(H1570+4*I1570+J1570)/6+0.00000001,2))</f>
        <v/>
      </c>
      <c r="L1570" s="13" t="n">
        <v>0</v>
      </c>
      <c r="M1570" s="14">
        <f>SUMIFS(Maßnahmen!$I$7:$I$126,Maßnahmen!$D$7:$D$126,C1570,Maßnahmen!$H$7:$H$126,"&lt;&gt;verworfen")</f>
        <v/>
      </c>
      <c r="N1570" s="14">
        <f>IF(ISNUMBER(K1570),MAX(0,K1570-L1570-M1570),"n.a.")</f>
        <v/>
      </c>
      <c r="O1570" s="14" t="n">
        <v>17.25</v>
      </c>
      <c r="P1570" s="14">
        <f>IF(ISNUMBER(K1570),K1570-O1570,"n.a.")</f>
        <v/>
      </c>
    </row>
    <row r="1571" ht="32" customHeight="1">
      <c r="C1571" s="10" t="inlineStr">
        <is>
          <t>PRJ-52b1cf6d-RK-10</t>
        </is>
      </c>
      <c r="D1571" s="10" t="inlineStr">
        <is>
          <t>P4102157447</t>
        </is>
      </c>
      <c r="E1571" s="11" t="inlineStr">
        <is>
          <t>Terminvorgabe Auftraggeber / Geräteauslastung</t>
        </is>
      </c>
      <c r="F1571" s="10" t="inlineStr">
        <is>
          <t>Termin</t>
        </is>
      </c>
      <c r="G1571" s="12" t="n">
        <v>0.2</v>
      </c>
      <c r="H1571" s="13" t="n">
        <v>40</v>
      </c>
      <c r="I1571" s="13" t="n">
        <v>100</v>
      </c>
      <c r="J1571" s="13" t="n">
        <v>250</v>
      </c>
      <c r="K1571" s="14">
        <f>IF(OR(COUNT(G1571:J1571)&lt;&gt;4,G1571&lt;0,G1571&gt;1,H1571&gt;I1571,I1571&gt;J1571),"n.a.",ROUND(G1571*(H1571+4*I1571+J1571)/6+0.00000001,2))</f>
        <v/>
      </c>
      <c r="L1571" s="13" t="n">
        <v>0</v>
      </c>
      <c r="M1571" s="14">
        <f>SUMIFS(Maßnahmen!$I$7:$I$126,Maßnahmen!$D$7:$D$126,C1571,Maßnahmen!$H$7:$H$126,"&lt;&gt;verworfen")</f>
        <v/>
      </c>
      <c r="N1571" s="14">
        <f>IF(ISNUMBER(K1571),MAX(0,K1571-L1571-M1571),"n.a.")</f>
        <v/>
      </c>
      <c r="O1571" s="14" t="n">
        <v>23</v>
      </c>
      <c r="P1571" s="14">
        <f>IF(ISNUMBER(K1571),K1571-O1571,"n.a.")</f>
        <v/>
      </c>
    </row>
    <row r="1572" ht="32" customHeight="1">
      <c r="C1572" s="10" t="inlineStr">
        <is>
          <t>PRJ-52b1cf6d-RK-11</t>
        </is>
      </c>
      <c r="D1572" s="10" t="inlineStr">
        <is>
          <t>P4102157447</t>
        </is>
      </c>
      <c r="E1572" s="11" t="inlineStr">
        <is>
          <t>Witterung / Ablaufstörung</t>
        </is>
      </c>
      <c r="F1572" s="10" t="inlineStr">
        <is>
          <t>Termin</t>
        </is>
      </c>
      <c r="G1572" s="12" t="n">
        <v>0.25</v>
      </c>
      <c r="H1572" s="13" t="n">
        <v>50</v>
      </c>
      <c r="I1572" s="13" t="n">
        <v>150</v>
      </c>
      <c r="J1572" s="13" t="n">
        <v>300</v>
      </c>
      <c r="K1572" s="14">
        <f>IF(OR(COUNT(G1572:J1572)&lt;&gt;4,G1572&lt;0,G1572&gt;1,H1572&gt;I1572,I1572&gt;J1572),"n.a.",ROUND(G1572*(H1572+4*I1572+J1572)/6+0.00000001,2))</f>
        <v/>
      </c>
      <c r="L1572" s="13" t="n">
        <v>0</v>
      </c>
      <c r="M1572" s="14">
        <f>SUMIFS(Maßnahmen!$I$7:$I$126,Maßnahmen!$D$7:$D$126,C1572,Maßnahmen!$H$7:$H$126,"&lt;&gt;verworfen")</f>
        <v/>
      </c>
      <c r="N1572" s="14">
        <f>IF(ISNUMBER(K1572),MAX(0,K1572-L1572-M1572),"n.a.")</f>
        <v/>
      </c>
      <c r="O1572" s="14" t="n">
        <v>39.58</v>
      </c>
      <c r="P1572" s="14">
        <f>IF(ISNUMBER(K1572),K1572-O1572,"n.a.")</f>
        <v/>
      </c>
    </row>
    <row r="1573" ht="32" customHeight="1">
      <c r="C1573" s="10" t="inlineStr">
        <is>
          <t>PRJ-52b1cf6d-RK-12</t>
        </is>
      </c>
      <c r="D1573" s="10" t="inlineStr">
        <is>
          <t>P4102157447</t>
        </is>
      </c>
      <c r="E1573" s="11" t="inlineStr">
        <is>
          <t>Staubemissionen (höchster Aufwand laut Umfrage)</t>
        </is>
      </c>
      <c r="F1573" s="10" t="inlineStr">
        <is>
          <t>Emissionen</t>
        </is>
      </c>
      <c r="G1573" s="12" t="n">
        <v>0.1</v>
      </c>
      <c r="H1573" s="13" t="n">
        <v>150</v>
      </c>
      <c r="I1573" s="13" t="n">
        <v>300</v>
      </c>
      <c r="J1573" s="13" t="n">
        <v>600</v>
      </c>
      <c r="K1573" s="14">
        <f>IF(OR(COUNT(G1573:J1573)&lt;&gt;4,G1573&lt;0,G1573&gt;1,H1573&gt;I1573,I1573&gt;J1573),"n.a.",ROUND(G1573*(H1573+4*I1573+J1573)/6+0.00000001,2))</f>
        <v/>
      </c>
      <c r="L1573" s="13" t="n">
        <v>0</v>
      </c>
      <c r="M1573" s="14">
        <f>SUMIFS(Maßnahmen!$I$7:$I$126,Maßnahmen!$D$7:$D$126,C1573,Maßnahmen!$H$7:$H$126,"&lt;&gt;verworfen")</f>
        <v/>
      </c>
      <c r="N1573" s="14">
        <f>IF(ISNUMBER(K1573),MAX(0,K1573-L1573-M1573),"n.a.")</f>
        <v/>
      </c>
      <c r="O1573" s="14" t="n">
        <v>32.5</v>
      </c>
      <c r="P1573" s="14">
        <f>IF(ISNUMBER(K1573),K1573-O1573,"n.a.")</f>
        <v/>
      </c>
    </row>
    <row r="1574" ht="32" customHeight="1">
      <c r="C1574" s="10" t="inlineStr">
        <is>
          <t>PRJ-383070e6-RK-13</t>
        </is>
      </c>
      <c r="D1574" s="10" t="inlineStr">
        <is>
          <t>W4102604949</t>
        </is>
      </c>
      <c r="E1574" s="11" t="inlineStr">
        <is>
          <t>Lärm- und Erschütterungsauflagen</t>
        </is>
      </c>
      <c r="F1574" s="10" t="inlineStr">
        <is>
          <t>Emissionen</t>
        </is>
      </c>
      <c r="G1574" s="12" t="n">
        <v>0.2</v>
      </c>
      <c r="H1574" s="13" t="n">
        <v>131</v>
      </c>
      <c r="I1574" s="13" t="n">
        <v>327</v>
      </c>
      <c r="J1574" s="13" t="n">
        <v>654</v>
      </c>
      <c r="K1574" s="14">
        <f>IF(OR(COUNT(G1574:J1574)&lt;&gt;4,G1574&lt;0,G1574&gt;1,H1574&gt;I1574,I1574&gt;J1574),"n.a.",ROUND(G1574*(H1574+4*I1574+J1574)/6+0.00000001,2))</f>
        <v/>
      </c>
      <c r="L1574" s="13" t="n">
        <v>0</v>
      </c>
      <c r="M1574" s="14">
        <f>SUMIFS(Maßnahmen!$I$7:$I$126,Maßnahmen!$D$7:$D$126,C1574,Maßnahmen!$H$7:$H$126,"&lt;&gt;verworfen")</f>
        <v/>
      </c>
      <c r="N1574" s="14">
        <f>IF(ISNUMBER(K1574),MAX(0,K1574-L1574-M1574),"n.a.")</f>
        <v/>
      </c>
      <c r="O1574" s="14" t="n">
        <v>69.77</v>
      </c>
      <c r="P1574" s="14">
        <f>IF(ISNUMBER(K1574),K1574-O1574,"n.a.")</f>
        <v/>
      </c>
    </row>
    <row r="1575" ht="32" customHeight="1">
      <c r="C1575" s="10" t="inlineStr">
        <is>
          <t>PRJ-383070e6-RK-14</t>
        </is>
      </c>
      <c r="D1575" s="10" t="inlineStr">
        <is>
          <t>W4102604949</t>
        </is>
      </c>
      <c r="E1575" s="11" t="inlineStr">
        <is>
          <t>Rechtliche Auflagen / Entsorgungsnachweise (Formalismus)</t>
        </is>
      </c>
      <c r="F1575" s="10" t="inlineStr">
        <is>
          <t>Genehmigung</t>
        </is>
      </c>
      <c r="G1575" s="12" t="n">
        <v>0.4</v>
      </c>
      <c r="H1575" s="13" t="n">
        <v>621</v>
      </c>
      <c r="I1575" s="13" t="n">
        <v>1209</v>
      </c>
      <c r="J1575" s="13" t="n">
        <v>2288</v>
      </c>
      <c r="K1575" s="14">
        <f>IF(OR(COUNT(G1575:J1575)&lt;&gt;4,G1575&lt;0,G1575&gt;1,H1575&gt;I1575,I1575&gt;J1575),"n.a.",ROUND(G1575*(H1575+4*I1575+J1575)/6+0.00000001,2))</f>
        <v/>
      </c>
      <c r="L1575" s="13" t="n">
        <v>0</v>
      </c>
      <c r="M1575" s="14">
        <f>SUMIFS(Maßnahmen!$I$7:$I$126,Maßnahmen!$D$7:$D$126,C1575,Maßnahmen!$H$7:$H$126,"&lt;&gt;verworfen")</f>
        <v/>
      </c>
      <c r="N1575" s="14">
        <f>IF(ISNUMBER(K1575),MAX(0,K1575-L1575-M1575),"n.a.")</f>
        <v/>
      </c>
      <c r="O1575" s="14" t="n">
        <v>516.33</v>
      </c>
      <c r="P1575" s="14">
        <f>IF(ISNUMBER(K1575),K1575-O1575,"n.a.")</f>
        <v/>
      </c>
    </row>
    <row r="1576" ht="32" customHeight="1">
      <c r="C1576" s="10" t="inlineStr">
        <is>
          <t>PRJ-383070e6-RK-15</t>
        </is>
      </c>
      <c r="D1576" s="10" t="inlineStr">
        <is>
          <t>W4102604949</t>
        </is>
      </c>
      <c r="E1576" s="11" t="inlineStr">
        <is>
          <t>Konjunktur / Sekundärstoffpreise &amp; Gerätemiete</t>
        </is>
      </c>
      <c r="F1576" s="10" t="inlineStr">
        <is>
          <t>Markt</t>
        </is>
      </c>
      <c r="G1576" s="12" t="n">
        <v>0.12</v>
      </c>
      <c r="H1576" s="13" t="n">
        <v>52</v>
      </c>
      <c r="I1576" s="13" t="n">
        <v>131</v>
      </c>
      <c r="J1576" s="13" t="n">
        <v>327</v>
      </c>
      <c r="K1576" s="14">
        <f>IF(OR(COUNT(G1576:J1576)&lt;&gt;4,G1576&lt;0,G1576&gt;1,H1576&gt;I1576,I1576&gt;J1576),"n.a.",ROUND(G1576*(H1576+4*I1576+J1576)/6+0.00000001,2))</f>
        <v/>
      </c>
      <c r="L1576" s="13" t="n">
        <v>0</v>
      </c>
      <c r="M1576" s="14">
        <f>SUMIFS(Maßnahmen!$I$7:$I$126,Maßnahmen!$D$7:$D$126,C1576,Maßnahmen!$H$7:$H$126,"&lt;&gt;verworfen")</f>
        <v/>
      </c>
      <c r="N1576" s="14">
        <f>IF(ISNUMBER(K1576),MAX(0,K1576-L1576-M1576),"n.a.")</f>
        <v/>
      </c>
      <c r="O1576" s="14" t="n">
        <v>18.06</v>
      </c>
      <c r="P1576" s="14">
        <f>IF(ISNUMBER(K1576),K1576-O1576,"n.a.")</f>
        <v/>
      </c>
    </row>
    <row r="1577" ht="32" customHeight="1">
      <c r="C1577" s="10" t="inlineStr">
        <is>
          <t>PRJ-37eaec1d-RK-01</t>
        </is>
      </c>
      <c r="D1577" s="10" t="inlineStr">
        <is>
          <t>W4102652709</t>
        </is>
      </c>
      <c r="E1577" s="11" t="inlineStr">
        <is>
          <t>Schadstofffund / Schadstoffsanierung (Asbest, PAK, PCB, PCP)</t>
        </is>
      </c>
      <c r="F1577" s="10" t="inlineStr">
        <is>
          <t>Schadstoffe</t>
        </is>
      </c>
      <c r="G1577" s="12" t="n">
        <v>0.1</v>
      </c>
      <c r="H1577" s="13" t="n">
        <v>20</v>
      </c>
      <c r="I1577" s="13" t="n">
        <v>50</v>
      </c>
      <c r="J1577" s="13" t="n">
        <v>100</v>
      </c>
      <c r="K1577" s="14">
        <f>IF(OR(COUNT(G1577:J1577)&lt;&gt;4,G1577&lt;0,G1577&gt;1,H1577&gt;I1577,I1577&gt;J1577),"n.a.",ROUND(G1577*(H1577+4*I1577+J1577)/6+0.00000001,2))</f>
        <v/>
      </c>
      <c r="L1577" s="13" t="n">
        <v>0</v>
      </c>
      <c r="M1577" s="14">
        <f>SUMIFS(Maßnahmen!$I$7:$I$126,Maßnahmen!$D$7:$D$126,C1577,Maßnahmen!$H$7:$H$126,"&lt;&gt;verworfen")</f>
        <v/>
      </c>
      <c r="N1577" s="14">
        <f>IF(ISNUMBER(K1577),MAX(0,K1577-L1577-M1577),"n.a.")</f>
        <v/>
      </c>
      <c r="O1577" s="14" t="n">
        <v>5.33</v>
      </c>
      <c r="P1577" s="14">
        <f>IF(ISNUMBER(K1577),K1577-O1577,"n.a.")</f>
        <v/>
      </c>
    </row>
    <row r="1578" ht="32" customHeight="1">
      <c r="C1578" s="10" t="inlineStr">
        <is>
          <t>PRJ-37eaec1d-RK-02</t>
        </is>
      </c>
      <c r="D1578" s="10" t="inlineStr">
        <is>
          <t>W4102652709</t>
        </is>
      </c>
      <c r="E1578" s="11" t="inlineStr">
        <is>
          <t>Arbeitsschutz kontaminierte Bereiche (TRGS 524)</t>
        </is>
      </c>
      <c r="F1578" s="10" t="inlineStr">
        <is>
          <t>Schadstoffe</t>
        </is>
      </c>
      <c r="G1578" s="12" t="n">
        <v>0.47</v>
      </c>
      <c r="H1578" s="13" t="n">
        <v>20</v>
      </c>
      <c r="I1578" s="13" t="n">
        <v>50</v>
      </c>
      <c r="J1578" s="13" t="n">
        <v>100</v>
      </c>
      <c r="K1578" s="14">
        <f>IF(OR(COUNT(G1578:J1578)&lt;&gt;4,G1578&lt;0,G1578&gt;1,H1578&gt;I1578,I1578&gt;J1578),"n.a.",ROUND(G1578*(H1578+4*I1578+J1578)/6+0.00000001,2))</f>
        <v/>
      </c>
      <c r="L1578" s="13" t="n">
        <v>0</v>
      </c>
      <c r="M1578" s="14">
        <f>SUMIFS(Maßnahmen!$I$7:$I$126,Maßnahmen!$D$7:$D$126,C1578,Maßnahmen!$H$7:$H$126,"&lt;&gt;verworfen")</f>
        <v/>
      </c>
      <c r="N1578" s="14">
        <f>IF(ISNUMBER(K1578),MAX(0,K1578-L1578-M1578),"n.a.")</f>
        <v/>
      </c>
      <c r="O1578" s="14" t="n">
        <v>25.07</v>
      </c>
      <c r="P1578" s="14">
        <f>IF(ISNUMBER(K1578),K1578-O1578,"n.a.")</f>
        <v/>
      </c>
    </row>
    <row r="1579" ht="32" customHeight="1">
      <c r="C1579" s="10" t="inlineStr">
        <is>
          <t>PRJ-37eaec1d-RK-03</t>
        </is>
      </c>
      <c r="D1579" s="10" t="inlineStr">
        <is>
          <t>W4102652709</t>
        </is>
      </c>
      <c r="E1579" s="11" t="inlineStr">
        <is>
          <t>Entsorgungs-Mehrkosten / Entsorgungswege</t>
        </is>
      </c>
      <c r="F1579" s="10" t="inlineStr">
        <is>
          <t>Entsorgung</t>
        </is>
      </c>
      <c r="G1579" s="12" t="n">
        <v>0.15</v>
      </c>
      <c r="H1579" s="13" t="n">
        <v>20</v>
      </c>
      <c r="I1579" s="13" t="n">
        <v>50</v>
      </c>
      <c r="J1579" s="13" t="n">
        <v>100</v>
      </c>
      <c r="K1579" s="14">
        <f>IF(OR(COUNT(G1579:J1579)&lt;&gt;4,G1579&lt;0,G1579&gt;1,H1579&gt;I1579,I1579&gt;J1579),"n.a.",ROUND(G1579*(H1579+4*I1579+J1579)/6+0.00000001,2))</f>
        <v/>
      </c>
      <c r="L1579" s="13" t="n">
        <v>0</v>
      </c>
      <c r="M1579" s="14">
        <f>SUMIFS(Maßnahmen!$I$7:$I$126,Maßnahmen!$D$7:$D$126,C1579,Maßnahmen!$H$7:$H$126,"&lt;&gt;verworfen")</f>
        <v/>
      </c>
      <c r="N1579" s="14">
        <f>IF(ISNUMBER(K1579),MAX(0,K1579-L1579-M1579),"n.a.")</f>
        <v/>
      </c>
      <c r="O1579" s="14" t="n">
        <v>8</v>
      </c>
      <c r="P1579" s="14">
        <f>IF(ISNUMBER(K1579),K1579-O1579,"n.a.")</f>
        <v/>
      </c>
    </row>
    <row r="1580" ht="32" customHeight="1">
      <c r="C1580" s="10" t="inlineStr">
        <is>
          <t>PRJ-37eaec1d-RK-04</t>
        </is>
      </c>
      <c r="D1580" s="10" t="inlineStr">
        <is>
          <t>W4102652709</t>
        </is>
      </c>
      <c r="E1580" s="11" t="inlineStr">
        <is>
          <t>Baustofftrennung / Aufbereitung nicht wie geplant</t>
        </is>
      </c>
      <c r="F1580" s="10" t="inlineStr">
        <is>
          <t>Entsorgung</t>
        </is>
      </c>
      <c r="G1580" s="12" t="n">
        <v>0.1</v>
      </c>
      <c r="H1580" s="13" t="n">
        <v>20</v>
      </c>
      <c r="I1580" s="13" t="n">
        <v>50</v>
      </c>
      <c r="J1580" s="13" t="n">
        <v>100</v>
      </c>
      <c r="K1580" s="14">
        <f>IF(OR(COUNT(G1580:J1580)&lt;&gt;4,G1580&lt;0,G1580&gt;1,H1580&gt;I1580,I1580&gt;J1580),"n.a.",ROUND(G1580*(H1580+4*I1580+J1580)/6+0.00000001,2))</f>
        <v/>
      </c>
      <c r="L1580" s="13" t="n">
        <v>0</v>
      </c>
      <c r="M1580" s="14">
        <f>SUMIFS(Maßnahmen!$I$7:$I$126,Maßnahmen!$D$7:$D$126,C1580,Maßnahmen!$H$7:$H$126,"&lt;&gt;verworfen")</f>
        <v/>
      </c>
      <c r="N1580" s="14">
        <f>IF(ISNUMBER(K1580),MAX(0,K1580-L1580-M1580),"n.a.")</f>
        <v/>
      </c>
      <c r="O1580" s="14" t="n">
        <v>5.33</v>
      </c>
      <c r="P1580" s="14">
        <f>IF(ISNUMBER(K1580),K1580-O1580,"n.a.")</f>
        <v/>
      </c>
    </row>
    <row r="1581" ht="32" customHeight="1">
      <c r="C1581" s="10" t="inlineStr">
        <is>
          <t>PRJ-37eaec1d-RK-05</t>
        </is>
      </c>
      <c r="D1581" s="10" t="inlineStr">
        <is>
          <t>W4102652709</t>
        </is>
      </c>
      <c r="E1581" s="11" t="inlineStr">
        <is>
          <t>Unbekannte Bauwerkskonstruktion / fehlende Pläne</t>
        </is>
      </c>
      <c r="F1581" s="10" t="inlineStr">
        <is>
          <t>Statik</t>
        </is>
      </c>
      <c r="G1581" s="12" t="n">
        <v>0.12</v>
      </c>
      <c r="H1581" s="13" t="n">
        <v>40</v>
      </c>
      <c r="I1581" s="13" t="n">
        <v>80</v>
      </c>
      <c r="J1581" s="13" t="n">
        <v>150</v>
      </c>
      <c r="K1581" s="14">
        <f>IF(OR(COUNT(G1581:J1581)&lt;&gt;4,G1581&lt;0,G1581&gt;1,H1581&gt;I1581,I1581&gt;J1581),"n.a.",ROUND(G1581*(H1581+4*I1581+J1581)/6+0.00000001,2))</f>
        <v/>
      </c>
      <c r="L1581" s="13" t="n">
        <v>0</v>
      </c>
      <c r="M1581" s="14">
        <f>SUMIFS(Maßnahmen!$I$7:$I$126,Maßnahmen!$D$7:$D$126,C1581,Maßnahmen!$H$7:$H$126,"&lt;&gt;verworfen")</f>
        <v/>
      </c>
      <c r="N1581" s="14">
        <f>IF(ISNUMBER(K1581),MAX(0,K1581-L1581-M1581),"n.a.")</f>
        <v/>
      </c>
      <c r="O1581" s="14" t="n">
        <v>10.2</v>
      </c>
      <c r="P1581" s="14">
        <f>IF(ISNUMBER(K1581),K1581-O1581,"n.a.")</f>
        <v/>
      </c>
    </row>
    <row r="1582" ht="32" customHeight="1">
      <c r="C1582" s="10" t="inlineStr">
        <is>
          <t>PRJ-37eaec1d-RK-06</t>
        </is>
      </c>
      <c r="D1582" s="10" t="inlineStr">
        <is>
          <t>W4102652709</t>
        </is>
      </c>
      <c r="E1582" s="11" t="inlineStr">
        <is>
          <t>Statik / Einsturzsicherung während Abbruch</t>
        </is>
      </c>
      <c r="F1582" s="10" t="inlineStr">
        <is>
          <t>Statik</t>
        </is>
      </c>
      <c r="G1582" s="12" t="n">
        <v>0.12</v>
      </c>
      <c r="H1582" s="13" t="n">
        <v>30</v>
      </c>
      <c r="I1582" s="13" t="n">
        <v>70</v>
      </c>
      <c r="J1582" s="13" t="n">
        <v>140</v>
      </c>
      <c r="K1582" s="14">
        <f>IF(OR(COUNT(G1582:J1582)&lt;&gt;4,G1582&lt;0,G1582&gt;1,H1582&gt;I1582,I1582&gt;J1582),"n.a.",ROUND(G1582*(H1582+4*I1582+J1582)/6+0.00000001,2))</f>
        <v/>
      </c>
      <c r="L1582" s="13" t="n">
        <v>0</v>
      </c>
      <c r="M1582" s="14">
        <f>SUMIFS(Maßnahmen!$I$7:$I$126,Maßnahmen!$D$7:$D$126,C1582,Maßnahmen!$H$7:$H$126,"&lt;&gt;verworfen")</f>
        <v/>
      </c>
      <c r="N1582" s="14">
        <f>IF(ISNUMBER(K1582),MAX(0,K1582-L1582-M1582),"n.a.")</f>
        <v/>
      </c>
      <c r="O1582" s="14" t="n">
        <v>9</v>
      </c>
      <c r="P1582" s="14">
        <f>IF(ISNUMBER(K1582),K1582-O1582,"n.a.")</f>
        <v/>
      </c>
    </row>
    <row r="1583" ht="32" customHeight="1">
      <c r="C1583" s="10" t="inlineStr">
        <is>
          <t>PRJ-37eaec1d-RK-07</t>
        </is>
      </c>
      <c r="D1583" s="10" t="inlineStr">
        <is>
          <t>W4102652709</t>
        </is>
      </c>
      <c r="E1583" s="11" t="inlineStr">
        <is>
          <t>Unterirdische Tragkonstruktion / Fundamente</t>
        </is>
      </c>
      <c r="F1583" s="10" t="inlineStr">
        <is>
          <t>Statik</t>
        </is>
      </c>
      <c r="G1583" s="12" t="n">
        <v>0.4</v>
      </c>
      <c r="H1583" s="13" t="n">
        <v>5</v>
      </c>
      <c r="I1583" s="13" t="n">
        <v>20</v>
      </c>
      <c r="J1583" s="13" t="n">
        <v>50</v>
      </c>
      <c r="K1583" s="14">
        <f>IF(OR(COUNT(G1583:J1583)&lt;&gt;4,G1583&lt;0,G1583&gt;1,H1583&gt;I1583,I1583&gt;J1583),"n.a.",ROUND(G1583*(H1583+4*I1583+J1583)/6+0.00000001,2))</f>
        <v/>
      </c>
      <c r="L1583" s="13" t="n">
        <v>0</v>
      </c>
      <c r="M1583" s="14">
        <f>SUMIFS(Maßnahmen!$I$7:$I$126,Maßnahmen!$D$7:$D$126,C1583,Maßnahmen!$H$7:$H$126,"&lt;&gt;verworfen")</f>
        <v/>
      </c>
      <c r="N1583" s="14">
        <f>IF(ISNUMBER(K1583),MAX(0,K1583-L1583-M1583),"n.a.")</f>
        <v/>
      </c>
      <c r="O1583" s="14" t="n">
        <v>9</v>
      </c>
      <c r="P1583" s="14">
        <f>IF(ISNUMBER(K1583),K1583-O1583,"n.a.")</f>
        <v/>
      </c>
    </row>
    <row r="1584" ht="32" customHeight="1">
      <c r="C1584" s="10" t="inlineStr">
        <is>
          <t>PRJ-37eaec1d-RK-08</t>
        </is>
      </c>
      <c r="D1584" s="10" t="inlineStr">
        <is>
          <t>W4102652709</t>
        </is>
      </c>
      <c r="E1584" s="11" t="inlineStr">
        <is>
          <t>Gebäudehöhe &gt;22 m / Longfront-Bagger (+130–150 %)</t>
        </is>
      </c>
      <c r="F1584" s="10" t="inlineStr">
        <is>
          <t>Termin</t>
        </is>
      </c>
      <c r="G1584" s="12" t="n">
        <v>0.6</v>
      </c>
      <c r="H1584" s="13" t="n">
        <v>90</v>
      </c>
      <c r="I1584" s="13" t="n">
        <v>180</v>
      </c>
      <c r="J1584" s="13" t="n">
        <v>340</v>
      </c>
      <c r="K1584" s="14">
        <f>IF(OR(COUNT(G1584:J1584)&lt;&gt;4,G1584&lt;0,G1584&gt;1,H1584&gt;I1584,I1584&gt;J1584),"n.a.",ROUND(G1584*(H1584+4*I1584+J1584)/6+0.00000001,2))</f>
        <v/>
      </c>
      <c r="L1584" s="13" t="n">
        <v>0</v>
      </c>
      <c r="M1584" s="14">
        <f>SUMIFS(Maßnahmen!$I$7:$I$126,Maßnahmen!$D$7:$D$126,C1584,Maßnahmen!$H$7:$H$126,"&lt;&gt;verworfen")</f>
        <v/>
      </c>
      <c r="N1584" s="14">
        <f>IF(ISNUMBER(K1584),MAX(0,K1584-L1584-M1584),"n.a.")</f>
        <v/>
      </c>
      <c r="O1584" s="14" t="n">
        <v>115</v>
      </c>
      <c r="P1584" s="14">
        <f>IF(ISNUMBER(K1584),K1584-O1584,"n.a.")</f>
        <v/>
      </c>
    </row>
    <row r="1585" ht="32" customHeight="1">
      <c r="C1585" s="10" t="inlineStr">
        <is>
          <t>PRJ-37eaec1d-RK-09</t>
        </is>
      </c>
      <c r="D1585" s="10" t="inlineStr">
        <is>
          <t>W4102652709</t>
        </is>
      </c>
      <c r="E1585" s="11" t="inlineStr">
        <is>
          <t>Beennte Lage / nur Handabbruch möglich</t>
        </is>
      </c>
      <c r="F1585" s="10" t="inlineStr">
        <is>
          <t>Termin</t>
        </is>
      </c>
      <c r="G1585" s="12" t="n">
        <v>0.15</v>
      </c>
      <c r="H1585" s="13" t="n">
        <v>8</v>
      </c>
      <c r="I1585" s="13" t="n">
        <v>20</v>
      </c>
      <c r="J1585" s="13" t="n">
        <v>50</v>
      </c>
      <c r="K1585" s="14">
        <f>IF(OR(COUNT(G1585:J1585)&lt;&gt;4,G1585&lt;0,G1585&gt;1,H1585&gt;I1585,I1585&gt;J1585),"n.a.",ROUND(G1585*(H1585+4*I1585+J1585)/6+0.00000001,2))</f>
        <v/>
      </c>
      <c r="L1585" s="13" t="n">
        <v>0</v>
      </c>
      <c r="M1585" s="14">
        <f>SUMIFS(Maßnahmen!$I$7:$I$126,Maßnahmen!$D$7:$D$126,C1585,Maßnahmen!$H$7:$H$126,"&lt;&gt;verworfen")</f>
        <v/>
      </c>
      <c r="N1585" s="14">
        <f>IF(ISNUMBER(K1585),MAX(0,K1585-L1585-M1585),"n.a.")</f>
        <v/>
      </c>
      <c r="O1585" s="14" t="n">
        <v>3.45</v>
      </c>
      <c r="P1585" s="14">
        <f>IF(ISNUMBER(K1585),K1585-O1585,"n.a.")</f>
        <v/>
      </c>
    </row>
    <row r="1586" ht="32" customHeight="1">
      <c r="C1586" s="10" t="inlineStr">
        <is>
          <t>PRJ-37eaec1d-RK-10</t>
        </is>
      </c>
      <c r="D1586" s="10" t="inlineStr">
        <is>
          <t>W4102652709</t>
        </is>
      </c>
      <c r="E1586" s="11" t="inlineStr">
        <is>
          <t>Terminvorgabe Auftraggeber / Geräteauslastung</t>
        </is>
      </c>
      <c r="F1586" s="10" t="inlineStr">
        <is>
          <t>Termin</t>
        </is>
      </c>
      <c r="G1586" s="12" t="n">
        <v>0.1</v>
      </c>
      <c r="H1586" s="13" t="n">
        <v>8</v>
      </c>
      <c r="I1586" s="13" t="n">
        <v>20</v>
      </c>
      <c r="J1586" s="13" t="n">
        <v>50</v>
      </c>
      <c r="K1586" s="14">
        <f>IF(OR(COUNT(G1586:J1586)&lt;&gt;4,G1586&lt;0,G1586&gt;1,H1586&gt;I1586,I1586&gt;J1586),"n.a.",ROUND(G1586*(H1586+4*I1586+J1586)/6+0.00000001,2))</f>
        <v/>
      </c>
      <c r="L1586" s="13" t="n">
        <v>0</v>
      </c>
      <c r="M1586" s="14">
        <f>SUMIFS(Maßnahmen!$I$7:$I$126,Maßnahmen!$D$7:$D$126,C1586,Maßnahmen!$H$7:$H$126,"&lt;&gt;verworfen")</f>
        <v/>
      </c>
      <c r="N1586" s="14">
        <f>IF(ISNUMBER(K1586),MAX(0,K1586-L1586-M1586),"n.a.")</f>
        <v/>
      </c>
      <c r="O1586" s="14" t="n">
        <v>2.3</v>
      </c>
      <c r="P1586" s="14">
        <f>IF(ISNUMBER(K1586),K1586-O1586,"n.a.")</f>
        <v/>
      </c>
    </row>
    <row r="1587" ht="32" customHeight="1">
      <c r="C1587" s="10" t="inlineStr">
        <is>
          <t>PRJ-37eaec1d-RK-11</t>
        </is>
      </c>
      <c r="D1587" s="10" t="inlineStr">
        <is>
          <t>W4102652709</t>
        </is>
      </c>
      <c r="E1587" s="11" t="inlineStr">
        <is>
          <t>Witterung / Ablaufstörung</t>
        </is>
      </c>
      <c r="F1587" s="10" t="inlineStr">
        <is>
          <t>Termin</t>
        </is>
      </c>
      <c r="G1587" s="12" t="n">
        <v>0.25</v>
      </c>
      <c r="H1587" s="13" t="n">
        <v>10</v>
      </c>
      <c r="I1587" s="13" t="n">
        <v>30</v>
      </c>
      <c r="J1587" s="13" t="n">
        <v>60</v>
      </c>
      <c r="K1587" s="14">
        <f>IF(OR(COUNT(G1587:J1587)&lt;&gt;4,G1587&lt;0,G1587&gt;1,H1587&gt;I1587,I1587&gt;J1587),"n.a.",ROUND(G1587*(H1587+4*I1587+J1587)/6+0.00000001,2))</f>
        <v/>
      </c>
      <c r="L1587" s="13" t="n">
        <v>0</v>
      </c>
      <c r="M1587" s="14">
        <f>SUMIFS(Maßnahmen!$I$7:$I$126,Maßnahmen!$D$7:$D$126,C1587,Maßnahmen!$H$7:$H$126,"&lt;&gt;verworfen")</f>
        <v/>
      </c>
      <c r="N1587" s="14">
        <f>IF(ISNUMBER(K1587),MAX(0,K1587-L1587-M1587),"n.a.")</f>
        <v/>
      </c>
      <c r="O1587" s="14" t="n">
        <v>7.92</v>
      </c>
      <c r="P1587" s="14">
        <f>IF(ISNUMBER(K1587),K1587-O1587,"n.a.")</f>
        <v/>
      </c>
    </row>
    <row r="1588" ht="32" customHeight="1">
      <c r="C1588" s="10" t="inlineStr">
        <is>
          <t>PRJ-37eaec1d-RK-12</t>
        </is>
      </c>
      <c r="D1588" s="10" t="inlineStr">
        <is>
          <t>W4102652709</t>
        </is>
      </c>
      <c r="E1588" s="11" t="inlineStr">
        <is>
          <t>Staubemissionen (höchster Aufwand laut Umfrage)</t>
        </is>
      </c>
      <c r="F1588" s="10" t="inlineStr">
        <is>
          <t>Emissionen</t>
        </is>
      </c>
      <c r="G1588" s="12" t="n">
        <v>0.1</v>
      </c>
      <c r="H1588" s="13" t="n">
        <v>30</v>
      </c>
      <c r="I1588" s="13" t="n">
        <v>60</v>
      </c>
      <c r="J1588" s="13" t="n">
        <v>120</v>
      </c>
      <c r="K1588" s="14">
        <f>IF(OR(COUNT(G1588:J1588)&lt;&gt;4,G1588&lt;0,G1588&gt;1,H1588&gt;I1588,I1588&gt;J1588),"n.a.",ROUND(G1588*(H1588+4*I1588+J1588)/6+0.00000001,2))</f>
        <v/>
      </c>
      <c r="L1588" s="13" t="n">
        <v>0</v>
      </c>
      <c r="M1588" s="14">
        <f>SUMIFS(Maßnahmen!$I$7:$I$126,Maßnahmen!$D$7:$D$126,C1588,Maßnahmen!$H$7:$H$126,"&lt;&gt;verworfen")</f>
        <v/>
      </c>
      <c r="N1588" s="14">
        <f>IF(ISNUMBER(K1588),MAX(0,K1588-L1588-M1588),"n.a.")</f>
        <v/>
      </c>
      <c r="O1588" s="14" t="n">
        <v>6.5</v>
      </c>
      <c r="P1588" s="14">
        <f>IF(ISNUMBER(K1588),K1588-O1588,"n.a.")</f>
        <v/>
      </c>
    </row>
    <row r="1589" ht="32" customHeight="1">
      <c r="C1589" s="10" t="inlineStr">
        <is>
          <t>PRJ-37eaec1d-RK-13</t>
        </is>
      </c>
      <c r="D1589" s="10" t="inlineStr">
        <is>
          <t>W4102652709</t>
        </is>
      </c>
      <c r="E1589" s="11" t="inlineStr">
        <is>
          <t>Lärm- und Erschütterungsauflagen</t>
        </is>
      </c>
      <c r="F1589" s="10" t="inlineStr">
        <is>
          <t>Emissionen</t>
        </is>
      </c>
      <c r="G1589" s="12" t="n">
        <v>0.2</v>
      </c>
      <c r="H1589" s="13" t="n">
        <v>20</v>
      </c>
      <c r="I1589" s="13" t="n">
        <v>50</v>
      </c>
      <c r="J1589" s="13" t="n">
        <v>100</v>
      </c>
      <c r="K1589" s="14">
        <f>IF(OR(COUNT(G1589:J1589)&lt;&gt;4,G1589&lt;0,G1589&gt;1,H1589&gt;I1589,I1589&gt;J1589),"n.a.",ROUND(G1589*(H1589+4*I1589+J1589)/6+0.00000001,2))</f>
        <v/>
      </c>
      <c r="L1589" s="13" t="n">
        <v>0</v>
      </c>
      <c r="M1589" s="14">
        <f>SUMIFS(Maßnahmen!$I$7:$I$126,Maßnahmen!$D$7:$D$126,C1589,Maßnahmen!$H$7:$H$126,"&lt;&gt;verworfen")</f>
        <v/>
      </c>
      <c r="N1589" s="14">
        <f>IF(ISNUMBER(K1589),MAX(0,K1589-L1589-M1589),"n.a.")</f>
        <v/>
      </c>
      <c r="O1589" s="14" t="n">
        <v>10.67</v>
      </c>
      <c r="P1589" s="14">
        <f>IF(ISNUMBER(K1589),K1589-O1589,"n.a.")</f>
        <v/>
      </c>
    </row>
    <row r="1590" ht="32" customHeight="1">
      <c r="C1590" s="10" t="inlineStr">
        <is>
          <t>PRJ-37eaec1d-RK-14</t>
        </is>
      </c>
      <c r="D1590" s="10" t="inlineStr">
        <is>
          <t>W4102652709</t>
        </is>
      </c>
      <c r="E1590" s="11" t="inlineStr">
        <is>
          <t>Rechtliche Auflagen / Entsorgungsnachweise (Formalismus)</t>
        </is>
      </c>
      <c r="F1590" s="10" t="inlineStr">
        <is>
          <t>Genehmigung</t>
        </is>
      </c>
      <c r="G1590" s="12" t="n">
        <v>0.4</v>
      </c>
      <c r="H1590" s="13" t="n">
        <v>95</v>
      </c>
      <c r="I1590" s="13" t="n">
        <v>185</v>
      </c>
      <c r="J1590" s="13" t="n">
        <v>350</v>
      </c>
      <c r="K1590" s="14">
        <f>IF(OR(COUNT(G1590:J1590)&lt;&gt;4,G1590&lt;0,G1590&gt;1,H1590&gt;I1590,I1590&gt;J1590),"n.a.",ROUND(G1590*(H1590+4*I1590+J1590)/6+0.00000001,2))</f>
        <v/>
      </c>
      <c r="L1590" s="13" t="n">
        <v>0</v>
      </c>
      <c r="M1590" s="14">
        <f>SUMIFS(Maßnahmen!$I$7:$I$126,Maßnahmen!$D$7:$D$126,C1590,Maßnahmen!$H$7:$H$126,"&lt;&gt;verworfen")</f>
        <v/>
      </c>
      <c r="N1590" s="14">
        <f>IF(ISNUMBER(K1590),MAX(0,K1590-L1590-M1590),"n.a.")</f>
        <v/>
      </c>
      <c r="O1590" s="14" t="n">
        <v>79</v>
      </c>
      <c r="P1590" s="14">
        <f>IF(ISNUMBER(K1590),K1590-O1590,"n.a.")</f>
        <v/>
      </c>
    </row>
    <row r="1591" ht="32" customHeight="1">
      <c r="C1591" s="10" t="inlineStr">
        <is>
          <t>PRJ-37eaec1d-RK-15</t>
        </is>
      </c>
      <c r="D1591" s="10" t="inlineStr">
        <is>
          <t>W4102652709</t>
        </is>
      </c>
      <c r="E1591" s="11" t="inlineStr">
        <is>
          <t>Konjunktur / Sekundärstoffpreise &amp; Gerätemiete</t>
        </is>
      </c>
      <c r="F1591" s="10" t="inlineStr">
        <is>
          <t>Markt</t>
        </is>
      </c>
      <c r="G1591" s="12" t="n">
        <v>0.12</v>
      </c>
      <c r="H1591" s="13" t="n">
        <v>8</v>
      </c>
      <c r="I1591" s="13" t="n">
        <v>20</v>
      </c>
      <c r="J1591" s="13" t="n">
        <v>50</v>
      </c>
      <c r="K1591" s="14">
        <f>IF(OR(COUNT(G1591:J1591)&lt;&gt;4,G1591&lt;0,G1591&gt;1,H1591&gt;I1591,I1591&gt;J1591),"n.a.",ROUND(G1591*(H1591+4*I1591+J1591)/6+0.00000001,2))</f>
        <v/>
      </c>
      <c r="L1591" s="13" t="n">
        <v>0</v>
      </c>
      <c r="M1591" s="14">
        <f>SUMIFS(Maßnahmen!$I$7:$I$126,Maßnahmen!$D$7:$D$126,C1591,Maßnahmen!$H$7:$H$126,"&lt;&gt;verworfen")</f>
        <v/>
      </c>
      <c r="N1591" s="14">
        <f>IF(ISNUMBER(K1591),MAX(0,K1591-L1591-M1591),"n.a.")</f>
        <v/>
      </c>
      <c r="O1591" s="14" t="n">
        <v>2.76</v>
      </c>
      <c r="P1591" s="14">
        <f>IF(ISNUMBER(K1591),K1591-O1591,"n.a.")</f>
        <v/>
      </c>
    </row>
    <row r="1592" ht="32" customHeight="1">
      <c r="C1592" s="10" t="inlineStr">
        <is>
          <t>PRJ-3d4db0d0-RK-13</t>
        </is>
      </c>
      <c r="D1592" s="10" t="inlineStr">
        <is>
          <t>W4102307411</t>
        </is>
      </c>
      <c r="E1592" s="11" t="inlineStr">
        <is>
          <t>Lärm- und Erschütterungsauflagen</t>
        </is>
      </c>
      <c r="F1592" s="10" t="inlineStr">
        <is>
          <t>Emissionen</t>
        </is>
      </c>
      <c r="G1592" s="12" t="n">
        <v>0.2</v>
      </c>
      <c r="H1592" s="13" t="n">
        <v>20</v>
      </c>
      <c r="I1592" s="13" t="n">
        <v>50</v>
      </c>
      <c r="J1592" s="13" t="n">
        <v>100</v>
      </c>
      <c r="K1592" s="14">
        <f>IF(OR(COUNT(G1592:J1592)&lt;&gt;4,G1592&lt;0,G1592&gt;1,H1592&gt;I1592,I1592&gt;J1592),"n.a.",ROUND(G1592*(H1592+4*I1592+J1592)/6+0.00000001,2))</f>
        <v/>
      </c>
      <c r="L1592" s="13" t="n">
        <v>0</v>
      </c>
      <c r="M1592" s="14">
        <f>SUMIFS(Maßnahmen!$I$7:$I$126,Maßnahmen!$D$7:$D$126,C1592,Maßnahmen!$H$7:$H$126,"&lt;&gt;verworfen")</f>
        <v/>
      </c>
      <c r="N1592" s="14">
        <f>IF(ISNUMBER(K1592),MAX(0,K1592-L1592-M1592),"n.a.")</f>
        <v/>
      </c>
      <c r="O1592" s="14" t="n">
        <v>10.67</v>
      </c>
      <c r="P1592" s="14">
        <f>IF(ISNUMBER(K1592),K1592-O1592,"n.a.")</f>
        <v/>
      </c>
    </row>
    <row r="1593" ht="32" customHeight="1">
      <c r="C1593" s="10" t="inlineStr">
        <is>
          <t>PRJ-3d4db0d0-RK-14</t>
        </is>
      </c>
      <c r="D1593" s="10" t="inlineStr">
        <is>
          <t>W4102307411</t>
        </is>
      </c>
      <c r="E1593" s="11" t="inlineStr">
        <is>
          <t>Rechtliche Auflagen / Entsorgungsnachweise (Formalismus)</t>
        </is>
      </c>
      <c r="F1593" s="10" t="inlineStr">
        <is>
          <t>Genehmigung</t>
        </is>
      </c>
      <c r="G1593" s="12" t="n">
        <v>0.4</v>
      </c>
      <c r="H1593" s="13" t="n">
        <v>95</v>
      </c>
      <c r="I1593" s="13" t="n">
        <v>185</v>
      </c>
      <c r="J1593" s="13" t="n">
        <v>350</v>
      </c>
      <c r="K1593" s="14">
        <f>IF(OR(COUNT(G1593:J1593)&lt;&gt;4,G1593&lt;0,G1593&gt;1,H1593&gt;I1593,I1593&gt;J1593),"n.a.",ROUND(G1593*(H1593+4*I1593+J1593)/6+0.00000001,2))</f>
        <v/>
      </c>
      <c r="L1593" s="13" t="n">
        <v>0</v>
      </c>
      <c r="M1593" s="14">
        <f>SUMIFS(Maßnahmen!$I$7:$I$126,Maßnahmen!$D$7:$D$126,C1593,Maßnahmen!$H$7:$H$126,"&lt;&gt;verworfen")</f>
        <v/>
      </c>
      <c r="N1593" s="14">
        <f>IF(ISNUMBER(K1593),MAX(0,K1593-L1593-M1593),"n.a.")</f>
        <v/>
      </c>
      <c r="O1593" s="14" t="n">
        <v>79</v>
      </c>
      <c r="P1593" s="14">
        <f>IF(ISNUMBER(K1593),K1593-O1593,"n.a.")</f>
        <v/>
      </c>
    </row>
    <row r="1594" ht="32" customHeight="1">
      <c r="C1594" s="10" t="inlineStr">
        <is>
          <t>PRJ-3d4db0d0-RK-15</t>
        </is>
      </c>
      <c r="D1594" s="10" t="inlineStr">
        <is>
          <t>W4102307411</t>
        </is>
      </c>
      <c r="E1594" s="11" t="inlineStr">
        <is>
          <t>Konjunktur / Sekundärstoffpreise &amp; Gerätemiete</t>
        </is>
      </c>
      <c r="F1594" s="10" t="inlineStr">
        <is>
          <t>Markt</t>
        </is>
      </c>
      <c r="G1594" s="12" t="n">
        <v>0.12</v>
      </c>
      <c r="H1594" s="13" t="n">
        <v>8</v>
      </c>
      <c r="I1594" s="13" t="n">
        <v>20</v>
      </c>
      <c r="J1594" s="13" t="n">
        <v>50</v>
      </c>
      <c r="K1594" s="14">
        <f>IF(OR(COUNT(G1594:J1594)&lt;&gt;4,G1594&lt;0,G1594&gt;1,H1594&gt;I1594,I1594&gt;J1594),"n.a.",ROUND(G1594*(H1594+4*I1594+J1594)/6+0.00000001,2))</f>
        <v/>
      </c>
      <c r="L1594" s="13" t="n">
        <v>0</v>
      </c>
      <c r="M1594" s="14">
        <f>SUMIFS(Maßnahmen!$I$7:$I$126,Maßnahmen!$D$7:$D$126,C1594,Maßnahmen!$H$7:$H$126,"&lt;&gt;verworfen")</f>
        <v/>
      </c>
      <c r="N1594" s="14">
        <f>IF(ISNUMBER(K1594),MAX(0,K1594-L1594-M1594),"n.a.")</f>
        <v/>
      </c>
      <c r="O1594" s="14" t="n">
        <v>2.76</v>
      </c>
      <c r="P1594" s="14">
        <f>IF(ISNUMBER(K1594),K1594-O1594,"n.a.")</f>
        <v/>
      </c>
    </row>
    <row r="1595" ht="32" customHeight="1">
      <c r="C1595" s="10" t="inlineStr">
        <is>
          <t>PRJ-4a292754-RK-11</t>
        </is>
      </c>
      <c r="D1595" s="10" t="inlineStr">
        <is>
          <t>P4102658259</t>
        </is>
      </c>
      <c r="E1595" s="11" t="inlineStr">
        <is>
          <t>Witterung / Ablaufstörung</t>
        </is>
      </c>
      <c r="F1595" s="10" t="inlineStr">
        <is>
          <t>Termin</t>
        </is>
      </c>
      <c r="G1595" s="12" t="n">
        <v>0.25</v>
      </c>
      <c r="H1595" s="13" t="n">
        <v>35</v>
      </c>
      <c r="I1595" s="13" t="n">
        <v>105</v>
      </c>
      <c r="J1595" s="13" t="n">
        <v>210</v>
      </c>
      <c r="K1595" s="14">
        <f>IF(OR(COUNT(G1595:J1595)&lt;&gt;4,G1595&lt;0,G1595&gt;1,H1595&gt;I1595,I1595&gt;J1595),"n.a.",ROUND(G1595*(H1595+4*I1595+J1595)/6+0.00000001,2))</f>
        <v/>
      </c>
      <c r="L1595" s="13" t="n">
        <v>0</v>
      </c>
      <c r="M1595" s="14">
        <f>SUMIFS(Maßnahmen!$I$7:$I$126,Maßnahmen!$D$7:$D$126,C1595,Maßnahmen!$H$7:$H$126,"&lt;&gt;verworfen")</f>
        <v/>
      </c>
      <c r="N1595" s="14">
        <f>IF(ISNUMBER(K1595),MAX(0,K1595-L1595-M1595),"n.a.")</f>
        <v/>
      </c>
      <c r="O1595" s="14" t="n">
        <v>27.71</v>
      </c>
      <c r="P1595" s="14">
        <f>IF(ISNUMBER(K1595),K1595-O1595,"n.a.")</f>
        <v/>
      </c>
    </row>
    <row r="1596" ht="32" customHeight="1">
      <c r="C1596" s="10" t="inlineStr">
        <is>
          <t>PRJ-40723646-RK-01</t>
        </is>
      </c>
      <c r="D1596" s="10" t="inlineStr">
        <is>
          <t>W4102154961</t>
        </is>
      </c>
      <c r="E1596" s="11" t="inlineStr">
        <is>
          <t>Schadstofffund / Schadstoffsanierung (Asbest, PAK, PCB, PCP)</t>
        </is>
      </c>
      <c r="F1596" s="10" t="inlineStr">
        <is>
          <t>Schadstoffe</t>
        </is>
      </c>
      <c r="G1596" s="12" t="n">
        <v>0.1</v>
      </c>
      <c r="H1596" s="13" t="n">
        <v>54</v>
      </c>
      <c r="I1596" s="13" t="n">
        <v>135</v>
      </c>
      <c r="J1596" s="13" t="n">
        <v>270</v>
      </c>
      <c r="K1596" s="14">
        <f>IF(OR(COUNT(G1596:J1596)&lt;&gt;4,G1596&lt;0,G1596&gt;1,H1596&gt;I1596,I1596&gt;J1596),"n.a.",ROUND(G1596*(H1596+4*I1596+J1596)/6+0.00000001,2))</f>
        <v/>
      </c>
      <c r="L1596" s="13" t="n">
        <v>0</v>
      </c>
      <c r="M1596" s="14">
        <f>SUMIFS(Maßnahmen!$I$7:$I$126,Maßnahmen!$D$7:$D$126,C1596,Maßnahmen!$H$7:$H$126,"&lt;&gt;verworfen")</f>
        <v/>
      </c>
      <c r="N1596" s="14">
        <f>IF(ISNUMBER(K1596),MAX(0,K1596-L1596-M1596),"n.a.")</f>
        <v/>
      </c>
      <c r="O1596" s="14" t="n">
        <v>14.4</v>
      </c>
      <c r="P1596" s="14">
        <f>IF(ISNUMBER(K1596),K1596-O1596,"n.a.")</f>
        <v/>
      </c>
    </row>
    <row r="1597" ht="32" customHeight="1">
      <c r="C1597" s="10" t="inlineStr">
        <is>
          <t>PRJ-40723646-RK-02</t>
        </is>
      </c>
      <c r="D1597" s="10" t="inlineStr">
        <is>
          <t>W4102154961</t>
        </is>
      </c>
      <c r="E1597" s="11" t="inlineStr">
        <is>
          <t>Arbeitsschutz kontaminierte Bereiche (TRGS 524)</t>
        </is>
      </c>
      <c r="F1597" s="10" t="inlineStr">
        <is>
          <t>Schadstoffe</t>
        </is>
      </c>
      <c r="G1597" s="12" t="n">
        <v>0.47</v>
      </c>
      <c r="H1597" s="13" t="n">
        <v>54</v>
      </c>
      <c r="I1597" s="13" t="n">
        <v>135</v>
      </c>
      <c r="J1597" s="13" t="n">
        <v>270</v>
      </c>
      <c r="K1597" s="14">
        <f>IF(OR(COUNT(G1597:J1597)&lt;&gt;4,G1597&lt;0,G1597&gt;1,H1597&gt;I1597,I1597&gt;J1597),"n.a.",ROUND(G1597*(H1597+4*I1597+J1597)/6+0.00000001,2))</f>
        <v/>
      </c>
      <c r="L1597" s="13" t="n">
        <v>0</v>
      </c>
      <c r="M1597" s="14">
        <f>SUMIFS(Maßnahmen!$I$7:$I$126,Maßnahmen!$D$7:$D$126,C1597,Maßnahmen!$H$7:$H$126,"&lt;&gt;verworfen")</f>
        <v/>
      </c>
      <c r="N1597" s="14">
        <f>IF(ISNUMBER(K1597),MAX(0,K1597-L1597-M1597),"n.a.")</f>
        <v/>
      </c>
      <c r="O1597" s="14" t="n">
        <v>67.68000000000001</v>
      </c>
      <c r="P1597" s="14">
        <f>IF(ISNUMBER(K1597),K1597-O1597,"n.a.")</f>
        <v/>
      </c>
    </row>
    <row r="1598" ht="32" customHeight="1">
      <c r="C1598" s="10" t="inlineStr">
        <is>
          <t>PRJ-40723646-RK-03</t>
        </is>
      </c>
      <c r="D1598" s="10" t="inlineStr">
        <is>
          <t>W4102154961</t>
        </is>
      </c>
      <c r="E1598" s="11" t="inlineStr">
        <is>
          <t>Entsorgungs-Mehrkosten / Entsorgungswege</t>
        </is>
      </c>
      <c r="F1598" s="10" t="inlineStr">
        <is>
          <t>Entsorgung</t>
        </is>
      </c>
      <c r="G1598" s="12" t="n">
        <v>0.15</v>
      </c>
      <c r="H1598" s="13" t="n">
        <v>54</v>
      </c>
      <c r="I1598" s="13" t="n">
        <v>135</v>
      </c>
      <c r="J1598" s="13" t="n">
        <v>270</v>
      </c>
      <c r="K1598" s="14">
        <f>IF(OR(COUNT(G1598:J1598)&lt;&gt;4,G1598&lt;0,G1598&gt;1,H1598&gt;I1598,I1598&gt;J1598),"n.a.",ROUND(G1598*(H1598+4*I1598+J1598)/6+0.00000001,2))</f>
        <v/>
      </c>
      <c r="L1598" s="13" t="n">
        <v>0</v>
      </c>
      <c r="M1598" s="14">
        <f>SUMIFS(Maßnahmen!$I$7:$I$126,Maßnahmen!$D$7:$D$126,C1598,Maßnahmen!$H$7:$H$126,"&lt;&gt;verworfen")</f>
        <v/>
      </c>
      <c r="N1598" s="14">
        <f>IF(ISNUMBER(K1598),MAX(0,K1598-L1598-M1598),"n.a.")</f>
        <v/>
      </c>
      <c r="O1598" s="14" t="n">
        <v>21.6</v>
      </c>
      <c r="P1598" s="14">
        <f>IF(ISNUMBER(K1598),K1598-O1598,"n.a.")</f>
        <v/>
      </c>
    </row>
    <row r="1599" ht="32" customHeight="1">
      <c r="C1599" s="10" t="inlineStr">
        <is>
          <t>PRJ-40723646-RK-04</t>
        </is>
      </c>
      <c r="D1599" s="10" t="inlineStr">
        <is>
          <t>W4102154961</t>
        </is>
      </c>
      <c r="E1599" s="11" t="inlineStr">
        <is>
          <t>Baustofftrennung / Aufbereitung nicht wie geplant</t>
        </is>
      </c>
      <c r="F1599" s="10" t="inlineStr">
        <is>
          <t>Entsorgung</t>
        </is>
      </c>
      <c r="G1599" s="12" t="n">
        <v>0.1</v>
      </c>
      <c r="H1599" s="13" t="n">
        <v>54</v>
      </c>
      <c r="I1599" s="13" t="n">
        <v>135</v>
      </c>
      <c r="J1599" s="13" t="n">
        <v>270</v>
      </c>
      <c r="K1599" s="14">
        <f>IF(OR(COUNT(G1599:J1599)&lt;&gt;4,G1599&lt;0,G1599&gt;1,H1599&gt;I1599,I1599&gt;J1599),"n.a.",ROUND(G1599*(H1599+4*I1599+J1599)/6+0.00000001,2))</f>
        <v/>
      </c>
      <c r="L1599" s="13" t="n">
        <v>0</v>
      </c>
      <c r="M1599" s="14">
        <f>SUMIFS(Maßnahmen!$I$7:$I$126,Maßnahmen!$D$7:$D$126,C1599,Maßnahmen!$H$7:$H$126,"&lt;&gt;verworfen")</f>
        <v/>
      </c>
      <c r="N1599" s="14">
        <f>IF(ISNUMBER(K1599),MAX(0,K1599-L1599-M1599),"n.a.")</f>
        <v/>
      </c>
      <c r="O1599" s="14" t="n">
        <v>14.4</v>
      </c>
      <c r="P1599" s="14">
        <f>IF(ISNUMBER(K1599),K1599-O1599,"n.a.")</f>
        <v/>
      </c>
    </row>
    <row r="1600" ht="32" customHeight="1">
      <c r="C1600" s="10" t="inlineStr">
        <is>
          <t>PRJ-40723646-RK-05</t>
        </is>
      </c>
      <c r="D1600" s="10" t="inlineStr">
        <is>
          <t>W4102154961</t>
        </is>
      </c>
      <c r="E1600" s="11" t="inlineStr">
        <is>
          <t>Unbekannte Bauwerkskonstruktion / fehlende Pläne</t>
        </is>
      </c>
      <c r="F1600" s="10" t="inlineStr">
        <is>
          <t>Statik</t>
        </is>
      </c>
      <c r="G1600" s="12" t="n">
        <v>0.12</v>
      </c>
      <c r="H1600" s="13" t="n">
        <v>108</v>
      </c>
      <c r="I1600" s="13" t="n">
        <v>216</v>
      </c>
      <c r="J1600" s="13" t="n">
        <v>405</v>
      </c>
      <c r="K1600" s="14">
        <f>IF(OR(COUNT(G1600:J1600)&lt;&gt;4,G1600&lt;0,G1600&gt;1,H1600&gt;I1600,I1600&gt;J1600),"n.a.",ROUND(G1600*(H1600+4*I1600+J1600)/6+0.00000001,2))</f>
        <v/>
      </c>
      <c r="L1600" s="13" t="n">
        <v>0</v>
      </c>
      <c r="M1600" s="14">
        <f>SUMIFS(Maßnahmen!$I$7:$I$126,Maßnahmen!$D$7:$D$126,C1600,Maßnahmen!$H$7:$H$126,"&lt;&gt;verworfen")</f>
        <v/>
      </c>
      <c r="N1600" s="14">
        <f>IF(ISNUMBER(K1600),MAX(0,K1600-L1600-M1600),"n.a.")</f>
        <v/>
      </c>
      <c r="O1600" s="14" t="n">
        <v>27.54</v>
      </c>
      <c r="P1600" s="14">
        <f>IF(ISNUMBER(K1600),K1600-O1600,"n.a.")</f>
        <v/>
      </c>
    </row>
    <row r="1601" ht="32" customHeight="1">
      <c r="C1601" s="10" t="inlineStr">
        <is>
          <t>PRJ-40723646-RK-06</t>
        </is>
      </c>
      <c r="D1601" s="10" t="inlineStr">
        <is>
          <t>W4102154961</t>
        </is>
      </c>
      <c r="E1601" s="11" t="inlineStr">
        <is>
          <t>Statik / Einsturzsicherung während Abbruch</t>
        </is>
      </c>
      <c r="F1601" s="10" t="inlineStr">
        <is>
          <t>Statik</t>
        </is>
      </c>
      <c r="G1601" s="12" t="n">
        <v>0.12</v>
      </c>
      <c r="H1601" s="13" t="n">
        <v>81</v>
      </c>
      <c r="I1601" s="13" t="n">
        <v>189</v>
      </c>
      <c r="J1601" s="13" t="n">
        <v>378</v>
      </c>
      <c r="K1601" s="14">
        <f>IF(OR(COUNT(G1601:J1601)&lt;&gt;4,G1601&lt;0,G1601&gt;1,H1601&gt;I1601,I1601&gt;J1601),"n.a.",ROUND(G1601*(H1601+4*I1601+J1601)/6+0.00000001,2))</f>
        <v/>
      </c>
      <c r="L1601" s="13" t="n">
        <v>0</v>
      </c>
      <c r="M1601" s="14">
        <f>SUMIFS(Maßnahmen!$I$7:$I$126,Maßnahmen!$D$7:$D$126,C1601,Maßnahmen!$H$7:$H$126,"&lt;&gt;verworfen")</f>
        <v/>
      </c>
      <c r="N1601" s="14">
        <f>IF(ISNUMBER(K1601),MAX(0,K1601-L1601-M1601),"n.a.")</f>
        <v/>
      </c>
      <c r="O1601" s="14" t="n">
        <v>24.3</v>
      </c>
      <c r="P1601" s="14">
        <f>IF(ISNUMBER(K1601),K1601-O1601,"n.a.")</f>
        <v/>
      </c>
    </row>
    <row r="1602" ht="32" customHeight="1">
      <c r="C1602" s="10" t="inlineStr">
        <is>
          <t>PRJ-40723646-RK-07</t>
        </is>
      </c>
      <c r="D1602" s="10" t="inlineStr">
        <is>
          <t>W4102154961</t>
        </is>
      </c>
      <c r="E1602" s="11" t="inlineStr">
        <is>
          <t>Unterirdische Tragkonstruktion / Fundamente</t>
        </is>
      </c>
      <c r="F1602" s="10" t="inlineStr">
        <is>
          <t>Statik</t>
        </is>
      </c>
      <c r="G1602" s="12" t="n">
        <v>0.5</v>
      </c>
      <c r="H1602" s="13" t="n">
        <v>14</v>
      </c>
      <c r="I1602" s="13" t="n">
        <v>54</v>
      </c>
      <c r="J1602" s="13" t="n">
        <v>135</v>
      </c>
      <c r="K1602" s="14">
        <f>IF(OR(COUNT(G1602:J1602)&lt;&gt;4,G1602&lt;0,G1602&gt;1,H1602&gt;I1602,I1602&gt;J1602),"n.a.",ROUND(G1602*(H1602+4*I1602+J1602)/6+0.00000001,2))</f>
        <v/>
      </c>
      <c r="L1602" s="13" t="n">
        <v>0</v>
      </c>
      <c r="M1602" s="14">
        <f>SUMIFS(Maßnahmen!$I$7:$I$126,Maßnahmen!$D$7:$D$126,C1602,Maßnahmen!$H$7:$H$126,"&lt;&gt;verworfen")</f>
        <v/>
      </c>
      <c r="N1602" s="14">
        <f>IF(ISNUMBER(K1602),MAX(0,K1602-L1602-M1602),"n.a.")</f>
        <v/>
      </c>
      <c r="O1602" s="14" t="n">
        <v>30.42</v>
      </c>
      <c r="P1602" s="14">
        <f>IF(ISNUMBER(K1602),K1602-O1602,"n.a.")</f>
        <v/>
      </c>
    </row>
    <row r="1603" ht="32" customHeight="1">
      <c r="C1603" s="10" t="inlineStr">
        <is>
          <t>PRJ-52b1cf53-RK-01</t>
        </is>
      </c>
      <c r="D1603" s="10" t="inlineStr">
        <is>
          <t>P4102157452</t>
        </is>
      </c>
      <c r="E1603" s="11" t="inlineStr">
        <is>
          <t>Schadstofffund / Schadstoffsanierung (Asbest, PAK, PCB, PCP)</t>
        </is>
      </c>
      <c r="F1603" s="10" t="inlineStr">
        <is>
          <t>Schadstoffe</t>
        </is>
      </c>
      <c r="G1603" s="12" t="n">
        <v>0.7</v>
      </c>
      <c r="H1603" s="13" t="n">
        <v>812</v>
      </c>
      <c r="I1603" s="13" t="n">
        <v>1531</v>
      </c>
      <c r="J1603" s="13" t="n">
        <v>2778</v>
      </c>
      <c r="K1603" s="14">
        <f>IF(OR(COUNT(G1603:J1603)&lt;&gt;4,G1603&lt;0,G1603&gt;1,H1603&gt;I1603,I1603&gt;J1603),"n.a.",ROUND(G1603*(H1603+4*I1603+J1603)/6+0.00000001,2))</f>
        <v/>
      </c>
      <c r="L1603" s="13" t="n">
        <v>0</v>
      </c>
      <c r="M1603" s="14">
        <f>SUMIFS(Maßnahmen!$I$7:$I$126,Maßnahmen!$D$7:$D$126,C1603,Maßnahmen!$H$7:$H$126,"&lt;&gt;verworfen")</f>
        <v/>
      </c>
      <c r="N1603" s="14">
        <f>IF(ISNUMBER(K1603),MAX(0,K1603-L1603-M1603),"n.a.")</f>
        <v/>
      </c>
      <c r="O1603" s="14" t="n">
        <v>1133.3</v>
      </c>
      <c r="P1603" s="14">
        <f>IF(ISNUMBER(K1603),K1603-O1603,"n.a.")</f>
        <v/>
      </c>
    </row>
    <row r="1604" ht="32" customHeight="1">
      <c r="C1604" s="10" t="inlineStr">
        <is>
          <t>PRJ-52b1cf53-RK-02</t>
        </is>
      </c>
      <c r="D1604" s="10" t="inlineStr">
        <is>
          <t>P4102157452</t>
        </is>
      </c>
      <c r="E1604" s="11" t="inlineStr">
        <is>
          <t>Arbeitsschutz kontaminierte Bereiche (TRGS 524)</t>
        </is>
      </c>
      <c r="F1604" s="10" t="inlineStr">
        <is>
          <t>Schadstoffe</t>
        </is>
      </c>
      <c r="G1604" s="12" t="n">
        <v>0.47</v>
      </c>
      <c r="H1604" s="13" t="n">
        <v>100</v>
      </c>
      <c r="I1604" s="13" t="n">
        <v>250</v>
      </c>
      <c r="J1604" s="13" t="n">
        <v>500</v>
      </c>
      <c r="K1604" s="14">
        <f>IF(OR(COUNT(G1604:J1604)&lt;&gt;4,G1604&lt;0,G1604&gt;1,H1604&gt;I1604,I1604&gt;J1604),"n.a.",ROUND(G1604*(H1604+4*I1604+J1604)/6+0.00000001,2))</f>
        <v/>
      </c>
      <c r="L1604" s="13" t="n">
        <v>0</v>
      </c>
      <c r="M1604" s="14">
        <f>SUMIFS(Maßnahmen!$I$7:$I$126,Maßnahmen!$D$7:$D$126,C1604,Maßnahmen!$H$7:$H$126,"&lt;&gt;verworfen")</f>
        <v/>
      </c>
      <c r="N1604" s="14">
        <f>IF(ISNUMBER(K1604),MAX(0,K1604-L1604-M1604),"n.a.")</f>
        <v/>
      </c>
      <c r="O1604" s="14" t="n">
        <v>125.33</v>
      </c>
      <c r="P1604" s="14">
        <f>IF(ISNUMBER(K1604),K1604-O1604,"n.a.")</f>
        <v/>
      </c>
    </row>
    <row r="1605" ht="32" customHeight="1">
      <c r="C1605" s="10" t="inlineStr">
        <is>
          <t>PRJ-52b1cf53-RK-03</t>
        </is>
      </c>
      <c r="D1605" s="10" t="inlineStr">
        <is>
          <t>P4102157452</t>
        </is>
      </c>
      <c r="E1605" s="11" t="inlineStr">
        <is>
          <t>Entsorgungs-Mehrkosten / Entsorgungswege</t>
        </is>
      </c>
      <c r="F1605" s="10" t="inlineStr">
        <is>
          <t>Entsorgung</t>
        </is>
      </c>
      <c r="G1605" s="12" t="n">
        <v>0.27</v>
      </c>
      <c r="H1605" s="13" t="n">
        <v>100</v>
      </c>
      <c r="I1605" s="13" t="n">
        <v>250</v>
      </c>
      <c r="J1605" s="13" t="n">
        <v>500</v>
      </c>
      <c r="K1605" s="14">
        <f>IF(OR(COUNT(G1605:J1605)&lt;&gt;4,G1605&lt;0,G1605&gt;1,H1605&gt;I1605,I1605&gt;J1605),"n.a.",ROUND(G1605*(H1605+4*I1605+J1605)/6+0.00000001,2))</f>
        <v/>
      </c>
      <c r="L1605" s="13" t="n">
        <v>0</v>
      </c>
      <c r="M1605" s="14">
        <f>SUMIFS(Maßnahmen!$I$7:$I$126,Maßnahmen!$D$7:$D$126,C1605,Maßnahmen!$H$7:$H$126,"&lt;&gt;verworfen")</f>
        <v/>
      </c>
      <c r="N1605" s="14">
        <f>IF(ISNUMBER(K1605),MAX(0,K1605-L1605-M1605),"n.a.")</f>
        <v/>
      </c>
      <c r="O1605" s="14" t="n">
        <v>72</v>
      </c>
      <c r="P1605" s="14">
        <f>IF(ISNUMBER(K1605),K1605-O1605,"n.a.")</f>
        <v/>
      </c>
    </row>
    <row r="1606" ht="32" customHeight="1">
      <c r="C1606" s="10" t="inlineStr">
        <is>
          <t>PRJ-52b1cf53-RK-04</t>
        </is>
      </c>
      <c r="D1606" s="10" t="inlineStr">
        <is>
          <t>P4102157452</t>
        </is>
      </c>
      <c r="E1606" s="11" t="inlineStr">
        <is>
          <t>Baustofftrennung / Aufbereitung nicht wie geplant</t>
        </is>
      </c>
      <c r="F1606" s="10" t="inlineStr">
        <is>
          <t>Entsorgung</t>
        </is>
      </c>
      <c r="G1606" s="12" t="n">
        <v>0.1</v>
      </c>
      <c r="H1606" s="13" t="n">
        <v>100</v>
      </c>
      <c r="I1606" s="13" t="n">
        <v>250</v>
      </c>
      <c r="J1606" s="13" t="n">
        <v>500</v>
      </c>
      <c r="K1606" s="14">
        <f>IF(OR(COUNT(G1606:J1606)&lt;&gt;4,G1606&lt;0,G1606&gt;1,H1606&gt;I1606,I1606&gt;J1606),"n.a.",ROUND(G1606*(H1606+4*I1606+J1606)/6+0.00000001,2))</f>
        <v/>
      </c>
      <c r="L1606" s="13" t="n">
        <v>0</v>
      </c>
      <c r="M1606" s="14">
        <f>SUMIFS(Maßnahmen!$I$7:$I$126,Maßnahmen!$D$7:$D$126,C1606,Maßnahmen!$H$7:$H$126,"&lt;&gt;verworfen")</f>
        <v/>
      </c>
      <c r="N1606" s="14">
        <f>IF(ISNUMBER(K1606),MAX(0,K1606-L1606-M1606),"n.a.")</f>
        <v/>
      </c>
      <c r="O1606" s="14" t="n">
        <v>26.67</v>
      </c>
      <c r="P1606" s="14">
        <f>IF(ISNUMBER(K1606),K1606-O1606,"n.a.")</f>
        <v/>
      </c>
    </row>
    <row r="1607" ht="32" customHeight="1">
      <c r="C1607" s="10" t="inlineStr">
        <is>
          <t>PRJ-52b1cfa9-RK-13</t>
        </is>
      </c>
      <c r="D1607" s="10" t="inlineStr">
        <is>
          <t>P4102157429</t>
        </is>
      </c>
      <c r="E1607" s="11" t="inlineStr">
        <is>
          <t>Lärm- und Erschütterungsauflagen</t>
        </is>
      </c>
      <c r="F1607" s="10" t="inlineStr">
        <is>
          <t>Emissionen</t>
        </is>
      </c>
      <c r="G1607" s="12" t="n">
        <v>0.2</v>
      </c>
      <c r="H1607" s="13" t="n">
        <v>20</v>
      </c>
      <c r="I1607" s="13" t="n">
        <v>50</v>
      </c>
      <c r="J1607" s="13" t="n">
        <v>100</v>
      </c>
      <c r="K1607" s="14">
        <f>IF(OR(COUNT(G1607:J1607)&lt;&gt;4,G1607&lt;0,G1607&gt;1,H1607&gt;I1607,I1607&gt;J1607),"n.a.",ROUND(G1607*(H1607+4*I1607+J1607)/6+0.00000001,2))</f>
        <v/>
      </c>
      <c r="L1607" s="13" t="n">
        <v>0</v>
      </c>
      <c r="M1607" s="14">
        <f>SUMIFS(Maßnahmen!$I$7:$I$126,Maßnahmen!$D$7:$D$126,C1607,Maßnahmen!$H$7:$H$126,"&lt;&gt;verworfen")</f>
        <v/>
      </c>
      <c r="N1607" s="14">
        <f>IF(ISNUMBER(K1607),MAX(0,K1607-L1607-M1607),"n.a.")</f>
        <v/>
      </c>
      <c r="O1607" s="14" t="n">
        <v>10.67</v>
      </c>
      <c r="P1607" s="14">
        <f>IF(ISNUMBER(K1607),K1607-O1607,"n.a.")</f>
        <v/>
      </c>
    </row>
    <row r="1608" ht="32" customHeight="1">
      <c r="C1608" s="10" t="inlineStr">
        <is>
          <t>PRJ-4a292759-RK-01</t>
        </is>
      </c>
      <c r="D1608" s="10" t="inlineStr">
        <is>
          <t>P4102658254</t>
        </is>
      </c>
      <c r="E1608" s="11" t="inlineStr">
        <is>
          <t>Schadstofffund / Schadstoffsanierung (Asbest, PAK, PCB, PCP)</t>
        </is>
      </c>
      <c r="F1608" s="10" t="inlineStr">
        <is>
          <t>Schadstoffe</t>
        </is>
      </c>
      <c r="G1608" s="12" t="n">
        <v>0.1</v>
      </c>
      <c r="H1608" s="13" t="n">
        <v>20</v>
      </c>
      <c r="I1608" s="13" t="n">
        <v>50</v>
      </c>
      <c r="J1608" s="13" t="n">
        <v>100</v>
      </c>
      <c r="K1608" s="14">
        <f>IF(OR(COUNT(G1608:J1608)&lt;&gt;4,G1608&lt;0,G1608&gt;1,H1608&gt;I1608,I1608&gt;J1608),"n.a.",ROUND(G1608*(H1608+4*I1608+J1608)/6+0.00000001,2))</f>
        <v/>
      </c>
      <c r="L1608" s="13" t="n">
        <v>0</v>
      </c>
      <c r="M1608" s="14">
        <f>SUMIFS(Maßnahmen!$I$7:$I$126,Maßnahmen!$D$7:$D$126,C1608,Maßnahmen!$H$7:$H$126,"&lt;&gt;verworfen")</f>
        <v/>
      </c>
      <c r="N1608" s="14">
        <f>IF(ISNUMBER(K1608),MAX(0,K1608-L1608-M1608),"n.a.")</f>
        <v/>
      </c>
      <c r="O1608" s="14" t="n">
        <v>5.33</v>
      </c>
      <c r="P1608" s="14">
        <f>IF(ISNUMBER(K1608),K1608-O1608,"n.a.")</f>
        <v/>
      </c>
    </row>
    <row r="1609" ht="32" customHeight="1">
      <c r="C1609" s="10" t="inlineStr">
        <is>
          <t>PRJ-4a292759-RK-02</t>
        </is>
      </c>
      <c r="D1609" s="10" t="inlineStr">
        <is>
          <t>P4102658254</t>
        </is>
      </c>
      <c r="E1609" s="11" t="inlineStr">
        <is>
          <t>Arbeitsschutz kontaminierte Bereiche (TRGS 524)</t>
        </is>
      </c>
      <c r="F1609" s="10" t="inlineStr">
        <is>
          <t>Schadstoffe</t>
        </is>
      </c>
      <c r="G1609" s="12" t="n">
        <v>0.12</v>
      </c>
      <c r="H1609" s="13" t="n">
        <v>20</v>
      </c>
      <c r="I1609" s="13" t="n">
        <v>50</v>
      </c>
      <c r="J1609" s="13" t="n">
        <v>100</v>
      </c>
      <c r="K1609" s="14">
        <f>IF(OR(COUNT(G1609:J1609)&lt;&gt;4,G1609&lt;0,G1609&gt;1,H1609&gt;I1609,I1609&gt;J1609),"n.a.",ROUND(G1609*(H1609+4*I1609+J1609)/6+0.00000001,2))</f>
        <v/>
      </c>
      <c r="L1609" s="13" t="n">
        <v>0</v>
      </c>
      <c r="M1609" s="14">
        <f>SUMIFS(Maßnahmen!$I$7:$I$126,Maßnahmen!$D$7:$D$126,C1609,Maßnahmen!$H$7:$H$126,"&lt;&gt;verworfen")</f>
        <v/>
      </c>
      <c r="N1609" s="14">
        <f>IF(ISNUMBER(K1609),MAX(0,K1609-L1609-M1609),"n.a.")</f>
        <v/>
      </c>
      <c r="O1609" s="14" t="n">
        <v>6.4</v>
      </c>
      <c r="P1609" s="14">
        <f>IF(ISNUMBER(K1609),K1609-O1609,"n.a.")</f>
        <v/>
      </c>
    </row>
    <row r="1610" ht="32" customHeight="1">
      <c r="C1610" s="10" t="inlineStr">
        <is>
          <t>PRJ-4a292759-RK-03</t>
        </is>
      </c>
      <c r="D1610" s="10" t="inlineStr">
        <is>
          <t>P4102658254</t>
        </is>
      </c>
      <c r="E1610" s="11" t="inlineStr">
        <is>
          <t>Entsorgungs-Mehrkosten / Entsorgungswege</t>
        </is>
      </c>
      <c r="F1610" s="10" t="inlineStr">
        <is>
          <t>Entsorgung</t>
        </is>
      </c>
      <c r="G1610" s="12" t="n">
        <v>0.55</v>
      </c>
      <c r="H1610" s="13" t="n">
        <v>220</v>
      </c>
      <c r="I1610" s="13" t="n">
        <v>400</v>
      </c>
      <c r="J1610" s="13" t="n">
        <v>650</v>
      </c>
      <c r="K1610" s="14">
        <f>IF(OR(COUNT(G1610:J1610)&lt;&gt;4,G1610&lt;0,G1610&gt;1,H1610&gt;I1610,I1610&gt;J1610),"n.a.",ROUND(G1610*(H1610+4*I1610+J1610)/6+0.00000001,2))</f>
        <v/>
      </c>
      <c r="L1610" s="13" t="n">
        <v>0</v>
      </c>
      <c r="M1610" s="14">
        <f>SUMIFS(Maßnahmen!$I$7:$I$126,Maßnahmen!$D$7:$D$126,C1610,Maßnahmen!$H$7:$H$126,"&lt;&gt;verworfen")</f>
        <v/>
      </c>
      <c r="N1610" s="14">
        <f>IF(ISNUMBER(K1610),MAX(0,K1610-L1610-M1610),"n.a.")</f>
        <v/>
      </c>
      <c r="O1610" s="14" t="n">
        <v>226.42</v>
      </c>
      <c r="P1610" s="14">
        <f>IF(ISNUMBER(K1610),K1610-O1610,"n.a.")</f>
        <v/>
      </c>
    </row>
    <row r="1611" ht="32" customHeight="1">
      <c r="C1611" s="10" t="inlineStr">
        <is>
          <t>PRJ-4a292759-RK-04</t>
        </is>
      </c>
      <c r="D1611" s="10" t="inlineStr">
        <is>
          <t>P4102658254</t>
        </is>
      </c>
      <c r="E1611" s="11" t="inlineStr">
        <is>
          <t>Baustofftrennung / Aufbereitung nicht wie geplant</t>
        </is>
      </c>
      <c r="F1611" s="10" t="inlineStr">
        <is>
          <t>Entsorgung</t>
        </is>
      </c>
      <c r="G1611" s="12" t="n">
        <v>0.1</v>
      </c>
      <c r="H1611" s="13" t="n">
        <v>20</v>
      </c>
      <c r="I1611" s="13" t="n">
        <v>50</v>
      </c>
      <c r="J1611" s="13" t="n">
        <v>100</v>
      </c>
      <c r="K1611" s="14">
        <f>IF(OR(COUNT(G1611:J1611)&lt;&gt;4,G1611&lt;0,G1611&gt;1,H1611&gt;I1611,I1611&gt;J1611),"n.a.",ROUND(G1611*(H1611+4*I1611+J1611)/6+0.00000001,2))</f>
        <v/>
      </c>
      <c r="L1611" s="13" t="n">
        <v>0</v>
      </c>
      <c r="M1611" s="14">
        <f>SUMIFS(Maßnahmen!$I$7:$I$126,Maßnahmen!$D$7:$D$126,C1611,Maßnahmen!$H$7:$H$126,"&lt;&gt;verworfen")</f>
        <v/>
      </c>
      <c r="N1611" s="14">
        <f>IF(ISNUMBER(K1611),MAX(0,K1611-L1611-M1611),"n.a.")</f>
        <v/>
      </c>
      <c r="O1611" s="14" t="n">
        <v>5.33</v>
      </c>
      <c r="P1611" s="14">
        <f>IF(ISNUMBER(K1611),K1611-O1611,"n.a.")</f>
        <v/>
      </c>
    </row>
    <row r="1612" ht="32" customHeight="1">
      <c r="C1612" s="10" t="inlineStr">
        <is>
          <t>PRJ-4a292759-RK-05</t>
        </is>
      </c>
      <c r="D1612" s="10" t="inlineStr">
        <is>
          <t>P4102658254</t>
        </is>
      </c>
      <c r="E1612" s="11" t="inlineStr">
        <is>
          <t>Unbekannte Bauwerkskonstruktion / fehlende Pläne</t>
        </is>
      </c>
      <c r="F1612" s="10" t="inlineStr">
        <is>
          <t>Statik</t>
        </is>
      </c>
      <c r="G1612" s="12" t="n">
        <v>0.12</v>
      </c>
      <c r="H1612" s="13" t="n">
        <v>40</v>
      </c>
      <c r="I1612" s="13" t="n">
        <v>80</v>
      </c>
      <c r="J1612" s="13" t="n">
        <v>150</v>
      </c>
      <c r="K1612" s="14">
        <f>IF(OR(COUNT(G1612:J1612)&lt;&gt;4,G1612&lt;0,G1612&gt;1,H1612&gt;I1612,I1612&gt;J1612),"n.a.",ROUND(G1612*(H1612+4*I1612+J1612)/6+0.00000001,2))</f>
        <v/>
      </c>
      <c r="L1612" s="13" t="n">
        <v>0</v>
      </c>
      <c r="M1612" s="14">
        <f>SUMIFS(Maßnahmen!$I$7:$I$126,Maßnahmen!$D$7:$D$126,C1612,Maßnahmen!$H$7:$H$126,"&lt;&gt;verworfen")</f>
        <v/>
      </c>
      <c r="N1612" s="14">
        <f>IF(ISNUMBER(K1612),MAX(0,K1612-L1612-M1612),"n.a.")</f>
        <v/>
      </c>
      <c r="O1612" s="14" t="n">
        <v>10.2</v>
      </c>
      <c r="P1612" s="14">
        <f>IF(ISNUMBER(K1612),K1612-O1612,"n.a.")</f>
        <v/>
      </c>
    </row>
    <row r="1613" ht="32" customHeight="1">
      <c r="C1613" s="10" t="inlineStr">
        <is>
          <t>PRJ-4a292759-RK-06</t>
        </is>
      </c>
      <c r="D1613" s="10" t="inlineStr">
        <is>
          <t>P4102658254</t>
        </is>
      </c>
      <c r="E1613" s="11" t="inlineStr">
        <is>
          <t>Statik / Einsturzsicherung während Abbruch</t>
        </is>
      </c>
      <c r="F1613" s="10" t="inlineStr">
        <is>
          <t>Statik</t>
        </is>
      </c>
      <c r="G1613" s="12" t="n">
        <v>0.45</v>
      </c>
      <c r="H1613" s="13" t="n">
        <v>180</v>
      </c>
      <c r="I1613" s="13" t="n">
        <v>320</v>
      </c>
      <c r="J1613" s="13" t="n">
        <v>540</v>
      </c>
      <c r="K1613" s="14">
        <f>IF(OR(COUNT(G1613:J1613)&lt;&gt;4,G1613&lt;0,G1613&gt;1,H1613&gt;I1613,I1613&gt;J1613),"n.a.",ROUND(G1613*(H1613+4*I1613+J1613)/6+0.00000001,2))</f>
        <v/>
      </c>
      <c r="L1613" s="13" t="n">
        <v>0</v>
      </c>
      <c r="M1613" s="14">
        <f>SUMIFS(Maßnahmen!$I$7:$I$126,Maßnahmen!$D$7:$D$126,C1613,Maßnahmen!$H$7:$H$126,"&lt;&gt;verworfen")</f>
        <v/>
      </c>
      <c r="N1613" s="14">
        <f>IF(ISNUMBER(K1613),MAX(0,K1613-L1613-M1613),"n.a.")</f>
        <v/>
      </c>
      <c r="O1613" s="14" t="n">
        <v>150</v>
      </c>
      <c r="P1613" s="14">
        <f>IF(ISNUMBER(K1613),K1613-O1613,"n.a.")</f>
        <v/>
      </c>
    </row>
    <row r="1614" ht="32" customHeight="1">
      <c r="C1614" s="10" t="inlineStr">
        <is>
          <t>PRJ-4a292759-RK-07</t>
        </is>
      </c>
      <c r="D1614" s="10" t="inlineStr">
        <is>
          <t>P4102658254</t>
        </is>
      </c>
      <c r="E1614" s="11" t="inlineStr">
        <is>
          <t>Unterirdische Tragkonstruktion / Fundamente</t>
        </is>
      </c>
      <c r="F1614" s="10" t="inlineStr">
        <is>
          <t>Statik</t>
        </is>
      </c>
      <c r="G1614" s="12" t="n">
        <v>0.4</v>
      </c>
      <c r="H1614" s="13" t="n">
        <v>55</v>
      </c>
      <c r="I1614" s="13" t="n">
        <v>100</v>
      </c>
      <c r="J1614" s="13" t="n">
        <v>200</v>
      </c>
      <c r="K1614" s="14">
        <f>IF(OR(COUNT(G1614:J1614)&lt;&gt;4,G1614&lt;0,G1614&gt;1,H1614&gt;I1614,I1614&gt;J1614),"n.a.",ROUND(G1614*(H1614+4*I1614+J1614)/6+0.00000001,2))</f>
        <v/>
      </c>
      <c r="L1614" s="13" t="n">
        <v>0</v>
      </c>
      <c r="M1614" s="14">
        <f>SUMIFS(Maßnahmen!$I$7:$I$126,Maßnahmen!$D$7:$D$126,C1614,Maßnahmen!$H$7:$H$126,"&lt;&gt;verworfen")</f>
        <v/>
      </c>
      <c r="N1614" s="14">
        <f>IF(ISNUMBER(K1614),MAX(0,K1614-L1614-M1614),"n.a.")</f>
        <v/>
      </c>
      <c r="O1614" s="14" t="n">
        <v>43.67</v>
      </c>
      <c r="P1614" s="14">
        <f>IF(ISNUMBER(K1614),K1614-O1614,"n.a.")</f>
        <v/>
      </c>
    </row>
    <row r="1615" ht="32" customHeight="1">
      <c r="C1615" s="10" t="inlineStr">
        <is>
          <t>PRJ-4a292759-RK-08</t>
        </is>
      </c>
      <c r="D1615" s="10" t="inlineStr">
        <is>
          <t>P4102658254</t>
        </is>
      </c>
      <c r="E1615" s="11" t="inlineStr">
        <is>
          <t>Gebäudehöhe &gt;22 m / Longfront-Bagger (+130–150 %)</t>
        </is>
      </c>
      <c r="F1615" s="10" t="inlineStr">
        <is>
          <t>Termin</t>
        </is>
      </c>
      <c r="G1615" s="12" t="n">
        <v>0.2</v>
      </c>
      <c r="H1615" s="13" t="n">
        <v>10</v>
      </c>
      <c r="I1615" s="13" t="n">
        <v>30</v>
      </c>
      <c r="J1615" s="13" t="n">
        <v>60</v>
      </c>
      <c r="K1615" s="14">
        <f>IF(OR(COUNT(G1615:J1615)&lt;&gt;4,G1615&lt;0,G1615&gt;1,H1615&gt;I1615,I1615&gt;J1615),"n.a.",ROUND(G1615*(H1615+4*I1615+J1615)/6+0.00000001,2))</f>
        <v/>
      </c>
      <c r="L1615" s="13" t="n">
        <v>0</v>
      </c>
      <c r="M1615" s="14">
        <f>SUMIFS(Maßnahmen!$I$7:$I$126,Maßnahmen!$D$7:$D$126,C1615,Maßnahmen!$H$7:$H$126,"&lt;&gt;verworfen")</f>
        <v/>
      </c>
      <c r="N1615" s="14">
        <f>IF(ISNUMBER(K1615),MAX(0,K1615-L1615-M1615),"n.a.")</f>
        <v/>
      </c>
      <c r="O1615" s="14" t="n">
        <v>6.33</v>
      </c>
      <c r="P1615" s="14">
        <f>IF(ISNUMBER(K1615),K1615-O1615,"n.a.")</f>
        <v/>
      </c>
    </row>
    <row r="1616" ht="32" customHeight="1">
      <c r="C1616" s="10" t="inlineStr">
        <is>
          <t>PRJ-4a292759-RK-09</t>
        </is>
      </c>
      <c r="D1616" s="10" t="inlineStr">
        <is>
          <t>P4102658254</t>
        </is>
      </c>
      <c r="E1616" s="11" t="inlineStr">
        <is>
          <t>Beennte Lage / nur Handabbruch möglich</t>
        </is>
      </c>
      <c r="F1616" s="10" t="inlineStr">
        <is>
          <t>Termin</t>
        </is>
      </c>
      <c r="G1616" s="12" t="n">
        <v>0.15</v>
      </c>
      <c r="H1616" s="13" t="n">
        <v>8</v>
      </c>
      <c r="I1616" s="13" t="n">
        <v>20</v>
      </c>
      <c r="J1616" s="13" t="n">
        <v>50</v>
      </c>
      <c r="K1616" s="14">
        <f>IF(OR(COUNT(G1616:J1616)&lt;&gt;4,G1616&lt;0,G1616&gt;1,H1616&gt;I1616,I1616&gt;J1616),"n.a.",ROUND(G1616*(H1616+4*I1616+J1616)/6+0.00000001,2))</f>
        <v/>
      </c>
      <c r="L1616" s="13" t="n">
        <v>0</v>
      </c>
      <c r="M1616" s="14">
        <f>SUMIFS(Maßnahmen!$I$7:$I$126,Maßnahmen!$D$7:$D$126,C1616,Maßnahmen!$H$7:$H$126,"&lt;&gt;verworfen")</f>
        <v/>
      </c>
      <c r="N1616" s="14">
        <f>IF(ISNUMBER(K1616),MAX(0,K1616-L1616-M1616),"n.a.")</f>
        <v/>
      </c>
      <c r="O1616" s="14" t="n">
        <v>3.45</v>
      </c>
      <c r="P1616" s="14">
        <f>IF(ISNUMBER(K1616),K1616-O1616,"n.a.")</f>
        <v/>
      </c>
    </row>
    <row r="1617" ht="32" customHeight="1">
      <c r="C1617" s="10" t="inlineStr">
        <is>
          <t>PRJ-4a292759-RK-10</t>
        </is>
      </c>
      <c r="D1617" s="10" t="inlineStr">
        <is>
          <t>P4102658254</t>
        </is>
      </c>
      <c r="E1617" s="11" t="inlineStr">
        <is>
          <t>Terminvorgabe Auftraggeber / Geräteauslastung</t>
        </is>
      </c>
      <c r="F1617" s="10" t="inlineStr">
        <is>
          <t>Termin</t>
        </is>
      </c>
      <c r="G1617" s="12" t="n">
        <v>0.1</v>
      </c>
      <c r="H1617" s="13" t="n">
        <v>8</v>
      </c>
      <c r="I1617" s="13" t="n">
        <v>20</v>
      </c>
      <c r="J1617" s="13" t="n">
        <v>50</v>
      </c>
      <c r="K1617" s="14">
        <f>IF(OR(COUNT(G1617:J1617)&lt;&gt;4,G1617&lt;0,G1617&gt;1,H1617&gt;I1617,I1617&gt;J1617),"n.a.",ROUND(G1617*(H1617+4*I1617+J1617)/6+0.00000001,2))</f>
        <v/>
      </c>
      <c r="L1617" s="13" t="n">
        <v>0</v>
      </c>
      <c r="M1617" s="14">
        <f>SUMIFS(Maßnahmen!$I$7:$I$126,Maßnahmen!$D$7:$D$126,C1617,Maßnahmen!$H$7:$H$126,"&lt;&gt;verworfen")</f>
        <v/>
      </c>
      <c r="N1617" s="14">
        <f>IF(ISNUMBER(K1617),MAX(0,K1617-L1617-M1617),"n.a.")</f>
        <v/>
      </c>
      <c r="O1617" s="14" t="n">
        <v>2.3</v>
      </c>
      <c r="P1617" s="14">
        <f>IF(ISNUMBER(K1617),K1617-O1617,"n.a.")</f>
        <v/>
      </c>
    </row>
    <row r="1618" ht="32" customHeight="1">
      <c r="C1618" s="10" t="inlineStr">
        <is>
          <t>PRJ-4a292759-RK-11</t>
        </is>
      </c>
      <c r="D1618" s="10" t="inlineStr">
        <is>
          <t>P4102658254</t>
        </is>
      </c>
      <c r="E1618" s="11" t="inlineStr">
        <is>
          <t>Witterung / Ablaufstörung</t>
        </is>
      </c>
      <c r="F1618" s="10" t="inlineStr">
        <is>
          <t>Termin</t>
        </is>
      </c>
      <c r="G1618" s="12" t="n">
        <v>0.15</v>
      </c>
      <c r="H1618" s="13" t="n">
        <v>10</v>
      </c>
      <c r="I1618" s="13" t="n">
        <v>30</v>
      </c>
      <c r="J1618" s="13" t="n">
        <v>60</v>
      </c>
      <c r="K1618" s="14">
        <f>IF(OR(COUNT(G1618:J1618)&lt;&gt;4,G1618&lt;0,G1618&gt;1,H1618&gt;I1618,I1618&gt;J1618),"n.a.",ROUND(G1618*(H1618+4*I1618+J1618)/6+0.00000001,2))</f>
        <v/>
      </c>
      <c r="L1618" s="13" t="n">
        <v>0</v>
      </c>
      <c r="M1618" s="14">
        <f>SUMIFS(Maßnahmen!$I$7:$I$126,Maßnahmen!$D$7:$D$126,C1618,Maßnahmen!$H$7:$H$126,"&lt;&gt;verworfen")</f>
        <v/>
      </c>
      <c r="N1618" s="14">
        <f>IF(ISNUMBER(K1618),MAX(0,K1618-L1618-M1618),"n.a.")</f>
        <v/>
      </c>
      <c r="O1618" s="14" t="n">
        <v>4.75</v>
      </c>
      <c r="P1618" s="14">
        <f>IF(ISNUMBER(K1618),K1618-O1618,"n.a.")</f>
        <v/>
      </c>
    </row>
    <row r="1619" ht="32" customHeight="1">
      <c r="C1619" s="10" t="inlineStr">
        <is>
          <t>PRJ-40723646-RK-08</t>
        </is>
      </c>
      <c r="D1619" s="10" t="inlineStr">
        <is>
          <t>W4102154961</t>
        </is>
      </c>
      <c r="E1619" s="11" t="inlineStr">
        <is>
          <t>Gebäudehöhe &gt;22 m / Longfront-Bagger (+130–150 %)</t>
        </is>
      </c>
      <c r="F1619" s="10" t="inlineStr">
        <is>
          <t>Termin</t>
        </is>
      </c>
      <c r="G1619" s="12" t="n">
        <v>0.6</v>
      </c>
      <c r="H1619" s="13" t="n">
        <v>243</v>
      </c>
      <c r="I1619" s="13" t="n">
        <v>486</v>
      </c>
      <c r="J1619" s="13" t="n">
        <v>918</v>
      </c>
      <c r="K1619" s="14">
        <f>IF(OR(COUNT(G1619:J1619)&lt;&gt;4,G1619&lt;0,G1619&gt;1,H1619&gt;I1619,I1619&gt;J1619),"n.a.",ROUND(G1619*(H1619+4*I1619+J1619)/6+0.00000001,2))</f>
        <v/>
      </c>
      <c r="L1619" s="13" t="n">
        <v>0</v>
      </c>
      <c r="M1619" s="14">
        <f>SUMIFS(Maßnahmen!$I$7:$I$126,Maßnahmen!$D$7:$D$126,C1619,Maßnahmen!$H$7:$H$126,"&lt;&gt;verworfen")</f>
        <v/>
      </c>
      <c r="N1619" s="14">
        <f>IF(ISNUMBER(K1619),MAX(0,K1619-L1619-M1619),"n.a.")</f>
        <v/>
      </c>
      <c r="O1619" s="14" t="n">
        <v>310.5</v>
      </c>
      <c r="P1619" s="14">
        <f>IF(ISNUMBER(K1619),K1619-O1619,"n.a.")</f>
        <v/>
      </c>
    </row>
    <row r="1620" ht="32" customHeight="1">
      <c r="C1620" s="10" t="inlineStr">
        <is>
          <t>PRJ-40723646-RK-09</t>
        </is>
      </c>
      <c r="D1620" s="10" t="inlineStr">
        <is>
          <t>W4102154961</t>
        </is>
      </c>
      <c r="E1620" s="11" t="inlineStr">
        <is>
          <t>Beennte Lage / nur Handabbruch möglich</t>
        </is>
      </c>
      <c r="F1620" s="10" t="inlineStr">
        <is>
          <t>Termin</t>
        </is>
      </c>
      <c r="G1620" s="12" t="n">
        <v>0.15</v>
      </c>
      <c r="H1620" s="13" t="n">
        <v>22</v>
      </c>
      <c r="I1620" s="13" t="n">
        <v>54</v>
      </c>
      <c r="J1620" s="13" t="n">
        <v>135</v>
      </c>
      <c r="K1620" s="14">
        <f>IF(OR(COUNT(G1620:J1620)&lt;&gt;4,G1620&lt;0,G1620&gt;1,H1620&gt;I1620,I1620&gt;J1620),"n.a.",ROUND(G1620*(H1620+4*I1620+J1620)/6+0.00000001,2))</f>
        <v/>
      </c>
      <c r="L1620" s="13" t="n">
        <v>0</v>
      </c>
      <c r="M1620" s="14">
        <f>SUMIFS(Maßnahmen!$I$7:$I$126,Maßnahmen!$D$7:$D$126,C1620,Maßnahmen!$H$7:$H$126,"&lt;&gt;verworfen")</f>
        <v/>
      </c>
      <c r="N1620" s="14">
        <f>IF(ISNUMBER(K1620),MAX(0,K1620-L1620-M1620),"n.a.")</f>
        <v/>
      </c>
      <c r="O1620" s="14" t="n">
        <v>9.33</v>
      </c>
      <c r="P1620" s="14">
        <f>IF(ISNUMBER(K1620),K1620-O1620,"n.a.")</f>
        <v/>
      </c>
    </row>
    <row r="1621" ht="32" customHeight="1">
      <c r="C1621" s="10" t="inlineStr">
        <is>
          <t>PRJ-40723646-RK-10</t>
        </is>
      </c>
      <c r="D1621" s="10" t="inlineStr">
        <is>
          <t>W4102154961</t>
        </is>
      </c>
      <c r="E1621" s="11" t="inlineStr">
        <is>
          <t>Terminvorgabe Auftraggeber / Geräteauslastung</t>
        </is>
      </c>
      <c r="F1621" s="10" t="inlineStr">
        <is>
          <t>Termin</t>
        </is>
      </c>
      <c r="G1621" s="12" t="n">
        <v>0.1</v>
      </c>
      <c r="H1621" s="13" t="n">
        <v>22</v>
      </c>
      <c r="I1621" s="13" t="n">
        <v>54</v>
      </c>
      <c r="J1621" s="13" t="n">
        <v>135</v>
      </c>
      <c r="K1621" s="14">
        <f>IF(OR(COUNT(G1621:J1621)&lt;&gt;4,G1621&lt;0,G1621&gt;1,H1621&gt;I1621,I1621&gt;J1621),"n.a.",ROUND(G1621*(H1621+4*I1621+J1621)/6+0.00000001,2))</f>
        <v/>
      </c>
      <c r="L1621" s="13" t="n">
        <v>0</v>
      </c>
      <c r="M1621" s="14">
        <f>SUMIFS(Maßnahmen!$I$7:$I$126,Maßnahmen!$D$7:$D$126,C1621,Maßnahmen!$H$7:$H$126,"&lt;&gt;verworfen")</f>
        <v/>
      </c>
      <c r="N1621" s="14">
        <f>IF(ISNUMBER(K1621),MAX(0,K1621-L1621-M1621),"n.a.")</f>
        <v/>
      </c>
      <c r="O1621" s="14" t="n">
        <v>6.22</v>
      </c>
      <c r="P1621" s="14">
        <f>IF(ISNUMBER(K1621),K1621-O1621,"n.a.")</f>
        <v/>
      </c>
    </row>
    <row r="1622" ht="32" customHeight="1">
      <c r="C1622" s="10" t="inlineStr">
        <is>
          <t>PRJ-40723646-RK-11</t>
        </is>
      </c>
      <c r="D1622" s="10" t="inlineStr">
        <is>
          <t>W4102154961</t>
        </is>
      </c>
      <c r="E1622" s="11" t="inlineStr">
        <is>
          <t>Witterung / Ablaufstörung</t>
        </is>
      </c>
      <c r="F1622" s="10" t="inlineStr">
        <is>
          <t>Termin</t>
        </is>
      </c>
      <c r="G1622" s="12" t="n">
        <v>0.25</v>
      </c>
      <c r="H1622" s="13" t="n">
        <v>27</v>
      </c>
      <c r="I1622" s="13" t="n">
        <v>81</v>
      </c>
      <c r="J1622" s="13" t="n">
        <v>162</v>
      </c>
      <c r="K1622" s="14">
        <f>IF(OR(COUNT(G1622:J1622)&lt;&gt;4,G1622&lt;0,G1622&gt;1,H1622&gt;I1622,I1622&gt;J1622),"n.a.",ROUND(G1622*(H1622+4*I1622+J1622)/6+0.00000001,2))</f>
        <v/>
      </c>
      <c r="L1622" s="13" t="n">
        <v>0</v>
      </c>
      <c r="M1622" s="14">
        <f>SUMIFS(Maßnahmen!$I$7:$I$126,Maßnahmen!$D$7:$D$126,C1622,Maßnahmen!$H$7:$H$126,"&lt;&gt;verworfen")</f>
        <v/>
      </c>
      <c r="N1622" s="14">
        <f>IF(ISNUMBER(K1622),MAX(0,K1622-L1622-M1622),"n.a.")</f>
        <v/>
      </c>
      <c r="O1622" s="14" t="n">
        <v>21.38</v>
      </c>
      <c r="P1622" s="14">
        <f>IF(ISNUMBER(K1622),K1622-O1622,"n.a.")</f>
        <v/>
      </c>
    </row>
    <row r="1623" ht="32" customHeight="1">
      <c r="C1623" s="10" t="inlineStr">
        <is>
          <t>PRJ-40723646-RK-12</t>
        </is>
      </c>
      <c r="D1623" s="10" t="inlineStr">
        <is>
          <t>W4102154961</t>
        </is>
      </c>
      <c r="E1623" s="11" t="inlineStr">
        <is>
          <t>Staubemissionen (höchster Aufwand laut Umfrage)</t>
        </is>
      </c>
      <c r="F1623" s="10" t="inlineStr">
        <is>
          <t>Emissionen</t>
        </is>
      </c>
      <c r="G1623" s="12" t="n">
        <v>0.1</v>
      </c>
      <c r="H1623" s="13" t="n">
        <v>81</v>
      </c>
      <c r="I1623" s="13" t="n">
        <v>162</v>
      </c>
      <c r="J1623" s="13" t="n">
        <v>324</v>
      </c>
      <c r="K1623" s="14">
        <f>IF(OR(COUNT(G1623:J1623)&lt;&gt;4,G1623&lt;0,G1623&gt;1,H1623&gt;I1623,I1623&gt;J1623),"n.a.",ROUND(G1623*(H1623+4*I1623+J1623)/6+0.00000001,2))</f>
        <v/>
      </c>
      <c r="L1623" s="13" t="n">
        <v>0</v>
      </c>
      <c r="M1623" s="14">
        <f>SUMIFS(Maßnahmen!$I$7:$I$126,Maßnahmen!$D$7:$D$126,C1623,Maßnahmen!$H$7:$H$126,"&lt;&gt;verworfen")</f>
        <v/>
      </c>
      <c r="N1623" s="14">
        <f>IF(ISNUMBER(K1623),MAX(0,K1623-L1623-M1623),"n.a.")</f>
        <v/>
      </c>
      <c r="O1623" s="14" t="n">
        <v>17.55</v>
      </c>
      <c r="P1623" s="14">
        <f>IF(ISNUMBER(K1623),K1623-O1623,"n.a.")</f>
        <v/>
      </c>
    </row>
    <row r="1624" ht="32" customHeight="1">
      <c r="C1624" s="10" t="inlineStr">
        <is>
          <t>PRJ-40723646-RK-13</t>
        </is>
      </c>
      <c r="D1624" s="10" t="inlineStr">
        <is>
          <t>W4102154961</t>
        </is>
      </c>
      <c r="E1624" s="11" t="inlineStr">
        <is>
          <t>Lärm- und Erschütterungsauflagen</t>
        </is>
      </c>
      <c r="F1624" s="10" t="inlineStr">
        <is>
          <t>Emissionen</t>
        </is>
      </c>
      <c r="G1624" s="12" t="n">
        <v>0.2</v>
      </c>
      <c r="H1624" s="13" t="n">
        <v>54</v>
      </c>
      <c r="I1624" s="13" t="n">
        <v>135</v>
      </c>
      <c r="J1624" s="13" t="n">
        <v>270</v>
      </c>
      <c r="K1624" s="14">
        <f>IF(OR(COUNT(G1624:J1624)&lt;&gt;4,G1624&lt;0,G1624&gt;1,H1624&gt;I1624,I1624&gt;J1624),"n.a.",ROUND(G1624*(H1624+4*I1624+J1624)/6+0.00000001,2))</f>
        <v/>
      </c>
      <c r="L1624" s="13" t="n">
        <v>0</v>
      </c>
      <c r="M1624" s="14">
        <f>SUMIFS(Maßnahmen!$I$7:$I$126,Maßnahmen!$D$7:$D$126,C1624,Maßnahmen!$H$7:$H$126,"&lt;&gt;verworfen")</f>
        <v/>
      </c>
      <c r="N1624" s="14">
        <f>IF(ISNUMBER(K1624),MAX(0,K1624-L1624-M1624),"n.a.")</f>
        <v/>
      </c>
      <c r="O1624" s="14" t="n">
        <v>28.8</v>
      </c>
      <c r="P1624" s="14">
        <f>IF(ISNUMBER(K1624),K1624-O1624,"n.a.")</f>
        <v/>
      </c>
    </row>
    <row r="1625" ht="32" customHeight="1">
      <c r="C1625" s="10" t="inlineStr">
        <is>
          <t>PRJ-40723641-RK-09</t>
        </is>
      </c>
      <c r="D1625" s="10" t="inlineStr">
        <is>
          <t>W4102154966</t>
        </is>
      </c>
      <c r="E1625" s="11" t="inlineStr">
        <is>
          <t>Beennte Lage / nur Handabbruch möglich</t>
        </is>
      </c>
      <c r="F1625" s="10" t="inlineStr">
        <is>
          <t>Termin</t>
        </is>
      </c>
      <c r="G1625" s="12" t="n">
        <v>0.15</v>
      </c>
      <c r="H1625" s="13" t="n">
        <v>66</v>
      </c>
      <c r="I1625" s="13" t="n">
        <v>166</v>
      </c>
      <c r="J1625" s="13" t="n">
        <v>415</v>
      </c>
      <c r="K1625" s="14">
        <f>IF(OR(COUNT(G1625:J1625)&lt;&gt;4,G1625&lt;0,G1625&gt;1,H1625&gt;I1625,I1625&gt;J1625),"n.a.",ROUND(G1625*(H1625+4*I1625+J1625)/6+0.00000001,2))</f>
        <v/>
      </c>
      <c r="L1625" s="13" t="n">
        <v>0</v>
      </c>
      <c r="M1625" s="14">
        <f>SUMIFS(Maßnahmen!$I$7:$I$126,Maßnahmen!$D$7:$D$126,C1625,Maßnahmen!$H$7:$H$126,"&lt;&gt;verworfen")</f>
        <v/>
      </c>
      <c r="N1625" s="14">
        <f>IF(ISNUMBER(K1625),MAX(0,K1625-L1625-M1625),"n.a.")</f>
        <v/>
      </c>
      <c r="O1625" s="14" t="n">
        <v>28.63</v>
      </c>
      <c r="P1625" s="14">
        <f>IF(ISNUMBER(K1625),K1625-O1625,"n.a.")</f>
        <v/>
      </c>
    </row>
    <row r="1626" ht="32" customHeight="1">
      <c r="C1626" s="10" t="inlineStr">
        <is>
          <t>PRJ-4a292759-RK-12</t>
        </is>
      </c>
      <c r="D1626" s="10" t="inlineStr">
        <is>
          <t>P4102658254</t>
        </is>
      </c>
      <c r="E1626" s="11" t="inlineStr">
        <is>
          <t>Staubemissionen (höchster Aufwand laut Umfrage)</t>
        </is>
      </c>
      <c r="F1626" s="10" t="inlineStr">
        <is>
          <t>Emissionen</t>
        </is>
      </c>
      <c r="G1626" s="12" t="n">
        <v>0.1</v>
      </c>
      <c r="H1626" s="13" t="n">
        <v>30</v>
      </c>
      <c r="I1626" s="13" t="n">
        <v>60</v>
      </c>
      <c r="J1626" s="13" t="n">
        <v>120</v>
      </c>
      <c r="K1626" s="14">
        <f>IF(OR(COUNT(G1626:J1626)&lt;&gt;4,G1626&lt;0,G1626&gt;1,H1626&gt;I1626,I1626&gt;J1626),"n.a.",ROUND(G1626*(H1626+4*I1626+J1626)/6+0.00000001,2))</f>
        <v/>
      </c>
      <c r="L1626" s="13" t="n">
        <v>0</v>
      </c>
      <c r="M1626" s="14">
        <f>SUMIFS(Maßnahmen!$I$7:$I$126,Maßnahmen!$D$7:$D$126,C1626,Maßnahmen!$H$7:$H$126,"&lt;&gt;verworfen")</f>
        <v/>
      </c>
      <c r="N1626" s="14">
        <f>IF(ISNUMBER(K1626),MAX(0,K1626-L1626-M1626),"n.a.")</f>
        <v/>
      </c>
      <c r="O1626" s="14" t="n">
        <v>6.5</v>
      </c>
      <c r="P1626" s="14">
        <f>IF(ISNUMBER(K1626),K1626-O1626,"n.a.")</f>
        <v/>
      </c>
    </row>
    <row r="1627" ht="32" customHeight="1">
      <c r="C1627" s="10" t="inlineStr">
        <is>
          <t>PRJ-4a292759-RK-13</t>
        </is>
      </c>
      <c r="D1627" s="10" t="inlineStr">
        <is>
          <t>P4102658254</t>
        </is>
      </c>
      <c r="E1627" s="11" t="inlineStr">
        <is>
          <t>Lärm- und Erschütterungsauflagen</t>
        </is>
      </c>
      <c r="F1627" s="10" t="inlineStr">
        <is>
          <t>Emissionen</t>
        </is>
      </c>
      <c r="G1627" s="12" t="n">
        <v>0.2</v>
      </c>
      <c r="H1627" s="13" t="n">
        <v>20</v>
      </c>
      <c r="I1627" s="13" t="n">
        <v>50</v>
      </c>
      <c r="J1627" s="13" t="n">
        <v>100</v>
      </c>
      <c r="K1627" s="14">
        <f>IF(OR(COUNT(G1627:J1627)&lt;&gt;4,G1627&lt;0,G1627&gt;1,H1627&gt;I1627,I1627&gt;J1627),"n.a.",ROUND(G1627*(H1627+4*I1627+J1627)/6+0.00000001,2))</f>
        <v/>
      </c>
      <c r="L1627" s="13" t="n">
        <v>0</v>
      </c>
      <c r="M1627" s="14">
        <f>SUMIFS(Maßnahmen!$I$7:$I$126,Maßnahmen!$D$7:$D$126,C1627,Maßnahmen!$H$7:$H$126,"&lt;&gt;verworfen")</f>
        <v/>
      </c>
      <c r="N1627" s="14">
        <f>IF(ISNUMBER(K1627),MAX(0,K1627-L1627-M1627),"n.a.")</f>
        <v/>
      </c>
      <c r="O1627" s="14" t="n">
        <v>10.67</v>
      </c>
      <c r="P1627" s="14">
        <f>IF(ISNUMBER(K1627),K1627-O1627,"n.a.")</f>
        <v/>
      </c>
    </row>
    <row r="1628" ht="32" customHeight="1">
      <c r="C1628" s="10" t="inlineStr">
        <is>
          <t>PRJ-4a292759-RK-14</t>
        </is>
      </c>
      <c r="D1628" s="10" t="inlineStr">
        <is>
          <t>P4102658254</t>
        </is>
      </c>
      <c r="E1628" s="11" t="inlineStr">
        <is>
          <t>Rechtliche Auflagen / Entsorgungsnachweise (Formalismus)</t>
        </is>
      </c>
      <c r="F1628" s="10" t="inlineStr">
        <is>
          <t>Genehmigung</t>
        </is>
      </c>
      <c r="G1628" s="12" t="n">
        <v>0.12</v>
      </c>
      <c r="H1628" s="13" t="n">
        <v>15</v>
      </c>
      <c r="I1628" s="13" t="n">
        <v>35</v>
      </c>
      <c r="J1628" s="13" t="n">
        <v>70</v>
      </c>
      <c r="K1628" s="14">
        <f>IF(OR(COUNT(G1628:J1628)&lt;&gt;4,G1628&lt;0,G1628&gt;1,H1628&gt;I1628,I1628&gt;J1628),"n.a.",ROUND(G1628*(H1628+4*I1628+J1628)/6+0.00000001,2))</f>
        <v/>
      </c>
      <c r="L1628" s="13" t="n">
        <v>0</v>
      </c>
      <c r="M1628" s="14">
        <f>SUMIFS(Maßnahmen!$I$7:$I$126,Maßnahmen!$D$7:$D$126,C1628,Maßnahmen!$H$7:$H$126,"&lt;&gt;verworfen")</f>
        <v/>
      </c>
      <c r="N1628" s="14">
        <f>IF(ISNUMBER(K1628),MAX(0,K1628-L1628-M1628),"n.a.")</f>
        <v/>
      </c>
      <c r="O1628" s="14" t="n">
        <v>4.5</v>
      </c>
      <c r="P1628" s="14">
        <f>IF(ISNUMBER(K1628),K1628-O1628,"n.a.")</f>
        <v/>
      </c>
    </row>
    <row r="1629" ht="32" customHeight="1">
      <c r="C1629" s="10" t="inlineStr">
        <is>
          <t>PRJ-4a292759-RK-15</t>
        </is>
      </c>
      <c r="D1629" s="10" t="inlineStr">
        <is>
          <t>P4102658254</t>
        </is>
      </c>
      <c r="E1629" s="11" t="inlineStr">
        <is>
          <t>Konjunktur / Sekundärstoffpreise &amp; Gerätemiete</t>
        </is>
      </c>
      <c r="F1629" s="10" t="inlineStr">
        <is>
          <t>Markt</t>
        </is>
      </c>
      <c r="G1629" s="12" t="n">
        <v>0.12</v>
      </c>
      <c r="H1629" s="13" t="n">
        <v>8</v>
      </c>
      <c r="I1629" s="13" t="n">
        <v>20</v>
      </c>
      <c r="J1629" s="13" t="n">
        <v>50</v>
      </c>
      <c r="K1629" s="14">
        <f>IF(OR(COUNT(G1629:J1629)&lt;&gt;4,G1629&lt;0,G1629&gt;1,H1629&gt;I1629,I1629&gt;J1629),"n.a.",ROUND(G1629*(H1629+4*I1629+J1629)/6+0.00000001,2))</f>
        <v/>
      </c>
      <c r="L1629" s="13" t="n">
        <v>0</v>
      </c>
      <c r="M1629" s="14">
        <f>SUMIFS(Maßnahmen!$I$7:$I$126,Maßnahmen!$D$7:$D$126,C1629,Maßnahmen!$H$7:$H$126,"&lt;&gt;verworfen")</f>
        <v/>
      </c>
      <c r="N1629" s="14">
        <f>IF(ISNUMBER(K1629),MAX(0,K1629-L1629-M1629),"n.a.")</f>
        <v/>
      </c>
      <c r="O1629" s="14" t="n">
        <v>2.76</v>
      </c>
      <c r="P1629" s="14">
        <f>IF(ISNUMBER(K1629),K1629-O1629,"n.a.")</f>
        <v/>
      </c>
    </row>
    <row r="1630" ht="32" customHeight="1">
      <c r="C1630" s="10" t="inlineStr">
        <is>
          <t>PRJ-38307106-RK-01</t>
        </is>
      </c>
      <c r="D1630" s="10" t="inlineStr">
        <is>
          <t>W4102604938</t>
        </is>
      </c>
      <c r="E1630" s="11" t="inlineStr">
        <is>
          <t>Schadstofffund / Schadstoffsanierung (Asbest, PAK, PCB, PCP)</t>
        </is>
      </c>
      <c r="F1630" s="10" t="inlineStr">
        <is>
          <t>Schadstoffe</t>
        </is>
      </c>
      <c r="G1630" s="12" t="n">
        <v>0.1</v>
      </c>
      <c r="H1630" s="13" t="n">
        <v>173</v>
      </c>
      <c r="I1630" s="13" t="n">
        <v>432</v>
      </c>
      <c r="J1630" s="13" t="n">
        <v>864</v>
      </c>
      <c r="K1630" s="14">
        <f>IF(OR(COUNT(G1630:J1630)&lt;&gt;4,G1630&lt;0,G1630&gt;1,H1630&gt;I1630,I1630&gt;J1630),"n.a.",ROUND(G1630*(H1630+4*I1630+J1630)/6+0.00000001,2))</f>
        <v/>
      </c>
      <c r="L1630" s="13" t="n">
        <v>0</v>
      </c>
      <c r="M1630" s="14">
        <f>SUMIFS(Maßnahmen!$I$7:$I$126,Maßnahmen!$D$7:$D$126,C1630,Maßnahmen!$H$7:$H$126,"&lt;&gt;verworfen")</f>
        <v/>
      </c>
      <c r="N1630" s="14">
        <f>IF(ISNUMBER(K1630),MAX(0,K1630-L1630-M1630),"n.a.")</f>
        <v/>
      </c>
      <c r="O1630" s="14" t="n">
        <v>46.08</v>
      </c>
      <c r="P1630" s="14">
        <f>IF(ISNUMBER(K1630),K1630-O1630,"n.a.")</f>
        <v/>
      </c>
    </row>
    <row r="1631" ht="32" customHeight="1">
      <c r="C1631" s="10" t="inlineStr">
        <is>
          <t>PRJ-38307106-RK-02</t>
        </is>
      </c>
      <c r="D1631" s="10" t="inlineStr">
        <is>
          <t>W4102604938</t>
        </is>
      </c>
      <c r="E1631" s="11" t="inlineStr">
        <is>
          <t>Arbeitsschutz kontaminierte Bereiche (TRGS 524)</t>
        </is>
      </c>
      <c r="F1631" s="10" t="inlineStr">
        <is>
          <t>Schadstoffe</t>
        </is>
      </c>
      <c r="G1631" s="12" t="n">
        <v>0.47</v>
      </c>
      <c r="H1631" s="13" t="n">
        <v>173</v>
      </c>
      <c r="I1631" s="13" t="n">
        <v>432</v>
      </c>
      <c r="J1631" s="13" t="n">
        <v>864</v>
      </c>
      <c r="K1631" s="14">
        <f>IF(OR(COUNT(G1631:J1631)&lt;&gt;4,G1631&lt;0,G1631&gt;1,H1631&gt;I1631,I1631&gt;J1631),"n.a.",ROUND(G1631*(H1631+4*I1631+J1631)/6+0.00000001,2))</f>
        <v/>
      </c>
      <c r="L1631" s="13" t="n">
        <v>0</v>
      </c>
      <c r="M1631" s="14">
        <f>SUMIFS(Maßnahmen!$I$7:$I$126,Maßnahmen!$D$7:$D$126,C1631,Maßnahmen!$H$7:$H$126,"&lt;&gt;verworfen")</f>
        <v/>
      </c>
      <c r="N1631" s="14">
        <f>IF(ISNUMBER(K1631),MAX(0,K1631-L1631-M1631),"n.a.")</f>
        <v/>
      </c>
      <c r="O1631" s="14" t="n">
        <v>216.59</v>
      </c>
      <c r="P1631" s="14">
        <f>IF(ISNUMBER(K1631),K1631-O1631,"n.a.")</f>
        <v/>
      </c>
    </row>
    <row r="1632" ht="32" customHeight="1">
      <c r="C1632" s="10" t="inlineStr">
        <is>
          <t>PRJ-38307106-RK-03</t>
        </is>
      </c>
      <c r="D1632" s="10" t="inlineStr">
        <is>
          <t>W4102604938</t>
        </is>
      </c>
      <c r="E1632" s="11" t="inlineStr">
        <is>
          <t>Entsorgungs-Mehrkosten / Entsorgungswege</t>
        </is>
      </c>
      <c r="F1632" s="10" t="inlineStr">
        <is>
          <t>Entsorgung</t>
        </is>
      </c>
      <c r="G1632" s="12" t="n">
        <v>0.15</v>
      </c>
      <c r="H1632" s="13" t="n">
        <v>173</v>
      </c>
      <c r="I1632" s="13" t="n">
        <v>432</v>
      </c>
      <c r="J1632" s="13" t="n">
        <v>864</v>
      </c>
      <c r="K1632" s="14">
        <f>IF(OR(COUNT(G1632:J1632)&lt;&gt;4,G1632&lt;0,G1632&gt;1,H1632&gt;I1632,I1632&gt;J1632),"n.a.",ROUND(G1632*(H1632+4*I1632+J1632)/6+0.00000001,2))</f>
        <v/>
      </c>
      <c r="L1632" s="13" t="n">
        <v>0</v>
      </c>
      <c r="M1632" s="14">
        <f>SUMIFS(Maßnahmen!$I$7:$I$126,Maßnahmen!$D$7:$D$126,C1632,Maßnahmen!$H$7:$H$126,"&lt;&gt;verworfen")</f>
        <v/>
      </c>
      <c r="N1632" s="14">
        <f>IF(ISNUMBER(K1632),MAX(0,K1632-L1632-M1632),"n.a.")</f>
        <v/>
      </c>
      <c r="O1632" s="14" t="n">
        <v>69.13</v>
      </c>
      <c r="P1632" s="14">
        <f>IF(ISNUMBER(K1632),K1632-O1632,"n.a.")</f>
        <v/>
      </c>
    </row>
    <row r="1633" ht="32" customHeight="1">
      <c r="C1633" s="10" t="inlineStr">
        <is>
          <t>PRJ-38307106-RK-04</t>
        </is>
      </c>
      <c r="D1633" s="10" t="inlineStr">
        <is>
          <t>W4102604938</t>
        </is>
      </c>
      <c r="E1633" s="11" t="inlineStr">
        <is>
          <t>Baustofftrennung / Aufbereitung nicht wie geplant</t>
        </is>
      </c>
      <c r="F1633" s="10" t="inlineStr">
        <is>
          <t>Entsorgung</t>
        </is>
      </c>
      <c r="G1633" s="12" t="n">
        <v>0.1</v>
      </c>
      <c r="H1633" s="13" t="n">
        <v>173</v>
      </c>
      <c r="I1633" s="13" t="n">
        <v>432</v>
      </c>
      <c r="J1633" s="13" t="n">
        <v>864</v>
      </c>
      <c r="K1633" s="14">
        <f>IF(OR(COUNT(G1633:J1633)&lt;&gt;4,G1633&lt;0,G1633&gt;1,H1633&gt;I1633,I1633&gt;J1633),"n.a.",ROUND(G1633*(H1633+4*I1633+J1633)/6+0.00000001,2))</f>
        <v/>
      </c>
      <c r="L1633" s="13" t="n">
        <v>0</v>
      </c>
      <c r="M1633" s="14">
        <f>SUMIFS(Maßnahmen!$I$7:$I$126,Maßnahmen!$D$7:$D$126,C1633,Maßnahmen!$H$7:$H$126,"&lt;&gt;verworfen")</f>
        <v/>
      </c>
      <c r="N1633" s="14">
        <f>IF(ISNUMBER(K1633),MAX(0,K1633-L1633-M1633),"n.a.")</f>
        <v/>
      </c>
      <c r="O1633" s="14" t="n">
        <v>46.08</v>
      </c>
      <c r="P1633" s="14">
        <f>IF(ISNUMBER(K1633),K1633-O1633,"n.a.")</f>
        <v/>
      </c>
    </row>
    <row r="1634" ht="32" customHeight="1">
      <c r="C1634" s="10" t="inlineStr">
        <is>
          <t>PRJ-38307106-RK-05</t>
        </is>
      </c>
      <c r="D1634" s="10" t="inlineStr">
        <is>
          <t>W4102604938</t>
        </is>
      </c>
      <c r="E1634" s="11" t="inlineStr">
        <is>
          <t>Unbekannte Bauwerkskonstruktion / fehlende Pläne</t>
        </is>
      </c>
      <c r="F1634" s="10" t="inlineStr">
        <is>
          <t>Statik</t>
        </is>
      </c>
      <c r="G1634" s="12" t="n">
        <v>0.12</v>
      </c>
      <c r="H1634" s="13" t="n">
        <v>345</v>
      </c>
      <c r="I1634" s="13" t="n">
        <v>691</v>
      </c>
      <c r="J1634" s="13" t="n">
        <v>1296</v>
      </c>
      <c r="K1634" s="14">
        <f>IF(OR(COUNT(G1634:J1634)&lt;&gt;4,G1634&lt;0,G1634&gt;1,H1634&gt;I1634,I1634&gt;J1634),"n.a.",ROUND(G1634*(H1634+4*I1634+J1634)/6+0.00000001,2))</f>
        <v/>
      </c>
      <c r="L1634" s="13" t="n">
        <v>0</v>
      </c>
      <c r="M1634" s="14">
        <f>SUMIFS(Maßnahmen!$I$7:$I$126,Maßnahmen!$D$7:$D$126,C1634,Maßnahmen!$H$7:$H$126,"&lt;&gt;verworfen")</f>
        <v/>
      </c>
      <c r="N1634" s="14">
        <f>IF(ISNUMBER(K1634),MAX(0,K1634-L1634-M1634),"n.a.")</f>
        <v/>
      </c>
      <c r="O1634" s="14" t="n">
        <v>88.09999999999999</v>
      </c>
      <c r="P1634" s="14">
        <f>IF(ISNUMBER(K1634),K1634-O1634,"n.a.")</f>
        <v/>
      </c>
    </row>
    <row r="1635" ht="32" customHeight="1">
      <c r="C1635" s="10" t="inlineStr">
        <is>
          <t>PRJ-38307106-RK-06</t>
        </is>
      </c>
      <c r="D1635" s="10" t="inlineStr">
        <is>
          <t>W4102604938</t>
        </is>
      </c>
      <c r="E1635" s="11" t="inlineStr">
        <is>
          <t>Statik / Einsturzsicherung während Abbruch</t>
        </is>
      </c>
      <c r="F1635" s="10" t="inlineStr">
        <is>
          <t>Statik</t>
        </is>
      </c>
      <c r="G1635" s="12" t="n">
        <v>0.12</v>
      </c>
      <c r="H1635" s="13" t="n">
        <v>259</v>
      </c>
      <c r="I1635" s="13" t="n">
        <v>605</v>
      </c>
      <c r="J1635" s="13" t="n">
        <v>1209</v>
      </c>
      <c r="K1635" s="14">
        <f>IF(OR(COUNT(G1635:J1635)&lt;&gt;4,G1635&lt;0,G1635&gt;1,H1635&gt;I1635,I1635&gt;J1635),"n.a.",ROUND(G1635*(H1635+4*I1635+J1635)/6+0.00000001,2))</f>
        <v/>
      </c>
      <c r="L1635" s="13" t="n">
        <v>0</v>
      </c>
      <c r="M1635" s="14">
        <f>SUMIFS(Maßnahmen!$I$7:$I$126,Maßnahmen!$D$7:$D$126,C1635,Maßnahmen!$H$7:$H$126,"&lt;&gt;verworfen")</f>
        <v/>
      </c>
      <c r="N1635" s="14">
        <f>IF(ISNUMBER(K1635),MAX(0,K1635-L1635-M1635),"n.a.")</f>
        <v/>
      </c>
      <c r="O1635" s="14" t="n">
        <v>77.76000000000001</v>
      </c>
      <c r="P1635" s="14">
        <f>IF(ISNUMBER(K1635),K1635-O1635,"n.a.")</f>
        <v/>
      </c>
    </row>
    <row r="1636" ht="32" customHeight="1">
      <c r="C1636" s="10" t="inlineStr">
        <is>
          <t>PRJ-38307106-RK-07</t>
        </is>
      </c>
      <c r="D1636" s="10" t="inlineStr">
        <is>
          <t>W4102604938</t>
        </is>
      </c>
      <c r="E1636" s="11" t="inlineStr">
        <is>
          <t>Unterirdische Tragkonstruktion / Fundamente</t>
        </is>
      </c>
      <c r="F1636" s="10" t="inlineStr">
        <is>
          <t>Statik</t>
        </is>
      </c>
      <c r="G1636" s="12" t="n">
        <v>0.5</v>
      </c>
      <c r="H1636" s="13" t="n">
        <v>43</v>
      </c>
      <c r="I1636" s="13" t="n">
        <v>173</v>
      </c>
      <c r="J1636" s="13" t="n">
        <v>432</v>
      </c>
      <c r="K1636" s="14">
        <f>IF(OR(COUNT(G1636:J1636)&lt;&gt;4,G1636&lt;0,G1636&gt;1,H1636&gt;I1636,I1636&gt;J1636),"n.a.",ROUND(G1636*(H1636+4*I1636+J1636)/6+0.00000001,2))</f>
        <v/>
      </c>
      <c r="L1636" s="13" t="n">
        <v>0</v>
      </c>
      <c r="M1636" s="14">
        <f>SUMIFS(Maßnahmen!$I$7:$I$126,Maßnahmen!$D$7:$D$126,C1636,Maßnahmen!$H$7:$H$126,"&lt;&gt;verworfen")</f>
        <v/>
      </c>
      <c r="N1636" s="14">
        <f>IF(ISNUMBER(K1636),MAX(0,K1636-L1636-M1636),"n.a.")</f>
        <v/>
      </c>
      <c r="O1636" s="14" t="n">
        <v>97.25</v>
      </c>
      <c r="P1636" s="14">
        <f>IF(ISNUMBER(K1636),K1636-O1636,"n.a.")</f>
        <v/>
      </c>
    </row>
    <row r="1637" ht="32" customHeight="1">
      <c r="C1637" s="10" t="inlineStr">
        <is>
          <t>PRJ-38307106-RK-08</t>
        </is>
      </c>
      <c r="D1637" s="10" t="inlineStr">
        <is>
          <t>W4102604938</t>
        </is>
      </c>
      <c r="E1637" s="11" t="inlineStr">
        <is>
          <t>Gebäudehöhe &gt;22 m / Longfront-Bagger (+130–150 %)</t>
        </is>
      </c>
      <c r="F1637" s="10" t="inlineStr">
        <is>
          <t>Termin</t>
        </is>
      </c>
      <c r="G1637" s="12" t="n">
        <v>0.6</v>
      </c>
      <c r="H1637" s="13" t="n">
        <v>777</v>
      </c>
      <c r="I1637" s="13" t="n">
        <v>1555</v>
      </c>
      <c r="J1637" s="13" t="n">
        <v>2936</v>
      </c>
      <c r="K1637" s="14">
        <f>IF(OR(COUNT(G1637:J1637)&lt;&gt;4,G1637&lt;0,G1637&gt;1,H1637&gt;I1637,I1637&gt;J1637),"n.a.",ROUND(G1637*(H1637+4*I1637+J1637)/6+0.00000001,2))</f>
        <v/>
      </c>
      <c r="L1637" s="13" t="n">
        <v>0</v>
      </c>
      <c r="M1637" s="14">
        <f>SUMIFS(Maßnahmen!$I$7:$I$126,Maßnahmen!$D$7:$D$126,C1637,Maßnahmen!$H$7:$H$126,"&lt;&gt;verworfen")</f>
        <v/>
      </c>
      <c r="N1637" s="14">
        <f>IF(ISNUMBER(K1637),MAX(0,K1637-L1637-M1637),"n.a.")</f>
        <v/>
      </c>
      <c r="O1637" s="14" t="n">
        <v>993.3</v>
      </c>
      <c r="P1637" s="14">
        <f>IF(ISNUMBER(K1637),K1637-O1637,"n.a.")</f>
        <v/>
      </c>
    </row>
    <row r="1638" ht="32" customHeight="1">
      <c r="C1638" s="10" t="inlineStr">
        <is>
          <t>PRJ-38307106-RK-09</t>
        </is>
      </c>
      <c r="D1638" s="10" t="inlineStr">
        <is>
          <t>W4102604938</t>
        </is>
      </c>
      <c r="E1638" s="11" t="inlineStr">
        <is>
          <t>Beennte Lage / nur Handabbruch möglich</t>
        </is>
      </c>
      <c r="F1638" s="10" t="inlineStr">
        <is>
          <t>Termin</t>
        </is>
      </c>
      <c r="G1638" s="12" t="n">
        <v>0.15</v>
      </c>
      <c r="H1638" s="13" t="n">
        <v>69</v>
      </c>
      <c r="I1638" s="13" t="n">
        <v>173</v>
      </c>
      <c r="J1638" s="13" t="n">
        <v>432</v>
      </c>
      <c r="K1638" s="14">
        <f>IF(OR(COUNT(G1638:J1638)&lt;&gt;4,G1638&lt;0,G1638&gt;1,H1638&gt;I1638,I1638&gt;J1638),"n.a.",ROUND(G1638*(H1638+4*I1638+J1638)/6+0.00000001,2))</f>
        <v/>
      </c>
      <c r="L1638" s="13" t="n">
        <v>0</v>
      </c>
      <c r="M1638" s="14">
        <f>SUMIFS(Maßnahmen!$I$7:$I$126,Maßnahmen!$D$7:$D$126,C1638,Maßnahmen!$H$7:$H$126,"&lt;&gt;verworfen")</f>
        <v/>
      </c>
      <c r="N1638" s="14">
        <f>IF(ISNUMBER(K1638),MAX(0,K1638-L1638-M1638),"n.a.")</f>
        <v/>
      </c>
      <c r="O1638" s="14" t="n">
        <v>29.83</v>
      </c>
      <c r="P1638" s="14">
        <f>IF(ISNUMBER(K1638),K1638-O1638,"n.a.")</f>
        <v/>
      </c>
    </row>
    <row r="1639" ht="32" customHeight="1">
      <c r="C1639" s="10" t="inlineStr">
        <is>
          <t>PRJ-38307106-RK-10</t>
        </is>
      </c>
      <c r="D1639" s="10" t="inlineStr">
        <is>
          <t>W4102604938</t>
        </is>
      </c>
      <c r="E1639" s="11" t="inlineStr">
        <is>
          <t>Terminvorgabe Auftraggeber / Geräteauslastung</t>
        </is>
      </c>
      <c r="F1639" s="10" t="inlineStr">
        <is>
          <t>Termin</t>
        </is>
      </c>
      <c r="G1639" s="12" t="n">
        <v>0.1</v>
      </c>
      <c r="H1639" s="13" t="n">
        <v>69</v>
      </c>
      <c r="I1639" s="13" t="n">
        <v>173</v>
      </c>
      <c r="J1639" s="13" t="n">
        <v>432</v>
      </c>
      <c r="K1639" s="14">
        <f>IF(OR(COUNT(G1639:J1639)&lt;&gt;4,G1639&lt;0,G1639&gt;1,H1639&gt;I1639,I1639&gt;J1639),"n.a.",ROUND(G1639*(H1639+4*I1639+J1639)/6+0.00000001,2))</f>
        <v/>
      </c>
      <c r="L1639" s="13" t="n">
        <v>0</v>
      </c>
      <c r="M1639" s="14">
        <f>SUMIFS(Maßnahmen!$I$7:$I$126,Maßnahmen!$D$7:$D$126,C1639,Maßnahmen!$H$7:$H$126,"&lt;&gt;verworfen")</f>
        <v/>
      </c>
      <c r="N1639" s="14">
        <f>IF(ISNUMBER(K1639),MAX(0,K1639-L1639-M1639),"n.a.")</f>
        <v/>
      </c>
      <c r="O1639" s="14" t="n">
        <v>19.88</v>
      </c>
      <c r="P1639" s="14">
        <f>IF(ISNUMBER(K1639),K1639-O1639,"n.a.")</f>
        <v/>
      </c>
    </row>
    <row r="1640" ht="32" customHeight="1">
      <c r="C1640" s="10" t="inlineStr">
        <is>
          <t>PRJ-38307106-RK-11</t>
        </is>
      </c>
      <c r="D1640" s="10" t="inlineStr">
        <is>
          <t>W4102604938</t>
        </is>
      </c>
      <c r="E1640" s="11" t="inlineStr">
        <is>
          <t>Witterung / Ablaufstörung</t>
        </is>
      </c>
      <c r="F1640" s="10" t="inlineStr">
        <is>
          <t>Termin</t>
        </is>
      </c>
      <c r="G1640" s="12" t="n">
        <v>0.25</v>
      </c>
      <c r="H1640" s="13" t="n">
        <v>86</v>
      </c>
      <c r="I1640" s="13" t="n">
        <v>259</v>
      </c>
      <c r="J1640" s="13" t="n">
        <v>518</v>
      </c>
      <c r="K1640" s="14">
        <f>IF(OR(COUNT(G1640:J1640)&lt;&gt;4,G1640&lt;0,G1640&gt;1,H1640&gt;I1640,I1640&gt;J1640),"n.a.",ROUND(G1640*(H1640+4*I1640+J1640)/6+0.00000001,2))</f>
        <v/>
      </c>
      <c r="L1640" s="13" t="n">
        <v>0</v>
      </c>
      <c r="M1640" s="14">
        <f>SUMIFS(Maßnahmen!$I$7:$I$126,Maßnahmen!$D$7:$D$126,C1640,Maßnahmen!$H$7:$H$126,"&lt;&gt;verworfen")</f>
        <v/>
      </c>
      <c r="N1640" s="14">
        <f>IF(ISNUMBER(K1640),MAX(0,K1640-L1640-M1640),"n.a.")</f>
        <v/>
      </c>
      <c r="O1640" s="14" t="n">
        <v>68.33</v>
      </c>
      <c r="P1640" s="14">
        <f>IF(ISNUMBER(K1640),K1640-O1640,"n.a.")</f>
        <v/>
      </c>
    </row>
    <row r="1641" ht="32" customHeight="1">
      <c r="C1641" s="10" t="inlineStr">
        <is>
          <t>PRJ-38307106-RK-12</t>
        </is>
      </c>
      <c r="D1641" s="10" t="inlineStr">
        <is>
          <t>W4102604938</t>
        </is>
      </c>
      <c r="E1641" s="11" t="inlineStr">
        <is>
          <t>Staubemissionen (höchster Aufwand laut Umfrage)</t>
        </is>
      </c>
      <c r="F1641" s="10" t="inlineStr">
        <is>
          <t>Emissionen</t>
        </is>
      </c>
      <c r="G1641" s="12" t="n">
        <v>0.1</v>
      </c>
      <c r="H1641" s="13" t="n">
        <v>259</v>
      </c>
      <c r="I1641" s="13" t="n">
        <v>518</v>
      </c>
      <c r="J1641" s="13" t="n">
        <v>1036</v>
      </c>
      <c r="K1641" s="14">
        <f>IF(OR(COUNT(G1641:J1641)&lt;&gt;4,G1641&lt;0,G1641&gt;1,H1641&gt;I1641,I1641&gt;J1641),"n.a.",ROUND(G1641*(H1641+4*I1641+J1641)/6+0.00000001,2))</f>
        <v/>
      </c>
      <c r="L1641" s="13" t="n">
        <v>0</v>
      </c>
      <c r="M1641" s="14">
        <f>SUMIFS(Maßnahmen!$I$7:$I$126,Maßnahmen!$D$7:$D$126,C1641,Maßnahmen!$H$7:$H$126,"&lt;&gt;verworfen")</f>
        <v/>
      </c>
      <c r="N1641" s="14">
        <f>IF(ISNUMBER(K1641),MAX(0,K1641-L1641-M1641),"n.a.")</f>
        <v/>
      </c>
      <c r="O1641" s="14" t="n">
        <v>56.12</v>
      </c>
      <c r="P1641" s="14">
        <f>IF(ISNUMBER(K1641),K1641-O1641,"n.a.")</f>
        <v/>
      </c>
    </row>
    <row r="1642" ht="32" customHeight="1">
      <c r="C1642" s="10" t="inlineStr">
        <is>
          <t>PRJ-38307106-RK-13</t>
        </is>
      </c>
      <c r="D1642" s="10" t="inlineStr">
        <is>
          <t>W4102604938</t>
        </is>
      </c>
      <c r="E1642" s="11" t="inlineStr">
        <is>
          <t>Lärm- und Erschütterungsauflagen</t>
        </is>
      </c>
      <c r="F1642" s="10" t="inlineStr">
        <is>
          <t>Emissionen</t>
        </is>
      </c>
      <c r="G1642" s="12" t="n">
        <v>0.2</v>
      </c>
      <c r="H1642" s="13" t="n">
        <v>173</v>
      </c>
      <c r="I1642" s="13" t="n">
        <v>432</v>
      </c>
      <c r="J1642" s="13" t="n">
        <v>864</v>
      </c>
      <c r="K1642" s="14">
        <f>IF(OR(COUNT(G1642:J1642)&lt;&gt;4,G1642&lt;0,G1642&gt;1,H1642&gt;I1642,I1642&gt;J1642),"n.a.",ROUND(G1642*(H1642+4*I1642+J1642)/6+0.00000001,2))</f>
        <v/>
      </c>
      <c r="L1642" s="13" t="n">
        <v>0</v>
      </c>
      <c r="M1642" s="14">
        <f>SUMIFS(Maßnahmen!$I$7:$I$126,Maßnahmen!$D$7:$D$126,C1642,Maßnahmen!$H$7:$H$126,"&lt;&gt;verworfen")</f>
        <v/>
      </c>
      <c r="N1642" s="14">
        <f>IF(ISNUMBER(K1642),MAX(0,K1642-L1642-M1642),"n.a.")</f>
        <v/>
      </c>
      <c r="O1642" s="14" t="n">
        <v>92.17</v>
      </c>
      <c r="P1642" s="14">
        <f>IF(ISNUMBER(K1642),K1642-O1642,"n.a.")</f>
        <v/>
      </c>
    </row>
    <row r="1643" ht="32" customHeight="1">
      <c r="C1643" s="10" t="inlineStr">
        <is>
          <t>PRJ-38307106-RK-14</t>
        </is>
      </c>
      <c r="D1643" s="10" t="inlineStr">
        <is>
          <t>W4102604938</t>
        </is>
      </c>
      <c r="E1643" s="11" t="inlineStr">
        <is>
          <t>Rechtliche Auflagen / Entsorgungsnachweise (Formalismus)</t>
        </is>
      </c>
      <c r="F1643" s="10" t="inlineStr">
        <is>
          <t>Genehmigung</t>
        </is>
      </c>
      <c r="G1643" s="12" t="n">
        <v>0.4</v>
      </c>
      <c r="H1643" s="13" t="n">
        <v>820</v>
      </c>
      <c r="I1643" s="13" t="n">
        <v>1598</v>
      </c>
      <c r="J1643" s="13" t="n">
        <v>3023</v>
      </c>
      <c r="K1643" s="14">
        <f>IF(OR(COUNT(G1643:J1643)&lt;&gt;4,G1643&lt;0,G1643&gt;1,H1643&gt;I1643,I1643&gt;J1643),"n.a.",ROUND(G1643*(H1643+4*I1643+J1643)/6+0.00000001,2))</f>
        <v/>
      </c>
      <c r="L1643" s="13" t="n">
        <v>0</v>
      </c>
      <c r="M1643" s="14">
        <f>SUMIFS(Maßnahmen!$I$7:$I$126,Maßnahmen!$D$7:$D$126,C1643,Maßnahmen!$H$7:$H$126,"&lt;&gt;verworfen")</f>
        <v/>
      </c>
      <c r="N1643" s="14">
        <f>IF(ISNUMBER(K1643),MAX(0,K1643-L1643-M1643),"n.a.")</f>
        <v/>
      </c>
      <c r="O1643" s="14" t="n">
        <v>682.33</v>
      </c>
      <c r="P1643" s="14">
        <f>IF(ISNUMBER(K1643),K1643-O1643,"n.a.")</f>
        <v/>
      </c>
    </row>
    <row r="1644" ht="32" customHeight="1">
      <c r="C1644" s="10" t="inlineStr">
        <is>
          <t>PRJ-38307106-RK-15</t>
        </is>
      </c>
      <c r="D1644" s="10" t="inlineStr">
        <is>
          <t>W4102604938</t>
        </is>
      </c>
      <c r="E1644" s="11" t="inlineStr">
        <is>
          <t>Konjunktur / Sekundärstoffpreise &amp; Gerätemiete</t>
        </is>
      </c>
      <c r="F1644" s="10" t="inlineStr">
        <is>
          <t>Markt</t>
        </is>
      </c>
      <c r="G1644" s="12" t="n">
        <v>0.12</v>
      </c>
      <c r="H1644" s="13" t="n">
        <v>69</v>
      </c>
      <c r="I1644" s="13" t="n">
        <v>173</v>
      </c>
      <c r="J1644" s="13" t="n">
        <v>432</v>
      </c>
      <c r="K1644" s="14">
        <f>IF(OR(COUNT(G1644:J1644)&lt;&gt;4,G1644&lt;0,G1644&gt;1,H1644&gt;I1644,I1644&gt;J1644),"n.a.",ROUND(G1644*(H1644+4*I1644+J1644)/6+0.00000001,2))</f>
        <v/>
      </c>
      <c r="L1644" s="13" t="n">
        <v>0</v>
      </c>
      <c r="M1644" s="14">
        <f>SUMIFS(Maßnahmen!$I$7:$I$126,Maßnahmen!$D$7:$D$126,C1644,Maßnahmen!$H$7:$H$126,"&lt;&gt;verworfen")</f>
        <v/>
      </c>
      <c r="N1644" s="14">
        <f>IF(ISNUMBER(K1644),MAX(0,K1644-L1644-M1644),"n.a.")</f>
        <v/>
      </c>
      <c r="O1644" s="14" t="n">
        <v>23.86</v>
      </c>
      <c r="P1644" s="14">
        <f>IF(ISNUMBER(K1644),K1644-O1644,"n.a.")</f>
        <v/>
      </c>
    </row>
    <row r="1645" ht="32" customHeight="1">
      <c r="C1645" s="10" t="inlineStr">
        <is>
          <t>PRJ-4a725ef8-RK-01</t>
        </is>
      </c>
      <c r="D1645" s="10" t="inlineStr">
        <is>
          <t>P4102602023</t>
        </is>
      </c>
      <c r="E1645" s="11" t="inlineStr">
        <is>
          <t>Schadstofffund / Schadstoffsanierung (Asbest, PAK, PCB, PCP)</t>
        </is>
      </c>
      <c r="F1645" s="10" t="inlineStr">
        <is>
          <t>Schadstoffe</t>
        </is>
      </c>
      <c r="G1645" s="12" t="n">
        <v>0.1</v>
      </c>
      <c r="H1645" s="13" t="n">
        <v>106</v>
      </c>
      <c r="I1645" s="13" t="n">
        <v>265</v>
      </c>
      <c r="J1645" s="13" t="n">
        <v>529</v>
      </c>
      <c r="K1645" s="14">
        <f>IF(OR(COUNT(G1645:J1645)&lt;&gt;4,G1645&lt;0,G1645&gt;1,H1645&gt;I1645,I1645&gt;J1645),"n.a.",ROUND(G1645*(H1645+4*I1645+J1645)/6+0.00000001,2))</f>
        <v/>
      </c>
      <c r="L1645" s="13" t="n">
        <v>0</v>
      </c>
      <c r="M1645" s="14">
        <f>SUMIFS(Maßnahmen!$I$7:$I$126,Maßnahmen!$D$7:$D$126,C1645,Maßnahmen!$H$7:$H$126,"&lt;&gt;verworfen")</f>
        <v/>
      </c>
      <c r="N1645" s="14">
        <f>IF(ISNUMBER(K1645),MAX(0,K1645-L1645-M1645),"n.a.")</f>
        <v/>
      </c>
      <c r="O1645" s="14" t="n">
        <v>28.25</v>
      </c>
      <c r="P1645" s="14">
        <f>IF(ISNUMBER(K1645),K1645-O1645,"n.a.")</f>
        <v/>
      </c>
    </row>
    <row r="1646" ht="32" customHeight="1">
      <c r="C1646" s="10" t="inlineStr">
        <is>
          <t>PRJ-4a725ef8-RK-02</t>
        </is>
      </c>
      <c r="D1646" s="10" t="inlineStr">
        <is>
          <t>P4102602023</t>
        </is>
      </c>
      <c r="E1646" s="11" t="inlineStr">
        <is>
          <t>Arbeitsschutz kontaminierte Bereiche (TRGS 524)</t>
        </is>
      </c>
      <c r="F1646" s="10" t="inlineStr">
        <is>
          <t>Schadstoffe</t>
        </is>
      </c>
      <c r="G1646" s="12" t="n">
        <v>0.1</v>
      </c>
      <c r="H1646" s="13" t="n">
        <v>26</v>
      </c>
      <c r="I1646" s="13" t="n">
        <v>53</v>
      </c>
      <c r="J1646" s="13" t="n">
        <v>106</v>
      </c>
      <c r="K1646" s="14">
        <f>IF(OR(COUNT(G1646:J1646)&lt;&gt;4,G1646&lt;0,G1646&gt;1,H1646&gt;I1646,I1646&gt;J1646),"n.a.",ROUND(G1646*(H1646+4*I1646+J1646)/6+0.00000001,2))</f>
        <v/>
      </c>
      <c r="L1646" s="13" t="n">
        <v>0</v>
      </c>
      <c r="M1646" s="14">
        <f>SUMIFS(Maßnahmen!$I$7:$I$126,Maßnahmen!$D$7:$D$126,C1646,Maßnahmen!$H$7:$H$126,"&lt;&gt;verworfen")</f>
        <v/>
      </c>
      <c r="N1646" s="14">
        <f>IF(ISNUMBER(K1646),MAX(0,K1646-L1646-M1646),"n.a.")</f>
        <v/>
      </c>
      <c r="O1646" s="14" t="n">
        <v>5.73</v>
      </c>
      <c r="P1646" s="14">
        <f>IF(ISNUMBER(K1646),K1646-O1646,"n.a.")</f>
        <v/>
      </c>
    </row>
    <row r="1647" ht="32" customHeight="1">
      <c r="C1647" s="10" t="inlineStr">
        <is>
          <t>PRJ-4a725ef8-RK-03</t>
        </is>
      </c>
      <c r="D1647" s="10" t="inlineStr">
        <is>
          <t>P4102602023</t>
        </is>
      </c>
      <c r="E1647" s="11" t="inlineStr">
        <is>
          <t>Entsorgungs-Mehrkosten / Entsorgungswege</t>
        </is>
      </c>
      <c r="F1647" s="10" t="inlineStr">
        <is>
          <t>Entsorgung</t>
        </is>
      </c>
      <c r="G1647" s="12" t="n">
        <v>0.15</v>
      </c>
      <c r="H1647" s="13" t="n">
        <v>106</v>
      </c>
      <c r="I1647" s="13" t="n">
        <v>265</v>
      </c>
      <c r="J1647" s="13" t="n">
        <v>529</v>
      </c>
      <c r="K1647" s="14">
        <f>IF(OR(COUNT(G1647:J1647)&lt;&gt;4,G1647&lt;0,G1647&gt;1,H1647&gt;I1647,I1647&gt;J1647),"n.a.",ROUND(G1647*(H1647+4*I1647+J1647)/6+0.00000001,2))</f>
        <v/>
      </c>
      <c r="L1647" s="13" t="n">
        <v>0</v>
      </c>
      <c r="M1647" s="14">
        <f>SUMIFS(Maßnahmen!$I$7:$I$126,Maßnahmen!$D$7:$D$126,C1647,Maßnahmen!$H$7:$H$126,"&lt;&gt;verworfen")</f>
        <v/>
      </c>
      <c r="N1647" s="14">
        <f>IF(ISNUMBER(K1647),MAX(0,K1647-L1647-M1647),"n.a.")</f>
        <v/>
      </c>
      <c r="O1647" s="14" t="n">
        <v>42.38</v>
      </c>
      <c r="P1647" s="14">
        <f>IF(ISNUMBER(K1647),K1647-O1647,"n.a.")</f>
        <v/>
      </c>
    </row>
    <row r="1648" ht="32" customHeight="1">
      <c r="C1648" s="10" t="inlineStr">
        <is>
          <t>PRJ-4a725ef8-RK-04</t>
        </is>
      </c>
      <c r="D1648" s="10" t="inlineStr">
        <is>
          <t>P4102602023</t>
        </is>
      </c>
      <c r="E1648" s="11" t="inlineStr">
        <is>
          <t>Baustofftrennung / Aufbereitung nicht wie geplant</t>
        </is>
      </c>
      <c r="F1648" s="10" t="inlineStr">
        <is>
          <t>Entsorgung</t>
        </is>
      </c>
      <c r="G1648" s="12" t="n">
        <v>0.08</v>
      </c>
      <c r="H1648" s="13" t="n">
        <v>26</v>
      </c>
      <c r="I1648" s="13" t="n">
        <v>53</v>
      </c>
      <c r="J1648" s="13" t="n">
        <v>106</v>
      </c>
      <c r="K1648" s="14">
        <f>IF(OR(COUNT(G1648:J1648)&lt;&gt;4,G1648&lt;0,G1648&gt;1,H1648&gt;I1648,I1648&gt;J1648),"n.a.",ROUND(G1648*(H1648+4*I1648+J1648)/6+0.00000001,2))</f>
        <v/>
      </c>
      <c r="L1648" s="13" t="n">
        <v>0</v>
      </c>
      <c r="M1648" s="14">
        <f>SUMIFS(Maßnahmen!$I$7:$I$126,Maßnahmen!$D$7:$D$126,C1648,Maßnahmen!$H$7:$H$126,"&lt;&gt;verworfen")</f>
        <v/>
      </c>
      <c r="N1648" s="14">
        <f>IF(ISNUMBER(K1648),MAX(0,K1648-L1648-M1648),"n.a.")</f>
        <v/>
      </c>
      <c r="O1648" s="14" t="n">
        <v>4.59</v>
      </c>
      <c r="P1648" s="14">
        <f>IF(ISNUMBER(K1648),K1648-O1648,"n.a.")</f>
        <v/>
      </c>
    </row>
    <row r="1649" ht="32" customHeight="1">
      <c r="C1649" s="10" t="inlineStr">
        <is>
          <t>PRJ-4a725ef8-RK-05</t>
        </is>
      </c>
      <c r="D1649" s="10" t="inlineStr">
        <is>
          <t>P4102602023</t>
        </is>
      </c>
      <c r="E1649" s="11" t="inlineStr">
        <is>
          <t>Unbekannte Bauwerkskonstruktion / fehlende Pläne</t>
        </is>
      </c>
      <c r="F1649" s="10" t="inlineStr">
        <is>
          <t>Statik</t>
        </is>
      </c>
      <c r="G1649" s="12" t="n">
        <v>0.12</v>
      </c>
      <c r="H1649" s="13" t="n">
        <v>212</v>
      </c>
      <c r="I1649" s="13" t="n">
        <v>423</v>
      </c>
      <c r="J1649" s="13" t="n">
        <v>794</v>
      </c>
      <c r="K1649" s="14">
        <f>IF(OR(COUNT(G1649:J1649)&lt;&gt;4,G1649&lt;0,G1649&gt;1,H1649&gt;I1649,I1649&gt;J1649),"n.a.",ROUND(G1649*(H1649+4*I1649+J1649)/6+0.00000001,2))</f>
        <v/>
      </c>
      <c r="L1649" s="13" t="n">
        <v>0</v>
      </c>
      <c r="M1649" s="14">
        <f>SUMIFS(Maßnahmen!$I$7:$I$126,Maßnahmen!$D$7:$D$126,C1649,Maßnahmen!$H$7:$H$126,"&lt;&gt;verworfen")</f>
        <v/>
      </c>
      <c r="N1649" s="14">
        <f>IF(ISNUMBER(K1649),MAX(0,K1649-L1649-M1649),"n.a.")</f>
        <v/>
      </c>
      <c r="O1649" s="14" t="n">
        <v>53.96</v>
      </c>
      <c r="P1649" s="14">
        <f>IF(ISNUMBER(K1649),K1649-O1649,"n.a.")</f>
        <v/>
      </c>
    </row>
    <row r="1650" ht="32" customHeight="1">
      <c r="C1650" s="10" t="inlineStr">
        <is>
          <t>PRJ-4a725ef8-RK-11</t>
        </is>
      </c>
      <c r="D1650" s="10" t="inlineStr">
        <is>
          <t>P4102602023</t>
        </is>
      </c>
      <c r="E1650" s="11" t="inlineStr">
        <is>
          <t>Witterung / Ablaufstörung</t>
        </is>
      </c>
      <c r="F1650" s="10" t="inlineStr">
        <is>
          <t>Termin</t>
        </is>
      </c>
      <c r="G1650" s="12" t="n">
        <v>0.25</v>
      </c>
      <c r="H1650" s="13" t="n">
        <v>53</v>
      </c>
      <c r="I1650" s="13" t="n">
        <v>159</v>
      </c>
      <c r="J1650" s="13" t="n">
        <v>318</v>
      </c>
      <c r="K1650" s="14">
        <f>IF(OR(COUNT(G1650:J1650)&lt;&gt;4,G1650&lt;0,G1650&gt;1,H1650&gt;I1650,I1650&gt;J1650),"n.a.",ROUND(G1650*(H1650+4*I1650+J1650)/6+0.00000001,2))</f>
        <v/>
      </c>
      <c r="L1650" s="13" t="n">
        <v>0</v>
      </c>
      <c r="M1650" s="14">
        <f>SUMIFS(Maßnahmen!$I$7:$I$126,Maßnahmen!$D$7:$D$126,C1650,Maßnahmen!$H$7:$H$126,"&lt;&gt;verworfen")</f>
        <v/>
      </c>
      <c r="N1650" s="14">
        <f>IF(ISNUMBER(K1650),MAX(0,K1650-L1650-M1650),"n.a.")</f>
        <v/>
      </c>
      <c r="O1650" s="14" t="n">
        <v>41.96</v>
      </c>
      <c r="P1650" s="14">
        <f>IF(ISNUMBER(K1650),K1650-O1650,"n.a.")</f>
        <v/>
      </c>
    </row>
    <row r="1651" ht="32" customHeight="1">
      <c r="C1651" s="10" t="inlineStr">
        <is>
          <t>PRJ-4f8e93b2-RK-01</t>
        </is>
      </c>
      <c r="D1651" s="10" t="inlineStr">
        <is>
          <t>P4102307449</t>
        </is>
      </c>
      <c r="E1651" s="11" t="inlineStr">
        <is>
          <t>Schadstofffund / Schadstoffsanierung (Asbest, PAK, PCB, PCP)</t>
        </is>
      </c>
      <c r="F1651" s="10" t="inlineStr">
        <is>
          <t>Schadstoffe</t>
        </is>
      </c>
      <c r="G1651" s="12" t="n">
        <v>0.1</v>
      </c>
      <c r="H1651" s="13" t="n">
        <v>41</v>
      </c>
      <c r="I1651" s="13" t="n">
        <v>102</v>
      </c>
      <c r="J1651" s="13" t="n">
        <v>203</v>
      </c>
      <c r="K1651" s="14">
        <f>IF(OR(COUNT(G1651:J1651)&lt;&gt;4,G1651&lt;0,G1651&gt;1,H1651&gt;I1651,I1651&gt;J1651),"n.a.",ROUND(G1651*(H1651+4*I1651+J1651)/6+0.00000001,2))</f>
        <v/>
      </c>
      <c r="L1651" s="13" t="n">
        <v>0</v>
      </c>
      <c r="M1651" s="14">
        <f>SUMIFS(Maßnahmen!$I$7:$I$126,Maßnahmen!$D$7:$D$126,C1651,Maßnahmen!$H$7:$H$126,"&lt;&gt;verworfen")</f>
        <v/>
      </c>
      <c r="N1651" s="14">
        <f>IF(ISNUMBER(K1651),MAX(0,K1651-L1651-M1651),"n.a.")</f>
        <v/>
      </c>
      <c r="O1651" s="14" t="n">
        <v>10.87</v>
      </c>
      <c r="P1651" s="14">
        <f>IF(ISNUMBER(K1651),K1651-O1651,"n.a.")</f>
        <v/>
      </c>
    </row>
    <row r="1652" ht="32" customHeight="1">
      <c r="C1652" s="10" t="inlineStr">
        <is>
          <t>PRJ-4f8e93b2-RK-02</t>
        </is>
      </c>
      <c r="D1652" s="10" t="inlineStr">
        <is>
          <t>P4102307449</t>
        </is>
      </c>
      <c r="E1652" s="11" t="inlineStr">
        <is>
          <t>Arbeitsschutz kontaminierte Bereiche (TRGS 524)</t>
        </is>
      </c>
      <c r="F1652" s="10" t="inlineStr">
        <is>
          <t>Schadstoffe</t>
        </is>
      </c>
      <c r="G1652" s="12" t="n">
        <v>0.1</v>
      </c>
      <c r="H1652" s="13" t="n">
        <v>10</v>
      </c>
      <c r="I1652" s="13" t="n">
        <v>20</v>
      </c>
      <c r="J1652" s="13" t="n">
        <v>41</v>
      </c>
      <c r="K1652" s="14">
        <f>IF(OR(COUNT(G1652:J1652)&lt;&gt;4,G1652&lt;0,G1652&gt;1,H1652&gt;I1652,I1652&gt;J1652),"n.a.",ROUND(G1652*(H1652+4*I1652+J1652)/6+0.00000001,2))</f>
        <v/>
      </c>
      <c r="L1652" s="13" t="n">
        <v>0</v>
      </c>
      <c r="M1652" s="14">
        <f>SUMIFS(Maßnahmen!$I$7:$I$126,Maßnahmen!$D$7:$D$126,C1652,Maßnahmen!$H$7:$H$126,"&lt;&gt;verworfen")</f>
        <v/>
      </c>
      <c r="N1652" s="14">
        <f>IF(ISNUMBER(K1652),MAX(0,K1652-L1652-M1652),"n.a.")</f>
        <v/>
      </c>
      <c r="O1652" s="14" t="n">
        <v>2.18</v>
      </c>
      <c r="P1652" s="14">
        <f>IF(ISNUMBER(K1652),K1652-O1652,"n.a.")</f>
        <v/>
      </c>
    </row>
    <row r="1653" ht="32" customHeight="1">
      <c r="C1653" s="10" t="inlineStr">
        <is>
          <t>PRJ-4f8e93b2-RK-03</t>
        </is>
      </c>
      <c r="D1653" s="10" t="inlineStr">
        <is>
          <t>P4102307449</t>
        </is>
      </c>
      <c r="E1653" s="11" t="inlineStr">
        <is>
          <t>Entsorgungs-Mehrkosten / Entsorgungswege</t>
        </is>
      </c>
      <c r="F1653" s="10" t="inlineStr">
        <is>
          <t>Entsorgung</t>
        </is>
      </c>
      <c r="G1653" s="12" t="n">
        <v>0.27</v>
      </c>
      <c r="H1653" s="13" t="n">
        <v>41</v>
      </c>
      <c r="I1653" s="13" t="n">
        <v>102</v>
      </c>
      <c r="J1653" s="13" t="n">
        <v>203</v>
      </c>
      <c r="K1653" s="14">
        <f>IF(OR(COUNT(G1653:J1653)&lt;&gt;4,G1653&lt;0,G1653&gt;1,H1653&gt;I1653,I1653&gt;J1653),"n.a.",ROUND(G1653*(H1653+4*I1653+J1653)/6+0.00000001,2))</f>
        <v/>
      </c>
      <c r="L1653" s="13" t="n">
        <v>0</v>
      </c>
      <c r="M1653" s="14">
        <f>SUMIFS(Maßnahmen!$I$7:$I$126,Maßnahmen!$D$7:$D$126,C1653,Maßnahmen!$H$7:$H$126,"&lt;&gt;verworfen")</f>
        <v/>
      </c>
      <c r="N1653" s="14">
        <f>IF(ISNUMBER(K1653),MAX(0,K1653-L1653-M1653),"n.a.")</f>
        <v/>
      </c>
      <c r="O1653" s="14" t="n">
        <v>29.34</v>
      </c>
      <c r="P1653" s="14">
        <f>IF(ISNUMBER(K1653),K1653-O1653,"n.a.")</f>
        <v/>
      </c>
    </row>
    <row r="1654" ht="32" customHeight="1">
      <c r="C1654" s="10" t="inlineStr">
        <is>
          <t>PRJ-4f8e97f4-RK-01</t>
        </is>
      </c>
      <c r="D1654" s="10" t="inlineStr">
        <is>
          <t>P4102307304</t>
        </is>
      </c>
      <c r="E1654" s="11" t="inlineStr">
        <is>
          <t>Schadstofffund / Schadstoffsanierung (Asbest, PAK, PCB, PCP)</t>
        </is>
      </c>
      <c r="F1654" s="10" t="inlineStr">
        <is>
          <t>Schadstoffe</t>
        </is>
      </c>
      <c r="G1654" s="12" t="n">
        <v>0.6</v>
      </c>
      <c r="H1654" s="13" t="n">
        <v>82</v>
      </c>
      <c r="I1654" s="13" t="n">
        <v>162</v>
      </c>
      <c r="J1654" s="13" t="n">
        <v>300</v>
      </c>
      <c r="K1654" s="14">
        <f>IF(OR(COUNT(G1654:J1654)&lt;&gt;4,G1654&lt;0,G1654&gt;1,H1654&gt;I1654,I1654&gt;J1654),"n.a.",ROUND(G1654*(H1654+4*I1654+J1654)/6+0.00000001,2))</f>
        <v/>
      </c>
      <c r="L1654" s="13" t="n">
        <v>0</v>
      </c>
      <c r="M1654" s="14">
        <f>SUMIFS(Maßnahmen!$I$7:$I$126,Maßnahmen!$D$7:$D$126,C1654,Maßnahmen!$H$7:$H$126,"&lt;&gt;verworfen")</f>
        <v/>
      </c>
      <c r="N1654" s="14">
        <f>IF(ISNUMBER(K1654),MAX(0,K1654-L1654-M1654),"n.a.")</f>
        <v/>
      </c>
      <c r="O1654" s="14" t="n">
        <v>103</v>
      </c>
      <c r="P1654" s="14">
        <f>IF(ISNUMBER(K1654),K1654-O1654,"n.a.")</f>
        <v/>
      </c>
    </row>
    <row r="1655" ht="32" customHeight="1">
      <c r="C1655" s="10" t="inlineStr">
        <is>
          <t>PRJ-4f8e97f4-RK-02</t>
        </is>
      </c>
      <c r="D1655" s="10" t="inlineStr">
        <is>
          <t>P4102307304</t>
        </is>
      </c>
      <c r="E1655" s="11" t="inlineStr">
        <is>
          <t>Arbeitsschutz kontaminierte Bereiche (TRGS 524)</t>
        </is>
      </c>
      <c r="F1655" s="10" t="inlineStr">
        <is>
          <t>Schadstoffe</t>
        </is>
      </c>
      <c r="G1655" s="12" t="n">
        <v>0.1</v>
      </c>
      <c r="H1655" s="13" t="n">
        <v>5</v>
      </c>
      <c r="I1655" s="13" t="n">
        <v>10</v>
      </c>
      <c r="J1655" s="13" t="n">
        <v>20</v>
      </c>
      <c r="K1655" s="14">
        <f>IF(OR(COUNT(G1655:J1655)&lt;&gt;4,G1655&lt;0,G1655&gt;1,H1655&gt;I1655,I1655&gt;J1655),"n.a.",ROUND(G1655*(H1655+4*I1655+J1655)/6+0.00000001,2))</f>
        <v/>
      </c>
      <c r="L1655" s="13" t="n">
        <v>0</v>
      </c>
      <c r="M1655" s="14">
        <f>SUMIFS(Maßnahmen!$I$7:$I$126,Maßnahmen!$D$7:$D$126,C1655,Maßnahmen!$H$7:$H$126,"&lt;&gt;verworfen")</f>
        <v/>
      </c>
      <c r="N1655" s="14">
        <f>IF(ISNUMBER(K1655),MAX(0,K1655-L1655-M1655),"n.a.")</f>
        <v/>
      </c>
      <c r="O1655" s="14" t="n">
        <v>1.08</v>
      </c>
      <c r="P1655" s="14">
        <f>IF(ISNUMBER(K1655),K1655-O1655,"n.a.")</f>
        <v/>
      </c>
    </row>
    <row r="1656" ht="32" customHeight="1">
      <c r="C1656" s="10" t="inlineStr">
        <is>
          <t>PRJ-4f8e97f4-RK-03</t>
        </is>
      </c>
      <c r="D1656" s="10" t="inlineStr">
        <is>
          <t>P4102307304</t>
        </is>
      </c>
      <c r="E1656" s="11" t="inlineStr">
        <is>
          <t>Entsorgungs-Mehrkosten / Entsorgungswege</t>
        </is>
      </c>
      <c r="F1656" s="10" t="inlineStr">
        <is>
          <t>Entsorgung</t>
        </is>
      </c>
      <c r="G1656" s="12" t="n">
        <v>0.15</v>
      </c>
      <c r="H1656" s="13" t="n">
        <v>20</v>
      </c>
      <c r="I1656" s="13" t="n">
        <v>50</v>
      </c>
      <c r="J1656" s="13" t="n">
        <v>100</v>
      </c>
      <c r="K1656" s="14">
        <f>IF(OR(COUNT(G1656:J1656)&lt;&gt;4,G1656&lt;0,G1656&gt;1,H1656&gt;I1656,I1656&gt;J1656),"n.a.",ROUND(G1656*(H1656+4*I1656+J1656)/6+0.00000001,2))</f>
        <v/>
      </c>
      <c r="L1656" s="13" t="n">
        <v>0</v>
      </c>
      <c r="M1656" s="14">
        <f>SUMIFS(Maßnahmen!$I$7:$I$126,Maßnahmen!$D$7:$D$126,C1656,Maßnahmen!$H$7:$H$126,"&lt;&gt;verworfen")</f>
        <v/>
      </c>
      <c r="N1656" s="14">
        <f>IF(ISNUMBER(K1656),MAX(0,K1656-L1656-M1656),"n.a.")</f>
        <v/>
      </c>
      <c r="O1656" s="14" t="n">
        <v>8</v>
      </c>
      <c r="P1656" s="14">
        <f>IF(ISNUMBER(K1656),K1656-O1656,"n.a.")</f>
        <v/>
      </c>
    </row>
    <row r="1657" ht="32" customHeight="1">
      <c r="C1657" s="10" t="inlineStr">
        <is>
          <t>PRJ-4f8e93b2-RK-04</t>
        </is>
      </c>
      <c r="D1657" s="10" t="inlineStr">
        <is>
          <t>P4102307449</t>
        </is>
      </c>
      <c r="E1657" s="11" t="inlineStr">
        <is>
          <t>Baustofftrennung / Aufbereitung nicht wie geplant</t>
        </is>
      </c>
      <c r="F1657" s="10" t="inlineStr">
        <is>
          <t>Entsorgung</t>
        </is>
      </c>
      <c r="G1657" s="12" t="n">
        <v>0.08</v>
      </c>
      <c r="H1657" s="13" t="n">
        <v>10</v>
      </c>
      <c r="I1657" s="13" t="n">
        <v>20</v>
      </c>
      <c r="J1657" s="13" t="n">
        <v>41</v>
      </c>
      <c r="K1657" s="14">
        <f>IF(OR(COUNT(G1657:J1657)&lt;&gt;4,G1657&lt;0,G1657&gt;1,H1657&gt;I1657,I1657&gt;J1657),"n.a.",ROUND(G1657*(H1657+4*I1657+J1657)/6+0.00000001,2))</f>
        <v/>
      </c>
      <c r="L1657" s="13" t="n">
        <v>0</v>
      </c>
      <c r="M1657" s="14">
        <f>SUMIFS(Maßnahmen!$I$7:$I$126,Maßnahmen!$D$7:$D$126,C1657,Maßnahmen!$H$7:$H$126,"&lt;&gt;verworfen")</f>
        <v/>
      </c>
      <c r="N1657" s="14">
        <f>IF(ISNUMBER(K1657),MAX(0,K1657-L1657-M1657),"n.a.")</f>
        <v/>
      </c>
      <c r="O1657" s="14" t="n">
        <v>1.75</v>
      </c>
      <c r="P1657" s="14">
        <f>IF(ISNUMBER(K1657),K1657-O1657,"n.a.")</f>
        <v/>
      </c>
    </row>
    <row r="1658" ht="32" customHeight="1">
      <c r="C1658" s="10" t="inlineStr">
        <is>
          <t>PRJ-4f8e93b2-RK-05</t>
        </is>
      </c>
      <c r="D1658" s="10" t="inlineStr">
        <is>
          <t>P4102307449</t>
        </is>
      </c>
      <c r="E1658" s="11" t="inlineStr">
        <is>
          <t>Unbekannte Bauwerkskonstruktion / fehlende Pläne</t>
        </is>
      </c>
      <c r="F1658" s="10" t="inlineStr">
        <is>
          <t>Statik</t>
        </is>
      </c>
      <c r="G1658" s="12" t="n">
        <v>0.12</v>
      </c>
      <c r="H1658" s="13" t="n">
        <v>81</v>
      </c>
      <c r="I1658" s="13" t="n">
        <v>162</v>
      </c>
      <c r="J1658" s="13" t="n">
        <v>305</v>
      </c>
      <c r="K1658" s="14">
        <f>IF(OR(COUNT(G1658:J1658)&lt;&gt;4,G1658&lt;0,G1658&gt;1,H1658&gt;I1658,I1658&gt;J1658),"n.a.",ROUND(G1658*(H1658+4*I1658+J1658)/6+0.00000001,2))</f>
        <v/>
      </c>
      <c r="L1658" s="13" t="n">
        <v>0</v>
      </c>
      <c r="M1658" s="14">
        <f>SUMIFS(Maßnahmen!$I$7:$I$126,Maßnahmen!$D$7:$D$126,C1658,Maßnahmen!$H$7:$H$126,"&lt;&gt;verworfen")</f>
        <v/>
      </c>
      <c r="N1658" s="14">
        <f>IF(ISNUMBER(K1658),MAX(0,K1658-L1658-M1658),"n.a.")</f>
        <v/>
      </c>
      <c r="O1658" s="14" t="n">
        <v>20.68</v>
      </c>
      <c r="P1658" s="14">
        <f>IF(ISNUMBER(K1658),K1658-O1658,"n.a.")</f>
        <v/>
      </c>
    </row>
    <row r="1659" ht="32" customHeight="1">
      <c r="C1659" s="10" t="inlineStr">
        <is>
          <t>PRJ-4f8e93b2-RK-06</t>
        </is>
      </c>
      <c r="D1659" s="10" t="inlineStr">
        <is>
          <t>P4102307449</t>
        </is>
      </c>
      <c r="E1659" s="11" t="inlineStr">
        <is>
          <t>Statik / Einsturzsicherung während Abbruch</t>
        </is>
      </c>
      <c r="F1659" s="10" t="inlineStr">
        <is>
          <t>Statik</t>
        </is>
      </c>
      <c r="G1659" s="12" t="n">
        <v>0.24</v>
      </c>
      <c r="H1659" s="13" t="n">
        <v>61</v>
      </c>
      <c r="I1659" s="13" t="n">
        <v>142</v>
      </c>
      <c r="J1659" s="13" t="n">
        <v>284</v>
      </c>
      <c r="K1659" s="14">
        <f>IF(OR(COUNT(G1659:J1659)&lt;&gt;4,G1659&lt;0,G1659&gt;1,H1659&gt;I1659,I1659&gt;J1659),"n.a.",ROUND(G1659*(H1659+4*I1659+J1659)/6+0.00000001,2))</f>
        <v/>
      </c>
      <c r="L1659" s="13" t="n">
        <v>0</v>
      </c>
      <c r="M1659" s="14">
        <f>SUMIFS(Maßnahmen!$I$7:$I$126,Maßnahmen!$D$7:$D$126,C1659,Maßnahmen!$H$7:$H$126,"&lt;&gt;verworfen")</f>
        <v/>
      </c>
      <c r="N1659" s="14">
        <f>IF(ISNUMBER(K1659),MAX(0,K1659-L1659-M1659),"n.a.")</f>
        <v/>
      </c>
      <c r="O1659" s="14" t="n">
        <v>36.52</v>
      </c>
      <c r="P1659" s="14">
        <f>IF(ISNUMBER(K1659),K1659-O1659,"n.a.")</f>
        <v/>
      </c>
    </row>
    <row r="1660" ht="32" customHeight="1">
      <c r="C1660" s="10" t="inlineStr">
        <is>
          <t>PRJ-4f8e93b2-RK-07</t>
        </is>
      </c>
      <c r="D1660" s="10" t="inlineStr">
        <is>
          <t>P4102307449</t>
        </is>
      </c>
      <c r="E1660" s="11" t="inlineStr">
        <is>
          <t>Unterirdische Tragkonstruktion / Fundamente</t>
        </is>
      </c>
      <c r="F1660" s="10" t="inlineStr">
        <is>
          <t>Statik</t>
        </is>
      </c>
      <c r="G1660" s="12" t="n">
        <v>0.4</v>
      </c>
      <c r="H1660" s="13" t="n">
        <v>10</v>
      </c>
      <c r="I1660" s="13" t="n">
        <v>41</v>
      </c>
      <c r="J1660" s="13" t="n">
        <v>102</v>
      </c>
      <c r="K1660" s="14">
        <f>IF(OR(COUNT(G1660:J1660)&lt;&gt;4,G1660&lt;0,G1660&gt;1,H1660&gt;I1660,I1660&gt;J1660),"n.a.",ROUND(G1660*(H1660+4*I1660+J1660)/6+0.00000001,2))</f>
        <v/>
      </c>
      <c r="L1660" s="13" t="n">
        <v>0</v>
      </c>
      <c r="M1660" s="14">
        <f>SUMIFS(Maßnahmen!$I$7:$I$126,Maßnahmen!$D$7:$D$126,C1660,Maßnahmen!$H$7:$H$126,"&lt;&gt;verworfen")</f>
        <v/>
      </c>
      <c r="N1660" s="14">
        <f>IF(ISNUMBER(K1660),MAX(0,K1660-L1660-M1660),"n.a.")</f>
        <v/>
      </c>
      <c r="O1660" s="14" t="n">
        <v>18.4</v>
      </c>
      <c r="P1660" s="14">
        <f>IF(ISNUMBER(K1660),K1660-O1660,"n.a.")</f>
        <v/>
      </c>
    </row>
    <row r="1661" ht="32" customHeight="1">
      <c r="C1661" s="10" t="inlineStr">
        <is>
          <t>PRJ-4f8e93b2-RK-08</t>
        </is>
      </c>
      <c r="D1661" s="10" t="inlineStr">
        <is>
          <t>P4102307449</t>
        </is>
      </c>
      <c r="E1661" s="11" t="inlineStr">
        <is>
          <t>Gebäudehöhe &gt;22 m / Longfront-Bagger (+130–150 %)</t>
        </is>
      </c>
      <c r="F1661" s="10" t="inlineStr">
        <is>
          <t>Termin</t>
        </is>
      </c>
      <c r="G1661" s="12" t="n">
        <v>0.6</v>
      </c>
      <c r="H1661" s="13" t="n">
        <v>183</v>
      </c>
      <c r="I1661" s="13" t="n">
        <v>365</v>
      </c>
      <c r="J1661" s="13" t="n">
        <v>690</v>
      </c>
      <c r="K1661" s="14">
        <f>IF(OR(COUNT(G1661:J1661)&lt;&gt;4,G1661&lt;0,G1661&gt;1,H1661&gt;I1661,I1661&gt;J1661),"n.a.",ROUND(G1661*(H1661+4*I1661+J1661)/6+0.00000001,2))</f>
        <v/>
      </c>
      <c r="L1661" s="13" t="n">
        <v>0</v>
      </c>
      <c r="M1661" s="14">
        <f>SUMIFS(Maßnahmen!$I$7:$I$126,Maßnahmen!$D$7:$D$126,C1661,Maßnahmen!$H$7:$H$126,"&lt;&gt;verworfen")</f>
        <v/>
      </c>
      <c r="N1661" s="14">
        <f>IF(ISNUMBER(K1661),MAX(0,K1661-L1661-M1661),"n.a.")</f>
        <v/>
      </c>
      <c r="O1661" s="14" t="n">
        <v>233.3</v>
      </c>
      <c r="P1661" s="14">
        <f>IF(ISNUMBER(K1661),K1661-O1661,"n.a.")</f>
        <v/>
      </c>
    </row>
    <row r="1662" ht="32" customHeight="1">
      <c r="C1662" s="10" t="inlineStr">
        <is>
          <t>PRJ-4f8e93b2-RK-09</t>
        </is>
      </c>
      <c r="D1662" s="10" t="inlineStr">
        <is>
          <t>P4102307449</t>
        </is>
      </c>
      <c r="E1662" s="11" t="inlineStr">
        <is>
          <t>Beennte Lage / nur Handabbruch möglich</t>
        </is>
      </c>
      <c r="F1662" s="10" t="inlineStr">
        <is>
          <t>Termin</t>
        </is>
      </c>
      <c r="G1662" s="12" t="n">
        <v>0.15</v>
      </c>
      <c r="H1662" s="13" t="n">
        <v>16</v>
      </c>
      <c r="I1662" s="13" t="n">
        <v>41</v>
      </c>
      <c r="J1662" s="13" t="n">
        <v>102</v>
      </c>
      <c r="K1662" s="14">
        <f>IF(OR(COUNT(G1662:J1662)&lt;&gt;4,G1662&lt;0,G1662&gt;1,H1662&gt;I1662,I1662&gt;J1662),"n.a.",ROUND(G1662*(H1662+4*I1662+J1662)/6+0.00000001,2))</f>
        <v/>
      </c>
      <c r="L1662" s="13" t="n">
        <v>0</v>
      </c>
      <c r="M1662" s="14">
        <f>SUMIFS(Maßnahmen!$I$7:$I$126,Maßnahmen!$D$7:$D$126,C1662,Maßnahmen!$H$7:$H$126,"&lt;&gt;verworfen")</f>
        <v/>
      </c>
      <c r="N1662" s="14">
        <f>IF(ISNUMBER(K1662),MAX(0,K1662-L1662-M1662),"n.a.")</f>
        <v/>
      </c>
      <c r="O1662" s="14" t="n">
        <v>7.05</v>
      </c>
      <c r="P1662" s="14">
        <f>IF(ISNUMBER(K1662),K1662-O1662,"n.a.")</f>
        <v/>
      </c>
    </row>
    <row r="1663" ht="32" customHeight="1">
      <c r="C1663" s="10" t="inlineStr">
        <is>
          <t>PRJ-4f8e93b2-RK-10</t>
        </is>
      </c>
      <c r="D1663" s="10" t="inlineStr">
        <is>
          <t>P4102307449</t>
        </is>
      </c>
      <c r="E1663" s="11" t="inlineStr">
        <is>
          <t>Terminvorgabe Auftraggeber / Geräteauslastung</t>
        </is>
      </c>
      <c r="F1663" s="10" t="inlineStr">
        <is>
          <t>Termin</t>
        </is>
      </c>
      <c r="G1663" s="12" t="n">
        <v>0.08</v>
      </c>
      <c r="H1663" s="13" t="n">
        <v>10</v>
      </c>
      <c r="I1663" s="13" t="n">
        <v>20</v>
      </c>
      <c r="J1663" s="13" t="n">
        <v>41</v>
      </c>
      <c r="K1663" s="14">
        <f>IF(OR(COUNT(G1663:J1663)&lt;&gt;4,G1663&lt;0,G1663&gt;1,H1663&gt;I1663,I1663&gt;J1663),"n.a.",ROUND(G1663*(H1663+4*I1663+J1663)/6+0.00000001,2))</f>
        <v/>
      </c>
      <c r="L1663" s="13" t="n">
        <v>0</v>
      </c>
      <c r="M1663" s="14">
        <f>SUMIFS(Maßnahmen!$I$7:$I$126,Maßnahmen!$D$7:$D$126,C1663,Maßnahmen!$H$7:$H$126,"&lt;&gt;verworfen")</f>
        <v/>
      </c>
      <c r="N1663" s="14">
        <f>IF(ISNUMBER(K1663),MAX(0,K1663-L1663-M1663),"n.a.")</f>
        <v/>
      </c>
      <c r="O1663" s="14" t="n">
        <v>1.75</v>
      </c>
      <c r="P1663" s="14">
        <f>IF(ISNUMBER(K1663),K1663-O1663,"n.a.")</f>
        <v/>
      </c>
    </row>
    <row r="1664" ht="32" customHeight="1">
      <c r="C1664" s="10" t="inlineStr">
        <is>
          <t>PRJ-4f8e93b2-RK-11</t>
        </is>
      </c>
      <c r="D1664" s="10" t="inlineStr">
        <is>
          <t>P4102307449</t>
        </is>
      </c>
      <c r="E1664" s="11" t="inlineStr">
        <is>
          <t>Witterung / Ablaufstörung</t>
        </is>
      </c>
      <c r="F1664" s="10" t="inlineStr">
        <is>
          <t>Termin</t>
        </is>
      </c>
      <c r="G1664" s="12" t="n">
        <v>0.25</v>
      </c>
      <c r="H1664" s="13" t="n">
        <v>20</v>
      </c>
      <c r="I1664" s="13" t="n">
        <v>61</v>
      </c>
      <c r="J1664" s="13" t="n">
        <v>122</v>
      </c>
      <c r="K1664" s="14">
        <f>IF(OR(COUNT(G1664:J1664)&lt;&gt;4,G1664&lt;0,G1664&gt;1,H1664&gt;I1664,I1664&gt;J1664),"n.a.",ROUND(G1664*(H1664+4*I1664+J1664)/6+0.00000001,2))</f>
        <v/>
      </c>
      <c r="L1664" s="13" t="n">
        <v>0</v>
      </c>
      <c r="M1664" s="14">
        <f>SUMIFS(Maßnahmen!$I$7:$I$126,Maßnahmen!$D$7:$D$126,C1664,Maßnahmen!$H$7:$H$126,"&lt;&gt;verworfen")</f>
        <v/>
      </c>
      <c r="N1664" s="14">
        <f>IF(ISNUMBER(K1664),MAX(0,K1664-L1664-M1664),"n.a.")</f>
        <v/>
      </c>
      <c r="O1664" s="14" t="n">
        <v>16.08</v>
      </c>
      <c r="P1664" s="14">
        <f>IF(ISNUMBER(K1664),K1664-O1664,"n.a.")</f>
        <v/>
      </c>
    </row>
    <row r="1665" ht="32" customHeight="1">
      <c r="C1665" s="10" t="inlineStr">
        <is>
          <t>PRJ-4f8e93b2-RK-12</t>
        </is>
      </c>
      <c r="D1665" s="10" t="inlineStr">
        <is>
          <t>P4102307449</t>
        </is>
      </c>
      <c r="E1665" s="11" t="inlineStr">
        <is>
          <t>Staubemissionen (höchster Aufwand laut Umfrage)</t>
        </is>
      </c>
      <c r="F1665" s="10" t="inlineStr">
        <is>
          <t>Emissionen</t>
        </is>
      </c>
      <c r="G1665" s="12" t="n">
        <v>0.1</v>
      </c>
      <c r="H1665" s="13" t="n">
        <v>61</v>
      </c>
      <c r="I1665" s="13" t="n">
        <v>122</v>
      </c>
      <c r="J1665" s="13" t="n">
        <v>244</v>
      </c>
      <c r="K1665" s="14">
        <f>IF(OR(COUNT(G1665:J1665)&lt;&gt;4,G1665&lt;0,G1665&gt;1,H1665&gt;I1665,I1665&gt;J1665),"n.a.",ROUND(G1665*(H1665+4*I1665+J1665)/6+0.00000001,2))</f>
        <v/>
      </c>
      <c r="L1665" s="13" t="n">
        <v>0</v>
      </c>
      <c r="M1665" s="14">
        <f>SUMIFS(Maßnahmen!$I$7:$I$126,Maßnahmen!$D$7:$D$126,C1665,Maßnahmen!$H$7:$H$126,"&lt;&gt;verworfen")</f>
        <v/>
      </c>
      <c r="N1665" s="14">
        <f>IF(ISNUMBER(K1665),MAX(0,K1665-L1665-M1665),"n.a.")</f>
        <v/>
      </c>
      <c r="O1665" s="14" t="n">
        <v>13.22</v>
      </c>
      <c r="P1665" s="14">
        <f>IF(ISNUMBER(K1665),K1665-O1665,"n.a.")</f>
        <v/>
      </c>
    </row>
    <row r="1666" ht="32" customHeight="1">
      <c r="C1666" s="10" t="inlineStr">
        <is>
          <t>PRJ-4f8e93b2-RK-13</t>
        </is>
      </c>
      <c r="D1666" s="10" t="inlineStr">
        <is>
          <t>P4102307449</t>
        </is>
      </c>
      <c r="E1666" s="11" t="inlineStr">
        <is>
          <t>Lärm- und Erschütterungsauflagen</t>
        </is>
      </c>
      <c r="F1666" s="10" t="inlineStr">
        <is>
          <t>Emissionen</t>
        </is>
      </c>
      <c r="G1666" s="12" t="n">
        <v>0.2</v>
      </c>
      <c r="H1666" s="13" t="n">
        <v>41</v>
      </c>
      <c r="I1666" s="13" t="n">
        <v>102</v>
      </c>
      <c r="J1666" s="13" t="n">
        <v>203</v>
      </c>
      <c r="K1666" s="14">
        <f>IF(OR(COUNT(G1666:J1666)&lt;&gt;4,G1666&lt;0,G1666&gt;1,H1666&gt;I1666,I1666&gt;J1666),"n.a.",ROUND(G1666*(H1666+4*I1666+J1666)/6+0.00000001,2))</f>
        <v/>
      </c>
      <c r="L1666" s="13" t="n">
        <v>0</v>
      </c>
      <c r="M1666" s="14">
        <f>SUMIFS(Maßnahmen!$I$7:$I$126,Maßnahmen!$D$7:$D$126,C1666,Maßnahmen!$H$7:$H$126,"&lt;&gt;verworfen")</f>
        <v/>
      </c>
      <c r="N1666" s="14">
        <f>IF(ISNUMBER(K1666),MAX(0,K1666-L1666-M1666),"n.a.")</f>
        <v/>
      </c>
      <c r="O1666" s="14" t="n">
        <v>21.73</v>
      </c>
      <c r="P1666" s="14">
        <f>IF(ISNUMBER(K1666),K1666-O1666,"n.a.")</f>
        <v/>
      </c>
    </row>
    <row r="1667" ht="32" customHeight="1">
      <c r="C1667" s="10" t="inlineStr">
        <is>
          <t>PRJ-4f8e93b2-RK-14</t>
        </is>
      </c>
      <c r="D1667" s="10" t="inlineStr">
        <is>
          <t>P4102307449</t>
        </is>
      </c>
      <c r="E1667" s="11" t="inlineStr">
        <is>
          <t>Rechtliche Auflagen / Entsorgungsnachweise (Formalismus)</t>
        </is>
      </c>
      <c r="F1667" s="10" t="inlineStr">
        <is>
          <t>Genehmigung</t>
        </is>
      </c>
      <c r="G1667" s="12" t="n">
        <v>0.4</v>
      </c>
      <c r="H1667" s="13" t="n">
        <v>193</v>
      </c>
      <c r="I1667" s="13" t="n">
        <v>376</v>
      </c>
      <c r="J1667" s="13" t="n">
        <v>711</v>
      </c>
      <c r="K1667" s="14">
        <f>IF(OR(COUNT(G1667:J1667)&lt;&gt;4,G1667&lt;0,G1667&gt;1,H1667&gt;I1667,I1667&gt;J1667),"n.a.",ROUND(G1667*(H1667+4*I1667+J1667)/6+0.00000001,2))</f>
        <v/>
      </c>
      <c r="L1667" s="13" t="n">
        <v>0</v>
      </c>
      <c r="M1667" s="14">
        <f>SUMIFS(Maßnahmen!$I$7:$I$126,Maßnahmen!$D$7:$D$126,C1667,Maßnahmen!$H$7:$H$126,"&lt;&gt;verworfen")</f>
        <v/>
      </c>
      <c r="N1667" s="14">
        <f>IF(ISNUMBER(K1667),MAX(0,K1667-L1667-M1667),"n.a.")</f>
        <v/>
      </c>
      <c r="O1667" s="14" t="n">
        <v>160.53</v>
      </c>
      <c r="P1667" s="14">
        <f>IF(ISNUMBER(K1667),K1667-O1667,"n.a.")</f>
        <v/>
      </c>
    </row>
    <row r="1668" ht="32" customHeight="1">
      <c r="C1668" s="10" t="inlineStr">
        <is>
          <t>PRJ-4f8e93b2-RK-15</t>
        </is>
      </c>
      <c r="D1668" s="10" t="inlineStr">
        <is>
          <t>P4102307449</t>
        </is>
      </c>
      <c r="E1668" s="11" t="inlineStr">
        <is>
          <t>Konjunktur / Sekundärstoffpreise &amp; Gerätemiete</t>
        </is>
      </c>
      <c r="F1668" s="10" t="inlineStr">
        <is>
          <t>Markt</t>
        </is>
      </c>
      <c r="G1668" s="12" t="n">
        <v>0.12</v>
      </c>
      <c r="H1668" s="13" t="n">
        <v>16</v>
      </c>
      <c r="I1668" s="13" t="n">
        <v>41</v>
      </c>
      <c r="J1668" s="13" t="n">
        <v>102</v>
      </c>
      <c r="K1668" s="14">
        <f>IF(OR(COUNT(G1668:J1668)&lt;&gt;4,G1668&lt;0,G1668&gt;1,H1668&gt;I1668,I1668&gt;J1668),"n.a.",ROUND(G1668*(H1668+4*I1668+J1668)/6+0.00000001,2))</f>
        <v/>
      </c>
      <c r="L1668" s="13" t="n">
        <v>0</v>
      </c>
      <c r="M1668" s="14">
        <f>SUMIFS(Maßnahmen!$I$7:$I$126,Maßnahmen!$D$7:$D$126,C1668,Maßnahmen!$H$7:$H$126,"&lt;&gt;verworfen")</f>
        <v/>
      </c>
      <c r="N1668" s="14">
        <f>IF(ISNUMBER(K1668),MAX(0,K1668-L1668-M1668),"n.a.")</f>
        <v/>
      </c>
      <c r="O1668" s="14" t="n">
        <v>5.64</v>
      </c>
      <c r="P1668" s="14">
        <f>IF(ISNUMBER(K1668),K1668-O1668,"n.a.")</f>
        <v/>
      </c>
    </row>
    <row r="1669" ht="32" customHeight="1">
      <c r="C1669" s="10" t="inlineStr">
        <is>
          <t>PRJ-382eb9b4-RK-01</t>
        </is>
      </c>
      <c r="D1669" s="10" t="inlineStr">
        <is>
          <t>W4102608246</t>
        </is>
      </c>
      <c r="E1669" s="11" t="inlineStr">
        <is>
          <t>Schadstofffund / Schadstoffsanierung (Asbest, PAK, PCB, PCP)</t>
        </is>
      </c>
      <c r="F1669" s="10" t="inlineStr">
        <is>
          <t>Schadstoffe</t>
        </is>
      </c>
      <c r="G1669" s="12" t="n">
        <v>0.1</v>
      </c>
      <c r="H1669" s="13" t="n">
        <v>140</v>
      </c>
      <c r="I1669" s="13" t="n">
        <v>350</v>
      </c>
      <c r="J1669" s="13" t="n">
        <v>700</v>
      </c>
      <c r="K1669" s="14">
        <f>IF(OR(COUNT(G1669:J1669)&lt;&gt;4,G1669&lt;0,G1669&gt;1,H1669&gt;I1669,I1669&gt;J1669),"n.a.",ROUND(G1669*(H1669+4*I1669+J1669)/6+0.00000001,2))</f>
        <v/>
      </c>
      <c r="L1669" s="13" t="n">
        <v>0</v>
      </c>
      <c r="M1669" s="14">
        <f>SUMIFS(Maßnahmen!$I$7:$I$126,Maßnahmen!$D$7:$D$126,C1669,Maßnahmen!$H$7:$H$126,"&lt;&gt;verworfen")</f>
        <v/>
      </c>
      <c r="N1669" s="14">
        <f>IF(ISNUMBER(K1669),MAX(0,K1669-L1669-M1669),"n.a.")</f>
        <v/>
      </c>
      <c r="O1669" s="14" t="n">
        <v>37.33</v>
      </c>
      <c r="P1669" s="14">
        <f>IF(ISNUMBER(K1669),K1669-O1669,"n.a.")</f>
        <v/>
      </c>
    </row>
    <row r="1670" ht="32" customHeight="1">
      <c r="C1670" s="10" t="inlineStr">
        <is>
          <t>PRJ-382eb9b4-RK-02</t>
        </is>
      </c>
      <c r="D1670" s="10" t="inlineStr">
        <is>
          <t>W4102608246</t>
        </is>
      </c>
      <c r="E1670" s="11" t="inlineStr">
        <is>
          <t>Arbeitsschutz kontaminierte Bereiche (TRGS 524)</t>
        </is>
      </c>
      <c r="F1670" s="10" t="inlineStr">
        <is>
          <t>Schadstoffe</t>
        </is>
      </c>
      <c r="G1670" s="12" t="n">
        <v>0.1</v>
      </c>
      <c r="H1670" s="13" t="n">
        <v>35</v>
      </c>
      <c r="I1670" s="13" t="n">
        <v>70</v>
      </c>
      <c r="J1670" s="13" t="n">
        <v>140</v>
      </c>
      <c r="K1670" s="14">
        <f>IF(OR(COUNT(G1670:J1670)&lt;&gt;4,G1670&lt;0,G1670&gt;1,H1670&gt;I1670,I1670&gt;J1670),"n.a.",ROUND(G1670*(H1670+4*I1670+J1670)/6+0.00000001,2))</f>
        <v/>
      </c>
      <c r="L1670" s="13" t="n">
        <v>0</v>
      </c>
      <c r="M1670" s="14">
        <f>SUMIFS(Maßnahmen!$I$7:$I$126,Maßnahmen!$D$7:$D$126,C1670,Maßnahmen!$H$7:$H$126,"&lt;&gt;verworfen")</f>
        <v/>
      </c>
      <c r="N1670" s="14">
        <f>IF(ISNUMBER(K1670),MAX(0,K1670-L1670-M1670),"n.a.")</f>
        <v/>
      </c>
      <c r="O1670" s="14" t="n">
        <v>7.58</v>
      </c>
      <c r="P1670" s="14">
        <f>IF(ISNUMBER(K1670),K1670-O1670,"n.a.")</f>
        <v/>
      </c>
    </row>
    <row r="1671" ht="32" customHeight="1">
      <c r="C1671" s="10" t="inlineStr">
        <is>
          <t>PRJ-382eb9b4-RK-03</t>
        </is>
      </c>
      <c r="D1671" s="10" t="inlineStr">
        <is>
          <t>W4102608246</t>
        </is>
      </c>
      <c r="E1671" s="11" t="inlineStr">
        <is>
          <t>Entsorgungs-Mehrkosten / Entsorgungswege</t>
        </is>
      </c>
      <c r="F1671" s="10" t="inlineStr">
        <is>
          <t>Entsorgung</t>
        </is>
      </c>
      <c r="G1671" s="12" t="n">
        <v>0.15</v>
      </c>
      <c r="H1671" s="13" t="n">
        <v>140</v>
      </c>
      <c r="I1671" s="13" t="n">
        <v>350</v>
      </c>
      <c r="J1671" s="13" t="n">
        <v>700</v>
      </c>
      <c r="K1671" s="14">
        <f>IF(OR(COUNT(G1671:J1671)&lt;&gt;4,G1671&lt;0,G1671&gt;1,H1671&gt;I1671,I1671&gt;J1671),"n.a.",ROUND(G1671*(H1671+4*I1671+J1671)/6+0.00000001,2))</f>
        <v/>
      </c>
      <c r="L1671" s="13" t="n">
        <v>0</v>
      </c>
      <c r="M1671" s="14">
        <f>SUMIFS(Maßnahmen!$I$7:$I$126,Maßnahmen!$D$7:$D$126,C1671,Maßnahmen!$H$7:$H$126,"&lt;&gt;verworfen")</f>
        <v/>
      </c>
      <c r="N1671" s="14">
        <f>IF(ISNUMBER(K1671),MAX(0,K1671-L1671-M1671),"n.a.")</f>
        <v/>
      </c>
      <c r="O1671" s="14" t="n">
        <v>56</v>
      </c>
      <c r="P1671" s="14">
        <f>IF(ISNUMBER(K1671),K1671-O1671,"n.a.")</f>
        <v/>
      </c>
    </row>
    <row r="1672" ht="32" customHeight="1">
      <c r="C1672" s="10" t="inlineStr">
        <is>
          <t>PRJ-382eb9b4-RK-04</t>
        </is>
      </c>
      <c r="D1672" s="10" t="inlineStr">
        <is>
          <t>W4102608246</t>
        </is>
      </c>
      <c r="E1672" s="11" t="inlineStr">
        <is>
          <t>Baustofftrennung / Aufbereitung nicht wie geplant</t>
        </is>
      </c>
      <c r="F1672" s="10" t="inlineStr">
        <is>
          <t>Entsorgung</t>
        </is>
      </c>
      <c r="G1672" s="12" t="n">
        <v>0.08</v>
      </c>
      <c r="H1672" s="13" t="n">
        <v>35</v>
      </c>
      <c r="I1672" s="13" t="n">
        <v>70</v>
      </c>
      <c r="J1672" s="13" t="n">
        <v>140</v>
      </c>
      <c r="K1672" s="14">
        <f>IF(OR(COUNT(G1672:J1672)&lt;&gt;4,G1672&lt;0,G1672&gt;1,H1672&gt;I1672,I1672&gt;J1672),"n.a.",ROUND(G1672*(H1672+4*I1672+J1672)/6+0.00000001,2))</f>
        <v/>
      </c>
      <c r="L1672" s="13" t="n">
        <v>0</v>
      </c>
      <c r="M1672" s="14">
        <f>SUMIFS(Maßnahmen!$I$7:$I$126,Maßnahmen!$D$7:$D$126,C1672,Maßnahmen!$H$7:$H$126,"&lt;&gt;verworfen")</f>
        <v/>
      </c>
      <c r="N1672" s="14">
        <f>IF(ISNUMBER(K1672),MAX(0,K1672-L1672-M1672),"n.a.")</f>
        <v/>
      </c>
      <c r="O1672" s="14" t="n">
        <v>6.07</v>
      </c>
      <c r="P1672" s="14">
        <f>IF(ISNUMBER(K1672),K1672-O1672,"n.a.")</f>
        <v/>
      </c>
    </row>
    <row r="1673" ht="32" customHeight="1">
      <c r="C1673" s="10" t="inlineStr">
        <is>
          <t>PRJ-382eb9b4-RK-05</t>
        </is>
      </c>
      <c r="D1673" s="10" t="inlineStr">
        <is>
          <t>W4102608246</t>
        </is>
      </c>
      <c r="E1673" s="11" t="inlineStr">
        <is>
          <t>Unbekannte Bauwerkskonstruktion / fehlende Pläne</t>
        </is>
      </c>
      <c r="F1673" s="10" t="inlineStr">
        <is>
          <t>Statik</t>
        </is>
      </c>
      <c r="G1673" s="12" t="n">
        <v>0.12</v>
      </c>
      <c r="H1673" s="13" t="n">
        <v>280</v>
      </c>
      <c r="I1673" s="13" t="n">
        <v>560</v>
      </c>
      <c r="J1673" s="13" t="n">
        <v>1050</v>
      </c>
      <c r="K1673" s="14">
        <f>IF(OR(COUNT(G1673:J1673)&lt;&gt;4,G1673&lt;0,G1673&gt;1,H1673&gt;I1673,I1673&gt;J1673),"n.a.",ROUND(G1673*(H1673+4*I1673+J1673)/6+0.00000001,2))</f>
        <v/>
      </c>
      <c r="L1673" s="13" t="n">
        <v>0</v>
      </c>
      <c r="M1673" s="14">
        <f>SUMIFS(Maßnahmen!$I$7:$I$126,Maßnahmen!$D$7:$D$126,C1673,Maßnahmen!$H$7:$H$126,"&lt;&gt;verworfen")</f>
        <v/>
      </c>
      <c r="N1673" s="14">
        <f>IF(ISNUMBER(K1673),MAX(0,K1673-L1673-M1673),"n.a.")</f>
        <v/>
      </c>
      <c r="O1673" s="14" t="n">
        <v>71.40000000000001</v>
      </c>
      <c r="P1673" s="14">
        <f>IF(ISNUMBER(K1673),K1673-O1673,"n.a.")</f>
        <v/>
      </c>
    </row>
    <row r="1674" ht="32" customHeight="1">
      <c r="C1674" s="10" t="inlineStr">
        <is>
          <t>PRJ-382eb9b4-RK-06</t>
        </is>
      </c>
      <c r="D1674" s="10" t="inlineStr">
        <is>
          <t>W4102608246</t>
        </is>
      </c>
      <c r="E1674" s="11" t="inlineStr">
        <is>
          <t>Statik / Einsturzsicherung während Abbruch</t>
        </is>
      </c>
      <c r="F1674" s="10" t="inlineStr">
        <is>
          <t>Statik</t>
        </is>
      </c>
      <c r="G1674" s="12" t="n">
        <v>0.12</v>
      </c>
      <c r="H1674" s="13" t="n">
        <v>210</v>
      </c>
      <c r="I1674" s="13" t="n">
        <v>490</v>
      </c>
      <c r="J1674" s="13" t="n">
        <v>980</v>
      </c>
      <c r="K1674" s="14">
        <f>IF(OR(COUNT(G1674:J1674)&lt;&gt;4,G1674&lt;0,G1674&gt;1,H1674&gt;I1674,I1674&gt;J1674),"n.a.",ROUND(G1674*(H1674+4*I1674+J1674)/6+0.00000001,2))</f>
        <v/>
      </c>
      <c r="L1674" s="13" t="n">
        <v>0</v>
      </c>
      <c r="M1674" s="14">
        <f>SUMIFS(Maßnahmen!$I$7:$I$126,Maßnahmen!$D$7:$D$126,C1674,Maßnahmen!$H$7:$H$126,"&lt;&gt;verworfen")</f>
        <v/>
      </c>
      <c r="N1674" s="14">
        <f>IF(ISNUMBER(K1674),MAX(0,K1674-L1674-M1674),"n.a.")</f>
        <v/>
      </c>
      <c r="O1674" s="14" t="n">
        <v>63</v>
      </c>
      <c r="P1674" s="14">
        <f>IF(ISNUMBER(K1674),K1674-O1674,"n.a.")</f>
        <v/>
      </c>
    </row>
    <row r="1675" ht="32" customHeight="1">
      <c r="C1675" s="10" t="inlineStr">
        <is>
          <t>PRJ-382eb9b4-RK-07</t>
        </is>
      </c>
      <c r="D1675" s="10" t="inlineStr">
        <is>
          <t>W4102608246</t>
        </is>
      </c>
      <c r="E1675" s="11" t="inlineStr">
        <is>
          <t>Unterirdische Tragkonstruktion / Fundamente</t>
        </is>
      </c>
      <c r="F1675" s="10" t="inlineStr">
        <is>
          <t>Statik</t>
        </is>
      </c>
      <c r="G1675" s="12" t="n">
        <v>0.5</v>
      </c>
      <c r="H1675" s="13" t="n">
        <v>35</v>
      </c>
      <c r="I1675" s="13" t="n">
        <v>140</v>
      </c>
      <c r="J1675" s="13" t="n">
        <v>350</v>
      </c>
      <c r="K1675" s="14">
        <f>IF(OR(COUNT(G1675:J1675)&lt;&gt;4,G1675&lt;0,G1675&gt;1,H1675&gt;I1675,I1675&gt;J1675),"n.a.",ROUND(G1675*(H1675+4*I1675+J1675)/6+0.00000001,2))</f>
        <v/>
      </c>
      <c r="L1675" s="13" t="n">
        <v>0</v>
      </c>
      <c r="M1675" s="14">
        <f>SUMIFS(Maßnahmen!$I$7:$I$126,Maßnahmen!$D$7:$D$126,C1675,Maßnahmen!$H$7:$H$126,"&lt;&gt;verworfen")</f>
        <v/>
      </c>
      <c r="N1675" s="14">
        <f>IF(ISNUMBER(K1675),MAX(0,K1675-L1675-M1675),"n.a.")</f>
        <v/>
      </c>
      <c r="O1675" s="14" t="n">
        <v>78.75</v>
      </c>
      <c r="P1675" s="14">
        <f>IF(ISNUMBER(K1675),K1675-O1675,"n.a.")</f>
        <v/>
      </c>
    </row>
    <row r="1676" ht="32" customHeight="1">
      <c r="C1676" s="10" t="inlineStr">
        <is>
          <t>PRJ-382eb9b4-RK-08</t>
        </is>
      </c>
      <c r="D1676" s="10" t="inlineStr">
        <is>
          <t>W4102608246</t>
        </is>
      </c>
      <c r="E1676" s="11" t="inlineStr">
        <is>
          <t>Gebäudehöhe &gt;22 m / Longfront-Bagger (+130–150 %)</t>
        </is>
      </c>
      <c r="F1676" s="10" t="inlineStr">
        <is>
          <t>Termin</t>
        </is>
      </c>
      <c r="G1676" s="12" t="n">
        <v>0.6</v>
      </c>
      <c r="H1676" s="13" t="n">
        <v>630</v>
      </c>
      <c r="I1676" s="13" t="n">
        <v>1260</v>
      </c>
      <c r="J1676" s="13" t="n">
        <v>2380</v>
      </c>
      <c r="K1676" s="14">
        <f>IF(OR(COUNT(G1676:J1676)&lt;&gt;4,G1676&lt;0,G1676&gt;1,H1676&gt;I1676,I1676&gt;J1676),"n.a.",ROUND(G1676*(H1676+4*I1676+J1676)/6+0.00000001,2))</f>
        <v/>
      </c>
      <c r="L1676" s="13" t="n">
        <v>0</v>
      </c>
      <c r="M1676" s="14">
        <f>SUMIFS(Maßnahmen!$I$7:$I$126,Maßnahmen!$D$7:$D$126,C1676,Maßnahmen!$H$7:$H$126,"&lt;&gt;verworfen")</f>
        <v/>
      </c>
      <c r="N1676" s="14">
        <f>IF(ISNUMBER(K1676),MAX(0,K1676-L1676-M1676),"n.a.")</f>
        <v/>
      </c>
      <c r="O1676" s="14" t="n">
        <v>805</v>
      </c>
      <c r="P1676" s="14">
        <f>IF(ISNUMBER(K1676),K1676-O1676,"n.a.")</f>
        <v/>
      </c>
    </row>
    <row r="1677" ht="32" customHeight="1">
      <c r="C1677" s="10" t="inlineStr">
        <is>
          <t>PRJ-382eb9b4-RK-09</t>
        </is>
      </c>
      <c r="D1677" s="10" t="inlineStr">
        <is>
          <t>W4102608246</t>
        </is>
      </c>
      <c r="E1677" s="11" t="inlineStr">
        <is>
          <t>Beennte Lage / nur Handabbruch möglich</t>
        </is>
      </c>
      <c r="F1677" s="10" t="inlineStr">
        <is>
          <t>Termin</t>
        </is>
      </c>
      <c r="G1677" s="12" t="n">
        <v>0.15</v>
      </c>
      <c r="H1677" s="13" t="n">
        <v>56</v>
      </c>
      <c r="I1677" s="13" t="n">
        <v>140</v>
      </c>
      <c r="J1677" s="13" t="n">
        <v>350</v>
      </c>
      <c r="K1677" s="14">
        <f>IF(OR(COUNT(G1677:J1677)&lt;&gt;4,G1677&lt;0,G1677&gt;1,H1677&gt;I1677,I1677&gt;J1677),"n.a.",ROUND(G1677*(H1677+4*I1677+J1677)/6+0.00000001,2))</f>
        <v/>
      </c>
      <c r="L1677" s="13" t="n">
        <v>0</v>
      </c>
      <c r="M1677" s="14">
        <f>SUMIFS(Maßnahmen!$I$7:$I$126,Maßnahmen!$D$7:$D$126,C1677,Maßnahmen!$H$7:$H$126,"&lt;&gt;verworfen")</f>
        <v/>
      </c>
      <c r="N1677" s="14">
        <f>IF(ISNUMBER(K1677),MAX(0,K1677-L1677-M1677),"n.a.")</f>
        <v/>
      </c>
      <c r="O1677" s="14" t="n">
        <v>24.15</v>
      </c>
      <c r="P1677" s="14">
        <f>IF(ISNUMBER(K1677),K1677-O1677,"n.a.")</f>
        <v/>
      </c>
    </row>
    <row r="1678" ht="32" customHeight="1">
      <c r="C1678" s="10" t="inlineStr">
        <is>
          <t>PRJ-382eb9b4-RK-10</t>
        </is>
      </c>
      <c r="D1678" s="10" t="inlineStr">
        <is>
          <t>W4102608246</t>
        </is>
      </c>
      <c r="E1678" s="11" t="inlineStr">
        <is>
          <t>Terminvorgabe Auftraggeber / Geräteauslastung</t>
        </is>
      </c>
      <c r="F1678" s="10" t="inlineStr">
        <is>
          <t>Termin</t>
        </is>
      </c>
      <c r="G1678" s="12" t="n">
        <v>0.08</v>
      </c>
      <c r="H1678" s="13" t="n">
        <v>35</v>
      </c>
      <c r="I1678" s="13" t="n">
        <v>70</v>
      </c>
      <c r="J1678" s="13" t="n">
        <v>140</v>
      </c>
      <c r="K1678" s="14">
        <f>IF(OR(COUNT(G1678:J1678)&lt;&gt;4,G1678&lt;0,G1678&gt;1,H1678&gt;I1678,I1678&gt;J1678),"n.a.",ROUND(G1678*(H1678+4*I1678+J1678)/6+0.00000001,2))</f>
        <v/>
      </c>
      <c r="L1678" s="13" t="n">
        <v>0</v>
      </c>
      <c r="M1678" s="14">
        <f>SUMIFS(Maßnahmen!$I$7:$I$126,Maßnahmen!$D$7:$D$126,C1678,Maßnahmen!$H$7:$H$126,"&lt;&gt;verworfen")</f>
        <v/>
      </c>
      <c r="N1678" s="14">
        <f>IF(ISNUMBER(K1678),MAX(0,K1678-L1678-M1678),"n.a.")</f>
        <v/>
      </c>
      <c r="O1678" s="14" t="n">
        <v>6.07</v>
      </c>
      <c r="P1678" s="14">
        <f>IF(ISNUMBER(K1678),K1678-O1678,"n.a.")</f>
        <v/>
      </c>
    </row>
    <row r="1679" ht="32" customHeight="1">
      <c r="C1679" s="10" t="inlineStr">
        <is>
          <t>PRJ-382eb9b4-RK-11</t>
        </is>
      </c>
      <c r="D1679" s="10" t="inlineStr">
        <is>
          <t>W4102608246</t>
        </is>
      </c>
      <c r="E1679" s="11" t="inlineStr">
        <is>
          <t>Witterung / Ablaufstörung</t>
        </is>
      </c>
      <c r="F1679" s="10" t="inlineStr">
        <is>
          <t>Termin</t>
        </is>
      </c>
      <c r="G1679" s="12" t="n">
        <v>0.25</v>
      </c>
      <c r="H1679" s="13" t="n">
        <v>70</v>
      </c>
      <c r="I1679" s="13" t="n">
        <v>210</v>
      </c>
      <c r="J1679" s="13" t="n">
        <v>420</v>
      </c>
      <c r="K1679" s="14">
        <f>IF(OR(COUNT(G1679:J1679)&lt;&gt;4,G1679&lt;0,G1679&gt;1,H1679&gt;I1679,I1679&gt;J1679),"n.a.",ROUND(G1679*(H1679+4*I1679+J1679)/6+0.00000001,2))</f>
        <v/>
      </c>
      <c r="L1679" s="13" t="n">
        <v>0</v>
      </c>
      <c r="M1679" s="14">
        <f>SUMIFS(Maßnahmen!$I$7:$I$126,Maßnahmen!$D$7:$D$126,C1679,Maßnahmen!$H$7:$H$126,"&lt;&gt;verworfen")</f>
        <v/>
      </c>
      <c r="N1679" s="14">
        <f>IF(ISNUMBER(K1679),MAX(0,K1679-L1679-M1679),"n.a.")</f>
        <v/>
      </c>
      <c r="O1679" s="14" t="n">
        <v>55.42</v>
      </c>
      <c r="P1679" s="14">
        <f>IF(ISNUMBER(K1679),K1679-O1679,"n.a.")</f>
        <v/>
      </c>
    </row>
    <row r="1680" ht="32" customHeight="1">
      <c r="C1680" s="10" t="inlineStr">
        <is>
          <t>PRJ-382eb9b4-RK-12</t>
        </is>
      </c>
      <c r="D1680" s="10" t="inlineStr">
        <is>
          <t>W4102608246</t>
        </is>
      </c>
      <c r="E1680" s="11" t="inlineStr">
        <is>
          <t>Staubemissionen (höchster Aufwand laut Umfrage)</t>
        </is>
      </c>
      <c r="F1680" s="10" t="inlineStr">
        <is>
          <t>Emissionen</t>
        </is>
      </c>
      <c r="G1680" s="12" t="n">
        <v>0.1</v>
      </c>
      <c r="H1680" s="13" t="n">
        <v>210</v>
      </c>
      <c r="I1680" s="13" t="n">
        <v>420</v>
      </c>
      <c r="J1680" s="13" t="n">
        <v>840</v>
      </c>
      <c r="K1680" s="14">
        <f>IF(OR(COUNT(G1680:J1680)&lt;&gt;4,G1680&lt;0,G1680&gt;1,H1680&gt;I1680,I1680&gt;J1680),"n.a.",ROUND(G1680*(H1680+4*I1680+J1680)/6+0.00000001,2))</f>
        <v/>
      </c>
      <c r="L1680" s="13" t="n">
        <v>0</v>
      </c>
      <c r="M1680" s="14">
        <f>SUMIFS(Maßnahmen!$I$7:$I$126,Maßnahmen!$D$7:$D$126,C1680,Maßnahmen!$H$7:$H$126,"&lt;&gt;verworfen")</f>
        <v/>
      </c>
      <c r="N1680" s="14">
        <f>IF(ISNUMBER(K1680),MAX(0,K1680-L1680-M1680),"n.a.")</f>
        <v/>
      </c>
      <c r="O1680" s="14" t="n">
        <v>45.5</v>
      </c>
      <c r="P1680" s="14">
        <f>IF(ISNUMBER(K1680),K1680-O1680,"n.a.")</f>
        <v/>
      </c>
    </row>
    <row r="1681" ht="32" customHeight="1">
      <c r="C1681" s="10" t="inlineStr">
        <is>
          <t>PRJ-382eb9b4-RK-13</t>
        </is>
      </c>
      <c r="D1681" s="10" t="inlineStr">
        <is>
          <t>W4102608246</t>
        </is>
      </c>
      <c r="E1681" s="11" t="inlineStr">
        <is>
          <t>Lärm- und Erschütterungsauflagen</t>
        </is>
      </c>
      <c r="F1681" s="10" t="inlineStr">
        <is>
          <t>Emissionen</t>
        </is>
      </c>
      <c r="G1681" s="12" t="n">
        <v>0.2</v>
      </c>
      <c r="H1681" s="13" t="n">
        <v>140</v>
      </c>
      <c r="I1681" s="13" t="n">
        <v>350</v>
      </c>
      <c r="J1681" s="13" t="n">
        <v>700</v>
      </c>
      <c r="K1681" s="14">
        <f>IF(OR(COUNT(G1681:J1681)&lt;&gt;4,G1681&lt;0,G1681&gt;1,H1681&gt;I1681,I1681&gt;J1681),"n.a.",ROUND(G1681*(H1681+4*I1681+J1681)/6+0.00000001,2))</f>
        <v/>
      </c>
      <c r="L1681" s="13" t="n">
        <v>0</v>
      </c>
      <c r="M1681" s="14">
        <f>SUMIFS(Maßnahmen!$I$7:$I$126,Maßnahmen!$D$7:$D$126,C1681,Maßnahmen!$H$7:$H$126,"&lt;&gt;verworfen")</f>
        <v/>
      </c>
      <c r="N1681" s="14">
        <f>IF(ISNUMBER(K1681),MAX(0,K1681-L1681-M1681),"n.a.")</f>
        <v/>
      </c>
      <c r="O1681" s="14" t="n">
        <v>74.67</v>
      </c>
      <c r="P1681" s="14">
        <f>IF(ISNUMBER(K1681),K1681-O1681,"n.a.")</f>
        <v/>
      </c>
    </row>
    <row r="1682" ht="32" customHeight="1">
      <c r="C1682" s="10" t="inlineStr">
        <is>
          <t>PRJ-382eb9b4-RK-14</t>
        </is>
      </c>
      <c r="D1682" s="10" t="inlineStr">
        <is>
          <t>W4102608246</t>
        </is>
      </c>
      <c r="E1682" s="11" t="inlineStr">
        <is>
          <t>Rechtliche Auflagen / Entsorgungsnachweise (Formalismus)</t>
        </is>
      </c>
      <c r="F1682" s="10" t="inlineStr">
        <is>
          <t>Genehmigung</t>
        </is>
      </c>
      <c r="G1682" s="12" t="n">
        <v>0.4</v>
      </c>
      <c r="H1682" s="13" t="n">
        <v>665</v>
      </c>
      <c r="I1682" s="13" t="n">
        <v>1295</v>
      </c>
      <c r="J1682" s="13" t="n">
        <v>2450</v>
      </c>
      <c r="K1682" s="14">
        <f>IF(OR(COUNT(G1682:J1682)&lt;&gt;4,G1682&lt;0,G1682&gt;1,H1682&gt;I1682,I1682&gt;J1682),"n.a.",ROUND(G1682*(H1682+4*I1682+J1682)/6+0.00000001,2))</f>
        <v/>
      </c>
      <c r="L1682" s="13" t="n">
        <v>0</v>
      </c>
      <c r="M1682" s="14">
        <f>SUMIFS(Maßnahmen!$I$7:$I$126,Maßnahmen!$D$7:$D$126,C1682,Maßnahmen!$H$7:$H$126,"&lt;&gt;verworfen")</f>
        <v/>
      </c>
      <c r="N1682" s="14">
        <f>IF(ISNUMBER(K1682),MAX(0,K1682-L1682-M1682),"n.a.")</f>
        <v/>
      </c>
      <c r="O1682" s="14" t="n">
        <v>553</v>
      </c>
      <c r="P1682" s="14">
        <f>IF(ISNUMBER(K1682),K1682-O1682,"n.a.")</f>
        <v/>
      </c>
    </row>
    <row r="1683" ht="32" customHeight="1">
      <c r="C1683" s="10" t="inlineStr">
        <is>
          <t>PRJ-382eb9b4-RK-15</t>
        </is>
      </c>
      <c r="D1683" s="10" t="inlineStr">
        <is>
          <t>W4102608246</t>
        </is>
      </c>
      <c r="E1683" s="11" t="inlineStr">
        <is>
          <t>Konjunktur / Sekundärstoffpreise &amp; Gerätemiete</t>
        </is>
      </c>
      <c r="F1683" s="10" t="inlineStr">
        <is>
          <t>Markt</t>
        </is>
      </c>
      <c r="G1683" s="12" t="n">
        <v>0.12</v>
      </c>
      <c r="H1683" s="13" t="n">
        <v>56</v>
      </c>
      <c r="I1683" s="13" t="n">
        <v>140</v>
      </c>
      <c r="J1683" s="13" t="n">
        <v>350</v>
      </c>
      <c r="K1683" s="14">
        <f>IF(OR(COUNT(G1683:J1683)&lt;&gt;4,G1683&lt;0,G1683&gt;1,H1683&gt;I1683,I1683&gt;J1683),"n.a.",ROUND(G1683*(H1683+4*I1683+J1683)/6+0.00000001,2))</f>
        <v/>
      </c>
      <c r="L1683" s="13" t="n">
        <v>0</v>
      </c>
      <c r="M1683" s="14">
        <f>SUMIFS(Maßnahmen!$I$7:$I$126,Maßnahmen!$D$7:$D$126,C1683,Maßnahmen!$H$7:$H$126,"&lt;&gt;verworfen")</f>
        <v/>
      </c>
      <c r="N1683" s="14">
        <f>IF(ISNUMBER(K1683),MAX(0,K1683-L1683-M1683),"n.a.")</f>
        <v/>
      </c>
      <c r="O1683" s="14" t="n">
        <v>19.32</v>
      </c>
      <c r="P1683" s="14">
        <f>IF(ISNUMBER(K1683),K1683-O1683,"n.a.")</f>
        <v/>
      </c>
    </row>
    <row r="1684" ht="32" customHeight="1">
      <c r="C1684" s="10" t="inlineStr">
        <is>
          <t>PRJ-4a6f9d39-RK-01</t>
        </is>
      </c>
      <c r="D1684" s="10" t="inlineStr">
        <is>
          <t>P4102608226</t>
        </is>
      </c>
      <c r="E1684" s="11" t="inlineStr">
        <is>
          <t>Schadstofffund / Schadstoffsanierung (Asbest, PAK, PCB, PCP)</t>
        </is>
      </c>
      <c r="F1684" s="10" t="inlineStr">
        <is>
          <t>Schadstoffe</t>
        </is>
      </c>
      <c r="G1684" s="12" t="n">
        <v>0.1</v>
      </c>
      <c r="H1684" s="13" t="n">
        <v>20</v>
      </c>
      <c r="I1684" s="13" t="n">
        <v>50</v>
      </c>
      <c r="J1684" s="13" t="n">
        <v>100</v>
      </c>
      <c r="K1684" s="14">
        <f>IF(OR(COUNT(G1684:J1684)&lt;&gt;4,G1684&lt;0,G1684&gt;1,H1684&gt;I1684,I1684&gt;J1684),"n.a.",ROUND(G1684*(H1684+4*I1684+J1684)/6+0.00000001,2))</f>
        <v/>
      </c>
      <c r="L1684" s="13" t="n">
        <v>0</v>
      </c>
      <c r="M1684" s="14">
        <f>SUMIFS(Maßnahmen!$I$7:$I$126,Maßnahmen!$D$7:$D$126,C1684,Maßnahmen!$H$7:$H$126,"&lt;&gt;verworfen")</f>
        <v/>
      </c>
      <c r="N1684" s="14">
        <f>IF(ISNUMBER(K1684),MAX(0,K1684-L1684-M1684),"n.a.")</f>
        <v/>
      </c>
      <c r="O1684" s="14" t="n">
        <v>5.33</v>
      </c>
      <c r="P1684" s="14">
        <f>IF(ISNUMBER(K1684),K1684-O1684,"n.a.")</f>
        <v/>
      </c>
    </row>
    <row r="1685" ht="32" customHeight="1">
      <c r="C1685" s="10" t="inlineStr">
        <is>
          <t>PRJ-4a6f9d39-RK-02</t>
        </is>
      </c>
      <c r="D1685" s="10" t="inlineStr">
        <is>
          <t>P4102608226</t>
        </is>
      </c>
      <c r="E1685" s="11" t="inlineStr">
        <is>
          <t>Arbeitsschutz kontaminierte Bereiche (TRGS 524)</t>
        </is>
      </c>
      <c r="F1685" s="10" t="inlineStr">
        <is>
          <t>Schadstoffe</t>
        </is>
      </c>
      <c r="G1685" s="12" t="n">
        <v>0.47</v>
      </c>
      <c r="H1685" s="13" t="n">
        <v>20</v>
      </c>
      <c r="I1685" s="13" t="n">
        <v>50</v>
      </c>
      <c r="J1685" s="13" t="n">
        <v>100</v>
      </c>
      <c r="K1685" s="14">
        <f>IF(OR(COUNT(G1685:J1685)&lt;&gt;4,G1685&lt;0,G1685&gt;1,H1685&gt;I1685,I1685&gt;J1685),"n.a.",ROUND(G1685*(H1685+4*I1685+J1685)/6+0.00000001,2))</f>
        <v/>
      </c>
      <c r="L1685" s="13" t="n">
        <v>0</v>
      </c>
      <c r="M1685" s="14">
        <f>SUMIFS(Maßnahmen!$I$7:$I$126,Maßnahmen!$D$7:$D$126,C1685,Maßnahmen!$H$7:$H$126,"&lt;&gt;verworfen")</f>
        <v/>
      </c>
      <c r="N1685" s="14">
        <f>IF(ISNUMBER(K1685),MAX(0,K1685-L1685-M1685),"n.a.")</f>
        <v/>
      </c>
      <c r="O1685" s="14" t="n">
        <v>25.07</v>
      </c>
      <c r="P1685" s="14">
        <f>IF(ISNUMBER(K1685),K1685-O1685,"n.a.")</f>
        <v/>
      </c>
    </row>
    <row r="1686" ht="32" customHeight="1">
      <c r="C1686" s="10" t="inlineStr">
        <is>
          <t>PRJ-4a6f9d39-RK-03</t>
        </is>
      </c>
      <c r="D1686" s="10" t="inlineStr">
        <is>
          <t>P4102608226</t>
        </is>
      </c>
      <c r="E1686" s="11" t="inlineStr">
        <is>
          <t>Entsorgungs-Mehrkosten / Entsorgungswege</t>
        </is>
      </c>
      <c r="F1686" s="10" t="inlineStr">
        <is>
          <t>Entsorgung</t>
        </is>
      </c>
      <c r="G1686" s="12" t="n">
        <v>0.55</v>
      </c>
      <c r="H1686" s="13" t="n">
        <v>220</v>
      </c>
      <c r="I1686" s="13" t="n">
        <v>400</v>
      </c>
      <c r="J1686" s="13" t="n">
        <v>650</v>
      </c>
      <c r="K1686" s="14">
        <f>IF(OR(COUNT(G1686:J1686)&lt;&gt;4,G1686&lt;0,G1686&gt;1,H1686&gt;I1686,I1686&gt;J1686),"n.a.",ROUND(G1686*(H1686+4*I1686+J1686)/6+0.00000001,2))</f>
        <v/>
      </c>
      <c r="L1686" s="13" t="n">
        <v>0</v>
      </c>
      <c r="M1686" s="14">
        <f>SUMIFS(Maßnahmen!$I$7:$I$126,Maßnahmen!$D$7:$D$126,C1686,Maßnahmen!$H$7:$H$126,"&lt;&gt;verworfen")</f>
        <v/>
      </c>
      <c r="N1686" s="14">
        <f>IF(ISNUMBER(K1686),MAX(0,K1686-L1686-M1686),"n.a.")</f>
        <v/>
      </c>
      <c r="O1686" s="14" t="n">
        <v>226.42</v>
      </c>
      <c r="P1686" s="14">
        <f>IF(ISNUMBER(K1686),K1686-O1686,"n.a.")</f>
        <v/>
      </c>
    </row>
    <row r="1687" ht="32" customHeight="1">
      <c r="C1687" s="10" t="inlineStr">
        <is>
          <t>PRJ-4a6f9d39-RK-04</t>
        </is>
      </c>
      <c r="D1687" s="10" t="inlineStr">
        <is>
          <t>P4102608226</t>
        </is>
      </c>
      <c r="E1687" s="11" t="inlineStr">
        <is>
          <t>Baustofftrennung / Aufbereitung nicht wie geplant</t>
        </is>
      </c>
      <c r="F1687" s="10" t="inlineStr">
        <is>
          <t>Entsorgung</t>
        </is>
      </c>
      <c r="G1687" s="12" t="n">
        <v>0.1</v>
      </c>
      <c r="H1687" s="13" t="n">
        <v>20</v>
      </c>
      <c r="I1687" s="13" t="n">
        <v>50</v>
      </c>
      <c r="J1687" s="13" t="n">
        <v>100</v>
      </c>
      <c r="K1687" s="14">
        <f>IF(OR(COUNT(G1687:J1687)&lt;&gt;4,G1687&lt;0,G1687&gt;1,H1687&gt;I1687,I1687&gt;J1687),"n.a.",ROUND(G1687*(H1687+4*I1687+J1687)/6+0.00000001,2))</f>
        <v/>
      </c>
      <c r="L1687" s="13" t="n">
        <v>0</v>
      </c>
      <c r="M1687" s="14">
        <f>SUMIFS(Maßnahmen!$I$7:$I$126,Maßnahmen!$D$7:$D$126,C1687,Maßnahmen!$H$7:$H$126,"&lt;&gt;verworfen")</f>
        <v/>
      </c>
      <c r="N1687" s="14">
        <f>IF(ISNUMBER(K1687),MAX(0,K1687-L1687-M1687),"n.a.")</f>
        <v/>
      </c>
      <c r="O1687" s="14" t="n">
        <v>5.33</v>
      </c>
      <c r="P1687" s="14">
        <f>IF(ISNUMBER(K1687),K1687-O1687,"n.a.")</f>
        <v/>
      </c>
    </row>
    <row r="1688" ht="32" customHeight="1">
      <c r="C1688" s="10" t="inlineStr">
        <is>
          <t>PRJ-4a6f9d39-RK-05</t>
        </is>
      </c>
      <c r="D1688" s="10" t="inlineStr">
        <is>
          <t>P4102608226</t>
        </is>
      </c>
      <c r="E1688" s="11" t="inlineStr">
        <is>
          <t>Unbekannte Bauwerkskonstruktion / fehlende Pläne</t>
        </is>
      </c>
      <c r="F1688" s="10" t="inlineStr">
        <is>
          <t>Statik</t>
        </is>
      </c>
      <c r="G1688" s="12" t="n">
        <v>0.12</v>
      </c>
      <c r="H1688" s="13" t="n">
        <v>40</v>
      </c>
      <c r="I1688" s="13" t="n">
        <v>80</v>
      </c>
      <c r="J1688" s="13" t="n">
        <v>150</v>
      </c>
      <c r="K1688" s="14">
        <f>IF(OR(COUNT(G1688:J1688)&lt;&gt;4,G1688&lt;0,G1688&gt;1,H1688&gt;I1688,I1688&gt;J1688),"n.a.",ROUND(G1688*(H1688+4*I1688+J1688)/6+0.00000001,2))</f>
        <v/>
      </c>
      <c r="L1688" s="13" t="n">
        <v>0</v>
      </c>
      <c r="M1688" s="14">
        <f>SUMIFS(Maßnahmen!$I$7:$I$126,Maßnahmen!$D$7:$D$126,C1688,Maßnahmen!$H$7:$H$126,"&lt;&gt;verworfen")</f>
        <v/>
      </c>
      <c r="N1688" s="14">
        <f>IF(ISNUMBER(K1688),MAX(0,K1688-L1688-M1688),"n.a.")</f>
        <v/>
      </c>
      <c r="O1688" s="14" t="n">
        <v>10.2</v>
      </c>
      <c r="P1688" s="14">
        <f>IF(ISNUMBER(K1688),K1688-O1688,"n.a.")</f>
        <v/>
      </c>
    </row>
    <row r="1689" ht="32" customHeight="1">
      <c r="C1689" s="10" t="inlineStr">
        <is>
          <t>PRJ-4a6f9d39-RK-06</t>
        </is>
      </c>
      <c r="D1689" s="10" t="inlineStr">
        <is>
          <t>P4102608226</t>
        </is>
      </c>
      <c r="E1689" s="11" t="inlineStr">
        <is>
          <t>Statik / Einsturzsicherung während Abbruch</t>
        </is>
      </c>
      <c r="F1689" s="10" t="inlineStr">
        <is>
          <t>Statik</t>
        </is>
      </c>
      <c r="G1689" s="12" t="n">
        <v>0.45</v>
      </c>
      <c r="H1689" s="13" t="n">
        <v>180</v>
      </c>
      <c r="I1689" s="13" t="n">
        <v>320</v>
      </c>
      <c r="J1689" s="13" t="n">
        <v>540</v>
      </c>
      <c r="K1689" s="14">
        <f>IF(OR(COUNT(G1689:J1689)&lt;&gt;4,G1689&lt;0,G1689&gt;1,H1689&gt;I1689,I1689&gt;J1689),"n.a.",ROUND(G1689*(H1689+4*I1689+J1689)/6+0.00000001,2))</f>
        <v/>
      </c>
      <c r="L1689" s="13" t="n">
        <v>0</v>
      </c>
      <c r="M1689" s="14">
        <f>SUMIFS(Maßnahmen!$I$7:$I$126,Maßnahmen!$D$7:$D$126,C1689,Maßnahmen!$H$7:$H$126,"&lt;&gt;verworfen")</f>
        <v/>
      </c>
      <c r="N1689" s="14">
        <f>IF(ISNUMBER(K1689),MAX(0,K1689-L1689-M1689),"n.a.")</f>
        <v/>
      </c>
      <c r="O1689" s="14" t="n">
        <v>150</v>
      </c>
      <c r="P1689" s="14">
        <f>IF(ISNUMBER(K1689),K1689-O1689,"n.a.")</f>
        <v/>
      </c>
    </row>
    <row r="1690" ht="32" customHeight="1">
      <c r="C1690" s="10" t="inlineStr">
        <is>
          <t>PRJ-4a6f9d39-RK-07</t>
        </is>
      </c>
      <c r="D1690" s="10" t="inlineStr">
        <is>
          <t>P4102608226</t>
        </is>
      </c>
      <c r="E1690" s="11" t="inlineStr">
        <is>
          <t>Unterirdische Tragkonstruktion / Fundamente</t>
        </is>
      </c>
      <c r="F1690" s="10" t="inlineStr">
        <is>
          <t>Statik</t>
        </is>
      </c>
      <c r="G1690" s="12" t="n">
        <v>0.4</v>
      </c>
      <c r="H1690" s="13" t="n">
        <v>55</v>
      </c>
      <c r="I1690" s="13" t="n">
        <v>100</v>
      </c>
      <c r="J1690" s="13" t="n">
        <v>200</v>
      </c>
      <c r="K1690" s="14">
        <f>IF(OR(COUNT(G1690:J1690)&lt;&gt;4,G1690&lt;0,G1690&gt;1,H1690&gt;I1690,I1690&gt;J1690),"n.a.",ROUND(G1690*(H1690+4*I1690+J1690)/6+0.00000001,2))</f>
        <v/>
      </c>
      <c r="L1690" s="13" t="n">
        <v>0</v>
      </c>
      <c r="M1690" s="14">
        <f>SUMIFS(Maßnahmen!$I$7:$I$126,Maßnahmen!$D$7:$D$126,C1690,Maßnahmen!$H$7:$H$126,"&lt;&gt;verworfen")</f>
        <v/>
      </c>
      <c r="N1690" s="14">
        <f>IF(ISNUMBER(K1690),MAX(0,K1690-L1690-M1690),"n.a.")</f>
        <v/>
      </c>
      <c r="O1690" s="14" t="n">
        <v>43.67</v>
      </c>
      <c r="P1690" s="14">
        <f>IF(ISNUMBER(K1690),K1690-O1690,"n.a.")</f>
        <v/>
      </c>
    </row>
    <row r="1691" ht="32" customHeight="1">
      <c r="C1691" s="10" t="inlineStr">
        <is>
          <t>PRJ-4a6f9d39-RK-08</t>
        </is>
      </c>
      <c r="D1691" s="10" t="inlineStr">
        <is>
          <t>P4102608226</t>
        </is>
      </c>
      <c r="E1691" s="11" t="inlineStr">
        <is>
          <t>Gebäudehöhe &gt;22 m / Longfront-Bagger (+130–150 %)</t>
        </is>
      </c>
      <c r="F1691" s="10" t="inlineStr">
        <is>
          <t>Termin</t>
        </is>
      </c>
      <c r="G1691" s="12" t="n">
        <v>0.6</v>
      </c>
      <c r="H1691" s="13" t="n">
        <v>90</v>
      </c>
      <c r="I1691" s="13" t="n">
        <v>180</v>
      </c>
      <c r="J1691" s="13" t="n">
        <v>340</v>
      </c>
      <c r="K1691" s="14">
        <f>IF(OR(COUNT(G1691:J1691)&lt;&gt;4,G1691&lt;0,G1691&gt;1,H1691&gt;I1691,I1691&gt;J1691),"n.a.",ROUND(G1691*(H1691+4*I1691+J1691)/6+0.00000001,2))</f>
        <v/>
      </c>
      <c r="L1691" s="13" t="n">
        <v>0</v>
      </c>
      <c r="M1691" s="14">
        <f>SUMIFS(Maßnahmen!$I$7:$I$126,Maßnahmen!$D$7:$D$126,C1691,Maßnahmen!$H$7:$H$126,"&lt;&gt;verworfen")</f>
        <v/>
      </c>
      <c r="N1691" s="14">
        <f>IF(ISNUMBER(K1691),MAX(0,K1691-L1691-M1691),"n.a.")</f>
        <v/>
      </c>
      <c r="O1691" s="14" t="n">
        <v>115</v>
      </c>
      <c r="P1691" s="14">
        <f>IF(ISNUMBER(K1691),K1691-O1691,"n.a.")</f>
        <v/>
      </c>
    </row>
    <row r="1692" ht="32" customHeight="1">
      <c r="C1692" s="10" t="inlineStr">
        <is>
          <t>PRJ-4a6f9d39-RK-09</t>
        </is>
      </c>
      <c r="D1692" s="10" t="inlineStr">
        <is>
          <t>P4102608226</t>
        </is>
      </c>
      <c r="E1692" s="11" t="inlineStr">
        <is>
          <t>Beennte Lage / nur Handabbruch möglich</t>
        </is>
      </c>
      <c r="F1692" s="10" t="inlineStr">
        <is>
          <t>Termin</t>
        </is>
      </c>
      <c r="G1692" s="12" t="n">
        <v>0.15</v>
      </c>
      <c r="H1692" s="13" t="n">
        <v>8</v>
      </c>
      <c r="I1692" s="13" t="n">
        <v>20</v>
      </c>
      <c r="J1692" s="13" t="n">
        <v>50</v>
      </c>
      <c r="K1692" s="14">
        <f>IF(OR(COUNT(G1692:J1692)&lt;&gt;4,G1692&lt;0,G1692&gt;1,H1692&gt;I1692,I1692&gt;J1692),"n.a.",ROUND(G1692*(H1692+4*I1692+J1692)/6+0.00000001,2))</f>
        <v/>
      </c>
      <c r="L1692" s="13" t="n">
        <v>0</v>
      </c>
      <c r="M1692" s="14">
        <f>SUMIFS(Maßnahmen!$I$7:$I$126,Maßnahmen!$D$7:$D$126,C1692,Maßnahmen!$H$7:$H$126,"&lt;&gt;verworfen")</f>
        <v/>
      </c>
      <c r="N1692" s="14">
        <f>IF(ISNUMBER(K1692),MAX(0,K1692-L1692-M1692),"n.a.")</f>
        <v/>
      </c>
      <c r="O1692" s="14" t="n">
        <v>3.45</v>
      </c>
      <c r="P1692" s="14">
        <f>IF(ISNUMBER(K1692),K1692-O1692,"n.a.")</f>
        <v/>
      </c>
    </row>
    <row r="1693" ht="32" customHeight="1">
      <c r="C1693" s="10" t="inlineStr">
        <is>
          <t>PRJ-4a6f9c9f-RK-01</t>
        </is>
      </c>
      <c r="D1693" s="10" t="inlineStr">
        <is>
          <t>P4102608275</t>
        </is>
      </c>
      <c r="E1693" s="11" t="inlineStr">
        <is>
          <t>Schadstofffund / Schadstoffsanierung (Asbest, PAK, PCB, PCP)</t>
        </is>
      </c>
      <c r="F1693" s="10" t="inlineStr">
        <is>
          <t>Schadstoffe</t>
        </is>
      </c>
      <c r="G1693" s="12" t="n">
        <v>0.1</v>
      </c>
      <c r="H1693" s="13" t="n">
        <v>20</v>
      </c>
      <c r="I1693" s="13" t="n">
        <v>50</v>
      </c>
      <c r="J1693" s="13" t="n">
        <v>100</v>
      </c>
      <c r="K1693" s="14">
        <f>IF(OR(COUNT(G1693:J1693)&lt;&gt;4,G1693&lt;0,G1693&gt;1,H1693&gt;I1693,I1693&gt;J1693),"n.a.",ROUND(G1693*(H1693+4*I1693+J1693)/6+0.00000001,2))</f>
        <v/>
      </c>
      <c r="L1693" s="13" t="n">
        <v>0</v>
      </c>
      <c r="M1693" s="14">
        <f>SUMIFS(Maßnahmen!$I$7:$I$126,Maßnahmen!$D$7:$D$126,C1693,Maßnahmen!$H$7:$H$126,"&lt;&gt;verworfen")</f>
        <v/>
      </c>
      <c r="N1693" s="14">
        <f>IF(ISNUMBER(K1693),MAX(0,K1693-L1693-M1693),"n.a.")</f>
        <v/>
      </c>
      <c r="O1693" s="14" t="n">
        <v>5.33</v>
      </c>
      <c r="P1693" s="14">
        <f>IF(ISNUMBER(K1693),K1693-O1693,"n.a.")</f>
        <v/>
      </c>
    </row>
    <row r="1694" ht="32" customHeight="1">
      <c r="C1694" s="10" t="inlineStr">
        <is>
          <t>PRJ-4a6f9c9f-RK-02</t>
        </is>
      </c>
      <c r="D1694" s="10" t="inlineStr">
        <is>
          <t>P4102608275</t>
        </is>
      </c>
      <c r="E1694" s="11" t="inlineStr">
        <is>
          <t>Arbeitsschutz kontaminierte Bereiche (TRGS 524)</t>
        </is>
      </c>
      <c r="F1694" s="10" t="inlineStr">
        <is>
          <t>Schadstoffe</t>
        </is>
      </c>
      <c r="G1694" s="12" t="n">
        <v>0.1</v>
      </c>
      <c r="H1694" s="13" t="n">
        <v>5</v>
      </c>
      <c r="I1694" s="13" t="n">
        <v>10</v>
      </c>
      <c r="J1694" s="13" t="n">
        <v>20</v>
      </c>
      <c r="K1694" s="14">
        <f>IF(OR(COUNT(G1694:J1694)&lt;&gt;4,G1694&lt;0,G1694&gt;1,H1694&gt;I1694,I1694&gt;J1694),"n.a.",ROUND(G1694*(H1694+4*I1694+J1694)/6+0.00000001,2))</f>
        <v/>
      </c>
      <c r="L1694" s="13" t="n">
        <v>0</v>
      </c>
      <c r="M1694" s="14">
        <f>SUMIFS(Maßnahmen!$I$7:$I$126,Maßnahmen!$D$7:$D$126,C1694,Maßnahmen!$H$7:$H$126,"&lt;&gt;verworfen")</f>
        <v/>
      </c>
      <c r="N1694" s="14">
        <f>IF(ISNUMBER(K1694),MAX(0,K1694-L1694-M1694),"n.a.")</f>
        <v/>
      </c>
      <c r="O1694" s="14" t="n">
        <v>1.08</v>
      </c>
      <c r="P1694" s="14">
        <f>IF(ISNUMBER(K1694),K1694-O1694,"n.a.")</f>
        <v/>
      </c>
    </row>
    <row r="1695" ht="32" customHeight="1">
      <c r="C1695" s="10" t="inlineStr">
        <is>
          <t>PRJ-4a6f9c9f-RK-03</t>
        </is>
      </c>
      <c r="D1695" s="10" t="inlineStr">
        <is>
          <t>P4102608275</t>
        </is>
      </c>
      <c r="E1695" s="11" t="inlineStr">
        <is>
          <t>Entsorgungs-Mehrkosten / Entsorgungswege</t>
        </is>
      </c>
      <c r="F1695" s="10" t="inlineStr">
        <is>
          <t>Entsorgung</t>
        </is>
      </c>
      <c r="G1695" s="12" t="n">
        <v>0.27</v>
      </c>
      <c r="H1695" s="13" t="n">
        <v>20</v>
      </c>
      <c r="I1695" s="13" t="n">
        <v>50</v>
      </c>
      <c r="J1695" s="13" t="n">
        <v>100</v>
      </c>
      <c r="K1695" s="14">
        <f>IF(OR(COUNT(G1695:J1695)&lt;&gt;4,G1695&lt;0,G1695&gt;1,H1695&gt;I1695,I1695&gt;J1695),"n.a.",ROUND(G1695*(H1695+4*I1695+J1695)/6+0.00000001,2))</f>
        <v/>
      </c>
      <c r="L1695" s="13" t="n">
        <v>0</v>
      </c>
      <c r="M1695" s="14">
        <f>SUMIFS(Maßnahmen!$I$7:$I$126,Maßnahmen!$D$7:$D$126,C1695,Maßnahmen!$H$7:$H$126,"&lt;&gt;verworfen")</f>
        <v/>
      </c>
      <c r="N1695" s="14">
        <f>IF(ISNUMBER(K1695),MAX(0,K1695-L1695-M1695),"n.a.")</f>
        <v/>
      </c>
      <c r="O1695" s="14" t="n">
        <v>14.4</v>
      </c>
      <c r="P1695" s="14">
        <f>IF(ISNUMBER(K1695),K1695-O1695,"n.a.")</f>
        <v/>
      </c>
    </row>
    <row r="1696" ht="32" customHeight="1">
      <c r="C1696" s="10" t="inlineStr">
        <is>
          <t>PRJ-4a6f9c9f-RK-04</t>
        </is>
      </c>
      <c r="D1696" s="10" t="inlineStr">
        <is>
          <t>P4102608275</t>
        </is>
      </c>
      <c r="E1696" s="11" t="inlineStr">
        <is>
          <t>Baustofftrennung / Aufbereitung nicht wie geplant</t>
        </is>
      </c>
      <c r="F1696" s="10" t="inlineStr">
        <is>
          <t>Entsorgung</t>
        </is>
      </c>
      <c r="G1696" s="12" t="n">
        <v>0.08</v>
      </c>
      <c r="H1696" s="13" t="n">
        <v>5</v>
      </c>
      <c r="I1696" s="13" t="n">
        <v>10</v>
      </c>
      <c r="J1696" s="13" t="n">
        <v>20</v>
      </c>
      <c r="K1696" s="14">
        <f>IF(OR(COUNT(G1696:J1696)&lt;&gt;4,G1696&lt;0,G1696&gt;1,H1696&gt;I1696,I1696&gt;J1696),"n.a.",ROUND(G1696*(H1696+4*I1696+J1696)/6+0.00000001,2))</f>
        <v/>
      </c>
      <c r="L1696" s="13" t="n">
        <v>0</v>
      </c>
      <c r="M1696" s="14">
        <f>SUMIFS(Maßnahmen!$I$7:$I$126,Maßnahmen!$D$7:$D$126,C1696,Maßnahmen!$H$7:$H$126,"&lt;&gt;verworfen")</f>
        <v/>
      </c>
      <c r="N1696" s="14">
        <f>IF(ISNUMBER(K1696),MAX(0,K1696-L1696-M1696),"n.a.")</f>
        <v/>
      </c>
      <c r="O1696" s="14" t="n">
        <v>0.87</v>
      </c>
      <c r="P1696" s="14">
        <f>IF(ISNUMBER(K1696),K1696-O1696,"n.a.")</f>
        <v/>
      </c>
    </row>
    <row r="1697" ht="32" customHeight="1">
      <c r="C1697" s="10" t="inlineStr">
        <is>
          <t>PRJ-4a6f9c9f-RK-05</t>
        </is>
      </c>
      <c r="D1697" s="10" t="inlineStr">
        <is>
          <t>P4102608275</t>
        </is>
      </c>
      <c r="E1697" s="11" t="inlineStr">
        <is>
          <t>Unbekannte Bauwerkskonstruktion / fehlende Pläne</t>
        </is>
      </c>
      <c r="F1697" s="10" t="inlineStr">
        <is>
          <t>Statik</t>
        </is>
      </c>
      <c r="G1697" s="12" t="n">
        <v>0.12</v>
      </c>
      <c r="H1697" s="13" t="n">
        <v>40</v>
      </c>
      <c r="I1697" s="13" t="n">
        <v>80</v>
      </c>
      <c r="J1697" s="13" t="n">
        <v>150</v>
      </c>
      <c r="K1697" s="14">
        <f>IF(OR(COUNT(G1697:J1697)&lt;&gt;4,G1697&lt;0,G1697&gt;1,H1697&gt;I1697,I1697&gt;J1697),"n.a.",ROUND(G1697*(H1697+4*I1697+J1697)/6+0.00000001,2))</f>
        <v/>
      </c>
      <c r="L1697" s="13" t="n">
        <v>0</v>
      </c>
      <c r="M1697" s="14">
        <f>SUMIFS(Maßnahmen!$I$7:$I$126,Maßnahmen!$D$7:$D$126,C1697,Maßnahmen!$H$7:$H$126,"&lt;&gt;verworfen")</f>
        <v/>
      </c>
      <c r="N1697" s="14">
        <f>IF(ISNUMBER(K1697),MAX(0,K1697-L1697-M1697),"n.a.")</f>
        <v/>
      </c>
      <c r="O1697" s="14" t="n">
        <v>10.2</v>
      </c>
      <c r="P1697" s="14">
        <f>IF(ISNUMBER(K1697),K1697-O1697,"n.a.")</f>
        <v/>
      </c>
    </row>
    <row r="1698" ht="32" customHeight="1">
      <c r="C1698" s="10" t="inlineStr">
        <is>
          <t>PRJ-4a6f9c9f-RK-06</t>
        </is>
      </c>
      <c r="D1698" s="10" t="inlineStr">
        <is>
          <t>P4102608275</t>
        </is>
      </c>
      <c r="E1698" s="11" t="inlineStr">
        <is>
          <t>Statik / Einsturzsicherung während Abbruch</t>
        </is>
      </c>
      <c r="F1698" s="10" t="inlineStr">
        <is>
          <t>Statik</t>
        </is>
      </c>
      <c r="G1698" s="12" t="n">
        <v>0.24</v>
      </c>
      <c r="H1698" s="13" t="n">
        <v>30</v>
      </c>
      <c r="I1698" s="13" t="n">
        <v>70</v>
      </c>
      <c r="J1698" s="13" t="n">
        <v>140</v>
      </c>
      <c r="K1698" s="14">
        <f>IF(OR(COUNT(G1698:J1698)&lt;&gt;4,G1698&lt;0,G1698&gt;1,H1698&gt;I1698,I1698&gt;J1698),"n.a.",ROUND(G1698*(H1698+4*I1698+J1698)/6+0.00000001,2))</f>
        <v/>
      </c>
      <c r="L1698" s="13" t="n">
        <v>0</v>
      </c>
      <c r="M1698" s="14">
        <f>SUMIFS(Maßnahmen!$I$7:$I$126,Maßnahmen!$D$7:$D$126,C1698,Maßnahmen!$H$7:$H$126,"&lt;&gt;verworfen")</f>
        <v/>
      </c>
      <c r="N1698" s="14">
        <f>IF(ISNUMBER(K1698),MAX(0,K1698-L1698-M1698),"n.a.")</f>
        <v/>
      </c>
      <c r="O1698" s="14" t="n">
        <v>18</v>
      </c>
      <c r="P1698" s="14">
        <f>IF(ISNUMBER(K1698),K1698-O1698,"n.a.")</f>
        <v/>
      </c>
    </row>
    <row r="1699" ht="32" customHeight="1">
      <c r="C1699" s="10" t="inlineStr">
        <is>
          <t>PRJ-4a6f9d39-RK-10</t>
        </is>
      </c>
      <c r="D1699" s="10" t="inlineStr">
        <is>
          <t>P4102608226</t>
        </is>
      </c>
      <c r="E1699" s="11" t="inlineStr">
        <is>
          <t>Terminvorgabe Auftraggeber / Geräteauslastung</t>
        </is>
      </c>
      <c r="F1699" s="10" t="inlineStr">
        <is>
          <t>Termin</t>
        </is>
      </c>
      <c r="G1699" s="12" t="n">
        <v>0.1</v>
      </c>
      <c r="H1699" s="13" t="n">
        <v>8</v>
      </c>
      <c r="I1699" s="13" t="n">
        <v>20</v>
      </c>
      <c r="J1699" s="13" t="n">
        <v>50</v>
      </c>
      <c r="K1699" s="14">
        <f>IF(OR(COUNT(G1699:J1699)&lt;&gt;4,G1699&lt;0,G1699&gt;1,H1699&gt;I1699,I1699&gt;J1699),"n.a.",ROUND(G1699*(H1699+4*I1699+J1699)/6+0.00000001,2))</f>
        <v/>
      </c>
      <c r="L1699" s="13" t="n">
        <v>0</v>
      </c>
      <c r="M1699" s="14">
        <f>SUMIFS(Maßnahmen!$I$7:$I$126,Maßnahmen!$D$7:$D$126,C1699,Maßnahmen!$H$7:$H$126,"&lt;&gt;verworfen")</f>
        <v/>
      </c>
      <c r="N1699" s="14">
        <f>IF(ISNUMBER(K1699),MAX(0,K1699-L1699-M1699),"n.a.")</f>
        <v/>
      </c>
      <c r="O1699" s="14" t="n">
        <v>2.3</v>
      </c>
      <c r="P1699" s="14">
        <f>IF(ISNUMBER(K1699),K1699-O1699,"n.a.")</f>
        <v/>
      </c>
    </row>
    <row r="1700" ht="32" customHeight="1">
      <c r="C1700" s="10" t="inlineStr">
        <is>
          <t>PRJ-4a6f9d39-RK-11</t>
        </is>
      </c>
      <c r="D1700" s="10" t="inlineStr">
        <is>
          <t>P4102608226</t>
        </is>
      </c>
      <c r="E1700" s="11" t="inlineStr">
        <is>
          <t>Witterung / Ablaufstörung</t>
        </is>
      </c>
      <c r="F1700" s="10" t="inlineStr">
        <is>
          <t>Termin</t>
        </is>
      </c>
      <c r="G1700" s="12" t="n">
        <v>0.25</v>
      </c>
      <c r="H1700" s="13" t="n">
        <v>10</v>
      </c>
      <c r="I1700" s="13" t="n">
        <v>30</v>
      </c>
      <c r="J1700" s="13" t="n">
        <v>60</v>
      </c>
      <c r="K1700" s="14">
        <f>IF(OR(COUNT(G1700:J1700)&lt;&gt;4,G1700&lt;0,G1700&gt;1,H1700&gt;I1700,I1700&gt;J1700),"n.a.",ROUND(G1700*(H1700+4*I1700+J1700)/6+0.00000001,2))</f>
        <v/>
      </c>
      <c r="L1700" s="13" t="n">
        <v>0</v>
      </c>
      <c r="M1700" s="14">
        <f>SUMIFS(Maßnahmen!$I$7:$I$126,Maßnahmen!$D$7:$D$126,C1700,Maßnahmen!$H$7:$H$126,"&lt;&gt;verworfen")</f>
        <v/>
      </c>
      <c r="N1700" s="14">
        <f>IF(ISNUMBER(K1700),MAX(0,K1700-L1700-M1700),"n.a.")</f>
        <v/>
      </c>
      <c r="O1700" s="14" t="n">
        <v>7.92</v>
      </c>
      <c r="P1700" s="14">
        <f>IF(ISNUMBER(K1700),K1700-O1700,"n.a.")</f>
        <v/>
      </c>
    </row>
    <row r="1701" ht="32" customHeight="1">
      <c r="C1701" s="10" t="inlineStr">
        <is>
          <t>PRJ-4a6f9d39-RK-12</t>
        </is>
      </c>
      <c r="D1701" s="10" t="inlineStr">
        <is>
          <t>P4102608226</t>
        </is>
      </c>
      <c r="E1701" s="11" t="inlineStr">
        <is>
          <t>Staubemissionen (höchster Aufwand laut Umfrage)</t>
        </is>
      </c>
      <c r="F1701" s="10" t="inlineStr">
        <is>
          <t>Emissionen</t>
        </is>
      </c>
      <c r="G1701" s="12" t="n">
        <v>0.1</v>
      </c>
      <c r="H1701" s="13" t="n">
        <v>30</v>
      </c>
      <c r="I1701" s="13" t="n">
        <v>60</v>
      </c>
      <c r="J1701" s="13" t="n">
        <v>120</v>
      </c>
      <c r="K1701" s="14">
        <f>IF(OR(COUNT(G1701:J1701)&lt;&gt;4,G1701&lt;0,G1701&gt;1,H1701&gt;I1701,I1701&gt;J1701),"n.a.",ROUND(G1701*(H1701+4*I1701+J1701)/6+0.00000001,2))</f>
        <v/>
      </c>
      <c r="L1701" s="13" t="n">
        <v>0</v>
      </c>
      <c r="M1701" s="14">
        <f>SUMIFS(Maßnahmen!$I$7:$I$126,Maßnahmen!$D$7:$D$126,C1701,Maßnahmen!$H$7:$H$126,"&lt;&gt;verworfen")</f>
        <v/>
      </c>
      <c r="N1701" s="14">
        <f>IF(ISNUMBER(K1701),MAX(0,K1701-L1701-M1701),"n.a.")</f>
        <v/>
      </c>
      <c r="O1701" s="14" t="n">
        <v>6.5</v>
      </c>
      <c r="P1701" s="14">
        <f>IF(ISNUMBER(K1701),K1701-O1701,"n.a.")</f>
        <v/>
      </c>
    </row>
    <row r="1702" ht="32" customHeight="1">
      <c r="C1702" s="10" t="inlineStr">
        <is>
          <t>PRJ-4a6f9d39-RK-13</t>
        </is>
      </c>
      <c r="D1702" s="10" t="inlineStr">
        <is>
          <t>P4102608226</t>
        </is>
      </c>
      <c r="E1702" s="11" t="inlineStr">
        <is>
          <t>Lärm- und Erschütterungsauflagen</t>
        </is>
      </c>
      <c r="F1702" s="10" t="inlineStr">
        <is>
          <t>Emissionen</t>
        </is>
      </c>
      <c r="G1702" s="12" t="n">
        <v>0.2</v>
      </c>
      <c r="H1702" s="13" t="n">
        <v>20</v>
      </c>
      <c r="I1702" s="13" t="n">
        <v>50</v>
      </c>
      <c r="J1702" s="13" t="n">
        <v>100</v>
      </c>
      <c r="K1702" s="14">
        <f>IF(OR(COUNT(G1702:J1702)&lt;&gt;4,G1702&lt;0,G1702&gt;1,H1702&gt;I1702,I1702&gt;J1702),"n.a.",ROUND(G1702*(H1702+4*I1702+J1702)/6+0.00000001,2))</f>
        <v/>
      </c>
      <c r="L1702" s="13" t="n">
        <v>0</v>
      </c>
      <c r="M1702" s="14">
        <f>SUMIFS(Maßnahmen!$I$7:$I$126,Maßnahmen!$D$7:$D$126,C1702,Maßnahmen!$H$7:$H$126,"&lt;&gt;verworfen")</f>
        <v/>
      </c>
      <c r="N1702" s="14">
        <f>IF(ISNUMBER(K1702),MAX(0,K1702-L1702-M1702),"n.a.")</f>
        <v/>
      </c>
      <c r="O1702" s="14" t="n">
        <v>10.67</v>
      </c>
      <c r="P1702" s="14">
        <f>IF(ISNUMBER(K1702),K1702-O1702,"n.a.")</f>
        <v/>
      </c>
    </row>
    <row r="1703" ht="32" customHeight="1">
      <c r="C1703" s="10" t="inlineStr">
        <is>
          <t>PRJ-4a6f9d39-RK-14</t>
        </is>
      </c>
      <c r="D1703" s="10" t="inlineStr">
        <is>
          <t>P4102608226</t>
        </is>
      </c>
      <c r="E1703" s="11" t="inlineStr">
        <is>
          <t>Rechtliche Auflagen / Entsorgungsnachweise (Formalismus)</t>
        </is>
      </c>
      <c r="F1703" s="10" t="inlineStr">
        <is>
          <t>Genehmigung</t>
        </is>
      </c>
      <c r="G1703" s="12" t="n">
        <v>0.4</v>
      </c>
      <c r="H1703" s="13" t="n">
        <v>95</v>
      </c>
      <c r="I1703" s="13" t="n">
        <v>185</v>
      </c>
      <c r="J1703" s="13" t="n">
        <v>350</v>
      </c>
      <c r="K1703" s="14">
        <f>IF(OR(COUNT(G1703:J1703)&lt;&gt;4,G1703&lt;0,G1703&gt;1,H1703&gt;I1703,I1703&gt;J1703),"n.a.",ROUND(G1703*(H1703+4*I1703+J1703)/6+0.00000001,2))</f>
        <v/>
      </c>
      <c r="L1703" s="13" t="n">
        <v>0</v>
      </c>
      <c r="M1703" s="14">
        <f>SUMIFS(Maßnahmen!$I$7:$I$126,Maßnahmen!$D$7:$D$126,C1703,Maßnahmen!$H$7:$H$126,"&lt;&gt;verworfen")</f>
        <v/>
      </c>
      <c r="N1703" s="14">
        <f>IF(ISNUMBER(K1703),MAX(0,K1703-L1703-M1703),"n.a.")</f>
        <v/>
      </c>
      <c r="O1703" s="14" t="n">
        <v>79</v>
      </c>
      <c r="P1703" s="14">
        <f>IF(ISNUMBER(K1703),K1703-O1703,"n.a.")</f>
        <v/>
      </c>
    </row>
    <row r="1704" ht="32" customHeight="1">
      <c r="C1704" s="10" t="inlineStr">
        <is>
          <t>PRJ-4a6f9d39-RK-15</t>
        </is>
      </c>
      <c r="D1704" s="10" t="inlineStr">
        <is>
          <t>P4102608226</t>
        </is>
      </c>
      <c r="E1704" s="11" t="inlineStr">
        <is>
          <t>Konjunktur / Sekundärstoffpreise &amp; Gerätemiete</t>
        </is>
      </c>
      <c r="F1704" s="10" t="inlineStr">
        <is>
          <t>Markt</t>
        </is>
      </c>
      <c r="G1704" s="12" t="n">
        <v>0.12</v>
      </c>
      <c r="H1704" s="13" t="n">
        <v>8</v>
      </c>
      <c r="I1704" s="13" t="n">
        <v>20</v>
      </c>
      <c r="J1704" s="13" t="n">
        <v>50</v>
      </c>
      <c r="K1704" s="14">
        <f>IF(OR(COUNT(G1704:J1704)&lt;&gt;4,G1704&lt;0,G1704&gt;1,H1704&gt;I1704,I1704&gt;J1704),"n.a.",ROUND(G1704*(H1704+4*I1704+J1704)/6+0.00000001,2))</f>
        <v/>
      </c>
      <c r="L1704" s="13" t="n">
        <v>0</v>
      </c>
      <c r="M1704" s="14">
        <f>SUMIFS(Maßnahmen!$I$7:$I$126,Maßnahmen!$D$7:$D$126,C1704,Maßnahmen!$H$7:$H$126,"&lt;&gt;verworfen")</f>
        <v/>
      </c>
      <c r="N1704" s="14">
        <f>IF(ISNUMBER(K1704),MAX(0,K1704-L1704-M1704),"n.a.")</f>
        <v/>
      </c>
      <c r="O1704" s="14" t="n">
        <v>2.76</v>
      </c>
      <c r="P1704" s="14">
        <f>IF(ISNUMBER(K1704),K1704-O1704,"n.a.")</f>
        <v/>
      </c>
    </row>
    <row r="1705" ht="32" customHeight="1">
      <c r="C1705" s="10" t="inlineStr">
        <is>
          <t>PRJ-4f8e93f5-RK-01</t>
        </is>
      </c>
      <c r="D1705" s="10" t="inlineStr">
        <is>
          <t>P4102307424</t>
        </is>
      </c>
      <c r="E1705" s="11" t="inlineStr">
        <is>
          <t>Schadstofffund / Schadstoffsanierung (Asbest, PAK, PCB, PCP)</t>
        </is>
      </c>
      <c r="F1705" s="10" t="inlineStr">
        <is>
          <t>Schadstoffe</t>
        </is>
      </c>
      <c r="G1705" s="12" t="n">
        <v>0.1</v>
      </c>
      <c r="H1705" s="13" t="n">
        <v>20</v>
      </c>
      <c r="I1705" s="13" t="n">
        <v>50</v>
      </c>
      <c r="J1705" s="13" t="n">
        <v>100</v>
      </c>
      <c r="K1705" s="14">
        <f>IF(OR(COUNT(G1705:J1705)&lt;&gt;4,G1705&lt;0,G1705&gt;1,H1705&gt;I1705,I1705&gt;J1705),"n.a.",ROUND(G1705*(H1705+4*I1705+J1705)/6+0.00000001,2))</f>
        <v/>
      </c>
      <c r="L1705" s="13" t="n">
        <v>0</v>
      </c>
      <c r="M1705" s="14">
        <f>SUMIFS(Maßnahmen!$I$7:$I$126,Maßnahmen!$D$7:$D$126,C1705,Maßnahmen!$H$7:$H$126,"&lt;&gt;verworfen")</f>
        <v/>
      </c>
      <c r="N1705" s="14">
        <f>IF(ISNUMBER(K1705),MAX(0,K1705-L1705-M1705),"n.a.")</f>
        <v/>
      </c>
      <c r="O1705" s="14" t="n">
        <v>5.33</v>
      </c>
      <c r="P1705" s="14">
        <f>IF(ISNUMBER(K1705),K1705-O1705,"n.a.")</f>
        <v/>
      </c>
    </row>
    <row r="1706" ht="32" customHeight="1">
      <c r="C1706" s="10" t="inlineStr">
        <is>
          <t>PRJ-4f8e93f5-RK-02</t>
        </is>
      </c>
      <c r="D1706" s="10" t="inlineStr">
        <is>
          <t>P4102307424</t>
        </is>
      </c>
      <c r="E1706" s="11" t="inlineStr">
        <is>
          <t>Arbeitsschutz kontaminierte Bereiche (TRGS 524)</t>
        </is>
      </c>
      <c r="F1706" s="10" t="inlineStr">
        <is>
          <t>Schadstoffe</t>
        </is>
      </c>
      <c r="G1706" s="12" t="n">
        <v>0.1</v>
      </c>
      <c r="H1706" s="13" t="n">
        <v>5</v>
      </c>
      <c r="I1706" s="13" t="n">
        <v>10</v>
      </c>
      <c r="J1706" s="13" t="n">
        <v>20</v>
      </c>
      <c r="K1706" s="14">
        <f>IF(OR(COUNT(G1706:J1706)&lt;&gt;4,G1706&lt;0,G1706&gt;1,H1706&gt;I1706,I1706&gt;J1706),"n.a.",ROUND(G1706*(H1706+4*I1706+J1706)/6+0.00000001,2))</f>
        <v/>
      </c>
      <c r="L1706" s="13" t="n">
        <v>0</v>
      </c>
      <c r="M1706" s="14">
        <f>SUMIFS(Maßnahmen!$I$7:$I$126,Maßnahmen!$D$7:$D$126,C1706,Maßnahmen!$H$7:$H$126,"&lt;&gt;verworfen")</f>
        <v/>
      </c>
      <c r="N1706" s="14">
        <f>IF(ISNUMBER(K1706),MAX(0,K1706-L1706-M1706),"n.a.")</f>
        <v/>
      </c>
      <c r="O1706" s="14" t="n">
        <v>1.08</v>
      </c>
      <c r="P1706" s="14">
        <f>IF(ISNUMBER(K1706),K1706-O1706,"n.a.")</f>
        <v/>
      </c>
    </row>
    <row r="1707" ht="32" customHeight="1">
      <c r="C1707" s="10" t="inlineStr">
        <is>
          <t>PRJ-4f8e93f5-RK-03</t>
        </is>
      </c>
      <c r="D1707" s="10" t="inlineStr">
        <is>
          <t>P4102307424</t>
        </is>
      </c>
      <c r="E1707" s="11" t="inlineStr">
        <is>
          <t>Entsorgungs-Mehrkosten / Entsorgungswege</t>
        </is>
      </c>
      <c r="F1707" s="10" t="inlineStr">
        <is>
          <t>Entsorgung</t>
        </is>
      </c>
      <c r="G1707" s="12" t="n">
        <v>0.55</v>
      </c>
      <c r="H1707" s="13" t="n">
        <v>219</v>
      </c>
      <c r="I1707" s="13" t="n">
        <v>399</v>
      </c>
      <c r="J1707" s="13" t="n">
        <v>648</v>
      </c>
      <c r="K1707" s="14">
        <f>IF(OR(COUNT(G1707:J1707)&lt;&gt;4,G1707&lt;0,G1707&gt;1,H1707&gt;I1707,I1707&gt;J1707),"n.a.",ROUND(G1707*(H1707+4*I1707+J1707)/6+0.00000001,2))</f>
        <v/>
      </c>
      <c r="L1707" s="13" t="n">
        <v>0</v>
      </c>
      <c r="M1707" s="14">
        <f>SUMIFS(Maßnahmen!$I$7:$I$126,Maßnahmen!$D$7:$D$126,C1707,Maßnahmen!$H$7:$H$126,"&lt;&gt;verworfen")</f>
        <v/>
      </c>
      <c r="N1707" s="14">
        <f>IF(ISNUMBER(K1707),MAX(0,K1707-L1707-M1707),"n.a.")</f>
        <v/>
      </c>
      <c r="O1707" s="14" t="n">
        <v>225.78</v>
      </c>
      <c r="P1707" s="14">
        <f>IF(ISNUMBER(K1707),K1707-O1707,"n.a.")</f>
        <v/>
      </c>
    </row>
    <row r="1708" ht="32" customHeight="1">
      <c r="C1708" s="10" t="inlineStr">
        <is>
          <t>PRJ-4f8e93f5-RK-04</t>
        </is>
      </c>
      <c r="D1708" s="10" t="inlineStr">
        <is>
          <t>P4102307424</t>
        </is>
      </c>
      <c r="E1708" s="11" t="inlineStr">
        <is>
          <t>Baustofftrennung / Aufbereitung nicht wie geplant</t>
        </is>
      </c>
      <c r="F1708" s="10" t="inlineStr">
        <is>
          <t>Entsorgung</t>
        </is>
      </c>
      <c r="G1708" s="12" t="n">
        <v>0.08</v>
      </c>
      <c r="H1708" s="13" t="n">
        <v>5</v>
      </c>
      <c r="I1708" s="13" t="n">
        <v>10</v>
      </c>
      <c r="J1708" s="13" t="n">
        <v>20</v>
      </c>
      <c r="K1708" s="14">
        <f>IF(OR(COUNT(G1708:J1708)&lt;&gt;4,G1708&lt;0,G1708&gt;1,H1708&gt;I1708,I1708&gt;J1708),"n.a.",ROUND(G1708*(H1708+4*I1708+J1708)/6+0.00000001,2))</f>
        <v/>
      </c>
      <c r="L1708" s="13" t="n">
        <v>0</v>
      </c>
      <c r="M1708" s="14">
        <f>SUMIFS(Maßnahmen!$I$7:$I$126,Maßnahmen!$D$7:$D$126,C1708,Maßnahmen!$H$7:$H$126,"&lt;&gt;verworfen")</f>
        <v/>
      </c>
      <c r="N1708" s="14">
        <f>IF(ISNUMBER(K1708),MAX(0,K1708-L1708-M1708),"n.a.")</f>
        <v/>
      </c>
      <c r="O1708" s="14" t="n">
        <v>0.87</v>
      </c>
      <c r="P1708" s="14">
        <f>IF(ISNUMBER(K1708),K1708-O1708,"n.a.")</f>
        <v/>
      </c>
    </row>
    <row r="1709" ht="32" customHeight="1">
      <c r="C1709" s="10" t="inlineStr">
        <is>
          <t>PRJ-4f8e93f5-RK-05</t>
        </is>
      </c>
      <c r="D1709" s="10" t="inlineStr">
        <is>
          <t>P4102307424</t>
        </is>
      </c>
      <c r="E1709" s="11" t="inlineStr">
        <is>
          <t>Unbekannte Bauwerkskonstruktion / fehlende Pläne</t>
        </is>
      </c>
      <c r="F1709" s="10" t="inlineStr">
        <is>
          <t>Statik</t>
        </is>
      </c>
      <c r="G1709" s="12" t="n">
        <v>0.12</v>
      </c>
      <c r="H1709" s="13" t="n">
        <v>40</v>
      </c>
      <c r="I1709" s="13" t="n">
        <v>80</v>
      </c>
      <c r="J1709" s="13" t="n">
        <v>150</v>
      </c>
      <c r="K1709" s="14">
        <f>IF(OR(COUNT(G1709:J1709)&lt;&gt;4,G1709&lt;0,G1709&gt;1,H1709&gt;I1709,I1709&gt;J1709),"n.a.",ROUND(G1709*(H1709+4*I1709+J1709)/6+0.00000001,2))</f>
        <v/>
      </c>
      <c r="L1709" s="13" t="n">
        <v>0</v>
      </c>
      <c r="M1709" s="14">
        <f>SUMIFS(Maßnahmen!$I$7:$I$126,Maßnahmen!$D$7:$D$126,C1709,Maßnahmen!$H$7:$H$126,"&lt;&gt;verworfen")</f>
        <v/>
      </c>
      <c r="N1709" s="14">
        <f>IF(ISNUMBER(K1709),MAX(0,K1709-L1709-M1709),"n.a.")</f>
        <v/>
      </c>
      <c r="O1709" s="14" t="n">
        <v>10.2</v>
      </c>
      <c r="P1709" s="14">
        <f>IF(ISNUMBER(K1709),K1709-O1709,"n.a.")</f>
        <v/>
      </c>
    </row>
    <row r="1710" ht="32" customHeight="1">
      <c r="C1710" s="10" t="inlineStr">
        <is>
          <t>PRJ-4f8e93f5-RK-06</t>
        </is>
      </c>
      <c r="D1710" s="10" t="inlineStr">
        <is>
          <t>P4102307424</t>
        </is>
      </c>
      <c r="E1710" s="11" t="inlineStr">
        <is>
          <t>Statik / Einsturzsicherung während Abbruch</t>
        </is>
      </c>
      <c r="F1710" s="10" t="inlineStr">
        <is>
          <t>Statik</t>
        </is>
      </c>
      <c r="G1710" s="12" t="n">
        <v>0.45</v>
      </c>
      <c r="H1710" s="13" t="n">
        <v>179</v>
      </c>
      <c r="I1710" s="13" t="n">
        <v>319</v>
      </c>
      <c r="J1710" s="13" t="n">
        <v>539</v>
      </c>
      <c r="K1710" s="14">
        <f>IF(OR(COUNT(G1710:J1710)&lt;&gt;4,G1710&lt;0,G1710&gt;1,H1710&gt;I1710,I1710&gt;J1710),"n.a.",ROUND(G1710*(H1710+4*I1710+J1710)/6+0.00000001,2))</f>
        <v/>
      </c>
      <c r="L1710" s="13" t="n">
        <v>0</v>
      </c>
      <c r="M1710" s="14">
        <f>SUMIFS(Maßnahmen!$I$7:$I$126,Maßnahmen!$D$7:$D$126,C1710,Maßnahmen!$H$7:$H$126,"&lt;&gt;verworfen")</f>
        <v/>
      </c>
      <c r="N1710" s="14">
        <f>IF(ISNUMBER(K1710),MAX(0,K1710-L1710-M1710),"n.a.")</f>
        <v/>
      </c>
      <c r="O1710" s="14" t="n">
        <v>149.55</v>
      </c>
      <c r="P1710" s="14">
        <f>IF(ISNUMBER(K1710),K1710-O1710,"n.a.")</f>
        <v/>
      </c>
    </row>
    <row r="1711" ht="32" customHeight="1">
      <c r="C1711" s="10" t="inlineStr">
        <is>
          <t>PRJ-4f8e93f5-RK-07</t>
        </is>
      </c>
      <c r="D1711" s="10" t="inlineStr">
        <is>
          <t>P4102307424</t>
        </is>
      </c>
      <c r="E1711" s="11" t="inlineStr">
        <is>
          <t>Unterirdische Tragkonstruktion / Fundamente</t>
        </is>
      </c>
      <c r="F1711" s="10" t="inlineStr">
        <is>
          <t>Statik</t>
        </is>
      </c>
      <c r="G1711" s="12" t="n">
        <v>0.4</v>
      </c>
      <c r="H1711" s="13" t="n">
        <v>55</v>
      </c>
      <c r="I1711" s="13" t="n">
        <v>100</v>
      </c>
      <c r="J1711" s="13" t="n">
        <v>199</v>
      </c>
      <c r="K1711" s="14">
        <f>IF(OR(COUNT(G1711:J1711)&lt;&gt;4,G1711&lt;0,G1711&gt;1,H1711&gt;I1711,I1711&gt;J1711),"n.a.",ROUND(G1711*(H1711+4*I1711+J1711)/6+0.00000001,2))</f>
        <v/>
      </c>
      <c r="L1711" s="13" t="n">
        <v>0</v>
      </c>
      <c r="M1711" s="14">
        <f>SUMIFS(Maßnahmen!$I$7:$I$126,Maßnahmen!$D$7:$D$126,C1711,Maßnahmen!$H$7:$H$126,"&lt;&gt;verworfen")</f>
        <v/>
      </c>
      <c r="N1711" s="14">
        <f>IF(ISNUMBER(K1711),MAX(0,K1711-L1711-M1711),"n.a.")</f>
        <v/>
      </c>
      <c r="O1711" s="14" t="n">
        <v>43.6</v>
      </c>
      <c r="P1711" s="14">
        <f>IF(ISNUMBER(K1711),K1711-O1711,"n.a.")</f>
        <v/>
      </c>
    </row>
    <row r="1712" ht="32" customHeight="1">
      <c r="C1712" s="10" t="inlineStr">
        <is>
          <t>PRJ-4f8e93f5-RK-08</t>
        </is>
      </c>
      <c r="D1712" s="10" t="inlineStr">
        <is>
          <t>P4102307424</t>
        </is>
      </c>
      <c r="E1712" s="11" t="inlineStr">
        <is>
          <t>Gebäudehöhe &gt;22 m / Longfront-Bagger (+130–150 %)</t>
        </is>
      </c>
      <c r="F1712" s="10" t="inlineStr">
        <is>
          <t>Termin</t>
        </is>
      </c>
      <c r="G1712" s="12" t="n">
        <v>0.597</v>
      </c>
      <c r="H1712" s="13" t="n">
        <v>89</v>
      </c>
      <c r="I1712" s="13" t="n">
        <v>179</v>
      </c>
      <c r="J1712" s="13" t="n">
        <v>338</v>
      </c>
      <c r="K1712" s="14">
        <f>IF(OR(COUNT(G1712:J1712)&lt;&gt;4,G1712&lt;0,G1712&gt;1,H1712&gt;I1712,I1712&gt;J1712),"n.a.",ROUND(G1712*(H1712+4*I1712+J1712)/6+0.00000001,2))</f>
        <v/>
      </c>
      <c r="L1712" s="13" t="n">
        <v>0</v>
      </c>
      <c r="M1712" s="14">
        <f>SUMIFS(Maßnahmen!$I$7:$I$126,Maßnahmen!$D$7:$D$126,C1712,Maßnahmen!$H$7:$H$126,"&lt;&gt;verworfen")</f>
        <v/>
      </c>
      <c r="N1712" s="14">
        <f>IF(ISNUMBER(K1712),MAX(0,K1712-L1712-M1712),"n.a.")</f>
        <v/>
      </c>
      <c r="O1712" s="14" t="n">
        <v>113.73</v>
      </c>
      <c r="P1712" s="14">
        <f>IF(ISNUMBER(K1712),K1712-O1712,"n.a.")</f>
        <v/>
      </c>
    </row>
    <row r="1713" ht="32" customHeight="1">
      <c r="C1713" s="10" t="inlineStr">
        <is>
          <t>PRJ-4f8e93f5-RK-09</t>
        </is>
      </c>
      <c r="D1713" s="10" t="inlineStr">
        <is>
          <t>P4102307424</t>
        </is>
      </c>
      <c r="E1713" s="11" t="inlineStr">
        <is>
          <t>Beennte Lage / nur Handabbruch möglich</t>
        </is>
      </c>
      <c r="F1713" s="10" t="inlineStr">
        <is>
          <t>Termin</t>
        </is>
      </c>
      <c r="G1713" s="12" t="n">
        <v>0.15</v>
      </c>
      <c r="H1713" s="13" t="n">
        <v>8</v>
      </c>
      <c r="I1713" s="13" t="n">
        <v>20</v>
      </c>
      <c r="J1713" s="13" t="n">
        <v>50</v>
      </c>
      <c r="K1713" s="14">
        <f>IF(OR(COUNT(G1713:J1713)&lt;&gt;4,G1713&lt;0,G1713&gt;1,H1713&gt;I1713,I1713&gt;J1713),"n.a.",ROUND(G1713*(H1713+4*I1713+J1713)/6+0.00000001,2))</f>
        <v/>
      </c>
      <c r="L1713" s="13" t="n">
        <v>0</v>
      </c>
      <c r="M1713" s="14">
        <f>SUMIFS(Maßnahmen!$I$7:$I$126,Maßnahmen!$D$7:$D$126,C1713,Maßnahmen!$H$7:$H$126,"&lt;&gt;verworfen")</f>
        <v/>
      </c>
      <c r="N1713" s="14">
        <f>IF(ISNUMBER(K1713),MAX(0,K1713-L1713-M1713),"n.a.")</f>
        <v/>
      </c>
      <c r="O1713" s="14" t="n">
        <v>3.45</v>
      </c>
      <c r="P1713" s="14">
        <f>IF(ISNUMBER(K1713),K1713-O1713,"n.a.")</f>
        <v/>
      </c>
    </row>
    <row r="1714" ht="32" customHeight="1">
      <c r="C1714" s="10" t="inlineStr">
        <is>
          <t>PRJ-4f8e93f5-RK-10</t>
        </is>
      </c>
      <c r="D1714" s="10" t="inlineStr">
        <is>
          <t>P4102307424</t>
        </is>
      </c>
      <c r="E1714" s="11" t="inlineStr">
        <is>
          <t>Terminvorgabe Auftraggeber / Geräteauslastung</t>
        </is>
      </c>
      <c r="F1714" s="10" t="inlineStr">
        <is>
          <t>Termin</t>
        </is>
      </c>
      <c r="G1714" s="12" t="n">
        <v>0.08</v>
      </c>
      <c r="H1714" s="13" t="n">
        <v>5</v>
      </c>
      <c r="I1714" s="13" t="n">
        <v>10</v>
      </c>
      <c r="J1714" s="13" t="n">
        <v>20</v>
      </c>
      <c r="K1714" s="14">
        <f>IF(OR(COUNT(G1714:J1714)&lt;&gt;4,G1714&lt;0,G1714&gt;1,H1714&gt;I1714,I1714&gt;J1714),"n.a.",ROUND(G1714*(H1714+4*I1714+J1714)/6+0.00000001,2))</f>
        <v/>
      </c>
      <c r="L1714" s="13" t="n">
        <v>0</v>
      </c>
      <c r="M1714" s="14">
        <f>SUMIFS(Maßnahmen!$I$7:$I$126,Maßnahmen!$D$7:$D$126,C1714,Maßnahmen!$H$7:$H$126,"&lt;&gt;verworfen")</f>
        <v/>
      </c>
      <c r="N1714" s="14">
        <f>IF(ISNUMBER(K1714),MAX(0,K1714-L1714-M1714),"n.a.")</f>
        <v/>
      </c>
      <c r="O1714" s="14" t="n">
        <v>0.87</v>
      </c>
      <c r="P1714" s="14">
        <f>IF(ISNUMBER(K1714),K1714-O1714,"n.a.")</f>
        <v/>
      </c>
    </row>
    <row r="1715" ht="32" customHeight="1">
      <c r="C1715" s="10" t="inlineStr">
        <is>
          <t>PRJ-4f8e93f5-RK-11</t>
        </is>
      </c>
      <c r="D1715" s="10" t="inlineStr">
        <is>
          <t>P4102307424</t>
        </is>
      </c>
      <c r="E1715" s="11" t="inlineStr">
        <is>
          <t>Witterung / Ablaufstörung</t>
        </is>
      </c>
      <c r="F1715" s="10" t="inlineStr">
        <is>
          <t>Termin</t>
        </is>
      </c>
      <c r="G1715" s="12" t="n">
        <v>0.25</v>
      </c>
      <c r="H1715" s="13" t="n">
        <v>10</v>
      </c>
      <c r="I1715" s="13" t="n">
        <v>30</v>
      </c>
      <c r="J1715" s="13" t="n">
        <v>60</v>
      </c>
      <c r="K1715" s="14">
        <f>IF(OR(COUNT(G1715:J1715)&lt;&gt;4,G1715&lt;0,G1715&gt;1,H1715&gt;I1715,I1715&gt;J1715),"n.a.",ROUND(G1715*(H1715+4*I1715+J1715)/6+0.00000001,2))</f>
        <v/>
      </c>
      <c r="L1715" s="13" t="n">
        <v>0</v>
      </c>
      <c r="M1715" s="14">
        <f>SUMIFS(Maßnahmen!$I$7:$I$126,Maßnahmen!$D$7:$D$126,C1715,Maßnahmen!$H$7:$H$126,"&lt;&gt;verworfen")</f>
        <v/>
      </c>
      <c r="N1715" s="14">
        <f>IF(ISNUMBER(K1715),MAX(0,K1715-L1715-M1715),"n.a.")</f>
        <v/>
      </c>
      <c r="O1715" s="14" t="n">
        <v>7.92</v>
      </c>
      <c r="P1715" s="14">
        <f>IF(ISNUMBER(K1715),K1715-O1715,"n.a.")</f>
        <v/>
      </c>
    </row>
    <row r="1716" ht="32" customHeight="1">
      <c r="C1716" s="10" t="inlineStr">
        <is>
          <t>PRJ-4f8e93f5-RK-12</t>
        </is>
      </c>
      <c r="D1716" s="10" t="inlineStr">
        <is>
          <t>P4102307424</t>
        </is>
      </c>
      <c r="E1716" s="11" t="inlineStr">
        <is>
          <t>Staubemissionen (höchster Aufwand laut Umfrage)</t>
        </is>
      </c>
      <c r="F1716" s="10" t="inlineStr">
        <is>
          <t>Emissionen</t>
        </is>
      </c>
      <c r="G1716" s="12" t="n">
        <v>0.1</v>
      </c>
      <c r="H1716" s="13" t="n">
        <v>30</v>
      </c>
      <c r="I1716" s="13" t="n">
        <v>60</v>
      </c>
      <c r="J1716" s="13" t="n">
        <v>120</v>
      </c>
      <c r="K1716" s="14">
        <f>IF(OR(COUNT(G1716:J1716)&lt;&gt;4,G1716&lt;0,G1716&gt;1,H1716&gt;I1716,I1716&gt;J1716),"n.a.",ROUND(G1716*(H1716+4*I1716+J1716)/6+0.00000001,2))</f>
        <v/>
      </c>
      <c r="L1716" s="13" t="n">
        <v>0</v>
      </c>
      <c r="M1716" s="14">
        <f>SUMIFS(Maßnahmen!$I$7:$I$126,Maßnahmen!$D$7:$D$126,C1716,Maßnahmen!$H$7:$H$126,"&lt;&gt;verworfen")</f>
        <v/>
      </c>
      <c r="N1716" s="14">
        <f>IF(ISNUMBER(K1716),MAX(0,K1716-L1716-M1716),"n.a.")</f>
        <v/>
      </c>
      <c r="O1716" s="14" t="n">
        <v>6.5</v>
      </c>
      <c r="P1716" s="14">
        <f>IF(ISNUMBER(K1716),K1716-O1716,"n.a.")</f>
        <v/>
      </c>
    </row>
    <row r="1717" ht="32" customHeight="1">
      <c r="C1717" s="10" t="inlineStr">
        <is>
          <t>PRJ-4f8e93f5-RK-13</t>
        </is>
      </c>
      <c r="D1717" s="10" t="inlineStr">
        <is>
          <t>P4102307424</t>
        </is>
      </c>
      <c r="E1717" s="11" t="inlineStr">
        <is>
          <t>Lärm- und Erschütterungsauflagen</t>
        </is>
      </c>
      <c r="F1717" s="10" t="inlineStr">
        <is>
          <t>Emissionen</t>
        </is>
      </c>
      <c r="G1717" s="12" t="n">
        <v>0.2</v>
      </c>
      <c r="H1717" s="13" t="n">
        <v>20</v>
      </c>
      <c r="I1717" s="13" t="n">
        <v>50</v>
      </c>
      <c r="J1717" s="13" t="n">
        <v>100</v>
      </c>
      <c r="K1717" s="14">
        <f>IF(OR(COUNT(G1717:J1717)&lt;&gt;4,G1717&lt;0,G1717&gt;1,H1717&gt;I1717,I1717&gt;J1717),"n.a.",ROUND(G1717*(H1717+4*I1717+J1717)/6+0.00000001,2))</f>
        <v/>
      </c>
      <c r="L1717" s="13" t="n">
        <v>0</v>
      </c>
      <c r="M1717" s="14">
        <f>SUMIFS(Maßnahmen!$I$7:$I$126,Maßnahmen!$D$7:$D$126,C1717,Maßnahmen!$H$7:$H$126,"&lt;&gt;verworfen")</f>
        <v/>
      </c>
      <c r="N1717" s="14">
        <f>IF(ISNUMBER(K1717),MAX(0,K1717-L1717-M1717),"n.a.")</f>
        <v/>
      </c>
      <c r="O1717" s="14" t="n">
        <v>10.67</v>
      </c>
      <c r="P1717" s="14">
        <f>IF(ISNUMBER(K1717),K1717-O1717,"n.a.")</f>
        <v/>
      </c>
    </row>
    <row r="1718" ht="32" customHeight="1">
      <c r="C1718" s="10" t="inlineStr">
        <is>
          <t>PRJ-4f8e93f5-RK-14</t>
        </is>
      </c>
      <c r="D1718" s="10" t="inlineStr">
        <is>
          <t>P4102307424</t>
        </is>
      </c>
      <c r="E1718" s="11" t="inlineStr">
        <is>
          <t>Rechtliche Auflagen / Entsorgungsnachweise (Formalismus)</t>
        </is>
      </c>
      <c r="F1718" s="10" t="inlineStr">
        <is>
          <t>Genehmigung</t>
        </is>
      </c>
      <c r="G1718" s="12" t="n">
        <v>0.4</v>
      </c>
      <c r="H1718" s="13" t="n">
        <v>94</v>
      </c>
      <c r="I1718" s="13" t="n">
        <v>184</v>
      </c>
      <c r="J1718" s="13" t="n">
        <v>348</v>
      </c>
      <c r="K1718" s="14">
        <f>IF(OR(COUNT(G1718:J1718)&lt;&gt;4,G1718&lt;0,G1718&gt;1,H1718&gt;I1718,I1718&gt;J1718),"n.a.",ROUND(G1718*(H1718+4*I1718+J1718)/6+0.00000001,2))</f>
        <v/>
      </c>
      <c r="L1718" s="13" t="n">
        <v>0</v>
      </c>
      <c r="M1718" s="14">
        <f>SUMIFS(Maßnahmen!$I$7:$I$126,Maßnahmen!$D$7:$D$126,C1718,Maßnahmen!$H$7:$H$126,"&lt;&gt;verworfen")</f>
        <v/>
      </c>
      <c r="N1718" s="14">
        <f>IF(ISNUMBER(K1718),MAX(0,K1718-L1718-M1718),"n.a.")</f>
        <v/>
      </c>
      <c r="O1718" s="14" t="n">
        <v>78.53</v>
      </c>
      <c r="P1718" s="14">
        <f>IF(ISNUMBER(K1718),K1718-O1718,"n.a.")</f>
        <v/>
      </c>
    </row>
    <row r="1719" ht="32" customHeight="1">
      <c r="C1719" s="10" t="inlineStr">
        <is>
          <t>PRJ-4f8e93f5-RK-15</t>
        </is>
      </c>
      <c r="D1719" s="10" t="inlineStr">
        <is>
          <t>P4102307424</t>
        </is>
      </c>
      <c r="E1719" s="11" t="inlineStr">
        <is>
          <t>Konjunktur / Sekundärstoffpreise &amp; Gerätemiete</t>
        </is>
      </c>
      <c r="F1719" s="10" t="inlineStr">
        <is>
          <t>Markt</t>
        </is>
      </c>
      <c r="G1719" s="12" t="n">
        <v>0.12</v>
      </c>
      <c r="H1719" s="13" t="n">
        <v>8</v>
      </c>
      <c r="I1719" s="13" t="n">
        <v>20</v>
      </c>
      <c r="J1719" s="13" t="n">
        <v>50</v>
      </c>
      <c r="K1719" s="14">
        <f>IF(OR(COUNT(G1719:J1719)&lt;&gt;4,G1719&lt;0,G1719&gt;1,H1719&gt;I1719,I1719&gt;J1719),"n.a.",ROUND(G1719*(H1719+4*I1719+J1719)/6+0.00000001,2))</f>
        <v/>
      </c>
      <c r="L1719" s="13" t="n">
        <v>0</v>
      </c>
      <c r="M1719" s="14">
        <f>SUMIFS(Maßnahmen!$I$7:$I$126,Maßnahmen!$D$7:$D$126,C1719,Maßnahmen!$H$7:$H$126,"&lt;&gt;verworfen")</f>
        <v/>
      </c>
      <c r="N1719" s="14">
        <f>IF(ISNUMBER(K1719),MAX(0,K1719-L1719-M1719),"n.a.")</f>
        <v/>
      </c>
      <c r="O1719" s="14" t="n">
        <v>2.76</v>
      </c>
      <c r="P1719" s="14">
        <f>IF(ISNUMBER(K1719),K1719-O1719,"n.a.")</f>
        <v/>
      </c>
    </row>
    <row r="1720" ht="32" customHeight="1">
      <c r="C1720" s="10" t="inlineStr">
        <is>
          <t>PRJ-39e54930-RK-01</t>
        </is>
      </c>
      <c r="D1720" s="10" t="inlineStr">
        <is>
          <t>W4102504971</t>
        </is>
      </c>
      <c r="E1720" s="11" t="inlineStr">
        <is>
          <t>Schadstofffund / Schadstoffsanierung (Asbest, PAK, PCB, PCP)</t>
        </is>
      </c>
      <c r="F1720" s="10" t="inlineStr">
        <is>
          <t>Schadstoffe</t>
        </is>
      </c>
      <c r="G1720" s="12" t="n">
        <v>0.1</v>
      </c>
      <c r="H1720" s="13" t="n">
        <v>74</v>
      </c>
      <c r="I1720" s="13" t="n">
        <v>184</v>
      </c>
      <c r="J1720" s="13" t="n">
        <v>368</v>
      </c>
      <c r="K1720" s="14">
        <f>IF(OR(COUNT(G1720:J1720)&lt;&gt;4,G1720&lt;0,G1720&gt;1,H1720&gt;I1720,I1720&gt;J1720),"n.a.",ROUND(G1720*(H1720+4*I1720+J1720)/6+0.00000001,2))</f>
        <v/>
      </c>
      <c r="L1720" s="13" t="n">
        <v>0</v>
      </c>
      <c r="M1720" s="14">
        <f>SUMIFS(Maßnahmen!$I$7:$I$126,Maßnahmen!$D$7:$D$126,C1720,Maßnahmen!$H$7:$H$126,"&lt;&gt;verworfen")</f>
        <v/>
      </c>
      <c r="N1720" s="14">
        <f>IF(ISNUMBER(K1720),MAX(0,K1720-L1720-M1720),"n.a.")</f>
        <v/>
      </c>
      <c r="O1720" s="14" t="n">
        <v>19.63</v>
      </c>
      <c r="P1720" s="14">
        <f>IF(ISNUMBER(K1720),K1720-O1720,"n.a.")</f>
        <v/>
      </c>
    </row>
    <row r="1721" ht="32" customHeight="1">
      <c r="C1721" s="10" t="inlineStr">
        <is>
          <t>PRJ-39e54930-RK-02</t>
        </is>
      </c>
      <c r="D1721" s="10" t="inlineStr">
        <is>
          <t>W4102504971</t>
        </is>
      </c>
      <c r="E1721" s="11" t="inlineStr">
        <is>
          <t>Arbeitsschutz kontaminierte Bereiche (TRGS 524)</t>
        </is>
      </c>
      <c r="F1721" s="10" t="inlineStr">
        <is>
          <t>Schadstoffe</t>
        </is>
      </c>
      <c r="G1721" s="12" t="n">
        <v>0.47</v>
      </c>
      <c r="H1721" s="13" t="n">
        <v>74</v>
      </c>
      <c r="I1721" s="13" t="n">
        <v>184</v>
      </c>
      <c r="J1721" s="13" t="n">
        <v>368</v>
      </c>
      <c r="K1721" s="14">
        <f>IF(OR(COUNT(G1721:J1721)&lt;&gt;4,G1721&lt;0,G1721&gt;1,H1721&gt;I1721,I1721&gt;J1721),"n.a.",ROUND(G1721*(H1721+4*I1721+J1721)/6+0.00000001,2))</f>
        <v/>
      </c>
      <c r="L1721" s="13" t="n">
        <v>0</v>
      </c>
      <c r="M1721" s="14">
        <f>SUMIFS(Maßnahmen!$I$7:$I$126,Maßnahmen!$D$7:$D$126,C1721,Maßnahmen!$H$7:$H$126,"&lt;&gt;verworfen")</f>
        <v/>
      </c>
      <c r="N1721" s="14">
        <f>IF(ISNUMBER(K1721),MAX(0,K1721-L1721-M1721),"n.a.")</f>
        <v/>
      </c>
      <c r="O1721" s="14" t="n">
        <v>92.28</v>
      </c>
      <c r="P1721" s="14">
        <f>IF(ISNUMBER(K1721),K1721-O1721,"n.a.")</f>
        <v/>
      </c>
    </row>
    <row r="1722" ht="32" customHeight="1">
      <c r="C1722" s="10" t="inlineStr">
        <is>
          <t>PRJ-39e54930-RK-03</t>
        </is>
      </c>
      <c r="D1722" s="10" t="inlineStr">
        <is>
          <t>W4102504971</t>
        </is>
      </c>
      <c r="E1722" s="11" t="inlineStr">
        <is>
          <t>Entsorgungs-Mehrkosten / Entsorgungswege</t>
        </is>
      </c>
      <c r="F1722" s="10" t="inlineStr">
        <is>
          <t>Entsorgung</t>
        </is>
      </c>
      <c r="G1722" s="12" t="n">
        <v>0.15</v>
      </c>
      <c r="H1722" s="13" t="n">
        <v>74</v>
      </c>
      <c r="I1722" s="13" t="n">
        <v>184</v>
      </c>
      <c r="J1722" s="13" t="n">
        <v>368</v>
      </c>
      <c r="K1722" s="14">
        <f>IF(OR(COUNT(G1722:J1722)&lt;&gt;4,G1722&lt;0,G1722&gt;1,H1722&gt;I1722,I1722&gt;J1722),"n.a.",ROUND(G1722*(H1722+4*I1722+J1722)/6+0.00000001,2))</f>
        <v/>
      </c>
      <c r="L1722" s="13" t="n">
        <v>0</v>
      </c>
      <c r="M1722" s="14">
        <f>SUMIFS(Maßnahmen!$I$7:$I$126,Maßnahmen!$D$7:$D$126,C1722,Maßnahmen!$H$7:$H$126,"&lt;&gt;verworfen")</f>
        <v/>
      </c>
      <c r="N1722" s="14">
        <f>IF(ISNUMBER(K1722),MAX(0,K1722-L1722-M1722),"n.a.")</f>
        <v/>
      </c>
      <c r="O1722" s="14" t="n">
        <v>29.45</v>
      </c>
      <c r="P1722" s="14">
        <f>IF(ISNUMBER(K1722),K1722-O1722,"n.a.")</f>
        <v/>
      </c>
    </row>
    <row r="1723" ht="32" customHeight="1">
      <c r="C1723" s="10" t="inlineStr">
        <is>
          <t>PRJ-39e54930-RK-04</t>
        </is>
      </c>
      <c r="D1723" s="10" t="inlineStr">
        <is>
          <t>W4102504971</t>
        </is>
      </c>
      <c r="E1723" s="11" t="inlineStr">
        <is>
          <t>Baustofftrennung / Aufbereitung nicht wie geplant</t>
        </is>
      </c>
      <c r="F1723" s="10" t="inlineStr">
        <is>
          <t>Entsorgung</t>
        </is>
      </c>
      <c r="G1723" s="12" t="n">
        <v>0.1</v>
      </c>
      <c r="H1723" s="13" t="n">
        <v>74</v>
      </c>
      <c r="I1723" s="13" t="n">
        <v>184</v>
      </c>
      <c r="J1723" s="13" t="n">
        <v>368</v>
      </c>
      <c r="K1723" s="14">
        <f>IF(OR(COUNT(G1723:J1723)&lt;&gt;4,G1723&lt;0,G1723&gt;1,H1723&gt;I1723,I1723&gt;J1723),"n.a.",ROUND(G1723*(H1723+4*I1723+J1723)/6+0.00000001,2))</f>
        <v/>
      </c>
      <c r="L1723" s="13" t="n">
        <v>0</v>
      </c>
      <c r="M1723" s="14">
        <f>SUMIFS(Maßnahmen!$I$7:$I$126,Maßnahmen!$D$7:$D$126,C1723,Maßnahmen!$H$7:$H$126,"&lt;&gt;verworfen")</f>
        <v/>
      </c>
      <c r="N1723" s="14">
        <f>IF(ISNUMBER(K1723),MAX(0,K1723-L1723-M1723),"n.a.")</f>
        <v/>
      </c>
      <c r="O1723" s="14" t="n">
        <v>19.63</v>
      </c>
      <c r="P1723" s="14">
        <f>IF(ISNUMBER(K1723),K1723-O1723,"n.a.")</f>
        <v/>
      </c>
    </row>
    <row r="1724" ht="32" customHeight="1">
      <c r="C1724" s="10" t="inlineStr">
        <is>
          <t>PRJ-39e54930-RK-05</t>
        </is>
      </c>
      <c r="D1724" s="10" t="inlineStr">
        <is>
          <t>W4102504971</t>
        </is>
      </c>
      <c r="E1724" s="11" t="inlineStr">
        <is>
          <t>Unbekannte Bauwerkskonstruktion / fehlende Pläne</t>
        </is>
      </c>
      <c r="F1724" s="10" t="inlineStr">
        <is>
          <t>Statik</t>
        </is>
      </c>
      <c r="G1724" s="12" t="n">
        <v>0.12</v>
      </c>
      <c r="H1724" s="13" t="n">
        <v>147</v>
      </c>
      <c r="I1724" s="13" t="n">
        <v>295</v>
      </c>
      <c r="J1724" s="13" t="n">
        <v>553</v>
      </c>
      <c r="K1724" s="14">
        <f>IF(OR(COUNT(G1724:J1724)&lt;&gt;4,G1724&lt;0,G1724&gt;1,H1724&gt;I1724,I1724&gt;J1724),"n.a.",ROUND(G1724*(H1724+4*I1724+J1724)/6+0.00000001,2))</f>
        <v/>
      </c>
      <c r="L1724" s="13" t="n">
        <v>0</v>
      </c>
      <c r="M1724" s="14">
        <f>SUMIFS(Maßnahmen!$I$7:$I$126,Maßnahmen!$D$7:$D$126,C1724,Maßnahmen!$H$7:$H$126,"&lt;&gt;verworfen")</f>
        <v/>
      </c>
      <c r="N1724" s="14">
        <f>IF(ISNUMBER(K1724),MAX(0,K1724-L1724-M1724),"n.a.")</f>
        <v/>
      </c>
      <c r="O1724" s="14" t="n">
        <v>37.6</v>
      </c>
      <c r="P1724" s="14">
        <f>IF(ISNUMBER(K1724),K1724-O1724,"n.a.")</f>
        <v/>
      </c>
    </row>
    <row r="1725" ht="32" customHeight="1">
      <c r="C1725" s="10" t="inlineStr">
        <is>
          <t>PRJ-39e54930-RK-06</t>
        </is>
      </c>
      <c r="D1725" s="10" t="inlineStr">
        <is>
          <t>W4102504971</t>
        </is>
      </c>
      <c r="E1725" s="11" t="inlineStr">
        <is>
          <t>Statik / Einsturzsicherung während Abbruch</t>
        </is>
      </c>
      <c r="F1725" s="10" t="inlineStr">
        <is>
          <t>Statik</t>
        </is>
      </c>
      <c r="G1725" s="12" t="n">
        <v>0.12</v>
      </c>
      <c r="H1725" s="13" t="n">
        <v>111</v>
      </c>
      <c r="I1725" s="13" t="n">
        <v>258</v>
      </c>
      <c r="J1725" s="13" t="n">
        <v>516</v>
      </c>
      <c r="K1725" s="14">
        <f>IF(OR(COUNT(G1725:J1725)&lt;&gt;4,G1725&lt;0,G1725&gt;1,H1725&gt;I1725,I1725&gt;J1725),"n.a.",ROUND(G1725*(H1725+4*I1725+J1725)/6+0.00000001,2))</f>
        <v/>
      </c>
      <c r="L1725" s="13" t="n">
        <v>0</v>
      </c>
      <c r="M1725" s="14">
        <f>SUMIFS(Maßnahmen!$I$7:$I$126,Maßnahmen!$D$7:$D$126,C1725,Maßnahmen!$H$7:$H$126,"&lt;&gt;verworfen")</f>
        <v/>
      </c>
      <c r="N1725" s="14">
        <f>IF(ISNUMBER(K1725),MAX(0,K1725-L1725-M1725),"n.a.")</f>
        <v/>
      </c>
      <c r="O1725" s="14" t="n">
        <v>33.18</v>
      </c>
      <c r="P1725" s="14">
        <f>IF(ISNUMBER(K1725),K1725-O1725,"n.a.")</f>
        <v/>
      </c>
    </row>
    <row r="1726" ht="32" customHeight="1">
      <c r="C1726" s="10" t="inlineStr">
        <is>
          <t>PRJ-39e54930-RK-07</t>
        </is>
      </c>
      <c r="D1726" s="10" t="inlineStr">
        <is>
          <t>W4102504971</t>
        </is>
      </c>
      <c r="E1726" s="11" t="inlineStr">
        <is>
          <t>Unterirdische Tragkonstruktion / Fundamente</t>
        </is>
      </c>
      <c r="F1726" s="10" t="inlineStr">
        <is>
          <t>Statik</t>
        </is>
      </c>
      <c r="G1726" s="12" t="n">
        <v>0.5</v>
      </c>
      <c r="H1726" s="13" t="n">
        <v>18</v>
      </c>
      <c r="I1726" s="13" t="n">
        <v>74</v>
      </c>
      <c r="J1726" s="13" t="n">
        <v>184</v>
      </c>
      <c r="K1726" s="14">
        <f>IF(OR(COUNT(G1726:J1726)&lt;&gt;4,G1726&lt;0,G1726&gt;1,H1726&gt;I1726,I1726&gt;J1726),"n.a.",ROUND(G1726*(H1726+4*I1726+J1726)/6+0.00000001,2))</f>
        <v/>
      </c>
      <c r="L1726" s="13" t="n">
        <v>0</v>
      </c>
      <c r="M1726" s="14">
        <f>SUMIFS(Maßnahmen!$I$7:$I$126,Maßnahmen!$D$7:$D$126,C1726,Maßnahmen!$H$7:$H$126,"&lt;&gt;verworfen")</f>
        <v/>
      </c>
      <c r="N1726" s="14">
        <f>IF(ISNUMBER(K1726),MAX(0,K1726-L1726-M1726),"n.a.")</f>
        <v/>
      </c>
      <c r="O1726" s="14" t="n">
        <v>41.5</v>
      </c>
      <c r="P1726" s="14">
        <f>IF(ISNUMBER(K1726),K1726-O1726,"n.a.")</f>
        <v/>
      </c>
    </row>
    <row r="1727" ht="32" customHeight="1">
      <c r="C1727" s="10" t="inlineStr">
        <is>
          <t>PRJ-39e54930-RK-08</t>
        </is>
      </c>
      <c r="D1727" s="10" t="inlineStr">
        <is>
          <t>W4102504971</t>
        </is>
      </c>
      <c r="E1727" s="11" t="inlineStr">
        <is>
          <t>Gebäudehöhe &gt;22 m / Longfront-Bagger (+130–150 %)</t>
        </is>
      </c>
      <c r="F1727" s="10" t="inlineStr">
        <is>
          <t>Termin</t>
        </is>
      </c>
      <c r="G1727" s="12" t="n">
        <v>0.6</v>
      </c>
      <c r="H1727" s="13" t="n">
        <v>332</v>
      </c>
      <c r="I1727" s="13" t="n">
        <v>663</v>
      </c>
      <c r="J1727" s="13" t="n">
        <v>1252</v>
      </c>
      <c r="K1727" s="14">
        <f>IF(OR(COUNT(G1727:J1727)&lt;&gt;4,G1727&lt;0,G1727&gt;1,H1727&gt;I1727,I1727&gt;J1727),"n.a.",ROUND(G1727*(H1727+4*I1727+J1727)/6+0.00000001,2))</f>
        <v/>
      </c>
      <c r="L1727" s="13" t="n">
        <v>0</v>
      </c>
      <c r="M1727" s="14">
        <f>SUMIFS(Maßnahmen!$I$7:$I$126,Maßnahmen!$D$7:$D$126,C1727,Maßnahmen!$H$7:$H$126,"&lt;&gt;verworfen")</f>
        <v/>
      </c>
      <c r="N1727" s="14">
        <f>IF(ISNUMBER(K1727),MAX(0,K1727-L1727-M1727),"n.a.")</f>
        <v/>
      </c>
      <c r="O1727" s="14" t="n">
        <v>423.6</v>
      </c>
      <c r="P1727" s="14">
        <f>IF(ISNUMBER(K1727),K1727-O1727,"n.a.")</f>
        <v/>
      </c>
    </row>
    <row r="1728" ht="32" customHeight="1">
      <c r="C1728" s="10" t="inlineStr">
        <is>
          <t>PRJ-39e54930-RK-09</t>
        </is>
      </c>
      <c r="D1728" s="10" t="inlineStr">
        <is>
          <t>W4102504971</t>
        </is>
      </c>
      <c r="E1728" s="11" t="inlineStr">
        <is>
          <t>Beennte Lage / nur Handabbruch möglich</t>
        </is>
      </c>
      <c r="F1728" s="10" t="inlineStr">
        <is>
          <t>Termin</t>
        </is>
      </c>
      <c r="G1728" s="12" t="n">
        <v>0.15</v>
      </c>
      <c r="H1728" s="13" t="n">
        <v>29</v>
      </c>
      <c r="I1728" s="13" t="n">
        <v>74</v>
      </c>
      <c r="J1728" s="13" t="n">
        <v>184</v>
      </c>
      <c r="K1728" s="14">
        <f>IF(OR(COUNT(G1728:J1728)&lt;&gt;4,G1728&lt;0,G1728&gt;1,H1728&gt;I1728,I1728&gt;J1728),"n.a.",ROUND(G1728*(H1728+4*I1728+J1728)/6+0.00000001,2))</f>
        <v/>
      </c>
      <c r="L1728" s="13" t="n">
        <v>0</v>
      </c>
      <c r="M1728" s="14">
        <f>SUMIFS(Maßnahmen!$I$7:$I$126,Maßnahmen!$D$7:$D$126,C1728,Maßnahmen!$H$7:$H$126,"&lt;&gt;verworfen")</f>
        <v/>
      </c>
      <c r="N1728" s="14">
        <f>IF(ISNUMBER(K1728),MAX(0,K1728-L1728-M1728),"n.a.")</f>
        <v/>
      </c>
      <c r="O1728" s="14" t="n">
        <v>12.73</v>
      </c>
      <c r="P1728" s="14">
        <f>IF(ISNUMBER(K1728),K1728-O1728,"n.a.")</f>
        <v/>
      </c>
    </row>
    <row r="1729" ht="32" customHeight="1">
      <c r="C1729" s="10" t="inlineStr">
        <is>
          <t>PRJ-39e5680e-RK-11</t>
        </is>
      </c>
      <c r="D1729" s="10" t="inlineStr">
        <is>
          <t>W4102504104</t>
        </is>
      </c>
      <c r="E1729" s="11" t="inlineStr">
        <is>
          <t>Witterung / Ablaufstörung</t>
        </is>
      </c>
      <c r="F1729" s="10" t="inlineStr">
        <is>
          <t>Termin</t>
        </is>
      </c>
      <c r="G1729" s="12" t="n">
        <v>0.25</v>
      </c>
      <c r="H1729" s="13" t="n">
        <v>447</v>
      </c>
      <c r="I1729" s="13" t="n">
        <v>1342</v>
      </c>
      <c r="J1729" s="13" t="n">
        <v>2684</v>
      </c>
      <c r="K1729" s="14">
        <f>IF(OR(COUNT(G1729:J1729)&lt;&gt;4,G1729&lt;0,G1729&gt;1,H1729&gt;I1729,I1729&gt;J1729),"n.a.",ROUND(G1729*(H1729+4*I1729+J1729)/6+0.00000001,2))</f>
        <v/>
      </c>
      <c r="L1729" s="13" t="n">
        <v>0</v>
      </c>
      <c r="M1729" s="14">
        <f>SUMIFS(Maßnahmen!$I$7:$I$126,Maßnahmen!$D$7:$D$126,C1729,Maßnahmen!$H$7:$H$126,"&lt;&gt;verworfen")</f>
        <v/>
      </c>
      <c r="N1729" s="14">
        <f>IF(ISNUMBER(K1729),MAX(0,K1729-L1729-M1729),"n.a.")</f>
        <v/>
      </c>
      <c r="O1729" s="14" t="n">
        <v>354.13</v>
      </c>
      <c r="P1729" s="14">
        <f>IF(ISNUMBER(K1729),K1729-O1729,"n.a.")</f>
        <v/>
      </c>
    </row>
    <row r="1730" ht="32" customHeight="1">
      <c r="C1730" s="10" t="inlineStr">
        <is>
          <t>PRJ-39e5680e-RK-12</t>
        </is>
      </c>
      <c r="D1730" s="10" t="inlineStr">
        <is>
          <t>W4102504104</t>
        </is>
      </c>
      <c r="E1730" s="11" t="inlineStr">
        <is>
          <t>Staubemissionen (höchster Aufwand laut Umfrage)</t>
        </is>
      </c>
      <c r="F1730" s="10" t="inlineStr">
        <is>
          <t>Emissionen</t>
        </is>
      </c>
      <c r="G1730" s="12" t="n">
        <v>0.1</v>
      </c>
      <c r="H1730" s="13" t="n">
        <v>1342</v>
      </c>
      <c r="I1730" s="13" t="n">
        <v>2684</v>
      </c>
      <c r="J1730" s="13" t="n">
        <v>5367</v>
      </c>
      <c r="K1730" s="14">
        <f>IF(OR(COUNT(G1730:J1730)&lt;&gt;4,G1730&lt;0,G1730&gt;1,H1730&gt;I1730,I1730&gt;J1730),"n.a.",ROUND(G1730*(H1730+4*I1730+J1730)/6+0.00000001,2))</f>
        <v/>
      </c>
      <c r="L1730" s="13" t="n">
        <v>0</v>
      </c>
      <c r="M1730" s="14">
        <f>SUMIFS(Maßnahmen!$I$7:$I$126,Maßnahmen!$D$7:$D$126,C1730,Maßnahmen!$H$7:$H$126,"&lt;&gt;verworfen")</f>
        <v/>
      </c>
      <c r="N1730" s="14">
        <f>IF(ISNUMBER(K1730),MAX(0,K1730-L1730-M1730),"n.a.")</f>
        <v/>
      </c>
      <c r="O1730" s="14" t="n">
        <v>290.75</v>
      </c>
      <c r="P1730" s="14">
        <f>IF(ISNUMBER(K1730),K1730-O1730,"n.a.")</f>
        <v/>
      </c>
    </row>
    <row r="1731" ht="32" customHeight="1">
      <c r="C1731" s="10" t="inlineStr">
        <is>
          <t>PRJ-39e5680e-RK-13</t>
        </is>
      </c>
      <c r="D1731" s="10" t="inlineStr">
        <is>
          <t>W4102504104</t>
        </is>
      </c>
      <c r="E1731" s="11" t="inlineStr">
        <is>
          <t>Lärm- und Erschütterungsauflagen</t>
        </is>
      </c>
      <c r="F1731" s="10" t="inlineStr">
        <is>
          <t>Emissionen</t>
        </is>
      </c>
      <c r="G1731" s="12" t="n">
        <v>0.15</v>
      </c>
      <c r="H1731" s="13" t="n">
        <v>224</v>
      </c>
      <c r="I1731" s="13" t="n">
        <v>447</v>
      </c>
      <c r="J1731" s="13" t="n">
        <v>895</v>
      </c>
      <c r="K1731" s="14">
        <f>IF(OR(COUNT(G1731:J1731)&lt;&gt;4,G1731&lt;0,G1731&gt;1,H1731&gt;I1731,I1731&gt;J1731),"n.a.",ROUND(G1731*(H1731+4*I1731+J1731)/6+0.00000001,2))</f>
        <v/>
      </c>
      <c r="L1731" s="13" t="n">
        <v>0</v>
      </c>
      <c r="M1731" s="14">
        <f>SUMIFS(Maßnahmen!$I$7:$I$126,Maßnahmen!$D$7:$D$126,C1731,Maßnahmen!$H$7:$H$126,"&lt;&gt;verworfen")</f>
        <v/>
      </c>
      <c r="N1731" s="14">
        <f>IF(ISNUMBER(K1731),MAX(0,K1731-L1731-M1731),"n.a.")</f>
        <v/>
      </c>
      <c r="O1731" s="14" t="n">
        <v>72.68000000000001</v>
      </c>
      <c r="P1731" s="14">
        <f>IF(ISNUMBER(K1731),K1731-O1731,"n.a.")</f>
        <v/>
      </c>
    </row>
    <row r="1732" ht="32" customHeight="1">
      <c r="C1732" s="10" t="inlineStr">
        <is>
          <t>PRJ-39e5680e-RK-14</t>
        </is>
      </c>
      <c r="D1732" s="10" t="inlineStr">
        <is>
          <t>W4102504104</t>
        </is>
      </c>
      <c r="E1732" s="11" t="inlineStr">
        <is>
          <t>Rechtliche Auflagen / Entsorgungsnachweise (Formalismus)</t>
        </is>
      </c>
      <c r="F1732" s="10" t="inlineStr">
        <is>
          <t>Genehmigung</t>
        </is>
      </c>
      <c r="G1732" s="12" t="n">
        <v>0.4</v>
      </c>
      <c r="H1732" s="13" t="n">
        <v>4249</v>
      </c>
      <c r="I1732" s="13" t="n">
        <v>8274</v>
      </c>
      <c r="J1732" s="13" t="n">
        <v>15654</v>
      </c>
      <c r="K1732" s="14">
        <f>IF(OR(COUNT(G1732:J1732)&lt;&gt;4,G1732&lt;0,G1732&gt;1,H1732&gt;I1732,I1732&gt;J1732),"n.a.",ROUND(G1732*(H1732+4*I1732+J1732)/6+0.00000001,2))</f>
        <v/>
      </c>
      <c r="L1732" s="13" t="n">
        <v>0</v>
      </c>
      <c r="M1732" s="14">
        <f>SUMIFS(Maßnahmen!$I$7:$I$126,Maßnahmen!$D$7:$D$126,C1732,Maßnahmen!$H$7:$H$126,"&lt;&gt;verworfen")</f>
        <v/>
      </c>
      <c r="N1732" s="14">
        <f>IF(ISNUMBER(K1732),MAX(0,K1732-L1732-M1732),"n.a.")</f>
        <v/>
      </c>
      <c r="O1732" s="14" t="n">
        <v>3533.27</v>
      </c>
      <c r="P1732" s="14">
        <f>IF(ISNUMBER(K1732),K1732-O1732,"n.a.")</f>
        <v/>
      </c>
    </row>
    <row r="1733" ht="32" customHeight="1">
      <c r="C1733" s="10" t="inlineStr">
        <is>
          <t>PRJ-39e5680e-RK-15</t>
        </is>
      </c>
      <c r="D1733" s="10" t="inlineStr">
        <is>
          <t>W4102504104</t>
        </is>
      </c>
      <c r="E1733" s="11" t="inlineStr">
        <is>
          <t>Konjunktur / Sekundärstoffpreise &amp; Gerätemiete</t>
        </is>
      </c>
      <c r="F1733" s="10" t="inlineStr">
        <is>
          <t>Markt</t>
        </is>
      </c>
      <c r="G1733" s="12" t="n">
        <v>0.12</v>
      </c>
      <c r="H1733" s="13" t="n">
        <v>358</v>
      </c>
      <c r="I1733" s="13" t="n">
        <v>895</v>
      </c>
      <c r="J1733" s="13" t="n">
        <v>2236</v>
      </c>
      <c r="K1733" s="14">
        <f>IF(OR(COUNT(G1733:J1733)&lt;&gt;4,G1733&lt;0,G1733&gt;1,H1733&gt;I1733,I1733&gt;J1733),"n.a.",ROUND(G1733*(H1733+4*I1733+J1733)/6+0.00000001,2))</f>
        <v/>
      </c>
      <c r="L1733" s="13" t="n">
        <v>0</v>
      </c>
      <c r="M1733" s="14">
        <f>SUMIFS(Maßnahmen!$I$7:$I$126,Maßnahmen!$D$7:$D$126,C1733,Maßnahmen!$H$7:$H$126,"&lt;&gt;verworfen")</f>
        <v/>
      </c>
      <c r="N1733" s="14">
        <f>IF(ISNUMBER(K1733),MAX(0,K1733-L1733-M1733),"n.a.")</f>
        <v/>
      </c>
      <c r="O1733" s="14" t="n">
        <v>123.48</v>
      </c>
      <c r="P1733" s="14">
        <f>IF(ISNUMBER(K1733),K1733-O1733,"n.a.")</f>
        <v/>
      </c>
    </row>
    <row r="1734" ht="32" customHeight="1">
      <c r="C1734" s="10" t="inlineStr">
        <is>
          <t>PRJ-4a2be973-RK-03</t>
        </is>
      </c>
      <c r="D1734" s="10" t="inlineStr">
        <is>
          <t>P4102652023</t>
        </is>
      </c>
      <c r="E1734" s="11" t="inlineStr">
        <is>
          <t>Entsorgungs-Mehrkosten / Entsorgungswege</t>
        </is>
      </c>
      <c r="F1734" s="10" t="inlineStr">
        <is>
          <t>Entsorgung</t>
        </is>
      </c>
      <c r="G1734" s="12" t="n">
        <v>0.27</v>
      </c>
      <c r="H1734" s="13" t="n">
        <v>20</v>
      </c>
      <c r="I1734" s="13" t="n">
        <v>50</v>
      </c>
      <c r="J1734" s="13" t="n">
        <v>100</v>
      </c>
      <c r="K1734" s="14">
        <f>IF(OR(COUNT(G1734:J1734)&lt;&gt;4,G1734&lt;0,G1734&gt;1,H1734&gt;I1734,I1734&gt;J1734),"n.a.",ROUND(G1734*(H1734+4*I1734+J1734)/6+0.00000001,2))</f>
        <v/>
      </c>
      <c r="L1734" s="13" t="n">
        <v>0</v>
      </c>
      <c r="M1734" s="14">
        <f>SUMIFS(Maßnahmen!$I$7:$I$126,Maßnahmen!$D$7:$D$126,C1734,Maßnahmen!$H$7:$H$126,"&lt;&gt;verworfen")</f>
        <v/>
      </c>
      <c r="N1734" s="14">
        <f>IF(ISNUMBER(K1734),MAX(0,K1734-L1734-M1734),"n.a.")</f>
        <v/>
      </c>
      <c r="O1734" s="14" t="n">
        <v>14.4</v>
      </c>
      <c r="P1734" s="14">
        <f>IF(ISNUMBER(K1734),K1734-O1734,"n.a.")</f>
        <v/>
      </c>
    </row>
    <row r="1735" ht="32" customHeight="1">
      <c r="C1735" s="10" t="inlineStr">
        <is>
          <t>PRJ-39e54930-RK-10</t>
        </is>
      </c>
      <c r="D1735" s="10" t="inlineStr">
        <is>
          <t>W4102504971</t>
        </is>
      </c>
      <c r="E1735" s="11" t="inlineStr">
        <is>
          <t>Terminvorgabe Auftraggeber / Geräteauslastung</t>
        </is>
      </c>
      <c r="F1735" s="10" t="inlineStr">
        <is>
          <t>Termin</t>
        </is>
      </c>
      <c r="G1735" s="12" t="n">
        <v>0.1</v>
      </c>
      <c r="H1735" s="13" t="n">
        <v>29</v>
      </c>
      <c r="I1735" s="13" t="n">
        <v>74</v>
      </c>
      <c r="J1735" s="13" t="n">
        <v>184</v>
      </c>
      <c r="K1735" s="14">
        <f>IF(OR(COUNT(G1735:J1735)&lt;&gt;4,G1735&lt;0,G1735&gt;1,H1735&gt;I1735,I1735&gt;J1735),"n.a.",ROUND(G1735*(H1735+4*I1735+J1735)/6+0.00000001,2))</f>
        <v/>
      </c>
      <c r="L1735" s="13" t="n">
        <v>0</v>
      </c>
      <c r="M1735" s="14">
        <f>SUMIFS(Maßnahmen!$I$7:$I$126,Maßnahmen!$D$7:$D$126,C1735,Maßnahmen!$H$7:$H$126,"&lt;&gt;verworfen")</f>
        <v/>
      </c>
      <c r="N1735" s="14">
        <f>IF(ISNUMBER(K1735),MAX(0,K1735-L1735-M1735),"n.a.")</f>
        <v/>
      </c>
      <c r="O1735" s="14" t="n">
        <v>8.48</v>
      </c>
      <c r="P1735" s="14">
        <f>IF(ISNUMBER(K1735),K1735-O1735,"n.a.")</f>
        <v/>
      </c>
    </row>
    <row r="1736" ht="32" customHeight="1">
      <c r="C1736" s="10" t="inlineStr">
        <is>
          <t>PRJ-39e54930-RK-11</t>
        </is>
      </c>
      <c r="D1736" s="10" t="inlineStr">
        <is>
          <t>W4102504971</t>
        </is>
      </c>
      <c r="E1736" s="11" t="inlineStr">
        <is>
          <t>Witterung / Ablaufstörung</t>
        </is>
      </c>
      <c r="F1736" s="10" t="inlineStr">
        <is>
          <t>Termin</t>
        </is>
      </c>
      <c r="G1736" s="12" t="n">
        <v>0.25</v>
      </c>
      <c r="H1736" s="13" t="n">
        <v>37</v>
      </c>
      <c r="I1736" s="13" t="n">
        <v>111</v>
      </c>
      <c r="J1736" s="13" t="n">
        <v>221</v>
      </c>
      <c r="K1736" s="14">
        <f>IF(OR(COUNT(G1736:J1736)&lt;&gt;4,G1736&lt;0,G1736&gt;1,H1736&gt;I1736,I1736&gt;J1736),"n.a.",ROUND(G1736*(H1736+4*I1736+J1736)/6+0.00000001,2))</f>
        <v/>
      </c>
      <c r="L1736" s="13" t="n">
        <v>0</v>
      </c>
      <c r="M1736" s="14">
        <f>SUMIFS(Maßnahmen!$I$7:$I$126,Maßnahmen!$D$7:$D$126,C1736,Maßnahmen!$H$7:$H$126,"&lt;&gt;verworfen")</f>
        <v/>
      </c>
      <c r="N1736" s="14">
        <f>IF(ISNUMBER(K1736),MAX(0,K1736-L1736-M1736),"n.a.")</f>
        <v/>
      </c>
      <c r="O1736" s="14" t="n">
        <v>29.25</v>
      </c>
      <c r="P1736" s="14">
        <f>IF(ISNUMBER(K1736),K1736-O1736,"n.a.")</f>
        <v/>
      </c>
    </row>
    <row r="1737" ht="32" customHeight="1">
      <c r="C1737" s="10" t="inlineStr">
        <is>
          <t>PRJ-39e54930-RK-12</t>
        </is>
      </c>
      <c r="D1737" s="10" t="inlineStr">
        <is>
          <t>W4102504971</t>
        </is>
      </c>
      <c r="E1737" s="11" t="inlineStr">
        <is>
          <t>Staubemissionen (höchster Aufwand laut Umfrage)</t>
        </is>
      </c>
      <c r="F1737" s="10" t="inlineStr">
        <is>
          <t>Emissionen</t>
        </is>
      </c>
      <c r="G1737" s="12" t="n">
        <v>0.1</v>
      </c>
      <c r="H1737" s="13" t="n">
        <v>111</v>
      </c>
      <c r="I1737" s="13" t="n">
        <v>221</v>
      </c>
      <c r="J1737" s="13" t="n">
        <v>442</v>
      </c>
      <c r="K1737" s="14">
        <f>IF(OR(COUNT(G1737:J1737)&lt;&gt;4,G1737&lt;0,G1737&gt;1,H1737&gt;I1737,I1737&gt;J1737),"n.a.",ROUND(G1737*(H1737+4*I1737+J1737)/6+0.00000001,2))</f>
        <v/>
      </c>
      <c r="L1737" s="13" t="n">
        <v>0</v>
      </c>
      <c r="M1737" s="14">
        <f>SUMIFS(Maßnahmen!$I$7:$I$126,Maßnahmen!$D$7:$D$126,C1737,Maßnahmen!$H$7:$H$126,"&lt;&gt;verworfen")</f>
        <v/>
      </c>
      <c r="N1737" s="14">
        <f>IF(ISNUMBER(K1737),MAX(0,K1737-L1737-M1737),"n.a.")</f>
        <v/>
      </c>
      <c r="O1737" s="14" t="n">
        <v>23.95</v>
      </c>
      <c r="P1737" s="14">
        <f>IF(ISNUMBER(K1737),K1737-O1737,"n.a.")</f>
        <v/>
      </c>
    </row>
    <row r="1738" ht="32" customHeight="1">
      <c r="C1738" s="10" t="inlineStr">
        <is>
          <t>PRJ-39e54930-RK-13</t>
        </is>
      </c>
      <c r="D1738" s="10" t="inlineStr">
        <is>
          <t>W4102504971</t>
        </is>
      </c>
      <c r="E1738" s="11" t="inlineStr">
        <is>
          <t>Lärm- und Erschütterungsauflagen</t>
        </is>
      </c>
      <c r="F1738" s="10" t="inlineStr">
        <is>
          <t>Emissionen</t>
        </is>
      </c>
      <c r="G1738" s="12" t="n">
        <v>0.2</v>
      </c>
      <c r="H1738" s="13" t="n">
        <v>74</v>
      </c>
      <c r="I1738" s="13" t="n">
        <v>184</v>
      </c>
      <c r="J1738" s="13" t="n">
        <v>368</v>
      </c>
      <c r="K1738" s="14">
        <f>IF(OR(COUNT(G1738:J1738)&lt;&gt;4,G1738&lt;0,G1738&gt;1,H1738&gt;I1738,I1738&gt;J1738),"n.a.",ROUND(G1738*(H1738+4*I1738+J1738)/6+0.00000001,2))</f>
        <v/>
      </c>
      <c r="L1738" s="13" t="n">
        <v>0</v>
      </c>
      <c r="M1738" s="14">
        <f>SUMIFS(Maßnahmen!$I$7:$I$126,Maßnahmen!$D$7:$D$126,C1738,Maßnahmen!$H$7:$H$126,"&lt;&gt;verworfen")</f>
        <v/>
      </c>
      <c r="N1738" s="14">
        <f>IF(ISNUMBER(K1738),MAX(0,K1738-L1738-M1738),"n.a.")</f>
        <v/>
      </c>
      <c r="O1738" s="14" t="n">
        <v>39.27</v>
      </c>
      <c r="P1738" s="14">
        <f>IF(ISNUMBER(K1738),K1738-O1738,"n.a.")</f>
        <v/>
      </c>
    </row>
    <row r="1739" ht="32" customHeight="1">
      <c r="C1739" s="10" t="inlineStr">
        <is>
          <t>PRJ-39e54930-RK-14</t>
        </is>
      </c>
      <c r="D1739" s="10" t="inlineStr">
        <is>
          <t>W4102504971</t>
        </is>
      </c>
      <c r="E1739" s="11" t="inlineStr">
        <is>
          <t>Rechtliche Auflagen / Entsorgungsnachweise (Formalismus)</t>
        </is>
      </c>
      <c r="F1739" s="10" t="inlineStr">
        <is>
          <t>Genehmigung</t>
        </is>
      </c>
      <c r="G1739" s="12" t="n">
        <v>0.4</v>
      </c>
      <c r="H1739" s="13" t="n">
        <v>350</v>
      </c>
      <c r="I1739" s="13" t="n">
        <v>681</v>
      </c>
      <c r="J1739" s="13" t="n">
        <v>1289</v>
      </c>
      <c r="K1739" s="14">
        <f>IF(OR(COUNT(G1739:J1739)&lt;&gt;4,G1739&lt;0,G1739&gt;1,H1739&gt;I1739,I1739&gt;J1739),"n.a.",ROUND(G1739*(H1739+4*I1739+J1739)/6+0.00000001,2))</f>
        <v/>
      </c>
      <c r="L1739" s="13" t="n">
        <v>0</v>
      </c>
      <c r="M1739" s="14">
        <f>SUMIFS(Maßnahmen!$I$7:$I$126,Maßnahmen!$D$7:$D$126,C1739,Maßnahmen!$H$7:$H$126,"&lt;&gt;verworfen")</f>
        <v/>
      </c>
      <c r="N1739" s="14">
        <f>IF(ISNUMBER(K1739),MAX(0,K1739-L1739-M1739),"n.a.")</f>
        <v/>
      </c>
      <c r="O1739" s="14" t="n">
        <v>290.87</v>
      </c>
      <c r="P1739" s="14">
        <f>IF(ISNUMBER(K1739),K1739-O1739,"n.a.")</f>
        <v/>
      </c>
    </row>
    <row r="1740" ht="32" customHeight="1">
      <c r="C1740" s="10" t="inlineStr">
        <is>
          <t>PRJ-39e54930-RK-15</t>
        </is>
      </c>
      <c r="D1740" s="10" t="inlineStr">
        <is>
          <t>W4102504971</t>
        </is>
      </c>
      <c r="E1740" s="11" t="inlineStr">
        <is>
          <t>Konjunktur / Sekundärstoffpreise &amp; Gerätemiete</t>
        </is>
      </c>
      <c r="F1740" s="10" t="inlineStr">
        <is>
          <t>Markt</t>
        </is>
      </c>
      <c r="G1740" s="12" t="n">
        <v>0.12</v>
      </c>
      <c r="H1740" s="13" t="n">
        <v>29</v>
      </c>
      <c r="I1740" s="13" t="n">
        <v>74</v>
      </c>
      <c r="J1740" s="13" t="n">
        <v>184</v>
      </c>
      <c r="K1740" s="14">
        <f>IF(OR(COUNT(G1740:J1740)&lt;&gt;4,G1740&lt;0,G1740&gt;1,H1740&gt;I1740,I1740&gt;J1740),"n.a.",ROUND(G1740*(H1740+4*I1740+J1740)/6+0.00000001,2))</f>
        <v/>
      </c>
      <c r="L1740" s="13" t="n">
        <v>0</v>
      </c>
      <c r="M1740" s="14">
        <f>SUMIFS(Maßnahmen!$I$7:$I$126,Maßnahmen!$D$7:$D$126,C1740,Maßnahmen!$H$7:$H$126,"&lt;&gt;verworfen")</f>
        <v/>
      </c>
      <c r="N1740" s="14">
        <f>IF(ISNUMBER(K1740),MAX(0,K1740-L1740-M1740),"n.a.")</f>
        <v/>
      </c>
      <c r="O1740" s="14" t="n">
        <v>10.18</v>
      </c>
      <c r="P1740" s="14">
        <f>IF(ISNUMBER(K1740),K1740-O1740,"n.a.")</f>
        <v/>
      </c>
    </row>
    <row r="1741" ht="32" customHeight="1">
      <c r="C1741" s="10" t="inlineStr">
        <is>
          <t>PRJ-383070d0-RK-01</t>
        </is>
      </c>
      <c r="D1741" s="10" t="inlineStr">
        <is>
          <t>W4102604950</t>
        </is>
      </c>
      <c r="E1741" s="11" t="inlineStr">
        <is>
          <t>Schadstofffund / Schadstoffsanierung (Asbest, PAK, PCB, PCP)</t>
        </is>
      </c>
      <c r="F1741" s="10" t="inlineStr">
        <is>
          <t>Schadstoffe</t>
        </is>
      </c>
      <c r="G1741" s="12" t="n">
        <v>0.1</v>
      </c>
      <c r="H1741" s="13" t="n">
        <v>141</v>
      </c>
      <c r="I1741" s="13" t="n">
        <v>353</v>
      </c>
      <c r="J1741" s="13" t="n">
        <v>706</v>
      </c>
      <c r="K1741" s="14">
        <f>IF(OR(COUNT(G1741:J1741)&lt;&gt;4,G1741&lt;0,G1741&gt;1,H1741&gt;I1741,I1741&gt;J1741),"n.a.",ROUND(G1741*(H1741+4*I1741+J1741)/6+0.00000001,2))</f>
        <v/>
      </c>
      <c r="L1741" s="13" t="n">
        <v>0</v>
      </c>
      <c r="M1741" s="14">
        <f>SUMIFS(Maßnahmen!$I$7:$I$126,Maßnahmen!$D$7:$D$126,C1741,Maßnahmen!$H$7:$H$126,"&lt;&gt;verworfen")</f>
        <v/>
      </c>
      <c r="N1741" s="14">
        <f>IF(ISNUMBER(K1741),MAX(0,K1741-L1741-M1741),"n.a.")</f>
        <v/>
      </c>
      <c r="O1741" s="14" t="n">
        <v>37.65</v>
      </c>
      <c r="P1741" s="14">
        <f>IF(ISNUMBER(K1741),K1741-O1741,"n.a.")</f>
        <v/>
      </c>
    </row>
    <row r="1742" ht="32" customHeight="1">
      <c r="C1742" s="10" t="inlineStr">
        <is>
          <t>PRJ-383070d0-RK-02</t>
        </is>
      </c>
      <c r="D1742" s="10" t="inlineStr">
        <is>
          <t>W4102604950</t>
        </is>
      </c>
      <c r="E1742" s="11" t="inlineStr">
        <is>
          <t>Arbeitsschutz kontaminierte Bereiche (TRGS 524)</t>
        </is>
      </c>
      <c r="F1742" s="10" t="inlineStr">
        <is>
          <t>Schadstoffe</t>
        </is>
      </c>
      <c r="G1742" s="12" t="n">
        <v>0.47</v>
      </c>
      <c r="H1742" s="13" t="n">
        <v>141</v>
      </c>
      <c r="I1742" s="13" t="n">
        <v>353</v>
      </c>
      <c r="J1742" s="13" t="n">
        <v>706</v>
      </c>
      <c r="K1742" s="14">
        <f>IF(OR(COUNT(G1742:J1742)&lt;&gt;4,G1742&lt;0,G1742&gt;1,H1742&gt;I1742,I1742&gt;J1742),"n.a.",ROUND(G1742*(H1742+4*I1742+J1742)/6+0.00000001,2))</f>
        <v/>
      </c>
      <c r="L1742" s="13" t="n">
        <v>0</v>
      </c>
      <c r="M1742" s="14">
        <f>SUMIFS(Maßnahmen!$I$7:$I$126,Maßnahmen!$D$7:$D$126,C1742,Maßnahmen!$H$7:$H$126,"&lt;&gt;verworfen")</f>
        <v/>
      </c>
      <c r="N1742" s="14">
        <f>IF(ISNUMBER(K1742),MAX(0,K1742-L1742-M1742),"n.a.")</f>
        <v/>
      </c>
      <c r="O1742" s="14" t="n">
        <v>176.96</v>
      </c>
      <c r="P1742" s="14">
        <f>IF(ISNUMBER(K1742),K1742-O1742,"n.a.")</f>
        <v/>
      </c>
    </row>
    <row r="1743" ht="32" customHeight="1">
      <c r="C1743" s="10" t="inlineStr">
        <is>
          <t>PRJ-383070d0-RK-03</t>
        </is>
      </c>
      <c r="D1743" s="10" t="inlineStr">
        <is>
          <t>W4102604950</t>
        </is>
      </c>
      <c r="E1743" s="11" t="inlineStr">
        <is>
          <t>Entsorgungs-Mehrkosten / Entsorgungswege</t>
        </is>
      </c>
      <c r="F1743" s="10" t="inlineStr">
        <is>
          <t>Entsorgung</t>
        </is>
      </c>
      <c r="G1743" s="12" t="n">
        <v>0.15</v>
      </c>
      <c r="H1743" s="13" t="n">
        <v>141</v>
      </c>
      <c r="I1743" s="13" t="n">
        <v>353</v>
      </c>
      <c r="J1743" s="13" t="n">
        <v>706</v>
      </c>
      <c r="K1743" s="14">
        <f>IF(OR(COUNT(G1743:J1743)&lt;&gt;4,G1743&lt;0,G1743&gt;1,H1743&gt;I1743,I1743&gt;J1743),"n.a.",ROUND(G1743*(H1743+4*I1743+J1743)/6+0.00000001,2))</f>
        <v/>
      </c>
      <c r="L1743" s="13" t="n">
        <v>0</v>
      </c>
      <c r="M1743" s="14">
        <f>SUMIFS(Maßnahmen!$I$7:$I$126,Maßnahmen!$D$7:$D$126,C1743,Maßnahmen!$H$7:$H$126,"&lt;&gt;verworfen")</f>
        <v/>
      </c>
      <c r="N1743" s="14">
        <f>IF(ISNUMBER(K1743),MAX(0,K1743-L1743-M1743),"n.a.")</f>
        <v/>
      </c>
      <c r="O1743" s="14" t="n">
        <v>56.48</v>
      </c>
      <c r="P1743" s="14">
        <f>IF(ISNUMBER(K1743),K1743-O1743,"n.a.")</f>
        <v/>
      </c>
    </row>
    <row r="1744" ht="32" customHeight="1">
      <c r="C1744" s="10" t="inlineStr">
        <is>
          <t>PRJ-383070d0-RK-04</t>
        </is>
      </c>
      <c r="D1744" s="10" t="inlineStr">
        <is>
          <t>W4102604950</t>
        </is>
      </c>
      <c r="E1744" s="11" t="inlineStr">
        <is>
          <t>Baustofftrennung / Aufbereitung nicht wie geplant</t>
        </is>
      </c>
      <c r="F1744" s="10" t="inlineStr">
        <is>
          <t>Entsorgung</t>
        </is>
      </c>
      <c r="G1744" s="12" t="n">
        <v>0.1</v>
      </c>
      <c r="H1744" s="13" t="n">
        <v>141</v>
      </c>
      <c r="I1744" s="13" t="n">
        <v>353</v>
      </c>
      <c r="J1744" s="13" t="n">
        <v>706</v>
      </c>
      <c r="K1744" s="14">
        <f>IF(OR(COUNT(G1744:J1744)&lt;&gt;4,G1744&lt;0,G1744&gt;1,H1744&gt;I1744,I1744&gt;J1744),"n.a.",ROUND(G1744*(H1744+4*I1744+J1744)/6+0.00000001,2))</f>
        <v/>
      </c>
      <c r="L1744" s="13" t="n">
        <v>0</v>
      </c>
      <c r="M1744" s="14">
        <f>SUMIFS(Maßnahmen!$I$7:$I$126,Maßnahmen!$D$7:$D$126,C1744,Maßnahmen!$H$7:$H$126,"&lt;&gt;verworfen")</f>
        <v/>
      </c>
      <c r="N1744" s="14">
        <f>IF(ISNUMBER(K1744),MAX(0,K1744-L1744-M1744),"n.a.")</f>
        <v/>
      </c>
      <c r="O1744" s="14" t="n">
        <v>37.65</v>
      </c>
      <c r="P1744" s="14">
        <f>IF(ISNUMBER(K1744),K1744-O1744,"n.a.")</f>
        <v/>
      </c>
    </row>
    <row r="1745" ht="32" customHeight="1">
      <c r="C1745" s="10" t="inlineStr">
        <is>
          <t>PRJ-383070d0-RK-05</t>
        </is>
      </c>
      <c r="D1745" s="10" t="inlineStr">
        <is>
          <t>W4102604950</t>
        </is>
      </c>
      <c r="E1745" s="11" t="inlineStr">
        <is>
          <t>Unbekannte Bauwerkskonstruktion / fehlende Pläne</t>
        </is>
      </c>
      <c r="F1745" s="10" t="inlineStr">
        <is>
          <t>Statik</t>
        </is>
      </c>
      <c r="G1745" s="12" t="n">
        <v>0.12</v>
      </c>
      <c r="H1745" s="13" t="n">
        <v>282</v>
      </c>
      <c r="I1745" s="13" t="n">
        <v>565</v>
      </c>
      <c r="J1745" s="13" t="n">
        <v>1059</v>
      </c>
      <c r="K1745" s="14">
        <f>IF(OR(COUNT(G1745:J1745)&lt;&gt;4,G1745&lt;0,G1745&gt;1,H1745&gt;I1745,I1745&gt;J1745),"n.a.",ROUND(G1745*(H1745+4*I1745+J1745)/6+0.00000001,2))</f>
        <v/>
      </c>
      <c r="L1745" s="13" t="n">
        <v>0</v>
      </c>
      <c r="M1745" s="14">
        <f>SUMIFS(Maßnahmen!$I$7:$I$126,Maßnahmen!$D$7:$D$126,C1745,Maßnahmen!$H$7:$H$126,"&lt;&gt;verworfen")</f>
        <v/>
      </c>
      <c r="N1745" s="14">
        <f>IF(ISNUMBER(K1745),MAX(0,K1745-L1745-M1745),"n.a.")</f>
        <v/>
      </c>
      <c r="O1745" s="14" t="n">
        <v>72.02</v>
      </c>
      <c r="P1745" s="14">
        <f>IF(ISNUMBER(K1745),K1745-O1745,"n.a.")</f>
        <v/>
      </c>
    </row>
    <row r="1746" ht="32" customHeight="1">
      <c r="C1746" s="10" t="inlineStr">
        <is>
          <t>PRJ-383070d0-RK-06</t>
        </is>
      </c>
      <c r="D1746" s="10" t="inlineStr">
        <is>
          <t>W4102604950</t>
        </is>
      </c>
      <c r="E1746" s="11" t="inlineStr">
        <is>
          <t>Statik / Einsturzsicherung während Abbruch</t>
        </is>
      </c>
      <c r="F1746" s="10" t="inlineStr">
        <is>
          <t>Statik</t>
        </is>
      </c>
      <c r="G1746" s="12" t="n">
        <v>0.12</v>
      </c>
      <c r="H1746" s="13" t="n">
        <v>212</v>
      </c>
      <c r="I1746" s="13" t="n">
        <v>494</v>
      </c>
      <c r="J1746" s="13" t="n">
        <v>988</v>
      </c>
      <c r="K1746" s="14">
        <f>IF(OR(COUNT(G1746:J1746)&lt;&gt;4,G1746&lt;0,G1746&gt;1,H1746&gt;I1746,I1746&gt;J1746),"n.a.",ROUND(G1746*(H1746+4*I1746+J1746)/6+0.00000001,2))</f>
        <v/>
      </c>
      <c r="L1746" s="13" t="n">
        <v>0</v>
      </c>
      <c r="M1746" s="14">
        <f>SUMIFS(Maßnahmen!$I$7:$I$126,Maßnahmen!$D$7:$D$126,C1746,Maßnahmen!$H$7:$H$126,"&lt;&gt;verworfen")</f>
        <v/>
      </c>
      <c r="N1746" s="14">
        <f>IF(ISNUMBER(K1746),MAX(0,K1746-L1746-M1746),"n.a.")</f>
        <v/>
      </c>
      <c r="O1746" s="14" t="n">
        <v>63.52</v>
      </c>
      <c r="P1746" s="14">
        <f>IF(ISNUMBER(K1746),K1746-O1746,"n.a.")</f>
        <v/>
      </c>
    </row>
    <row r="1747" ht="32" customHeight="1">
      <c r="C1747" s="10" t="inlineStr">
        <is>
          <t>PRJ-383070d0-RK-07</t>
        </is>
      </c>
      <c r="D1747" s="10" t="inlineStr">
        <is>
          <t>W4102604950</t>
        </is>
      </c>
      <c r="E1747" s="11" t="inlineStr">
        <is>
          <t>Unterirdische Tragkonstruktion / Fundamente</t>
        </is>
      </c>
      <c r="F1747" s="10" t="inlineStr">
        <is>
          <t>Statik</t>
        </is>
      </c>
      <c r="G1747" s="12" t="n">
        <v>0.5</v>
      </c>
      <c r="H1747" s="13" t="n">
        <v>35</v>
      </c>
      <c r="I1747" s="13" t="n">
        <v>141</v>
      </c>
      <c r="J1747" s="13" t="n">
        <v>353</v>
      </c>
      <c r="K1747" s="14">
        <f>IF(OR(COUNT(G1747:J1747)&lt;&gt;4,G1747&lt;0,G1747&gt;1,H1747&gt;I1747,I1747&gt;J1747),"n.a.",ROUND(G1747*(H1747+4*I1747+J1747)/6+0.00000001,2))</f>
        <v/>
      </c>
      <c r="L1747" s="13" t="n">
        <v>0</v>
      </c>
      <c r="M1747" s="14">
        <f>SUMIFS(Maßnahmen!$I$7:$I$126,Maßnahmen!$D$7:$D$126,C1747,Maßnahmen!$H$7:$H$126,"&lt;&gt;verworfen")</f>
        <v/>
      </c>
      <c r="N1747" s="14">
        <f>IF(ISNUMBER(K1747),MAX(0,K1747-L1747-M1747),"n.a.")</f>
        <v/>
      </c>
      <c r="O1747" s="14" t="n">
        <v>79.33</v>
      </c>
      <c r="P1747" s="14">
        <f>IF(ISNUMBER(K1747),K1747-O1747,"n.a.")</f>
        <v/>
      </c>
    </row>
    <row r="1748" ht="32" customHeight="1">
      <c r="C1748" s="10" t="inlineStr">
        <is>
          <t>PRJ-383070d0-RK-08</t>
        </is>
      </c>
      <c r="D1748" s="10" t="inlineStr">
        <is>
          <t>W4102604950</t>
        </is>
      </c>
      <c r="E1748" s="11" t="inlineStr">
        <is>
          <t>Gebäudehöhe &gt;22 m / Longfront-Bagger (+130–150 %)</t>
        </is>
      </c>
      <c r="F1748" s="10" t="inlineStr">
        <is>
          <t>Termin</t>
        </is>
      </c>
      <c r="G1748" s="12" t="n">
        <v>0.6</v>
      </c>
      <c r="H1748" s="13" t="n">
        <v>635</v>
      </c>
      <c r="I1748" s="13" t="n">
        <v>1271</v>
      </c>
      <c r="J1748" s="13" t="n">
        <v>2400</v>
      </c>
      <c r="K1748" s="14">
        <f>IF(OR(COUNT(G1748:J1748)&lt;&gt;4,G1748&lt;0,G1748&gt;1,H1748&gt;I1748,I1748&gt;J1748),"n.a.",ROUND(G1748*(H1748+4*I1748+J1748)/6+0.00000001,2))</f>
        <v/>
      </c>
      <c r="L1748" s="13" t="n">
        <v>0</v>
      </c>
      <c r="M1748" s="14">
        <f>SUMIFS(Maßnahmen!$I$7:$I$126,Maßnahmen!$D$7:$D$126,C1748,Maßnahmen!$H$7:$H$126,"&lt;&gt;verworfen")</f>
        <v/>
      </c>
      <c r="N1748" s="14">
        <f>IF(ISNUMBER(K1748),MAX(0,K1748-L1748-M1748),"n.a.")</f>
        <v/>
      </c>
      <c r="O1748" s="14" t="n">
        <v>811.9</v>
      </c>
      <c r="P1748" s="14">
        <f>IF(ISNUMBER(K1748),K1748-O1748,"n.a.")</f>
        <v/>
      </c>
    </row>
    <row r="1749" ht="32" customHeight="1">
      <c r="C1749" s="10" t="inlineStr">
        <is>
          <t>PRJ-383070d0-RK-09</t>
        </is>
      </c>
      <c r="D1749" s="10" t="inlineStr">
        <is>
          <t>W4102604950</t>
        </is>
      </c>
      <c r="E1749" s="11" t="inlineStr">
        <is>
          <t>Beennte Lage / nur Handabbruch möglich</t>
        </is>
      </c>
      <c r="F1749" s="10" t="inlineStr">
        <is>
          <t>Termin</t>
        </is>
      </c>
      <c r="G1749" s="12" t="n">
        <v>0.15</v>
      </c>
      <c r="H1749" s="13" t="n">
        <v>56</v>
      </c>
      <c r="I1749" s="13" t="n">
        <v>141</v>
      </c>
      <c r="J1749" s="13" t="n">
        <v>353</v>
      </c>
      <c r="K1749" s="14">
        <f>IF(OR(COUNT(G1749:J1749)&lt;&gt;4,G1749&lt;0,G1749&gt;1,H1749&gt;I1749,I1749&gt;J1749),"n.a.",ROUND(G1749*(H1749+4*I1749+J1749)/6+0.00000001,2))</f>
        <v/>
      </c>
      <c r="L1749" s="13" t="n">
        <v>0</v>
      </c>
      <c r="M1749" s="14">
        <f>SUMIFS(Maßnahmen!$I$7:$I$126,Maßnahmen!$D$7:$D$126,C1749,Maßnahmen!$H$7:$H$126,"&lt;&gt;verworfen")</f>
        <v/>
      </c>
      <c r="N1749" s="14">
        <f>IF(ISNUMBER(K1749),MAX(0,K1749-L1749-M1749),"n.a.")</f>
        <v/>
      </c>
      <c r="O1749" s="14" t="n">
        <v>24.33</v>
      </c>
      <c r="P1749" s="14">
        <f>IF(ISNUMBER(K1749),K1749-O1749,"n.a.")</f>
        <v/>
      </c>
    </row>
    <row r="1750" ht="32" customHeight="1">
      <c r="C1750" s="10" t="inlineStr">
        <is>
          <t>PRJ-383070d0-RK-10</t>
        </is>
      </c>
      <c r="D1750" s="10" t="inlineStr">
        <is>
          <t>W4102604950</t>
        </is>
      </c>
      <c r="E1750" s="11" t="inlineStr">
        <is>
          <t>Terminvorgabe Auftraggeber / Geräteauslastung</t>
        </is>
      </c>
      <c r="F1750" s="10" t="inlineStr">
        <is>
          <t>Termin</t>
        </is>
      </c>
      <c r="G1750" s="12" t="n">
        <v>0.1</v>
      </c>
      <c r="H1750" s="13" t="n">
        <v>56</v>
      </c>
      <c r="I1750" s="13" t="n">
        <v>141</v>
      </c>
      <c r="J1750" s="13" t="n">
        <v>353</v>
      </c>
      <c r="K1750" s="14">
        <f>IF(OR(COUNT(G1750:J1750)&lt;&gt;4,G1750&lt;0,G1750&gt;1,H1750&gt;I1750,I1750&gt;J1750),"n.a.",ROUND(G1750*(H1750+4*I1750+J1750)/6+0.00000001,2))</f>
        <v/>
      </c>
      <c r="L1750" s="13" t="n">
        <v>0</v>
      </c>
      <c r="M1750" s="14">
        <f>SUMIFS(Maßnahmen!$I$7:$I$126,Maßnahmen!$D$7:$D$126,C1750,Maßnahmen!$H$7:$H$126,"&lt;&gt;verworfen")</f>
        <v/>
      </c>
      <c r="N1750" s="14">
        <f>IF(ISNUMBER(K1750),MAX(0,K1750-L1750-M1750),"n.a.")</f>
        <v/>
      </c>
      <c r="O1750" s="14" t="n">
        <v>16.22</v>
      </c>
      <c r="P1750" s="14">
        <f>IF(ISNUMBER(K1750),K1750-O1750,"n.a.")</f>
        <v/>
      </c>
    </row>
    <row r="1751" ht="32" customHeight="1">
      <c r="C1751" s="10" t="inlineStr">
        <is>
          <t>PRJ-383070d0-RK-11</t>
        </is>
      </c>
      <c r="D1751" s="10" t="inlineStr">
        <is>
          <t>W4102604950</t>
        </is>
      </c>
      <c r="E1751" s="11" t="inlineStr">
        <is>
          <t>Witterung / Ablaufstörung</t>
        </is>
      </c>
      <c r="F1751" s="10" t="inlineStr">
        <is>
          <t>Termin</t>
        </is>
      </c>
      <c r="G1751" s="12" t="n">
        <v>0.25</v>
      </c>
      <c r="H1751" s="13" t="n">
        <v>71</v>
      </c>
      <c r="I1751" s="13" t="n">
        <v>212</v>
      </c>
      <c r="J1751" s="13" t="n">
        <v>424</v>
      </c>
      <c r="K1751" s="14">
        <f>IF(OR(COUNT(G1751:J1751)&lt;&gt;4,G1751&lt;0,G1751&gt;1,H1751&gt;I1751,I1751&gt;J1751),"n.a.",ROUND(G1751*(H1751+4*I1751+J1751)/6+0.00000001,2))</f>
        <v/>
      </c>
      <c r="L1751" s="13" t="n">
        <v>0</v>
      </c>
      <c r="M1751" s="14">
        <f>SUMIFS(Maßnahmen!$I$7:$I$126,Maßnahmen!$D$7:$D$126,C1751,Maßnahmen!$H$7:$H$126,"&lt;&gt;verworfen")</f>
        <v/>
      </c>
      <c r="N1751" s="14">
        <f>IF(ISNUMBER(K1751),MAX(0,K1751-L1751-M1751),"n.a.")</f>
        <v/>
      </c>
      <c r="O1751" s="14" t="n">
        <v>55.96</v>
      </c>
      <c r="P1751" s="14">
        <f>IF(ISNUMBER(K1751),K1751-O1751,"n.a.")</f>
        <v/>
      </c>
    </row>
    <row r="1752" ht="32" customHeight="1">
      <c r="C1752" s="10" t="inlineStr">
        <is>
          <t>PRJ-383070d0-RK-12</t>
        </is>
      </c>
      <c r="D1752" s="10" t="inlineStr">
        <is>
          <t>W4102604950</t>
        </is>
      </c>
      <c r="E1752" s="11" t="inlineStr">
        <is>
          <t>Staubemissionen (höchster Aufwand laut Umfrage)</t>
        </is>
      </c>
      <c r="F1752" s="10" t="inlineStr">
        <is>
          <t>Emissionen</t>
        </is>
      </c>
      <c r="G1752" s="12" t="n">
        <v>0.1</v>
      </c>
      <c r="H1752" s="13" t="n">
        <v>212</v>
      </c>
      <c r="I1752" s="13" t="n">
        <v>424</v>
      </c>
      <c r="J1752" s="13" t="n">
        <v>847</v>
      </c>
      <c r="K1752" s="14">
        <f>IF(OR(COUNT(G1752:J1752)&lt;&gt;4,G1752&lt;0,G1752&gt;1,H1752&gt;I1752,I1752&gt;J1752),"n.a.",ROUND(G1752*(H1752+4*I1752+J1752)/6+0.00000001,2))</f>
        <v/>
      </c>
      <c r="L1752" s="13" t="n">
        <v>0</v>
      </c>
      <c r="M1752" s="14">
        <f>SUMIFS(Maßnahmen!$I$7:$I$126,Maßnahmen!$D$7:$D$126,C1752,Maßnahmen!$H$7:$H$126,"&lt;&gt;verworfen")</f>
        <v/>
      </c>
      <c r="N1752" s="14">
        <f>IF(ISNUMBER(K1752),MAX(0,K1752-L1752-M1752),"n.a.")</f>
        <v/>
      </c>
      <c r="O1752" s="14" t="n">
        <v>45.92</v>
      </c>
      <c r="P1752" s="14">
        <f>IF(ISNUMBER(K1752),K1752-O1752,"n.a.")</f>
        <v/>
      </c>
    </row>
    <row r="1753" ht="32" customHeight="1">
      <c r="C1753" s="10" t="inlineStr">
        <is>
          <t>PRJ-383070d0-RK-13</t>
        </is>
      </c>
      <c r="D1753" s="10" t="inlineStr">
        <is>
          <t>W4102604950</t>
        </is>
      </c>
      <c r="E1753" s="11" t="inlineStr">
        <is>
          <t>Lärm- und Erschütterungsauflagen</t>
        </is>
      </c>
      <c r="F1753" s="10" t="inlineStr">
        <is>
          <t>Emissionen</t>
        </is>
      </c>
      <c r="G1753" s="12" t="n">
        <v>0.2</v>
      </c>
      <c r="H1753" s="13" t="n">
        <v>141</v>
      </c>
      <c r="I1753" s="13" t="n">
        <v>353</v>
      </c>
      <c r="J1753" s="13" t="n">
        <v>706</v>
      </c>
      <c r="K1753" s="14">
        <f>IF(OR(COUNT(G1753:J1753)&lt;&gt;4,G1753&lt;0,G1753&gt;1,H1753&gt;I1753,I1753&gt;J1753),"n.a.",ROUND(G1753*(H1753+4*I1753+J1753)/6+0.00000001,2))</f>
        <v/>
      </c>
      <c r="L1753" s="13" t="n">
        <v>0</v>
      </c>
      <c r="M1753" s="14">
        <f>SUMIFS(Maßnahmen!$I$7:$I$126,Maßnahmen!$D$7:$D$126,C1753,Maßnahmen!$H$7:$H$126,"&lt;&gt;verworfen")</f>
        <v/>
      </c>
      <c r="N1753" s="14">
        <f>IF(ISNUMBER(K1753),MAX(0,K1753-L1753-M1753),"n.a.")</f>
        <v/>
      </c>
      <c r="O1753" s="14" t="n">
        <v>75.3</v>
      </c>
      <c r="P1753" s="14">
        <f>IF(ISNUMBER(K1753),K1753-O1753,"n.a.")</f>
        <v/>
      </c>
    </row>
    <row r="1754" ht="32" customHeight="1">
      <c r="C1754" s="10" t="inlineStr">
        <is>
          <t>PRJ-383070d0-RK-14</t>
        </is>
      </c>
      <c r="D1754" s="10" t="inlineStr">
        <is>
          <t>W4102604950</t>
        </is>
      </c>
      <c r="E1754" s="11" t="inlineStr">
        <is>
          <t>Rechtliche Auflagen / Entsorgungsnachweise (Formalismus)</t>
        </is>
      </c>
      <c r="F1754" s="10" t="inlineStr">
        <is>
          <t>Genehmigung</t>
        </is>
      </c>
      <c r="G1754" s="12" t="n">
        <v>0.4</v>
      </c>
      <c r="H1754" s="13" t="n">
        <v>671</v>
      </c>
      <c r="I1754" s="13" t="n">
        <v>1306</v>
      </c>
      <c r="J1754" s="13" t="n">
        <v>2471</v>
      </c>
      <c r="K1754" s="14">
        <f>IF(OR(COUNT(G1754:J1754)&lt;&gt;4,G1754&lt;0,G1754&gt;1,H1754&gt;I1754,I1754&gt;J1754),"n.a.",ROUND(G1754*(H1754+4*I1754+J1754)/6+0.00000001,2))</f>
        <v/>
      </c>
      <c r="L1754" s="13" t="n">
        <v>0</v>
      </c>
      <c r="M1754" s="14">
        <f>SUMIFS(Maßnahmen!$I$7:$I$126,Maßnahmen!$D$7:$D$126,C1754,Maßnahmen!$H$7:$H$126,"&lt;&gt;verworfen")</f>
        <v/>
      </c>
      <c r="N1754" s="14">
        <f>IF(ISNUMBER(K1754),MAX(0,K1754-L1754-M1754),"n.a.")</f>
        <v/>
      </c>
      <c r="O1754" s="14" t="n">
        <v>557.73</v>
      </c>
      <c r="P1754" s="14">
        <f>IF(ISNUMBER(K1754),K1754-O1754,"n.a.")</f>
        <v/>
      </c>
    </row>
    <row r="1755" ht="32" customHeight="1">
      <c r="C1755" s="10" t="inlineStr">
        <is>
          <t>PRJ-383070d0-RK-15</t>
        </is>
      </c>
      <c r="D1755" s="10" t="inlineStr">
        <is>
          <t>W4102604950</t>
        </is>
      </c>
      <c r="E1755" s="11" t="inlineStr">
        <is>
          <t>Konjunktur / Sekundärstoffpreise &amp; Gerätemiete</t>
        </is>
      </c>
      <c r="F1755" s="10" t="inlineStr">
        <is>
          <t>Markt</t>
        </is>
      </c>
      <c r="G1755" s="12" t="n">
        <v>0.12</v>
      </c>
      <c r="H1755" s="13" t="n">
        <v>56</v>
      </c>
      <c r="I1755" s="13" t="n">
        <v>141</v>
      </c>
      <c r="J1755" s="13" t="n">
        <v>353</v>
      </c>
      <c r="K1755" s="14">
        <f>IF(OR(COUNT(G1755:J1755)&lt;&gt;4,G1755&lt;0,G1755&gt;1,H1755&gt;I1755,I1755&gt;J1755),"n.a.",ROUND(G1755*(H1755+4*I1755+J1755)/6+0.00000001,2))</f>
        <v/>
      </c>
      <c r="L1755" s="13" t="n">
        <v>0</v>
      </c>
      <c r="M1755" s="14">
        <f>SUMIFS(Maßnahmen!$I$7:$I$126,Maßnahmen!$D$7:$D$126,C1755,Maßnahmen!$H$7:$H$126,"&lt;&gt;verworfen")</f>
        <v/>
      </c>
      <c r="N1755" s="14">
        <f>IF(ISNUMBER(K1755),MAX(0,K1755-L1755-M1755),"n.a.")</f>
        <v/>
      </c>
      <c r="O1755" s="14" t="n">
        <v>19.46</v>
      </c>
      <c r="P1755" s="14">
        <f>IF(ISNUMBER(K1755),K1755-O1755,"n.a.")</f>
        <v/>
      </c>
    </row>
    <row r="1756" ht="32" customHeight="1">
      <c r="C1756" s="10" t="inlineStr">
        <is>
          <t>PRJ-37ea0e8b-RK-01</t>
        </is>
      </c>
      <c r="D1756" s="10" t="inlineStr">
        <is>
          <t>W4102654411</t>
        </is>
      </c>
      <c r="E1756" s="11" t="inlineStr">
        <is>
          <t>Schadstofffund / Schadstoffsanierung (Asbest, PAK, PCB, PCP)</t>
        </is>
      </c>
      <c r="F1756" s="10" t="inlineStr">
        <is>
          <t>Schadstoffe</t>
        </is>
      </c>
      <c r="G1756" s="12" t="n">
        <v>0.1</v>
      </c>
      <c r="H1756" s="13" t="n">
        <v>651</v>
      </c>
      <c r="I1756" s="13" t="n">
        <v>1627</v>
      </c>
      <c r="J1756" s="13" t="n">
        <v>3255</v>
      </c>
      <c r="K1756" s="14">
        <f>IF(OR(COUNT(G1756:J1756)&lt;&gt;4,G1756&lt;0,G1756&gt;1,H1756&gt;I1756,I1756&gt;J1756),"n.a.",ROUND(G1756*(H1756+4*I1756+J1756)/6+0.00000001,2))</f>
        <v/>
      </c>
      <c r="L1756" s="13" t="n">
        <v>0</v>
      </c>
      <c r="M1756" s="14">
        <f>SUMIFS(Maßnahmen!$I$7:$I$126,Maßnahmen!$D$7:$D$126,C1756,Maßnahmen!$H$7:$H$126,"&lt;&gt;verworfen")</f>
        <v/>
      </c>
      <c r="N1756" s="14">
        <f>IF(ISNUMBER(K1756),MAX(0,K1756-L1756-M1756),"n.a.")</f>
        <v/>
      </c>
      <c r="O1756" s="14" t="n">
        <v>173.57</v>
      </c>
      <c r="P1756" s="14">
        <f>IF(ISNUMBER(K1756),K1756-O1756,"n.a.")</f>
        <v/>
      </c>
    </row>
    <row r="1757" ht="32" customHeight="1">
      <c r="C1757" s="10" t="inlineStr">
        <is>
          <t>PRJ-37ea0e8b-RK-02</t>
        </is>
      </c>
      <c r="D1757" s="10" t="inlineStr">
        <is>
          <t>W4102654411</t>
        </is>
      </c>
      <c r="E1757" s="11" t="inlineStr">
        <is>
          <t>Arbeitsschutz kontaminierte Bereiche (TRGS 524)</t>
        </is>
      </c>
      <c r="F1757" s="10" t="inlineStr">
        <is>
          <t>Schadstoffe</t>
        </is>
      </c>
      <c r="G1757" s="12" t="n">
        <v>0.46</v>
      </c>
      <c r="H1757" s="13" t="n">
        <v>479</v>
      </c>
      <c r="I1757" s="13" t="n">
        <v>1369</v>
      </c>
      <c r="J1757" s="13" t="n">
        <v>2825</v>
      </c>
      <c r="K1757" s="14">
        <f>IF(OR(COUNT(G1757:J1757)&lt;&gt;4,G1757&lt;0,G1757&gt;1,H1757&gt;I1757,I1757&gt;J1757),"n.a.",ROUND(G1757*(H1757+4*I1757+J1757)/6+0.00000001,2))</f>
        <v/>
      </c>
      <c r="L1757" s="13" t="n">
        <v>0</v>
      </c>
      <c r="M1757" s="14">
        <f>SUMIFS(Maßnahmen!$I$7:$I$126,Maßnahmen!$D$7:$D$126,C1757,Maßnahmen!$H$7:$H$126,"&lt;&gt;verworfen")</f>
        <v/>
      </c>
      <c r="N1757" s="14">
        <f>IF(ISNUMBER(K1757),MAX(0,K1757-L1757-M1757),"n.a.")</f>
        <v/>
      </c>
      <c r="O1757" s="14" t="n">
        <v>673.13</v>
      </c>
      <c r="P1757" s="14">
        <f>IF(ISNUMBER(K1757),K1757-O1757,"n.a.")</f>
        <v/>
      </c>
    </row>
    <row r="1758" ht="32" customHeight="1">
      <c r="C1758" s="10" t="inlineStr">
        <is>
          <t>PRJ-37ea0e8b-RK-03</t>
        </is>
      </c>
      <c r="D1758" s="10" t="inlineStr">
        <is>
          <t>W4102654411</t>
        </is>
      </c>
      <c r="E1758" s="11" t="inlineStr">
        <is>
          <t>Entsorgungs-Mehrkosten / Entsorgungswege</t>
        </is>
      </c>
      <c r="F1758" s="10" t="inlineStr">
        <is>
          <t>Entsorgung</t>
        </is>
      </c>
      <c r="G1758" s="12" t="n">
        <v>0.15</v>
      </c>
      <c r="H1758" s="13" t="n">
        <v>651</v>
      </c>
      <c r="I1758" s="13" t="n">
        <v>1627</v>
      </c>
      <c r="J1758" s="13" t="n">
        <v>3255</v>
      </c>
      <c r="K1758" s="14">
        <f>IF(OR(COUNT(G1758:J1758)&lt;&gt;4,G1758&lt;0,G1758&gt;1,H1758&gt;I1758,I1758&gt;J1758),"n.a.",ROUND(G1758*(H1758+4*I1758+J1758)/6+0.00000001,2))</f>
        <v/>
      </c>
      <c r="L1758" s="13" t="n">
        <v>0</v>
      </c>
      <c r="M1758" s="14">
        <f>SUMIFS(Maßnahmen!$I$7:$I$126,Maßnahmen!$D$7:$D$126,C1758,Maßnahmen!$H$7:$H$126,"&lt;&gt;verworfen")</f>
        <v/>
      </c>
      <c r="N1758" s="14">
        <f>IF(ISNUMBER(K1758),MAX(0,K1758-L1758-M1758),"n.a.")</f>
        <v/>
      </c>
      <c r="O1758" s="14" t="n">
        <v>260.35</v>
      </c>
      <c r="P1758" s="14">
        <f>IF(ISNUMBER(K1758),K1758-O1758,"n.a.")</f>
        <v/>
      </c>
    </row>
    <row r="1759" ht="32" customHeight="1">
      <c r="C1759" s="10" t="inlineStr">
        <is>
          <t>PRJ-37ea0e8b-RK-04</t>
        </is>
      </c>
      <c r="D1759" s="10" t="inlineStr">
        <is>
          <t>W4102654411</t>
        </is>
      </c>
      <c r="E1759" s="11" t="inlineStr">
        <is>
          <t>Baustofftrennung / Aufbereitung nicht wie geplant</t>
        </is>
      </c>
      <c r="F1759" s="10" t="inlineStr">
        <is>
          <t>Entsorgung</t>
        </is>
      </c>
      <c r="G1759" s="12" t="n">
        <v>0.081</v>
      </c>
      <c r="H1759" s="13" t="n">
        <v>163</v>
      </c>
      <c r="I1759" s="13" t="n">
        <v>325</v>
      </c>
      <c r="J1759" s="13" t="n">
        <v>651</v>
      </c>
      <c r="K1759" s="14">
        <f>IF(OR(COUNT(G1759:J1759)&lt;&gt;4,G1759&lt;0,G1759&gt;1,H1759&gt;I1759,I1759&gt;J1759),"n.a.",ROUND(G1759*(H1759+4*I1759+J1759)/6+0.00000001,2))</f>
        <v/>
      </c>
      <c r="L1759" s="13" t="n">
        <v>0</v>
      </c>
      <c r="M1759" s="14">
        <f>SUMIFS(Maßnahmen!$I$7:$I$126,Maßnahmen!$D$7:$D$126,C1759,Maßnahmen!$H$7:$H$126,"&lt;&gt;verworfen")</f>
        <v/>
      </c>
      <c r="N1759" s="14">
        <f>IF(ISNUMBER(K1759),MAX(0,K1759-L1759-M1759),"n.a.")</f>
        <v/>
      </c>
      <c r="O1759" s="14" t="n">
        <v>28.54</v>
      </c>
      <c r="P1759" s="14">
        <f>IF(ISNUMBER(K1759),K1759-O1759,"n.a.")</f>
        <v/>
      </c>
    </row>
    <row r="1760" ht="32" customHeight="1">
      <c r="C1760" s="10" t="inlineStr">
        <is>
          <t>PRJ-37ea0e8b-RK-05</t>
        </is>
      </c>
      <c r="D1760" s="10" t="inlineStr">
        <is>
          <t>W4102654411</t>
        </is>
      </c>
      <c r="E1760" s="11" t="inlineStr">
        <is>
          <t>Unbekannte Bauwerkskonstruktion / fehlende Pläne</t>
        </is>
      </c>
      <c r="F1760" s="10" t="inlineStr">
        <is>
          <t>Statik</t>
        </is>
      </c>
      <c r="G1760" s="12" t="n">
        <v>0.12</v>
      </c>
      <c r="H1760" s="13" t="n">
        <v>795</v>
      </c>
      <c r="I1760" s="13" t="n">
        <v>1759</v>
      </c>
      <c r="J1760" s="13" t="n">
        <v>3530</v>
      </c>
      <c r="K1760" s="14">
        <f>IF(OR(COUNT(G1760:J1760)&lt;&gt;4,G1760&lt;0,G1760&gt;1,H1760&gt;I1760,I1760&gt;J1760),"n.a.",ROUND(G1760*(H1760+4*I1760+J1760)/6+0.00000001,2))</f>
        <v/>
      </c>
      <c r="L1760" s="13" t="n">
        <v>0</v>
      </c>
      <c r="M1760" s="14">
        <f>SUMIFS(Maßnahmen!$I$7:$I$126,Maßnahmen!$D$7:$D$126,C1760,Maßnahmen!$H$7:$H$126,"&lt;&gt;verworfen")</f>
        <v/>
      </c>
      <c r="N1760" s="14">
        <f>IF(ISNUMBER(K1760),MAX(0,K1760-L1760-M1760),"n.a.")</f>
        <v/>
      </c>
      <c r="O1760" s="14" t="n">
        <v>227.22</v>
      </c>
      <c r="P1760" s="14">
        <f>IF(ISNUMBER(K1760),K1760-O1760,"n.a.")</f>
        <v/>
      </c>
    </row>
    <row r="1761" ht="32" customHeight="1">
      <c r="C1761" s="10" t="inlineStr">
        <is>
          <t>PRJ-37ea0e8b-RK-06</t>
        </is>
      </c>
      <c r="D1761" s="10" t="inlineStr">
        <is>
          <t>W4102654411</t>
        </is>
      </c>
      <c r="E1761" s="11" t="inlineStr">
        <is>
          <t>Statik / Einsturzsicherung während Abbruch</t>
        </is>
      </c>
      <c r="F1761" s="10" t="inlineStr">
        <is>
          <t>Statik</t>
        </is>
      </c>
      <c r="G1761" s="12" t="n">
        <v>0.12</v>
      </c>
      <c r="H1761" s="13" t="n">
        <v>976</v>
      </c>
      <c r="I1761" s="13" t="n">
        <v>2278</v>
      </c>
      <c r="J1761" s="13" t="n">
        <v>4557</v>
      </c>
      <c r="K1761" s="14">
        <f>IF(OR(COUNT(G1761:J1761)&lt;&gt;4,G1761&lt;0,G1761&gt;1,H1761&gt;I1761,I1761&gt;J1761),"n.a.",ROUND(G1761*(H1761+4*I1761+J1761)/6+0.00000001,2))</f>
        <v/>
      </c>
      <c r="L1761" s="13" t="n">
        <v>0</v>
      </c>
      <c r="M1761" s="14">
        <f>SUMIFS(Maßnahmen!$I$7:$I$126,Maßnahmen!$D$7:$D$126,C1761,Maßnahmen!$H$7:$H$126,"&lt;&gt;verworfen")</f>
        <v/>
      </c>
      <c r="N1761" s="14">
        <f>IF(ISNUMBER(K1761),MAX(0,K1761-L1761-M1761),"n.a.")</f>
        <v/>
      </c>
      <c r="O1761" s="14" t="n">
        <v>292.9</v>
      </c>
      <c r="P1761" s="14">
        <f>IF(ISNUMBER(K1761),K1761-O1761,"n.a.")</f>
        <v/>
      </c>
    </row>
    <row r="1762" ht="32" customHeight="1">
      <c r="C1762" s="10" t="inlineStr">
        <is>
          <t>PRJ-37ea0e8b-RK-07</t>
        </is>
      </c>
      <c r="D1762" s="10" t="inlineStr">
        <is>
          <t>W4102654411</t>
        </is>
      </c>
      <c r="E1762" s="11" t="inlineStr">
        <is>
          <t>Unterirdische Tragkonstruktion / Fundamente</t>
        </is>
      </c>
      <c r="F1762" s="10" t="inlineStr">
        <is>
          <t>Statik</t>
        </is>
      </c>
      <c r="G1762" s="12" t="n">
        <v>0.5</v>
      </c>
      <c r="H1762" s="13" t="n">
        <v>163</v>
      </c>
      <c r="I1762" s="13" t="n">
        <v>651</v>
      </c>
      <c r="J1762" s="13" t="n">
        <v>1627</v>
      </c>
      <c r="K1762" s="14">
        <f>IF(OR(COUNT(G1762:J1762)&lt;&gt;4,G1762&lt;0,G1762&gt;1,H1762&gt;I1762,I1762&gt;J1762),"n.a.",ROUND(G1762*(H1762+4*I1762+J1762)/6+0.00000001,2))</f>
        <v/>
      </c>
      <c r="L1762" s="13" t="n">
        <v>0</v>
      </c>
      <c r="M1762" s="14">
        <f>SUMIFS(Maßnahmen!$I$7:$I$126,Maßnahmen!$D$7:$D$126,C1762,Maßnahmen!$H$7:$H$126,"&lt;&gt;verworfen")</f>
        <v/>
      </c>
      <c r="N1762" s="14">
        <f>IF(ISNUMBER(K1762),MAX(0,K1762-L1762-M1762),"n.a.")</f>
        <v/>
      </c>
      <c r="O1762" s="14" t="n">
        <v>366.17</v>
      </c>
      <c r="P1762" s="14">
        <f>IF(ISNUMBER(K1762),K1762-O1762,"n.a.")</f>
        <v/>
      </c>
    </row>
    <row r="1763" ht="32" customHeight="1">
      <c r="C1763" s="10" t="inlineStr">
        <is>
          <t>PRJ-37ea0e8b-RK-08</t>
        </is>
      </c>
      <c r="D1763" s="10" t="inlineStr">
        <is>
          <t>W4102654411</t>
        </is>
      </c>
      <c r="E1763" s="11" t="inlineStr">
        <is>
          <t>Gebäudehöhe &gt;22 m / Longfront-Bagger (+130–150 %)</t>
        </is>
      </c>
      <c r="F1763" s="10" t="inlineStr">
        <is>
          <t>Termin</t>
        </is>
      </c>
      <c r="G1763" s="12" t="n">
        <v>0.6</v>
      </c>
      <c r="H1763" s="13" t="n">
        <v>2929</v>
      </c>
      <c r="I1763" s="13" t="n">
        <v>5859</v>
      </c>
      <c r="J1763" s="13" t="n">
        <v>11067</v>
      </c>
      <c r="K1763" s="14">
        <f>IF(OR(COUNT(G1763:J1763)&lt;&gt;4,G1763&lt;0,G1763&gt;1,H1763&gt;I1763,I1763&gt;J1763),"n.a.",ROUND(G1763*(H1763+4*I1763+J1763)/6+0.00000001,2))</f>
        <v/>
      </c>
      <c r="L1763" s="13" t="n">
        <v>0</v>
      </c>
      <c r="M1763" s="14">
        <f>SUMIFS(Maßnahmen!$I$7:$I$126,Maßnahmen!$D$7:$D$126,C1763,Maßnahmen!$H$7:$H$126,"&lt;&gt;verworfen")</f>
        <v/>
      </c>
      <c r="N1763" s="14">
        <f>IF(ISNUMBER(K1763),MAX(0,K1763-L1763-M1763),"n.a.")</f>
        <v/>
      </c>
      <c r="O1763" s="14" t="n">
        <v>3743.2</v>
      </c>
      <c r="P1763" s="14">
        <f>IF(ISNUMBER(K1763),K1763-O1763,"n.a.")</f>
        <v/>
      </c>
    </row>
    <row r="1764" ht="32" customHeight="1">
      <c r="C1764" s="10" t="inlineStr">
        <is>
          <t>PRJ-37ea0e8b-RK-09</t>
        </is>
      </c>
      <c r="D1764" s="10" t="inlineStr">
        <is>
          <t>W4102654411</t>
        </is>
      </c>
      <c r="E1764" s="11" t="inlineStr">
        <is>
          <t>Beennte Lage / nur Handabbruch möglich</t>
        </is>
      </c>
      <c r="F1764" s="10" t="inlineStr">
        <is>
          <t>Termin</t>
        </is>
      </c>
      <c r="G1764" s="12" t="n">
        <v>0.114</v>
      </c>
      <c r="H1764" s="13" t="n">
        <v>163</v>
      </c>
      <c r="I1764" s="13" t="n">
        <v>325</v>
      </c>
      <c r="J1764" s="13" t="n">
        <v>951</v>
      </c>
      <c r="K1764" s="14">
        <f>IF(OR(COUNT(G1764:J1764)&lt;&gt;4,G1764&lt;0,G1764&gt;1,H1764&gt;I1764,I1764&gt;J1764),"n.a.",ROUND(G1764*(H1764+4*I1764+J1764)/6+0.00000001,2))</f>
        <v/>
      </c>
      <c r="L1764" s="13" t="n">
        <v>0</v>
      </c>
      <c r="M1764" s="14">
        <f>SUMIFS(Maßnahmen!$I$7:$I$126,Maßnahmen!$D$7:$D$126,C1764,Maßnahmen!$H$7:$H$126,"&lt;&gt;verworfen")</f>
        <v/>
      </c>
      <c r="N1764" s="14">
        <f>IF(ISNUMBER(K1764),MAX(0,K1764-L1764-M1764),"n.a.")</f>
        <v/>
      </c>
      <c r="O1764" s="14" t="n">
        <v>45.87</v>
      </c>
      <c r="P1764" s="14">
        <f>IF(ISNUMBER(K1764),K1764-O1764,"n.a.")</f>
        <v/>
      </c>
    </row>
    <row r="1765" ht="32" customHeight="1">
      <c r="C1765" s="10" t="inlineStr">
        <is>
          <t>PRJ-37ea0e8b-RK-10</t>
        </is>
      </c>
      <c r="D1765" s="10" t="inlineStr">
        <is>
          <t>W4102654411</t>
        </is>
      </c>
      <c r="E1765" s="11" t="inlineStr">
        <is>
          <t>Terminvorgabe Auftraggeber / Geräteauslastung</t>
        </is>
      </c>
      <c r="F1765" s="10" t="inlineStr">
        <is>
          <t>Termin</t>
        </is>
      </c>
      <c r="G1765" s="12" t="n">
        <v>0.097</v>
      </c>
      <c r="H1765" s="13" t="n">
        <v>239</v>
      </c>
      <c r="I1765" s="13" t="n">
        <v>619</v>
      </c>
      <c r="J1765" s="13" t="n">
        <v>1574</v>
      </c>
      <c r="K1765" s="14">
        <f>IF(OR(COUNT(G1765:J1765)&lt;&gt;4,G1765&lt;0,G1765&gt;1,H1765&gt;I1765,I1765&gt;J1765),"n.a.",ROUND(G1765*(H1765+4*I1765+J1765)/6+0.00000001,2))</f>
        <v/>
      </c>
      <c r="L1765" s="13" t="n">
        <v>0</v>
      </c>
      <c r="M1765" s="14">
        <f>SUMIFS(Maßnahmen!$I$7:$I$126,Maßnahmen!$D$7:$D$126,C1765,Maßnahmen!$H$7:$H$126,"&lt;&gt;verworfen")</f>
        <v/>
      </c>
      <c r="N1765" s="14">
        <f>IF(ISNUMBER(K1765),MAX(0,K1765-L1765-M1765),"n.a.")</f>
        <v/>
      </c>
      <c r="O1765" s="14" t="n">
        <v>69.34</v>
      </c>
      <c r="P1765" s="14">
        <f>IF(ISNUMBER(K1765),K1765-O1765,"n.a.")</f>
        <v/>
      </c>
    </row>
    <row r="1766" ht="32" customHeight="1">
      <c r="C1766" s="10" t="inlineStr">
        <is>
          <t>PRJ-37ea0e8b-RK-11</t>
        </is>
      </c>
      <c r="D1766" s="10" t="inlineStr">
        <is>
          <t>W4102654411</t>
        </is>
      </c>
      <c r="E1766" s="11" t="inlineStr">
        <is>
          <t>Witterung / Ablaufstörung</t>
        </is>
      </c>
      <c r="F1766" s="10" t="inlineStr">
        <is>
          <t>Termin</t>
        </is>
      </c>
      <c r="G1766" s="12" t="n">
        <v>0.25</v>
      </c>
      <c r="H1766" s="13" t="n">
        <v>325</v>
      </c>
      <c r="I1766" s="13" t="n">
        <v>976</v>
      </c>
      <c r="J1766" s="13" t="n">
        <v>1953</v>
      </c>
      <c r="K1766" s="14">
        <f>IF(OR(COUNT(G1766:J1766)&lt;&gt;4,G1766&lt;0,G1766&gt;1,H1766&gt;I1766,I1766&gt;J1766),"n.a.",ROUND(G1766*(H1766+4*I1766+J1766)/6+0.00000001,2))</f>
        <v/>
      </c>
      <c r="L1766" s="13" t="n">
        <v>0</v>
      </c>
      <c r="M1766" s="14">
        <f>SUMIFS(Maßnahmen!$I$7:$I$126,Maßnahmen!$D$7:$D$126,C1766,Maßnahmen!$H$7:$H$126,"&lt;&gt;verworfen")</f>
        <v/>
      </c>
      <c r="N1766" s="14">
        <f>IF(ISNUMBER(K1766),MAX(0,K1766-L1766-M1766),"n.a.")</f>
        <v/>
      </c>
      <c r="O1766" s="14" t="n">
        <v>257.58</v>
      </c>
      <c r="P1766" s="14">
        <f>IF(ISNUMBER(K1766),K1766-O1766,"n.a.")</f>
        <v/>
      </c>
    </row>
    <row r="1767" ht="32" customHeight="1">
      <c r="C1767" s="10" t="inlineStr">
        <is>
          <t>PRJ-37ea0e8b-RK-12</t>
        </is>
      </c>
      <c r="D1767" s="10" t="inlineStr">
        <is>
          <t>W4102654411</t>
        </is>
      </c>
      <c r="E1767" s="11" t="inlineStr">
        <is>
          <t>Staubemissionen (höchster Aufwand laut Umfrage)</t>
        </is>
      </c>
      <c r="F1767" s="10" t="inlineStr">
        <is>
          <t>Emissionen</t>
        </is>
      </c>
      <c r="G1767" s="12" t="n">
        <v>0.1</v>
      </c>
      <c r="H1767" s="13" t="n">
        <v>976</v>
      </c>
      <c r="I1767" s="13" t="n">
        <v>1953</v>
      </c>
      <c r="J1767" s="13" t="n">
        <v>3906</v>
      </c>
      <c r="K1767" s="14">
        <f>IF(OR(COUNT(G1767:J1767)&lt;&gt;4,G1767&lt;0,G1767&gt;1,H1767&gt;I1767,I1767&gt;J1767),"n.a.",ROUND(G1767*(H1767+4*I1767+J1767)/6+0.00000001,2))</f>
        <v/>
      </c>
      <c r="L1767" s="13" t="n">
        <v>0</v>
      </c>
      <c r="M1767" s="14">
        <f>SUMIFS(Maßnahmen!$I$7:$I$126,Maßnahmen!$D$7:$D$126,C1767,Maßnahmen!$H$7:$H$126,"&lt;&gt;verworfen")</f>
        <v/>
      </c>
      <c r="N1767" s="14">
        <f>IF(ISNUMBER(K1767),MAX(0,K1767-L1767-M1767),"n.a.")</f>
        <v/>
      </c>
      <c r="O1767" s="14" t="n">
        <v>211.57</v>
      </c>
      <c r="P1767" s="14">
        <f>IF(ISNUMBER(K1767),K1767-O1767,"n.a.")</f>
        <v/>
      </c>
    </row>
    <row r="1768" ht="32" customHeight="1">
      <c r="C1768" s="10" t="inlineStr">
        <is>
          <t>PRJ-37ea0e8b-RK-13</t>
        </is>
      </c>
      <c r="D1768" s="10" t="inlineStr">
        <is>
          <t>W4102654411</t>
        </is>
      </c>
      <c r="E1768" s="11" t="inlineStr">
        <is>
          <t>Lärm- und Erschütterungsauflagen</t>
        </is>
      </c>
      <c r="F1768" s="10" t="inlineStr">
        <is>
          <t>Emissionen</t>
        </is>
      </c>
      <c r="G1768" s="12" t="n">
        <v>0.15</v>
      </c>
      <c r="H1768" s="13" t="n">
        <v>245</v>
      </c>
      <c r="I1768" s="13" t="n">
        <v>884</v>
      </c>
      <c r="J1768" s="13" t="n">
        <v>1970</v>
      </c>
      <c r="K1768" s="14">
        <f>IF(OR(COUNT(G1768:J1768)&lt;&gt;4,G1768&lt;0,G1768&gt;1,H1768&gt;I1768,I1768&gt;J1768),"n.a.",ROUND(G1768*(H1768+4*I1768+J1768)/6+0.00000001,2))</f>
        <v/>
      </c>
      <c r="L1768" s="13" t="n">
        <v>0</v>
      </c>
      <c r="M1768" s="14">
        <f>SUMIFS(Maßnahmen!$I$7:$I$126,Maßnahmen!$D$7:$D$126,C1768,Maßnahmen!$H$7:$H$126,"&lt;&gt;verworfen")</f>
        <v/>
      </c>
      <c r="N1768" s="14">
        <f>IF(ISNUMBER(K1768),MAX(0,K1768-L1768-M1768),"n.a.")</f>
        <v/>
      </c>
      <c r="O1768" s="14" t="n">
        <v>143.78</v>
      </c>
      <c r="P1768" s="14">
        <f>IF(ISNUMBER(K1768),K1768-O1768,"n.a.")</f>
        <v/>
      </c>
    </row>
    <row r="1769" ht="32" customHeight="1">
      <c r="C1769" s="10" t="inlineStr">
        <is>
          <t>PRJ-37ea0e8b-RK-14</t>
        </is>
      </c>
      <c r="D1769" s="10" t="inlineStr">
        <is>
          <t>W4102654411</t>
        </is>
      </c>
      <c r="E1769" s="11" t="inlineStr">
        <is>
          <t>Rechtliche Auflagen / Entsorgungsnachweise (Formalismus)</t>
        </is>
      </c>
      <c r="F1769" s="10" t="inlineStr">
        <is>
          <t>Genehmigung</t>
        </is>
      </c>
      <c r="G1769" s="12" t="n">
        <v>0.4</v>
      </c>
      <c r="H1769" s="13" t="n">
        <v>3092</v>
      </c>
      <c r="I1769" s="13" t="n">
        <v>6022</v>
      </c>
      <c r="J1769" s="13" t="n">
        <v>11392</v>
      </c>
      <c r="K1769" s="14">
        <f>IF(OR(COUNT(G1769:J1769)&lt;&gt;4,G1769&lt;0,G1769&gt;1,H1769&gt;I1769,I1769&gt;J1769),"n.a.",ROUND(G1769*(H1769+4*I1769+J1769)/6+0.00000001,2))</f>
        <v/>
      </c>
      <c r="L1769" s="13" t="n">
        <v>0</v>
      </c>
      <c r="M1769" s="14">
        <f>SUMIFS(Maßnahmen!$I$7:$I$126,Maßnahmen!$D$7:$D$126,C1769,Maßnahmen!$H$7:$H$126,"&lt;&gt;verworfen")</f>
        <v/>
      </c>
      <c r="N1769" s="14">
        <f>IF(ISNUMBER(K1769),MAX(0,K1769-L1769-M1769),"n.a.")</f>
        <v/>
      </c>
      <c r="O1769" s="14" t="n">
        <v>2571.47</v>
      </c>
      <c r="P1769" s="14">
        <f>IF(ISNUMBER(K1769),K1769-O1769,"n.a.")</f>
        <v/>
      </c>
    </row>
    <row r="1770" ht="32" customHeight="1">
      <c r="C1770" s="10" t="inlineStr">
        <is>
          <t>PRJ-37ea0e8b-RK-15</t>
        </is>
      </c>
      <c r="D1770" s="10" t="inlineStr">
        <is>
          <t>W4102654411</t>
        </is>
      </c>
      <c r="E1770" s="11" t="inlineStr">
        <is>
          <t>Konjunktur / Sekundärstoffpreise &amp; Gerätemiete</t>
        </is>
      </c>
      <c r="F1770" s="10" t="inlineStr">
        <is>
          <t>Markt</t>
        </is>
      </c>
      <c r="G1770" s="12" t="n">
        <v>0.12</v>
      </c>
      <c r="H1770" s="13" t="n">
        <v>260</v>
      </c>
      <c r="I1770" s="13" t="n">
        <v>651</v>
      </c>
      <c r="J1770" s="13" t="n">
        <v>1627</v>
      </c>
      <c r="K1770" s="14">
        <f>IF(OR(COUNT(G1770:J1770)&lt;&gt;4,G1770&lt;0,G1770&gt;1,H1770&gt;I1770,I1770&gt;J1770),"n.a.",ROUND(G1770*(H1770+4*I1770+J1770)/6+0.00000001,2))</f>
        <v/>
      </c>
      <c r="L1770" s="13" t="n">
        <v>0</v>
      </c>
      <c r="M1770" s="14">
        <f>SUMIFS(Maßnahmen!$I$7:$I$126,Maßnahmen!$D$7:$D$126,C1770,Maßnahmen!$H$7:$H$126,"&lt;&gt;verworfen")</f>
        <v/>
      </c>
      <c r="N1770" s="14">
        <f>IF(ISNUMBER(K1770),MAX(0,K1770-L1770-M1770),"n.a.")</f>
        <v/>
      </c>
      <c r="O1770" s="14" t="n">
        <v>89.81999999999999</v>
      </c>
      <c r="P1770" s="14">
        <f>IF(ISNUMBER(K1770),K1770-O1770,"n.a.")</f>
        <v/>
      </c>
    </row>
    <row r="1771" ht="32" customHeight="1">
      <c r="C1771" s="10" t="inlineStr">
        <is>
          <t>PRJ-4f8e97f2-RK-01</t>
        </is>
      </c>
      <c r="D1771" s="10" t="inlineStr">
        <is>
          <t>P4102307306</t>
        </is>
      </c>
      <c r="E1771" s="11" t="inlineStr">
        <is>
          <t>Schadstofffund / Schadstoffsanierung (Asbest, PAK, PCB, PCP)</t>
        </is>
      </c>
      <c r="F1771" s="10" t="inlineStr">
        <is>
          <t>Schadstoffe</t>
        </is>
      </c>
      <c r="G1771" s="12" t="n">
        <v>0.7</v>
      </c>
      <c r="H1771" s="13" t="n">
        <v>1750</v>
      </c>
      <c r="I1771" s="13" t="n">
        <v>2250</v>
      </c>
      <c r="J1771" s="13" t="n">
        <v>3250</v>
      </c>
      <c r="K1771" s="14">
        <f>IF(OR(COUNT(G1771:J1771)&lt;&gt;4,G1771&lt;0,G1771&gt;1,H1771&gt;I1771,I1771&gt;J1771),"n.a.",ROUND(G1771*(H1771+4*I1771+J1771)/6+0.00000001,2))</f>
        <v/>
      </c>
      <c r="L1771" s="13" t="n">
        <v>0</v>
      </c>
      <c r="M1771" s="14">
        <f>SUMIFS(Maßnahmen!$I$7:$I$126,Maßnahmen!$D$7:$D$126,C1771,Maßnahmen!$H$7:$H$126,"&lt;&gt;verworfen")</f>
        <v/>
      </c>
      <c r="N1771" s="14">
        <f>IF(ISNUMBER(K1771),MAX(0,K1771-L1771-M1771),"n.a.")</f>
        <v/>
      </c>
      <c r="O1771" s="14" t="n">
        <v>1633.33</v>
      </c>
      <c r="P1771" s="14">
        <f>IF(ISNUMBER(K1771),K1771-O1771,"n.a.")</f>
        <v/>
      </c>
    </row>
    <row r="1772" ht="32" customHeight="1">
      <c r="C1772" s="10" t="inlineStr">
        <is>
          <t>PRJ-4f8e97f2-RK-02</t>
        </is>
      </c>
      <c r="D1772" s="10" t="inlineStr">
        <is>
          <t>P4102307306</t>
        </is>
      </c>
      <c r="E1772" s="11" t="inlineStr">
        <is>
          <t>Arbeitsschutz kontaminierte Bereiche (TRGS 524)</t>
        </is>
      </c>
      <c r="F1772" s="10" t="inlineStr">
        <is>
          <t>Schadstoffe</t>
        </is>
      </c>
      <c r="G1772" s="12" t="n">
        <v>0.47</v>
      </c>
      <c r="H1772" s="13" t="n">
        <v>100</v>
      </c>
      <c r="I1772" s="13" t="n">
        <v>250</v>
      </c>
      <c r="J1772" s="13" t="n">
        <v>500</v>
      </c>
      <c r="K1772" s="14">
        <f>IF(OR(COUNT(G1772:J1772)&lt;&gt;4,G1772&lt;0,G1772&gt;1,H1772&gt;I1772,I1772&gt;J1772),"n.a.",ROUND(G1772*(H1772+4*I1772+J1772)/6+0.00000001,2))</f>
        <v/>
      </c>
      <c r="L1772" s="13" t="n">
        <v>0</v>
      </c>
      <c r="M1772" s="14">
        <f>SUMIFS(Maßnahmen!$I$7:$I$126,Maßnahmen!$D$7:$D$126,C1772,Maßnahmen!$H$7:$H$126,"&lt;&gt;verworfen")</f>
        <v/>
      </c>
      <c r="N1772" s="14">
        <f>IF(ISNUMBER(K1772),MAX(0,K1772-L1772-M1772),"n.a.")</f>
        <v/>
      </c>
      <c r="O1772" s="14" t="n">
        <v>125.33</v>
      </c>
      <c r="P1772" s="14">
        <f>IF(ISNUMBER(K1772),K1772-O1772,"n.a.")</f>
        <v/>
      </c>
    </row>
    <row r="1773" ht="32" customHeight="1">
      <c r="C1773" s="10" t="inlineStr">
        <is>
          <t>PRJ-4f8e97f2-RK-03</t>
        </is>
      </c>
      <c r="D1773" s="10" t="inlineStr">
        <is>
          <t>P4102307306</t>
        </is>
      </c>
      <c r="E1773" s="11" t="inlineStr">
        <is>
          <t>Entsorgungs-Mehrkosten / Entsorgungswege</t>
        </is>
      </c>
      <c r="F1773" s="10" t="inlineStr">
        <is>
          <t>Entsorgung</t>
        </is>
      </c>
      <c r="G1773" s="12" t="n">
        <v>0.27</v>
      </c>
      <c r="H1773" s="13" t="n">
        <v>100</v>
      </c>
      <c r="I1773" s="13" t="n">
        <v>250</v>
      </c>
      <c r="J1773" s="13" t="n">
        <v>500</v>
      </c>
      <c r="K1773" s="14">
        <f>IF(OR(COUNT(G1773:J1773)&lt;&gt;4,G1773&lt;0,G1773&gt;1,H1773&gt;I1773,I1773&gt;J1773),"n.a.",ROUND(G1773*(H1773+4*I1773+J1773)/6+0.00000001,2))</f>
        <v/>
      </c>
      <c r="L1773" s="13" t="n">
        <v>0</v>
      </c>
      <c r="M1773" s="14">
        <f>SUMIFS(Maßnahmen!$I$7:$I$126,Maßnahmen!$D$7:$D$126,C1773,Maßnahmen!$H$7:$H$126,"&lt;&gt;verworfen")</f>
        <v/>
      </c>
      <c r="N1773" s="14">
        <f>IF(ISNUMBER(K1773),MAX(0,K1773-L1773-M1773),"n.a.")</f>
        <v/>
      </c>
      <c r="O1773" s="14" t="n">
        <v>72</v>
      </c>
      <c r="P1773" s="14">
        <f>IF(ISNUMBER(K1773),K1773-O1773,"n.a.")</f>
        <v/>
      </c>
    </row>
    <row r="1774" ht="32" customHeight="1">
      <c r="C1774" s="10" t="inlineStr">
        <is>
          <t>PRJ-4f8e97f2-RK-04</t>
        </is>
      </c>
      <c r="D1774" s="10" t="inlineStr">
        <is>
          <t>P4102307306</t>
        </is>
      </c>
      <c r="E1774" s="11" t="inlineStr">
        <is>
          <t>Baustofftrennung / Aufbereitung nicht wie geplant</t>
        </is>
      </c>
      <c r="F1774" s="10" t="inlineStr">
        <is>
          <t>Entsorgung</t>
        </is>
      </c>
      <c r="G1774" s="12" t="n">
        <v>0.1</v>
      </c>
      <c r="H1774" s="13" t="n">
        <v>100</v>
      </c>
      <c r="I1774" s="13" t="n">
        <v>250</v>
      </c>
      <c r="J1774" s="13" t="n">
        <v>500</v>
      </c>
      <c r="K1774" s="14">
        <f>IF(OR(COUNT(G1774:J1774)&lt;&gt;4,G1774&lt;0,G1774&gt;1,H1774&gt;I1774,I1774&gt;J1774),"n.a.",ROUND(G1774*(H1774+4*I1774+J1774)/6+0.00000001,2))</f>
        <v/>
      </c>
      <c r="L1774" s="13" t="n">
        <v>0</v>
      </c>
      <c r="M1774" s="14">
        <f>SUMIFS(Maßnahmen!$I$7:$I$126,Maßnahmen!$D$7:$D$126,C1774,Maßnahmen!$H$7:$H$126,"&lt;&gt;verworfen")</f>
        <v/>
      </c>
      <c r="N1774" s="14">
        <f>IF(ISNUMBER(K1774),MAX(0,K1774-L1774-M1774),"n.a.")</f>
        <v/>
      </c>
      <c r="O1774" s="14" t="n">
        <v>26.67</v>
      </c>
      <c r="P1774" s="14">
        <f>IF(ISNUMBER(K1774),K1774-O1774,"n.a.")</f>
        <v/>
      </c>
    </row>
    <row r="1775" ht="32" customHeight="1">
      <c r="C1775" s="10" t="inlineStr">
        <is>
          <t>PRJ-4f8e97f2-RK-05</t>
        </is>
      </c>
      <c r="D1775" s="10" t="inlineStr">
        <is>
          <t>P4102307306</t>
        </is>
      </c>
      <c r="E1775" s="11" t="inlineStr">
        <is>
          <t>Unbekannte Bauwerkskonstruktion / fehlende Pläne</t>
        </is>
      </c>
      <c r="F1775" s="10" t="inlineStr">
        <is>
          <t>Statik</t>
        </is>
      </c>
      <c r="G1775" s="12" t="n">
        <v>0.12</v>
      </c>
      <c r="H1775" s="13" t="n">
        <v>200</v>
      </c>
      <c r="I1775" s="13" t="n">
        <v>400</v>
      </c>
      <c r="J1775" s="13" t="n">
        <v>750</v>
      </c>
      <c r="K1775" s="14">
        <f>IF(OR(COUNT(G1775:J1775)&lt;&gt;4,G1775&lt;0,G1775&gt;1,H1775&gt;I1775,I1775&gt;J1775),"n.a.",ROUND(G1775*(H1775+4*I1775+J1775)/6+0.00000001,2))</f>
        <v/>
      </c>
      <c r="L1775" s="13" t="n">
        <v>0</v>
      </c>
      <c r="M1775" s="14">
        <f>SUMIFS(Maßnahmen!$I$7:$I$126,Maßnahmen!$D$7:$D$126,C1775,Maßnahmen!$H$7:$H$126,"&lt;&gt;verworfen")</f>
        <v/>
      </c>
      <c r="N1775" s="14">
        <f>IF(ISNUMBER(K1775),MAX(0,K1775-L1775-M1775),"n.a.")</f>
        <v/>
      </c>
      <c r="O1775" s="14" t="n">
        <v>51</v>
      </c>
      <c r="P1775" s="14">
        <f>IF(ISNUMBER(K1775),K1775-O1775,"n.a.")</f>
        <v/>
      </c>
    </row>
    <row r="1776" ht="32" customHeight="1">
      <c r="C1776" s="10" t="inlineStr">
        <is>
          <t>PRJ-4f8e97f2-RK-06</t>
        </is>
      </c>
      <c r="D1776" s="10" t="inlineStr">
        <is>
          <t>P4102307306</t>
        </is>
      </c>
      <c r="E1776" s="11" t="inlineStr">
        <is>
          <t>Statik / Einsturzsicherung während Abbruch</t>
        </is>
      </c>
      <c r="F1776" s="10" t="inlineStr">
        <is>
          <t>Statik</t>
        </is>
      </c>
      <c r="G1776" s="12" t="n">
        <v>0.24</v>
      </c>
      <c r="H1776" s="13" t="n">
        <v>150</v>
      </c>
      <c r="I1776" s="13" t="n">
        <v>350</v>
      </c>
      <c r="J1776" s="13" t="n">
        <v>700</v>
      </c>
      <c r="K1776" s="14">
        <f>IF(OR(COUNT(G1776:J1776)&lt;&gt;4,G1776&lt;0,G1776&gt;1,H1776&gt;I1776,I1776&gt;J1776),"n.a.",ROUND(G1776*(H1776+4*I1776+J1776)/6+0.00000001,2))</f>
        <v/>
      </c>
      <c r="L1776" s="13" t="n">
        <v>0</v>
      </c>
      <c r="M1776" s="14">
        <f>SUMIFS(Maßnahmen!$I$7:$I$126,Maßnahmen!$D$7:$D$126,C1776,Maßnahmen!$H$7:$H$126,"&lt;&gt;verworfen")</f>
        <v/>
      </c>
      <c r="N1776" s="14">
        <f>IF(ISNUMBER(K1776),MAX(0,K1776-L1776-M1776),"n.a.")</f>
        <v/>
      </c>
      <c r="O1776" s="14" t="n">
        <v>90</v>
      </c>
      <c r="P1776" s="14">
        <f>IF(ISNUMBER(K1776),K1776-O1776,"n.a.")</f>
        <v/>
      </c>
    </row>
    <row r="1777" ht="32" customHeight="1">
      <c r="C1777" s="10" t="inlineStr">
        <is>
          <t>PRJ-4f8e97f2-RK-07</t>
        </is>
      </c>
      <c r="D1777" s="10" t="inlineStr">
        <is>
          <t>P4102307306</t>
        </is>
      </c>
      <c r="E1777" s="11" t="inlineStr">
        <is>
          <t>Unterirdische Tragkonstruktion / Fundamente</t>
        </is>
      </c>
      <c r="F1777" s="10" t="inlineStr">
        <is>
          <t>Statik</t>
        </is>
      </c>
      <c r="G1777" s="12" t="n">
        <v>0.4</v>
      </c>
      <c r="H1777" s="13" t="n">
        <v>25</v>
      </c>
      <c r="I1777" s="13" t="n">
        <v>100</v>
      </c>
      <c r="J1777" s="13" t="n">
        <v>250</v>
      </c>
      <c r="K1777" s="14">
        <f>IF(OR(COUNT(G1777:J1777)&lt;&gt;4,G1777&lt;0,G1777&gt;1,H1777&gt;I1777,I1777&gt;J1777),"n.a.",ROUND(G1777*(H1777+4*I1777+J1777)/6+0.00000001,2))</f>
        <v/>
      </c>
      <c r="L1777" s="13" t="n">
        <v>0</v>
      </c>
      <c r="M1777" s="14">
        <f>SUMIFS(Maßnahmen!$I$7:$I$126,Maßnahmen!$D$7:$D$126,C1777,Maßnahmen!$H$7:$H$126,"&lt;&gt;verworfen")</f>
        <v/>
      </c>
      <c r="N1777" s="14">
        <f>IF(ISNUMBER(K1777),MAX(0,K1777-L1777-M1777),"n.a.")</f>
        <v/>
      </c>
      <c r="O1777" s="14" t="n">
        <v>45</v>
      </c>
      <c r="P1777" s="14">
        <f>IF(ISNUMBER(K1777),K1777-O1777,"n.a.")</f>
        <v/>
      </c>
    </row>
    <row r="1778" ht="32" customHeight="1">
      <c r="C1778" s="10" t="inlineStr">
        <is>
          <t>PRJ-4f8e97f2-RK-08</t>
        </is>
      </c>
      <c r="D1778" s="10" t="inlineStr">
        <is>
          <t>P4102307306</t>
        </is>
      </c>
      <c r="E1778" s="11" t="inlineStr">
        <is>
          <t>Gebäudehöhe &gt;22 m / Longfront-Bagger (+130–150 %)</t>
        </is>
      </c>
      <c r="F1778" s="10" t="inlineStr">
        <is>
          <t>Termin</t>
        </is>
      </c>
      <c r="G1778" s="12" t="n">
        <v>0.6</v>
      </c>
      <c r="H1778" s="13" t="n">
        <v>450</v>
      </c>
      <c r="I1778" s="13" t="n">
        <v>900</v>
      </c>
      <c r="J1778" s="13" t="n">
        <v>1700</v>
      </c>
      <c r="K1778" s="14">
        <f>IF(OR(COUNT(G1778:J1778)&lt;&gt;4,G1778&lt;0,G1778&gt;1,H1778&gt;I1778,I1778&gt;J1778),"n.a.",ROUND(G1778*(H1778+4*I1778+J1778)/6+0.00000001,2))</f>
        <v/>
      </c>
      <c r="L1778" s="13" t="n">
        <v>0</v>
      </c>
      <c r="M1778" s="14">
        <f>SUMIFS(Maßnahmen!$I$7:$I$126,Maßnahmen!$D$7:$D$126,C1778,Maßnahmen!$H$7:$H$126,"&lt;&gt;verworfen")</f>
        <v/>
      </c>
      <c r="N1778" s="14">
        <f>IF(ISNUMBER(K1778),MAX(0,K1778-L1778-M1778),"n.a.")</f>
        <v/>
      </c>
      <c r="O1778" s="14" t="n">
        <v>575</v>
      </c>
      <c r="P1778" s="14">
        <f>IF(ISNUMBER(K1778),K1778-O1778,"n.a.")</f>
        <v/>
      </c>
    </row>
    <row r="1779" ht="32" customHeight="1">
      <c r="C1779" s="10" t="inlineStr">
        <is>
          <t>PRJ-4f8e97f2-RK-09</t>
        </is>
      </c>
      <c r="D1779" s="10" t="inlineStr">
        <is>
          <t>P4102307306</t>
        </is>
      </c>
      <c r="E1779" s="11" t="inlineStr">
        <is>
          <t>Beennte Lage / nur Handabbruch möglich</t>
        </is>
      </c>
      <c r="F1779" s="10" t="inlineStr">
        <is>
          <t>Termin</t>
        </is>
      </c>
      <c r="G1779" s="12" t="n">
        <v>0.15</v>
      </c>
      <c r="H1779" s="13" t="n">
        <v>40</v>
      </c>
      <c r="I1779" s="13" t="n">
        <v>100</v>
      </c>
      <c r="J1779" s="13" t="n">
        <v>250</v>
      </c>
      <c r="K1779" s="14">
        <f>IF(OR(COUNT(G1779:J1779)&lt;&gt;4,G1779&lt;0,G1779&gt;1,H1779&gt;I1779,I1779&gt;J1779),"n.a.",ROUND(G1779*(H1779+4*I1779+J1779)/6+0.00000001,2))</f>
        <v/>
      </c>
      <c r="L1779" s="13" t="n">
        <v>0</v>
      </c>
      <c r="M1779" s="14">
        <f>SUMIFS(Maßnahmen!$I$7:$I$126,Maßnahmen!$D$7:$D$126,C1779,Maßnahmen!$H$7:$H$126,"&lt;&gt;verworfen")</f>
        <v/>
      </c>
      <c r="N1779" s="14">
        <f>IF(ISNUMBER(K1779),MAX(0,K1779-L1779-M1779),"n.a.")</f>
        <v/>
      </c>
      <c r="O1779" s="14" t="n">
        <v>17.25</v>
      </c>
      <c r="P1779" s="14">
        <f>IF(ISNUMBER(K1779),K1779-O1779,"n.a.")</f>
        <v/>
      </c>
    </row>
    <row r="1780" ht="32" customHeight="1">
      <c r="C1780" s="10" t="inlineStr">
        <is>
          <t>PRJ-4f8e97f2-RK-10</t>
        </is>
      </c>
      <c r="D1780" s="10" t="inlineStr">
        <is>
          <t>P4102307306</t>
        </is>
      </c>
      <c r="E1780" s="11" t="inlineStr">
        <is>
          <t>Terminvorgabe Auftraggeber / Geräteauslastung</t>
        </is>
      </c>
      <c r="F1780" s="10" t="inlineStr">
        <is>
          <t>Termin</t>
        </is>
      </c>
      <c r="G1780" s="12" t="n">
        <v>0.2</v>
      </c>
      <c r="H1780" s="13" t="n">
        <v>40</v>
      </c>
      <c r="I1780" s="13" t="n">
        <v>100</v>
      </c>
      <c r="J1780" s="13" t="n">
        <v>250</v>
      </c>
      <c r="K1780" s="14">
        <f>IF(OR(COUNT(G1780:J1780)&lt;&gt;4,G1780&lt;0,G1780&gt;1,H1780&gt;I1780,I1780&gt;J1780),"n.a.",ROUND(G1780*(H1780+4*I1780+J1780)/6+0.00000001,2))</f>
        <v/>
      </c>
      <c r="L1780" s="13" t="n">
        <v>0</v>
      </c>
      <c r="M1780" s="14">
        <f>SUMIFS(Maßnahmen!$I$7:$I$126,Maßnahmen!$D$7:$D$126,C1780,Maßnahmen!$H$7:$H$126,"&lt;&gt;verworfen")</f>
        <v/>
      </c>
      <c r="N1780" s="14">
        <f>IF(ISNUMBER(K1780),MAX(0,K1780-L1780-M1780),"n.a.")</f>
        <v/>
      </c>
      <c r="O1780" s="14" t="n">
        <v>23</v>
      </c>
      <c r="P1780" s="14">
        <f>IF(ISNUMBER(K1780),K1780-O1780,"n.a.")</f>
        <v/>
      </c>
    </row>
    <row r="1781" ht="32" customHeight="1">
      <c r="C1781" s="10" t="inlineStr">
        <is>
          <t>PRJ-4f8e97f2-RK-11</t>
        </is>
      </c>
      <c r="D1781" s="10" t="inlineStr">
        <is>
          <t>P4102307306</t>
        </is>
      </c>
      <c r="E1781" s="11" t="inlineStr">
        <is>
          <t>Witterung / Ablaufstörung</t>
        </is>
      </c>
      <c r="F1781" s="10" t="inlineStr">
        <is>
          <t>Termin</t>
        </is>
      </c>
      <c r="G1781" s="12" t="n">
        <v>0.25</v>
      </c>
      <c r="H1781" s="13" t="n">
        <v>50</v>
      </c>
      <c r="I1781" s="13" t="n">
        <v>150</v>
      </c>
      <c r="J1781" s="13" t="n">
        <v>300</v>
      </c>
      <c r="K1781" s="14">
        <f>IF(OR(COUNT(G1781:J1781)&lt;&gt;4,G1781&lt;0,G1781&gt;1,H1781&gt;I1781,I1781&gt;J1781),"n.a.",ROUND(G1781*(H1781+4*I1781+J1781)/6+0.00000001,2))</f>
        <v/>
      </c>
      <c r="L1781" s="13" t="n">
        <v>0</v>
      </c>
      <c r="M1781" s="14">
        <f>SUMIFS(Maßnahmen!$I$7:$I$126,Maßnahmen!$D$7:$D$126,C1781,Maßnahmen!$H$7:$H$126,"&lt;&gt;verworfen")</f>
        <v/>
      </c>
      <c r="N1781" s="14">
        <f>IF(ISNUMBER(K1781),MAX(0,K1781-L1781-M1781),"n.a.")</f>
        <v/>
      </c>
      <c r="O1781" s="14" t="n">
        <v>39.58</v>
      </c>
      <c r="P1781" s="14">
        <f>IF(ISNUMBER(K1781),K1781-O1781,"n.a.")</f>
        <v/>
      </c>
    </row>
    <row r="1782" ht="32" customHeight="1">
      <c r="C1782" s="10" t="inlineStr">
        <is>
          <t>PRJ-4f8e97f2-RK-12</t>
        </is>
      </c>
      <c r="D1782" s="10" t="inlineStr">
        <is>
          <t>P4102307306</t>
        </is>
      </c>
      <c r="E1782" s="11" t="inlineStr">
        <is>
          <t>Staubemissionen (höchster Aufwand laut Umfrage)</t>
        </is>
      </c>
      <c r="F1782" s="10" t="inlineStr">
        <is>
          <t>Emissionen</t>
        </is>
      </c>
      <c r="G1782" s="12" t="n">
        <v>0.1</v>
      </c>
      <c r="H1782" s="13" t="n">
        <v>150</v>
      </c>
      <c r="I1782" s="13" t="n">
        <v>300</v>
      </c>
      <c r="J1782" s="13" t="n">
        <v>600</v>
      </c>
      <c r="K1782" s="14">
        <f>IF(OR(COUNT(G1782:J1782)&lt;&gt;4,G1782&lt;0,G1782&gt;1,H1782&gt;I1782,I1782&gt;J1782),"n.a.",ROUND(G1782*(H1782+4*I1782+J1782)/6+0.00000001,2))</f>
        <v/>
      </c>
      <c r="L1782" s="13" t="n">
        <v>0</v>
      </c>
      <c r="M1782" s="14">
        <f>SUMIFS(Maßnahmen!$I$7:$I$126,Maßnahmen!$D$7:$D$126,C1782,Maßnahmen!$H$7:$H$126,"&lt;&gt;verworfen")</f>
        <v/>
      </c>
      <c r="N1782" s="14">
        <f>IF(ISNUMBER(K1782),MAX(0,K1782-L1782-M1782),"n.a.")</f>
        <v/>
      </c>
      <c r="O1782" s="14" t="n">
        <v>32.5</v>
      </c>
      <c r="P1782" s="14">
        <f>IF(ISNUMBER(K1782),K1782-O1782,"n.a.")</f>
        <v/>
      </c>
    </row>
    <row r="1783" ht="32" customHeight="1">
      <c r="C1783" s="10" t="inlineStr">
        <is>
          <t>PRJ-4f8e97f2-RK-13</t>
        </is>
      </c>
      <c r="D1783" s="10" t="inlineStr">
        <is>
          <t>P4102307306</t>
        </is>
      </c>
      <c r="E1783" s="11" t="inlineStr">
        <is>
          <t>Lärm- und Erschütterungsauflagen</t>
        </is>
      </c>
      <c r="F1783" s="10" t="inlineStr">
        <is>
          <t>Emissionen</t>
        </is>
      </c>
      <c r="G1783" s="12" t="n">
        <v>0.2</v>
      </c>
      <c r="H1783" s="13" t="n">
        <v>100</v>
      </c>
      <c r="I1783" s="13" t="n">
        <v>250</v>
      </c>
      <c r="J1783" s="13" t="n">
        <v>500</v>
      </c>
      <c r="K1783" s="14">
        <f>IF(OR(COUNT(G1783:J1783)&lt;&gt;4,G1783&lt;0,G1783&gt;1,H1783&gt;I1783,I1783&gt;J1783),"n.a.",ROUND(G1783*(H1783+4*I1783+J1783)/6+0.00000001,2))</f>
        <v/>
      </c>
      <c r="L1783" s="13" t="n">
        <v>0</v>
      </c>
      <c r="M1783" s="14">
        <f>SUMIFS(Maßnahmen!$I$7:$I$126,Maßnahmen!$D$7:$D$126,C1783,Maßnahmen!$H$7:$H$126,"&lt;&gt;verworfen")</f>
        <v/>
      </c>
      <c r="N1783" s="14">
        <f>IF(ISNUMBER(K1783),MAX(0,K1783-L1783-M1783),"n.a.")</f>
        <v/>
      </c>
      <c r="O1783" s="14" t="n">
        <v>53.33</v>
      </c>
      <c r="P1783" s="14">
        <f>IF(ISNUMBER(K1783),K1783-O1783,"n.a.")</f>
        <v/>
      </c>
    </row>
    <row r="1784" ht="32" customHeight="1">
      <c r="C1784" s="10" t="inlineStr">
        <is>
          <t>PRJ-4f8e97f2-RK-14</t>
        </is>
      </c>
      <c r="D1784" s="10" t="inlineStr">
        <is>
          <t>P4102307306</t>
        </is>
      </c>
      <c r="E1784" s="11" t="inlineStr">
        <is>
          <t>Rechtliche Auflagen / Entsorgungsnachweise (Formalismus)</t>
        </is>
      </c>
      <c r="F1784" s="10" t="inlineStr">
        <is>
          <t>Genehmigung</t>
        </is>
      </c>
      <c r="G1784" s="12" t="n">
        <v>0.4</v>
      </c>
      <c r="H1784" s="13" t="n">
        <v>475</v>
      </c>
      <c r="I1784" s="13" t="n">
        <v>925</v>
      </c>
      <c r="J1784" s="13" t="n">
        <v>1750</v>
      </c>
      <c r="K1784" s="14">
        <f>IF(OR(COUNT(G1784:J1784)&lt;&gt;4,G1784&lt;0,G1784&gt;1,H1784&gt;I1784,I1784&gt;J1784),"n.a.",ROUND(G1784*(H1784+4*I1784+J1784)/6+0.00000001,2))</f>
        <v/>
      </c>
      <c r="L1784" s="13" t="n">
        <v>0</v>
      </c>
      <c r="M1784" s="14">
        <f>SUMIFS(Maßnahmen!$I$7:$I$126,Maßnahmen!$D$7:$D$126,C1784,Maßnahmen!$H$7:$H$126,"&lt;&gt;verworfen")</f>
        <v/>
      </c>
      <c r="N1784" s="14">
        <f>IF(ISNUMBER(K1784),MAX(0,K1784-L1784-M1784),"n.a.")</f>
        <v/>
      </c>
      <c r="O1784" s="14" t="n">
        <v>395</v>
      </c>
      <c r="P1784" s="14">
        <f>IF(ISNUMBER(K1784),K1784-O1784,"n.a.")</f>
        <v/>
      </c>
    </row>
    <row r="1785" ht="32" customHeight="1">
      <c r="C1785" s="10" t="inlineStr">
        <is>
          <t>PRJ-4f8e97f2-RK-15</t>
        </is>
      </c>
      <c r="D1785" s="10" t="inlineStr">
        <is>
          <t>P4102307306</t>
        </is>
      </c>
      <c r="E1785" s="11" t="inlineStr">
        <is>
          <t>Konjunktur / Sekundärstoffpreise &amp; Gerätemiete</t>
        </is>
      </c>
      <c r="F1785" s="10" t="inlineStr">
        <is>
          <t>Markt</t>
        </is>
      </c>
      <c r="G1785" s="12" t="n">
        <v>0.12</v>
      </c>
      <c r="H1785" s="13" t="n">
        <v>40</v>
      </c>
      <c r="I1785" s="13" t="n">
        <v>100</v>
      </c>
      <c r="J1785" s="13" t="n">
        <v>250</v>
      </c>
      <c r="K1785" s="14">
        <f>IF(OR(COUNT(G1785:J1785)&lt;&gt;4,G1785&lt;0,G1785&gt;1,H1785&gt;I1785,I1785&gt;J1785),"n.a.",ROUND(G1785*(H1785+4*I1785+J1785)/6+0.00000001,2))</f>
        <v/>
      </c>
      <c r="L1785" s="13" t="n">
        <v>0</v>
      </c>
      <c r="M1785" s="14">
        <f>SUMIFS(Maßnahmen!$I$7:$I$126,Maßnahmen!$D$7:$D$126,C1785,Maßnahmen!$H$7:$H$126,"&lt;&gt;verworfen")</f>
        <v/>
      </c>
      <c r="N1785" s="14">
        <f>IF(ISNUMBER(K1785),MAX(0,K1785-L1785-M1785),"n.a.")</f>
        <v/>
      </c>
      <c r="O1785" s="14" t="n">
        <v>13.8</v>
      </c>
      <c r="P1785" s="14">
        <f>IF(ISNUMBER(K1785),K1785-O1785,"n.a.")</f>
        <v/>
      </c>
    </row>
    <row r="1786" ht="32" customHeight="1">
      <c r="C1786" s="10" t="inlineStr">
        <is>
          <t>PRJ-4a2927b2-RK-01</t>
        </is>
      </c>
      <c r="D1786" s="10" t="inlineStr">
        <is>
          <t>P4102658228</t>
        </is>
      </c>
      <c r="E1786" s="11" t="inlineStr">
        <is>
          <t>Schadstofffund / Schadstoffsanierung (Asbest, PAK, PCB, PCP)</t>
        </is>
      </c>
      <c r="F1786" s="10" t="inlineStr">
        <is>
          <t>Schadstoffe</t>
        </is>
      </c>
      <c r="G1786" s="12" t="n">
        <v>0.7</v>
      </c>
      <c r="H1786" s="13" t="n">
        <v>139</v>
      </c>
      <c r="I1786" s="13" t="n">
        <v>264</v>
      </c>
      <c r="J1786" s="13" t="n">
        <v>480</v>
      </c>
      <c r="K1786" s="14">
        <f>IF(OR(COUNT(G1786:J1786)&lt;&gt;4,G1786&lt;0,G1786&gt;1,H1786&gt;I1786,I1786&gt;J1786),"n.a.",ROUND(G1786*(H1786+4*I1786+J1786)/6+0.00000001,2))</f>
        <v/>
      </c>
      <c r="L1786" s="13" t="n">
        <v>0</v>
      </c>
      <c r="M1786" s="14">
        <f>SUMIFS(Maßnahmen!$I$7:$I$126,Maßnahmen!$D$7:$D$126,C1786,Maßnahmen!$H$7:$H$126,"&lt;&gt;verworfen")</f>
        <v/>
      </c>
      <c r="N1786" s="14">
        <f>IF(ISNUMBER(K1786),MAX(0,K1786-L1786-M1786),"n.a.")</f>
        <v/>
      </c>
      <c r="O1786" s="14" t="n">
        <v>195.42</v>
      </c>
      <c r="P1786" s="14">
        <f>IF(ISNUMBER(K1786),K1786-O1786,"n.a.")</f>
        <v/>
      </c>
    </row>
    <row r="1787" ht="32" customHeight="1">
      <c r="C1787" s="10" t="inlineStr">
        <is>
          <t>PRJ-4a2927b2-RK-02</t>
        </is>
      </c>
      <c r="D1787" s="10" t="inlineStr">
        <is>
          <t>P4102658228</t>
        </is>
      </c>
      <c r="E1787" s="11" t="inlineStr">
        <is>
          <t>Arbeitsschutz kontaminierte Bereiche (TRGS 524)</t>
        </is>
      </c>
      <c r="F1787" s="10" t="inlineStr">
        <is>
          <t>Schadstoffe</t>
        </is>
      </c>
      <c r="G1787" s="12" t="n">
        <v>0.1</v>
      </c>
      <c r="H1787" s="13" t="n">
        <v>5</v>
      </c>
      <c r="I1787" s="13" t="n">
        <v>10</v>
      </c>
      <c r="J1787" s="13" t="n">
        <v>20</v>
      </c>
      <c r="K1787" s="14">
        <f>IF(OR(COUNT(G1787:J1787)&lt;&gt;4,G1787&lt;0,G1787&gt;1,H1787&gt;I1787,I1787&gt;J1787),"n.a.",ROUND(G1787*(H1787+4*I1787+J1787)/6+0.00000001,2))</f>
        <v/>
      </c>
      <c r="L1787" s="13" t="n">
        <v>0</v>
      </c>
      <c r="M1787" s="14">
        <f>SUMIFS(Maßnahmen!$I$7:$I$126,Maßnahmen!$D$7:$D$126,C1787,Maßnahmen!$H$7:$H$126,"&lt;&gt;verworfen")</f>
        <v/>
      </c>
      <c r="N1787" s="14">
        <f>IF(ISNUMBER(K1787),MAX(0,K1787-L1787-M1787),"n.a.")</f>
        <v/>
      </c>
      <c r="O1787" s="14" t="n">
        <v>1.08</v>
      </c>
      <c r="P1787" s="14">
        <f>IF(ISNUMBER(K1787),K1787-O1787,"n.a.")</f>
        <v/>
      </c>
    </row>
    <row r="1788" ht="32" customHeight="1">
      <c r="C1788" s="10" t="inlineStr">
        <is>
          <t>PRJ-4a2927b2-RK-03</t>
        </is>
      </c>
      <c r="D1788" s="10" t="inlineStr">
        <is>
          <t>P4102658228</t>
        </is>
      </c>
      <c r="E1788" s="11" t="inlineStr">
        <is>
          <t>Entsorgungs-Mehrkosten / Entsorgungswege</t>
        </is>
      </c>
      <c r="F1788" s="10" t="inlineStr">
        <is>
          <t>Entsorgung</t>
        </is>
      </c>
      <c r="G1788" s="12" t="n">
        <v>0.55</v>
      </c>
      <c r="H1788" s="13" t="n">
        <v>220</v>
      </c>
      <c r="I1788" s="13" t="n">
        <v>400</v>
      </c>
      <c r="J1788" s="13" t="n">
        <v>650</v>
      </c>
      <c r="K1788" s="14">
        <f>IF(OR(COUNT(G1788:J1788)&lt;&gt;4,G1788&lt;0,G1788&gt;1,H1788&gt;I1788,I1788&gt;J1788),"n.a.",ROUND(G1788*(H1788+4*I1788+J1788)/6+0.00000001,2))</f>
        <v/>
      </c>
      <c r="L1788" s="13" t="n">
        <v>0</v>
      </c>
      <c r="M1788" s="14">
        <f>SUMIFS(Maßnahmen!$I$7:$I$126,Maßnahmen!$D$7:$D$126,C1788,Maßnahmen!$H$7:$H$126,"&lt;&gt;verworfen")</f>
        <v/>
      </c>
      <c r="N1788" s="14">
        <f>IF(ISNUMBER(K1788),MAX(0,K1788-L1788-M1788),"n.a.")</f>
        <v/>
      </c>
      <c r="O1788" s="14" t="n">
        <v>226.42</v>
      </c>
      <c r="P1788" s="14">
        <f>IF(ISNUMBER(K1788),K1788-O1788,"n.a.")</f>
        <v/>
      </c>
    </row>
    <row r="1789" ht="32" customHeight="1">
      <c r="C1789" s="10" t="inlineStr">
        <is>
          <t>PRJ-4a2927b2-RK-04</t>
        </is>
      </c>
      <c r="D1789" s="10" t="inlineStr">
        <is>
          <t>P4102658228</t>
        </is>
      </c>
      <c r="E1789" s="11" t="inlineStr">
        <is>
          <t>Baustofftrennung / Aufbereitung nicht wie geplant</t>
        </is>
      </c>
      <c r="F1789" s="10" t="inlineStr">
        <is>
          <t>Entsorgung</t>
        </is>
      </c>
      <c r="G1789" s="12" t="n">
        <v>0.08</v>
      </c>
      <c r="H1789" s="13" t="n">
        <v>5</v>
      </c>
      <c r="I1789" s="13" t="n">
        <v>10</v>
      </c>
      <c r="J1789" s="13" t="n">
        <v>20</v>
      </c>
      <c r="K1789" s="14">
        <f>IF(OR(COUNT(G1789:J1789)&lt;&gt;4,G1789&lt;0,G1789&gt;1,H1789&gt;I1789,I1789&gt;J1789),"n.a.",ROUND(G1789*(H1789+4*I1789+J1789)/6+0.00000001,2))</f>
        <v/>
      </c>
      <c r="L1789" s="13" t="n">
        <v>0</v>
      </c>
      <c r="M1789" s="14">
        <f>SUMIFS(Maßnahmen!$I$7:$I$126,Maßnahmen!$D$7:$D$126,C1789,Maßnahmen!$H$7:$H$126,"&lt;&gt;verworfen")</f>
        <v/>
      </c>
      <c r="N1789" s="14">
        <f>IF(ISNUMBER(K1789),MAX(0,K1789-L1789-M1789),"n.a.")</f>
        <v/>
      </c>
      <c r="O1789" s="14" t="n">
        <v>0.87</v>
      </c>
      <c r="P1789" s="14">
        <f>IF(ISNUMBER(K1789),K1789-O1789,"n.a.")</f>
        <v/>
      </c>
    </row>
    <row r="1790" ht="32" customHeight="1">
      <c r="C1790" s="10" t="inlineStr">
        <is>
          <t>PRJ-4a2927b2-RK-05</t>
        </is>
      </c>
      <c r="D1790" s="10" t="inlineStr">
        <is>
          <t>P4102658228</t>
        </is>
      </c>
      <c r="E1790" s="11" t="inlineStr">
        <is>
          <t>Unbekannte Bauwerkskonstruktion / fehlende Pläne</t>
        </is>
      </c>
      <c r="F1790" s="10" t="inlineStr">
        <is>
          <t>Statik</t>
        </is>
      </c>
      <c r="G1790" s="12" t="n">
        <v>0.12</v>
      </c>
      <c r="H1790" s="13" t="n">
        <v>40</v>
      </c>
      <c r="I1790" s="13" t="n">
        <v>80</v>
      </c>
      <c r="J1790" s="13" t="n">
        <v>150</v>
      </c>
      <c r="K1790" s="14">
        <f>IF(OR(COUNT(G1790:J1790)&lt;&gt;4,G1790&lt;0,G1790&gt;1,H1790&gt;I1790,I1790&gt;J1790),"n.a.",ROUND(G1790*(H1790+4*I1790+J1790)/6+0.00000001,2))</f>
        <v/>
      </c>
      <c r="L1790" s="13" t="n">
        <v>0</v>
      </c>
      <c r="M1790" s="14">
        <f>SUMIFS(Maßnahmen!$I$7:$I$126,Maßnahmen!$D$7:$D$126,C1790,Maßnahmen!$H$7:$H$126,"&lt;&gt;verworfen")</f>
        <v/>
      </c>
      <c r="N1790" s="14">
        <f>IF(ISNUMBER(K1790),MAX(0,K1790-L1790-M1790),"n.a.")</f>
        <v/>
      </c>
      <c r="O1790" s="14" t="n">
        <v>10.2</v>
      </c>
      <c r="P1790" s="14">
        <f>IF(ISNUMBER(K1790),K1790-O1790,"n.a.")</f>
        <v/>
      </c>
    </row>
    <row r="1791" ht="32" customHeight="1">
      <c r="C1791" s="10" t="inlineStr">
        <is>
          <t>PRJ-4a2927b2-RK-06</t>
        </is>
      </c>
      <c r="D1791" s="10" t="inlineStr">
        <is>
          <t>P4102658228</t>
        </is>
      </c>
      <c r="E1791" s="11" t="inlineStr">
        <is>
          <t>Statik / Einsturzsicherung während Abbruch</t>
        </is>
      </c>
      <c r="F1791" s="10" t="inlineStr">
        <is>
          <t>Statik</t>
        </is>
      </c>
      <c r="G1791" s="12" t="n">
        <v>0.45</v>
      </c>
      <c r="H1791" s="13" t="n">
        <v>180</v>
      </c>
      <c r="I1791" s="13" t="n">
        <v>320</v>
      </c>
      <c r="J1791" s="13" t="n">
        <v>540</v>
      </c>
      <c r="K1791" s="14">
        <f>IF(OR(COUNT(G1791:J1791)&lt;&gt;4,G1791&lt;0,G1791&gt;1,H1791&gt;I1791,I1791&gt;J1791),"n.a.",ROUND(G1791*(H1791+4*I1791+J1791)/6+0.00000001,2))</f>
        <v/>
      </c>
      <c r="L1791" s="13" t="n">
        <v>0</v>
      </c>
      <c r="M1791" s="14">
        <f>SUMIFS(Maßnahmen!$I$7:$I$126,Maßnahmen!$D$7:$D$126,C1791,Maßnahmen!$H$7:$H$126,"&lt;&gt;verworfen")</f>
        <v/>
      </c>
      <c r="N1791" s="14">
        <f>IF(ISNUMBER(K1791),MAX(0,K1791-L1791-M1791),"n.a.")</f>
        <v/>
      </c>
      <c r="O1791" s="14" t="n">
        <v>150</v>
      </c>
      <c r="P1791" s="14">
        <f>IF(ISNUMBER(K1791),K1791-O1791,"n.a.")</f>
        <v/>
      </c>
    </row>
    <row r="1792" ht="32" customHeight="1">
      <c r="C1792" s="10" t="inlineStr">
        <is>
          <t>PRJ-4a2927b2-RK-07</t>
        </is>
      </c>
      <c r="D1792" s="10" t="inlineStr">
        <is>
          <t>P4102658228</t>
        </is>
      </c>
      <c r="E1792" s="11" t="inlineStr">
        <is>
          <t>Unterirdische Tragkonstruktion / Fundamente</t>
        </is>
      </c>
      <c r="F1792" s="10" t="inlineStr">
        <is>
          <t>Statik</t>
        </is>
      </c>
      <c r="G1792" s="12" t="n">
        <v>0.4</v>
      </c>
      <c r="H1792" s="13" t="n">
        <v>55</v>
      </c>
      <c r="I1792" s="13" t="n">
        <v>100</v>
      </c>
      <c r="J1792" s="13" t="n">
        <v>200</v>
      </c>
      <c r="K1792" s="14">
        <f>IF(OR(COUNT(G1792:J1792)&lt;&gt;4,G1792&lt;0,G1792&gt;1,H1792&gt;I1792,I1792&gt;J1792),"n.a.",ROUND(G1792*(H1792+4*I1792+J1792)/6+0.00000001,2))</f>
        <v/>
      </c>
      <c r="L1792" s="13" t="n">
        <v>0</v>
      </c>
      <c r="M1792" s="14">
        <f>SUMIFS(Maßnahmen!$I$7:$I$126,Maßnahmen!$D$7:$D$126,C1792,Maßnahmen!$H$7:$H$126,"&lt;&gt;verworfen")</f>
        <v/>
      </c>
      <c r="N1792" s="14">
        <f>IF(ISNUMBER(K1792),MAX(0,K1792-L1792-M1792),"n.a.")</f>
        <v/>
      </c>
      <c r="O1792" s="14" t="n">
        <v>43.67</v>
      </c>
      <c r="P1792" s="14">
        <f>IF(ISNUMBER(K1792),K1792-O1792,"n.a.")</f>
        <v/>
      </c>
    </row>
    <row r="1793" ht="32" customHeight="1">
      <c r="C1793" s="10" t="inlineStr">
        <is>
          <t>PRJ-4a2927b2-RK-08</t>
        </is>
      </c>
      <c r="D1793" s="10" t="inlineStr">
        <is>
          <t>P4102658228</t>
        </is>
      </c>
      <c r="E1793" s="11" t="inlineStr">
        <is>
          <t>Gebäudehöhe &gt;22 m / Longfront-Bagger (+130–150 %)</t>
        </is>
      </c>
      <c r="F1793" s="10" t="inlineStr">
        <is>
          <t>Termin</t>
        </is>
      </c>
      <c r="G1793" s="12" t="n">
        <v>0.504</v>
      </c>
      <c r="H1793" s="13" t="n">
        <v>71</v>
      </c>
      <c r="I1793" s="13" t="n">
        <v>144</v>
      </c>
      <c r="J1793" s="13" t="n">
        <v>273</v>
      </c>
      <c r="K1793" s="14">
        <f>IF(OR(COUNT(G1793:J1793)&lt;&gt;4,G1793&lt;0,G1793&gt;1,H1793&gt;I1793,I1793&gt;J1793),"n.a.",ROUND(G1793*(H1793+4*I1793+J1793)/6+0.00000001,2))</f>
        <v/>
      </c>
      <c r="L1793" s="13" t="n">
        <v>0</v>
      </c>
      <c r="M1793" s="14">
        <f>SUMIFS(Maßnahmen!$I$7:$I$126,Maßnahmen!$D$7:$D$126,C1793,Maßnahmen!$H$7:$H$126,"&lt;&gt;verworfen")</f>
        <v/>
      </c>
      <c r="N1793" s="14">
        <f>IF(ISNUMBER(K1793),MAX(0,K1793-L1793-M1793),"n.a.")</f>
        <v/>
      </c>
      <c r="O1793" s="14" t="n">
        <v>77.28</v>
      </c>
      <c r="P1793" s="14">
        <f>IF(ISNUMBER(K1793),K1793-O1793,"n.a.")</f>
        <v/>
      </c>
    </row>
    <row r="1794" ht="32" customHeight="1">
      <c r="C1794" s="10" t="inlineStr">
        <is>
          <t>PRJ-4a2927b2-RK-09</t>
        </is>
      </c>
      <c r="D1794" s="10" t="inlineStr">
        <is>
          <t>P4102658228</t>
        </is>
      </c>
      <c r="E1794" s="11" t="inlineStr">
        <is>
          <t>Beennte Lage / nur Handabbruch möglich</t>
        </is>
      </c>
      <c r="F1794" s="10" t="inlineStr">
        <is>
          <t>Termin</t>
        </is>
      </c>
      <c r="G1794" s="12" t="n">
        <v>0.15</v>
      </c>
      <c r="H1794" s="13" t="n">
        <v>8</v>
      </c>
      <c r="I1794" s="13" t="n">
        <v>20</v>
      </c>
      <c r="J1794" s="13" t="n">
        <v>50</v>
      </c>
      <c r="K1794" s="14">
        <f>IF(OR(COUNT(G1794:J1794)&lt;&gt;4,G1794&lt;0,G1794&gt;1,H1794&gt;I1794,I1794&gt;J1794),"n.a.",ROUND(G1794*(H1794+4*I1794+J1794)/6+0.00000001,2))</f>
        <v/>
      </c>
      <c r="L1794" s="13" t="n">
        <v>0</v>
      </c>
      <c r="M1794" s="14">
        <f>SUMIFS(Maßnahmen!$I$7:$I$126,Maßnahmen!$D$7:$D$126,C1794,Maßnahmen!$H$7:$H$126,"&lt;&gt;verworfen")</f>
        <v/>
      </c>
      <c r="N1794" s="14">
        <f>IF(ISNUMBER(K1794),MAX(0,K1794-L1794-M1794),"n.a.")</f>
        <v/>
      </c>
      <c r="O1794" s="14" t="n">
        <v>3.45</v>
      </c>
      <c r="P1794" s="14">
        <f>IF(ISNUMBER(K1794),K1794-O1794,"n.a.")</f>
        <v/>
      </c>
    </row>
    <row r="1795" ht="32" customHeight="1">
      <c r="C1795" s="10" t="inlineStr">
        <is>
          <t>PRJ-4a2927b2-RK-10</t>
        </is>
      </c>
      <c r="D1795" s="10" t="inlineStr">
        <is>
          <t>P4102658228</t>
        </is>
      </c>
      <c r="E1795" s="11" t="inlineStr">
        <is>
          <t>Terminvorgabe Auftraggeber / Geräteauslastung</t>
        </is>
      </c>
      <c r="F1795" s="10" t="inlineStr">
        <is>
          <t>Termin</t>
        </is>
      </c>
      <c r="G1795" s="12" t="n">
        <v>0.08</v>
      </c>
      <c r="H1795" s="13" t="n">
        <v>5</v>
      </c>
      <c r="I1795" s="13" t="n">
        <v>10</v>
      </c>
      <c r="J1795" s="13" t="n">
        <v>20</v>
      </c>
      <c r="K1795" s="14">
        <f>IF(OR(COUNT(G1795:J1795)&lt;&gt;4,G1795&lt;0,G1795&gt;1,H1795&gt;I1795,I1795&gt;J1795),"n.a.",ROUND(G1795*(H1795+4*I1795+J1795)/6+0.00000001,2))</f>
        <v/>
      </c>
      <c r="L1795" s="13" t="n">
        <v>0</v>
      </c>
      <c r="M1795" s="14">
        <f>SUMIFS(Maßnahmen!$I$7:$I$126,Maßnahmen!$D$7:$D$126,C1795,Maßnahmen!$H$7:$H$126,"&lt;&gt;verworfen")</f>
        <v/>
      </c>
      <c r="N1795" s="14">
        <f>IF(ISNUMBER(K1795),MAX(0,K1795-L1795-M1795),"n.a.")</f>
        <v/>
      </c>
      <c r="O1795" s="14" t="n">
        <v>0.87</v>
      </c>
      <c r="P1795" s="14">
        <f>IF(ISNUMBER(K1795),K1795-O1795,"n.a.")</f>
        <v/>
      </c>
    </row>
    <row r="1796" ht="32" customHeight="1">
      <c r="C1796" s="10" t="inlineStr">
        <is>
          <t>PRJ-4a2927b2-RK-11</t>
        </is>
      </c>
      <c r="D1796" s="10" t="inlineStr">
        <is>
          <t>P4102658228</t>
        </is>
      </c>
      <c r="E1796" s="11" t="inlineStr">
        <is>
          <t>Witterung / Ablaufstörung</t>
        </is>
      </c>
      <c r="F1796" s="10" t="inlineStr">
        <is>
          <t>Termin</t>
        </is>
      </c>
      <c r="G1796" s="12" t="n">
        <v>0.25</v>
      </c>
      <c r="H1796" s="13" t="n">
        <v>10</v>
      </c>
      <c r="I1796" s="13" t="n">
        <v>30</v>
      </c>
      <c r="J1796" s="13" t="n">
        <v>60</v>
      </c>
      <c r="K1796" s="14">
        <f>IF(OR(COUNT(G1796:J1796)&lt;&gt;4,G1796&lt;0,G1796&gt;1,H1796&gt;I1796,I1796&gt;J1796),"n.a.",ROUND(G1796*(H1796+4*I1796+J1796)/6+0.00000001,2))</f>
        <v/>
      </c>
      <c r="L1796" s="13" t="n">
        <v>0</v>
      </c>
      <c r="M1796" s="14">
        <f>SUMIFS(Maßnahmen!$I$7:$I$126,Maßnahmen!$D$7:$D$126,C1796,Maßnahmen!$H$7:$H$126,"&lt;&gt;verworfen")</f>
        <v/>
      </c>
      <c r="N1796" s="14">
        <f>IF(ISNUMBER(K1796),MAX(0,K1796-L1796-M1796),"n.a.")</f>
        <v/>
      </c>
      <c r="O1796" s="14" t="n">
        <v>7.92</v>
      </c>
      <c r="P1796" s="14">
        <f>IF(ISNUMBER(K1796),K1796-O1796,"n.a.")</f>
        <v/>
      </c>
    </row>
    <row r="1797" ht="32" customHeight="1">
      <c r="C1797" s="10" t="inlineStr">
        <is>
          <t>PRJ-4a2927b2-RK-12</t>
        </is>
      </c>
      <c r="D1797" s="10" t="inlineStr">
        <is>
          <t>P4102658228</t>
        </is>
      </c>
      <c r="E1797" s="11" t="inlineStr">
        <is>
          <t>Staubemissionen (höchster Aufwand laut Umfrage)</t>
        </is>
      </c>
      <c r="F1797" s="10" t="inlineStr">
        <is>
          <t>Emissionen</t>
        </is>
      </c>
      <c r="G1797" s="12" t="n">
        <v>0.1</v>
      </c>
      <c r="H1797" s="13" t="n">
        <v>30</v>
      </c>
      <c r="I1797" s="13" t="n">
        <v>60</v>
      </c>
      <c r="J1797" s="13" t="n">
        <v>120</v>
      </c>
      <c r="K1797" s="14">
        <f>IF(OR(COUNT(G1797:J1797)&lt;&gt;4,G1797&lt;0,G1797&gt;1,H1797&gt;I1797,I1797&gt;J1797),"n.a.",ROUND(G1797*(H1797+4*I1797+J1797)/6+0.00000001,2))</f>
        <v/>
      </c>
      <c r="L1797" s="13" t="n">
        <v>0</v>
      </c>
      <c r="M1797" s="14">
        <f>SUMIFS(Maßnahmen!$I$7:$I$126,Maßnahmen!$D$7:$D$126,C1797,Maßnahmen!$H$7:$H$126,"&lt;&gt;verworfen")</f>
        <v/>
      </c>
      <c r="N1797" s="14">
        <f>IF(ISNUMBER(K1797),MAX(0,K1797-L1797-M1797),"n.a.")</f>
        <v/>
      </c>
      <c r="O1797" s="14" t="n">
        <v>6.5</v>
      </c>
      <c r="P1797" s="14">
        <f>IF(ISNUMBER(K1797),K1797-O1797,"n.a.")</f>
        <v/>
      </c>
    </row>
    <row r="1798" ht="32" customHeight="1">
      <c r="C1798" s="10" t="inlineStr">
        <is>
          <t>PRJ-4a2927b2-RK-13</t>
        </is>
      </c>
      <c r="D1798" s="10" t="inlineStr">
        <is>
          <t>P4102658228</t>
        </is>
      </c>
      <c r="E1798" s="11" t="inlineStr">
        <is>
          <t>Lärm- und Erschütterungsauflagen</t>
        </is>
      </c>
      <c r="F1798" s="10" t="inlineStr">
        <is>
          <t>Emissionen</t>
        </is>
      </c>
      <c r="G1798" s="12" t="n">
        <v>0.2</v>
      </c>
      <c r="H1798" s="13" t="n">
        <v>20</v>
      </c>
      <c r="I1798" s="13" t="n">
        <v>50</v>
      </c>
      <c r="J1798" s="13" t="n">
        <v>100</v>
      </c>
      <c r="K1798" s="14">
        <f>IF(OR(COUNT(G1798:J1798)&lt;&gt;4,G1798&lt;0,G1798&gt;1,H1798&gt;I1798,I1798&gt;J1798),"n.a.",ROUND(G1798*(H1798+4*I1798+J1798)/6+0.00000001,2))</f>
        <v/>
      </c>
      <c r="L1798" s="13" t="n">
        <v>0</v>
      </c>
      <c r="M1798" s="14">
        <f>SUMIFS(Maßnahmen!$I$7:$I$126,Maßnahmen!$D$7:$D$126,C1798,Maßnahmen!$H$7:$H$126,"&lt;&gt;verworfen")</f>
        <v/>
      </c>
      <c r="N1798" s="14">
        <f>IF(ISNUMBER(K1798),MAX(0,K1798-L1798-M1798),"n.a.")</f>
        <v/>
      </c>
      <c r="O1798" s="14" t="n">
        <v>10.67</v>
      </c>
      <c r="P1798" s="14">
        <f>IF(ISNUMBER(K1798),K1798-O1798,"n.a.")</f>
        <v/>
      </c>
    </row>
    <row r="1799" ht="32" customHeight="1">
      <c r="C1799" s="10" t="inlineStr">
        <is>
          <t>PRJ-4a2927b2-RK-14</t>
        </is>
      </c>
      <c r="D1799" s="10" t="inlineStr">
        <is>
          <t>P4102658228</t>
        </is>
      </c>
      <c r="E1799" s="11" t="inlineStr">
        <is>
          <t>Rechtliche Auflagen / Entsorgungsnachweise (Formalismus)</t>
        </is>
      </c>
      <c r="F1799" s="10" t="inlineStr">
        <is>
          <t>Genehmigung</t>
        </is>
      </c>
      <c r="G1799" s="12" t="n">
        <v>0.386</v>
      </c>
      <c r="H1799" s="13" t="n">
        <v>76</v>
      </c>
      <c r="I1799" s="13" t="n">
        <v>149</v>
      </c>
      <c r="J1799" s="13" t="n">
        <v>283</v>
      </c>
      <c r="K1799" s="14">
        <f>IF(OR(COUNT(G1799:J1799)&lt;&gt;4,G1799&lt;0,G1799&gt;1,H1799&gt;I1799,I1799&gt;J1799),"n.a.",ROUND(G1799*(H1799+4*I1799+J1799)/6+0.00000001,2))</f>
        <v/>
      </c>
      <c r="L1799" s="13" t="n">
        <v>0</v>
      </c>
      <c r="M1799" s="14">
        <f>SUMIFS(Maßnahmen!$I$7:$I$126,Maßnahmen!$D$7:$D$126,C1799,Maßnahmen!$H$7:$H$126,"&lt;&gt;verworfen")</f>
        <v/>
      </c>
      <c r="N1799" s="14">
        <f>IF(ISNUMBER(K1799),MAX(0,K1799-L1799-M1799),"n.a.")</f>
        <v/>
      </c>
      <c r="O1799" s="14" t="n">
        <v>61.44</v>
      </c>
      <c r="P1799" s="14">
        <f>IF(ISNUMBER(K1799),K1799-O1799,"n.a.")</f>
        <v/>
      </c>
    </row>
    <row r="1800" ht="32" customHeight="1">
      <c r="C1800" s="10" t="inlineStr">
        <is>
          <t>PRJ-4a2927b2-RK-15</t>
        </is>
      </c>
      <c r="D1800" s="10" t="inlineStr">
        <is>
          <t>P4102658228</t>
        </is>
      </c>
      <c r="E1800" s="11" t="inlineStr">
        <is>
          <t>Konjunktur / Sekundärstoffpreise &amp; Gerätemiete</t>
        </is>
      </c>
      <c r="F1800" s="10" t="inlineStr">
        <is>
          <t>Markt</t>
        </is>
      </c>
      <c r="G1800" s="12" t="n">
        <v>0.12</v>
      </c>
      <c r="H1800" s="13" t="n">
        <v>8</v>
      </c>
      <c r="I1800" s="13" t="n">
        <v>20</v>
      </c>
      <c r="J1800" s="13" t="n">
        <v>50</v>
      </c>
      <c r="K1800" s="14">
        <f>IF(OR(COUNT(G1800:J1800)&lt;&gt;4,G1800&lt;0,G1800&gt;1,H1800&gt;I1800,I1800&gt;J1800),"n.a.",ROUND(G1800*(H1800+4*I1800+J1800)/6+0.00000001,2))</f>
        <v/>
      </c>
      <c r="L1800" s="13" t="n">
        <v>0</v>
      </c>
      <c r="M1800" s="14">
        <f>SUMIFS(Maßnahmen!$I$7:$I$126,Maßnahmen!$D$7:$D$126,C1800,Maßnahmen!$H$7:$H$126,"&lt;&gt;verworfen")</f>
        <v/>
      </c>
      <c r="N1800" s="14">
        <f>IF(ISNUMBER(K1800),MAX(0,K1800-L1800-M1800),"n.a.")</f>
        <v/>
      </c>
      <c r="O1800" s="14" t="n">
        <v>2.76</v>
      </c>
      <c r="P1800" s="14">
        <f>IF(ISNUMBER(K1800),K1800-O1800,"n.a.")</f>
        <v/>
      </c>
    </row>
    <row r="1801" ht="32" customHeight="1">
      <c r="C1801" s="10" t="inlineStr">
        <is>
          <t>PRJ-4a292754-RK-01</t>
        </is>
      </c>
      <c r="D1801" s="10" t="inlineStr">
        <is>
          <t>P4102658259</t>
        </is>
      </c>
      <c r="E1801" s="11" t="inlineStr">
        <is>
          <t>Schadstofffund / Schadstoffsanierung (Asbest, PAK, PCB, PCP)</t>
        </is>
      </c>
      <c r="F1801" s="10" t="inlineStr">
        <is>
          <t>Schadstoffe</t>
        </is>
      </c>
      <c r="G1801" s="12" t="n">
        <v>0.7</v>
      </c>
      <c r="H1801" s="13" t="n">
        <v>1226</v>
      </c>
      <c r="I1801" s="13" t="n">
        <v>1576</v>
      </c>
      <c r="J1801" s="13" t="n">
        <v>2276</v>
      </c>
      <c r="K1801" s="14">
        <f>IF(OR(COUNT(G1801:J1801)&lt;&gt;4,G1801&lt;0,G1801&gt;1,H1801&gt;I1801,I1801&gt;J1801),"n.a.",ROUND(G1801*(H1801+4*I1801+J1801)/6+0.00000001,2))</f>
        <v/>
      </c>
      <c r="L1801" s="13" t="n">
        <v>0</v>
      </c>
      <c r="M1801" s="14">
        <f>SUMIFS(Maßnahmen!$I$7:$I$126,Maßnahmen!$D$7:$D$126,C1801,Maßnahmen!$H$7:$H$126,"&lt;&gt;verworfen")</f>
        <v/>
      </c>
      <c r="N1801" s="14">
        <f>IF(ISNUMBER(K1801),MAX(0,K1801-L1801-M1801),"n.a.")</f>
        <v/>
      </c>
      <c r="O1801" s="14" t="n">
        <v>1144.03</v>
      </c>
      <c r="P1801" s="14">
        <f>IF(ISNUMBER(K1801),K1801-O1801,"n.a.")</f>
        <v/>
      </c>
    </row>
    <row r="1802" ht="32" customHeight="1">
      <c r="C1802" s="10" t="inlineStr">
        <is>
          <t>PRJ-4a292754-RK-02</t>
        </is>
      </c>
      <c r="D1802" s="10" t="inlineStr">
        <is>
          <t>P4102658259</t>
        </is>
      </c>
      <c r="E1802" s="11" t="inlineStr">
        <is>
          <t>Arbeitsschutz kontaminierte Bereiche (TRGS 524)</t>
        </is>
      </c>
      <c r="F1802" s="10" t="inlineStr">
        <is>
          <t>Schadstoffe</t>
        </is>
      </c>
      <c r="G1802" s="12" t="n">
        <v>0.1</v>
      </c>
      <c r="H1802" s="13" t="n">
        <v>18</v>
      </c>
      <c r="I1802" s="13" t="n">
        <v>35</v>
      </c>
      <c r="J1802" s="13" t="n">
        <v>70</v>
      </c>
      <c r="K1802" s="14">
        <f>IF(OR(COUNT(G1802:J1802)&lt;&gt;4,G1802&lt;0,G1802&gt;1,H1802&gt;I1802,I1802&gt;J1802),"n.a.",ROUND(G1802*(H1802+4*I1802+J1802)/6+0.00000001,2))</f>
        <v/>
      </c>
      <c r="L1802" s="13" t="n">
        <v>0</v>
      </c>
      <c r="M1802" s="14">
        <f>SUMIFS(Maßnahmen!$I$7:$I$126,Maßnahmen!$D$7:$D$126,C1802,Maßnahmen!$H$7:$H$126,"&lt;&gt;verworfen")</f>
        <v/>
      </c>
      <c r="N1802" s="14">
        <f>IF(ISNUMBER(K1802),MAX(0,K1802-L1802-M1802),"n.a.")</f>
        <v/>
      </c>
      <c r="O1802" s="14" t="n">
        <v>3.8</v>
      </c>
      <c r="P1802" s="14">
        <f>IF(ISNUMBER(K1802),K1802-O1802,"n.a.")</f>
        <v/>
      </c>
    </row>
    <row r="1803" ht="32" customHeight="1">
      <c r="C1803" s="10" t="inlineStr">
        <is>
          <t>PRJ-4a292754-RK-03</t>
        </is>
      </c>
      <c r="D1803" s="10" t="inlineStr">
        <is>
          <t>P4102658259</t>
        </is>
      </c>
      <c r="E1803" s="11" t="inlineStr">
        <is>
          <t>Entsorgungs-Mehrkosten / Entsorgungswege</t>
        </is>
      </c>
      <c r="F1803" s="10" t="inlineStr">
        <is>
          <t>Entsorgung</t>
        </is>
      </c>
      <c r="G1803" s="12" t="n">
        <v>0.55</v>
      </c>
      <c r="H1803" s="13" t="n">
        <v>746</v>
      </c>
      <c r="I1803" s="13" t="n">
        <v>1358</v>
      </c>
      <c r="J1803" s="13" t="n">
        <v>2208</v>
      </c>
      <c r="K1803" s="14">
        <f>IF(OR(COUNT(G1803:J1803)&lt;&gt;4,G1803&lt;0,G1803&gt;1,H1803&gt;I1803,I1803&gt;J1803),"n.a.",ROUND(G1803*(H1803+4*I1803+J1803)/6+0.00000001,2))</f>
        <v/>
      </c>
      <c r="L1803" s="13" t="n">
        <v>0</v>
      </c>
      <c r="M1803" s="14">
        <f>SUMIFS(Maßnahmen!$I$7:$I$126,Maßnahmen!$D$7:$D$126,C1803,Maßnahmen!$H$7:$H$126,"&lt;&gt;verworfen")</f>
        <v/>
      </c>
      <c r="N1803" s="14">
        <f>IF(ISNUMBER(K1803),MAX(0,K1803-L1803-M1803),"n.a.")</f>
        <v/>
      </c>
      <c r="O1803" s="14" t="n">
        <v>768.72</v>
      </c>
      <c r="P1803" s="14">
        <f>IF(ISNUMBER(K1803),K1803-O1803,"n.a.")</f>
        <v/>
      </c>
    </row>
    <row r="1804" ht="32" customHeight="1">
      <c r="C1804" s="10" t="inlineStr">
        <is>
          <t>PRJ-4a292754-RK-04</t>
        </is>
      </c>
      <c r="D1804" s="10" t="inlineStr">
        <is>
          <t>P4102658259</t>
        </is>
      </c>
      <c r="E1804" s="11" t="inlineStr">
        <is>
          <t>Baustofftrennung / Aufbereitung nicht wie geplant</t>
        </is>
      </c>
      <c r="F1804" s="10" t="inlineStr">
        <is>
          <t>Entsorgung</t>
        </is>
      </c>
      <c r="G1804" s="12" t="n">
        <v>0.08</v>
      </c>
      <c r="H1804" s="13" t="n">
        <v>18</v>
      </c>
      <c r="I1804" s="13" t="n">
        <v>35</v>
      </c>
      <c r="J1804" s="13" t="n">
        <v>70</v>
      </c>
      <c r="K1804" s="14">
        <f>IF(OR(COUNT(G1804:J1804)&lt;&gt;4,G1804&lt;0,G1804&gt;1,H1804&gt;I1804,I1804&gt;J1804),"n.a.",ROUND(G1804*(H1804+4*I1804+J1804)/6+0.00000001,2))</f>
        <v/>
      </c>
      <c r="L1804" s="13" t="n">
        <v>0</v>
      </c>
      <c r="M1804" s="14">
        <f>SUMIFS(Maßnahmen!$I$7:$I$126,Maßnahmen!$D$7:$D$126,C1804,Maßnahmen!$H$7:$H$126,"&lt;&gt;verworfen")</f>
        <v/>
      </c>
      <c r="N1804" s="14">
        <f>IF(ISNUMBER(K1804),MAX(0,K1804-L1804-M1804),"n.a.")</f>
        <v/>
      </c>
      <c r="O1804" s="14" t="n">
        <v>3.04</v>
      </c>
      <c r="P1804" s="14">
        <f>IF(ISNUMBER(K1804),K1804-O1804,"n.a.")</f>
        <v/>
      </c>
    </row>
    <row r="1805" ht="32" customHeight="1">
      <c r="C1805" s="10" t="inlineStr">
        <is>
          <t>PRJ-4a292754-RK-05</t>
        </is>
      </c>
      <c r="D1805" s="10" t="inlineStr">
        <is>
          <t>P4102658259</t>
        </is>
      </c>
      <c r="E1805" s="11" t="inlineStr">
        <is>
          <t>Unbekannte Bauwerkskonstruktion / fehlende Pläne</t>
        </is>
      </c>
      <c r="F1805" s="10" t="inlineStr">
        <is>
          <t>Statik</t>
        </is>
      </c>
      <c r="G1805" s="12" t="n">
        <v>0.12</v>
      </c>
      <c r="H1805" s="13" t="n">
        <v>140</v>
      </c>
      <c r="I1805" s="13" t="n">
        <v>280</v>
      </c>
      <c r="J1805" s="13" t="n">
        <v>525</v>
      </c>
      <c r="K1805" s="14">
        <f>IF(OR(COUNT(G1805:J1805)&lt;&gt;4,G1805&lt;0,G1805&gt;1,H1805&gt;I1805,I1805&gt;J1805),"n.a.",ROUND(G1805*(H1805+4*I1805+J1805)/6+0.00000001,2))</f>
        <v/>
      </c>
      <c r="L1805" s="13" t="n">
        <v>0</v>
      </c>
      <c r="M1805" s="14">
        <f>SUMIFS(Maßnahmen!$I$7:$I$126,Maßnahmen!$D$7:$D$126,C1805,Maßnahmen!$H$7:$H$126,"&lt;&gt;verworfen")</f>
        <v/>
      </c>
      <c r="N1805" s="14">
        <f>IF(ISNUMBER(K1805),MAX(0,K1805-L1805-M1805),"n.a.")</f>
        <v/>
      </c>
      <c r="O1805" s="14" t="n">
        <v>35.7</v>
      </c>
      <c r="P1805" s="14">
        <f>IF(ISNUMBER(K1805),K1805-O1805,"n.a.")</f>
        <v/>
      </c>
    </row>
    <row r="1806" ht="32" customHeight="1">
      <c r="C1806" s="10" t="inlineStr">
        <is>
          <t>PRJ-4a292754-RK-06</t>
        </is>
      </c>
      <c r="D1806" s="10" t="inlineStr">
        <is>
          <t>P4102658259</t>
        </is>
      </c>
      <c r="E1806" s="11" t="inlineStr">
        <is>
          <t>Statik / Einsturzsicherung während Abbruch</t>
        </is>
      </c>
      <c r="F1806" s="10" t="inlineStr">
        <is>
          <t>Statik</t>
        </is>
      </c>
      <c r="G1806" s="12" t="n">
        <v>0.361</v>
      </c>
      <c r="H1806" s="13" t="n">
        <v>612</v>
      </c>
      <c r="I1806" s="13" t="n">
        <v>1090</v>
      </c>
      <c r="J1806" s="13" t="n">
        <v>1842</v>
      </c>
      <c r="K1806" s="14">
        <f>IF(OR(COUNT(G1806:J1806)&lt;&gt;4,G1806&lt;0,G1806&gt;1,H1806&gt;I1806,I1806&gt;J1806),"n.a.",ROUND(G1806*(H1806+4*I1806+J1806)/6+0.00000001,2))</f>
        <v/>
      </c>
      <c r="L1806" s="13" t="n">
        <v>0</v>
      </c>
      <c r="M1806" s="14">
        <f>SUMIFS(Maßnahmen!$I$7:$I$126,Maßnahmen!$D$7:$D$126,C1806,Maßnahmen!$H$7:$H$126,"&lt;&gt;verworfen")</f>
        <v/>
      </c>
      <c r="N1806" s="14">
        <f>IF(ISNUMBER(K1806),MAX(0,K1806-L1806-M1806),"n.a.")</f>
        <v/>
      </c>
      <c r="O1806" s="14" t="n">
        <v>409.98</v>
      </c>
      <c r="P1806" s="14">
        <f>IF(ISNUMBER(K1806),K1806-O1806,"n.a.")</f>
        <v/>
      </c>
    </row>
    <row r="1807" ht="32" customHeight="1">
      <c r="C1807" s="10" t="inlineStr">
        <is>
          <t>PRJ-4a292754-RK-07</t>
        </is>
      </c>
      <c r="D1807" s="10" t="inlineStr">
        <is>
          <t>P4102658259</t>
        </is>
      </c>
      <c r="E1807" s="11" t="inlineStr">
        <is>
          <t>Unterirdische Tragkonstruktion / Fundamente</t>
        </is>
      </c>
      <c r="F1807" s="10" t="inlineStr">
        <is>
          <t>Statik</t>
        </is>
      </c>
      <c r="G1807" s="12" t="n">
        <v>0.4</v>
      </c>
      <c r="H1807" s="13" t="n">
        <v>186</v>
      </c>
      <c r="I1807" s="13" t="n">
        <v>340</v>
      </c>
      <c r="J1807" s="13" t="n">
        <v>682</v>
      </c>
      <c r="K1807" s="14">
        <f>IF(OR(COUNT(G1807:J1807)&lt;&gt;4,G1807&lt;0,G1807&gt;1,H1807&gt;I1807,I1807&gt;J1807),"n.a.",ROUND(G1807*(H1807+4*I1807+J1807)/6+0.00000001,2))</f>
        <v/>
      </c>
      <c r="L1807" s="13" t="n">
        <v>0</v>
      </c>
      <c r="M1807" s="14">
        <f>SUMIFS(Maßnahmen!$I$7:$I$126,Maßnahmen!$D$7:$D$126,C1807,Maßnahmen!$H$7:$H$126,"&lt;&gt;verworfen")</f>
        <v/>
      </c>
      <c r="N1807" s="14">
        <f>IF(ISNUMBER(K1807),MAX(0,K1807-L1807-M1807),"n.a.")</f>
        <v/>
      </c>
      <c r="O1807" s="14" t="n">
        <v>148.53</v>
      </c>
      <c r="P1807" s="14">
        <f>IF(ISNUMBER(K1807),K1807-O1807,"n.a.")</f>
        <v/>
      </c>
    </row>
    <row r="1808" ht="32" customHeight="1">
      <c r="C1808" s="10" t="inlineStr">
        <is>
          <t>PRJ-4a292754-RK-08</t>
        </is>
      </c>
      <c r="D1808" s="10" t="inlineStr">
        <is>
          <t>P4102658259</t>
        </is>
      </c>
      <c r="E1808" s="11" t="inlineStr">
        <is>
          <t>Gebäudehöhe &gt;22 m / Longfront-Bagger (+130–150 %)</t>
        </is>
      </c>
      <c r="F1808" s="10" t="inlineStr">
        <is>
          <t>Termin</t>
        </is>
      </c>
      <c r="G1808" s="12" t="n">
        <v>0.6</v>
      </c>
      <c r="H1808" s="13" t="n">
        <v>315</v>
      </c>
      <c r="I1808" s="13" t="n">
        <v>630</v>
      </c>
      <c r="J1808" s="13" t="n">
        <v>1191</v>
      </c>
      <c r="K1808" s="14">
        <f>IF(OR(COUNT(G1808:J1808)&lt;&gt;4,G1808&lt;0,G1808&gt;1,H1808&gt;I1808,I1808&gt;J1808),"n.a.",ROUND(G1808*(H1808+4*I1808+J1808)/6+0.00000001,2))</f>
        <v/>
      </c>
      <c r="L1808" s="13" t="n">
        <v>0</v>
      </c>
      <c r="M1808" s="14">
        <f>SUMIFS(Maßnahmen!$I$7:$I$126,Maßnahmen!$D$7:$D$126,C1808,Maßnahmen!$H$7:$H$126,"&lt;&gt;verworfen")</f>
        <v/>
      </c>
      <c r="N1808" s="14">
        <f>IF(ISNUMBER(K1808),MAX(0,K1808-L1808-M1808),"n.a.")</f>
        <v/>
      </c>
      <c r="O1808" s="14" t="n">
        <v>402.6</v>
      </c>
      <c r="P1808" s="14">
        <f>IF(ISNUMBER(K1808),K1808-O1808,"n.a.")</f>
        <v/>
      </c>
    </row>
    <row r="1809" ht="32" customHeight="1">
      <c r="C1809" s="10" t="inlineStr">
        <is>
          <t>PRJ-4a292754-RK-09</t>
        </is>
      </c>
      <c r="D1809" s="10" t="inlineStr">
        <is>
          <t>P4102658259</t>
        </is>
      </c>
      <c r="E1809" s="11" t="inlineStr">
        <is>
          <t>Beennte Lage / nur Handabbruch möglich</t>
        </is>
      </c>
      <c r="F1809" s="10" t="inlineStr">
        <is>
          <t>Termin</t>
        </is>
      </c>
      <c r="G1809" s="12" t="n">
        <v>0.15</v>
      </c>
      <c r="H1809" s="13" t="n">
        <v>28</v>
      </c>
      <c r="I1809" s="13" t="n">
        <v>70</v>
      </c>
      <c r="J1809" s="13" t="n">
        <v>175</v>
      </c>
      <c r="K1809" s="14">
        <f>IF(OR(COUNT(G1809:J1809)&lt;&gt;4,G1809&lt;0,G1809&gt;1,H1809&gt;I1809,I1809&gt;J1809),"n.a.",ROUND(G1809*(H1809+4*I1809+J1809)/6+0.00000001,2))</f>
        <v/>
      </c>
      <c r="L1809" s="13" t="n">
        <v>0</v>
      </c>
      <c r="M1809" s="14">
        <f>SUMIFS(Maßnahmen!$I$7:$I$126,Maßnahmen!$D$7:$D$126,C1809,Maßnahmen!$H$7:$H$126,"&lt;&gt;verworfen")</f>
        <v/>
      </c>
      <c r="N1809" s="14">
        <f>IF(ISNUMBER(K1809),MAX(0,K1809-L1809-M1809),"n.a.")</f>
        <v/>
      </c>
      <c r="O1809" s="14" t="n">
        <v>12.08</v>
      </c>
      <c r="P1809" s="14">
        <f>IF(ISNUMBER(K1809),K1809-O1809,"n.a.")</f>
        <v/>
      </c>
    </row>
    <row r="1810" ht="32" customHeight="1">
      <c r="C1810" s="10" t="inlineStr">
        <is>
          <t>PRJ-4a292754-RK-10</t>
        </is>
      </c>
      <c r="D1810" s="10" t="inlineStr">
        <is>
          <t>P4102658259</t>
        </is>
      </c>
      <c r="E1810" s="11" t="inlineStr">
        <is>
          <t>Terminvorgabe Auftraggeber / Geräteauslastung</t>
        </is>
      </c>
      <c r="F1810" s="10" t="inlineStr">
        <is>
          <t>Termin</t>
        </is>
      </c>
      <c r="G1810" s="12" t="n">
        <v>0.08</v>
      </c>
      <c r="H1810" s="13" t="n">
        <v>18</v>
      </c>
      <c r="I1810" s="13" t="n">
        <v>35</v>
      </c>
      <c r="J1810" s="13" t="n">
        <v>70</v>
      </c>
      <c r="K1810" s="14">
        <f>IF(OR(COUNT(G1810:J1810)&lt;&gt;4,G1810&lt;0,G1810&gt;1,H1810&gt;I1810,I1810&gt;J1810),"n.a.",ROUND(G1810*(H1810+4*I1810+J1810)/6+0.00000001,2))</f>
        <v/>
      </c>
      <c r="L1810" s="13" t="n">
        <v>0</v>
      </c>
      <c r="M1810" s="14">
        <f>SUMIFS(Maßnahmen!$I$7:$I$126,Maßnahmen!$D$7:$D$126,C1810,Maßnahmen!$H$7:$H$126,"&lt;&gt;verworfen")</f>
        <v/>
      </c>
      <c r="N1810" s="14">
        <f>IF(ISNUMBER(K1810),MAX(0,K1810-L1810-M1810),"n.a.")</f>
        <v/>
      </c>
      <c r="O1810" s="14" t="n">
        <v>3.04</v>
      </c>
      <c r="P1810" s="14">
        <f>IF(ISNUMBER(K1810),K1810-O1810,"n.a.")</f>
        <v/>
      </c>
    </row>
    <row r="1811" ht="32" customHeight="1">
      <c r="C1811" s="10" t="inlineStr">
        <is>
          <t>PRJ-4a292754-RK-12</t>
        </is>
      </c>
      <c r="D1811" s="10" t="inlineStr">
        <is>
          <t>P4102658259</t>
        </is>
      </c>
      <c r="E1811" s="11" t="inlineStr">
        <is>
          <t>Staubemissionen (höchster Aufwand laut Umfrage)</t>
        </is>
      </c>
      <c r="F1811" s="10" t="inlineStr">
        <is>
          <t>Emissionen</t>
        </is>
      </c>
      <c r="G1811" s="12" t="n">
        <v>0.1</v>
      </c>
      <c r="H1811" s="13" t="n">
        <v>105</v>
      </c>
      <c r="I1811" s="13" t="n">
        <v>210</v>
      </c>
      <c r="J1811" s="13" t="n">
        <v>420</v>
      </c>
      <c r="K1811" s="14">
        <f>IF(OR(COUNT(G1811:J1811)&lt;&gt;4,G1811&lt;0,G1811&gt;1,H1811&gt;I1811,I1811&gt;J1811),"n.a.",ROUND(G1811*(H1811+4*I1811+J1811)/6+0.00000001,2))</f>
        <v/>
      </c>
      <c r="L1811" s="13" t="n">
        <v>0</v>
      </c>
      <c r="M1811" s="14">
        <f>SUMIFS(Maßnahmen!$I$7:$I$126,Maßnahmen!$D$7:$D$126,C1811,Maßnahmen!$H$7:$H$126,"&lt;&gt;verworfen")</f>
        <v/>
      </c>
      <c r="N1811" s="14">
        <f>IF(ISNUMBER(K1811),MAX(0,K1811-L1811-M1811),"n.a.")</f>
        <v/>
      </c>
      <c r="O1811" s="14" t="n">
        <v>22.75</v>
      </c>
      <c r="P1811" s="14">
        <f>IF(ISNUMBER(K1811),K1811-O1811,"n.a.")</f>
        <v/>
      </c>
    </row>
    <row r="1812" ht="32" customHeight="1">
      <c r="C1812" s="10" t="inlineStr">
        <is>
          <t>PRJ-4a292754-RK-13</t>
        </is>
      </c>
      <c r="D1812" s="10" t="inlineStr">
        <is>
          <t>P4102658259</t>
        </is>
      </c>
      <c r="E1812" s="11" t="inlineStr">
        <is>
          <t>Lärm- und Erschütterungsauflagen</t>
        </is>
      </c>
      <c r="F1812" s="10" t="inlineStr">
        <is>
          <t>Emissionen</t>
        </is>
      </c>
      <c r="G1812" s="12" t="n">
        <v>0.2</v>
      </c>
      <c r="H1812" s="13" t="n">
        <v>70</v>
      </c>
      <c r="I1812" s="13" t="n">
        <v>175</v>
      </c>
      <c r="J1812" s="13" t="n">
        <v>350</v>
      </c>
      <c r="K1812" s="14">
        <f>IF(OR(COUNT(G1812:J1812)&lt;&gt;4,G1812&lt;0,G1812&gt;1,H1812&gt;I1812,I1812&gt;J1812),"n.a.",ROUND(G1812*(H1812+4*I1812+J1812)/6+0.00000001,2))</f>
        <v/>
      </c>
      <c r="L1812" s="13" t="n">
        <v>0</v>
      </c>
      <c r="M1812" s="14">
        <f>SUMIFS(Maßnahmen!$I$7:$I$126,Maßnahmen!$D$7:$D$126,C1812,Maßnahmen!$H$7:$H$126,"&lt;&gt;verworfen")</f>
        <v/>
      </c>
      <c r="N1812" s="14">
        <f>IF(ISNUMBER(K1812),MAX(0,K1812-L1812-M1812),"n.a.")</f>
        <v/>
      </c>
      <c r="O1812" s="14" t="n">
        <v>37.33</v>
      </c>
      <c r="P1812" s="14">
        <f>IF(ISNUMBER(K1812),K1812-O1812,"n.a.")</f>
        <v/>
      </c>
    </row>
    <row r="1813" ht="32" customHeight="1">
      <c r="C1813" s="10" t="inlineStr">
        <is>
          <t>PRJ-4a292754-RK-14</t>
        </is>
      </c>
      <c r="D1813" s="10" t="inlineStr">
        <is>
          <t>P4102658259</t>
        </is>
      </c>
      <c r="E1813" s="11" t="inlineStr">
        <is>
          <t>Rechtliche Auflagen / Entsorgungsnachweise (Formalismus)</t>
        </is>
      </c>
      <c r="F1813" s="10" t="inlineStr">
        <is>
          <t>Genehmigung</t>
        </is>
      </c>
      <c r="G1813" s="12" t="n">
        <v>0.4</v>
      </c>
      <c r="H1813" s="13" t="n">
        <v>333</v>
      </c>
      <c r="I1813" s="13" t="n">
        <v>648</v>
      </c>
      <c r="J1813" s="13" t="n">
        <v>1226</v>
      </c>
      <c r="K1813" s="14">
        <f>IF(OR(COUNT(G1813:J1813)&lt;&gt;4,G1813&lt;0,G1813&gt;1,H1813&gt;I1813,I1813&gt;J1813),"n.a.",ROUND(G1813*(H1813+4*I1813+J1813)/6+0.00000001,2))</f>
        <v/>
      </c>
      <c r="L1813" s="13" t="n">
        <v>0</v>
      </c>
      <c r="M1813" s="14">
        <f>SUMIFS(Maßnahmen!$I$7:$I$126,Maßnahmen!$D$7:$D$126,C1813,Maßnahmen!$H$7:$H$126,"&lt;&gt;verworfen")</f>
        <v/>
      </c>
      <c r="N1813" s="14">
        <f>IF(ISNUMBER(K1813),MAX(0,K1813-L1813-M1813),"n.a.")</f>
        <v/>
      </c>
      <c r="O1813" s="14" t="n">
        <v>276.73</v>
      </c>
      <c r="P1813" s="14">
        <f>IF(ISNUMBER(K1813),K1813-O1813,"n.a.")</f>
        <v/>
      </c>
    </row>
    <row r="1814" ht="32" customHeight="1">
      <c r="C1814" s="10" t="inlineStr">
        <is>
          <t>PRJ-4a292754-RK-15</t>
        </is>
      </c>
      <c r="D1814" s="10" t="inlineStr">
        <is>
          <t>P4102658259</t>
        </is>
      </c>
      <c r="E1814" s="11" t="inlineStr">
        <is>
          <t>Konjunktur / Sekundärstoffpreise &amp; Gerätemiete</t>
        </is>
      </c>
      <c r="F1814" s="10" t="inlineStr">
        <is>
          <t>Markt</t>
        </is>
      </c>
      <c r="G1814" s="12" t="n">
        <v>0.12</v>
      </c>
      <c r="H1814" s="13" t="n">
        <v>28</v>
      </c>
      <c r="I1814" s="13" t="n">
        <v>70</v>
      </c>
      <c r="J1814" s="13" t="n">
        <v>175</v>
      </c>
      <c r="K1814" s="14">
        <f>IF(OR(COUNT(G1814:J1814)&lt;&gt;4,G1814&lt;0,G1814&gt;1,H1814&gt;I1814,I1814&gt;J1814),"n.a.",ROUND(G1814*(H1814+4*I1814+J1814)/6+0.00000001,2))</f>
        <v/>
      </c>
      <c r="L1814" s="13" t="n">
        <v>0</v>
      </c>
      <c r="M1814" s="14">
        <f>SUMIFS(Maßnahmen!$I$7:$I$126,Maßnahmen!$D$7:$D$126,C1814,Maßnahmen!$H$7:$H$126,"&lt;&gt;verworfen")</f>
        <v/>
      </c>
      <c r="N1814" s="14">
        <f>IF(ISNUMBER(K1814),MAX(0,K1814-L1814-M1814),"n.a.")</f>
        <v/>
      </c>
      <c r="O1814" s="14" t="n">
        <v>9.66</v>
      </c>
      <c r="P1814" s="14">
        <f>IF(ISNUMBER(K1814),K1814-O1814,"n.a.")</f>
        <v/>
      </c>
    </row>
    <row r="1815" ht="32" customHeight="1">
      <c r="C1815" s="10" t="inlineStr">
        <is>
          <t>PRJ-40723663-RK-01</t>
        </is>
      </c>
      <c r="D1815" s="10" t="inlineStr">
        <is>
          <t>W4102154953</t>
        </is>
      </c>
      <c r="E1815" s="11" t="inlineStr">
        <is>
          <t>Schadstofffund / Schadstoffsanierung (Asbest, PAK, PCB, PCP)</t>
        </is>
      </c>
      <c r="F1815" s="10" t="inlineStr">
        <is>
          <t>Schadstoffe</t>
        </is>
      </c>
      <c r="G1815" s="12" t="n">
        <v>0.1</v>
      </c>
      <c r="H1815" s="13" t="n">
        <v>30</v>
      </c>
      <c r="I1815" s="13" t="n">
        <v>74</v>
      </c>
      <c r="J1815" s="13" t="n">
        <v>148</v>
      </c>
      <c r="K1815" s="14">
        <f>IF(OR(COUNT(G1815:J1815)&lt;&gt;4,G1815&lt;0,G1815&gt;1,H1815&gt;I1815,I1815&gt;J1815),"n.a.",ROUND(G1815*(H1815+4*I1815+J1815)/6+0.00000001,2))</f>
        <v/>
      </c>
      <c r="L1815" s="13" t="n">
        <v>0</v>
      </c>
      <c r="M1815" s="14">
        <f>SUMIFS(Maßnahmen!$I$7:$I$126,Maßnahmen!$D$7:$D$126,C1815,Maßnahmen!$H$7:$H$126,"&lt;&gt;verworfen")</f>
        <v/>
      </c>
      <c r="N1815" s="14">
        <f>IF(ISNUMBER(K1815),MAX(0,K1815-L1815-M1815),"n.a.")</f>
        <v/>
      </c>
      <c r="O1815" s="14" t="n">
        <v>7.9</v>
      </c>
      <c r="P1815" s="14">
        <f>IF(ISNUMBER(K1815),K1815-O1815,"n.a.")</f>
        <v/>
      </c>
    </row>
    <row r="1816" ht="32" customHeight="1">
      <c r="C1816" s="10" t="inlineStr">
        <is>
          <t>PRJ-40723663-RK-02</t>
        </is>
      </c>
      <c r="D1816" s="10" t="inlineStr">
        <is>
          <t>W4102154953</t>
        </is>
      </c>
      <c r="E1816" s="11" t="inlineStr">
        <is>
          <t>Arbeitsschutz kontaminierte Bereiche (TRGS 524)</t>
        </is>
      </c>
      <c r="F1816" s="10" t="inlineStr">
        <is>
          <t>Schadstoffe</t>
        </is>
      </c>
      <c r="G1816" s="12" t="n">
        <v>0.47</v>
      </c>
      <c r="H1816" s="13" t="n">
        <v>30</v>
      </c>
      <c r="I1816" s="13" t="n">
        <v>74</v>
      </c>
      <c r="J1816" s="13" t="n">
        <v>148</v>
      </c>
      <c r="K1816" s="14">
        <f>IF(OR(COUNT(G1816:J1816)&lt;&gt;4,G1816&lt;0,G1816&gt;1,H1816&gt;I1816,I1816&gt;J1816),"n.a.",ROUND(G1816*(H1816+4*I1816+J1816)/6+0.00000001,2))</f>
        <v/>
      </c>
      <c r="L1816" s="13" t="n">
        <v>0</v>
      </c>
      <c r="M1816" s="14">
        <f>SUMIFS(Maßnahmen!$I$7:$I$126,Maßnahmen!$D$7:$D$126,C1816,Maßnahmen!$H$7:$H$126,"&lt;&gt;verworfen")</f>
        <v/>
      </c>
      <c r="N1816" s="14">
        <f>IF(ISNUMBER(K1816),MAX(0,K1816-L1816-M1816),"n.a.")</f>
        <v/>
      </c>
      <c r="O1816" s="14" t="n">
        <v>37.13</v>
      </c>
      <c r="P1816" s="14">
        <f>IF(ISNUMBER(K1816),K1816-O1816,"n.a.")</f>
        <v/>
      </c>
    </row>
    <row r="1817" ht="32" customHeight="1">
      <c r="C1817" s="10" t="inlineStr">
        <is>
          <t>PRJ-40723663-RK-03</t>
        </is>
      </c>
      <c r="D1817" s="10" t="inlineStr">
        <is>
          <t>W4102154953</t>
        </is>
      </c>
      <c r="E1817" s="11" t="inlineStr">
        <is>
          <t>Entsorgungs-Mehrkosten / Entsorgungswege</t>
        </is>
      </c>
      <c r="F1817" s="10" t="inlineStr">
        <is>
          <t>Entsorgung</t>
        </is>
      </c>
      <c r="G1817" s="12" t="n">
        <v>0.15</v>
      </c>
      <c r="H1817" s="13" t="n">
        <v>30</v>
      </c>
      <c r="I1817" s="13" t="n">
        <v>74</v>
      </c>
      <c r="J1817" s="13" t="n">
        <v>148</v>
      </c>
      <c r="K1817" s="14">
        <f>IF(OR(COUNT(G1817:J1817)&lt;&gt;4,G1817&lt;0,G1817&gt;1,H1817&gt;I1817,I1817&gt;J1817),"n.a.",ROUND(G1817*(H1817+4*I1817+J1817)/6+0.00000001,2))</f>
        <v/>
      </c>
      <c r="L1817" s="13" t="n">
        <v>0</v>
      </c>
      <c r="M1817" s="14">
        <f>SUMIFS(Maßnahmen!$I$7:$I$126,Maßnahmen!$D$7:$D$126,C1817,Maßnahmen!$H$7:$H$126,"&lt;&gt;verworfen")</f>
        <v/>
      </c>
      <c r="N1817" s="14">
        <f>IF(ISNUMBER(K1817),MAX(0,K1817-L1817-M1817),"n.a.")</f>
        <v/>
      </c>
      <c r="O1817" s="14" t="n">
        <v>11.85</v>
      </c>
      <c r="P1817" s="14">
        <f>IF(ISNUMBER(K1817),K1817-O1817,"n.a.")</f>
        <v/>
      </c>
    </row>
    <row r="1818" ht="32" customHeight="1">
      <c r="C1818" s="10" t="inlineStr">
        <is>
          <t>PRJ-40723663-RK-04</t>
        </is>
      </c>
      <c r="D1818" s="10" t="inlineStr">
        <is>
          <t>W4102154953</t>
        </is>
      </c>
      <c r="E1818" s="11" t="inlineStr">
        <is>
          <t>Baustofftrennung / Aufbereitung nicht wie geplant</t>
        </is>
      </c>
      <c r="F1818" s="10" t="inlineStr">
        <is>
          <t>Entsorgung</t>
        </is>
      </c>
      <c r="G1818" s="12" t="n">
        <v>0.1</v>
      </c>
      <c r="H1818" s="13" t="n">
        <v>30</v>
      </c>
      <c r="I1818" s="13" t="n">
        <v>74</v>
      </c>
      <c r="J1818" s="13" t="n">
        <v>148</v>
      </c>
      <c r="K1818" s="14">
        <f>IF(OR(COUNT(G1818:J1818)&lt;&gt;4,G1818&lt;0,G1818&gt;1,H1818&gt;I1818,I1818&gt;J1818),"n.a.",ROUND(G1818*(H1818+4*I1818+J1818)/6+0.00000001,2))</f>
        <v/>
      </c>
      <c r="L1818" s="13" t="n">
        <v>0</v>
      </c>
      <c r="M1818" s="14">
        <f>SUMIFS(Maßnahmen!$I$7:$I$126,Maßnahmen!$D$7:$D$126,C1818,Maßnahmen!$H$7:$H$126,"&lt;&gt;verworfen")</f>
        <v/>
      </c>
      <c r="N1818" s="14">
        <f>IF(ISNUMBER(K1818),MAX(0,K1818-L1818-M1818),"n.a.")</f>
        <v/>
      </c>
      <c r="O1818" s="14" t="n">
        <v>7.9</v>
      </c>
      <c r="P1818" s="14">
        <f>IF(ISNUMBER(K1818),K1818-O1818,"n.a.")</f>
        <v/>
      </c>
    </row>
    <row r="1819" ht="32" customHeight="1">
      <c r="C1819" s="10" t="inlineStr">
        <is>
          <t>PRJ-40723663-RK-05</t>
        </is>
      </c>
      <c r="D1819" s="10" t="inlineStr">
        <is>
          <t>W4102154953</t>
        </is>
      </c>
      <c r="E1819" s="11" t="inlineStr">
        <is>
          <t>Unbekannte Bauwerkskonstruktion / fehlende Pläne</t>
        </is>
      </c>
      <c r="F1819" s="10" t="inlineStr">
        <is>
          <t>Statik</t>
        </is>
      </c>
      <c r="G1819" s="12" t="n">
        <v>0.12</v>
      </c>
      <c r="H1819" s="13" t="n">
        <v>59</v>
      </c>
      <c r="I1819" s="13" t="n">
        <v>119</v>
      </c>
      <c r="J1819" s="13" t="n">
        <v>222</v>
      </c>
      <c r="K1819" s="14">
        <f>IF(OR(COUNT(G1819:J1819)&lt;&gt;4,G1819&lt;0,G1819&gt;1,H1819&gt;I1819,I1819&gt;J1819),"n.a.",ROUND(G1819*(H1819+4*I1819+J1819)/6+0.00000001,2))</f>
        <v/>
      </c>
      <c r="L1819" s="13" t="n">
        <v>0</v>
      </c>
      <c r="M1819" s="14">
        <f>SUMIFS(Maßnahmen!$I$7:$I$126,Maßnahmen!$D$7:$D$126,C1819,Maßnahmen!$H$7:$H$126,"&lt;&gt;verworfen")</f>
        <v/>
      </c>
      <c r="N1819" s="14">
        <f>IF(ISNUMBER(K1819),MAX(0,K1819-L1819-M1819),"n.a.")</f>
        <v/>
      </c>
      <c r="O1819" s="14" t="n">
        <v>15.14</v>
      </c>
      <c r="P1819" s="14">
        <f>IF(ISNUMBER(K1819),K1819-O1819,"n.a.")</f>
        <v/>
      </c>
    </row>
    <row r="1820" ht="32" customHeight="1">
      <c r="C1820" s="10" t="inlineStr">
        <is>
          <t>PRJ-40723663-RK-06</t>
        </is>
      </c>
      <c r="D1820" s="10" t="inlineStr">
        <is>
          <t>W4102154953</t>
        </is>
      </c>
      <c r="E1820" s="11" t="inlineStr">
        <is>
          <t>Statik / Einsturzsicherung während Abbruch</t>
        </is>
      </c>
      <c r="F1820" s="10" t="inlineStr">
        <is>
          <t>Statik</t>
        </is>
      </c>
      <c r="G1820" s="12" t="n">
        <v>0.12</v>
      </c>
      <c r="H1820" s="13" t="n">
        <v>44</v>
      </c>
      <c r="I1820" s="13" t="n">
        <v>104</v>
      </c>
      <c r="J1820" s="13" t="n">
        <v>207</v>
      </c>
      <c r="K1820" s="14">
        <f>IF(OR(COUNT(G1820:J1820)&lt;&gt;4,G1820&lt;0,G1820&gt;1,H1820&gt;I1820,I1820&gt;J1820),"n.a.",ROUND(G1820*(H1820+4*I1820+J1820)/6+0.00000001,2))</f>
        <v/>
      </c>
      <c r="L1820" s="13" t="n">
        <v>0</v>
      </c>
      <c r="M1820" s="14">
        <f>SUMIFS(Maßnahmen!$I$7:$I$126,Maßnahmen!$D$7:$D$126,C1820,Maßnahmen!$H$7:$H$126,"&lt;&gt;verworfen")</f>
        <v/>
      </c>
      <c r="N1820" s="14">
        <f>IF(ISNUMBER(K1820),MAX(0,K1820-L1820-M1820),"n.a.")</f>
        <v/>
      </c>
      <c r="O1820" s="14" t="n">
        <v>13.34</v>
      </c>
      <c r="P1820" s="14">
        <f>IF(ISNUMBER(K1820),K1820-O1820,"n.a.")</f>
        <v/>
      </c>
    </row>
    <row r="1821" ht="32" customHeight="1">
      <c r="C1821" s="10" t="inlineStr">
        <is>
          <t>PRJ-40723663-RK-07</t>
        </is>
      </c>
      <c r="D1821" s="10" t="inlineStr">
        <is>
          <t>W4102154953</t>
        </is>
      </c>
      <c r="E1821" s="11" t="inlineStr">
        <is>
          <t>Unterirdische Tragkonstruktion / Fundamente</t>
        </is>
      </c>
      <c r="F1821" s="10" t="inlineStr">
        <is>
          <t>Statik</t>
        </is>
      </c>
      <c r="G1821" s="12" t="n">
        <v>0.5</v>
      </c>
      <c r="H1821" s="13" t="n">
        <v>7</v>
      </c>
      <c r="I1821" s="13" t="n">
        <v>30</v>
      </c>
      <c r="J1821" s="13" t="n">
        <v>74</v>
      </c>
      <c r="K1821" s="14">
        <f>IF(OR(COUNT(G1821:J1821)&lt;&gt;4,G1821&lt;0,G1821&gt;1,H1821&gt;I1821,I1821&gt;J1821),"n.a.",ROUND(G1821*(H1821+4*I1821+J1821)/6+0.00000001,2))</f>
        <v/>
      </c>
      <c r="L1821" s="13" t="n">
        <v>0</v>
      </c>
      <c r="M1821" s="14">
        <f>SUMIFS(Maßnahmen!$I$7:$I$126,Maßnahmen!$D$7:$D$126,C1821,Maßnahmen!$H$7:$H$126,"&lt;&gt;verworfen")</f>
        <v/>
      </c>
      <c r="N1821" s="14">
        <f>IF(ISNUMBER(K1821),MAX(0,K1821-L1821-M1821),"n.a.")</f>
        <v/>
      </c>
      <c r="O1821" s="14" t="n">
        <v>16.75</v>
      </c>
      <c r="P1821" s="14">
        <f>IF(ISNUMBER(K1821),K1821-O1821,"n.a.")</f>
        <v/>
      </c>
    </row>
    <row r="1822" ht="32" customHeight="1">
      <c r="C1822" s="10" t="inlineStr">
        <is>
          <t>PRJ-40723663-RK-08</t>
        </is>
      </c>
      <c r="D1822" s="10" t="inlineStr">
        <is>
          <t>W4102154953</t>
        </is>
      </c>
      <c r="E1822" s="11" t="inlineStr">
        <is>
          <t>Gebäudehöhe &gt;22 m / Longfront-Bagger (+130–150 %)</t>
        </is>
      </c>
      <c r="F1822" s="10" t="inlineStr">
        <is>
          <t>Termin</t>
        </is>
      </c>
      <c r="G1822" s="12" t="n">
        <v>0.6</v>
      </c>
      <c r="H1822" s="13" t="n">
        <v>133</v>
      </c>
      <c r="I1822" s="13" t="n">
        <v>267</v>
      </c>
      <c r="J1822" s="13" t="n">
        <v>504</v>
      </c>
      <c r="K1822" s="14">
        <f>IF(OR(COUNT(G1822:J1822)&lt;&gt;4,G1822&lt;0,G1822&gt;1,H1822&gt;I1822,I1822&gt;J1822),"n.a.",ROUND(G1822*(H1822+4*I1822+J1822)/6+0.00000001,2))</f>
        <v/>
      </c>
      <c r="L1822" s="13" t="n">
        <v>0</v>
      </c>
      <c r="M1822" s="14">
        <f>SUMIFS(Maßnahmen!$I$7:$I$126,Maßnahmen!$D$7:$D$126,C1822,Maßnahmen!$H$7:$H$126,"&lt;&gt;verworfen")</f>
        <v/>
      </c>
      <c r="N1822" s="14">
        <f>IF(ISNUMBER(K1822),MAX(0,K1822-L1822-M1822),"n.a.")</f>
        <v/>
      </c>
      <c r="O1822" s="14" t="n">
        <v>170.5</v>
      </c>
      <c r="P1822" s="14">
        <f>IF(ISNUMBER(K1822),K1822-O1822,"n.a.")</f>
        <v/>
      </c>
    </row>
    <row r="1823" ht="32" customHeight="1">
      <c r="C1823" s="10" t="inlineStr">
        <is>
          <t>PRJ-40723663-RK-09</t>
        </is>
      </c>
      <c r="D1823" s="10" t="inlineStr">
        <is>
          <t>W4102154953</t>
        </is>
      </c>
      <c r="E1823" s="11" t="inlineStr">
        <is>
          <t>Beennte Lage / nur Handabbruch möglich</t>
        </is>
      </c>
      <c r="F1823" s="10" t="inlineStr">
        <is>
          <t>Termin</t>
        </is>
      </c>
      <c r="G1823" s="12" t="n">
        <v>0.15</v>
      </c>
      <c r="H1823" s="13" t="n">
        <v>12</v>
      </c>
      <c r="I1823" s="13" t="n">
        <v>30</v>
      </c>
      <c r="J1823" s="13" t="n">
        <v>74</v>
      </c>
      <c r="K1823" s="14">
        <f>IF(OR(COUNT(G1823:J1823)&lt;&gt;4,G1823&lt;0,G1823&gt;1,H1823&gt;I1823,I1823&gt;J1823),"n.a.",ROUND(G1823*(H1823+4*I1823+J1823)/6+0.00000001,2))</f>
        <v/>
      </c>
      <c r="L1823" s="13" t="n">
        <v>0</v>
      </c>
      <c r="M1823" s="14">
        <f>SUMIFS(Maßnahmen!$I$7:$I$126,Maßnahmen!$D$7:$D$126,C1823,Maßnahmen!$H$7:$H$126,"&lt;&gt;verworfen")</f>
        <v/>
      </c>
      <c r="N1823" s="14">
        <f>IF(ISNUMBER(K1823),MAX(0,K1823-L1823-M1823),"n.a.")</f>
        <v/>
      </c>
      <c r="O1823" s="14" t="n">
        <v>5.15</v>
      </c>
      <c r="P1823" s="14">
        <f>IF(ISNUMBER(K1823),K1823-O1823,"n.a.")</f>
        <v/>
      </c>
    </row>
    <row r="1824" ht="32" customHeight="1">
      <c r="C1824" s="10" t="inlineStr">
        <is>
          <t>PRJ-40723663-RK-10</t>
        </is>
      </c>
      <c r="D1824" s="10" t="inlineStr">
        <is>
          <t>W4102154953</t>
        </is>
      </c>
      <c r="E1824" s="11" t="inlineStr">
        <is>
          <t>Terminvorgabe Auftraggeber / Geräteauslastung</t>
        </is>
      </c>
      <c r="F1824" s="10" t="inlineStr">
        <is>
          <t>Termin</t>
        </is>
      </c>
      <c r="G1824" s="12" t="n">
        <v>0.1</v>
      </c>
      <c r="H1824" s="13" t="n">
        <v>12</v>
      </c>
      <c r="I1824" s="13" t="n">
        <v>30</v>
      </c>
      <c r="J1824" s="13" t="n">
        <v>74</v>
      </c>
      <c r="K1824" s="14">
        <f>IF(OR(COUNT(G1824:J1824)&lt;&gt;4,G1824&lt;0,G1824&gt;1,H1824&gt;I1824,I1824&gt;J1824),"n.a.",ROUND(G1824*(H1824+4*I1824+J1824)/6+0.00000001,2))</f>
        <v/>
      </c>
      <c r="L1824" s="13" t="n">
        <v>0</v>
      </c>
      <c r="M1824" s="14">
        <f>SUMIFS(Maßnahmen!$I$7:$I$126,Maßnahmen!$D$7:$D$126,C1824,Maßnahmen!$H$7:$H$126,"&lt;&gt;verworfen")</f>
        <v/>
      </c>
      <c r="N1824" s="14">
        <f>IF(ISNUMBER(K1824),MAX(0,K1824-L1824-M1824),"n.a.")</f>
        <v/>
      </c>
      <c r="O1824" s="14" t="n">
        <v>3.43</v>
      </c>
      <c r="P1824" s="14">
        <f>IF(ISNUMBER(K1824),K1824-O1824,"n.a.")</f>
        <v/>
      </c>
    </row>
    <row r="1825" ht="32" customHeight="1">
      <c r="C1825" s="10" t="inlineStr">
        <is>
          <t>PRJ-40723663-RK-11</t>
        </is>
      </c>
      <c r="D1825" s="10" t="inlineStr">
        <is>
          <t>W4102154953</t>
        </is>
      </c>
      <c r="E1825" s="11" t="inlineStr">
        <is>
          <t>Witterung / Ablaufstörung</t>
        </is>
      </c>
      <c r="F1825" s="10" t="inlineStr">
        <is>
          <t>Termin</t>
        </is>
      </c>
      <c r="G1825" s="12" t="n">
        <v>0.25</v>
      </c>
      <c r="H1825" s="13" t="n">
        <v>15</v>
      </c>
      <c r="I1825" s="13" t="n">
        <v>44</v>
      </c>
      <c r="J1825" s="13" t="n">
        <v>89</v>
      </c>
      <c r="K1825" s="14">
        <f>IF(OR(COUNT(G1825:J1825)&lt;&gt;4,G1825&lt;0,G1825&gt;1,H1825&gt;I1825,I1825&gt;J1825),"n.a.",ROUND(G1825*(H1825+4*I1825+J1825)/6+0.00000001,2))</f>
        <v/>
      </c>
      <c r="L1825" s="13" t="n">
        <v>0</v>
      </c>
      <c r="M1825" s="14">
        <f>SUMIFS(Maßnahmen!$I$7:$I$126,Maßnahmen!$D$7:$D$126,C1825,Maßnahmen!$H$7:$H$126,"&lt;&gt;verworfen")</f>
        <v/>
      </c>
      <c r="N1825" s="14">
        <f>IF(ISNUMBER(K1825),MAX(0,K1825-L1825-M1825),"n.a.")</f>
        <v/>
      </c>
      <c r="O1825" s="14" t="n">
        <v>11.67</v>
      </c>
      <c r="P1825" s="14">
        <f>IF(ISNUMBER(K1825),K1825-O1825,"n.a.")</f>
        <v/>
      </c>
    </row>
    <row r="1826" ht="32" customHeight="1">
      <c r="C1826" s="10" t="inlineStr">
        <is>
          <t>PRJ-40723663-RK-12</t>
        </is>
      </c>
      <c r="D1826" s="10" t="inlineStr">
        <is>
          <t>W4102154953</t>
        </is>
      </c>
      <c r="E1826" s="11" t="inlineStr">
        <is>
          <t>Staubemissionen (höchster Aufwand laut Umfrage)</t>
        </is>
      </c>
      <c r="F1826" s="10" t="inlineStr">
        <is>
          <t>Emissionen</t>
        </is>
      </c>
      <c r="G1826" s="12" t="n">
        <v>0.1</v>
      </c>
      <c r="H1826" s="13" t="n">
        <v>44</v>
      </c>
      <c r="I1826" s="13" t="n">
        <v>89</v>
      </c>
      <c r="J1826" s="13" t="n">
        <v>178</v>
      </c>
      <c r="K1826" s="14">
        <f>IF(OR(COUNT(G1826:J1826)&lt;&gt;4,G1826&lt;0,G1826&gt;1,H1826&gt;I1826,I1826&gt;J1826),"n.a.",ROUND(G1826*(H1826+4*I1826+J1826)/6+0.00000001,2))</f>
        <v/>
      </c>
      <c r="L1826" s="13" t="n">
        <v>0</v>
      </c>
      <c r="M1826" s="14">
        <f>SUMIFS(Maßnahmen!$I$7:$I$126,Maßnahmen!$D$7:$D$126,C1826,Maßnahmen!$H$7:$H$126,"&lt;&gt;verworfen")</f>
        <v/>
      </c>
      <c r="N1826" s="14">
        <f>IF(ISNUMBER(K1826),MAX(0,K1826-L1826-M1826),"n.a.")</f>
        <v/>
      </c>
      <c r="O1826" s="14" t="n">
        <v>9.630000000000001</v>
      </c>
      <c r="P1826" s="14">
        <f>IF(ISNUMBER(K1826),K1826-O1826,"n.a.")</f>
        <v/>
      </c>
    </row>
    <row r="1827" ht="32" customHeight="1">
      <c r="C1827" s="10" t="inlineStr">
        <is>
          <t>PRJ-40723663-RK-13</t>
        </is>
      </c>
      <c r="D1827" s="10" t="inlineStr">
        <is>
          <t>W4102154953</t>
        </is>
      </c>
      <c r="E1827" s="11" t="inlineStr">
        <is>
          <t>Lärm- und Erschütterungsauflagen</t>
        </is>
      </c>
      <c r="F1827" s="10" t="inlineStr">
        <is>
          <t>Emissionen</t>
        </is>
      </c>
      <c r="G1827" s="12" t="n">
        <v>0.2</v>
      </c>
      <c r="H1827" s="13" t="n">
        <v>30</v>
      </c>
      <c r="I1827" s="13" t="n">
        <v>74</v>
      </c>
      <c r="J1827" s="13" t="n">
        <v>148</v>
      </c>
      <c r="K1827" s="14">
        <f>IF(OR(COUNT(G1827:J1827)&lt;&gt;4,G1827&lt;0,G1827&gt;1,H1827&gt;I1827,I1827&gt;J1827),"n.a.",ROUND(G1827*(H1827+4*I1827+J1827)/6+0.00000001,2))</f>
        <v/>
      </c>
      <c r="L1827" s="13" t="n">
        <v>0</v>
      </c>
      <c r="M1827" s="14">
        <f>SUMIFS(Maßnahmen!$I$7:$I$126,Maßnahmen!$D$7:$D$126,C1827,Maßnahmen!$H$7:$H$126,"&lt;&gt;verworfen")</f>
        <v/>
      </c>
      <c r="N1827" s="14">
        <f>IF(ISNUMBER(K1827),MAX(0,K1827-L1827-M1827),"n.a.")</f>
        <v/>
      </c>
      <c r="O1827" s="14" t="n">
        <v>15.8</v>
      </c>
      <c r="P1827" s="14">
        <f>IF(ISNUMBER(K1827),K1827-O1827,"n.a.")</f>
        <v/>
      </c>
    </row>
    <row r="1828" ht="32" customHeight="1">
      <c r="C1828" s="10" t="inlineStr">
        <is>
          <t>PRJ-40723663-RK-14</t>
        </is>
      </c>
      <c r="D1828" s="10" t="inlineStr">
        <is>
          <t>W4102154953</t>
        </is>
      </c>
      <c r="E1828" s="11" t="inlineStr">
        <is>
          <t>Rechtliche Auflagen / Entsorgungsnachweise (Formalismus)</t>
        </is>
      </c>
      <c r="F1828" s="10" t="inlineStr">
        <is>
          <t>Genehmigung</t>
        </is>
      </c>
      <c r="G1828" s="12" t="n">
        <v>0.4</v>
      </c>
      <c r="H1828" s="13" t="n">
        <v>141</v>
      </c>
      <c r="I1828" s="13" t="n">
        <v>274</v>
      </c>
      <c r="J1828" s="13" t="n">
        <v>519</v>
      </c>
      <c r="K1828" s="14">
        <f>IF(OR(COUNT(G1828:J1828)&lt;&gt;4,G1828&lt;0,G1828&gt;1,H1828&gt;I1828,I1828&gt;J1828),"n.a.",ROUND(G1828*(H1828+4*I1828+J1828)/6+0.00000001,2))</f>
        <v/>
      </c>
      <c r="L1828" s="13" t="n">
        <v>0</v>
      </c>
      <c r="M1828" s="14">
        <f>SUMIFS(Maßnahmen!$I$7:$I$126,Maßnahmen!$D$7:$D$126,C1828,Maßnahmen!$H$7:$H$126,"&lt;&gt;verworfen")</f>
        <v/>
      </c>
      <c r="N1828" s="14">
        <f>IF(ISNUMBER(K1828),MAX(0,K1828-L1828-M1828),"n.a.")</f>
        <v/>
      </c>
      <c r="O1828" s="14" t="n">
        <v>117.07</v>
      </c>
      <c r="P1828" s="14">
        <f>IF(ISNUMBER(K1828),K1828-O1828,"n.a.")</f>
        <v/>
      </c>
    </row>
    <row r="1829" ht="32" customHeight="1">
      <c r="C1829" s="10" t="inlineStr">
        <is>
          <t>PRJ-40723663-RK-15</t>
        </is>
      </c>
      <c r="D1829" s="10" t="inlineStr">
        <is>
          <t>W4102154953</t>
        </is>
      </c>
      <c r="E1829" s="11" t="inlineStr">
        <is>
          <t>Konjunktur / Sekundärstoffpreise &amp; Gerätemiete</t>
        </is>
      </c>
      <c r="F1829" s="10" t="inlineStr">
        <is>
          <t>Markt</t>
        </is>
      </c>
      <c r="G1829" s="12" t="n">
        <v>0.12</v>
      </c>
      <c r="H1829" s="13" t="n">
        <v>12</v>
      </c>
      <c r="I1829" s="13" t="n">
        <v>30</v>
      </c>
      <c r="J1829" s="13" t="n">
        <v>74</v>
      </c>
      <c r="K1829" s="14">
        <f>IF(OR(COUNT(G1829:J1829)&lt;&gt;4,G1829&lt;0,G1829&gt;1,H1829&gt;I1829,I1829&gt;J1829),"n.a.",ROUND(G1829*(H1829+4*I1829+J1829)/6+0.00000001,2))</f>
        <v/>
      </c>
      <c r="L1829" s="13" t="n">
        <v>0</v>
      </c>
      <c r="M1829" s="14">
        <f>SUMIFS(Maßnahmen!$I$7:$I$126,Maßnahmen!$D$7:$D$126,C1829,Maßnahmen!$H$7:$H$126,"&lt;&gt;verworfen")</f>
        <v/>
      </c>
      <c r="N1829" s="14">
        <f>IF(ISNUMBER(K1829),MAX(0,K1829-L1829-M1829),"n.a.")</f>
        <v/>
      </c>
      <c r="O1829" s="14" t="n">
        <v>4.12</v>
      </c>
      <c r="P1829" s="14">
        <f>IF(ISNUMBER(K1829),K1829-O1829,"n.a.")</f>
        <v/>
      </c>
    </row>
    <row r="1830" ht="32" customHeight="1">
      <c r="C1830" s="10" t="inlineStr">
        <is>
          <t>PRJ-383070ee-RK-01</t>
        </is>
      </c>
      <c r="D1830" s="10" t="inlineStr">
        <is>
          <t>W4102604941</t>
        </is>
      </c>
      <c r="E1830" s="11" t="inlineStr">
        <is>
          <t>Schadstofffund / Schadstoffsanierung (Asbest, PAK, PCB, PCP)</t>
        </is>
      </c>
      <c r="F1830" s="10" t="inlineStr">
        <is>
          <t>Schadstoffe</t>
        </is>
      </c>
      <c r="G1830" s="12" t="n">
        <v>0.1</v>
      </c>
      <c r="H1830" s="13" t="n">
        <v>271</v>
      </c>
      <c r="I1830" s="13" t="n">
        <v>677</v>
      </c>
      <c r="J1830" s="13" t="n">
        <v>1354</v>
      </c>
      <c r="K1830" s="14">
        <f>IF(OR(COUNT(G1830:J1830)&lt;&gt;4,G1830&lt;0,G1830&gt;1,H1830&gt;I1830,I1830&gt;J1830),"n.a.",ROUND(G1830*(H1830+4*I1830+J1830)/6+0.00000001,2))</f>
        <v/>
      </c>
      <c r="L1830" s="13" t="n">
        <v>0</v>
      </c>
      <c r="M1830" s="14">
        <f>SUMIFS(Maßnahmen!$I$7:$I$126,Maßnahmen!$D$7:$D$126,C1830,Maßnahmen!$H$7:$H$126,"&lt;&gt;verworfen")</f>
        <v/>
      </c>
      <c r="N1830" s="14">
        <f>IF(ISNUMBER(K1830),MAX(0,K1830-L1830-M1830),"n.a.")</f>
        <v/>
      </c>
      <c r="O1830" s="14" t="n">
        <v>72.22</v>
      </c>
      <c r="P1830" s="14">
        <f>IF(ISNUMBER(K1830),K1830-O1830,"n.a.")</f>
        <v/>
      </c>
    </row>
    <row r="1831" ht="32" customHeight="1">
      <c r="C1831" s="10" t="inlineStr">
        <is>
          <t>PRJ-383070ee-RK-02</t>
        </is>
      </c>
      <c r="D1831" s="10" t="inlineStr">
        <is>
          <t>W4102604941</t>
        </is>
      </c>
      <c r="E1831" s="11" t="inlineStr">
        <is>
          <t>Arbeitsschutz kontaminierte Bereiche (TRGS 524)</t>
        </is>
      </c>
      <c r="F1831" s="10" t="inlineStr">
        <is>
          <t>Schadstoffe</t>
        </is>
      </c>
      <c r="G1831" s="12" t="n">
        <v>0.47</v>
      </c>
      <c r="H1831" s="13" t="n">
        <v>271</v>
      </c>
      <c r="I1831" s="13" t="n">
        <v>677</v>
      </c>
      <c r="J1831" s="13" t="n">
        <v>1354</v>
      </c>
      <c r="K1831" s="14">
        <f>IF(OR(COUNT(G1831:J1831)&lt;&gt;4,G1831&lt;0,G1831&gt;1,H1831&gt;I1831,I1831&gt;J1831),"n.a.",ROUND(G1831*(H1831+4*I1831+J1831)/6+0.00000001,2))</f>
        <v/>
      </c>
      <c r="L1831" s="13" t="n">
        <v>0</v>
      </c>
      <c r="M1831" s="14">
        <f>SUMIFS(Maßnahmen!$I$7:$I$126,Maßnahmen!$D$7:$D$126,C1831,Maßnahmen!$H$7:$H$126,"&lt;&gt;verworfen")</f>
        <v/>
      </c>
      <c r="N1831" s="14">
        <f>IF(ISNUMBER(K1831),MAX(0,K1831-L1831-M1831),"n.a.")</f>
        <v/>
      </c>
      <c r="O1831" s="14" t="n">
        <v>339.42</v>
      </c>
      <c r="P1831" s="14">
        <f>IF(ISNUMBER(K1831),K1831-O1831,"n.a.")</f>
        <v/>
      </c>
    </row>
    <row r="1832" ht="32" customHeight="1">
      <c r="C1832" s="10" t="inlineStr">
        <is>
          <t>PRJ-383070ee-RK-03</t>
        </is>
      </c>
      <c r="D1832" s="10" t="inlineStr">
        <is>
          <t>W4102604941</t>
        </is>
      </c>
      <c r="E1832" s="11" t="inlineStr">
        <is>
          <t>Entsorgungs-Mehrkosten / Entsorgungswege</t>
        </is>
      </c>
      <c r="F1832" s="10" t="inlineStr">
        <is>
          <t>Entsorgung</t>
        </is>
      </c>
      <c r="G1832" s="12" t="n">
        <v>0.15</v>
      </c>
      <c r="H1832" s="13" t="n">
        <v>271</v>
      </c>
      <c r="I1832" s="13" t="n">
        <v>677</v>
      </c>
      <c r="J1832" s="13" t="n">
        <v>1354</v>
      </c>
      <c r="K1832" s="14">
        <f>IF(OR(COUNT(G1832:J1832)&lt;&gt;4,G1832&lt;0,G1832&gt;1,H1832&gt;I1832,I1832&gt;J1832),"n.a.",ROUND(G1832*(H1832+4*I1832+J1832)/6+0.00000001,2))</f>
        <v/>
      </c>
      <c r="L1832" s="13" t="n">
        <v>0</v>
      </c>
      <c r="M1832" s="14">
        <f>SUMIFS(Maßnahmen!$I$7:$I$126,Maßnahmen!$D$7:$D$126,C1832,Maßnahmen!$H$7:$H$126,"&lt;&gt;verworfen")</f>
        <v/>
      </c>
      <c r="N1832" s="14">
        <f>IF(ISNUMBER(K1832),MAX(0,K1832-L1832-M1832),"n.a.")</f>
        <v/>
      </c>
      <c r="O1832" s="14" t="n">
        <v>108.33</v>
      </c>
      <c r="P1832" s="14">
        <f>IF(ISNUMBER(K1832),K1832-O1832,"n.a.")</f>
        <v/>
      </c>
    </row>
    <row r="1833" ht="32" customHeight="1">
      <c r="C1833" s="10" t="inlineStr">
        <is>
          <t>PRJ-383070ee-RK-04</t>
        </is>
      </c>
      <c r="D1833" s="10" t="inlineStr">
        <is>
          <t>W4102604941</t>
        </is>
      </c>
      <c r="E1833" s="11" t="inlineStr">
        <is>
          <t>Baustofftrennung / Aufbereitung nicht wie geplant</t>
        </is>
      </c>
      <c r="F1833" s="10" t="inlineStr">
        <is>
          <t>Entsorgung</t>
        </is>
      </c>
      <c r="G1833" s="12" t="n">
        <v>0.1</v>
      </c>
      <c r="H1833" s="13" t="n">
        <v>271</v>
      </c>
      <c r="I1833" s="13" t="n">
        <v>677</v>
      </c>
      <c r="J1833" s="13" t="n">
        <v>1354</v>
      </c>
      <c r="K1833" s="14">
        <f>IF(OR(COUNT(G1833:J1833)&lt;&gt;4,G1833&lt;0,G1833&gt;1,H1833&gt;I1833,I1833&gt;J1833),"n.a.",ROUND(G1833*(H1833+4*I1833+J1833)/6+0.00000001,2))</f>
        <v/>
      </c>
      <c r="L1833" s="13" t="n">
        <v>0</v>
      </c>
      <c r="M1833" s="14">
        <f>SUMIFS(Maßnahmen!$I$7:$I$126,Maßnahmen!$D$7:$D$126,C1833,Maßnahmen!$H$7:$H$126,"&lt;&gt;verworfen")</f>
        <v/>
      </c>
      <c r="N1833" s="14">
        <f>IF(ISNUMBER(K1833),MAX(0,K1833-L1833-M1833),"n.a.")</f>
        <v/>
      </c>
      <c r="O1833" s="14" t="n">
        <v>72.22</v>
      </c>
      <c r="P1833" s="14">
        <f>IF(ISNUMBER(K1833),K1833-O1833,"n.a.")</f>
        <v/>
      </c>
    </row>
    <row r="1834" ht="32" customHeight="1">
      <c r="C1834" s="10" t="inlineStr">
        <is>
          <t>PRJ-383070ee-RK-05</t>
        </is>
      </c>
      <c r="D1834" s="10" t="inlineStr">
        <is>
          <t>W4102604941</t>
        </is>
      </c>
      <c r="E1834" s="11" t="inlineStr">
        <is>
          <t>Unbekannte Bauwerkskonstruktion / fehlende Pläne</t>
        </is>
      </c>
      <c r="F1834" s="10" t="inlineStr">
        <is>
          <t>Statik</t>
        </is>
      </c>
      <c r="G1834" s="12" t="n">
        <v>0.12</v>
      </c>
      <c r="H1834" s="13" t="n">
        <v>541</v>
      </c>
      <c r="I1834" s="13" t="n">
        <v>1083</v>
      </c>
      <c r="J1834" s="13" t="n">
        <v>2030</v>
      </c>
      <c r="K1834" s="14">
        <f>IF(OR(COUNT(G1834:J1834)&lt;&gt;4,G1834&lt;0,G1834&gt;1,H1834&gt;I1834,I1834&gt;J1834),"n.a.",ROUND(G1834*(H1834+4*I1834+J1834)/6+0.00000001,2))</f>
        <v/>
      </c>
      <c r="L1834" s="13" t="n">
        <v>0</v>
      </c>
      <c r="M1834" s="14">
        <f>SUMIFS(Maßnahmen!$I$7:$I$126,Maßnahmen!$D$7:$D$126,C1834,Maßnahmen!$H$7:$H$126,"&lt;&gt;verworfen")</f>
        <v/>
      </c>
      <c r="N1834" s="14">
        <f>IF(ISNUMBER(K1834),MAX(0,K1834-L1834-M1834),"n.a.")</f>
        <v/>
      </c>
      <c r="O1834" s="14" t="n">
        <v>138.06</v>
      </c>
      <c r="P1834" s="14">
        <f>IF(ISNUMBER(K1834),K1834-O1834,"n.a.")</f>
        <v/>
      </c>
    </row>
    <row r="1835" ht="32" customHeight="1">
      <c r="C1835" s="10" t="inlineStr">
        <is>
          <t>PRJ-383070ee-RK-06</t>
        </is>
      </c>
      <c r="D1835" s="10" t="inlineStr">
        <is>
          <t>W4102604941</t>
        </is>
      </c>
      <c r="E1835" s="11" t="inlineStr">
        <is>
          <t>Statik / Einsturzsicherung während Abbruch</t>
        </is>
      </c>
      <c r="F1835" s="10" t="inlineStr">
        <is>
          <t>Statik</t>
        </is>
      </c>
      <c r="G1835" s="12" t="n">
        <v>0.12</v>
      </c>
      <c r="H1835" s="13" t="n">
        <v>406</v>
      </c>
      <c r="I1835" s="13" t="n">
        <v>948</v>
      </c>
      <c r="J1835" s="13" t="n">
        <v>1895</v>
      </c>
      <c r="K1835" s="14">
        <f>IF(OR(COUNT(G1835:J1835)&lt;&gt;4,G1835&lt;0,G1835&gt;1,H1835&gt;I1835,I1835&gt;J1835),"n.a.",ROUND(G1835*(H1835+4*I1835+J1835)/6+0.00000001,2))</f>
        <v/>
      </c>
      <c r="L1835" s="13" t="n">
        <v>0</v>
      </c>
      <c r="M1835" s="14">
        <f>SUMIFS(Maßnahmen!$I$7:$I$126,Maßnahmen!$D$7:$D$126,C1835,Maßnahmen!$H$7:$H$126,"&lt;&gt;verworfen")</f>
        <v/>
      </c>
      <c r="N1835" s="14">
        <f>IF(ISNUMBER(K1835),MAX(0,K1835-L1835-M1835),"n.a.")</f>
        <v/>
      </c>
      <c r="O1835" s="14" t="n">
        <v>121.86</v>
      </c>
      <c r="P1835" s="14">
        <f>IF(ISNUMBER(K1835),K1835-O1835,"n.a.")</f>
        <v/>
      </c>
    </row>
    <row r="1836" ht="32" customHeight="1">
      <c r="C1836" s="10" t="inlineStr">
        <is>
          <t>PRJ-383070ee-RK-07</t>
        </is>
      </c>
      <c r="D1836" s="10" t="inlineStr">
        <is>
          <t>W4102604941</t>
        </is>
      </c>
      <c r="E1836" s="11" t="inlineStr">
        <is>
          <t>Unterirdische Tragkonstruktion / Fundamente</t>
        </is>
      </c>
      <c r="F1836" s="10" t="inlineStr">
        <is>
          <t>Statik</t>
        </is>
      </c>
      <c r="G1836" s="12" t="n">
        <v>0.5</v>
      </c>
      <c r="H1836" s="13" t="n">
        <v>68</v>
      </c>
      <c r="I1836" s="13" t="n">
        <v>271</v>
      </c>
      <c r="J1836" s="13" t="n">
        <v>677</v>
      </c>
      <c r="K1836" s="14">
        <f>IF(OR(COUNT(G1836:J1836)&lt;&gt;4,G1836&lt;0,G1836&gt;1,H1836&gt;I1836,I1836&gt;J1836),"n.a.",ROUND(G1836*(H1836+4*I1836+J1836)/6+0.00000001,2))</f>
        <v/>
      </c>
      <c r="L1836" s="13" t="n">
        <v>0</v>
      </c>
      <c r="M1836" s="14">
        <f>SUMIFS(Maßnahmen!$I$7:$I$126,Maßnahmen!$D$7:$D$126,C1836,Maßnahmen!$H$7:$H$126,"&lt;&gt;verworfen")</f>
        <v/>
      </c>
      <c r="N1836" s="14">
        <f>IF(ISNUMBER(K1836),MAX(0,K1836-L1836-M1836),"n.a.")</f>
        <v/>
      </c>
      <c r="O1836" s="14" t="n">
        <v>152.42</v>
      </c>
      <c r="P1836" s="14">
        <f>IF(ISNUMBER(K1836),K1836-O1836,"n.a.")</f>
        <v/>
      </c>
    </row>
    <row r="1837" ht="32" customHeight="1">
      <c r="C1837" s="10" t="inlineStr">
        <is>
          <t>PRJ-383070ee-RK-08</t>
        </is>
      </c>
      <c r="D1837" s="10" t="inlineStr">
        <is>
          <t>W4102604941</t>
        </is>
      </c>
      <c r="E1837" s="11" t="inlineStr">
        <is>
          <t>Gebäudehöhe &gt;22 m / Longfront-Bagger (+130–150 %)</t>
        </is>
      </c>
      <c r="F1837" s="10" t="inlineStr">
        <is>
          <t>Termin</t>
        </is>
      </c>
      <c r="G1837" s="12" t="n">
        <v>0.6</v>
      </c>
      <c r="H1837" s="13" t="n">
        <v>1218</v>
      </c>
      <c r="I1837" s="13" t="n">
        <v>2437</v>
      </c>
      <c r="J1837" s="13" t="n">
        <v>4602</v>
      </c>
      <c r="K1837" s="14">
        <f>IF(OR(COUNT(G1837:J1837)&lt;&gt;4,G1837&lt;0,G1837&gt;1,H1837&gt;I1837,I1837&gt;J1837),"n.a.",ROUND(G1837*(H1837+4*I1837+J1837)/6+0.00000001,2))</f>
        <v/>
      </c>
      <c r="L1837" s="13" t="n">
        <v>0</v>
      </c>
      <c r="M1837" s="14">
        <f>SUMIFS(Maßnahmen!$I$7:$I$126,Maßnahmen!$D$7:$D$126,C1837,Maßnahmen!$H$7:$H$126,"&lt;&gt;verworfen")</f>
        <v/>
      </c>
      <c r="N1837" s="14">
        <f>IF(ISNUMBER(K1837),MAX(0,K1837-L1837-M1837),"n.a.")</f>
        <v/>
      </c>
      <c r="O1837" s="14" t="n">
        <v>1556.8</v>
      </c>
      <c r="P1837" s="14">
        <f>IF(ISNUMBER(K1837),K1837-O1837,"n.a.")</f>
        <v/>
      </c>
    </row>
    <row r="1838" ht="32" customHeight="1">
      <c r="C1838" s="10" t="inlineStr">
        <is>
          <t>PRJ-383070ee-RK-09</t>
        </is>
      </c>
      <c r="D1838" s="10" t="inlineStr">
        <is>
          <t>W4102604941</t>
        </is>
      </c>
      <c r="E1838" s="11" t="inlineStr">
        <is>
          <t>Beennte Lage / nur Handabbruch möglich</t>
        </is>
      </c>
      <c r="F1838" s="10" t="inlineStr">
        <is>
          <t>Termin</t>
        </is>
      </c>
      <c r="G1838" s="12" t="n">
        <v>0.15</v>
      </c>
      <c r="H1838" s="13" t="n">
        <v>108</v>
      </c>
      <c r="I1838" s="13" t="n">
        <v>271</v>
      </c>
      <c r="J1838" s="13" t="n">
        <v>677</v>
      </c>
      <c r="K1838" s="14">
        <f>IF(OR(COUNT(G1838:J1838)&lt;&gt;4,G1838&lt;0,G1838&gt;1,H1838&gt;I1838,I1838&gt;J1838),"n.a.",ROUND(G1838*(H1838+4*I1838+J1838)/6+0.00000001,2))</f>
        <v/>
      </c>
      <c r="L1838" s="13" t="n">
        <v>0</v>
      </c>
      <c r="M1838" s="14">
        <f>SUMIFS(Maßnahmen!$I$7:$I$126,Maßnahmen!$D$7:$D$126,C1838,Maßnahmen!$H$7:$H$126,"&lt;&gt;verworfen")</f>
        <v/>
      </c>
      <c r="N1838" s="14">
        <f>IF(ISNUMBER(K1838),MAX(0,K1838-L1838-M1838),"n.a.")</f>
        <v/>
      </c>
      <c r="O1838" s="14" t="n">
        <v>46.73</v>
      </c>
      <c r="P1838" s="14">
        <f>IF(ISNUMBER(K1838),K1838-O1838,"n.a.")</f>
        <v/>
      </c>
    </row>
    <row r="1839" ht="32" customHeight="1">
      <c r="C1839" s="10" t="inlineStr">
        <is>
          <t>PRJ-383070ee-RK-10</t>
        </is>
      </c>
      <c r="D1839" s="10" t="inlineStr">
        <is>
          <t>W4102604941</t>
        </is>
      </c>
      <c r="E1839" s="11" t="inlineStr">
        <is>
          <t>Terminvorgabe Auftraggeber / Geräteauslastung</t>
        </is>
      </c>
      <c r="F1839" s="10" t="inlineStr">
        <is>
          <t>Termin</t>
        </is>
      </c>
      <c r="G1839" s="12" t="n">
        <v>0.1</v>
      </c>
      <c r="H1839" s="13" t="n">
        <v>108</v>
      </c>
      <c r="I1839" s="13" t="n">
        <v>271</v>
      </c>
      <c r="J1839" s="13" t="n">
        <v>677</v>
      </c>
      <c r="K1839" s="14">
        <f>IF(OR(COUNT(G1839:J1839)&lt;&gt;4,G1839&lt;0,G1839&gt;1,H1839&gt;I1839,I1839&gt;J1839),"n.a.",ROUND(G1839*(H1839+4*I1839+J1839)/6+0.00000001,2))</f>
        <v/>
      </c>
      <c r="L1839" s="13" t="n">
        <v>0</v>
      </c>
      <c r="M1839" s="14">
        <f>SUMIFS(Maßnahmen!$I$7:$I$126,Maßnahmen!$D$7:$D$126,C1839,Maßnahmen!$H$7:$H$126,"&lt;&gt;verworfen")</f>
        <v/>
      </c>
      <c r="N1839" s="14">
        <f>IF(ISNUMBER(K1839),MAX(0,K1839-L1839-M1839),"n.a.")</f>
        <v/>
      </c>
      <c r="O1839" s="14" t="n">
        <v>31.15</v>
      </c>
      <c r="P1839" s="14">
        <f>IF(ISNUMBER(K1839),K1839-O1839,"n.a.")</f>
        <v/>
      </c>
    </row>
    <row r="1840" ht="32" customHeight="1">
      <c r="C1840" s="10" t="inlineStr">
        <is>
          <t>PRJ-383070ee-RK-11</t>
        </is>
      </c>
      <c r="D1840" s="10" t="inlineStr">
        <is>
          <t>W4102604941</t>
        </is>
      </c>
      <c r="E1840" s="11" t="inlineStr">
        <is>
          <t>Witterung / Ablaufstörung</t>
        </is>
      </c>
      <c r="F1840" s="10" t="inlineStr">
        <is>
          <t>Termin</t>
        </is>
      </c>
      <c r="G1840" s="12" t="n">
        <v>0.25</v>
      </c>
      <c r="H1840" s="13" t="n">
        <v>135</v>
      </c>
      <c r="I1840" s="13" t="n">
        <v>406</v>
      </c>
      <c r="J1840" s="13" t="n">
        <v>812</v>
      </c>
      <c r="K1840" s="14">
        <f>IF(OR(COUNT(G1840:J1840)&lt;&gt;4,G1840&lt;0,G1840&gt;1,H1840&gt;I1840,I1840&gt;J1840),"n.a.",ROUND(G1840*(H1840+4*I1840+J1840)/6+0.00000001,2))</f>
        <v/>
      </c>
      <c r="L1840" s="13" t="n">
        <v>0</v>
      </c>
      <c r="M1840" s="14">
        <f>SUMIFS(Maßnahmen!$I$7:$I$126,Maßnahmen!$D$7:$D$126,C1840,Maßnahmen!$H$7:$H$126,"&lt;&gt;verworfen")</f>
        <v/>
      </c>
      <c r="N1840" s="14">
        <f>IF(ISNUMBER(K1840),MAX(0,K1840-L1840-M1840),"n.a.")</f>
        <v/>
      </c>
      <c r="O1840" s="14" t="n">
        <v>107.13</v>
      </c>
      <c r="P1840" s="14">
        <f>IF(ISNUMBER(K1840),K1840-O1840,"n.a.")</f>
        <v/>
      </c>
    </row>
    <row r="1841" ht="32" customHeight="1">
      <c r="C1841" s="10" t="inlineStr">
        <is>
          <t>PRJ-383070ee-RK-12</t>
        </is>
      </c>
      <c r="D1841" s="10" t="inlineStr">
        <is>
          <t>W4102604941</t>
        </is>
      </c>
      <c r="E1841" s="11" t="inlineStr">
        <is>
          <t>Staubemissionen (höchster Aufwand laut Umfrage)</t>
        </is>
      </c>
      <c r="F1841" s="10" t="inlineStr">
        <is>
          <t>Emissionen</t>
        </is>
      </c>
      <c r="G1841" s="12" t="n">
        <v>0.1</v>
      </c>
      <c r="H1841" s="13" t="n">
        <v>406</v>
      </c>
      <c r="I1841" s="13" t="n">
        <v>812</v>
      </c>
      <c r="J1841" s="13" t="n">
        <v>1624</v>
      </c>
      <c r="K1841" s="14">
        <f>IF(OR(COUNT(G1841:J1841)&lt;&gt;4,G1841&lt;0,G1841&gt;1,H1841&gt;I1841,I1841&gt;J1841),"n.a.",ROUND(G1841*(H1841+4*I1841+J1841)/6+0.00000001,2))</f>
        <v/>
      </c>
      <c r="L1841" s="13" t="n">
        <v>0</v>
      </c>
      <c r="M1841" s="14">
        <f>SUMIFS(Maßnahmen!$I$7:$I$126,Maßnahmen!$D$7:$D$126,C1841,Maßnahmen!$H$7:$H$126,"&lt;&gt;verworfen")</f>
        <v/>
      </c>
      <c r="N1841" s="14">
        <f>IF(ISNUMBER(K1841),MAX(0,K1841-L1841-M1841),"n.a.")</f>
        <v/>
      </c>
      <c r="O1841" s="14" t="n">
        <v>87.97</v>
      </c>
      <c r="P1841" s="14">
        <f>IF(ISNUMBER(K1841),K1841-O1841,"n.a.")</f>
        <v/>
      </c>
    </row>
    <row r="1842" ht="32" customHeight="1">
      <c r="C1842" s="10" t="inlineStr">
        <is>
          <t>PRJ-383070ee-RK-13</t>
        </is>
      </c>
      <c r="D1842" s="10" t="inlineStr">
        <is>
          <t>W4102604941</t>
        </is>
      </c>
      <c r="E1842" s="11" t="inlineStr">
        <is>
          <t>Lärm- und Erschütterungsauflagen</t>
        </is>
      </c>
      <c r="F1842" s="10" t="inlineStr">
        <is>
          <t>Emissionen</t>
        </is>
      </c>
      <c r="G1842" s="12" t="n">
        <v>0.2</v>
      </c>
      <c r="H1842" s="13" t="n">
        <v>271</v>
      </c>
      <c r="I1842" s="13" t="n">
        <v>677</v>
      </c>
      <c r="J1842" s="13" t="n">
        <v>1354</v>
      </c>
      <c r="K1842" s="14">
        <f>IF(OR(COUNT(G1842:J1842)&lt;&gt;4,G1842&lt;0,G1842&gt;1,H1842&gt;I1842,I1842&gt;J1842),"n.a.",ROUND(G1842*(H1842+4*I1842+J1842)/6+0.00000001,2))</f>
        <v/>
      </c>
      <c r="L1842" s="13" t="n">
        <v>0</v>
      </c>
      <c r="M1842" s="14">
        <f>SUMIFS(Maßnahmen!$I$7:$I$126,Maßnahmen!$D$7:$D$126,C1842,Maßnahmen!$H$7:$H$126,"&lt;&gt;verworfen")</f>
        <v/>
      </c>
      <c r="N1842" s="14">
        <f>IF(ISNUMBER(K1842),MAX(0,K1842-L1842-M1842),"n.a.")</f>
        <v/>
      </c>
      <c r="O1842" s="14" t="n">
        <v>144.43</v>
      </c>
      <c r="P1842" s="14">
        <f>IF(ISNUMBER(K1842),K1842-O1842,"n.a.")</f>
        <v/>
      </c>
    </row>
    <row r="1843" ht="32" customHeight="1">
      <c r="C1843" s="10" t="inlineStr">
        <is>
          <t>PRJ-383070ee-RK-14</t>
        </is>
      </c>
      <c r="D1843" s="10" t="inlineStr">
        <is>
          <t>W4102604941</t>
        </is>
      </c>
      <c r="E1843" s="11" t="inlineStr">
        <is>
          <t>Rechtliche Auflagen / Entsorgungsnachweise (Formalismus)</t>
        </is>
      </c>
      <c r="F1843" s="10" t="inlineStr">
        <is>
          <t>Genehmigung</t>
        </is>
      </c>
      <c r="G1843" s="12" t="n">
        <v>0.4</v>
      </c>
      <c r="H1843" s="13" t="n">
        <v>1286</v>
      </c>
      <c r="I1843" s="13" t="n">
        <v>2504</v>
      </c>
      <c r="J1843" s="13" t="n">
        <v>4738</v>
      </c>
      <c r="K1843" s="14">
        <f>IF(OR(COUNT(G1843:J1843)&lt;&gt;4,G1843&lt;0,G1843&gt;1,H1843&gt;I1843,I1843&gt;J1843),"n.a.",ROUND(G1843*(H1843+4*I1843+J1843)/6+0.00000001,2))</f>
        <v/>
      </c>
      <c r="L1843" s="13" t="n">
        <v>0</v>
      </c>
      <c r="M1843" s="14">
        <f>SUMIFS(Maßnahmen!$I$7:$I$126,Maßnahmen!$D$7:$D$126,C1843,Maßnahmen!$H$7:$H$126,"&lt;&gt;verworfen")</f>
        <v/>
      </c>
      <c r="N1843" s="14">
        <f>IF(ISNUMBER(K1843),MAX(0,K1843-L1843-M1843),"n.a.")</f>
        <v/>
      </c>
      <c r="O1843" s="14" t="n">
        <v>1069.33</v>
      </c>
      <c r="P1843" s="14">
        <f>IF(ISNUMBER(K1843),K1843-O1843,"n.a.")</f>
        <v/>
      </c>
    </row>
    <row r="1844" ht="32" customHeight="1">
      <c r="C1844" s="10" t="inlineStr">
        <is>
          <t>PRJ-383070ee-RK-15</t>
        </is>
      </c>
      <c r="D1844" s="10" t="inlineStr">
        <is>
          <t>W4102604941</t>
        </is>
      </c>
      <c r="E1844" s="11" t="inlineStr">
        <is>
          <t>Konjunktur / Sekundärstoffpreise &amp; Gerätemiete</t>
        </is>
      </c>
      <c r="F1844" s="10" t="inlineStr">
        <is>
          <t>Markt</t>
        </is>
      </c>
      <c r="G1844" s="12" t="n">
        <v>0.12</v>
      </c>
      <c r="H1844" s="13" t="n">
        <v>108</v>
      </c>
      <c r="I1844" s="13" t="n">
        <v>271</v>
      </c>
      <c r="J1844" s="13" t="n">
        <v>677</v>
      </c>
      <c r="K1844" s="14">
        <f>IF(OR(COUNT(G1844:J1844)&lt;&gt;4,G1844&lt;0,G1844&gt;1,H1844&gt;I1844,I1844&gt;J1844),"n.a.",ROUND(G1844*(H1844+4*I1844+J1844)/6+0.00000001,2))</f>
        <v/>
      </c>
      <c r="L1844" s="13" t="n">
        <v>0</v>
      </c>
      <c r="M1844" s="14">
        <f>SUMIFS(Maßnahmen!$I$7:$I$126,Maßnahmen!$D$7:$D$126,C1844,Maßnahmen!$H$7:$H$126,"&lt;&gt;verworfen")</f>
        <v/>
      </c>
      <c r="N1844" s="14">
        <f>IF(ISNUMBER(K1844),MAX(0,K1844-L1844-M1844),"n.a.")</f>
        <v/>
      </c>
      <c r="O1844" s="14" t="n">
        <v>37.38</v>
      </c>
      <c r="P1844" s="14">
        <f>IF(ISNUMBER(K1844),K1844-O1844,"n.a.")</f>
        <v/>
      </c>
    </row>
    <row r="1845" ht="32" customHeight="1">
      <c r="C1845" s="10" t="inlineStr">
        <is>
          <t>PRJ-4a2927b5-RK-01</t>
        </is>
      </c>
      <c r="D1845" s="10" t="inlineStr">
        <is>
          <t>P4102658225</t>
        </is>
      </c>
      <c r="E1845" s="11" t="inlineStr">
        <is>
          <t>Schadstofffund / Schadstoffsanierung (Asbest, PAK, PCB, PCP)</t>
        </is>
      </c>
      <c r="F1845" s="10" t="inlineStr">
        <is>
          <t>Schadstoffe</t>
        </is>
      </c>
      <c r="G1845" s="12" t="n">
        <v>0.304</v>
      </c>
      <c r="H1845" s="13" t="n">
        <v>21</v>
      </c>
      <c r="I1845" s="13" t="n">
        <v>52</v>
      </c>
      <c r="J1845" s="13" t="n">
        <v>103</v>
      </c>
      <c r="K1845" s="14">
        <f>IF(OR(COUNT(G1845:J1845)&lt;&gt;4,G1845&lt;0,G1845&gt;1,H1845&gt;I1845,I1845&gt;J1845),"n.a.",ROUND(G1845*(H1845+4*I1845+J1845)/6+0.00000001,2))</f>
        <v/>
      </c>
      <c r="L1845" s="13" t="n">
        <v>0</v>
      </c>
      <c r="M1845" s="14">
        <f>SUMIFS(Maßnahmen!$I$7:$I$126,Maßnahmen!$D$7:$D$126,C1845,Maßnahmen!$H$7:$H$126,"&lt;&gt;verworfen")</f>
        <v/>
      </c>
      <c r="N1845" s="14">
        <f>IF(ISNUMBER(K1845),MAX(0,K1845-L1845-M1845),"n.a.")</f>
        <v/>
      </c>
      <c r="O1845" s="14" t="n">
        <v>16.82</v>
      </c>
      <c r="P1845" s="14">
        <f>IF(ISNUMBER(K1845),K1845-O1845,"n.a.")</f>
        <v/>
      </c>
    </row>
    <row r="1846" ht="32" customHeight="1">
      <c r="C1846" s="10" t="inlineStr">
        <is>
          <t>PRJ-4a2927b5-RK-02</t>
        </is>
      </c>
      <c r="D1846" s="10" t="inlineStr">
        <is>
          <t>P4102658225</t>
        </is>
      </c>
      <c r="E1846" s="11" t="inlineStr">
        <is>
          <t>Arbeitsschutz kontaminierte Bereiche (TRGS 524)</t>
        </is>
      </c>
      <c r="F1846" s="10" t="inlineStr">
        <is>
          <t>Schadstoffe</t>
        </is>
      </c>
      <c r="G1846" s="12" t="n">
        <v>0.385</v>
      </c>
      <c r="H1846" s="13" t="n">
        <v>20</v>
      </c>
      <c r="I1846" s="13" t="n">
        <v>50</v>
      </c>
      <c r="J1846" s="13" t="n">
        <v>100</v>
      </c>
      <c r="K1846" s="14">
        <f>IF(OR(COUNT(G1846:J1846)&lt;&gt;4,G1846&lt;0,G1846&gt;1,H1846&gt;I1846,I1846&gt;J1846),"n.a.",ROUND(G1846*(H1846+4*I1846+J1846)/6+0.00000001,2))</f>
        <v/>
      </c>
      <c r="L1846" s="13" t="n">
        <v>0</v>
      </c>
      <c r="M1846" s="14">
        <f>SUMIFS(Maßnahmen!$I$7:$I$126,Maßnahmen!$D$7:$D$126,C1846,Maßnahmen!$H$7:$H$126,"&lt;&gt;verworfen")</f>
        <v/>
      </c>
      <c r="N1846" s="14">
        <f>IF(ISNUMBER(K1846),MAX(0,K1846-L1846-M1846),"n.a.")</f>
        <v/>
      </c>
      <c r="O1846" s="14" t="n">
        <v>20.53</v>
      </c>
      <c r="P1846" s="14">
        <f>IF(ISNUMBER(K1846),K1846-O1846,"n.a.")</f>
        <v/>
      </c>
    </row>
    <row r="1847" ht="32" customHeight="1">
      <c r="C1847" s="10" t="inlineStr">
        <is>
          <t>PRJ-4a2927b5-RK-03</t>
        </is>
      </c>
      <c r="D1847" s="10" t="inlineStr">
        <is>
          <t>P4102658225</t>
        </is>
      </c>
      <c r="E1847" s="11" t="inlineStr">
        <is>
          <t>Entsorgungs-Mehrkosten / Entsorgungswege</t>
        </is>
      </c>
      <c r="F1847" s="10" t="inlineStr">
        <is>
          <t>Entsorgung</t>
        </is>
      </c>
      <c r="G1847" s="12" t="n">
        <v>0.55</v>
      </c>
      <c r="H1847" s="13" t="n">
        <v>220</v>
      </c>
      <c r="I1847" s="13" t="n">
        <v>400</v>
      </c>
      <c r="J1847" s="13" t="n">
        <v>650</v>
      </c>
      <c r="K1847" s="14">
        <f>IF(OR(COUNT(G1847:J1847)&lt;&gt;4,G1847&lt;0,G1847&gt;1,H1847&gt;I1847,I1847&gt;J1847),"n.a.",ROUND(G1847*(H1847+4*I1847+J1847)/6+0.00000001,2))</f>
        <v/>
      </c>
      <c r="L1847" s="13" t="n">
        <v>0</v>
      </c>
      <c r="M1847" s="14">
        <f>SUMIFS(Maßnahmen!$I$7:$I$126,Maßnahmen!$D$7:$D$126,C1847,Maßnahmen!$H$7:$H$126,"&lt;&gt;verworfen")</f>
        <v/>
      </c>
      <c r="N1847" s="14">
        <f>IF(ISNUMBER(K1847),MAX(0,K1847-L1847-M1847),"n.a.")</f>
        <v/>
      </c>
      <c r="O1847" s="14" t="n">
        <v>226.42</v>
      </c>
      <c r="P1847" s="14">
        <f>IF(ISNUMBER(K1847),K1847-O1847,"n.a.")</f>
        <v/>
      </c>
    </row>
    <row r="1848" ht="32" customHeight="1">
      <c r="C1848" s="10" t="inlineStr">
        <is>
          <t>PRJ-4a6f9d3b-RK-08</t>
        </is>
      </c>
      <c r="D1848" s="10" t="inlineStr">
        <is>
          <t>P4102608224</t>
        </is>
      </c>
      <c r="E1848" s="11" t="inlineStr">
        <is>
          <t>Gebäudehöhe &gt;22 m / Longfront-Bagger (+130–150 %)</t>
        </is>
      </c>
      <c r="F1848" s="10" t="inlineStr">
        <is>
          <t>Termin</t>
        </is>
      </c>
      <c r="G1848" s="12" t="n">
        <v>0.504</v>
      </c>
      <c r="H1848" s="13" t="n">
        <v>125</v>
      </c>
      <c r="I1848" s="13" t="n">
        <v>253</v>
      </c>
      <c r="J1848" s="13" t="n">
        <v>480</v>
      </c>
      <c r="K1848" s="14">
        <f>IF(OR(COUNT(G1848:J1848)&lt;&gt;4,G1848&lt;0,G1848&gt;1,H1848&gt;I1848,I1848&gt;J1848),"n.a.",ROUND(G1848*(H1848+4*I1848+J1848)/6+0.00000001,2))</f>
        <v/>
      </c>
      <c r="L1848" s="13" t="n">
        <v>0</v>
      </c>
      <c r="M1848" s="14">
        <f>SUMIFS(Maßnahmen!$I$7:$I$126,Maßnahmen!$D$7:$D$126,C1848,Maßnahmen!$H$7:$H$126,"&lt;&gt;verworfen")</f>
        <v/>
      </c>
      <c r="N1848" s="14">
        <f>IF(ISNUMBER(K1848),MAX(0,K1848-L1848-M1848),"n.a.")</f>
        <v/>
      </c>
      <c r="O1848" s="14" t="n">
        <v>135.83</v>
      </c>
      <c r="P1848" s="14">
        <f>IF(ISNUMBER(K1848),K1848-O1848,"n.a.")</f>
        <v/>
      </c>
    </row>
    <row r="1849" ht="32" customHeight="1">
      <c r="C1849" s="10" t="inlineStr">
        <is>
          <t>PRJ-4a6f9d3b-RK-09</t>
        </is>
      </c>
      <c r="D1849" s="10" t="inlineStr">
        <is>
          <t>P4102608224</t>
        </is>
      </c>
      <c r="E1849" s="11" t="inlineStr">
        <is>
          <t>Beennte Lage / nur Handabbruch möglich</t>
        </is>
      </c>
      <c r="F1849" s="10" t="inlineStr">
        <is>
          <t>Termin</t>
        </is>
      </c>
      <c r="G1849" s="12" t="n">
        <v>0.15</v>
      </c>
      <c r="H1849" s="13" t="n">
        <v>14</v>
      </c>
      <c r="I1849" s="13" t="n">
        <v>35</v>
      </c>
      <c r="J1849" s="13" t="n">
        <v>88</v>
      </c>
      <c r="K1849" s="14">
        <f>IF(OR(COUNT(G1849:J1849)&lt;&gt;4,G1849&lt;0,G1849&gt;1,H1849&gt;I1849,I1849&gt;J1849),"n.a.",ROUND(G1849*(H1849+4*I1849+J1849)/6+0.00000001,2))</f>
        <v/>
      </c>
      <c r="L1849" s="13" t="n">
        <v>0</v>
      </c>
      <c r="M1849" s="14">
        <f>SUMIFS(Maßnahmen!$I$7:$I$126,Maßnahmen!$D$7:$D$126,C1849,Maßnahmen!$H$7:$H$126,"&lt;&gt;verworfen")</f>
        <v/>
      </c>
      <c r="N1849" s="14">
        <f>IF(ISNUMBER(K1849),MAX(0,K1849-L1849-M1849),"n.a.")</f>
        <v/>
      </c>
      <c r="O1849" s="14" t="n">
        <v>6.05</v>
      </c>
      <c r="P1849" s="14">
        <f>IF(ISNUMBER(K1849),K1849-O1849,"n.a.")</f>
        <v/>
      </c>
    </row>
    <row r="1850" ht="32" customHeight="1">
      <c r="C1850" s="10" t="inlineStr">
        <is>
          <t>PRJ-4a6f9d3b-RK-10</t>
        </is>
      </c>
      <c r="D1850" s="10" t="inlineStr">
        <is>
          <t>P4102608224</t>
        </is>
      </c>
      <c r="E1850" s="11" t="inlineStr">
        <is>
          <t>Terminvorgabe Auftraggeber / Geräteauslastung</t>
        </is>
      </c>
      <c r="F1850" s="10" t="inlineStr">
        <is>
          <t>Termin</t>
        </is>
      </c>
      <c r="G1850" s="12" t="n">
        <v>0.08</v>
      </c>
      <c r="H1850" s="13" t="n">
        <v>9</v>
      </c>
      <c r="I1850" s="13" t="n">
        <v>18</v>
      </c>
      <c r="J1850" s="13" t="n">
        <v>35</v>
      </c>
      <c r="K1850" s="14">
        <f>IF(OR(COUNT(G1850:J1850)&lt;&gt;4,G1850&lt;0,G1850&gt;1,H1850&gt;I1850,I1850&gt;J1850),"n.a.",ROUND(G1850*(H1850+4*I1850+J1850)/6+0.00000001,2))</f>
        <v/>
      </c>
      <c r="L1850" s="13" t="n">
        <v>0</v>
      </c>
      <c r="M1850" s="14">
        <f>SUMIFS(Maßnahmen!$I$7:$I$126,Maßnahmen!$D$7:$D$126,C1850,Maßnahmen!$H$7:$H$126,"&lt;&gt;verworfen")</f>
        <v/>
      </c>
      <c r="N1850" s="14">
        <f>IF(ISNUMBER(K1850),MAX(0,K1850-L1850-M1850),"n.a.")</f>
        <v/>
      </c>
      <c r="O1850" s="14" t="n">
        <v>1.55</v>
      </c>
      <c r="P1850" s="14">
        <f>IF(ISNUMBER(K1850),K1850-O1850,"n.a.")</f>
        <v/>
      </c>
    </row>
    <row r="1851" ht="32" customHeight="1">
      <c r="C1851" s="10" t="inlineStr">
        <is>
          <t>PRJ-4a6f9d3b-RK-11</t>
        </is>
      </c>
      <c r="D1851" s="10" t="inlineStr">
        <is>
          <t>P4102608224</t>
        </is>
      </c>
      <c r="E1851" s="11" t="inlineStr">
        <is>
          <t>Witterung / Ablaufstörung</t>
        </is>
      </c>
      <c r="F1851" s="10" t="inlineStr">
        <is>
          <t>Termin</t>
        </is>
      </c>
      <c r="G1851" s="12" t="n">
        <v>0.25</v>
      </c>
      <c r="H1851" s="13" t="n">
        <v>18</v>
      </c>
      <c r="I1851" s="13" t="n">
        <v>53</v>
      </c>
      <c r="J1851" s="13" t="n">
        <v>106</v>
      </c>
      <c r="K1851" s="14">
        <f>IF(OR(COUNT(G1851:J1851)&lt;&gt;4,G1851&lt;0,G1851&gt;1,H1851&gt;I1851,I1851&gt;J1851),"n.a.",ROUND(G1851*(H1851+4*I1851+J1851)/6+0.00000001,2))</f>
        <v/>
      </c>
      <c r="L1851" s="13" t="n">
        <v>0</v>
      </c>
      <c r="M1851" s="14">
        <f>SUMIFS(Maßnahmen!$I$7:$I$126,Maßnahmen!$D$7:$D$126,C1851,Maßnahmen!$H$7:$H$126,"&lt;&gt;verworfen")</f>
        <v/>
      </c>
      <c r="N1851" s="14">
        <f>IF(ISNUMBER(K1851),MAX(0,K1851-L1851-M1851),"n.a.")</f>
        <v/>
      </c>
      <c r="O1851" s="14" t="n">
        <v>14</v>
      </c>
      <c r="P1851" s="14">
        <f>IF(ISNUMBER(K1851),K1851-O1851,"n.a.")</f>
        <v/>
      </c>
    </row>
    <row r="1852" ht="32" customHeight="1">
      <c r="C1852" s="10" t="inlineStr">
        <is>
          <t>PRJ-4a6f9d3b-RK-12</t>
        </is>
      </c>
      <c r="D1852" s="10" t="inlineStr">
        <is>
          <t>P4102608224</t>
        </is>
      </c>
      <c r="E1852" s="11" t="inlineStr">
        <is>
          <t>Staubemissionen (höchster Aufwand laut Umfrage)</t>
        </is>
      </c>
      <c r="F1852" s="10" t="inlineStr">
        <is>
          <t>Emissionen</t>
        </is>
      </c>
      <c r="G1852" s="12" t="n">
        <v>0.1</v>
      </c>
      <c r="H1852" s="13" t="n">
        <v>53</v>
      </c>
      <c r="I1852" s="13" t="n">
        <v>106</v>
      </c>
      <c r="J1852" s="13" t="n">
        <v>211</v>
      </c>
      <c r="K1852" s="14">
        <f>IF(OR(COUNT(G1852:J1852)&lt;&gt;4,G1852&lt;0,G1852&gt;1,H1852&gt;I1852,I1852&gt;J1852),"n.a.",ROUND(G1852*(H1852+4*I1852+J1852)/6+0.00000001,2))</f>
        <v/>
      </c>
      <c r="L1852" s="13" t="n">
        <v>0</v>
      </c>
      <c r="M1852" s="14">
        <f>SUMIFS(Maßnahmen!$I$7:$I$126,Maßnahmen!$D$7:$D$126,C1852,Maßnahmen!$H$7:$H$126,"&lt;&gt;verworfen")</f>
        <v/>
      </c>
      <c r="N1852" s="14">
        <f>IF(ISNUMBER(K1852),MAX(0,K1852-L1852-M1852),"n.a.")</f>
        <v/>
      </c>
      <c r="O1852" s="14" t="n">
        <v>11.47</v>
      </c>
      <c r="P1852" s="14">
        <f>IF(ISNUMBER(K1852),K1852-O1852,"n.a.")</f>
        <v/>
      </c>
    </row>
    <row r="1853" ht="32" customHeight="1">
      <c r="C1853" s="10" t="inlineStr">
        <is>
          <t>PRJ-4a6f9d3b-RK-13</t>
        </is>
      </c>
      <c r="D1853" s="10" t="inlineStr">
        <is>
          <t>P4102608224</t>
        </is>
      </c>
      <c r="E1853" s="11" t="inlineStr">
        <is>
          <t>Lärm- und Erschütterungsauflagen</t>
        </is>
      </c>
      <c r="F1853" s="10" t="inlineStr">
        <is>
          <t>Emissionen</t>
        </is>
      </c>
      <c r="G1853" s="12" t="n">
        <v>0.2</v>
      </c>
      <c r="H1853" s="13" t="n">
        <v>35</v>
      </c>
      <c r="I1853" s="13" t="n">
        <v>88</v>
      </c>
      <c r="J1853" s="13" t="n">
        <v>176</v>
      </c>
      <c r="K1853" s="14">
        <f>IF(OR(COUNT(G1853:J1853)&lt;&gt;4,G1853&lt;0,G1853&gt;1,H1853&gt;I1853,I1853&gt;J1853),"n.a.",ROUND(G1853*(H1853+4*I1853+J1853)/6+0.00000001,2))</f>
        <v/>
      </c>
      <c r="L1853" s="13" t="n">
        <v>0</v>
      </c>
      <c r="M1853" s="14">
        <f>SUMIFS(Maßnahmen!$I$7:$I$126,Maßnahmen!$D$7:$D$126,C1853,Maßnahmen!$H$7:$H$126,"&lt;&gt;verworfen")</f>
        <v/>
      </c>
      <c r="N1853" s="14">
        <f>IF(ISNUMBER(K1853),MAX(0,K1853-L1853-M1853),"n.a.")</f>
        <v/>
      </c>
      <c r="O1853" s="14" t="n">
        <v>18.77</v>
      </c>
      <c r="P1853" s="14">
        <f>IF(ISNUMBER(K1853),K1853-O1853,"n.a.")</f>
        <v/>
      </c>
    </row>
    <row r="1854" ht="32" customHeight="1">
      <c r="C1854" s="10" t="inlineStr">
        <is>
          <t>PRJ-4a6f9d3b-RK-14</t>
        </is>
      </c>
      <c r="D1854" s="10" t="inlineStr">
        <is>
          <t>P4102608224</t>
        </is>
      </c>
      <c r="E1854" s="11" t="inlineStr">
        <is>
          <t>Rechtliche Auflagen / Entsorgungsnachweise (Formalismus)</t>
        </is>
      </c>
      <c r="F1854" s="10" t="inlineStr">
        <is>
          <t>Genehmigung</t>
        </is>
      </c>
      <c r="G1854" s="12" t="n">
        <v>0.386</v>
      </c>
      <c r="H1854" s="13" t="n">
        <v>133</v>
      </c>
      <c r="I1854" s="13" t="n">
        <v>262</v>
      </c>
      <c r="J1854" s="13" t="n">
        <v>497</v>
      </c>
      <c r="K1854" s="14">
        <f>IF(OR(COUNT(G1854:J1854)&lt;&gt;4,G1854&lt;0,G1854&gt;1,H1854&gt;I1854,I1854&gt;J1854),"n.a.",ROUND(G1854*(H1854+4*I1854+J1854)/6+0.00000001,2))</f>
        <v/>
      </c>
      <c r="L1854" s="13" t="n">
        <v>0</v>
      </c>
      <c r="M1854" s="14">
        <f>SUMIFS(Maßnahmen!$I$7:$I$126,Maßnahmen!$D$7:$D$126,C1854,Maßnahmen!$H$7:$H$126,"&lt;&gt;verworfen")</f>
        <v/>
      </c>
      <c r="N1854" s="14">
        <f>IF(ISNUMBER(K1854),MAX(0,K1854-L1854-M1854),"n.a.")</f>
        <v/>
      </c>
      <c r="O1854" s="14" t="n">
        <v>107.95</v>
      </c>
      <c r="P1854" s="14">
        <f>IF(ISNUMBER(K1854),K1854-O1854,"n.a.")</f>
        <v/>
      </c>
    </row>
    <row r="1855" ht="32" customHeight="1">
      <c r="C1855" s="10" t="inlineStr">
        <is>
          <t>PRJ-4a6f9d3b-RK-15</t>
        </is>
      </c>
      <c r="D1855" s="10" t="inlineStr">
        <is>
          <t>P4102608224</t>
        </is>
      </c>
      <c r="E1855" s="11" t="inlineStr">
        <is>
          <t>Konjunktur / Sekundärstoffpreise &amp; Gerätemiete</t>
        </is>
      </c>
      <c r="F1855" s="10" t="inlineStr">
        <is>
          <t>Markt</t>
        </is>
      </c>
      <c r="G1855" s="12" t="n">
        <v>0.12</v>
      </c>
      <c r="H1855" s="13" t="n">
        <v>14</v>
      </c>
      <c r="I1855" s="13" t="n">
        <v>35</v>
      </c>
      <c r="J1855" s="13" t="n">
        <v>88</v>
      </c>
      <c r="K1855" s="14">
        <f>IF(OR(COUNT(G1855:J1855)&lt;&gt;4,G1855&lt;0,G1855&gt;1,H1855&gt;I1855,I1855&gt;J1855),"n.a.",ROUND(G1855*(H1855+4*I1855+J1855)/6+0.00000001,2))</f>
        <v/>
      </c>
      <c r="L1855" s="13" t="n">
        <v>0</v>
      </c>
      <c r="M1855" s="14">
        <f>SUMIFS(Maßnahmen!$I$7:$I$126,Maßnahmen!$D$7:$D$126,C1855,Maßnahmen!$H$7:$H$126,"&lt;&gt;verworfen")</f>
        <v/>
      </c>
      <c r="N1855" s="14">
        <f>IF(ISNUMBER(K1855),MAX(0,K1855-L1855-M1855),"n.a.")</f>
        <v/>
      </c>
      <c r="O1855" s="14" t="n">
        <v>4.84</v>
      </c>
      <c r="P1855" s="14">
        <f>IF(ISNUMBER(K1855),K1855-O1855,"n.a.")</f>
        <v/>
      </c>
    </row>
    <row r="1856" ht="32" customHeight="1">
      <c r="C1856" s="10" t="inlineStr">
        <is>
          <t>PRJ-4a2927b5-RK-04</t>
        </is>
      </c>
      <c r="D1856" s="10" t="inlineStr">
        <is>
          <t>P4102658225</t>
        </is>
      </c>
      <c r="E1856" s="11" t="inlineStr">
        <is>
          <t>Baustofftrennung / Aufbereitung nicht wie geplant</t>
        </is>
      </c>
      <c r="F1856" s="10" t="inlineStr">
        <is>
          <t>Entsorgung</t>
        </is>
      </c>
      <c r="G1856" s="12" t="n">
        <v>0.1</v>
      </c>
      <c r="H1856" s="13" t="n">
        <v>20</v>
      </c>
      <c r="I1856" s="13" t="n">
        <v>50</v>
      </c>
      <c r="J1856" s="13" t="n">
        <v>100</v>
      </c>
      <c r="K1856" s="14">
        <f>IF(OR(COUNT(G1856:J1856)&lt;&gt;4,G1856&lt;0,G1856&gt;1,H1856&gt;I1856,I1856&gt;J1856),"n.a.",ROUND(G1856*(H1856+4*I1856+J1856)/6+0.00000001,2))</f>
        <v/>
      </c>
      <c r="L1856" s="13" t="n">
        <v>0</v>
      </c>
      <c r="M1856" s="14">
        <f>SUMIFS(Maßnahmen!$I$7:$I$126,Maßnahmen!$D$7:$D$126,C1856,Maßnahmen!$H$7:$H$126,"&lt;&gt;verworfen")</f>
        <v/>
      </c>
      <c r="N1856" s="14">
        <f>IF(ISNUMBER(K1856),MAX(0,K1856-L1856-M1856),"n.a.")</f>
        <v/>
      </c>
      <c r="O1856" s="14" t="n">
        <v>5.33</v>
      </c>
      <c r="P1856" s="14">
        <f>IF(ISNUMBER(K1856),K1856-O1856,"n.a.")</f>
        <v/>
      </c>
    </row>
    <row r="1857" ht="32" customHeight="1">
      <c r="C1857" s="10" t="inlineStr">
        <is>
          <t>PRJ-4a2927b5-RK-05</t>
        </is>
      </c>
      <c r="D1857" s="10" t="inlineStr">
        <is>
          <t>P4102658225</t>
        </is>
      </c>
      <c r="E1857" s="11" t="inlineStr">
        <is>
          <t>Unbekannte Bauwerkskonstruktion / fehlende Pläne</t>
        </is>
      </c>
      <c r="F1857" s="10" t="inlineStr">
        <is>
          <t>Statik</t>
        </is>
      </c>
      <c r="G1857" s="12" t="n">
        <v>0.12</v>
      </c>
      <c r="H1857" s="13" t="n">
        <v>40</v>
      </c>
      <c r="I1857" s="13" t="n">
        <v>80</v>
      </c>
      <c r="J1857" s="13" t="n">
        <v>150</v>
      </c>
      <c r="K1857" s="14">
        <f>IF(OR(COUNT(G1857:J1857)&lt;&gt;4,G1857&lt;0,G1857&gt;1,H1857&gt;I1857,I1857&gt;J1857),"n.a.",ROUND(G1857*(H1857+4*I1857+J1857)/6+0.00000001,2))</f>
        <v/>
      </c>
      <c r="L1857" s="13" t="n">
        <v>0</v>
      </c>
      <c r="M1857" s="14">
        <f>SUMIFS(Maßnahmen!$I$7:$I$126,Maßnahmen!$D$7:$D$126,C1857,Maßnahmen!$H$7:$H$126,"&lt;&gt;verworfen")</f>
        <v/>
      </c>
      <c r="N1857" s="14">
        <f>IF(ISNUMBER(K1857),MAX(0,K1857-L1857-M1857),"n.a.")</f>
        <v/>
      </c>
      <c r="O1857" s="14" t="n">
        <v>10.2</v>
      </c>
      <c r="P1857" s="14">
        <f>IF(ISNUMBER(K1857),K1857-O1857,"n.a.")</f>
        <v/>
      </c>
    </row>
    <row r="1858" ht="32" customHeight="1">
      <c r="C1858" s="10" t="inlineStr">
        <is>
          <t>PRJ-4a2927b5-RK-06</t>
        </is>
      </c>
      <c r="D1858" s="10" t="inlineStr">
        <is>
          <t>P4102658225</t>
        </is>
      </c>
      <c r="E1858" s="11" t="inlineStr">
        <is>
          <t>Statik / Einsturzsicherung während Abbruch</t>
        </is>
      </c>
      <c r="F1858" s="10" t="inlineStr">
        <is>
          <t>Statik</t>
        </is>
      </c>
      <c r="G1858" s="12" t="n">
        <v>0.37</v>
      </c>
      <c r="H1858" s="13" t="n">
        <v>180</v>
      </c>
      <c r="I1858" s="13" t="n">
        <v>320</v>
      </c>
      <c r="J1858" s="13" t="n">
        <v>540</v>
      </c>
      <c r="K1858" s="14">
        <f>IF(OR(COUNT(G1858:J1858)&lt;&gt;4,G1858&lt;0,G1858&gt;1,H1858&gt;I1858,I1858&gt;J1858),"n.a.",ROUND(G1858*(H1858+4*I1858+J1858)/6+0.00000001,2))</f>
        <v/>
      </c>
      <c r="L1858" s="13" t="n">
        <v>0</v>
      </c>
      <c r="M1858" s="14">
        <f>SUMIFS(Maßnahmen!$I$7:$I$126,Maßnahmen!$D$7:$D$126,C1858,Maßnahmen!$H$7:$H$126,"&lt;&gt;verworfen")</f>
        <v/>
      </c>
      <c r="N1858" s="14">
        <f>IF(ISNUMBER(K1858),MAX(0,K1858-L1858-M1858),"n.a.")</f>
        <v/>
      </c>
      <c r="O1858" s="14" t="n">
        <v>123.33</v>
      </c>
      <c r="P1858" s="14">
        <f>IF(ISNUMBER(K1858),K1858-O1858,"n.a.")</f>
        <v/>
      </c>
    </row>
    <row r="1859" ht="32" customHeight="1">
      <c r="C1859" s="10" t="inlineStr">
        <is>
          <t>PRJ-4a2927b5-RK-07</t>
        </is>
      </c>
      <c r="D1859" s="10" t="inlineStr">
        <is>
          <t>P4102658225</t>
        </is>
      </c>
      <c r="E1859" s="11" t="inlineStr">
        <is>
          <t>Unterirdische Tragkonstruktion / Fundamente</t>
        </is>
      </c>
      <c r="F1859" s="10" t="inlineStr">
        <is>
          <t>Statik</t>
        </is>
      </c>
      <c r="G1859" s="12" t="n">
        <v>0.4</v>
      </c>
      <c r="H1859" s="13" t="n">
        <v>55</v>
      </c>
      <c r="I1859" s="13" t="n">
        <v>100</v>
      </c>
      <c r="J1859" s="13" t="n">
        <v>200</v>
      </c>
      <c r="K1859" s="14">
        <f>IF(OR(COUNT(G1859:J1859)&lt;&gt;4,G1859&lt;0,G1859&gt;1,H1859&gt;I1859,I1859&gt;J1859),"n.a.",ROUND(G1859*(H1859+4*I1859+J1859)/6+0.00000001,2))</f>
        <v/>
      </c>
      <c r="L1859" s="13" t="n">
        <v>0</v>
      </c>
      <c r="M1859" s="14">
        <f>SUMIFS(Maßnahmen!$I$7:$I$126,Maßnahmen!$D$7:$D$126,C1859,Maßnahmen!$H$7:$H$126,"&lt;&gt;verworfen")</f>
        <v/>
      </c>
      <c r="N1859" s="14">
        <f>IF(ISNUMBER(K1859),MAX(0,K1859-L1859-M1859),"n.a.")</f>
        <v/>
      </c>
      <c r="O1859" s="14" t="n">
        <v>43.67</v>
      </c>
      <c r="P1859" s="14">
        <f>IF(ISNUMBER(K1859),K1859-O1859,"n.a.")</f>
        <v/>
      </c>
    </row>
    <row r="1860" ht="32" customHeight="1">
      <c r="C1860" s="10" t="inlineStr">
        <is>
          <t>PRJ-4a2927b5-RK-08</t>
        </is>
      </c>
      <c r="D1860" s="10" t="inlineStr">
        <is>
          <t>P4102658225</t>
        </is>
      </c>
      <c r="E1860" s="11" t="inlineStr">
        <is>
          <t>Gebäudehöhe &gt;22 m / Longfront-Bagger (+130–150 %)</t>
        </is>
      </c>
      <c r="F1860" s="10" t="inlineStr">
        <is>
          <t>Termin</t>
        </is>
      </c>
      <c r="G1860" s="12" t="n">
        <v>0.503</v>
      </c>
      <c r="H1860" s="13" t="n">
        <v>71</v>
      </c>
      <c r="I1860" s="13" t="n">
        <v>144</v>
      </c>
      <c r="J1860" s="13" t="n">
        <v>272</v>
      </c>
      <c r="K1860" s="14">
        <f>IF(OR(COUNT(G1860:J1860)&lt;&gt;4,G1860&lt;0,G1860&gt;1,H1860&gt;I1860,I1860&gt;J1860),"n.a.",ROUND(G1860*(H1860+4*I1860+J1860)/6+0.00000001,2))</f>
        <v/>
      </c>
      <c r="L1860" s="13" t="n">
        <v>0</v>
      </c>
      <c r="M1860" s="14">
        <f>SUMIFS(Maßnahmen!$I$7:$I$126,Maßnahmen!$D$7:$D$126,C1860,Maßnahmen!$H$7:$H$126,"&lt;&gt;verworfen")</f>
        <v/>
      </c>
      <c r="N1860" s="14">
        <f>IF(ISNUMBER(K1860),MAX(0,K1860-L1860-M1860),"n.a.")</f>
        <v/>
      </c>
      <c r="O1860" s="14" t="n">
        <v>77.04000000000001</v>
      </c>
      <c r="P1860" s="14">
        <f>IF(ISNUMBER(K1860),K1860-O1860,"n.a.")</f>
        <v/>
      </c>
    </row>
    <row r="1861" ht="32" customHeight="1">
      <c r="C1861" s="10" t="inlineStr">
        <is>
          <t>PRJ-4a2927b5-RK-09</t>
        </is>
      </c>
      <c r="D1861" s="10" t="inlineStr">
        <is>
          <t>P4102658225</t>
        </is>
      </c>
      <c r="E1861" s="11" t="inlineStr">
        <is>
          <t>Beennte Lage / nur Handabbruch möglich</t>
        </is>
      </c>
      <c r="F1861" s="10" t="inlineStr">
        <is>
          <t>Termin</t>
        </is>
      </c>
      <c r="G1861" s="12" t="n">
        <v>0.15</v>
      </c>
      <c r="H1861" s="13" t="n">
        <v>8</v>
      </c>
      <c r="I1861" s="13" t="n">
        <v>20</v>
      </c>
      <c r="J1861" s="13" t="n">
        <v>50</v>
      </c>
      <c r="K1861" s="14">
        <f>IF(OR(COUNT(G1861:J1861)&lt;&gt;4,G1861&lt;0,G1861&gt;1,H1861&gt;I1861,I1861&gt;J1861),"n.a.",ROUND(G1861*(H1861+4*I1861+J1861)/6+0.00000001,2))</f>
        <v/>
      </c>
      <c r="L1861" s="13" t="n">
        <v>0</v>
      </c>
      <c r="M1861" s="14">
        <f>SUMIFS(Maßnahmen!$I$7:$I$126,Maßnahmen!$D$7:$D$126,C1861,Maßnahmen!$H$7:$H$126,"&lt;&gt;verworfen")</f>
        <v/>
      </c>
      <c r="N1861" s="14">
        <f>IF(ISNUMBER(K1861),MAX(0,K1861-L1861-M1861),"n.a.")</f>
        <v/>
      </c>
      <c r="O1861" s="14" t="n">
        <v>3.45</v>
      </c>
      <c r="P1861" s="14">
        <f>IF(ISNUMBER(K1861),K1861-O1861,"n.a.")</f>
        <v/>
      </c>
    </row>
    <row r="1862" ht="32" customHeight="1">
      <c r="C1862" s="10" t="inlineStr">
        <is>
          <t>PRJ-4a2927b5-RK-10</t>
        </is>
      </c>
      <c r="D1862" s="10" t="inlineStr">
        <is>
          <t>P4102658225</t>
        </is>
      </c>
      <c r="E1862" s="11" t="inlineStr">
        <is>
          <t>Terminvorgabe Auftraggeber / Geräteauslastung</t>
        </is>
      </c>
      <c r="F1862" s="10" t="inlineStr">
        <is>
          <t>Termin</t>
        </is>
      </c>
      <c r="G1862" s="12" t="n">
        <v>0.2</v>
      </c>
      <c r="H1862" s="13" t="n">
        <v>8</v>
      </c>
      <c r="I1862" s="13" t="n">
        <v>20</v>
      </c>
      <c r="J1862" s="13" t="n">
        <v>50</v>
      </c>
      <c r="K1862" s="14">
        <f>IF(OR(COUNT(G1862:J1862)&lt;&gt;4,G1862&lt;0,G1862&gt;1,H1862&gt;I1862,I1862&gt;J1862),"n.a.",ROUND(G1862*(H1862+4*I1862+J1862)/6+0.00000001,2))</f>
        <v/>
      </c>
      <c r="L1862" s="13" t="n">
        <v>0</v>
      </c>
      <c r="M1862" s="14">
        <f>SUMIFS(Maßnahmen!$I$7:$I$126,Maßnahmen!$D$7:$D$126,C1862,Maßnahmen!$H$7:$H$126,"&lt;&gt;verworfen")</f>
        <v/>
      </c>
      <c r="N1862" s="14">
        <f>IF(ISNUMBER(K1862),MAX(0,K1862-L1862-M1862),"n.a.")</f>
        <v/>
      </c>
      <c r="O1862" s="14" t="n">
        <v>4.6</v>
      </c>
      <c r="P1862" s="14">
        <f>IF(ISNUMBER(K1862),K1862-O1862,"n.a.")</f>
        <v/>
      </c>
    </row>
    <row r="1863" ht="32" customHeight="1">
      <c r="C1863" s="10" t="inlineStr">
        <is>
          <t>PRJ-4a2927b5-RK-11</t>
        </is>
      </c>
      <c r="D1863" s="10" t="inlineStr">
        <is>
          <t>P4102658225</t>
        </is>
      </c>
      <c r="E1863" s="11" t="inlineStr">
        <is>
          <t>Witterung / Ablaufstörung</t>
        </is>
      </c>
      <c r="F1863" s="10" t="inlineStr">
        <is>
          <t>Termin</t>
        </is>
      </c>
      <c r="G1863" s="12" t="n">
        <v>0.25</v>
      </c>
      <c r="H1863" s="13" t="n">
        <v>10</v>
      </c>
      <c r="I1863" s="13" t="n">
        <v>30</v>
      </c>
      <c r="J1863" s="13" t="n">
        <v>60</v>
      </c>
      <c r="K1863" s="14">
        <f>IF(OR(COUNT(G1863:J1863)&lt;&gt;4,G1863&lt;0,G1863&gt;1,H1863&gt;I1863,I1863&gt;J1863),"n.a.",ROUND(G1863*(H1863+4*I1863+J1863)/6+0.00000001,2))</f>
        <v/>
      </c>
      <c r="L1863" s="13" t="n">
        <v>0</v>
      </c>
      <c r="M1863" s="14">
        <f>SUMIFS(Maßnahmen!$I$7:$I$126,Maßnahmen!$D$7:$D$126,C1863,Maßnahmen!$H$7:$H$126,"&lt;&gt;verworfen")</f>
        <v/>
      </c>
      <c r="N1863" s="14">
        <f>IF(ISNUMBER(K1863),MAX(0,K1863-L1863-M1863),"n.a.")</f>
        <v/>
      </c>
      <c r="O1863" s="14" t="n">
        <v>7.92</v>
      </c>
      <c r="P1863" s="14">
        <f>IF(ISNUMBER(K1863),K1863-O1863,"n.a.")</f>
        <v/>
      </c>
    </row>
    <row r="1864" ht="32" customHeight="1">
      <c r="C1864" s="10" t="inlineStr">
        <is>
          <t>PRJ-4a2927b5-RK-12</t>
        </is>
      </c>
      <c r="D1864" s="10" t="inlineStr">
        <is>
          <t>P4102658225</t>
        </is>
      </c>
      <c r="E1864" s="11" t="inlineStr">
        <is>
          <t>Staubemissionen (höchster Aufwand laut Umfrage)</t>
        </is>
      </c>
      <c r="F1864" s="10" t="inlineStr">
        <is>
          <t>Emissionen</t>
        </is>
      </c>
      <c r="G1864" s="12" t="n">
        <v>0.1</v>
      </c>
      <c r="H1864" s="13" t="n">
        <v>30</v>
      </c>
      <c r="I1864" s="13" t="n">
        <v>60</v>
      </c>
      <c r="J1864" s="13" t="n">
        <v>120</v>
      </c>
      <c r="K1864" s="14">
        <f>IF(OR(COUNT(G1864:J1864)&lt;&gt;4,G1864&lt;0,G1864&gt;1,H1864&gt;I1864,I1864&gt;J1864),"n.a.",ROUND(G1864*(H1864+4*I1864+J1864)/6+0.00000001,2))</f>
        <v/>
      </c>
      <c r="L1864" s="13" t="n">
        <v>0</v>
      </c>
      <c r="M1864" s="14">
        <f>SUMIFS(Maßnahmen!$I$7:$I$126,Maßnahmen!$D$7:$D$126,C1864,Maßnahmen!$H$7:$H$126,"&lt;&gt;verworfen")</f>
        <v/>
      </c>
      <c r="N1864" s="14">
        <f>IF(ISNUMBER(K1864),MAX(0,K1864-L1864-M1864),"n.a.")</f>
        <v/>
      </c>
      <c r="O1864" s="14" t="n">
        <v>6.5</v>
      </c>
      <c r="P1864" s="14">
        <f>IF(ISNUMBER(K1864),K1864-O1864,"n.a.")</f>
        <v/>
      </c>
    </row>
    <row r="1865" ht="32" customHeight="1">
      <c r="C1865" s="10" t="inlineStr">
        <is>
          <t>PRJ-4a2927b5-RK-13</t>
        </is>
      </c>
      <c r="D1865" s="10" t="inlineStr">
        <is>
          <t>P4102658225</t>
        </is>
      </c>
      <c r="E1865" s="11" t="inlineStr">
        <is>
          <t>Lärm- und Erschütterungsauflagen</t>
        </is>
      </c>
      <c r="F1865" s="10" t="inlineStr">
        <is>
          <t>Emissionen</t>
        </is>
      </c>
      <c r="G1865" s="12" t="n">
        <v>0.2</v>
      </c>
      <c r="H1865" s="13" t="n">
        <v>20</v>
      </c>
      <c r="I1865" s="13" t="n">
        <v>50</v>
      </c>
      <c r="J1865" s="13" t="n">
        <v>100</v>
      </c>
      <c r="K1865" s="14">
        <f>IF(OR(COUNT(G1865:J1865)&lt;&gt;4,G1865&lt;0,G1865&gt;1,H1865&gt;I1865,I1865&gt;J1865),"n.a.",ROUND(G1865*(H1865+4*I1865+J1865)/6+0.00000001,2))</f>
        <v/>
      </c>
      <c r="L1865" s="13" t="n">
        <v>0</v>
      </c>
      <c r="M1865" s="14">
        <f>SUMIFS(Maßnahmen!$I$7:$I$126,Maßnahmen!$D$7:$D$126,C1865,Maßnahmen!$H$7:$H$126,"&lt;&gt;verworfen")</f>
        <v/>
      </c>
      <c r="N1865" s="14">
        <f>IF(ISNUMBER(K1865),MAX(0,K1865-L1865-M1865),"n.a.")</f>
        <v/>
      </c>
      <c r="O1865" s="14" t="n">
        <v>10.67</v>
      </c>
      <c r="P1865" s="14">
        <f>IF(ISNUMBER(K1865),K1865-O1865,"n.a.")</f>
        <v/>
      </c>
    </row>
    <row r="1866" ht="32" customHeight="1">
      <c r="C1866" s="10" t="inlineStr">
        <is>
          <t>PRJ-4a2927b5-RK-14</t>
        </is>
      </c>
      <c r="D1866" s="10" t="inlineStr">
        <is>
          <t>P4102658225</t>
        </is>
      </c>
      <c r="E1866" s="11" t="inlineStr">
        <is>
          <t>Rechtliche Auflagen / Entsorgungsnachweise (Formalismus)</t>
        </is>
      </c>
      <c r="F1866" s="10" t="inlineStr">
        <is>
          <t>Genehmigung</t>
        </is>
      </c>
      <c r="G1866" s="12" t="n">
        <v>0.385</v>
      </c>
      <c r="H1866" s="13" t="n">
        <v>76</v>
      </c>
      <c r="I1866" s="13" t="n">
        <v>149</v>
      </c>
      <c r="J1866" s="13" t="n">
        <v>282</v>
      </c>
      <c r="K1866" s="14">
        <f>IF(OR(COUNT(G1866:J1866)&lt;&gt;4,G1866&lt;0,G1866&gt;1,H1866&gt;I1866,I1866&gt;J1866),"n.a.",ROUND(G1866*(H1866+4*I1866+J1866)/6+0.00000001,2))</f>
        <v/>
      </c>
      <c r="L1866" s="13" t="n">
        <v>0</v>
      </c>
      <c r="M1866" s="14">
        <f>SUMIFS(Maßnahmen!$I$7:$I$126,Maßnahmen!$D$7:$D$126,C1866,Maßnahmen!$H$7:$H$126,"&lt;&gt;verworfen")</f>
        <v/>
      </c>
      <c r="N1866" s="14">
        <f>IF(ISNUMBER(K1866),MAX(0,K1866-L1866-M1866),"n.a.")</f>
        <v/>
      </c>
      <c r="O1866" s="14" t="n">
        <v>61.22</v>
      </c>
      <c r="P1866" s="14">
        <f>IF(ISNUMBER(K1866),K1866-O1866,"n.a.")</f>
        <v/>
      </c>
    </row>
    <row r="1867" ht="32" customHeight="1">
      <c r="C1867" s="10" t="inlineStr">
        <is>
          <t>PRJ-4a2927b5-RK-15</t>
        </is>
      </c>
      <c r="D1867" s="10" t="inlineStr">
        <is>
          <t>P4102658225</t>
        </is>
      </c>
      <c r="E1867" s="11" t="inlineStr">
        <is>
          <t>Konjunktur / Sekundärstoffpreise &amp; Gerätemiete</t>
        </is>
      </c>
      <c r="F1867" s="10" t="inlineStr">
        <is>
          <t>Markt</t>
        </is>
      </c>
      <c r="G1867" s="12" t="n">
        <v>0.12</v>
      </c>
      <c r="H1867" s="13" t="n">
        <v>8</v>
      </c>
      <c r="I1867" s="13" t="n">
        <v>20</v>
      </c>
      <c r="J1867" s="13" t="n">
        <v>50</v>
      </c>
      <c r="K1867" s="14">
        <f>IF(OR(COUNT(G1867:J1867)&lt;&gt;4,G1867&lt;0,G1867&gt;1,H1867&gt;I1867,I1867&gt;J1867),"n.a.",ROUND(G1867*(H1867+4*I1867+J1867)/6+0.00000001,2))</f>
        <v/>
      </c>
      <c r="L1867" s="13" t="n">
        <v>0</v>
      </c>
      <c r="M1867" s="14">
        <f>SUMIFS(Maßnahmen!$I$7:$I$126,Maßnahmen!$D$7:$D$126,C1867,Maßnahmen!$H$7:$H$126,"&lt;&gt;verworfen")</f>
        <v/>
      </c>
      <c r="N1867" s="14">
        <f>IF(ISNUMBER(K1867),MAX(0,K1867-L1867-M1867),"n.a.")</f>
        <v/>
      </c>
      <c r="O1867" s="14" t="n">
        <v>2.76</v>
      </c>
      <c r="P1867" s="14">
        <f>IF(ISNUMBER(K1867),K1867-O1867,"n.a.")</f>
        <v/>
      </c>
    </row>
    <row r="1868" ht="32" customHeight="1">
      <c r="C1868" s="10" t="inlineStr">
        <is>
          <t>PRJ-37e9fb64-RK-03</t>
        </is>
      </c>
      <c r="D1868" s="10" t="inlineStr">
        <is>
          <t>W4102654946</t>
        </is>
      </c>
      <c r="E1868" s="11" t="inlineStr">
        <is>
          <t>Entsorgungs-Mehrkosten / Entsorgungswege</t>
        </is>
      </c>
      <c r="F1868" s="10" t="inlineStr">
        <is>
          <t>Entsorgung</t>
        </is>
      </c>
      <c r="G1868" s="12" t="n">
        <v>0.15</v>
      </c>
      <c r="H1868" s="13" t="n">
        <v>116</v>
      </c>
      <c r="I1868" s="13" t="n">
        <v>290</v>
      </c>
      <c r="J1868" s="13" t="n">
        <v>580</v>
      </c>
      <c r="K1868" s="14">
        <f>IF(OR(COUNT(G1868:J1868)&lt;&gt;4,G1868&lt;0,G1868&gt;1,H1868&gt;I1868,I1868&gt;J1868),"n.a.",ROUND(G1868*(H1868+4*I1868+J1868)/6+0.00000001,2))</f>
        <v/>
      </c>
      <c r="L1868" s="13" t="n">
        <v>0</v>
      </c>
      <c r="M1868" s="14">
        <f>SUMIFS(Maßnahmen!$I$7:$I$126,Maßnahmen!$D$7:$D$126,C1868,Maßnahmen!$H$7:$H$126,"&lt;&gt;verworfen")</f>
        <v/>
      </c>
      <c r="N1868" s="14">
        <f>IF(ISNUMBER(K1868),MAX(0,K1868-L1868-M1868),"n.a.")</f>
        <v/>
      </c>
      <c r="O1868" s="14" t="n">
        <v>46.4</v>
      </c>
      <c r="P1868" s="14">
        <f>IF(ISNUMBER(K1868),K1868-O1868,"n.a.")</f>
        <v/>
      </c>
    </row>
    <row r="1869" ht="32" customHeight="1">
      <c r="C1869" s="10" t="inlineStr">
        <is>
          <t>PRJ-37e9fb64-RK-04</t>
        </is>
      </c>
      <c r="D1869" s="10" t="inlineStr">
        <is>
          <t>W4102654946</t>
        </is>
      </c>
      <c r="E1869" s="11" t="inlineStr">
        <is>
          <t>Baustofftrennung / Aufbereitung nicht wie geplant</t>
        </is>
      </c>
      <c r="F1869" s="10" t="inlineStr">
        <is>
          <t>Entsorgung</t>
        </is>
      </c>
      <c r="G1869" s="12" t="n">
        <v>0.1</v>
      </c>
      <c r="H1869" s="13" t="n">
        <v>116</v>
      </c>
      <c r="I1869" s="13" t="n">
        <v>290</v>
      </c>
      <c r="J1869" s="13" t="n">
        <v>580</v>
      </c>
      <c r="K1869" s="14">
        <f>IF(OR(COUNT(G1869:J1869)&lt;&gt;4,G1869&lt;0,G1869&gt;1,H1869&gt;I1869,I1869&gt;J1869),"n.a.",ROUND(G1869*(H1869+4*I1869+J1869)/6+0.00000001,2))</f>
        <v/>
      </c>
      <c r="L1869" s="13" t="n">
        <v>0</v>
      </c>
      <c r="M1869" s="14">
        <f>SUMIFS(Maßnahmen!$I$7:$I$126,Maßnahmen!$D$7:$D$126,C1869,Maßnahmen!$H$7:$H$126,"&lt;&gt;verworfen")</f>
        <v/>
      </c>
      <c r="N1869" s="14">
        <f>IF(ISNUMBER(K1869),MAX(0,K1869-L1869-M1869),"n.a.")</f>
        <v/>
      </c>
      <c r="O1869" s="14" t="n">
        <v>30.93</v>
      </c>
      <c r="P1869" s="14">
        <f>IF(ISNUMBER(K1869),K1869-O1869,"n.a.")</f>
        <v/>
      </c>
    </row>
    <row r="1870" ht="32" customHeight="1">
      <c r="C1870" s="10" t="inlineStr">
        <is>
          <t>PRJ-37e9fb64-RK-10</t>
        </is>
      </c>
      <c r="D1870" s="10" t="inlineStr">
        <is>
          <t>W4102654946</t>
        </is>
      </c>
      <c r="E1870" s="11" t="inlineStr">
        <is>
          <t>Terminvorgabe Auftraggeber / Geräteauslastung</t>
        </is>
      </c>
      <c r="F1870" s="10" t="inlineStr">
        <is>
          <t>Termin</t>
        </is>
      </c>
      <c r="G1870" s="12" t="n">
        <v>0.1</v>
      </c>
      <c r="H1870" s="13" t="n">
        <v>46</v>
      </c>
      <c r="I1870" s="13" t="n">
        <v>116</v>
      </c>
      <c r="J1870" s="13" t="n">
        <v>290</v>
      </c>
      <c r="K1870" s="14">
        <f>IF(OR(COUNT(G1870:J1870)&lt;&gt;4,G1870&lt;0,G1870&gt;1,H1870&gt;I1870,I1870&gt;J1870),"n.a.",ROUND(G1870*(H1870+4*I1870+J1870)/6+0.00000001,2))</f>
        <v/>
      </c>
      <c r="L1870" s="13" t="n">
        <v>0</v>
      </c>
      <c r="M1870" s="14">
        <f>SUMIFS(Maßnahmen!$I$7:$I$126,Maßnahmen!$D$7:$D$126,C1870,Maßnahmen!$H$7:$H$126,"&lt;&gt;verworfen")</f>
        <v/>
      </c>
      <c r="N1870" s="14">
        <f>IF(ISNUMBER(K1870),MAX(0,K1870-L1870-M1870),"n.a.")</f>
        <v/>
      </c>
      <c r="O1870" s="14" t="n">
        <v>13.33</v>
      </c>
      <c r="P1870" s="14">
        <f>IF(ISNUMBER(K1870),K1870-O1870,"n.a.")</f>
        <v/>
      </c>
    </row>
    <row r="1871" ht="32" customHeight="1">
      <c r="C1871" s="10" t="inlineStr">
        <is>
          <t>PRJ-37e9fb64-RK-11</t>
        </is>
      </c>
      <c r="D1871" s="10" t="inlineStr">
        <is>
          <t>W4102654946</t>
        </is>
      </c>
      <c r="E1871" s="11" t="inlineStr">
        <is>
          <t>Witterung / Ablaufstörung</t>
        </is>
      </c>
      <c r="F1871" s="10" t="inlineStr">
        <is>
          <t>Termin</t>
        </is>
      </c>
      <c r="G1871" s="12" t="n">
        <v>0.25</v>
      </c>
      <c r="H1871" s="13" t="n">
        <v>58</v>
      </c>
      <c r="I1871" s="13" t="n">
        <v>174</v>
      </c>
      <c r="J1871" s="13" t="n">
        <v>348</v>
      </c>
      <c r="K1871" s="14">
        <f>IF(OR(COUNT(G1871:J1871)&lt;&gt;4,G1871&lt;0,G1871&gt;1,H1871&gt;I1871,I1871&gt;J1871),"n.a.",ROUND(G1871*(H1871+4*I1871+J1871)/6+0.00000001,2))</f>
        <v/>
      </c>
      <c r="L1871" s="13" t="n">
        <v>0</v>
      </c>
      <c r="M1871" s="14">
        <f>SUMIFS(Maßnahmen!$I$7:$I$126,Maßnahmen!$D$7:$D$126,C1871,Maßnahmen!$H$7:$H$126,"&lt;&gt;verworfen")</f>
        <v/>
      </c>
      <c r="N1871" s="14">
        <f>IF(ISNUMBER(K1871),MAX(0,K1871-L1871-M1871),"n.a.")</f>
        <v/>
      </c>
      <c r="O1871" s="14" t="n">
        <v>45.92</v>
      </c>
      <c r="P1871" s="14">
        <f>IF(ISNUMBER(K1871),K1871-O1871,"n.a.")</f>
        <v/>
      </c>
    </row>
    <row r="1872" ht="32" customHeight="1">
      <c r="C1872" s="10" t="inlineStr">
        <is>
          <t>PRJ-37e9fb64-RK-12</t>
        </is>
      </c>
      <c r="D1872" s="10" t="inlineStr">
        <is>
          <t>W4102654946</t>
        </is>
      </c>
      <c r="E1872" s="11" t="inlineStr">
        <is>
          <t>Staubemissionen (höchster Aufwand laut Umfrage)</t>
        </is>
      </c>
      <c r="F1872" s="10" t="inlineStr">
        <is>
          <t>Emissionen</t>
        </is>
      </c>
      <c r="G1872" s="12" t="n">
        <v>0.1</v>
      </c>
      <c r="H1872" s="13" t="n">
        <v>174</v>
      </c>
      <c r="I1872" s="13" t="n">
        <v>348</v>
      </c>
      <c r="J1872" s="13" t="n">
        <v>695</v>
      </c>
      <c r="K1872" s="14">
        <f>IF(OR(COUNT(G1872:J1872)&lt;&gt;4,G1872&lt;0,G1872&gt;1,H1872&gt;I1872,I1872&gt;J1872),"n.a.",ROUND(G1872*(H1872+4*I1872+J1872)/6+0.00000001,2))</f>
        <v/>
      </c>
      <c r="L1872" s="13" t="n">
        <v>0</v>
      </c>
      <c r="M1872" s="14">
        <f>SUMIFS(Maßnahmen!$I$7:$I$126,Maßnahmen!$D$7:$D$126,C1872,Maßnahmen!$H$7:$H$126,"&lt;&gt;verworfen")</f>
        <v/>
      </c>
      <c r="N1872" s="14">
        <f>IF(ISNUMBER(K1872),MAX(0,K1872-L1872-M1872),"n.a.")</f>
        <v/>
      </c>
      <c r="O1872" s="14" t="n">
        <v>37.68</v>
      </c>
      <c r="P1872" s="14">
        <f>IF(ISNUMBER(K1872),K1872-O1872,"n.a.")</f>
        <v/>
      </c>
    </row>
    <row r="1873" ht="32" customHeight="1">
      <c r="C1873" s="10" t="inlineStr">
        <is>
          <t>PRJ-37e9fb64-RK-13</t>
        </is>
      </c>
      <c r="D1873" s="10" t="inlineStr">
        <is>
          <t>W4102654946</t>
        </is>
      </c>
      <c r="E1873" s="11" t="inlineStr">
        <is>
          <t>Lärm- und Erschütterungsauflagen</t>
        </is>
      </c>
      <c r="F1873" s="10" t="inlineStr">
        <is>
          <t>Emissionen</t>
        </is>
      </c>
      <c r="G1873" s="12" t="n">
        <v>0.2</v>
      </c>
      <c r="H1873" s="13" t="n">
        <v>116</v>
      </c>
      <c r="I1873" s="13" t="n">
        <v>290</v>
      </c>
      <c r="J1873" s="13" t="n">
        <v>580</v>
      </c>
      <c r="K1873" s="14">
        <f>IF(OR(COUNT(G1873:J1873)&lt;&gt;4,G1873&lt;0,G1873&gt;1,H1873&gt;I1873,I1873&gt;J1873),"n.a.",ROUND(G1873*(H1873+4*I1873+J1873)/6+0.00000001,2))</f>
        <v/>
      </c>
      <c r="L1873" s="13" t="n">
        <v>0</v>
      </c>
      <c r="M1873" s="14">
        <f>SUMIFS(Maßnahmen!$I$7:$I$126,Maßnahmen!$D$7:$D$126,C1873,Maßnahmen!$H$7:$H$126,"&lt;&gt;verworfen")</f>
        <v/>
      </c>
      <c r="N1873" s="14">
        <f>IF(ISNUMBER(K1873),MAX(0,K1873-L1873-M1873),"n.a.")</f>
        <v/>
      </c>
      <c r="O1873" s="14" t="n">
        <v>61.87</v>
      </c>
      <c r="P1873" s="14">
        <f>IF(ISNUMBER(K1873),K1873-O1873,"n.a.")</f>
        <v/>
      </c>
    </row>
    <row r="1874" ht="32" customHeight="1">
      <c r="C1874" s="10" t="inlineStr">
        <is>
          <t>PRJ-37e9fb64-RK-14</t>
        </is>
      </c>
      <c r="D1874" s="10" t="inlineStr">
        <is>
          <t>W4102654946</t>
        </is>
      </c>
      <c r="E1874" s="11" t="inlineStr">
        <is>
          <t>Rechtliche Auflagen / Entsorgungsnachweise (Formalismus)</t>
        </is>
      </c>
      <c r="F1874" s="10" t="inlineStr">
        <is>
          <t>Genehmigung</t>
        </is>
      </c>
      <c r="G1874" s="12" t="n">
        <v>0.4</v>
      </c>
      <c r="H1874" s="13" t="n">
        <v>551</v>
      </c>
      <c r="I1874" s="13" t="n">
        <v>1072</v>
      </c>
      <c r="J1874" s="13" t="n">
        <v>2028</v>
      </c>
      <c r="K1874" s="14">
        <f>IF(OR(COUNT(G1874:J1874)&lt;&gt;4,G1874&lt;0,G1874&gt;1,H1874&gt;I1874,I1874&gt;J1874),"n.a.",ROUND(G1874*(H1874+4*I1874+J1874)/6+0.00000001,2))</f>
        <v/>
      </c>
      <c r="L1874" s="13" t="n">
        <v>0</v>
      </c>
      <c r="M1874" s="14">
        <f>SUMIFS(Maßnahmen!$I$7:$I$126,Maßnahmen!$D$7:$D$126,C1874,Maßnahmen!$H$7:$H$126,"&lt;&gt;verworfen")</f>
        <v/>
      </c>
      <c r="N1874" s="14">
        <f>IF(ISNUMBER(K1874),MAX(0,K1874-L1874-M1874),"n.a.")</f>
        <v/>
      </c>
      <c r="O1874" s="14" t="n">
        <v>457.8</v>
      </c>
      <c r="P1874" s="14">
        <f>IF(ISNUMBER(K1874),K1874-O1874,"n.a.")</f>
        <v/>
      </c>
    </row>
    <row r="1875" ht="32" customHeight="1">
      <c r="C1875" s="10" t="inlineStr">
        <is>
          <t>PRJ-37e9fb64-RK-15</t>
        </is>
      </c>
      <c r="D1875" s="10" t="inlineStr">
        <is>
          <t>W4102654946</t>
        </is>
      </c>
      <c r="E1875" s="11" t="inlineStr">
        <is>
          <t>Konjunktur / Sekundärstoffpreise &amp; Gerätemiete</t>
        </is>
      </c>
      <c r="F1875" s="10" t="inlineStr">
        <is>
          <t>Markt</t>
        </is>
      </c>
      <c r="G1875" s="12" t="n">
        <v>0.12</v>
      </c>
      <c r="H1875" s="13" t="n">
        <v>46</v>
      </c>
      <c r="I1875" s="13" t="n">
        <v>116</v>
      </c>
      <c r="J1875" s="13" t="n">
        <v>290</v>
      </c>
      <c r="K1875" s="14">
        <f>IF(OR(COUNT(G1875:J1875)&lt;&gt;4,G1875&lt;0,G1875&gt;1,H1875&gt;I1875,I1875&gt;J1875),"n.a.",ROUND(G1875*(H1875+4*I1875+J1875)/6+0.00000001,2))</f>
        <v/>
      </c>
      <c r="L1875" s="13" t="n">
        <v>0</v>
      </c>
      <c r="M1875" s="14">
        <f>SUMIFS(Maßnahmen!$I$7:$I$126,Maßnahmen!$D$7:$D$126,C1875,Maßnahmen!$H$7:$H$126,"&lt;&gt;verworfen")</f>
        <v/>
      </c>
      <c r="N1875" s="14">
        <f>IF(ISNUMBER(K1875),MAX(0,K1875-L1875-M1875),"n.a.")</f>
        <v/>
      </c>
      <c r="O1875" s="14" t="n">
        <v>16</v>
      </c>
      <c r="P1875" s="14">
        <f>IF(ISNUMBER(K1875),K1875-O1875,"n.a.")</f>
        <v/>
      </c>
    </row>
    <row r="1876" ht="32" customHeight="1">
      <c r="C1876" s="10" t="inlineStr">
        <is>
          <t>PRJ-4f8db9fd-RK-01</t>
        </is>
      </c>
      <c r="D1876" s="10" t="inlineStr">
        <is>
          <t>P4102309044</t>
        </is>
      </c>
      <c r="E1876" s="11" t="inlineStr">
        <is>
          <t>Schadstofffund / Schadstoffsanierung (Asbest, PAK, PCB, PCP)</t>
        </is>
      </c>
      <c r="F1876" s="10" t="inlineStr">
        <is>
          <t>Schadstoffe</t>
        </is>
      </c>
      <c r="G1876" s="12" t="n">
        <v>0.7</v>
      </c>
      <c r="H1876" s="13" t="n">
        <v>1712</v>
      </c>
      <c r="I1876" s="13" t="n">
        <v>2250</v>
      </c>
      <c r="J1876" s="13" t="n">
        <v>3250</v>
      </c>
      <c r="K1876" s="14">
        <f>IF(OR(COUNT(G1876:J1876)&lt;&gt;4,G1876&lt;0,G1876&gt;1,H1876&gt;I1876,I1876&gt;J1876),"n.a.",ROUND(G1876*(H1876+4*I1876+J1876)/6+0.00000001,2))</f>
        <v/>
      </c>
      <c r="L1876" s="13" t="n">
        <v>0</v>
      </c>
      <c r="M1876" s="14">
        <f>SUMIFS(Maßnahmen!$I$7:$I$126,Maßnahmen!$D$7:$D$126,C1876,Maßnahmen!$H$7:$H$126,"&lt;&gt;verworfen")</f>
        <v/>
      </c>
      <c r="N1876" s="14">
        <f>IF(ISNUMBER(K1876),MAX(0,K1876-L1876-M1876),"n.a.")</f>
        <v/>
      </c>
      <c r="O1876" s="14" t="n">
        <v>1628.9</v>
      </c>
      <c r="P1876" s="14">
        <f>IF(ISNUMBER(K1876),K1876-O1876,"n.a.")</f>
        <v/>
      </c>
    </row>
    <row r="1877" ht="32" customHeight="1">
      <c r="C1877" s="10" t="inlineStr">
        <is>
          <t>PRJ-4f8db9fd-RK-02</t>
        </is>
      </c>
      <c r="D1877" s="10" t="inlineStr">
        <is>
          <t>P4102309044</t>
        </is>
      </c>
      <c r="E1877" s="11" t="inlineStr">
        <is>
          <t>Arbeitsschutz kontaminierte Bereiche (TRGS 524)</t>
        </is>
      </c>
      <c r="F1877" s="10" t="inlineStr">
        <is>
          <t>Schadstoffe</t>
        </is>
      </c>
      <c r="G1877" s="12" t="n">
        <v>0.47</v>
      </c>
      <c r="H1877" s="13" t="n">
        <v>100</v>
      </c>
      <c r="I1877" s="13" t="n">
        <v>250</v>
      </c>
      <c r="J1877" s="13" t="n">
        <v>500</v>
      </c>
      <c r="K1877" s="14">
        <f>IF(OR(COUNT(G1877:J1877)&lt;&gt;4,G1877&lt;0,G1877&gt;1,H1877&gt;I1877,I1877&gt;J1877),"n.a.",ROUND(G1877*(H1877+4*I1877+J1877)/6+0.00000001,2))</f>
        <v/>
      </c>
      <c r="L1877" s="13" t="n">
        <v>0</v>
      </c>
      <c r="M1877" s="14">
        <f>SUMIFS(Maßnahmen!$I$7:$I$126,Maßnahmen!$D$7:$D$126,C1877,Maßnahmen!$H$7:$H$126,"&lt;&gt;verworfen")</f>
        <v/>
      </c>
      <c r="N1877" s="14">
        <f>IF(ISNUMBER(K1877),MAX(0,K1877-L1877-M1877),"n.a.")</f>
        <v/>
      </c>
      <c r="O1877" s="14" t="n">
        <v>125.33</v>
      </c>
      <c r="P1877" s="14">
        <f>IF(ISNUMBER(K1877),K1877-O1877,"n.a.")</f>
        <v/>
      </c>
    </row>
    <row r="1878" ht="32" customHeight="1">
      <c r="C1878" s="10" t="inlineStr">
        <is>
          <t>PRJ-4f8db9fd-RK-03</t>
        </is>
      </c>
      <c r="D1878" s="10" t="inlineStr">
        <is>
          <t>P4102309044</t>
        </is>
      </c>
      <c r="E1878" s="11" t="inlineStr">
        <is>
          <t>Entsorgungs-Mehrkosten / Entsorgungswege</t>
        </is>
      </c>
      <c r="F1878" s="10" t="inlineStr">
        <is>
          <t>Entsorgung</t>
        </is>
      </c>
      <c r="G1878" s="12" t="n">
        <v>0.27</v>
      </c>
      <c r="H1878" s="13" t="n">
        <v>100</v>
      </c>
      <c r="I1878" s="13" t="n">
        <v>250</v>
      </c>
      <c r="J1878" s="13" t="n">
        <v>500</v>
      </c>
      <c r="K1878" s="14">
        <f>IF(OR(COUNT(G1878:J1878)&lt;&gt;4,G1878&lt;0,G1878&gt;1,H1878&gt;I1878,I1878&gt;J1878),"n.a.",ROUND(G1878*(H1878+4*I1878+J1878)/6+0.00000001,2))</f>
        <v/>
      </c>
      <c r="L1878" s="13" t="n">
        <v>0</v>
      </c>
      <c r="M1878" s="14">
        <f>SUMIFS(Maßnahmen!$I$7:$I$126,Maßnahmen!$D$7:$D$126,C1878,Maßnahmen!$H$7:$H$126,"&lt;&gt;verworfen")</f>
        <v/>
      </c>
      <c r="N1878" s="14">
        <f>IF(ISNUMBER(K1878),MAX(0,K1878-L1878-M1878),"n.a.")</f>
        <v/>
      </c>
      <c r="O1878" s="14" t="n">
        <v>72</v>
      </c>
      <c r="P1878" s="14">
        <f>IF(ISNUMBER(K1878),K1878-O1878,"n.a.")</f>
        <v/>
      </c>
    </row>
    <row r="1879" ht="32" customHeight="1">
      <c r="C1879" s="10" t="inlineStr">
        <is>
          <t>PRJ-4f8db9fd-RK-04</t>
        </is>
      </c>
      <c r="D1879" s="10" t="inlineStr">
        <is>
          <t>P4102309044</t>
        </is>
      </c>
      <c r="E1879" s="11" t="inlineStr">
        <is>
          <t>Baustofftrennung / Aufbereitung nicht wie geplant</t>
        </is>
      </c>
      <c r="F1879" s="10" t="inlineStr">
        <is>
          <t>Entsorgung</t>
        </is>
      </c>
      <c r="G1879" s="12" t="n">
        <v>0.1</v>
      </c>
      <c r="H1879" s="13" t="n">
        <v>100</v>
      </c>
      <c r="I1879" s="13" t="n">
        <v>250</v>
      </c>
      <c r="J1879" s="13" t="n">
        <v>500</v>
      </c>
      <c r="K1879" s="14">
        <f>IF(OR(COUNT(G1879:J1879)&lt;&gt;4,G1879&lt;0,G1879&gt;1,H1879&gt;I1879,I1879&gt;J1879),"n.a.",ROUND(G1879*(H1879+4*I1879+J1879)/6+0.00000001,2))</f>
        <v/>
      </c>
      <c r="L1879" s="13" t="n">
        <v>0</v>
      </c>
      <c r="M1879" s="14">
        <f>SUMIFS(Maßnahmen!$I$7:$I$126,Maßnahmen!$D$7:$D$126,C1879,Maßnahmen!$H$7:$H$126,"&lt;&gt;verworfen")</f>
        <v/>
      </c>
      <c r="N1879" s="14">
        <f>IF(ISNUMBER(K1879),MAX(0,K1879-L1879-M1879),"n.a.")</f>
        <v/>
      </c>
      <c r="O1879" s="14" t="n">
        <v>26.67</v>
      </c>
      <c r="P1879" s="14">
        <f>IF(ISNUMBER(K1879),K1879-O1879,"n.a.")</f>
        <v/>
      </c>
    </row>
    <row r="1880" ht="32" customHeight="1">
      <c r="C1880" s="10" t="inlineStr">
        <is>
          <t>PRJ-4f8db9fd-RK-05</t>
        </is>
      </c>
      <c r="D1880" s="10" t="inlineStr">
        <is>
          <t>P4102309044</t>
        </is>
      </c>
      <c r="E1880" s="11" t="inlineStr">
        <is>
          <t>Unbekannte Bauwerkskonstruktion / fehlende Pläne</t>
        </is>
      </c>
      <c r="F1880" s="10" t="inlineStr">
        <is>
          <t>Statik</t>
        </is>
      </c>
      <c r="G1880" s="12" t="n">
        <v>0.12</v>
      </c>
      <c r="H1880" s="13" t="n">
        <v>200</v>
      </c>
      <c r="I1880" s="13" t="n">
        <v>400</v>
      </c>
      <c r="J1880" s="13" t="n">
        <v>750</v>
      </c>
      <c r="K1880" s="14">
        <f>IF(OR(COUNT(G1880:J1880)&lt;&gt;4,G1880&lt;0,G1880&gt;1,H1880&gt;I1880,I1880&gt;J1880),"n.a.",ROUND(G1880*(H1880+4*I1880+J1880)/6+0.00000001,2))</f>
        <v/>
      </c>
      <c r="L1880" s="13" t="n">
        <v>0</v>
      </c>
      <c r="M1880" s="14">
        <f>SUMIFS(Maßnahmen!$I$7:$I$126,Maßnahmen!$D$7:$D$126,C1880,Maßnahmen!$H$7:$H$126,"&lt;&gt;verworfen")</f>
        <v/>
      </c>
      <c r="N1880" s="14">
        <f>IF(ISNUMBER(K1880),MAX(0,K1880-L1880-M1880),"n.a.")</f>
        <v/>
      </c>
      <c r="O1880" s="14" t="n">
        <v>51</v>
      </c>
      <c r="P1880" s="14">
        <f>IF(ISNUMBER(K1880),K1880-O1880,"n.a.")</f>
        <v/>
      </c>
    </row>
    <row r="1881" ht="32" customHeight="1">
      <c r="C1881" s="10" t="inlineStr">
        <is>
          <t>PRJ-4f8db9fd-RK-06</t>
        </is>
      </c>
      <c r="D1881" s="10" t="inlineStr">
        <is>
          <t>P4102309044</t>
        </is>
      </c>
      <c r="E1881" s="11" t="inlineStr">
        <is>
          <t>Statik / Einsturzsicherung während Abbruch</t>
        </is>
      </c>
      <c r="F1881" s="10" t="inlineStr">
        <is>
          <t>Statik</t>
        </is>
      </c>
      <c r="G1881" s="12" t="n">
        <v>0.24</v>
      </c>
      <c r="H1881" s="13" t="n">
        <v>150</v>
      </c>
      <c r="I1881" s="13" t="n">
        <v>350</v>
      </c>
      <c r="J1881" s="13" t="n">
        <v>700</v>
      </c>
      <c r="K1881" s="14">
        <f>IF(OR(COUNT(G1881:J1881)&lt;&gt;4,G1881&lt;0,G1881&gt;1,H1881&gt;I1881,I1881&gt;J1881),"n.a.",ROUND(G1881*(H1881+4*I1881+J1881)/6+0.00000001,2))</f>
        <v/>
      </c>
      <c r="L1881" s="13" t="n">
        <v>0</v>
      </c>
      <c r="M1881" s="14">
        <f>SUMIFS(Maßnahmen!$I$7:$I$126,Maßnahmen!$D$7:$D$126,C1881,Maßnahmen!$H$7:$H$126,"&lt;&gt;verworfen")</f>
        <v/>
      </c>
      <c r="N1881" s="14">
        <f>IF(ISNUMBER(K1881),MAX(0,K1881-L1881-M1881),"n.a.")</f>
        <v/>
      </c>
      <c r="O1881" s="14" t="n">
        <v>90</v>
      </c>
      <c r="P1881" s="14">
        <f>IF(ISNUMBER(K1881),K1881-O1881,"n.a.")</f>
        <v/>
      </c>
    </row>
    <row r="1882" ht="32" customHeight="1">
      <c r="C1882" s="10" t="inlineStr">
        <is>
          <t>PRJ-383070cf-RK-01</t>
        </is>
      </c>
      <c r="D1882" s="10" t="inlineStr">
        <is>
          <t>W4102604951</t>
        </is>
      </c>
      <c r="E1882" s="11" t="inlineStr">
        <is>
          <t>Schadstofffund / Schadstoffsanierung (Asbest, PAK, PCB, PCP)</t>
        </is>
      </c>
      <c r="F1882" s="10" t="inlineStr">
        <is>
          <t>Schadstoffe</t>
        </is>
      </c>
      <c r="G1882" s="12" t="n">
        <v>0.1</v>
      </c>
      <c r="H1882" s="13" t="n">
        <v>41</v>
      </c>
      <c r="I1882" s="13" t="n">
        <v>102</v>
      </c>
      <c r="J1882" s="13" t="n">
        <v>204</v>
      </c>
      <c r="K1882" s="14">
        <f>IF(OR(COUNT(G1882:J1882)&lt;&gt;4,G1882&lt;0,G1882&gt;1,H1882&gt;I1882,I1882&gt;J1882),"n.a.",ROUND(G1882*(H1882+4*I1882+J1882)/6+0.00000001,2))</f>
        <v/>
      </c>
      <c r="L1882" s="13" t="n">
        <v>0</v>
      </c>
      <c r="M1882" s="14">
        <f>SUMIFS(Maßnahmen!$I$7:$I$126,Maßnahmen!$D$7:$D$126,C1882,Maßnahmen!$H$7:$H$126,"&lt;&gt;verworfen")</f>
        <v/>
      </c>
      <c r="N1882" s="14">
        <f>IF(ISNUMBER(K1882),MAX(0,K1882-L1882-M1882),"n.a.")</f>
        <v/>
      </c>
      <c r="O1882" s="14" t="n">
        <v>10.88</v>
      </c>
      <c r="P1882" s="14">
        <f>IF(ISNUMBER(K1882),K1882-O1882,"n.a.")</f>
        <v/>
      </c>
    </row>
    <row r="1883" ht="32" customHeight="1">
      <c r="C1883" s="10" t="inlineStr">
        <is>
          <t>PRJ-383070cf-RK-02</t>
        </is>
      </c>
      <c r="D1883" s="10" t="inlineStr">
        <is>
          <t>W4102604951</t>
        </is>
      </c>
      <c r="E1883" s="11" t="inlineStr">
        <is>
          <t>Arbeitsschutz kontaminierte Bereiche (TRGS 524)</t>
        </is>
      </c>
      <c r="F1883" s="10" t="inlineStr">
        <is>
          <t>Schadstoffe</t>
        </is>
      </c>
      <c r="G1883" s="12" t="n">
        <v>0.47</v>
      </c>
      <c r="H1883" s="13" t="n">
        <v>41</v>
      </c>
      <c r="I1883" s="13" t="n">
        <v>102</v>
      </c>
      <c r="J1883" s="13" t="n">
        <v>204</v>
      </c>
      <c r="K1883" s="14">
        <f>IF(OR(COUNT(G1883:J1883)&lt;&gt;4,G1883&lt;0,G1883&gt;1,H1883&gt;I1883,I1883&gt;J1883),"n.a.",ROUND(G1883*(H1883+4*I1883+J1883)/6+0.00000001,2))</f>
        <v/>
      </c>
      <c r="L1883" s="13" t="n">
        <v>0</v>
      </c>
      <c r="M1883" s="14">
        <f>SUMIFS(Maßnahmen!$I$7:$I$126,Maßnahmen!$D$7:$D$126,C1883,Maßnahmen!$H$7:$H$126,"&lt;&gt;verworfen")</f>
        <v/>
      </c>
      <c r="N1883" s="14">
        <f>IF(ISNUMBER(K1883),MAX(0,K1883-L1883-M1883),"n.a.")</f>
        <v/>
      </c>
      <c r="O1883" s="14" t="n">
        <v>51.15</v>
      </c>
      <c r="P1883" s="14">
        <f>IF(ISNUMBER(K1883),K1883-O1883,"n.a.")</f>
        <v/>
      </c>
    </row>
    <row r="1884" ht="32" customHeight="1">
      <c r="C1884" s="10" t="inlineStr">
        <is>
          <t>PRJ-383070cf-RK-03</t>
        </is>
      </c>
      <c r="D1884" s="10" t="inlineStr">
        <is>
          <t>W4102604951</t>
        </is>
      </c>
      <c r="E1884" s="11" t="inlineStr">
        <is>
          <t>Entsorgungs-Mehrkosten / Entsorgungswege</t>
        </is>
      </c>
      <c r="F1884" s="10" t="inlineStr">
        <is>
          <t>Entsorgung</t>
        </is>
      </c>
      <c r="G1884" s="12" t="n">
        <v>0.15</v>
      </c>
      <c r="H1884" s="13" t="n">
        <v>41</v>
      </c>
      <c r="I1884" s="13" t="n">
        <v>102</v>
      </c>
      <c r="J1884" s="13" t="n">
        <v>204</v>
      </c>
      <c r="K1884" s="14">
        <f>IF(OR(COUNT(G1884:J1884)&lt;&gt;4,G1884&lt;0,G1884&gt;1,H1884&gt;I1884,I1884&gt;J1884),"n.a.",ROUND(G1884*(H1884+4*I1884+J1884)/6+0.00000001,2))</f>
        <v/>
      </c>
      <c r="L1884" s="13" t="n">
        <v>0</v>
      </c>
      <c r="M1884" s="14">
        <f>SUMIFS(Maßnahmen!$I$7:$I$126,Maßnahmen!$D$7:$D$126,C1884,Maßnahmen!$H$7:$H$126,"&lt;&gt;verworfen")</f>
        <v/>
      </c>
      <c r="N1884" s="14">
        <f>IF(ISNUMBER(K1884),MAX(0,K1884-L1884-M1884),"n.a.")</f>
        <v/>
      </c>
      <c r="O1884" s="14" t="n">
        <v>16.33</v>
      </c>
      <c r="P1884" s="14">
        <f>IF(ISNUMBER(K1884),K1884-O1884,"n.a.")</f>
        <v/>
      </c>
    </row>
    <row r="1885" ht="32" customHeight="1">
      <c r="C1885" s="10" t="inlineStr">
        <is>
          <t>PRJ-383070cf-RK-04</t>
        </is>
      </c>
      <c r="D1885" s="10" t="inlineStr">
        <is>
          <t>W4102604951</t>
        </is>
      </c>
      <c r="E1885" s="11" t="inlineStr">
        <is>
          <t>Baustofftrennung / Aufbereitung nicht wie geplant</t>
        </is>
      </c>
      <c r="F1885" s="10" t="inlineStr">
        <is>
          <t>Entsorgung</t>
        </is>
      </c>
      <c r="G1885" s="12" t="n">
        <v>0.1</v>
      </c>
      <c r="H1885" s="13" t="n">
        <v>41</v>
      </c>
      <c r="I1885" s="13" t="n">
        <v>102</v>
      </c>
      <c r="J1885" s="13" t="n">
        <v>204</v>
      </c>
      <c r="K1885" s="14">
        <f>IF(OR(COUNT(G1885:J1885)&lt;&gt;4,G1885&lt;0,G1885&gt;1,H1885&gt;I1885,I1885&gt;J1885),"n.a.",ROUND(G1885*(H1885+4*I1885+J1885)/6+0.00000001,2))</f>
        <v/>
      </c>
      <c r="L1885" s="13" t="n">
        <v>0</v>
      </c>
      <c r="M1885" s="14">
        <f>SUMIFS(Maßnahmen!$I$7:$I$126,Maßnahmen!$D$7:$D$126,C1885,Maßnahmen!$H$7:$H$126,"&lt;&gt;verworfen")</f>
        <v/>
      </c>
      <c r="N1885" s="14">
        <f>IF(ISNUMBER(K1885),MAX(0,K1885-L1885-M1885),"n.a.")</f>
        <v/>
      </c>
      <c r="O1885" s="14" t="n">
        <v>10.88</v>
      </c>
      <c r="P1885" s="14">
        <f>IF(ISNUMBER(K1885),K1885-O1885,"n.a.")</f>
        <v/>
      </c>
    </row>
    <row r="1886" ht="32" customHeight="1">
      <c r="C1886" s="10" t="inlineStr">
        <is>
          <t>PRJ-4f8db9fd-RK-07</t>
        </is>
      </c>
      <c r="D1886" s="10" t="inlineStr">
        <is>
          <t>P4102309044</t>
        </is>
      </c>
      <c r="E1886" s="11" t="inlineStr">
        <is>
          <t>Unterirdische Tragkonstruktion / Fundamente</t>
        </is>
      </c>
      <c r="F1886" s="10" t="inlineStr">
        <is>
          <t>Statik</t>
        </is>
      </c>
      <c r="G1886" s="12" t="n">
        <v>0.4</v>
      </c>
      <c r="H1886" s="13" t="n">
        <v>25</v>
      </c>
      <c r="I1886" s="13" t="n">
        <v>100</v>
      </c>
      <c r="J1886" s="13" t="n">
        <v>250</v>
      </c>
      <c r="K1886" s="14">
        <f>IF(OR(COUNT(G1886:J1886)&lt;&gt;4,G1886&lt;0,G1886&gt;1,H1886&gt;I1886,I1886&gt;J1886),"n.a.",ROUND(G1886*(H1886+4*I1886+J1886)/6+0.00000001,2))</f>
        <v/>
      </c>
      <c r="L1886" s="13" t="n">
        <v>0</v>
      </c>
      <c r="M1886" s="14">
        <f>SUMIFS(Maßnahmen!$I$7:$I$126,Maßnahmen!$D$7:$D$126,C1886,Maßnahmen!$H$7:$H$126,"&lt;&gt;verworfen")</f>
        <v/>
      </c>
      <c r="N1886" s="14">
        <f>IF(ISNUMBER(K1886),MAX(0,K1886-L1886-M1886),"n.a.")</f>
        <v/>
      </c>
      <c r="O1886" s="14" t="n">
        <v>45</v>
      </c>
      <c r="P1886" s="14">
        <f>IF(ISNUMBER(K1886),K1886-O1886,"n.a.")</f>
        <v/>
      </c>
    </row>
    <row r="1887" ht="32" customHeight="1">
      <c r="C1887" s="10" t="inlineStr">
        <is>
          <t>PRJ-4f8db9fd-RK-08</t>
        </is>
      </c>
      <c r="D1887" s="10" t="inlineStr">
        <is>
          <t>P4102309044</t>
        </is>
      </c>
      <c r="E1887" s="11" t="inlineStr">
        <is>
          <t>Gebäudehöhe &gt;22 m / Longfront-Bagger (+130–150 %)</t>
        </is>
      </c>
      <c r="F1887" s="10" t="inlineStr">
        <is>
          <t>Termin</t>
        </is>
      </c>
      <c r="G1887" s="12" t="n">
        <v>0.6</v>
      </c>
      <c r="H1887" s="13" t="n">
        <v>450</v>
      </c>
      <c r="I1887" s="13" t="n">
        <v>900</v>
      </c>
      <c r="J1887" s="13" t="n">
        <v>1700</v>
      </c>
      <c r="K1887" s="14">
        <f>IF(OR(COUNT(G1887:J1887)&lt;&gt;4,G1887&lt;0,G1887&gt;1,H1887&gt;I1887,I1887&gt;J1887),"n.a.",ROUND(G1887*(H1887+4*I1887+J1887)/6+0.00000001,2))</f>
        <v/>
      </c>
      <c r="L1887" s="13" t="n">
        <v>0</v>
      </c>
      <c r="M1887" s="14">
        <f>SUMIFS(Maßnahmen!$I$7:$I$126,Maßnahmen!$D$7:$D$126,C1887,Maßnahmen!$H$7:$H$126,"&lt;&gt;verworfen")</f>
        <v/>
      </c>
      <c r="N1887" s="14">
        <f>IF(ISNUMBER(K1887),MAX(0,K1887-L1887-M1887),"n.a.")</f>
        <v/>
      </c>
      <c r="O1887" s="14" t="n">
        <v>575</v>
      </c>
      <c r="P1887" s="14">
        <f>IF(ISNUMBER(K1887),K1887-O1887,"n.a.")</f>
        <v/>
      </c>
    </row>
    <row r="1888" ht="32" customHeight="1">
      <c r="C1888" s="10" t="inlineStr">
        <is>
          <t>PRJ-4f8db9fd-RK-09</t>
        </is>
      </c>
      <c r="D1888" s="10" t="inlineStr">
        <is>
          <t>P4102309044</t>
        </is>
      </c>
      <c r="E1888" s="11" t="inlineStr">
        <is>
          <t>Beennte Lage / nur Handabbruch möglich</t>
        </is>
      </c>
      <c r="F1888" s="10" t="inlineStr">
        <is>
          <t>Termin</t>
        </is>
      </c>
      <c r="G1888" s="12" t="n">
        <v>0.15</v>
      </c>
      <c r="H1888" s="13" t="n">
        <v>40</v>
      </c>
      <c r="I1888" s="13" t="n">
        <v>100</v>
      </c>
      <c r="J1888" s="13" t="n">
        <v>250</v>
      </c>
      <c r="K1888" s="14">
        <f>IF(OR(COUNT(G1888:J1888)&lt;&gt;4,G1888&lt;0,G1888&gt;1,H1888&gt;I1888,I1888&gt;J1888),"n.a.",ROUND(G1888*(H1888+4*I1888+J1888)/6+0.00000001,2))</f>
        <v/>
      </c>
      <c r="L1888" s="13" t="n">
        <v>0</v>
      </c>
      <c r="M1888" s="14">
        <f>SUMIFS(Maßnahmen!$I$7:$I$126,Maßnahmen!$D$7:$D$126,C1888,Maßnahmen!$H$7:$H$126,"&lt;&gt;verworfen")</f>
        <v/>
      </c>
      <c r="N1888" s="14">
        <f>IF(ISNUMBER(K1888),MAX(0,K1888-L1888-M1888),"n.a.")</f>
        <v/>
      </c>
      <c r="O1888" s="14" t="n">
        <v>17.25</v>
      </c>
      <c r="P1888" s="14">
        <f>IF(ISNUMBER(K1888),K1888-O1888,"n.a.")</f>
        <v/>
      </c>
    </row>
    <row r="1889" ht="32" customHeight="1">
      <c r="C1889" s="10" t="inlineStr">
        <is>
          <t>PRJ-4f8db9fd-RK-10</t>
        </is>
      </c>
      <c r="D1889" s="10" t="inlineStr">
        <is>
          <t>P4102309044</t>
        </is>
      </c>
      <c r="E1889" s="11" t="inlineStr">
        <is>
          <t>Terminvorgabe Auftraggeber / Geräteauslastung</t>
        </is>
      </c>
      <c r="F1889" s="10" t="inlineStr">
        <is>
          <t>Termin</t>
        </is>
      </c>
      <c r="G1889" s="12" t="n">
        <v>0.2</v>
      </c>
      <c r="H1889" s="13" t="n">
        <v>40</v>
      </c>
      <c r="I1889" s="13" t="n">
        <v>100</v>
      </c>
      <c r="J1889" s="13" t="n">
        <v>250</v>
      </c>
      <c r="K1889" s="14">
        <f>IF(OR(COUNT(G1889:J1889)&lt;&gt;4,G1889&lt;0,G1889&gt;1,H1889&gt;I1889,I1889&gt;J1889),"n.a.",ROUND(G1889*(H1889+4*I1889+J1889)/6+0.00000001,2))</f>
        <v/>
      </c>
      <c r="L1889" s="13" t="n">
        <v>0</v>
      </c>
      <c r="M1889" s="14">
        <f>SUMIFS(Maßnahmen!$I$7:$I$126,Maßnahmen!$D$7:$D$126,C1889,Maßnahmen!$H$7:$H$126,"&lt;&gt;verworfen")</f>
        <v/>
      </c>
      <c r="N1889" s="14">
        <f>IF(ISNUMBER(K1889),MAX(0,K1889-L1889-M1889),"n.a.")</f>
        <v/>
      </c>
      <c r="O1889" s="14" t="n">
        <v>23</v>
      </c>
      <c r="P1889" s="14">
        <f>IF(ISNUMBER(K1889),K1889-O1889,"n.a.")</f>
        <v/>
      </c>
    </row>
    <row r="1890" ht="32" customHeight="1">
      <c r="C1890" s="10" t="inlineStr">
        <is>
          <t>PRJ-4f8db9fd-RK-11</t>
        </is>
      </c>
      <c r="D1890" s="10" t="inlineStr">
        <is>
          <t>P4102309044</t>
        </is>
      </c>
      <c r="E1890" s="11" t="inlineStr">
        <is>
          <t>Witterung / Ablaufstörung</t>
        </is>
      </c>
      <c r="F1890" s="10" t="inlineStr">
        <is>
          <t>Termin</t>
        </is>
      </c>
      <c r="G1890" s="12" t="n">
        <v>0.25</v>
      </c>
      <c r="H1890" s="13" t="n">
        <v>50</v>
      </c>
      <c r="I1890" s="13" t="n">
        <v>150</v>
      </c>
      <c r="J1890" s="13" t="n">
        <v>300</v>
      </c>
      <c r="K1890" s="14">
        <f>IF(OR(COUNT(G1890:J1890)&lt;&gt;4,G1890&lt;0,G1890&gt;1,H1890&gt;I1890,I1890&gt;J1890),"n.a.",ROUND(G1890*(H1890+4*I1890+J1890)/6+0.00000001,2))</f>
        <v/>
      </c>
      <c r="L1890" s="13" t="n">
        <v>0</v>
      </c>
      <c r="M1890" s="14">
        <f>SUMIFS(Maßnahmen!$I$7:$I$126,Maßnahmen!$D$7:$D$126,C1890,Maßnahmen!$H$7:$H$126,"&lt;&gt;verworfen")</f>
        <v/>
      </c>
      <c r="N1890" s="14">
        <f>IF(ISNUMBER(K1890),MAX(0,K1890-L1890-M1890),"n.a.")</f>
        <v/>
      </c>
      <c r="O1890" s="14" t="n">
        <v>39.58</v>
      </c>
      <c r="P1890" s="14">
        <f>IF(ISNUMBER(K1890),K1890-O1890,"n.a.")</f>
        <v/>
      </c>
    </row>
    <row r="1891" ht="32" customHeight="1">
      <c r="C1891" s="10" t="inlineStr">
        <is>
          <t>PRJ-4f8db9fd-RK-12</t>
        </is>
      </c>
      <c r="D1891" s="10" t="inlineStr">
        <is>
          <t>P4102309044</t>
        </is>
      </c>
      <c r="E1891" s="11" t="inlineStr">
        <is>
          <t>Staubemissionen (höchster Aufwand laut Umfrage)</t>
        </is>
      </c>
      <c r="F1891" s="10" t="inlineStr">
        <is>
          <t>Emissionen</t>
        </is>
      </c>
      <c r="G1891" s="12" t="n">
        <v>0.1</v>
      </c>
      <c r="H1891" s="13" t="n">
        <v>150</v>
      </c>
      <c r="I1891" s="13" t="n">
        <v>300</v>
      </c>
      <c r="J1891" s="13" t="n">
        <v>600</v>
      </c>
      <c r="K1891" s="14">
        <f>IF(OR(COUNT(G1891:J1891)&lt;&gt;4,G1891&lt;0,G1891&gt;1,H1891&gt;I1891,I1891&gt;J1891),"n.a.",ROUND(G1891*(H1891+4*I1891+J1891)/6+0.00000001,2))</f>
        <v/>
      </c>
      <c r="L1891" s="13" t="n">
        <v>0</v>
      </c>
      <c r="M1891" s="14">
        <f>SUMIFS(Maßnahmen!$I$7:$I$126,Maßnahmen!$D$7:$D$126,C1891,Maßnahmen!$H$7:$H$126,"&lt;&gt;verworfen")</f>
        <v/>
      </c>
      <c r="N1891" s="14">
        <f>IF(ISNUMBER(K1891),MAX(0,K1891-L1891-M1891),"n.a.")</f>
        <v/>
      </c>
      <c r="O1891" s="14" t="n">
        <v>32.5</v>
      </c>
      <c r="P1891" s="14">
        <f>IF(ISNUMBER(K1891),K1891-O1891,"n.a.")</f>
        <v/>
      </c>
    </row>
    <row r="1892" ht="32" customHeight="1">
      <c r="C1892" s="10" t="inlineStr">
        <is>
          <t>PRJ-4f8db9fd-RK-13</t>
        </is>
      </c>
      <c r="D1892" s="10" t="inlineStr">
        <is>
          <t>P4102309044</t>
        </is>
      </c>
      <c r="E1892" s="11" t="inlineStr">
        <is>
          <t>Lärm- und Erschütterungsauflagen</t>
        </is>
      </c>
      <c r="F1892" s="10" t="inlineStr">
        <is>
          <t>Emissionen</t>
        </is>
      </c>
      <c r="G1892" s="12" t="n">
        <v>0.2</v>
      </c>
      <c r="H1892" s="13" t="n">
        <v>100</v>
      </c>
      <c r="I1892" s="13" t="n">
        <v>250</v>
      </c>
      <c r="J1892" s="13" t="n">
        <v>500</v>
      </c>
      <c r="K1892" s="14">
        <f>IF(OR(COUNT(G1892:J1892)&lt;&gt;4,G1892&lt;0,G1892&gt;1,H1892&gt;I1892,I1892&gt;J1892),"n.a.",ROUND(G1892*(H1892+4*I1892+J1892)/6+0.00000001,2))</f>
        <v/>
      </c>
      <c r="L1892" s="13" t="n">
        <v>0</v>
      </c>
      <c r="M1892" s="14">
        <f>SUMIFS(Maßnahmen!$I$7:$I$126,Maßnahmen!$D$7:$D$126,C1892,Maßnahmen!$H$7:$H$126,"&lt;&gt;verworfen")</f>
        <v/>
      </c>
      <c r="N1892" s="14">
        <f>IF(ISNUMBER(K1892),MAX(0,K1892-L1892-M1892),"n.a.")</f>
        <v/>
      </c>
      <c r="O1892" s="14" t="n">
        <v>53.33</v>
      </c>
      <c r="P1892" s="14">
        <f>IF(ISNUMBER(K1892),K1892-O1892,"n.a.")</f>
        <v/>
      </c>
    </row>
    <row r="1893" ht="32" customHeight="1">
      <c r="C1893" s="10" t="inlineStr">
        <is>
          <t>PRJ-4f8db9fd-RK-14</t>
        </is>
      </c>
      <c r="D1893" s="10" t="inlineStr">
        <is>
          <t>P4102309044</t>
        </is>
      </c>
      <c r="E1893" s="11" t="inlineStr">
        <is>
          <t>Rechtliche Auflagen / Entsorgungsnachweise (Formalismus)</t>
        </is>
      </c>
      <c r="F1893" s="10" t="inlineStr">
        <is>
          <t>Genehmigung</t>
        </is>
      </c>
      <c r="G1893" s="12" t="n">
        <v>0.4</v>
      </c>
      <c r="H1893" s="13" t="n">
        <v>475</v>
      </c>
      <c r="I1893" s="13" t="n">
        <v>925</v>
      </c>
      <c r="J1893" s="13" t="n">
        <v>1750</v>
      </c>
      <c r="K1893" s="14">
        <f>IF(OR(COUNT(G1893:J1893)&lt;&gt;4,G1893&lt;0,G1893&gt;1,H1893&gt;I1893,I1893&gt;J1893),"n.a.",ROUND(G1893*(H1893+4*I1893+J1893)/6+0.00000001,2))</f>
        <v/>
      </c>
      <c r="L1893" s="13" t="n">
        <v>0</v>
      </c>
      <c r="M1893" s="14">
        <f>SUMIFS(Maßnahmen!$I$7:$I$126,Maßnahmen!$D$7:$D$126,C1893,Maßnahmen!$H$7:$H$126,"&lt;&gt;verworfen")</f>
        <v/>
      </c>
      <c r="N1893" s="14">
        <f>IF(ISNUMBER(K1893),MAX(0,K1893-L1893-M1893),"n.a.")</f>
        <v/>
      </c>
      <c r="O1893" s="14" t="n">
        <v>395</v>
      </c>
      <c r="P1893" s="14">
        <f>IF(ISNUMBER(K1893),K1893-O1893,"n.a.")</f>
        <v/>
      </c>
    </row>
    <row r="1894" ht="32" customHeight="1">
      <c r="C1894" s="10" t="inlineStr">
        <is>
          <t>PRJ-4f8db9fd-RK-15</t>
        </is>
      </c>
      <c r="D1894" s="10" t="inlineStr">
        <is>
          <t>P4102309044</t>
        </is>
      </c>
      <c r="E1894" s="11" t="inlineStr">
        <is>
          <t>Konjunktur / Sekundärstoffpreise &amp; Gerätemiete</t>
        </is>
      </c>
      <c r="F1894" s="10" t="inlineStr">
        <is>
          <t>Markt</t>
        </is>
      </c>
      <c r="G1894" s="12" t="n">
        <v>0.12</v>
      </c>
      <c r="H1894" s="13" t="n">
        <v>40</v>
      </c>
      <c r="I1894" s="13" t="n">
        <v>100</v>
      </c>
      <c r="J1894" s="13" t="n">
        <v>250</v>
      </c>
      <c r="K1894" s="14">
        <f>IF(OR(COUNT(G1894:J1894)&lt;&gt;4,G1894&lt;0,G1894&gt;1,H1894&gt;I1894,I1894&gt;J1894),"n.a.",ROUND(G1894*(H1894+4*I1894+J1894)/6+0.00000001,2))</f>
        <v/>
      </c>
      <c r="L1894" s="13" t="n">
        <v>0</v>
      </c>
      <c r="M1894" s="14">
        <f>SUMIFS(Maßnahmen!$I$7:$I$126,Maßnahmen!$D$7:$D$126,C1894,Maßnahmen!$H$7:$H$126,"&lt;&gt;verworfen")</f>
        <v/>
      </c>
      <c r="N1894" s="14">
        <f>IF(ISNUMBER(K1894),MAX(0,K1894-L1894-M1894),"n.a.")</f>
        <v/>
      </c>
      <c r="O1894" s="14" t="n">
        <v>13.8</v>
      </c>
      <c r="P1894" s="14">
        <f>IF(ISNUMBER(K1894),K1894-O1894,"n.a.")</f>
        <v/>
      </c>
    </row>
    <row r="1895" ht="32" customHeight="1">
      <c r="C1895" s="10" t="inlineStr">
        <is>
          <t>PRJ-52b1cf50-RK-01</t>
        </is>
      </c>
      <c r="D1895" s="10" t="inlineStr">
        <is>
          <t>P4102157455</t>
        </is>
      </c>
      <c r="E1895" s="11" t="inlineStr">
        <is>
          <t>Schadstofffund / Schadstoffsanierung (Asbest, PAK, PCB, PCP)</t>
        </is>
      </c>
      <c r="F1895" s="10" t="inlineStr">
        <is>
          <t>Schadstoffe</t>
        </is>
      </c>
      <c r="G1895" s="12" t="n">
        <v>0.7</v>
      </c>
      <c r="H1895" s="13" t="n">
        <v>513574</v>
      </c>
      <c r="I1895" s="13" t="n">
        <v>957419</v>
      </c>
      <c r="J1895" s="13" t="n">
        <v>1531503</v>
      </c>
      <c r="K1895" s="14">
        <f>IF(OR(COUNT(G1895:J1895)&lt;&gt;4,G1895&lt;0,G1895&gt;1,H1895&gt;I1895,I1895&gt;J1895),"n.a.",ROUND(G1895*(H1895+4*I1895+J1895)/6+0.00000001,2))</f>
        <v/>
      </c>
      <c r="L1895" s="13" t="n">
        <v>0</v>
      </c>
      <c r="M1895" s="14">
        <f>SUMIFS(Maßnahmen!$I$7:$I$126,Maßnahmen!$D$7:$D$126,C1895,Maßnahmen!$H$7:$H$126,"&lt;&gt;verworfen")</f>
        <v/>
      </c>
      <c r="N1895" s="14">
        <f>IF(ISNUMBER(K1895),MAX(0,K1895-L1895-M1895),"n.a.")</f>
        <v/>
      </c>
      <c r="O1895" s="14" t="n">
        <v>685387.85</v>
      </c>
      <c r="P1895" s="14">
        <f>IF(ISNUMBER(K1895),K1895-O1895,"n.a.")</f>
        <v/>
      </c>
    </row>
    <row r="1896" ht="32" customHeight="1">
      <c r="C1896" s="10" t="inlineStr">
        <is>
          <t>PRJ-52b1cf50-RK-02</t>
        </is>
      </c>
      <c r="D1896" s="10" t="inlineStr">
        <is>
          <t>P4102157455</t>
        </is>
      </c>
      <c r="E1896" s="11" t="inlineStr">
        <is>
          <t>Arbeitsschutz kontaminierte Bereiche (TRGS 524)</t>
        </is>
      </c>
      <c r="F1896" s="10" t="inlineStr">
        <is>
          <t>Schadstoffe</t>
        </is>
      </c>
      <c r="G1896" s="12" t="n">
        <v>0.1</v>
      </c>
      <c r="H1896" s="13" t="n">
        <v>11781</v>
      </c>
      <c r="I1896" s="13" t="n">
        <v>23562</v>
      </c>
      <c r="J1896" s="13" t="n">
        <v>47123</v>
      </c>
      <c r="K1896" s="14">
        <f>IF(OR(COUNT(G1896:J1896)&lt;&gt;4,G1896&lt;0,G1896&gt;1,H1896&gt;I1896,I1896&gt;J1896),"n.a.",ROUND(G1896*(H1896+4*I1896+J1896)/6+0.00000001,2))</f>
        <v/>
      </c>
      <c r="L1896" s="13" t="n">
        <v>0</v>
      </c>
      <c r="M1896" s="14">
        <f>SUMIFS(Maßnahmen!$I$7:$I$126,Maßnahmen!$D$7:$D$126,C1896,Maßnahmen!$H$7:$H$126,"&lt;&gt;verworfen")</f>
        <v/>
      </c>
      <c r="N1896" s="14">
        <f>IF(ISNUMBER(K1896),MAX(0,K1896-L1896-M1896),"n.a.")</f>
        <v/>
      </c>
      <c r="O1896" s="14" t="n">
        <v>2552.53</v>
      </c>
      <c r="P1896" s="14">
        <f>IF(ISNUMBER(K1896),K1896-O1896,"n.a.")</f>
        <v/>
      </c>
    </row>
    <row r="1897" ht="32" customHeight="1">
      <c r="C1897" s="10" t="inlineStr">
        <is>
          <t>PRJ-52b1cf50-RK-03</t>
        </is>
      </c>
      <c r="D1897" s="10" t="inlineStr">
        <is>
          <t>P4102157455</t>
        </is>
      </c>
      <c r="E1897" s="11" t="inlineStr">
        <is>
          <t>Entsorgungs-Mehrkosten / Entsorgungswege</t>
        </is>
      </c>
      <c r="F1897" s="10" t="inlineStr">
        <is>
          <t>Entsorgung</t>
        </is>
      </c>
      <c r="G1897" s="12" t="n">
        <v>0.15</v>
      </c>
      <c r="H1897" s="13" t="n">
        <v>47123</v>
      </c>
      <c r="I1897" s="13" t="n">
        <v>117808</v>
      </c>
      <c r="J1897" s="13" t="n">
        <v>235616</v>
      </c>
      <c r="K1897" s="14">
        <f>IF(OR(COUNT(G1897:J1897)&lt;&gt;4,G1897&lt;0,G1897&gt;1,H1897&gt;I1897,I1897&gt;J1897),"n.a.",ROUND(G1897*(H1897+4*I1897+J1897)/6+0.00000001,2))</f>
        <v/>
      </c>
      <c r="L1897" s="13" t="n">
        <v>0</v>
      </c>
      <c r="M1897" s="14">
        <f>SUMIFS(Maßnahmen!$I$7:$I$126,Maßnahmen!$D$7:$D$126,C1897,Maßnahmen!$H$7:$H$126,"&lt;&gt;verworfen")</f>
        <v/>
      </c>
      <c r="N1897" s="14">
        <f>IF(ISNUMBER(K1897),MAX(0,K1897-L1897-M1897),"n.a.")</f>
        <v/>
      </c>
      <c r="O1897" s="14" t="n">
        <v>18849.28</v>
      </c>
      <c r="P1897" s="14">
        <f>IF(ISNUMBER(K1897),K1897-O1897,"n.a.")</f>
        <v/>
      </c>
    </row>
    <row r="1898" ht="32" customHeight="1">
      <c r="C1898" s="10" t="inlineStr">
        <is>
          <t>PRJ-52b1cf50-RK-04</t>
        </is>
      </c>
      <c r="D1898" s="10" t="inlineStr">
        <is>
          <t>P4102157455</t>
        </is>
      </c>
      <c r="E1898" s="11" t="inlineStr">
        <is>
          <t>Baustofftrennung / Aufbereitung nicht wie geplant</t>
        </is>
      </c>
      <c r="F1898" s="10" t="inlineStr">
        <is>
          <t>Entsorgung</t>
        </is>
      </c>
      <c r="G1898" s="12" t="n">
        <v>0.08</v>
      </c>
      <c r="H1898" s="13" t="n">
        <v>11781</v>
      </c>
      <c r="I1898" s="13" t="n">
        <v>23562</v>
      </c>
      <c r="J1898" s="13" t="n">
        <v>47123</v>
      </c>
      <c r="K1898" s="14">
        <f>IF(OR(COUNT(G1898:J1898)&lt;&gt;4,G1898&lt;0,G1898&gt;1,H1898&gt;I1898,I1898&gt;J1898),"n.a.",ROUND(G1898*(H1898+4*I1898+J1898)/6+0.00000001,2))</f>
        <v/>
      </c>
      <c r="L1898" s="13" t="n">
        <v>0</v>
      </c>
      <c r="M1898" s="14">
        <f>SUMIFS(Maßnahmen!$I$7:$I$126,Maßnahmen!$D$7:$D$126,C1898,Maßnahmen!$H$7:$H$126,"&lt;&gt;verworfen")</f>
        <v/>
      </c>
      <c r="N1898" s="14">
        <f>IF(ISNUMBER(K1898),MAX(0,K1898-L1898-M1898),"n.a.")</f>
        <v/>
      </c>
      <c r="O1898" s="14" t="n">
        <v>2042.03</v>
      </c>
      <c r="P1898" s="14">
        <f>IF(ISNUMBER(K1898),K1898-O1898,"n.a.")</f>
        <v/>
      </c>
    </row>
    <row r="1899" ht="32" customHeight="1">
      <c r="C1899" s="10" t="inlineStr">
        <is>
          <t>PRJ-52b1cf50-RK-05</t>
        </is>
      </c>
      <c r="D1899" s="10" t="inlineStr">
        <is>
          <t>P4102157455</t>
        </is>
      </c>
      <c r="E1899" s="11" t="inlineStr">
        <is>
          <t>Unbekannte Bauwerkskonstruktion / fehlende Pläne</t>
        </is>
      </c>
      <c r="F1899" s="10" t="inlineStr">
        <is>
          <t>Statik</t>
        </is>
      </c>
      <c r="G1899" s="12" t="n">
        <v>0.12</v>
      </c>
      <c r="H1899" s="13" t="n">
        <v>118591</v>
      </c>
      <c r="I1899" s="13" t="n">
        <v>229067</v>
      </c>
      <c r="J1899" s="13" t="n">
        <v>418342</v>
      </c>
      <c r="K1899" s="14">
        <f>IF(OR(COUNT(G1899:J1899)&lt;&gt;4,G1899&lt;0,G1899&gt;1,H1899&gt;I1899,I1899&gt;J1899),"n.a.",ROUND(G1899*(H1899+4*I1899+J1899)/6+0.00000001,2))</f>
        <v/>
      </c>
      <c r="L1899" s="13" t="n">
        <v>0</v>
      </c>
      <c r="M1899" s="14">
        <f>SUMIFS(Maßnahmen!$I$7:$I$126,Maßnahmen!$D$7:$D$126,C1899,Maßnahmen!$H$7:$H$126,"&lt;&gt;verworfen")</f>
        <v/>
      </c>
      <c r="N1899" s="14">
        <f>IF(ISNUMBER(K1899),MAX(0,K1899-L1899-M1899),"n.a.")</f>
        <v/>
      </c>
      <c r="O1899" s="14" t="n">
        <v>29064.02</v>
      </c>
      <c r="P1899" s="14">
        <f>IF(ISNUMBER(K1899),K1899-O1899,"n.a.")</f>
        <v/>
      </c>
    </row>
    <row r="1900" ht="32" customHeight="1">
      <c r="C1900" s="10" t="inlineStr">
        <is>
          <t>PRJ-52b1cf50-RK-06</t>
        </is>
      </c>
      <c r="D1900" s="10" t="inlineStr">
        <is>
          <t>P4102157455</t>
        </is>
      </c>
      <c r="E1900" s="11" t="inlineStr">
        <is>
          <t>Statik / Einsturzsicherung während Abbruch</t>
        </is>
      </c>
      <c r="F1900" s="10" t="inlineStr">
        <is>
          <t>Statik</t>
        </is>
      </c>
      <c r="G1900" s="12" t="n">
        <v>0.12</v>
      </c>
      <c r="H1900" s="13" t="n">
        <v>70685</v>
      </c>
      <c r="I1900" s="13" t="n">
        <v>164931</v>
      </c>
      <c r="J1900" s="13" t="n">
        <v>329862</v>
      </c>
      <c r="K1900" s="14">
        <f>IF(OR(COUNT(G1900:J1900)&lt;&gt;4,G1900&lt;0,G1900&gt;1,H1900&gt;I1900,I1900&gt;J1900),"n.a.",ROUND(G1900*(H1900+4*I1900+J1900)/6+0.00000001,2))</f>
        <v/>
      </c>
      <c r="L1900" s="13" t="n">
        <v>0</v>
      </c>
      <c r="M1900" s="14">
        <f>SUMIFS(Maßnahmen!$I$7:$I$126,Maßnahmen!$D$7:$D$126,C1900,Maßnahmen!$H$7:$H$126,"&lt;&gt;verworfen")</f>
        <v/>
      </c>
      <c r="N1900" s="14">
        <f>IF(ISNUMBER(K1900),MAX(0,K1900-L1900-M1900),"n.a.")</f>
        <v/>
      </c>
      <c r="O1900" s="14" t="n">
        <v>21205.42</v>
      </c>
      <c r="P1900" s="14">
        <f>IF(ISNUMBER(K1900),K1900-O1900,"n.a.")</f>
        <v/>
      </c>
    </row>
    <row r="1901" ht="32" customHeight="1">
      <c r="C1901" s="10" t="inlineStr">
        <is>
          <t>PRJ-52b1cf50-RK-07</t>
        </is>
      </c>
      <c r="D1901" s="10" t="inlineStr">
        <is>
          <t>P4102157455</t>
        </is>
      </c>
      <c r="E1901" s="11" t="inlineStr">
        <is>
          <t>Unterirdische Tragkonstruktion / Fundamente</t>
        </is>
      </c>
      <c r="F1901" s="10" t="inlineStr">
        <is>
          <t>Statik</t>
        </is>
      </c>
      <c r="G1901" s="12" t="n">
        <v>0.5</v>
      </c>
      <c r="H1901" s="13" t="n">
        <v>11781</v>
      </c>
      <c r="I1901" s="13" t="n">
        <v>47123</v>
      </c>
      <c r="J1901" s="13" t="n">
        <v>117808</v>
      </c>
      <c r="K1901" s="14">
        <f>IF(OR(COUNT(G1901:J1901)&lt;&gt;4,G1901&lt;0,G1901&gt;1,H1901&gt;I1901,I1901&gt;J1901),"n.a.",ROUND(G1901*(H1901+4*I1901+J1901)/6+0.00000001,2))</f>
        <v/>
      </c>
      <c r="L1901" s="13" t="n">
        <v>0</v>
      </c>
      <c r="M1901" s="14">
        <f>SUMIFS(Maßnahmen!$I$7:$I$126,Maßnahmen!$D$7:$D$126,C1901,Maßnahmen!$H$7:$H$126,"&lt;&gt;verworfen")</f>
        <v/>
      </c>
      <c r="N1901" s="14">
        <f>IF(ISNUMBER(K1901),MAX(0,K1901-L1901-M1901),"n.a.")</f>
        <v/>
      </c>
      <c r="O1901" s="14" t="n">
        <v>26506.75</v>
      </c>
      <c r="P1901" s="14">
        <f>IF(ISNUMBER(K1901),K1901-O1901,"n.a.")</f>
        <v/>
      </c>
    </row>
    <row r="1902" ht="32" customHeight="1">
      <c r="C1902" s="10" t="inlineStr">
        <is>
          <t>PRJ-52b1cf50-RK-08</t>
        </is>
      </c>
      <c r="D1902" s="10" t="inlineStr">
        <is>
          <t>P4102157455</t>
        </is>
      </c>
      <c r="E1902" s="11" t="inlineStr">
        <is>
          <t>Gebäudehöhe &gt;22 m / Longfront-Bagger (+130–150 %)</t>
        </is>
      </c>
      <c r="F1902" s="10" t="inlineStr">
        <is>
          <t>Termin</t>
        </is>
      </c>
      <c r="G1902" s="12" t="n">
        <v>0.518</v>
      </c>
      <c r="H1902" s="13" t="n">
        <v>173252</v>
      </c>
      <c r="I1902" s="13" t="n">
        <v>351355</v>
      </c>
      <c r="J1902" s="13" t="n">
        <v>665287</v>
      </c>
      <c r="K1902" s="14">
        <f>IF(OR(COUNT(G1902:J1902)&lt;&gt;4,G1902&lt;0,G1902&gt;1,H1902&gt;I1902,I1902&gt;J1902),"n.a.",ROUND(G1902*(H1902+4*I1902+J1902)/6+0.00000001,2))</f>
        <v/>
      </c>
      <c r="L1902" s="13" t="n">
        <v>0</v>
      </c>
      <c r="M1902" s="14">
        <f>SUMIFS(Maßnahmen!$I$7:$I$126,Maßnahmen!$D$7:$D$126,C1902,Maßnahmen!$H$7:$H$126,"&lt;&gt;verworfen")</f>
        <v/>
      </c>
      <c r="N1902" s="14">
        <f>IF(ISNUMBER(K1902),MAX(0,K1902-L1902-M1902),"n.a.")</f>
        <v/>
      </c>
      <c r="O1902" s="14" t="n">
        <v>193728.46</v>
      </c>
      <c r="P1902" s="14">
        <f>IF(ISNUMBER(K1902),K1902-O1902,"n.a.")</f>
        <v/>
      </c>
    </row>
    <row r="1903" ht="32" customHeight="1">
      <c r="C1903" s="10" t="inlineStr">
        <is>
          <t>PRJ-52b1cf50-RK-09</t>
        </is>
      </c>
      <c r="D1903" s="10" t="inlineStr">
        <is>
          <t>P4102157455</t>
        </is>
      </c>
      <c r="E1903" s="11" t="inlineStr">
        <is>
          <t>Beennte Lage / nur Handabbruch möglich</t>
        </is>
      </c>
      <c r="F1903" s="10" t="inlineStr">
        <is>
          <t>Termin</t>
        </is>
      </c>
      <c r="G1903" s="12" t="n">
        <v>0.174</v>
      </c>
      <c r="H1903" s="13" t="n">
        <v>26964</v>
      </c>
      <c r="I1903" s="13" t="n">
        <v>63353</v>
      </c>
      <c r="J1903" s="13" t="n">
        <v>150267</v>
      </c>
      <c r="K1903" s="14">
        <f>IF(OR(COUNT(G1903:J1903)&lt;&gt;4,G1903&lt;0,G1903&gt;1,H1903&gt;I1903,I1903&gt;J1903),"n.a.",ROUND(G1903*(H1903+4*I1903+J1903)/6+0.00000001,2))</f>
        <v/>
      </c>
      <c r="L1903" s="13" t="n">
        <v>0</v>
      </c>
      <c r="M1903" s="14">
        <f>SUMIFS(Maßnahmen!$I$7:$I$126,Maßnahmen!$D$7:$D$126,C1903,Maßnahmen!$H$7:$H$126,"&lt;&gt;verworfen")</f>
        <v/>
      </c>
      <c r="N1903" s="14">
        <f>IF(ISNUMBER(K1903),MAX(0,K1903-L1903-M1903),"n.a.")</f>
        <v/>
      </c>
      <c r="O1903" s="14" t="n">
        <v>12488.65</v>
      </c>
      <c r="P1903" s="14">
        <f>IF(ISNUMBER(K1903),K1903-O1903,"n.a.")</f>
        <v/>
      </c>
    </row>
    <row r="1904" ht="32" customHeight="1">
      <c r="C1904" s="10" t="inlineStr">
        <is>
          <t>PRJ-52b1cf50-RK-10</t>
        </is>
      </c>
      <c r="D1904" s="10" t="inlineStr">
        <is>
          <t>P4102157455</t>
        </is>
      </c>
      <c r="E1904" s="11" t="inlineStr">
        <is>
          <t>Terminvorgabe Auftraggeber / Geräteauslastung</t>
        </is>
      </c>
      <c r="F1904" s="10" t="inlineStr">
        <is>
          <t>Termin</t>
        </is>
      </c>
      <c r="G1904" s="12" t="n">
        <v>0.08</v>
      </c>
      <c r="H1904" s="13" t="n">
        <v>11781</v>
      </c>
      <c r="I1904" s="13" t="n">
        <v>23562</v>
      </c>
      <c r="J1904" s="13" t="n">
        <v>47123</v>
      </c>
      <c r="K1904" s="14">
        <f>IF(OR(COUNT(G1904:J1904)&lt;&gt;4,G1904&lt;0,G1904&gt;1,H1904&gt;I1904,I1904&gt;J1904),"n.a.",ROUND(G1904*(H1904+4*I1904+J1904)/6+0.00000001,2))</f>
        <v/>
      </c>
      <c r="L1904" s="13" t="n">
        <v>0</v>
      </c>
      <c r="M1904" s="14">
        <f>SUMIFS(Maßnahmen!$I$7:$I$126,Maßnahmen!$D$7:$D$126,C1904,Maßnahmen!$H$7:$H$126,"&lt;&gt;verworfen")</f>
        <v/>
      </c>
      <c r="N1904" s="14">
        <f>IF(ISNUMBER(K1904),MAX(0,K1904-L1904-M1904),"n.a.")</f>
        <v/>
      </c>
      <c r="O1904" s="14" t="n">
        <v>2042.03</v>
      </c>
      <c r="P1904" s="14">
        <f>IF(ISNUMBER(K1904),K1904-O1904,"n.a.")</f>
        <v/>
      </c>
    </row>
    <row r="1905" ht="32" customHeight="1">
      <c r="C1905" s="10" t="inlineStr">
        <is>
          <t>PRJ-52b1cf50-RK-11</t>
        </is>
      </c>
      <c r="D1905" s="10" t="inlineStr">
        <is>
          <t>P4102157455</t>
        </is>
      </c>
      <c r="E1905" s="11" t="inlineStr">
        <is>
          <t>Witterung / Ablaufstörung</t>
        </is>
      </c>
      <c r="F1905" s="10" t="inlineStr">
        <is>
          <t>Termin</t>
        </is>
      </c>
      <c r="G1905" s="12" t="n">
        <v>0.25</v>
      </c>
      <c r="H1905" s="13" t="n">
        <v>23562</v>
      </c>
      <c r="I1905" s="13" t="n">
        <v>70685</v>
      </c>
      <c r="J1905" s="13" t="n">
        <v>141370</v>
      </c>
      <c r="K1905" s="14">
        <f>IF(OR(COUNT(G1905:J1905)&lt;&gt;4,G1905&lt;0,G1905&gt;1,H1905&gt;I1905,I1905&gt;J1905),"n.a.",ROUND(G1905*(H1905+4*I1905+J1905)/6+0.00000001,2))</f>
        <v/>
      </c>
      <c r="L1905" s="13" t="n">
        <v>0</v>
      </c>
      <c r="M1905" s="14">
        <f>SUMIFS(Maßnahmen!$I$7:$I$126,Maßnahmen!$D$7:$D$126,C1905,Maßnahmen!$H$7:$H$126,"&lt;&gt;verworfen")</f>
        <v/>
      </c>
      <c r="N1905" s="14">
        <f>IF(ISNUMBER(K1905),MAX(0,K1905-L1905-M1905),"n.a.")</f>
        <v/>
      </c>
      <c r="O1905" s="14" t="n">
        <v>18653</v>
      </c>
      <c r="P1905" s="14">
        <f>IF(ISNUMBER(K1905),K1905-O1905,"n.a.")</f>
        <v/>
      </c>
    </row>
    <row r="1906" ht="32" customHeight="1">
      <c r="C1906" s="10" t="inlineStr">
        <is>
          <t>PRJ-52b1cf50-RK-12</t>
        </is>
      </c>
      <c r="D1906" s="10" t="inlineStr">
        <is>
          <t>P4102157455</t>
        </is>
      </c>
      <c r="E1906" s="11" t="inlineStr">
        <is>
          <t>Staubemissionen (höchster Aufwand laut Umfrage)</t>
        </is>
      </c>
      <c r="F1906" s="10" t="inlineStr">
        <is>
          <t>Emissionen</t>
        </is>
      </c>
      <c r="G1906" s="12" t="n">
        <v>0.1</v>
      </c>
      <c r="H1906" s="13" t="n">
        <v>71015</v>
      </c>
      <c r="I1906" s="13" t="n">
        <v>141766</v>
      </c>
      <c r="J1906" s="13" t="n">
        <v>283400</v>
      </c>
      <c r="K1906" s="14">
        <f>IF(OR(COUNT(G1906:J1906)&lt;&gt;4,G1906&lt;0,G1906&gt;1,H1906&gt;I1906,I1906&gt;J1906),"n.a.",ROUND(G1906*(H1906+4*I1906+J1906)/6+0.00000001,2))</f>
        <v/>
      </c>
      <c r="L1906" s="13" t="n">
        <v>0</v>
      </c>
      <c r="M1906" s="14">
        <f>SUMIFS(Maßnahmen!$I$7:$I$126,Maßnahmen!$D$7:$D$126,C1906,Maßnahmen!$H$7:$H$126,"&lt;&gt;verworfen")</f>
        <v/>
      </c>
      <c r="N1906" s="14">
        <f>IF(ISNUMBER(K1906),MAX(0,K1906-L1906-M1906),"n.a.")</f>
        <v/>
      </c>
      <c r="O1906" s="14" t="n">
        <v>15357.98</v>
      </c>
      <c r="P1906" s="14">
        <f>IF(ISNUMBER(K1906),K1906-O1906,"n.a.")</f>
        <v/>
      </c>
    </row>
    <row r="1907" ht="32" customHeight="1">
      <c r="C1907" s="10" t="inlineStr">
        <is>
          <t>PRJ-52b1cf50-RK-13</t>
        </is>
      </c>
      <c r="D1907" s="10" t="inlineStr">
        <is>
          <t>P4102157455</t>
        </is>
      </c>
      <c r="E1907" s="11" t="inlineStr">
        <is>
          <t>Lärm- und Erschütterungsauflagen</t>
        </is>
      </c>
      <c r="F1907" s="10" t="inlineStr">
        <is>
          <t>Emissionen</t>
        </is>
      </c>
      <c r="G1907" s="12" t="n">
        <v>0.238</v>
      </c>
      <c r="H1907" s="13" t="n">
        <v>66599</v>
      </c>
      <c r="I1907" s="13" t="n">
        <v>153513</v>
      </c>
      <c r="J1907" s="13" t="n">
        <v>297288</v>
      </c>
      <c r="K1907" s="14">
        <f>IF(OR(COUNT(G1907:J1907)&lt;&gt;4,G1907&lt;0,G1907&gt;1,H1907&gt;I1907,I1907&gt;J1907),"n.a.",ROUND(G1907*(H1907+4*I1907+J1907)/6+0.00000001,2))</f>
        <v/>
      </c>
      <c r="L1907" s="13" t="n">
        <v>0</v>
      </c>
      <c r="M1907" s="14">
        <f>SUMIFS(Maßnahmen!$I$7:$I$126,Maßnahmen!$D$7:$D$126,C1907,Maßnahmen!$H$7:$H$126,"&lt;&gt;verworfen")</f>
        <v/>
      </c>
      <c r="N1907" s="14">
        <f>IF(ISNUMBER(K1907),MAX(0,K1907-L1907-M1907),"n.a.")</f>
        <v/>
      </c>
      <c r="O1907" s="14" t="n">
        <v>38791.58</v>
      </c>
      <c r="P1907" s="14">
        <f>IF(ISNUMBER(K1907),K1907-O1907,"n.a.")</f>
        <v/>
      </c>
    </row>
    <row r="1908" ht="32" customHeight="1">
      <c r="C1908" s="10" t="inlineStr">
        <is>
          <t>PRJ-52b1cf50-RK-14</t>
        </is>
      </c>
      <c r="D1908" s="10" t="inlineStr">
        <is>
          <t>P4102157455</t>
        </is>
      </c>
      <c r="E1908" s="11" t="inlineStr">
        <is>
          <t>Rechtliche Auflagen / Entsorgungsnachweise (Formalismus)</t>
        </is>
      </c>
      <c r="F1908" s="10" t="inlineStr">
        <is>
          <t>Genehmigung</t>
        </is>
      </c>
      <c r="G1908" s="12" t="n">
        <v>0.398</v>
      </c>
      <c r="H1908" s="13" t="n">
        <v>185033</v>
      </c>
      <c r="I1908" s="13" t="n">
        <v>363136</v>
      </c>
      <c r="J1908" s="13" t="n">
        <v>688848</v>
      </c>
      <c r="K1908" s="14">
        <f>IF(OR(COUNT(G1908:J1908)&lt;&gt;4,G1908&lt;0,G1908&gt;1,H1908&gt;I1908,I1908&gt;J1908),"n.a.",ROUND(G1908*(H1908+4*I1908+J1908)/6+0.00000001,2))</f>
        <v/>
      </c>
      <c r="L1908" s="13" t="n">
        <v>0</v>
      </c>
      <c r="M1908" s="14">
        <f>SUMIFS(Maßnahmen!$I$7:$I$126,Maßnahmen!$D$7:$D$126,C1908,Maßnahmen!$H$7:$H$126,"&lt;&gt;verworfen")</f>
        <v/>
      </c>
      <c r="N1908" s="14">
        <f>IF(ISNUMBER(K1908),MAX(0,K1908-L1908-M1908),"n.a.")</f>
        <v/>
      </c>
      <c r="O1908" s="14" t="n">
        <v>154319.53</v>
      </c>
      <c r="P1908" s="14">
        <f>IF(ISNUMBER(K1908),K1908-O1908,"n.a.")</f>
        <v/>
      </c>
    </row>
    <row r="1909" ht="32" customHeight="1">
      <c r="C1909" s="10" t="inlineStr">
        <is>
          <t>PRJ-52b1cf50-RK-15</t>
        </is>
      </c>
      <c r="D1909" s="10" t="inlineStr">
        <is>
          <t>P4102157455</t>
        </is>
      </c>
      <c r="E1909" s="11" t="inlineStr">
        <is>
          <t>Konjunktur / Sekundärstoffpreise &amp; Gerätemiete</t>
        </is>
      </c>
      <c r="F1909" s="10" t="inlineStr">
        <is>
          <t>Markt</t>
        </is>
      </c>
      <c r="G1909" s="12" t="n">
        <v>0.12</v>
      </c>
      <c r="H1909" s="13" t="n">
        <v>18849</v>
      </c>
      <c r="I1909" s="13" t="n">
        <v>47123</v>
      </c>
      <c r="J1909" s="13" t="n">
        <v>117808</v>
      </c>
      <c r="K1909" s="14">
        <f>IF(OR(COUNT(G1909:J1909)&lt;&gt;4,G1909&lt;0,G1909&gt;1,H1909&gt;I1909,I1909&gt;J1909),"n.a.",ROUND(G1909*(H1909+4*I1909+J1909)/6+0.00000001,2))</f>
        <v/>
      </c>
      <c r="L1909" s="13" t="n">
        <v>0</v>
      </c>
      <c r="M1909" s="14">
        <f>SUMIFS(Maßnahmen!$I$7:$I$126,Maßnahmen!$D$7:$D$126,C1909,Maßnahmen!$H$7:$H$126,"&lt;&gt;verworfen")</f>
        <v/>
      </c>
      <c r="N1909" s="14">
        <f>IF(ISNUMBER(K1909),MAX(0,K1909-L1909-M1909),"n.a.")</f>
        <v/>
      </c>
      <c r="O1909" s="14" t="n">
        <v>6502.98</v>
      </c>
      <c r="P1909" s="14">
        <f>IF(ISNUMBER(K1909),K1909-O1909,"n.a.")</f>
        <v/>
      </c>
    </row>
    <row r="1910" ht="32" customHeight="1">
      <c r="C1910" s="10" t="inlineStr">
        <is>
          <t>PRJ-4a292796-RK-01</t>
        </is>
      </c>
      <c r="D1910" s="10" t="inlineStr">
        <is>
          <t>P4102658235</t>
        </is>
      </c>
      <c r="E1910" s="11" t="inlineStr">
        <is>
          <t>Schadstofffund / Schadstoffsanierung (Asbest, PAK, PCB, PCP)</t>
        </is>
      </c>
      <c r="F1910" s="10" t="inlineStr">
        <is>
          <t>Schadstoffe</t>
        </is>
      </c>
      <c r="G1910" s="12" t="n">
        <v>0.1</v>
      </c>
      <c r="H1910" s="13" t="n">
        <v>100</v>
      </c>
      <c r="I1910" s="13" t="n">
        <v>250</v>
      </c>
      <c r="J1910" s="13" t="n">
        <v>500</v>
      </c>
      <c r="K1910" s="14">
        <f>IF(OR(COUNT(G1910:J1910)&lt;&gt;4,G1910&lt;0,G1910&gt;1,H1910&gt;I1910,I1910&gt;J1910),"n.a.",ROUND(G1910*(H1910+4*I1910+J1910)/6+0.00000001,2))</f>
        <v/>
      </c>
      <c r="L1910" s="13" t="n">
        <v>0</v>
      </c>
      <c r="M1910" s="14">
        <f>SUMIFS(Maßnahmen!$I$7:$I$126,Maßnahmen!$D$7:$D$126,C1910,Maßnahmen!$H$7:$H$126,"&lt;&gt;verworfen")</f>
        <v/>
      </c>
      <c r="N1910" s="14">
        <f>IF(ISNUMBER(K1910),MAX(0,K1910-L1910-M1910),"n.a.")</f>
        <v/>
      </c>
      <c r="O1910" s="14" t="n">
        <v>26.67</v>
      </c>
      <c r="P1910" s="14">
        <f>IF(ISNUMBER(K1910),K1910-O1910,"n.a.")</f>
        <v/>
      </c>
    </row>
    <row r="1911" ht="32" customHeight="1">
      <c r="C1911" s="10" t="inlineStr">
        <is>
          <t>PRJ-4a292796-RK-02</t>
        </is>
      </c>
      <c r="D1911" s="10" t="inlineStr">
        <is>
          <t>P4102658235</t>
        </is>
      </c>
      <c r="E1911" s="11" t="inlineStr">
        <is>
          <t>Arbeitsschutz kontaminierte Bereiche (TRGS 524)</t>
        </is>
      </c>
      <c r="F1911" s="10" t="inlineStr">
        <is>
          <t>Schadstoffe</t>
        </is>
      </c>
      <c r="G1911" s="12" t="n">
        <v>0.47</v>
      </c>
      <c r="H1911" s="13" t="n">
        <v>100</v>
      </c>
      <c r="I1911" s="13" t="n">
        <v>250</v>
      </c>
      <c r="J1911" s="13" t="n">
        <v>500</v>
      </c>
      <c r="K1911" s="14">
        <f>IF(OR(COUNT(G1911:J1911)&lt;&gt;4,G1911&lt;0,G1911&gt;1,H1911&gt;I1911,I1911&gt;J1911),"n.a.",ROUND(G1911*(H1911+4*I1911+J1911)/6+0.00000001,2))</f>
        <v/>
      </c>
      <c r="L1911" s="13" t="n">
        <v>0</v>
      </c>
      <c r="M1911" s="14">
        <f>SUMIFS(Maßnahmen!$I$7:$I$126,Maßnahmen!$D$7:$D$126,C1911,Maßnahmen!$H$7:$H$126,"&lt;&gt;verworfen")</f>
        <v/>
      </c>
      <c r="N1911" s="14">
        <f>IF(ISNUMBER(K1911),MAX(0,K1911-L1911-M1911),"n.a.")</f>
        <v/>
      </c>
      <c r="O1911" s="14" t="n">
        <v>125.33</v>
      </c>
      <c r="P1911" s="14">
        <f>IF(ISNUMBER(K1911),K1911-O1911,"n.a.")</f>
        <v/>
      </c>
    </row>
    <row r="1912" ht="32" customHeight="1">
      <c r="C1912" s="10" t="inlineStr">
        <is>
          <t>PRJ-4a292796-RK-03</t>
        </is>
      </c>
      <c r="D1912" s="10" t="inlineStr">
        <is>
          <t>P4102658235</t>
        </is>
      </c>
      <c r="E1912" s="11" t="inlineStr">
        <is>
          <t>Entsorgungs-Mehrkosten / Entsorgungswege</t>
        </is>
      </c>
      <c r="F1912" s="10" t="inlineStr">
        <is>
          <t>Entsorgung</t>
        </is>
      </c>
      <c r="G1912" s="12" t="n">
        <v>0.27</v>
      </c>
      <c r="H1912" s="13" t="n">
        <v>100</v>
      </c>
      <c r="I1912" s="13" t="n">
        <v>250</v>
      </c>
      <c r="J1912" s="13" t="n">
        <v>500</v>
      </c>
      <c r="K1912" s="14">
        <f>IF(OR(COUNT(G1912:J1912)&lt;&gt;4,G1912&lt;0,G1912&gt;1,H1912&gt;I1912,I1912&gt;J1912),"n.a.",ROUND(G1912*(H1912+4*I1912+J1912)/6+0.00000001,2))</f>
        <v/>
      </c>
      <c r="L1912" s="13" t="n">
        <v>0</v>
      </c>
      <c r="M1912" s="14">
        <f>SUMIFS(Maßnahmen!$I$7:$I$126,Maßnahmen!$D$7:$D$126,C1912,Maßnahmen!$H$7:$H$126,"&lt;&gt;verworfen")</f>
        <v/>
      </c>
      <c r="N1912" s="14">
        <f>IF(ISNUMBER(K1912),MAX(0,K1912-L1912-M1912),"n.a.")</f>
        <v/>
      </c>
      <c r="O1912" s="14" t="n">
        <v>72</v>
      </c>
      <c r="P1912" s="14">
        <f>IF(ISNUMBER(K1912),K1912-O1912,"n.a.")</f>
        <v/>
      </c>
    </row>
    <row r="1913" ht="32" customHeight="1">
      <c r="C1913" s="10" t="inlineStr">
        <is>
          <t>PRJ-4a292796-RK-04</t>
        </is>
      </c>
      <c r="D1913" s="10" t="inlineStr">
        <is>
          <t>P4102658235</t>
        </is>
      </c>
      <c r="E1913" s="11" t="inlineStr">
        <is>
          <t>Baustofftrennung / Aufbereitung nicht wie geplant</t>
        </is>
      </c>
      <c r="F1913" s="10" t="inlineStr">
        <is>
          <t>Entsorgung</t>
        </is>
      </c>
      <c r="G1913" s="12" t="n">
        <v>0.1</v>
      </c>
      <c r="H1913" s="13" t="n">
        <v>100</v>
      </c>
      <c r="I1913" s="13" t="n">
        <v>250</v>
      </c>
      <c r="J1913" s="13" t="n">
        <v>500</v>
      </c>
      <c r="K1913" s="14">
        <f>IF(OR(COUNT(G1913:J1913)&lt;&gt;4,G1913&lt;0,G1913&gt;1,H1913&gt;I1913,I1913&gt;J1913),"n.a.",ROUND(G1913*(H1913+4*I1913+J1913)/6+0.00000001,2))</f>
        <v/>
      </c>
      <c r="L1913" s="13" t="n">
        <v>0</v>
      </c>
      <c r="M1913" s="14">
        <f>SUMIFS(Maßnahmen!$I$7:$I$126,Maßnahmen!$D$7:$D$126,C1913,Maßnahmen!$H$7:$H$126,"&lt;&gt;verworfen")</f>
        <v/>
      </c>
      <c r="N1913" s="14">
        <f>IF(ISNUMBER(K1913),MAX(0,K1913-L1913-M1913),"n.a.")</f>
        <v/>
      </c>
      <c r="O1913" s="14" t="n">
        <v>26.67</v>
      </c>
      <c r="P1913" s="14">
        <f>IF(ISNUMBER(K1913),K1913-O1913,"n.a.")</f>
        <v/>
      </c>
    </row>
    <row r="1914" ht="32" customHeight="1">
      <c r="C1914" s="10" t="inlineStr">
        <is>
          <t>PRJ-4a292796-RK-05</t>
        </is>
      </c>
      <c r="D1914" s="10" t="inlineStr">
        <is>
          <t>P4102658235</t>
        </is>
      </c>
      <c r="E1914" s="11" t="inlineStr">
        <is>
          <t>Unbekannte Bauwerkskonstruktion / fehlende Pläne</t>
        </is>
      </c>
      <c r="F1914" s="10" t="inlineStr">
        <is>
          <t>Statik</t>
        </is>
      </c>
      <c r="G1914" s="12" t="n">
        <v>0.12</v>
      </c>
      <c r="H1914" s="13" t="n">
        <v>200</v>
      </c>
      <c r="I1914" s="13" t="n">
        <v>400</v>
      </c>
      <c r="J1914" s="13" t="n">
        <v>750</v>
      </c>
      <c r="K1914" s="14">
        <f>IF(OR(COUNT(G1914:J1914)&lt;&gt;4,G1914&lt;0,G1914&gt;1,H1914&gt;I1914,I1914&gt;J1914),"n.a.",ROUND(G1914*(H1914+4*I1914+J1914)/6+0.00000001,2))</f>
        <v/>
      </c>
      <c r="L1914" s="13" t="n">
        <v>0</v>
      </c>
      <c r="M1914" s="14">
        <f>SUMIFS(Maßnahmen!$I$7:$I$126,Maßnahmen!$D$7:$D$126,C1914,Maßnahmen!$H$7:$H$126,"&lt;&gt;verworfen")</f>
        <v/>
      </c>
      <c r="N1914" s="14">
        <f>IF(ISNUMBER(K1914),MAX(0,K1914-L1914-M1914),"n.a.")</f>
        <v/>
      </c>
      <c r="O1914" s="14" t="n">
        <v>51</v>
      </c>
      <c r="P1914" s="14">
        <f>IF(ISNUMBER(K1914),K1914-O1914,"n.a.")</f>
        <v/>
      </c>
    </row>
    <row r="1915" ht="32" customHeight="1">
      <c r="C1915" s="10" t="inlineStr">
        <is>
          <t>PRJ-4a292796-RK-06</t>
        </is>
      </c>
      <c r="D1915" s="10" t="inlineStr">
        <is>
          <t>P4102658235</t>
        </is>
      </c>
      <c r="E1915" s="11" t="inlineStr">
        <is>
          <t>Statik / Einsturzsicherung während Abbruch</t>
        </is>
      </c>
      <c r="F1915" s="10" t="inlineStr">
        <is>
          <t>Statik</t>
        </is>
      </c>
      <c r="G1915" s="12" t="n">
        <v>0.24</v>
      </c>
      <c r="H1915" s="13" t="n">
        <v>150</v>
      </c>
      <c r="I1915" s="13" t="n">
        <v>350</v>
      </c>
      <c r="J1915" s="13" t="n">
        <v>700</v>
      </c>
      <c r="K1915" s="14">
        <f>IF(OR(COUNT(G1915:J1915)&lt;&gt;4,G1915&lt;0,G1915&gt;1,H1915&gt;I1915,I1915&gt;J1915),"n.a.",ROUND(G1915*(H1915+4*I1915+J1915)/6+0.00000001,2))</f>
        <v/>
      </c>
      <c r="L1915" s="13" t="n">
        <v>0</v>
      </c>
      <c r="M1915" s="14">
        <f>SUMIFS(Maßnahmen!$I$7:$I$126,Maßnahmen!$D$7:$D$126,C1915,Maßnahmen!$H$7:$H$126,"&lt;&gt;verworfen")</f>
        <v/>
      </c>
      <c r="N1915" s="14">
        <f>IF(ISNUMBER(K1915),MAX(0,K1915-L1915-M1915),"n.a.")</f>
        <v/>
      </c>
      <c r="O1915" s="14" t="n">
        <v>90</v>
      </c>
      <c r="P1915" s="14">
        <f>IF(ISNUMBER(K1915),K1915-O1915,"n.a.")</f>
        <v/>
      </c>
    </row>
    <row r="1916" ht="32" customHeight="1">
      <c r="C1916" s="10" t="inlineStr">
        <is>
          <t>PRJ-4a292796-RK-07</t>
        </is>
      </c>
      <c r="D1916" s="10" t="inlineStr">
        <is>
          <t>P4102658235</t>
        </is>
      </c>
      <c r="E1916" s="11" t="inlineStr">
        <is>
          <t>Unterirdische Tragkonstruktion / Fundamente</t>
        </is>
      </c>
      <c r="F1916" s="10" t="inlineStr">
        <is>
          <t>Statik</t>
        </is>
      </c>
      <c r="G1916" s="12" t="n">
        <v>0.4</v>
      </c>
      <c r="H1916" s="13" t="n">
        <v>25</v>
      </c>
      <c r="I1916" s="13" t="n">
        <v>100</v>
      </c>
      <c r="J1916" s="13" t="n">
        <v>250</v>
      </c>
      <c r="K1916" s="14">
        <f>IF(OR(COUNT(G1916:J1916)&lt;&gt;4,G1916&lt;0,G1916&gt;1,H1916&gt;I1916,I1916&gt;J1916),"n.a.",ROUND(G1916*(H1916+4*I1916+J1916)/6+0.00000001,2))</f>
        <v/>
      </c>
      <c r="L1916" s="13" t="n">
        <v>0</v>
      </c>
      <c r="M1916" s="14">
        <f>SUMIFS(Maßnahmen!$I$7:$I$126,Maßnahmen!$D$7:$D$126,C1916,Maßnahmen!$H$7:$H$126,"&lt;&gt;verworfen")</f>
        <v/>
      </c>
      <c r="N1916" s="14">
        <f>IF(ISNUMBER(K1916),MAX(0,K1916-L1916-M1916),"n.a.")</f>
        <v/>
      </c>
      <c r="O1916" s="14" t="n">
        <v>45</v>
      </c>
      <c r="P1916" s="14">
        <f>IF(ISNUMBER(K1916),K1916-O1916,"n.a.")</f>
        <v/>
      </c>
    </row>
    <row r="1917" ht="32" customHeight="1">
      <c r="C1917" s="10" t="inlineStr">
        <is>
          <t>PRJ-4a292796-RK-08</t>
        </is>
      </c>
      <c r="D1917" s="10" t="inlineStr">
        <is>
          <t>P4102658235</t>
        </is>
      </c>
      <c r="E1917" s="11" t="inlineStr">
        <is>
          <t>Gebäudehöhe &gt;22 m / Longfront-Bagger (+130–150 %)</t>
        </is>
      </c>
      <c r="F1917" s="10" t="inlineStr">
        <is>
          <t>Termin</t>
        </is>
      </c>
      <c r="G1917" s="12" t="n">
        <v>0.6</v>
      </c>
      <c r="H1917" s="13" t="n">
        <v>450</v>
      </c>
      <c r="I1917" s="13" t="n">
        <v>900</v>
      </c>
      <c r="J1917" s="13" t="n">
        <v>1700</v>
      </c>
      <c r="K1917" s="14">
        <f>IF(OR(COUNT(G1917:J1917)&lt;&gt;4,G1917&lt;0,G1917&gt;1,H1917&gt;I1917,I1917&gt;J1917),"n.a.",ROUND(G1917*(H1917+4*I1917+J1917)/6+0.00000001,2))</f>
        <v/>
      </c>
      <c r="L1917" s="13" t="n">
        <v>0</v>
      </c>
      <c r="M1917" s="14">
        <f>SUMIFS(Maßnahmen!$I$7:$I$126,Maßnahmen!$D$7:$D$126,C1917,Maßnahmen!$H$7:$H$126,"&lt;&gt;verworfen")</f>
        <v/>
      </c>
      <c r="N1917" s="14">
        <f>IF(ISNUMBER(K1917),MAX(0,K1917-L1917-M1917),"n.a.")</f>
        <v/>
      </c>
      <c r="O1917" s="14" t="n">
        <v>575</v>
      </c>
      <c r="P1917" s="14">
        <f>IF(ISNUMBER(K1917),K1917-O1917,"n.a.")</f>
        <v/>
      </c>
    </row>
    <row r="1918" ht="32" customHeight="1">
      <c r="C1918" s="10" t="inlineStr">
        <is>
          <t>PRJ-4a292796-RK-09</t>
        </is>
      </c>
      <c r="D1918" s="10" t="inlineStr">
        <is>
          <t>P4102658235</t>
        </is>
      </c>
      <c r="E1918" s="11" t="inlineStr">
        <is>
          <t>Beennte Lage / nur Handabbruch möglich</t>
        </is>
      </c>
      <c r="F1918" s="10" t="inlineStr">
        <is>
          <t>Termin</t>
        </is>
      </c>
      <c r="G1918" s="12" t="n">
        <v>0.15</v>
      </c>
      <c r="H1918" s="13" t="n">
        <v>40</v>
      </c>
      <c r="I1918" s="13" t="n">
        <v>100</v>
      </c>
      <c r="J1918" s="13" t="n">
        <v>250</v>
      </c>
      <c r="K1918" s="14">
        <f>IF(OR(COUNT(G1918:J1918)&lt;&gt;4,G1918&lt;0,G1918&gt;1,H1918&gt;I1918,I1918&gt;J1918),"n.a.",ROUND(G1918*(H1918+4*I1918+J1918)/6+0.00000001,2))</f>
        <v/>
      </c>
      <c r="L1918" s="13" t="n">
        <v>0</v>
      </c>
      <c r="M1918" s="14">
        <f>SUMIFS(Maßnahmen!$I$7:$I$126,Maßnahmen!$D$7:$D$126,C1918,Maßnahmen!$H$7:$H$126,"&lt;&gt;verworfen")</f>
        <v/>
      </c>
      <c r="N1918" s="14">
        <f>IF(ISNUMBER(K1918),MAX(0,K1918-L1918-M1918),"n.a.")</f>
        <v/>
      </c>
      <c r="O1918" s="14" t="n">
        <v>17.25</v>
      </c>
      <c r="P1918" s="14">
        <f>IF(ISNUMBER(K1918),K1918-O1918,"n.a.")</f>
        <v/>
      </c>
    </row>
    <row r="1919" ht="32" customHeight="1">
      <c r="C1919" s="10" t="inlineStr">
        <is>
          <t>PRJ-4a292796-RK-10</t>
        </is>
      </c>
      <c r="D1919" s="10" t="inlineStr">
        <is>
          <t>P4102658235</t>
        </is>
      </c>
      <c r="E1919" s="11" t="inlineStr">
        <is>
          <t>Terminvorgabe Auftraggeber / Geräteauslastung</t>
        </is>
      </c>
      <c r="F1919" s="10" t="inlineStr">
        <is>
          <t>Termin</t>
        </is>
      </c>
      <c r="G1919" s="12" t="n">
        <v>0.1</v>
      </c>
      <c r="H1919" s="13" t="n">
        <v>40</v>
      </c>
      <c r="I1919" s="13" t="n">
        <v>100</v>
      </c>
      <c r="J1919" s="13" t="n">
        <v>250</v>
      </c>
      <c r="K1919" s="14">
        <f>IF(OR(COUNT(G1919:J1919)&lt;&gt;4,G1919&lt;0,G1919&gt;1,H1919&gt;I1919,I1919&gt;J1919),"n.a.",ROUND(G1919*(H1919+4*I1919+J1919)/6+0.00000001,2))</f>
        <v/>
      </c>
      <c r="L1919" s="13" t="n">
        <v>0</v>
      </c>
      <c r="M1919" s="14">
        <f>SUMIFS(Maßnahmen!$I$7:$I$126,Maßnahmen!$D$7:$D$126,C1919,Maßnahmen!$H$7:$H$126,"&lt;&gt;verworfen")</f>
        <v/>
      </c>
      <c r="N1919" s="14">
        <f>IF(ISNUMBER(K1919),MAX(0,K1919-L1919-M1919),"n.a.")</f>
        <v/>
      </c>
      <c r="O1919" s="14" t="n">
        <v>11.5</v>
      </c>
      <c r="P1919" s="14">
        <f>IF(ISNUMBER(K1919),K1919-O1919,"n.a.")</f>
        <v/>
      </c>
    </row>
    <row r="1920" ht="32" customHeight="1">
      <c r="C1920" s="10" t="inlineStr">
        <is>
          <t>PRJ-4a292796-RK-11</t>
        </is>
      </c>
      <c r="D1920" s="10" t="inlineStr">
        <is>
          <t>P4102658235</t>
        </is>
      </c>
      <c r="E1920" s="11" t="inlineStr">
        <is>
          <t>Witterung / Ablaufstörung</t>
        </is>
      </c>
      <c r="F1920" s="10" t="inlineStr">
        <is>
          <t>Termin</t>
        </is>
      </c>
      <c r="G1920" s="12" t="n">
        <v>0.25</v>
      </c>
      <c r="H1920" s="13" t="n">
        <v>50</v>
      </c>
      <c r="I1920" s="13" t="n">
        <v>150</v>
      </c>
      <c r="J1920" s="13" t="n">
        <v>300</v>
      </c>
      <c r="K1920" s="14">
        <f>IF(OR(COUNT(G1920:J1920)&lt;&gt;4,G1920&lt;0,G1920&gt;1,H1920&gt;I1920,I1920&gt;J1920),"n.a.",ROUND(G1920*(H1920+4*I1920+J1920)/6+0.00000001,2))</f>
        <v/>
      </c>
      <c r="L1920" s="13" t="n">
        <v>0</v>
      </c>
      <c r="M1920" s="14">
        <f>SUMIFS(Maßnahmen!$I$7:$I$126,Maßnahmen!$D$7:$D$126,C1920,Maßnahmen!$H$7:$H$126,"&lt;&gt;verworfen")</f>
        <v/>
      </c>
      <c r="N1920" s="14">
        <f>IF(ISNUMBER(K1920),MAX(0,K1920-L1920-M1920),"n.a.")</f>
        <v/>
      </c>
      <c r="O1920" s="14" t="n">
        <v>39.58</v>
      </c>
      <c r="P1920" s="14">
        <f>IF(ISNUMBER(K1920),K1920-O1920,"n.a.")</f>
        <v/>
      </c>
    </row>
    <row r="1921" ht="32" customHeight="1">
      <c r="C1921" s="10" t="inlineStr">
        <is>
          <t>PRJ-4a292796-RK-12</t>
        </is>
      </c>
      <c r="D1921" s="10" t="inlineStr">
        <is>
          <t>P4102658235</t>
        </is>
      </c>
      <c r="E1921" s="11" t="inlineStr">
        <is>
          <t>Staubemissionen (höchster Aufwand laut Umfrage)</t>
        </is>
      </c>
      <c r="F1921" s="10" t="inlineStr">
        <is>
          <t>Emissionen</t>
        </is>
      </c>
      <c r="G1921" s="12" t="n">
        <v>0.1</v>
      </c>
      <c r="H1921" s="13" t="n">
        <v>150</v>
      </c>
      <c r="I1921" s="13" t="n">
        <v>300</v>
      </c>
      <c r="J1921" s="13" t="n">
        <v>600</v>
      </c>
      <c r="K1921" s="14">
        <f>IF(OR(COUNT(G1921:J1921)&lt;&gt;4,G1921&lt;0,G1921&gt;1,H1921&gt;I1921,I1921&gt;J1921),"n.a.",ROUND(G1921*(H1921+4*I1921+J1921)/6+0.00000001,2))</f>
        <v/>
      </c>
      <c r="L1921" s="13" t="n">
        <v>0</v>
      </c>
      <c r="M1921" s="14">
        <f>SUMIFS(Maßnahmen!$I$7:$I$126,Maßnahmen!$D$7:$D$126,C1921,Maßnahmen!$H$7:$H$126,"&lt;&gt;verworfen")</f>
        <v/>
      </c>
      <c r="N1921" s="14">
        <f>IF(ISNUMBER(K1921),MAX(0,K1921-L1921-M1921),"n.a.")</f>
        <v/>
      </c>
      <c r="O1921" s="14" t="n">
        <v>32.5</v>
      </c>
      <c r="P1921" s="14">
        <f>IF(ISNUMBER(K1921),K1921-O1921,"n.a.")</f>
        <v/>
      </c>
    </row>
    <row r="1922" ht="32" customHeight="1">
      <c r="C1922" s="10" t="inlineStr">
        <is>
          <t>PRJ-4a292796-RK-13</t>
        </is>
      </c>
      <c r="D1922" s="10" t="inlineStr">
        <is>
          <t>P4102658235</t>
        </is>
      </c>
      <c r="E1922" s="11" t="inlineStr">
        <is>
          <t>Lärm- und Erschütterungsauflagen</t>
        </is>
      </c>
      <c r="F1922" s="10" t="inlineStr">
        <is>
          <t>Emissionen</t>
        </is>
      </c>
      <c r="G1922" s="12" t="n">
        <v>0.2</v>
      </c>
      <c r="H1922" s="13" t="n">
        <v>100</v>
      </c>
      <c r="I1922" s="13" t="n">
        <v>250</v>
      </c>
      <c r="J1922" s="13" t="n">
        <v>500</v>
      </c>
      <c r="K1922" s="14">
        <f>IF(OR(COUNT(G1922:J1922)&lt;&gt;4,G1922&lt;0,G1922&gt;1,H1922&gt;I1922,I1922&gt;J1922),"n.a.",ROUND(G1922*(H1922+4*I1922+J1922)/6+0.00000001,2))</f>
        <v/>
      </c>
      <c r="L1922" s="13" t="n">
        <v>0</v>
      </c>
      <c r="M1922" s="14">
        <f>SUMIFS(Maßnahmen!$I$7:$I$126,Maßnahmen!$D$7:$D$126,C1922,Maßnahmen!$H$7:$H$126,"&lt;&gt;verworfen")</f>
        <v/>
      </c>
      <c r="N1922" s="14">
        <f>IF(ISNUMBER(K1922),MAX(0,K1922-L1922-M1922),"n.a.")</f>
        <v/>
      </c>
      <c r="O1922" s="14" t="n">
        <v>53.33</v>
      </c>
      <c r="P1922" s="14">
        <f>IF(ISNUMBER(K1922),K1922-O1922,"n.a.")</f>
        <v/>
      </c>
    </row>
    <row r="1923" ht="32" customHeight="1">
      <c r="C1923" s="10" t="inlineStr">
        <is>
          <t>PRJ-4a292796-RK-14</t>
        </is>
      </c>
      <c r="D1923" s="10" t="inlineStr">
        <is>
          <t>P4102658235</t>
        </is>
      </c>
      <c r="E1923" s="11" t="inlineStr">
        <is>
          <t>Rechtliche Auflagen / Entsorgungsnachweise (Formalismus)</t>
        </is>
      </c>
      <c r="F1923" s="10" t="inlineStr">
        <is>
          <t>Genehmigung</t>
        </is>
      </c>
      <c r="G1923" s="12" t="n">
        <v>0.4</v>
      </c>
      <c r="H1923" s="13" t="n">
        <v>475</v>
      </c>
      <c r="I1923" s="13" t="n">
        <v>925</v>
      </c>
      <c r="J1923" s="13" t="n">
        <v>1750</v>
      </c>
      <c r="K1923" s="14">
        <f>IF(OR(COUNT(G1923:J1923)&lt;&gt;4,G1923&lt;0,G1923&gt;1,H1923&gt;I1923,I1923&gt;J1923),"n.a.",ROUND(G1923*(H1923+4*I1923+J1923)/6+0.00000001,2))</f>
        <v/>
      </c>
      <c r="L1923" s="13" t="n">
        <v>0</v>
      </c>
      <c r="M1923" s="14">
        <f>SUMIFS(Maßnahmen!$I$7:$I$126,Maßnahmen!$D$7:$D$126,C1923,Maßnahmen!$H$7:$H$126,"&lt;&gt;verworfen")</f>
        <v/>
      </c>
      <c r="N1923" s="14">
        <f>IF(ISNUMBER(K1923),MAX(0,K1923-L1923-M1923),"n.a.")</f>
        <v/>
      </c>
      <c r="O1923" s="14" t="n">
        <v>395</v>
      </c>
      <c r="P1923" s="14">
        <f>IF(ISNUMBER(K1923),K1923-O1923,"n.a.")</f>
        <v/>
      </c>
    </row>
    <row r="1924" ht="32" customHeight="1">
      <c r="C1924" s="10" t="inlineStr">
        <is>
          <t>PRJ-4a292796-RK-15</t>
        </is>
      </c>
      <c r="D1924" s="10" t="inlineStr">
        <is>
          <t>P4102658235</t>
        </is>
      </c>
      <c r="E1924" s="11" t="inlineStr">
        <is>
          <t>Konjunktur / Sekundärstoffpreise &amp; Gerätemiete</t>
        </is>
      </c>
      <c r="F1924" s="10" t="inlineStr">
        <is>
          <t>Markt</t>
        </is>
      </c>
      <c r="G1924" s="12" t="n">
        <v>0.12</v>
      </c>
      <c r="H1924" s="13" t="n">
        <v>40</v>
      </c>
      <c r="I1924" s="13" t="n">
        <v>100</v>
      </c>
      <c r="J1924" s="13" t="n">
        <v>250</v>
      </c>
      <c r="K1924" s="14">
        <f>IF(OR(COUNT(G1924:J1924)&lt;&gt;4,G1924&lt;0,G1924&gt;1,H1924&gt;I1924,I1924&gt;J1924),"n.a.",ROUND(G1924*(H1924+4*I1924+J1924)/6+0.00000001,2))</f>
        <v/>
      </c>
      <c r="L1924" s="13" t="n">
        <v>0</v>
      </c>
      <c r="M1924" s="14">
        <f>SUMIFS(Maßnahmen!$I$7:$I$126,Maßnahmen!$D$7:$D$126,C1924,Maßnahmen!$H$7:$H$126,"&lt;&gt;verworfen")</f>
        <v/>
      </c>
      <c r="N1924" s="14">
        <f>IF(ISNUMBER(K1924),MAX(0,K1924-L1924-M1924),"n.a.")</f>
        <v/>
      </c>
      <c r="O1924" s="14" t="n">
        <v>13.8</v>
      </c>
      <c r="P1924" s="14">
        <f>IF(ISNUMBER(K1924),K1924-O1924,"n.a.")</f>
        <v/>
      </c>
    </row>
    <row r="1925" ht="32" customHeight="1">
      <c r="C1925" s="10" t="inlineStr">
        <is>
          <t>PRJ-52b1cf33-RK-01</t>
        </is>
      </c>
      <c r="D1925" s="10" t="inlineStr">
        <is>
          <t>P4102157463</t>
        </is>
      </c>
      <c r="E1925" s="11" t="inlineStr">
        <is>
          <t>Schadstofffund / Schadstoffsanierung (Asbest, PAK, PCB, PCP)</t>
        </is>
      </c>
      <c r="F1925" s="10" t="inlineStr">
        <is>
          <t>Schadstoffe</t>
        </is>
      </c>
      <c r="G1925" s="12" t="n">
        <v>0.7</v>
      </c>
      <c r="H1925" s="13" t="n">
        <v>36217</v>
      </c>
      <c r="I1925" s="13" t="n">
        <v>67807</v>
      </c>
      <c r="J1925" s="13" t="n">
        <v>121426</v>
      </c>
      <c r="K1925" s="14">
        <f>IF(OR(COUNT(G1925:J1925)&lt;&gt;4,G1925&lt;0,G1925&gt;1,H1925&gt;I1925,I1925&gt;J1925),"n.a.",ROUND(G1925*(H1925+4*I1925+J1925)/6+0.00000001,2))</f>
        <v/>
      </c>
      <c r="L1925" s="13" t="n">
        <v>0</v>
      </c>
      <c r="M1925" s="14">
        <f>SUMIFS(Maßnahmen!$I$7:$I$126,Maßnahmen!$D$7:$D$126,C1925,Maßnahmen!$H$7:$H$126,"&lt;&gt;verworfen")</f>
        <v/>
      </c>
      <c r="N1925" s="14">
        <f>IF(ISNUMBER(K1925),MAX(0,K1925-L1925-M1925),"n.a.")</f>
        <v/>
      </c>
      <c r="O1925" s="14" t="n">
        <v>50034.95</v>
      </c>
      <c r="P1925" s="14">
        <f>IF(ISNUMBER(K1925),K1925-O1925,"n.a.")</f>
        <v/>
      </c>
    </row>
    <row r="1926" ht="32" customHeight="1">
      <c r="C1926" s="10" t="inlineStr">
        <is>
          <t>PRJ-52b1cf33-RK-02</t>
        </is>
      </c>
      <c r="D1926" s="10" t="inlineStr">
        <is>
          <t>P4102157463</t>
        </is>
      </c>
      <c r="E1926" s="11" t="inlineStr">
        <is>
          <t>Arbeitsschutz kontaminierte Bereiche (TRGS 524)</t>
        </is>
      </c>
      <c r="F1926" s="10" t="inlineStr">
        <is>
          <t>Schadstoffe</t>
        </is>
      </c>
      <c r="G1926" s="12" t="n">
        <v>0.1</v>
      </c>
      <c r="H1926" s="13" t="n">
        <v>934</v>
      </c>
      <c r="I1926" s="13" t="n">
        <v>1868</v>
      </c>
      <c r="J1926" s="13" t="n">
        <v>3736</v>
      </c>
      <c r="K1926" s="14">
        <f>IF(OR(COUNT(G1926:J1926)&lt;&gt;4,G1926&lt;0,G1926&gt;1,H1926&gt;I1926,I1926&gt;J1926),"n.a.",ROUND(G1926*(H1926+4*I1926+J1926)/6+0.00000001,2))</f>
        <v/>
      </c>
      <c r="L1926" s="13" t="n">
        <v>0</v>
      </c>
      <c r="M1926" s="14">
        <f>SUMIFS(Maßnahmen!$I$7:$I$126,Maßnahmen!$D$7:$D$126,C1926,Maßnahmen!$H$7:$H$126,"&lt;&gt;verworfen")</f>
        <v/>
      </c>
      <c r="N1926" s="14">
        <f>IF(ISNUMBER(K1926),MAX(0,K1926-L1926-M1926),"n.a.")</f>
        <v/>
      </c>
      <c r="O1926" s="14" t="n">
        <v>202.37</v>
      </c>
      <c r="P1926" s="14">
        <f>IF(ISNUMBER(K1926),K1926-O1926,"n.a.")</f>
        <v/>
      </c>
    </row>
    <row r="1927" ht="32" customHeight="1">
      <c r="C1927" s="10" t="inlineStr">
        <is>
          <t>PRJ-52b1cf33-RK-03</t>
        </is>
      </c>
      <c r="D1927" s="10" t="inlineStr">
        <is>
          <t>P4102157463</t>
        </is>
      </c>
      <c r="E1927" s="11" t="inlineStr">
        <is>
          <t>Entsorgungs-Mehrkosten / Entsorgungswege</t>
        </is>
      </c>
      <c r="F1927" s="10" t="inlineStr">
        <is>
          <t>Entsorgung</t>
        </is>
      </c>
      <c r="G1927" s="12" t="n">
        <v>0.55</v>
      </c>
      <c r="H1927" s="13" t="n">
        <v>38715</v>
      </c>
      <c r="I1927" s="13" t="n">
        <v>70554</v>
      </c>
      <c r="J1927" s="13" t="n">
        <v>114873</v>
      </c>
      <c r="K1927" s="14">
        <f>IF(OR(COUNT(G1927:J1927)&lt;&gt;4,G1927&lt;0,G1927&gt;1,H1927&gt;I1927,I1927&gt;J1927),"n.a.",ROUND(G1927*(H1927+4*I1927+J1927)/6+0.00000001,2))</f>
        <v/>
      </c>
      <c r="L1927" s="13" t="n">
        <v>0</v>
      </c>
      <c r="M1927" s="14">
        <f>SUMIFS(Maßnahmen!$I$7:$I$126,Maßnahmen!$D$7:$D$126,C1927,Maßnahmen!$H$7:$H$126,"&lt;&gt;verworfen")</f>
        <v/>
      </c>
      <c r="N1927" s="14">
        <f>IF(ISNUMBER(K1927),MAX(0,K1927-L1927-M1927),"n.a.")</f>
        <v/>
      </c>
      <c r="O1927" s="14" t="n">
        <v>39948.7</v>
      </c>
      <c r="P1927" s="14">
        <f>IF(ISNUMBER(K1927),K1927-O1927,"n.a.")</f>
        <v/>
      </c>
    </row>
    <row r="1928" ht="32" customHeight="1">
      <c r="C1928" s="10" t="inlineStr">
        <is>
          <t>PRJ-52b1cf33-RK-04</t>
        </is>
      </c>
      <c r="D1928" s="10" t="inlineStr">
        <is>
          <t>P4102157463</t>
        </is>
      </c>
      <c r="E1928" s="11" t="inlineStr">
        <is>
          <t>Baustofftrennung / Aufbereitung nicht wie geplant</t>
        </is>
      </c>
      <c r="F1928" s="10" t="inlineStr">
        <is>
          <t>Entsorgung</t>
        </is>
      </c>
      <c r="G1928" s="12" t="n">
        <v>0.08</v>
      </c>
      <c r="H1928" s="13" t="n">
        <v>934</v>
      </c>
      <c r="I1928" s="13" t="n">
        <v>1868</v>
      </c>
      <c r="J1928" s="13" t="n">
        <v>3736</v>
      </c>
      <c r="K1928" s="14">
        <f>IF(OR(COUNT(G1928:J1928)&lt;&gt;4,G1928&lt;0,G1928&gt;1,H1928&gt;I1928,I1928&gt;J1928),"n.a.",ROUND(G1928*(H1928+4*I1928+J1928)/6+0.00000001,2))</f>
        <v/>
      </c>
      <c r="L1928" s="13" t="n">
        <v>0</v>
      </c>
      <c r="M1928" s="14">
        <f>SUMIFS(Maßnahmen!$I$7:$I$126,Maßnahmen!$D$7:$D$126,C1928,Maßnahmen!$H$7:$H$126,"&lt;&gt;verworfen")</f>
        <v/>
      </c>
      <c r="N1928" s="14">
        <f>IF(ISNUMBER(K1928),MAX(0,K1928-L1928-M1928),"n.a.")</f>
        <v/>
      </c>
      <c r="O1928" s="14" t="n">
        <v>161.89</v>
      </c>
      <c r="P1928" s="14">
        <f>IF(ISNUMBER(K1928),K1928-O1928,"n.a.")</f>
        <v/>
      </c>
    </row>
    <row r="1929" ht="32" customHeight="1">
      <c r="C1929" s="10" t="inlineStr">
        <is>
          <t>PRJ-52b1cf33-RK-05</t>
        </is>
      </c>
      <c r="D1929" s="10" t="inlineStr">
        <is>
          <t>P4102157463</t>
        </is>
      </c>
      <c r="E1929" s="11" t="inlineStr">
        <is>
          <t>Unbekannte Bauwerkskonstruktion / fehlende Pläne</t>
        </is>
      </c>
      <c r="F1929" s="10" t="inlineStr">
        <is>
          <t>Statik</t>
        </is>
      </c>
      <c r="G1929" s="12" t="n">
        <v>0.27</v>
      </c>
      <c r="H1929" s="13" t="n">
        <v>10607</v>
      </c>
      <c r="I1929" s="13" t="n">
        <v>20169</v>
      </c>
      <c r="J1929" s="13" t="n">
        <v>36381</v>
      </c>
      <c r="K1929" s="14">
        <f>IF(OR(COUNT(G1929:J1929)&lt;&gt;4,G1929&lt;0,G1929&gt;1,H1929&gt;I1929,I1929&gt;J1929),"n.a.",ROUND(G1929*(H1929+4*I1929+J1929)/6+0.00000001,2))</f>
        <v/>
      </c>
      <c r="L1929" s="13" t="n">
        <v>0</v>
      </c>
      <c r="M1929" s="14">
        <f>SUMIFS(Maßnahmen!$I$7:$I$126,Maßnahmen!$D$7:$D$126,C1929,Maßnahmen!$H$7:$H$126,"&lt;&gt;verworfen")</f>
        <v/>
      </c>
      <c r="N1929" s="14">
        <f>IF(ISNUMBER(K1929),MAX(0,K1929-L1929-M1929),"n.a.")</f>
        <v/>
      </c>
      <c r="O1929" s="14" t="n">
        <v>5744.88</v>
      </c>
      <c r="P1929" s="14">
        <f>IF(ISNUMBER(K1929),K1929-O1929,"n.a.")</f>
        <v/>
      </c>
    </row>
    <row r="1930" ht="32" customHeight="1">
      <c r="C1930" s="10" t="inlineStr">
        <is>
          <t>PRJ-52b1cf33-RK-06</t>
        </is>
      </c>
      <c r="D1930" s="10" t="inlineStr">
        <is>
          <t>P4102157463</t>
        </is>
      </c>
      <c r="E1930" s="11" t="inlineStr">
        <is>
          <t>Statik / Einsturzsicherung während Abbruch</t>
        </is>
      </c>
      <c r="F1930" s="10" t="inlineStr">
        <is>
          <t>Statik</t>
        </is>
      </c>
      <c r="G1930" s="12" t="n">
        <v>0.354</v>
      </c>
      <c r="H1930" s="13" t="n">
        <v>31838</v>
      </c>
      <c r="I1930" s="13" t="n">
        <v>56800</v>
      </c>
      <c r="J1930" s="13" t="n">
        <v>96111</v>
      </c>
      <c r="K1930" s="14">
        <f>IF(OR(COUNT(G1930:J1930)&lt;&gt;4,G1930&lt;0,G1930&gt;1,H1930&gt;I1930,I1930&gt;J1930),"n.a.",ROUND(G1930*(H1930+4*I1930+J1930)/6+0.00000001,2))</f>
        <v/>
      </c>
      <c r="L1930" s="13" t="n">
        <v>0</v>
      </c>
      <c r="M1930" s="14">
        <f>SUMIFS(Maßnahmen!$I$7:$I$126,Maßnahmen!$D$7:$D$126,C1930,Maßnahmen!$H$7:$H$126,"&lt;&gt;verworfen")</f>
        <v/>
      </c>
      <c r="N1930" s="14">
        <f>IF(ISNUMBER(K1930),MAX(0,K1930-L1930-M1930),"n.a.")</f>
        <v/>
      </c>
      <c r="O1930" s="14" t="n">
        <v>20953.79</v>
      </c>
      <c r="P1930" s="14">
        <f>IF(ISNUMBER(K1930),K1930-O1930,"n.a.")</f>
        <v/>
      </c>
    </row>
    <row r="1931" ht="32" customHeight="1">
      <c r="C1931" s="10" t="inlineStr">
        <is>
          <t>PRJ-52b1cf33-RK-07</t>
        </is>
      </c>
      <c r="D1931" s="10" t="inlineStr">
        <is>
          <t>P4102157463</t>
        </is>
      </c>
      <c r="E1931" s="11" t="inlineStr">
        <is>
          <t>Unterirdische Tragkonstruktion / Fundamente</t>
        </is>
      </c>
      <c r="F1931" s="10" t="inlineStr">
        <is>
          <t>Statik</t>
        </is>
      </c>
      <c r="G1931" s="12" t="n">
        <v>0.4</v>
      </c>
      <c r="H1931" s="13" t="n">
        <v>9679</v>
      </c>
      <c r="I1931" s="13" t="n">
        <v>17728</v>
      </c>
      <c r="J1931" s="13" t="n">
        <v>35575</v>
      </c>
      <c r="K1931" s="14">
        <f>IF(OR(COUNT(G1931:J1931)&lt;&gt;4,G1931&lt;0,G1931&gt;1,H1931&gt;I1931,I1931&gt;J1931),"n.a.",ROUND(G1931*(H1931+4*I1931+J1931)/6+0.00000001,2))</f>
        <v/>
      </c>
      <c r="L1931" s="13" t="n">
        <v>0</v>
      </c>
      <c r="M1931" s="14">
        <f>SUMIFS(Maßnahmen!$I$7:$I$126,Maßnahmen!$D$7:$D$126,C1931,Maßnahmen!$H$7:$H$126,"&lt;&gt;verworfen")</f>
        <v/>
      </c>
      <c r="N1931" s="14">
        <f>IF(ISNUMBER(K1931),MAX(0,K1931-L1931-M1931),"n.a.")</f>
        <v/>
      </c>
      <c r="O1931" s="14" t="n">
        <v>7744.4</v>
      </c>
      <c r="P1931" s="14">
        <f>IF(ISNUMBER(K1931),K1931-O1931,"n.a.")</f>
        <v/>
      </c>
    </row>
    <row r="1932" ht="32" customHeight="1">
      <c r="C1932" s="10" t="inlineStr">
        <is>
          <t>PRJ-52b1cf33-RK-08</t>
        </is>
      </c>
      <c r="D1932" s="10" t="inlineStr">
        <is>
          <t>P4102157463</t>
        </is>
      </c>
      <c r="E1932" s="11" t="inlineStr">
        <is>
          <t>Gebäudehöhe &gt;22 m / Longfront-Bagger (+130–150 %)</t>
        </is>
      </c>
      <c r="F1932" s="10" t="inlineStr">
        <is>
          <t>Termin</t>
        </is>
      </c>
      <c r="G1932" s="12" t="n">
        <v>0.538</v>
      </c>
      <c r="H1932" s="13" t="n">
        <v>14498</v>
      </c>
      <c r="I1932" s="13" t="n">
        <v>29284</v>
      </c>
      <c r="J1932" s="13" t="n">
        <v>55412</v>
      </c>
      <c r="K1932" s="14">
        <f>IF(OR(COUNT(G1932:J1932)&lt;&gt;4,G1932&lt;0,G1932&gt;1,H1932&gt;I1932,I1932&gt;J1932),"n.a.",ROUND(G1932*(H1932+4*I1932+J1932)/6+0.00000001,2))</f>
        <v/>
      </c>
      <c r="L1932" s="13" t="n">
        <v>0</v>
      </c>
      <c r="M1932" s="14">
        <f>SUMIFS(Maßnahmen!$I$7:$I$126,Maßnahmen!$D$7:$D$126,C1932,Maßnahmen!$H$7:$H$126,"&lt;&gt;verworfen")</f>
        <v/>
      </c>
      <c r="N1932" s="14">
        <f>IF(ISNUMBER(K1932),MAX(0,K1932-L1932-M1932),"n.a.")</f>
        <v/>
      </c>
      <c r="O1932" s="14" t="n">
        <v>16771.79</v>
      </c>
      <c r="P1932" s="14">
        <f>IF(ISNUMBER(K1932),K1932-O1932,"n.a.")</f>
        <v/>
      </c>
    </row>
    <row r="1933" ht="32" customHeight="1">
      <c r="C1933" s="10" t="inlineStr">
        <is>
          <t>PRJ-52b1cf33-RK-09</t>
        </is>
      </c>
      <c r="D1933" s="10" t="inlineStr">
        <is>
          <t>P4102157463</t>
        </is>
      </c>
      <c r="E1933" s="11" t="inlineStr">
        <is>
          <t>Beennte Lage / nur Handabbruch möglich</t>
        </is>
      </c>
      <c r="F1933" s="10" t="inlineStr">
        <is>
          <t>Termin</t>
        </is>
      </c>
      <c r="G1933" s="12" t="n">
        <v>0.289</v>
      </c>
      <c r="H1933" s="13" t="n">
        <v>2539</v>
      </c>
      <c r="I1933" s="13" t="n">
        <v>5826</v>
      </c>
      <c r="J1933" s="13" t="n">
        <v>13520</v>
      </c>
      <c r="K1933" s="14">
        <f>IF(OR(COUNT(G1933:J1933)&lt;&gt;4,G1933&lt;0,G1933&gt;1,H1933&gt;I1933,I1933&gt;J1933),"n.a.",ROUND(G1933*(H1933+4*I1933+J1933)/6+0.00000001,2))</f>
        <v/>
      </c>
      <c r="L1933" s="13" t="n">
        <v>0</v>
      </c>
      <c r="M1933" s="14">
        <f>SUMIFS(Maßnahmen!$I$7:$I$126,Maßnahmen!$D$7:$D$126,C1933,Maßnahmen!$H$7:$H$126,"&lt;&gt;verworfen")</f>
        <v/>
      </c>
      <c r="N1933" s="14">
        <f>IF(ISNUMBER(K1933),MAX(0,K1933-L1933-M1933),"n.a.")</f>
        <v/>
      </c>
      <c r="O1933" s="14" t="n">
        <v>1895.98</v>
      </c>
      <c r="P1933" s="14">
        <f>IF(ISNUMBER(K1933),K1933-O1933,"n.a.")</f>
        <v/>
      </c>
    </row>
    <row r="1934" ht="32" customHeight="1">
      <c r="C1934" s="10" t="inlineStr">
        <is>
          <t>PRJ-52b1cf33-RK-10</t>
        </is>
      </c>
      <c r="D1934" s="10" t="inlineStr">
        <is>
          <t>P4102157463</t>
        </is>
      </c>
      <c r="E1934" s="11" t="inlineStr">
        <is>
          <t>Terminvorgabe Auftraggeber / Geräteauslastung</t>
        </is>
      </c>
      <c r="F1934" s="10" t="inlineStr">
        <is>
          <t>Termin</t>
        </is>
      </c>
      <c r="G1934" s="12" t="n">
        <v>0.08</v>
      </c>
      <c r="H1934" s="13" t="n">
        <v>934</v>
      </c>
      <c r="I1934" s="13" t="n">
        <v>1868</v>
      </c>
      <c r="J1934" s="13" t="n">
        <v>3736</v>
      </c>
      <c r="K1934" s="14">
        <f>IF(OR(COUNT(G1934:J1934)&lt;&gt;4,G1934&lt;0,G1934&gt;1,H1934&gt;I1934,I1934&gt;J1934),"n.a.",ROUND(G1934*(H1934+4*I1934+J1934)/6+0.00000001,2))</f>
        <v/>
      </c>
      <c r="L1934" s="13" t="n">
        <v>0</v>
      </c>
      <c r="M1934" s="14">
        <f>SUMIFS(Maßnahmen!$I$7:$I$126,Maßnahmen!$D$7:$D$126,C1934,Maßnahmen!$H$7:$H$126,"&lt;&gt;verworfen")</f>
        <v/>
      </c>
      <c r="N1934" s="14">
        <f>IF(ISNUMBER(K1934),MAX(0,K1934-L1934-M1934),"n.a.")</f>
        <v/>
      </c>
      <c r="O1934" s="14" t="n">
        <v>161.89</v>
      </c>
      <c r="P1934" s="14">
        <f>IF(ISNUMBER(K1934),K1934-O1934,"n.a.")</f>
        <v/>
      </c>
    </row>
    <row r="1935" ht="32" customHeight="1">
      <c r="C1935" s="10" t="inlineStr">
        <is>
          <t>PRJ-52b1cf33-RK-11</t>
        </is>
      </c>
      <c r="D1935" s="10" t="inlineStr">
        <is>
          <t>P4102157463</t>
        </is>
      </c>
      <c r="E1935" s="11" t="inlineStr">
        <is>
          <t>Witterung / Ablaufstörung</t>
        </is>
      </c>
      <c r="F1935" s="10" t="inlineStr">
        <is>
          <t>Termin</t>
        </is>
      </c>
      <c r="G1935" s="12" t="n">
        <v>0.25</v>
      </c>
      <c r="H1935" s="13" t="n">
        <v>1868</v>
      </c>
      <c r="I1935" s="13" t="n">
        <v>5604</v>
      </c>
      <c r="J1935" s="13" t="n">
        <v>11209</v>
      </c>
      <c r="K1935" s="14">
        <f>IF(OR(COUNT(G1935:J1935)&lt;&gt;4,G1935&lt;0,G1935&gt;1,H1935&gt;I1935,I1935&gt;J1935),"n.a.",ROUND(G1935*(H1935+4*I1935+J1935)/6+0.00000001,2))</f>
        <v/>
      </c>
      <c r="L1935" s="13" t="n">
        <v>0</v>
      </c>
      <c r="M1935" s="14">
        <f>SUMIFS(Maßnahmen!$I$7:$I$126,Maßnahmen!$D$7:$D$126,C1935,Maßnahmen!$H$7:$H$126,"&lt;&gt;verworfen")</f>
        <v/>
      </c>
      <c r="N1935" s="14">
        <f>IF(ISNUMBER(K1935),MAX(0,K1935-L1935-M1935),"n.a.")</f>
        <v/>
      </c>
      <c r="O1935" s="14" t="n">
        <v>1478.88</v>
      </c>
      <c r="P1935" s="14">
        <f>IF(ISNUMBER(K1935),K1935-O1935,"n.a.")</f>
        <v/>
      </c>
    </row>
    <row r="1936" ht="32" customHeight="1">
      <c r="C1936" s="10" t="inlineStr">
        <is>
          <t>PRJ-52b1cf33-RK-12</t>
        </is>
      </c>
      <c r="D1936" s="10" t="inlineStr">
        <is>
          <t>P4102157463</t>
        </is>
      </c>
      <c r="E1936" s="11" t="inlineStr">
        <is>
          <t>Staubemissionen (höchster Aufwand laut Umfrage)</t>
        </is>
      </c>
      <c r="F1936" s="10" t="inlineStr">
        <is>
          <t>Emissionen</t>
        </is>
      </c>
      <c r="G1936" s="12" t="n">
        <v>0.22</v>
      </c>
      <c r="H1936" s="13" t="n">
        <v>5604</v>
      </c>
      <c r="I1936" s="13" t="n">
        <v>11209</v>
      </c>
      <c r="J1936" s="13" t="n">
        <v>22417</v>
      </c>
      <c r="K1936" s="14">
        <f>IF(OR(COUNT(G1936:J1936)&lt;&gt;4,G1936&lt;0,G1936&gt;1,H1936&gt;I1936,I1936&gt;J1936),"n.a.",ROUND(G1936*(H1936+4*I1936+J1936)/6+0.00000001,2))</f>
        <v/>
      </c>
      <c r="L1936" s="13" t="n">
        <v>0</v>
      </c>
      <c r="M1936" s="14">
        <f>SUMIFS(Maßnahmen!$I$7:$I$126,Maßnahmen!$D$7:$D$126,C1936,Maßnahmen!$H$7:$H$126,"&lt;&gt;verworfen")</f>
        <v/>
      </c>
      <c r="N1936" s="14">
        <f>IF(ISNUMBER(K1936),MAX(0,K1936-L1936-M1936),"n.a.")</f>
        <v/>
      </c>
      <c r="O1936" s="14" t="n">
        <v>2671.42</v>
      </c>
      <c r="P1936" s="14">
        <f>IF(ISNUMBER(K1936),K1936-O1936,"n.a.")</f>
        <v/>
      </c>
    </row>
    <row r="1937" ht="32" customHeight="1">
      <c r="C1937" s="10" t="inlineStr">
        <is>
          <t>PRJ-52b1cf33-RK-13</t>
        </is>
      </c>
      <c r="D1937" s="10" t="inlineStr">
        <is>
          <t>P4102157463</t>
        </is>
      </c>
      <c r="E1937" s="11" t="inlineStr">
        <is>
          <t>Lärm- und Erschütterungsauflagen</t>
        </is>
      </c>
      <c r="F1937" s="10" t="inlineStr">
        <is>
          <t>Emissionen</t>
        </is>
      </c>
      <c r="G1937" s="12" t="n">
        <v>0.362</v>
      </c>
      <c r="H1937" s="13" t="n">
        <v>6244</v>
      </c>
      <c r="I1937" s="13" t="n">
        <v>13938</v>
      </c>
      <c r="J1937" s="13" t="n">
        <v>26622</v>
      </c>
      <c r="K1937" s="14">
        <f>IF(OR(COUNT(G1937:J1937)&lt;&gt;4,G1937&lt;0,G1937&gt;1,H1937&gt;I1937,I1937&gt;J1937),"n.a.",ROUND(G1937*(H1937+4*I1937+J1937)/6+0.00000001,2))</f>
        <v/>
      </c>
      <c r="L1937" s="13" t="n">
        <v>0</v>
      </c>
      <c r="M1937" s="14">
        <f>SUMIFS(Maßnahmen!$I$7:$I$126,Maßnahmen!$D$7:$D$126,C1937,Maßnahmen!$H$7:$H$126,"&lt;&gt;verworfen")</f>
        <v/>
      </c>
      <c r="N1937" s="14">
        <f>IF(ISNUMBER(K1937),MAX(0,K1937-L1937-M1937),"n.a.")</f>
        <v/>
      </c>
      <c r="O1937" s="14" t="n">
        <v>5346.62</v>
      </c>
      <c r="P1937" s="14">
        <f>IF(ISNUMBER(K1937),K1937-O1937,"n.a.")</f>
        <v/>
      </c>
    </row>
    <row r="1938" ht="32" customHeight="1">
      <c r="C1938" s="10" t="inlineStr">
        <is>
          <t>PRJ-52b1cf33-RK-14</t>
        </is>
      </c>
      <c r="D1938" s="10" t="inlineStr">
        <is>
          <t>P4102157463</t>
        </is>
      </c>
      <c r="E1938" s="11" t="inlineStr">
        <is>
          <t>Rechtliche Auflagen / Entsorgungsnachweise (Formalismus)</t>
        </is>
      </c>
      <c r="F1938" s="10" t="inlineStr">
        <is>
          <t>Genehmigung</t>
        </is>
      </c>
      <c r="G1938" s="12" t="n">
        <v>0.4</v>
      </c>
      <c r="H1938" s="13" t="n">
        <v>15432</v>
      </c>
      <c r="I1938" s="13" t="n">
        <v>30219</v>
      </c>
      <c r="J1938" s="13" t="n">
        <v>57280</v>
      </c>
      <c r="K1938" s="14">
        <f>IF(OR(COUNT(G1938:J1938)&lt;&gt;4,G1938&lt;0,G1938&gt;1,H1938&gt;I1938,I1938&gt;J1938),"n.a.",ROUND(G1938*(H1938+4*I1938+J1938)/6+0.00000001,2))</f>
        <v/>
      </c>
      <c r="L1938" s="13" t="n">
        <v>0</v>
      </c>
      <c r="M1938" s="14">
        <f>SUMIFS(Maßnahmen!$I$7:$I$126,Maßnahmen!$D$7:$D$126,C1938,Maßnahmen!$H$7:$H$126,"&lt;&gt;verworfen")</f>
        <v/>
      </c>
      <c r="N1938" s="14">
        <f>IF(ISNUMBER(K1938),MAX(0,K1938-L1938-M1938),"n.a.")</f>
        <v/>
      </c>
      <c r="O1938" s="14" t="n">
        <v>12905.87</v>
      </c>
      <c r="P1938" s="14">
        <f>IF(ISNUMBER(K1938),K1938-O1938,"n.a.")</f>
        <v/>
      </c>
    </row>
    <row r="1939" ht="32" customHeight="1">
      <c r="C1939" s="10" t="inlineStr">
        <is>
          <t>PRJ-52b1cf33-RK-15</t>
        </is>
      </c>
      <c r="D1939" s="10" t="inlineStr">
        <is>
          <t>P4102157463</t>
        </is>
      </c>
      <c r="E1939" s="11" t="inlineStr">
        <is>
          <t>Konjunktur / Sekundärstoffpreise &amp; Gerätemiete</t>
        </is>
      </c>
      <c r="F1939" s="10" t="inlineStr">
        <is>
          <t>Markt</t>
        </is>
      </c>
      <c r="G1939" s="12" t="n">
        <v>0.12</v>
      </c>
      <c r="H1939" s="13" t="n">
        <v>1494</v>
      </c>
      <c r="I1939" s="13" t="n">
        <v>3736</v>
      </c>
      <c r="J1939" s="13" t="n">
        <v>9340</v>
      </c>
      <c r="K1939" s="14">
        <f>IF(OR(COUNT(G1939:J1939)&lt;&gt;4,G1939&lt;0,G1939&gt;1,H1939&gt;I1939,I1939&gt;J1939),"n.a.",ROUND(G1939*(H1939+4*I1939+J1939)/6+0.00000001,2))</f>
        <v/>
      </c>
      <c r="L1939" s="13" t="n">
        <v>0</v>
      </c>
      <c r="M1939" s="14">
        <f>SUMIFS(Maßnahmen!$I$7:$I$126,Maßnahmen!$D$7:$D$126,C1939,Maßnahmen!$H$7:$H$126,"&lt;&gt;verworfen")</f>
        <v/>
      </c>
      <c r="N1939" s="14">
        <f>IF(ISNUMBER(K1939),MAX(0,K1939-L1939-M1939),"n.a.")</f>
        <v/>
      </c>
      <c r="O1939" s="14" t="n">
        <v>515.5599999999999</v>
      </c>
      <c r="P1939" s="14">
        <f>IF(ISNUMBER(K1939),K1939-O1939,"n.a.")</f>
        <v/>
      </c>
    </row>
    <row r="1940" ht="32" customHeight="1">
      <c r="C1940" s="10" t="inlineStr">
        <is>
          <t>PRJ-39e56809-RK-01</t>
        </is>
      </c>
      <c r="D1940" s="10" t="inlineStr">
        <is>
          <t>W4102504109</t>
        </is>
      </c>
      <c r="E1940" s="11" t="inlineStr">
        <is>
          <t>Schadstofffund / Schadstoffsanierung (Asbest, PAK, PCB, PCP)</t>
        </is>
      </c>
      <c r="F1940" s="10" t="inlineStr">
        <is>
          <t>Schadstoffe</t>
        </is>
      </c>
      <c r="G1940" s="12" t="n">
        <v>0.1</v>
      </c>
      <c r="H1940" s="13" t="n">
        <v>75</v>
      </c>
      <c r="I1940" s="13" t="n">
        <v>189</v>
      </c>
      <c r="J1940" s="13" t="n">
        <v>377</v>
      </c>
      <c r="K1940" s="14">
        <f>IF(OR(COUNT(G1940:J1940)&lt;&gt;4,G1940&lt;0,G1940&gt;1,H1940&gt;I1940,I1940&gt;J1940),"n.a.",ROUND(G1940*(H1940+4*I1940+J1940)/6+0.00000001,2))</f>
        <v/>
      </c>
      <c r="L1940" s="13" t="n">
        <v>0</v>
      </c>
      <c r="M1940" s="14">
        <f>SUMIFS(Maßnahmen!$I$7:$I$126,Maßnahmen!$D$7:$D$126,C1940,Maßnahmen!$H$7:$H$126,"&lt;&gt;verworfen")</f>
        <v/>
      </c>
      <c r="N1940" s="14">
        <f>IF(ISNUMBER(K1940),MAX(0,K1940-L1940-M1940),"n.a.")</f>
        <v/>
      </c>
      <c r="O1940" s="14" t="n">
        <v>20.13</v>
      </c>
      <c r="P1940" s="14">
        <f>IF(ISNUMBER(K1940),K1940-O1940,"n.a.")</f>
        <v/>
      </c>
    </row>
    <row r="1941" ht="32" customHeight="1">
      <c r="C1941" s="10" t="inlineStr">
        <is>
          <t>PRJ-39e56809-RK-02</t>
        </is>
      </c>
      <c r="D1941" s="10" t="inlineStr">
        <is>
          <t>W4102504109</t>
        </is>
      </c>
      <c r="E1941" s="11" t="inlineStr">
        <is>
          <t>Arbeitsschutz kontaminierte Bereiche (TRGS 524)</t>
        </is>
      </c>
      <c r="F1941" s="10" t="inlineStr">
        <is>
          <t>Schadstoffe</t>
        </is>
      </c>
      <c r="G1941" s="12" t="n">
        <v>0.47</v>
      </c>
      <c r="H1941" s="13" t="n">
        <v>75</v>
      </c>
      <c r="I1941" s="13" t="n">
        <v>189</v>
      </c>
      <c r="J1941" s="13" t="n">
        <v>377</v>
      </c>
      <c r="K1941" s="14">
        <f>IF(OR(COUNT(G1941:J1941)&lt;&gt;4,G1941&lt;0,G1941&gt;1,H1941&gt;I1941,I1941&gt;J1941),"n.a.",ROUND(G1941*(H1941+4*I1941+J1941)/6+0.00000001,2))</f>
        <v/>
      </c>
      <c r="L1941" s="13" t="n">
        <v>0</v>
      </c>
      <c r="M1941" s="14">
        <f>SUMIFS(Maßnahmen!$I$7:$I$126,Maßnahmen!$D$7:$D$126,C1941,Maßnahmen!$H$7:$H$126,"&lt;&gt;verworfen")</f>
        <v/>
      </c>
      <c r="N1941" s="14">
        <f>IF(ISNUMBER(K1941),MAX(0,K1941-L1941-M1941),"n.a.")</f>
        <v/>
      </c>
      <c r="O1941" s="14" t="n">
        <v>94.63</v>
      </c>
      <c r="P1941" s="14">
        <f>IF(ISNUMBER(K1941),K1941-O1941,"n.a.")</f>
        <v/>
      </c>
    </row>
    <row r="1942" ht="32" customHeight="1">
      <c r="C1942" s="10" t="inlineStr">
        <is>
          <t>PRJ-39e56809-RK-03</t>
        </is>
      </c>
      <c r="D1942" s="10" t="inlineStr">
        <is>
          <t>W4102504109</t>
        </is>
      </c>
      <c r="E1942" s="11" t="inlineStr">
        <is>
          <t>Entsorgungs-Mehrkosten / Entsorgungswege</t>
        </is>
      </c>
      <c r="F1942" s="10" t="inlineStr">
        <is>
          <t>Entsorgung</t>
        </is>
      </c>
      <c r="G1942" s="12" t="n">
        <v>0.15</v>
      </c>
      <c r="H1942" s="13" t="n">
        <v>75</v>
      </c>
      <c r="I1942" s="13" t="n">
        <v>189</v>
      </c>
      <c r="J1942" s="13" t="n">
        <v>377</v>
      </c>
      <c r="K1942" s="14">
        <f>IF(OR(COUNT(G1942:J1942)&lt;&gt;4,G1942&lt;0,G1942&gt;1,H1942&gt;I1942,I1942&gt;J1942),"n.a.",ROUND(G1942*(H1942+4*I1942+J1942)/6+0.00000001,2))</f>
        <v/>
      </c>
      <c r="L1942" s="13" t="n">
        <v>0</v>
      </c>
      <c r="M1942" s="14">
        <f>SUMIFS(Maßnahmen!$I$7:$I$126,Maßnahmen!$D$7:$D$126,C1942,Maßnahmen!$H$7:$H$126,"&lt;&gt;verworfen")</f>
        <v/>
      </c>
      <c r="N1942" s="14">
        <f>IF(ISNUMBER(K1942),MAX(0,K1942-L1942-M1942),"n.a.")</f>
        <v/>
      </c>
      <c r="O1942" s="14" t="n">
        <v>30.2</v>
      </c>
      <c r="P1942" s="14">
        <f>IF(ISNUMBER(K1942),K1942-O1942,"n.a.")</f>
        <v/>
      </c>
    </row>
    <row r="1943" ht="32" customHeight="1">
      <c r="C1943" s="10" t="inlineStr">
        <is>
          <t>PRJ-39e56809-RK-04</t>
        </is>
      </c>
      <c r="D1943" s="10" t="inlineStr">
        <is>
          <t>W4102504109</t>
        </is>
      </c>
      <c r="E1943" s="11" t="inlineStr">
        <is>
          <t>Baustofftrennung / Aufbereitung nicht wie geplant</t>
        </is>
      </c>
      <c r="F1943" s="10" t="inlineStr">
        <is>
          <t>Entsorgung</t>
        </is>
      </c>
      <c r="G1943" s="12" t="n">
        <v>0.08</v>
      </c>
      <c r="H1943" s="13" t="n">
        <v>19</v>
      </c>
      <c r="I1943" s="13" t="n">
        <v>38</v>
      </c>
      <c r="J1943" s="13" t="n">
        <v>75</v>
      </c>
      <c r="K1943" s="14">
        <f>IF(OR(COUNT(G1943:J1943)&lt;&gt;4,G1943&lt;0,G1943&gt;1,H1943&gt;I1943,I1943&gt;J1943),"n.a.",ROUND(G1943*(H1943+4*I1943+J1943)/6+0.00000001,2))</f>
        <v/>
      </c>
      <c r="L1943" s="13" t="n">
        <v>0</v>
      </c>
      <c r="M1943" s="14">
        <f>SUMIFS(Maßnahmen!$I$7:$I$126,Maßnahmen!$D$7:$D$126,C1943,Maßnahmen!$H$7:$H$126,"&lt;&gt;verworfen")</f>
        <v/>
      </c>
      <c r="N1943" s="14">
        <f>IF(ISNUMBER(K1943),MAX(0,K1943-L1943-M1943),"n.a.")</f>
        <v/>
      </c>
      <c r="O1943" s="14" t="n">
        <v>3.28</v>
      </c>
      <c r="P1943" s="14">
        <f>IF(ISNUMBER(K1943),K1943-O1943,"n.a.")</f>
        <v/>
      </c>
    </row>
    <row r="1944" ht="32" customHeight="1">
      <c r="C1944" s="10" t="inlineStr">
        <is>
          <t>PRJ-39e56809-RK-05</t>
        </is>
      </c>
      <c r="D1944" s="10" t="inlineStr">
        <is>
          <t>W4102504109</t>
        </is>
      </c>
      <c r="E1944" s="11" t="inlineStr">
        <is>
          <t>Unbekannte Bauwerkskonstruktion / fehlende Pläne</t>
        </is>
      </c>
      <c r="F1944" s="10" t="inlineStr">
        <is>
          <t>Statik</t>
        </is>
      </c>
      <c r="G1944" s="12" t="n">
        <v>0.12</v>
      </c>
      <c r="H1944" s="13" t="n">
        <v>151</v>
      </c>
      <c r="I1944" s="13" t="n">
        <v>302</v>
      </c>
      <c r="J1944" s="13" t="n">
        <v>566</v>
      </c>
      <c r="K1944" s="14">
        <f>IF(OR(COUNT(G1944:J1944)&lt;&gt;4,G1944&lt;0,G1944&gt;1,H1944&gt;I1944,I1944&gt;J1944),"n.a.",ROUND(G1944*(H1944+4*I1944+J1944)/6+0.00000001,2))</f>
        <v/>
      </c>
      <c r="L1944" s="13" t="n">
        <v>0</v>
      </c>
      <c r="M1944" s="14">
        <f>SUMIFS(Maßnahmen!$I$7:$I$126,Maßnahmen!$D$7:$D$126,C1944,Maßnahmen!$H$7:$H$126,"&lt;&gt;verworfen")</f>
        <v/>
      </c>
      <c r="N1944" s="14">
        <f>IF(ISNUMBER(K1944),MAX(0,K1944-L1944-M1944),"n.a.")</f>
        <v/>
      </c>
      <c r="O1944" s="14" t="n">
        <v>38.5</v>
      </c>
      <c r="P1944" s="14">
        <f>IF(ISNUMBER(K1944),K1944-O1944,"n.a.")</f>
        <v/>
      </c>
    </row>
    <row r="1945" ht="32" customHeight="1">
      <c r="C1945" s="10" t="inlineStr">
        <is>
          <t>PRJ-39e56809-RK-06</t>
        </is>
      </c>
      <c r="D1945" s="10" t="inlineStr">
        <is>
          <t>W4102504109</t>
        </is>
      </c>
      <c r="E1945" s="11" t="inlineStr">
        <is>
          <t>Statik / Einsturzsicherung während Abbruch</t>
        </is>
      </c>
      <c r="F1945" s="10" t="inlineStr">
        <is>
          <t>Statik</t>
        </is>
      </c>
      <c r="G1945" s="12" t="n">
        <v>0.12</v>
      </c>
      <c r="H1945" s="13" t="n">
        <v>113</v>
      </c>
      <c r="I1945" s="13" t="n">
        <v>264</v>
      </c>
      <c r="J1945" s="13" t="n">
        <v>528</v>
      </c>
      <c r="K1945" s="14">
        <f>IF(OR(COUNT(G1945:J1945)&lt;&gt;4,G1945&lt;0,G1945&gt;1,H1945&gt;I1945,I1945&gt;J1945),"n.a.",ROUND(G1945*(H1945+4*I1945+J1945)/6+0.00000001,2))</f>
        <v/>
      </c>
      <c r="L1945" s="13" t="n">
        <v>0</v>
      </c>
      <c r="M1945" s="14">
        <f>SUMIFS(Maßnahmen!$I$7:$I$126,Maßnahmen!$D$7:$D$126,C1945,Maßnahmen!$H$7:$H$126,"&lt;&gt;verworfen")</f>
        <v/>
      </c>
      <c r="N1945" s="14">
        <f>IF(ISNUMBER(K1945),MAX(0,K1945-L1945-M1945),"n.a.")</f>
        <v/>
      </c>
      <c r="O1945" s="14" t="n">
        <v>33.94</v>
      </c>
      <c r="P1945" s="14">
        <f>IF(ISNUMBER(K1945),K1945-O1945,"n.a.")</f>
        <v/>
      </c>
    </row>
    <row r="1946" ht="32" customHeight="1">
      <c r="C1946" s="10" t="inlineStr">
        <is>
          <t>PRJ-39e56809-RK-07</t>
        </is>
      </c>
      <c r="D1946" s="10" t="inlineStr">
        <is>
          <t>W4102504109</t>
        </is>
      </c>
      <c r="E1946" s="11" t="inlineStr">
        <is>
          <t>Unterirdische Tragkonstruktion / Fundamente</t>
        </is>
      </c>
      <c r="F1946" s="10" t="inlineStr">
        <is>
          <t>Statik</t>
        </is>
      </c>
      <c r="G1946" s="12" t="n">
        <v>0.5</v>
      </c>
      <c r="H1946" s="13" t="n">
        <v>19</v>
      </c>
      <c r="I1946" s="13" t="n">
        <v>75</v>
      </c>
      <c r="J1946" s="13" t="n">
        <v>189</v>
      </c>
      <c r="K1946" s="14">
        <f>IF(OR(COUNT(G1946:J1946)&lt;&gt;4,G1946&lt;0,G1946&gt;1,H1946&gt;I1946,I1946&gt;J1946),"n.a.",ROUND(G1946*(H1946+4*I1946+J1946)/6+0.00000001,2))</f>
        <v/>
      </c>
      <c r="L1946" s="13" t="n">
        <v>0</v>
      </c>
      <c r="M1946" s="14">
        <f>SUMIFS(Maßnahmen!$I$7:$I$126,Maßnahmen!$D$7:$D$126,C1946,Maßnahmen!$H$7:$H$126,"&lt;&gt;verworfen")</f>
        <v/>
      </c>
      <c r="N1946" s="14">
        <f>IF(ISNUMBER(K1946),MAX(0,K1946-L1946-M1946),"n.a.")</f>
        <v/>
      </c>
      <c r="O1946" s="14" t="n">
        <v>42.33</v>
      </c>
      <c r="P1946" s="14">
        <f>IF(ISNUMBER(K1946),K1946-O1946,"n.a.")</f>
        <v/>
      </c>
    </row>
    <row r="1947" ht="32" customHeight="1">
      <c r="C1947" s="10" t="inlineStr">
        <is>
          <t>PRJ-39e56809-RK-08</t>
        </is>
      </c>
      <c r="D1947" s="10" t="inlineStr">
        <is>
          <t>W4102504109</t>
        </is>
      </c>
      <c r="E1947" s="11" t="inlineStr">
        <is>
          <t>Gebäudehöhe &gt;22 m / Longfront-Bagger (+130–150 %)</t>
        </is>
      </c>
      <c r="F1947" s="10" t="inlineStr">
        <is>
          <t>Termin</t>
        </is>
      </c>
      <c r="G1947" s="12" t="n">
        <v>0.6</v>
      </c>
      <c r="H1947" s="13" t="n">
        <v>340</v>
      </c>
      <c r="I1947" s="13" t="n">
        <v>679</v>
      </c>
      <c r="J1947" s="13" t="n">
        <v>1283</v>
      </c>
      <c r="K1947" s="14">
        <f>IF(OR(COUNT(G1947:J1947)&lt;&gt;4,G1947&lt;0,G1947&gt;1,H1947&gt;I1947,I1947&gt;J1947),"n.a.",ROUND(G1947*(H1947+4*I1947+J1947)/6+0.00000001,2))</f>
        <v/>
      </c>
      <c r="L1947" s="13" t="n">
        <v>0</v>
      </c>
      <c r="M1947" s="14">
        <f>SUMIFS(Maßnahmen!$I$7:$I$126,Maßnahmen!$D$7:$D$126,C1947,Maßnahmen!$H$7:$H$126,"&lt;&gt;verworfen")</f>
        <v/>
      </c>
      <c r="N1947" s="14">
        <f>IF(ISNUMBER(K1947),MAX(0,K1947-L1947-M1947),"n.a.")</f>
        <v/>
      </c>
      <c r="O1947" s="14" t="n">
        <v>433.9</v>
      </c>
      <c r="P1947" s="14">
        <f>IF(ISNUMBER(K1947),K1947-O1947,"n.a.")</f>
        <v/>
      </c>
    </row>
    <row r="1948" ht="32" customHeight="1">
      <c r="C1948" s="10" t="inlineStr">
        <is>
          <t>PRJ-39e56809-RK-09</t>
        </is>
      </c>
      <c r="D1948" s="10" t="inlineStr">
        <is>
          <t>W4102504109</t>
        </is>
      </c>
      <c r="E1948" s="11" t="inlineStr">
        <is>
          <t>Beennte Lage / nur Handabbruch möglich</t>
        </is>
      </c>
      <c r="F1948" s="10" t="inlineStr">
        <is>
          <t>Termin</t>
        </is>
      </c>
      <c r="G1948" s="12" t="n">
        <v>0.15</v>
      </c>
      <c r="H1948" s="13" t="n">
        <v>30</v>
      </c>
      <c r="I1948" s="13" t="n">
        <v>75</v>
      </c>
      <c r="J1948" s="13" t="n">
        <v>189</v>
      </c>
      <c r="K1948" s="14">
        <f>IF(OR(COUNT(G1948:J1948)&lt;&gt;4,G1948&lt;0,G1948&gt;1,H1948&gt;I1948,I1948&gt;J1948),"n.a.",ROUND(G1948*(H1948+4*I1948+J1948)/6+0.00000001,2))</f>
        <v/>
      </c>
      <c r="L1948" s="13" t="n">
        <v>0</v>
      </c>
      <c r="M1948" s="14">
        <f>SUMIFS(Maßnahmen!$I$7:$I$126,Maßnahmen!$D$7:$D$126,C1948,Maßnahmen!$H$7:$H$126,"&lt;&gt;verworfen")</f>
        <v/>
      </c>
      <c r="N1948" s="14">
        <f>IF(ISNUMBER(K1948),MAX(0,K1948-L1948-M1948),"n.a.")</f>
        <v/>
      </c>
      <c r="O1948" s="14" t="n">
        <v>12.98</v>
      </c>
      <c r="P1948" s="14">
        <f>IF(ISNUMBER(K1948),K1948-O1948,"n.a.")</f>
        <v/>
      </c>
    </row>
    <row r="1949" ht="32" customHeight="1">
      <c r="C1949" s="10" t="inlineStr">
        <is>
          <t>PRJ-39e56809-RK-10</t>
        </is>
      </c>
      <c r="D1949" s="10" t="inlineStr">
        <is>
          <t>W4102504109</t>
        </is>
      </c>
      <c r="E1949" s="11" t="inlineStr">
        <is>
          <t>Terminvorgabe Auftraggeber / Geräteauslastung</t>
        </is>
      </c>
      <c r="F1949" s="10" t="inlineStr">
        <is>
          <t>Termin</t>
        </is>
      </c>
      <c r="G1949" s="12" t="n">
        <v>0.1</v>
      </c>
      <c r="H1949" s="13" t="n">
        <v>30</v>
      </c>
      <c r="I1949" s="13" t="n">
        <v>75</v>
      </c>
      <c r="J1949" s="13" t="n">
        <v>189</v>
      </c>
      <c r="K1949" s="14">
        <f>IF(OR(COUNT(G1949:J1949)&lt;&gt;4,G1949&lt;0,G1949&gt;1,H1949&gt;I1949,I1949&gt;J1949),"n.a.",ROUND(G1949*(H1949+4*I1949+J1949)/6+0.00000001,2))</f>
        <v/>
      </c>
      <c r="L1949" s="13" t="n">
        <v>0</v>
      </c>
      <c r="M1949" s="14">
        <f>SUMIFS(Maßnahmen!$I$7:$I$126,Maßnahmen!$D$7:$D$126,C1949,Maßnahmen!$H$7:$H$126,"&lt;&gt;verworfen")</f>
        <v/>
      </c>
      <c r="N1949" s="14">
        <f>IF(ISNUMBER(K1949),MAX(0,K1949-L1949-M1949),"n.a.")</f>
        <v/>
      </c>
      <c r="O1949" s="14" t="n">
        <v>8.65</v>
      </c>
      <c r="P1949" s="14">
        <f>IF(ISNUMBER(K1949),K1949-O1949,"n.a.")</f>
        <v/>
      </c>
    </row>
    <row r="1950" ht="32" customHeight="1">
      <c r="C1950" s="10" t="inlineStr">
        <is>
          <t>PRJ-39e56809-RK-11</t>
        </is>
      </c>
      <c r="D1950" s="10" t="inlineStr">
        <is>
          <t>W4102504109</t>
        </is>
      </c>
      <c r="E1950" s="11" t="inlineStr">
        <is>
          <t>Witterung / Ablaufstörung</t>
        </is>
      </c>
      <c r="F1950" s="10" t="inlineStr">
        <is>
          <t>Termin</t>
        </is>
      </c>
      <c r="G1950" s="12" t="n">
        <v>0.25</v>
      </c>
      <c r="H1950" s="13" t="n">
        <v>38</v>
      </c>
      <c r="I1950" s="13" t="n">
        <v>113</v>
      </c>
      <c r="J1950" s="13" t="n">
        <v>226</v>
      </c>
      <c r="K1950" s="14">
        <f>IF(OR(COUNT(G1950:J1950)&lt;&gt;4,G1950&lt;0,G1950&gt;1,H1950&gt;I1950,I1950&gt;J1950),"n.a.",ROUND(G1950*(H1950+4*I1950+J1950)/6+0.00000001,2))</f>
        <v/>
      </c>
      <c r="L1950" s="13" t="n">
        <v>0</v>
      </c>
      <c r="M1950" s="14">
        <f>SUMIFS(Maßnahmen!$I$7:$I$126,Maßnahmen!$D$7:$D$126,C1950,Maßnahmen!$H$7:$H$126,"&lt;&gt;verworfen")</f>
        <v/>
      </c>
      <c r="N1950" s="14">
        <f>IF(ISNUMBER(K1950),MAX(0,K1950-L1950-M1950),"n.a.")</f>
        <v/>
      </c>
      <c r="O1950" s="14" t="n">
        <v>29.83</v>
      </c>
      <c r="P1950" s="14">
        <f>IF(ISNUMBER(K1950),K1950-O1950,"n.a.")</f>
        <v/>
      </c>
    </row>
    <row r="1951" ht="32" customHeight="1">
      <c r="C1951" s="10" t="inlineStr">
        <is>
          <t>PRJ-39e56809-RK-12</t>
        </is>
      </c>
      <c r="D1951" s="10" t="inlineStr">
        <is>
          <t>W4102504109</t>
        </is>
      </c>
      <c r="E1951" s="11" t="inlineStr">
        <is>
          <t>Staubemissionen (höchster Aufwand laut Umfrage)</t>
        </is>
      </c>
      <c r="F1951" s="10" t="inlineStr">
        <is>
          <t>Emissionen</t>
        </is>
      </c>
      <c r="G1951" s="12" t="n">
        <v>0.1</v>
      </c>
      <c r="H1951" s="13" t="n">
        <v>113</v>
      </c>
      <c r="I1951" s="13" t="n">
        <v>226</v>
      </c>
      <c r="J1951" s="13" t="n">
        <v>453</v>
      </c>
      <c r="K1951" s="14">
        <f>IF(OR(COUNT(G1951:J1951)&lt;&gt;4,G1951&lt;0,G1951&gt;1,H1951&gt;I1951,I1951&gt;J1951),"n.a.",ROUND(G1951*(H1951+4*I1951+J1951)/6+0.00000001,2))</f>
        <v/>
      </c>
      <c r="L1951" s="13" t="n">
        <v>0</v>
      </c>
      <c r="M1951" s="14">
        <f>SUMIFS(Maßnahmen!$I$7:$I$126,Maßnahmen!$D$7:$D$126,C1951,Maßnahmen!$H$7:$H$126,"&lt;&gt;verworfen")</f>
        <v/>
      </c>
      <c r="N1951" s="14">
        <f>IF(ISNUMBER(K1951),MAX(0,K1951-L1951-M1951),"n.a.")</f>
        <v/>
      </c>
      <c r="O1951" s="14" t="n">
        <v>24.5</v>
      </c>
      <c r="P1951" s="14">
        <f>IF(ISNUMBER(K1951),K1951-O1951,"n.a.")</f>
        <v/>
      </c>
    </row>
    <row r="1952" ht="32" customHeight="1">
      <c r="C1952" s="10" t="inlineStr">
        <is>
          <t>PRJ-39e56809-RK-13</t>
        </is>
      </c>
      <c r="D1952" s="10" t="inlineStr">
        <is>
          <t>W4102504109</t>
        </is>
      </c>
      <c r="E1952" s="11" t="inlineStr">
        <is>
          <t>Lärm- und Erschütterungsauflagen</t>
        </is>
      </c>
      <c r="F1952" s="10" t="inlineStr">
        <is>
          <t>Emissionen</t>
        </is>
      </c>
      <c r="G1952" s="12" t="n">
        <v>0.2</v>
      </c>
      <c r="H1952" s="13" t="n">
        <v>75</v>
      </c>
      <c r="I1952" s="13" t="n">
        <v>189</v>
      </c>
      <c r="J1952" s="13" t="n">
        <v>377</v>
      </c>
      <c r="K1952" s="14">
        <f>IF(OR(COUNT(G1952:J1952)&lt;&gt;4,G1952&lt;0,G1952&gt;1,H1952&gt;I1952,I1952&gt;J1952),"n.a.",ROUND(G1952*(H1952+4*I1952+J1952)/6+0.00000001,2))</f>
        <v/>
      </c>
      <c r="L1952" s="13" t="n">
        <v>0</v>
      </c>
      <c r="M1952" s="14">
        <f>SUMIFS(Maßnahmen!$I$7:$I$126,Maßnahmen!$D$7:$D$126,C1952,Maßnahmen!$H$7:$H$126,"&lt;&gt;verworfen")</f>
        <v/>
      </c>
      <c r="N1952" s="14">
        <f>IF(ISNUMBER(K1952),MAX(0,K1952-L1952-M1952),"n.a.")</f>
        <v/>
      </c>
      <c r="O1952" s="14" t="n">
        <v>40.27</v>
      </c>
      <c r="P1952" s="14">
        <f>IF(ISNUMBER(K1952),K1952-O1952,"n.a.")</f>
        <v/>
      </c>
    </row>
    <row r="1953" ht="32" customHeight="1">
      <c r="C1953" s="10" t="inlineStr">
        <is>
          <t>PRJ-39e56809-RK-14</t>
        </is>
      </c>
      <c r="D1953" s="10" t="inlineStr">
        <is>
          <t>W4102504109</t>
        </is>
      </c>
      <c r="E1953" s="11" t="inlineStr">
        <is>
          <t>Rechtliche Auflagen / Entsorgungsnachweise (Formalismus)</t>
        </is>
      </c>
      <c r="F1953" s="10" t="inlineStr">
        <is>
          <t>Genehmigung</t>
        </is>
      </c>
      <c r="G1953" s="12" t="n">
        <v>0.4</v>
      </c>
      <c r="H1953" s="13" t="n">
        <v>359</v>
      </c>
      <c r="I1953" s="13" t="n">
        <v>698</v>
      </c>
      <c r="J1953" s="13" t="n">
        <v>1321</v>
      </c>
      <c r="K1953" s="14">
        <f>IF(OR(COUNT(G1953:J1953)&lt;&gt;4,G1953&lt;0,G1953&gt;1,H1953&gt;I1953,I1953&gt;J1953),"n.a.",ROUND(G1953*(H1953+4*I1953+J1953)/6+0.00000001,2))</f>
        <v/>
      </c>
      <c r="L1953" s="13" t="n">
        <v>0</v>
      </c>
      <c r="M1953" s="14">
        <f>SUMIFS(Maßnahmen!$I$7:$I$126,Maßnahmen!$D$7:$D$126,C1953,Maßnahmen!$H$7:$H$126,"&lt;&gt;verworfen")</f>
        <v/>
      </c>
      <c r="N1953" s="14">
        <f>IF(ISNUMBER(K1953),MAX(0,K1953-L1953-M1953),"n.a.")</f>
        <v/>
      </c>
      <c r="O1953" s="14" t="n">
        <v>298.13</v>
      </c>
      <c r="P1953" s="14">
        <f>IF(ISNUMBER(K1953),K1953-O1953,"n.a.")</f>
        <v/>
      </c>
    </row>
    <row r="1954" ht="32" customHeight="1">
      <c r="C1954" s="10" t="inlineStr">
        <is>
          <t>PRJ-39e56809-RK-15</t>
        </is>
      </c>
      <c r="D1954" s="10" t="inlineStr">
        <is>
          <t>W4102504109</t>
        </is>
      </c>
      <c r="E1954" s="11" t="inlineStr">
        <is>
          <t>Konjunktur / Sekundärstoffpreise &amp; Gerätemiete</t>
        </is>
      </c>
      <c r="F1954" s="10" t="inlineStr">
        <is>
          <t>Markt</t>
        </is>
      </c>
      <c r="G1954" s="12" t="n">
        <v>0.12</v>
      </c>
      <c r="H1954" s="13" t="n">
        <v>30</v>
      </c>
      <c r="I1954" s="13" t="n">
        <v>75</v>
      </c>
      <c r="J1954" s="13" t="n">
        <v>189</v>
      </c>
      <c r="K1954" s="14">
        <f>IF(OR(COUNT(G1954:J1954)&lt;&gt;4,G1954&lt;0,G1954&gt;1,H1954&gt;I1954,I1954&gt;J1954),"n.a.",ROUND(G1954*(H1954+4*I1954+J1954)/6+0.00000001,2))</f>
        <v/>
      </c>
      <c r="L1954" s="13" t="n">
        <v>0</v>
      </c>
      <c r="M1954" s="14">
        <f>SUMIFS(Maßnahmen!$I$7:$I$126,Maßnahmen!$D$7:$D$126,C1954,Maßnahmen!$H$7:$H$126,"&lt;&gt;verworfen")</f>
        <v/>
      </c>
      <c r="N1954" s="14">
        <f>IF(ISNUMBER(K1954),MAX(0,K1954-L1954-M1954),"n.a.")</f>
        <v/>
      </c>
      <c r="O1954" s="14" t="n">
        <v>10.38</v>
      </c>
      <c r="P1954" s="14">
        <f>IF(ISNUMBER(K1954),K1954-O1954,"n.a.")</f>
        <v/>
      </c>
    </row>
    <row r="1955" ht="32" customHeight="1">
      <c r="C1955" s="10" t="inlineStr">
        <is>
          <t>PRJ-3d4f0ded-RK-01</t>
        </is>
      </c>
      <c r="D1955" s="10" t="inlineStr">
        <is>
          <t>W4102304411</t>
        </is>
      </c>
      <c r="E1955" s="11" t="inlineStr">
        <is>
          <t>Schadstofffund / Schadstoffsanierung (Asbest, PAK, PCB, PCP)</t>
        </is>
      </c>
      <c r="F1955" s="10" t="inlineStr">
        <is>
          <t>Schadstoffe</t>
        </is>
      </c>
      <c r="G1955" s="12" t="n">
        <v>0.1</v>
      </c>
      <c r="H1955" s="13" t="n">
        <v>1708</v>
      </c>
      <c r="I1955" s="13" t="n">
        <v>4269</v>
      </c>
      <c r="J1955" s="13" t="n">
        <v>8538</v>
      </c>
      <c r="K1955" s="14">
        <f>IF(OR(COUNT(G1955:J1955)&lt;&gt;4,G1955&lt;0,G1955&gt;1,H1955&gt;I1955,I1955&gt;J1955),"n.a.",ROUND(G1955*(H1955+4*I1955+J1955)/6+0.00000001,2))</f>
        <v/>
      </c>
      <c r="L1955" s="13" t="n">
        <v>0</v>
      </c>
      <c r="M1955" s="14">
        <f>SUMIFS(Maßnahmen!$I$7:$I$126,Maßnahmen!$D$7:$D$126,C1955,Maßnahmen!$H$7:$H$126,"&lt;&gt;verworfen")</f>
        <v/>
      </c>
      <c r="N1955" s="14">
        <f>IF(ISNUMBER(K1955),MAX(0,K1955-L1955-M1955),"n.a.")</f>
        <v/>
      </c>
      <c r="O1955" s="14" t="n">
        <v>455.37</v>
      </c>
      <c r="P1955" s="14">
        <f>IF(ISNUMBER(K1955),K1955-O1955,"n.a.")</f>
        <v/>
      </c>
    </row>
    <row r="1956" ht="32" customHeight="1">
      <c r="C1956" s="10" t="inlineStr">
        <is>
          <t>PRJ-3d4f0ded-RK-02</t>
        </is>
      </c>
      <c r="D1956" s="10" t="inlineStr">
        <is>
          <t>W4102304411</t>
        </is>
      </c>
      <c r="E1956" s="11" t="inlineStr">
        <is>
          <t>Arbeitsschutz kontaminierte Bereiche (TRGS 524)</t>
        </is>
      </c>
      <c r="F1956" s="10" t="inlineStr">
        <is>
          <t>Schadstoffe</t>
        </is>
      </c>
      <c r="G1956" s="12" t="n">
        <v>0.204</v>
      </c>
      <c r="H1956" s="13" t="n">
        <v>427</v>
      </c>
      <c r="I1956" s="13" t="n">
        <v>854</v>
      </c>
      <c r="J1956" s="13" t="n">
        <v>1708</v>
      </c>
      <c r="K1956" s="14">
        <f>IF(OR(COUNT(G1956:J1956)&lt;&gt;4,G1956&lt;0,G1956&gt;1,H1956&gt;I1956,I1956&gt;J1956),"n.a.",ROUND(G1956*(H1956+4*I1956+J1956)/6+0.00000001,2))</f>
        <v/>
      </c>
      <c r="L1956" s="13" t="n">
        <v>0</v>
      </c>
      <c r="M1956" s="14">
        <f>SUMIFS(Maßnahmen!$I$7:$I$126,Maßnahmen!$D$7:$D$126,C1956,Maßnahmen!$H$7:$H$126,"&lt;&gt;verworfen")</f>
        <v/>
      </c>
      <c r="N1956" s="14">
        <f>IF(ISNUMBER(K1956),MAX(0,K1956-L1956-M1956),"n.a.")</f>
        <v/>
      </c>
      <c r="O1956" s="14" t="n">
        <v>188.73</v>
      </c>
      <c r="P1956" s="14">
        <f>IF(ISNUMBER(K1956),K1956-O1956,"n.a.")</f>
        <v/>
      </c>
    </row>
    <row r="1957" ht="32" customHeight="1">
      <c r="C1957" s="10" t="inlineStr">
        <is>
          <t>PRJ-3d4f0ded-RK-03</t>
        </is>
      </c>
      <c r="D1957" s="10" t="inlineStr">
        <is>
          <t>W4102304411</t>
        </is>
      </c>
      <c r="E1957" s="11" t="inlineStr">
        <is>
          <t>Entsorgungs-Mehrkosten / Entsorgungswege</t>
        </is>
      </c>
      <c r="F1957" s="10" t="inlineStr">
        <is>
          <t>Entsorgung</t>
        </is>
      </c>
      <c r="G1957" s="12" t="n">
        <v>0.15</v>
      </c>
      <c r="H1957" s="13" t="n">
        <v>1708</v>
      </c>
      <c r="I1957" s="13" t="n">
        <v>4269</v>
      </c>
      <c r="J1957" s="13" t="n">
        <v>8538</v>
      </c>
      <c r="K1957" s="14">
        <f>IF(OR(COUNT(G1957:J1957)&lt;&gt;4,G1957&lt;0,G1957&gt;1,H1957&gt;I1957,I1957&gt;J1957),"n.a.",ROUND(G1957*(H1957+4*I1957+J1957)/6+0.00000001,2))</f>
        <v/>
      </c>
      <c r="L1957" s="13" t="n">
        <v>0</v>
      </c>
      <c r="M1957" s="14">
        <f>SUMIFS(Maßnahmen!$I$7:$I$126,Maßnahmen!$D$7:$D$126,C1957,Maßnahmen!$H$7:$H$126,"&lt;&gt;verworfen")</f>
        <v/>
      </c>
      <c r="N1957" s="14">
        <f>IF(ISNUMBER(K1957),MAX(0,K1957-L1957-M1957),"n.a.")</f>
        <v/>
      </c>
      <c r="O1957" s="14" t="n">
        <v>683.05</v>
      </c>
      <c r="P1957" s="14">
        <f>IF(ISNUMBER(K1957),K1957-O1957,"n.a.")</f>
        <v/>
      </c>
    </row>
    <row r="1958" ht="32" customHeight="1">
      <c r="C1958" s="10" t="inlineStr">
        <is>
          <t>PRJ-3d4f0ded-RK-04</t>
        </is>
      </c>
      <c r="D1958" s="10" t="inlineStr">
        <is>
          <t>W4102304411</t>
        </is>
      </c>
      <c r="E1958" s="11" t="inlineStr">
        <is>
          <t>Baustofftrennung / Aufbereitung nicht wie geplant</t>
        </is>
      </c>
      <c r="F1958" s="10" t="inlineStr">
        <is>
          <t>Entsorgung</t>
        </is>
      </c>
      <c r="G1958" s="12" t="n">
        <v>0.08</v>
      </c>
      <c r="H1958" s="13" t="n">
        <v>427</v>
      </c>
      <c r="I1958" s="13" t="n">
        <v>854</v>
      </c>
      <c r="J1958" s="13" t="n">
        <v>1708</v>
      </c>
      <c r="K1958" s="14">
        <f>IF(OR(COUNT(G1958:J1958)&lt;&gt;4,G1958&lt;0,G1958&gt;1,H1958&gt;I1958,I1958&gt;J1958),"n.a.",ROUND(G1958*(H1958+4*I1958+J1958)/6+0.00000001,2))</f>
        <v/>
      </c>
      <c r="L1958" s="13" t="n">
        <v>0</v>
      </c>
      <c r="M1958" s="14">
        <f>SUMIFS(Maßnahmen!$I$7:$I$126,Maßnahmen!$D$7:$D$126,C1958,Maßnahmen!$H$7:$H$126,"&lt;&gt;verworfen")</f>
        <v/>
      </c>
      <c r="N1958" s="14">
        <f>IF(ISNUMBER(K1958),MAX(0,K1958-L1958-M1958),"n.a.")</f>
        <v/>
      </c>
      <c r="O1958" s="14" t="n">
        <v>74.01000000000001</v>
      </c>
      <c r="P1958" s="14">
        <f>IF(ISNUMBER(K1958),K1958-O1958,"n.a.")</f>
        <v/>
      </c>
    </row>
    <row r="1959" ht="32" customHeight="1">
      <c r="C1959" s="10" t="inlineStr">
        <is>
          <t>PRJ-3d4f0ded-RK-05</t>
        </is>
      </c>
      <c r="D1959" s="10" t="inlineStr">
        <is>
          <t>W4102304411</t>
        </is>
      </c>
      <c r="E1959" s="11" t="inlineStr">
        <is>
          <t>Unbekannte Bauwerkskonstruktion / fehlende Pläne</t>
        </is>
      </c>
      <c r="F1959" s="10" t="inlineStr">
        <is>
          <t>Statik</t>
        </is>
      </c>
      <c r="G1959" s="12" t="n">
        <v>0.12</v>
      </c>
      <c r="H1959" s="13" t="n">
        <v>1820</v>
      </c>
      <c r="I1959" s="13" t="n">
        <v>4172</v>
      </c>
      <c r="J1959" s="13" t="n">
        <v>8553</v>
      </c>
      <c r="K1959" s="14">
        <f>IF(OR(COUNT(G1959:J1959)&lt;&gt;4,G1959&lt;0,G1959&gt;1,H1959&gt;I1959,I1959&gt;J1959),"n.a.",ROUND(G1959*(H1959+4*I1959+J1959)/6+0.00000001,2))</f>
        <v/>
      </c>
      <c r="L1959" s="13" t="n">
        <v>0</v>
      </c>
      <c r="M1959" s="14">
        <f>SUMIFS(Maßnahmen!$I$7:$I$126,Maßnahmen!$D$7:$D$126,C1959,Maßnahmen!$H$7:$H$126,"&lt;&gt;verworfen")</f>
        <v/>
      </c>
      <c r="N1959" s="14">
        <f>IF(ISNUMBER(K1959),MAX(0,K1959-L1959-M1959),"n.a.")</f>
        <v/>
      </c>
      <c r="O1959" s="14" t="n">
        <v>541.22</v>
      </c>
      <c r="P1959" s="14">
        <f>IF(ISNUMBER(K1959),K1959-O1959,"n.a.")</f>
        <v/>
      </c>
    </row>
    <row r="1960" ht="32" customHeight="1">
      <c r="C1960" s="10" t="inlineStr">
        <is>
          <t>PRJ-3d4f0ded-RK-06</t>
        </is>
      </c>
      <c r="D1960" s="10" t="inlineStr">
        <is>
          <t>W4102304411</t>
        </is>
      </c>
      <c r="E1960" s="11" t="inlineStr">
        <is>
          <t>Statik / Einsturzsicherung während Abbruch</t>
        </is>
      </c>
      <c r="F1960" s="10" t="inlineStr">
        <is>
          <t>Statik</t>
        </is>
      </c>
      <c r="G1960" s="12" t="n">
        <v>0.12</v>
      </c>
      <c r="H1960" s="13" t="n">
        <v>2561</v>
      </c>
      <c r="I1960" s="13" t="n">
        <v>5976</v>
      </c>
      <c r="J1960" s="13" t="n">
        <v>11953</v>
      </c>
      <c r="K1960" s="14">
        <f>IF(OR(COUNT(G1960:J1960)&lt;&gt;4,G1960&lt;0,G1960&gt;1,H1960&gt;I1960,I1960&gt;J1960),"n.a.",ROUND(G1960*(H1960+4*I1960+J1960)/6+0.00000001,2))</f>
        <v/>
      </c>
      <c r="L1960" s="13" t="n">
        <v>0</v>
      </c>
      <c r="M1960" s="14">
        <f>SUMIFS(Maßnahmen!$I$7:$I$126,Maßnahmen!$D$7:$D$126,C1960,Maßnahmen!$H$7:$H$126,"&lt;&gt;verworfen")</f>
        <v/>
      </c>
      <c r="N1960" s="14">
        <f>IF(ISNUMBER(K1960),MAX(0,K1960-L1960-M1960),"n.a.")</f>
        <v/>
      </c>
      <c r="O1960" s="14" t="n">
        <v>768.36</v>
      </c>
      <c r="P1960" s="14">
        <f>IF(ISNUMBER(K1960),K1960-O1960,"n.a.")</f>
        <v/>
      </c>
    </row>
    <row r="1961" ht="32" customHeight="1">
      <c r="C1961" s="10" t="inlineStr">
        <is>
          <t>PRJ-3d4f0ded-RK-07</t>
        </is>
      </c>
      <c r="D1961" s="10" t="inlineStr">
        <is>
          <t>W4102304411</t>
        </is>
      </c>
      <c r="E1961" s="11" t="inlineStr">
        <is>
          <t>Unterirdische Tragkonstruktion / Fundamente</t>
        </is>
      </c>
      <c r="F1961" s="10" t="inlineStr">
        <is>
          <t>Statik</t>
        </is>
      </c>
      <c r="G1961" s="12" t="n">
        <v>0.5</v>
      </c>
      <c r="H1961" s="13" t="n">
        <v>427</v>
      </c>
      <c r="I1961" s="13" t="n">
        <v>1708</v>
      </c>
      <c r="J1961" s="13" t="n">
        <v>4269</v>
      </c>
      <c r="K1961" s="14">
        <f>IF(OR(COUNT(G1961:J1961)&lt;&gt;4,G1961&lt;0,G1961&gt;1,H1961&gt;I1961,I1961&gt;J1961),"n.a.",ROUND(G1961*(H1961+4*I1961+J1961)/6+0.00000001,2))</f>
        <v/>
      </c>
      <c r="L1961" s="13" t="n">
        <v>0</v>
      </c>
      <c r="M1961" s="14">
        <f>SUMIFS(Maßnahmen!$I$7:$I$126,Maßnahmen!$D$7:$D$126,C1961,Maßnahmen!$H$7:$H$126,"&lt;&gt;verworfen")</f>
        <v/>
      </c>
      <c r="N1961" s="14">
        <f>IF(ISNUMBER(K1961),MAX(0,K1961-L1961-M1961),"n.a.")</f>
        <v/>
      </c>
      <c r="O1961" s="14" t="n">
        <v>960.67</v>
      </c>
      <c r="P1961" s="14">
        <f>IF(ISNUMBER(K1961),K1961-O1961,"n.a.")</f>
        <v/>
      </c>
    </row>
    <row r="1962" ht="32" customHeight="1">
      <c r="C1962" s="10" t="inlineStr">
        <is>
          <t>PRJ-3d4f0ded-RK-08</t>
        </is>
      </c>
      <c r="D1962" s="10" t="inlineStr">
        <is>
          <t>W4102304411</t>
        </is>
      </c>
      <c r="E1962" s="11" t="inlineStr">
        <is>
          <t>Gebäudehöhe &gt;22 m / Longfront-Bagger (+130–150 %)</t>
        </is>
      </c>
      <c r="F1962" s="10" t="inlineStr">
        <is>
          <t>Termin</t>
        </is>
      </c>
      <c r="G1962" s="12" t="n">
        <v>0.6</v>
      </c>
      <c r="H1962" s="13" t="n">
        <v>7684</v>
      </c>
      <c r="I1962" s="13" t="n">
        <v>15368</v>
      </c>
      <c r="J1962" s="13" t="n">
        <v>29028</v>
      </c>
      <c r="K1962" s="14">
        <f>IF(OR(COUNT(G1962:J1962)&lt;&gt;4,G1962&lt;0,G1962&gt;1,H1962&gt;I1962,I1962&gt;J1962),"n.a.",ROUND(G1962*(H1962+4*I1962+J1962)/6+0.00000001,2))</f>
        <v/>
      </c>
      <c r="L1962" s="13" t="n">
        <v>0</v>
      </c>
      <c r="M1962" s="14">
        <f>SUMIFS(Maßnahmen!$I$7:$I$126,Maßnahmen!$D$7:$D$126,C1962,Maßnahmen!$H$7:$H$126,"&lt;&gt;verworfen")</f>
        <v/>
      </c>
      <c r="N1962" s="14">
        <f>IF(ISNUMBER(K1962),MAX(0,K1962-L1962-M1962),"n.a.")</f>
        <v/>
      </c>
      <c r="O1962" s="14" t="n">
        <v>9818.4</v>
      </c>
      <c r="P1962" s="14">
        <f>IF(ISNUMBER(K1962),K1962-O1962,"n.a.")</f>
        <v/>
      </c>
    </row>
    <row r="1963" ht="32" customHeight="1">
      <c r="C1963" s="10" t="inlineStr">
        <is>
          <t>PRJ-3d4f0ded-RK-09</t>
        </is>
      </c>
      <c r="D1963" s="10" t="inlineStr">
        <is>
          <t>W4102304411</t>
        </is>
      </c>
      <c r="E1963" s="11" t="inlineStr">
        <is>
          <t>Beennte Lage / nur Handabbruch möglich</t>
        </is>
      </c>
      <c r="F1963" s="10" t="inlineStr">
        <is>
          <t>Termin</t>
        </is>
      </c>
      <c r="G1963" s="12" t="n">
        <v>0.106</v>
      </c>
      <c r="H1963" s="13" t="n">
        <v>427</v>
      </c>
      <c r="I1963" s="13" t="n">
        <v>854</v>
      </c>
      <c r="J1963" s="13" t="n">
        <v>2142</v>
      </c>
      <c r="K1963" s="14">
        <f>IF(OR(COUNT(G1963:J1963)&lt;&gt;4,G1963&lt;0,G1963&gt;1,H1963&gt;I1963,I1963&gt;J1963),"n.a.",ROUND(G1963*(H1963+4*I1963+J1963)/6+0.00000001,2))</f>
        <v/>
      </c>
      <c r="L1963" s="13" t="n">
        <v>0</v>
      </c>
      <c r="M1963" s="14">
        <f>SUMIFS(Maßnahmen!$I$7:$I$126,Maßnahmen!$D$7:$D$126,C1963,Maßnahmen!$H$7:$H$126,"&lt;&gt;verworfen")</f>
        <v/>
      </c>
      <c r="N1963" s="14">
        <f>IF(ISNUMBER(K1963),MAX(0,K1963-L1963-M1963),"n.a.")</f>
        <v/>
      </c>
      <c r="O1963" s="14" t="n">
        <v>105.74</v>
      </c>
      <c r="P1963" s="14">
        <f>IF(ISNUMBER(K1963),K1963-O1963,"n.a.")</f>
        <v/>
      </c>
    </row>
    <row r="1964" ht="32" customHeight="1">
      <c r="C1964" s="10" t="inlineStr">
        <is>
          <t>PRJ-3d4f0ded-RK-10</t>
        </is>
      </c>
      <c r="D1964" s="10" t="inlineStr">
        <is>
          <t>W4102304411</t>
        </is>
      </c>
      <c r="E1964" s="11" t="inlineStr">
        <is>
          <t>Terminvorgabe Auftraggeber / Geräteauslastung</t>
        </is>
      </c>
      <c r="F1964" s="10" t="inlineStr">
        <is>
          <t>Termin</t>
        </is>
      </c>
      <c r="G1964" s="12" t="n">
        <v>0.08</v>
      </c>
      <c r="H1964" s="13" t="n">
        <v>427</v>
      </c>
      <c r="I1964" s="13" t="n">
        <v>854</v>
      </c>
      <c r="J1964" s="13" t="n">
        <v>1708</v>
      </c>
      <c r="K1964" s="14">
        <f>IF(OR(COUNT(G1964:J1964)&lt;&gt;4,G1964&lt;0,G1964&gt;1,H1964&gt;I1964,I1964&gt;J1964),"n.a.",ROUND(G1964*(H1964+4*I1964+J1964)/6+0.00000001,2))</f>
        <v/>
      </c>
      <c r="L1964" s="13" t="n">
        <v>0</v>
      </c>
      <c r="M1964" s="14">
        <f>SUMIFS(Maßnahmen!$I$7:$I$126,Maßnahmen!$D$7:$D$126,C1964,Maßnahmen!$H$7:$H$126,"&lt;&gt;verworfen")</f>
        <v/>
      </c>
      <c r="N1964" s="14">
        <f>IF(ISNUMBER(K1964),MAX(0,K1964-L1964-M1964),"n.a.")</f>
        <v/>
      </c>
      <c r="O1964" s="14" t="n">
        <v>74.01000000000001</v>
      </c>
      <c r="P1964" s="14">
        <f>IF(ISNUMBER(K1964),K1964-O1964,"n.a.")</f>
        <v/>
      </c>
    </row>
    <row r="1965" ht="32" customHeight="1">
      <c r="C1965" s="10" t="inlineStr">
        <is>
          <t>PRJ-3d4f0ded-RK-11</t>
        </is>
      </c>
      <c r="D1965" s="10" t="inlineStr">
        <is>
          <t>W4102304411</t>
        </is>
      </c>
      <c r="E1965" s="11" t="inlineStr">
        <is>
          <t>Witterung / Ablaufstörung</t>
        </is>
      </c>
      <c r="F1965" s="10" t="inlineStr">
        <is>
          <t>Termin</t>
        </is>
      </c>
      <c r="G1965" s="12" t="n">
        <v>0.25</v>
      </c>
      <c r="H1965" s="13" t="n">
        <v>854</v>
      </c>
      <c r="I1965" s="13" t="n">
        <v>2561</v>
      </c>
      <c r="J1965" s="13" t="n">
        <v>5123</v>
      </c>
      <c r="K1965" s="14">
        <f>IF(OR(COUNT(G1965:J1965)&lt;&gt;4,G1965&lt;0,G1965&gt;1,H1965&gt;I1965,I1965&gt;J1965),"n.a.",ROUND(G1965*(H1965+4*I1965+J1965)/6+0.00000001,2))</f>
        <v/>
      </c>
      <c r="L1965" s="13" t="n">
        <v>0</v>
      </c>
      <c r="M1965" s="14">
        <f>SUMIFS(Maßnahmen!$I$7:$I$126,Maßnahmen!$D$7:$D$126,C1965,Maßnahmen!$H$7:$H$126,"&lt;&gt;verworfen")</f>
        <v/>
      </c>
      <c r="N1965" s="14">
        <f>IF(ISNUMBER(K1965),MAX(0,K1965-L1965-M1965),"n.a.")</f>
        <v/>
      </c>
      <c r="O1965" s="14" t="n">
        <v>675.88</v>
      </c>
      <c r="P1965" s="14">
        <f>IF(ISNUMBER(K1965),K1965-O1965,"n.a.")</f>
        <v/>
      </c>
    </row>
    <row r="1966" ht="32" customHeight="1">
      <c r="C1966" s="10" t="inlineStr">
        <is>
          <t>PRJ-3d4f0ded-RK-12</t>
        </is>
      </c>
      <c r="D1966" s="10" t="inlineStr">
        <is>
          <t>W4102304411</t>
        </is>
      </c>
      <c r="E1966" s="11" t="inlineStr">
        <is>
          <t>Staubemissionen (höchster Aufwand laut Umfrage)</t>
        </is>
      </c>
      <c r="F1966" s="10" t="inlineStr">
        <is>
          <t>Emissionen</t>
        </is>
      </c>
      <c r="G1966" s="12" t="n">
        <v>0.1</v>
      </c>
      <c r="H1966" s="13" t="n">
        <v>2561</v>
      </c>
      <c r="I1966" s="13" t="n">
        <v>5123</v>
      </c>
      <c r="J1966" s="13" t="n">
        <v>10245</v>
      </c>
      <c r="K1966" s="14">
        <f>IF(OR(COUNT(G1966:J1966)&lt;&gt;4,G1966&lt;0,G1966&gt;1,H1966&gt;I1966,I1966&gt;J1966),"n.a.",ROUND(G1966*(H1966+4*I1966+J1966)/6+0.00000001,2))</f>
        <v/>
      </c>
      <c r="L1966" s="13" t="n">
        <v>0</v>
      </c>
      <c r="M1966" s="14">
        <f>SUMIFS(Maßnahmen!$I$7:$I$126,Maßnahmen!$D$7:$D$126,C1966,Maßnahmen!$H$7:$H$126,"&lt;&gt;verworfen")</f>
        <v/>
      </c>
      <c r="N1966" s="14">
        <f>IF(ISNUMBER(K1966),MAX(0,K1966-L1966-M1966),"n.a.")</f>
        <v/>
      </c>
      <c r="O1966" s="14" t="n">
        <v>554.97</v>
      </c>
      <c r="P1966" s="14">
        <f>IF(ISNUMBER(K1966),K1966-O1966,"n.a.")</f>
        <v/>
      </c>
    </row>
    <row r="1967" ht="32" customHeight="1">
      <c r="C1967" s="10" t="inlineStr">
        <is>
          <t>PRJ-3d4f0ded-RK-13</t>
        </is>
      </c>
      <c r="D1967" s="10" t="inlineStr">
        <is>
          <t>W4102304411</t>
        </is>
      </c>
      <c r="E1967" s="11" t="inlineStr">
        <is>
          <t>Lärm- und Erschütterungsauflagen</t>
        </is>
      </c>
      <c r="F1967" s="10" t="inlineStr">
        <is>
          <t>Emissionen</t>
        </is>
      </c>
      <c r="G1967" s="12" t="n">
        <v>0.15</v>
      </c>
      <c r="H1967" s="13" t="n">
        <v>432</v>
      </c>
      <c r="I1967" s="13" t="n">
        <v>1930</v>
      </c>
      <c r="J1967" s="13" t="n">
        <v>4497</v>
      </c>
      <c r="K1967" s="14">
        <f>IF(OR(COUNT(G1967:J1967)&lt;&gt;4,G1967&lt;0,G1967&gt;1,H1967&gt;I1967,I1967&gt;J1967),"n.a.",ROUND(G1967*(H1967+4*I1967+J1967)/6+0.00000001,2))</f>
        <v/>
      </c>
      <c r="L1967" s="13" t="n">
        <v>0</v>
      </c>
      <c r="M1967" s="14">
        <f>SUMIFS(Maßnahmen!$I$7:$I$126,Maßnahmen!$D$7:$D$126,C1967,Maßnahmen!$H$7:$H$126,"&lt;&gt;verworfen")</f>
        <v/>
      </c>
      <c r="N1967" s="14">
        <f>IF(ISNUMBER(K1967),MAX(0,K1967-L1967-M1967),"n.a.")</f>
        <v/>
      </c>
      <c r="O1967" s="14" t="n">
        <v>316.23</v>
      </c>
      <c r="P1967" s="14">
        <f>IF(ISNUMBER(K1967),K1967-O1967,"n.a.")</f>
        <v/>
      </c>
    </row>
    <row r="1968" ht="32" customHeight="1">
      <c r="C1968" s="10" t="inlineStr">
        <is>
          <t>PRJ-3d4f0ded-RK-14</t>
        </is>
      </c>
      <c r="D1968" s="10" t="inlineStr">
        <is>
          <t>W4102304411</t>
        </is>
      </c>
      <c r="E1968" s="11" t="inlineStr">
        <is>
          <t>Rechtliche Auflagen / Entsorgungsnachweise (Formalismus)</t>
        </is>
      </c>
      <c r="F1968" s="10" t="inlineStr">
        <is>
          <t>Genehmigung</t>
        </is>
      </c>
      <c r="G1968" s="12" t="n">
        <v>0.4</v>
      </c>
      <c r="H1968" s="13" t="n">
        <v>8111</v>
      </c>
      <c r="I1968" s="13" t="n">
        <v>15795</v>
      </c>
      <c r="J1968" s="13" t="n">
        <v>29882</v>
      </c>
      <c r="K1968" s="14">
        <f>IF(OR(COUNT(G1968:J1968)&lt;&gt;4,G1968&lt;0,G1968&gt;1,H1968&gt;I1968,I1968&gt;J1968),"n.a.",ROUND(G1968*(H1968+4*I1968+J1968)/6+0.00000001,2))</f>
        <v/>
      </c>
      <c r="L1968" s="13" t="n">
        <v>0</v>
      </c>
      <c r="M1968" s="14">
        <f>SUMIFS(Maßnahmen!$I$7:$I$126,Maßnahmen!$D$7:$D$126,C1968,Maßnahmen!$H$7:$H$126,"&lt;&gt;verworfen")</f>
        <v/>
      </c>
      <c r="N1968" s="14">
        <f>IF(ISNUMBER(K1968),MAX(0,K1968-L1968-M1968),"n.a.")</f>
        <v/>
      </c>
      <c r="O1968" s="14" t="n">
        <v>6744.87</v>
      </c>
      <c r="P1968" s="14">
        <f>IF(ISNUMBER(K1968),K1968-O1968,"n.a.")</f>
        <v/>
      </c>
    </row>
    <row r="1969" ht="32" customHeight="1">
      <c r="C1969" s="10" t="inlineStr">
        <is>
          <t>PRJ-3d4f0ded-RK-15</t>
        </is>
      </c>
      <c r="D1969" s="10" t="inlineStr">
        <is>
          <t>W4102304411</t>
        </is>
      </c>
      <c r="E1969" s="11" t="inlineStr">
        <is>
          <t>Konjunktur / Sekundärstoffpreise &amp; Gerätemiete</t>
        </is>
      </c>
      <c r="F1969" s="10" t="inlineStr">
        <is>
          <t>Markt</t>
        </is>
      </c>
      <c r="G1969" s="12" t="n">
        <v>0.12</v>
      </c>
      <c r="H1969" s="13" t="n">
        <v>683</v>
      </c>
      <c r="I1969" s="13" t="n">
        <v>1708</v>
      </c>
      <c r="J1969" s="13" t="n">
        <v>4269</v>
      </c>
      <c r="K1969" s="14">
        <f>IF(OR(COUNT(G1969:J1969)&lt;&gt;4,G1969&lt;0,G1969&gt;1,H1969&gt;I1969,I1969&gt;J1969),"n.a.",ROUND(G1969*(H1969+4*I1969+J1969)/6+0.00000001,2))</f>
        <v/>
      </c>
      <c r="L1969" s="13" t="n">
        <v>0</v>
      </c>
      <c r="M1969" s="14">
        <f>SUMIFS(Maßnahmen!$I$7:$I$126,Maßnahmen!$D$7:$D$126,C1969,Maßnahmen!$H$7:$H$126,"&lt;&gt;verworfen")</f>
        <v/>
      </c>
      <c r="N1969" s="14">
        <f>IF(ISNUMBER(K1969),MAX(0,K1969-L1969-M1969),"n.a.")</f>
        <v/>
      </c>
      <c r="O1969" s="14" t="n">
        <v>235.68</v>
      </c>
      <c r="P1969" s="14">
        <f>IF(ISNUMBER(K1969),K1969-O1969,"n.a.")</f>
        <v/>
      </c>
    </row>
    <row r="1970" ht="32" customHeight="1">
      <c r="C1970" s="10" t="inlineStr">
        <is>
          <t>PRJ-3d4efac9-RK-01</t>
        </is>
      </c>
      <c r="D1970" s="10" t="inlineStr">
        <is>
          <t>W4102304943</t>
        </is>
      </c>
      <c r="E1970" s="11" t="inlineStr">
        <is>
          <t>Schadstofffund / Schadstoffsanierung (Asbest, PAK, PCB, PCP)</t>
        </is>
      </c>
      <c r="F1970" s="10" t="inlineStr">
        <is>
          <t>Schadstoffe</t>
        </is>
      </c>
      <c r="G1970" s="12" t="n">
        <v>0.1</v>
      </c>
      <c r="H1970" s="13" t="n">
        <v>201</v>
      </c>
      <c r="I1970" s="13" t="n">
        <v>503</v>
      </c>
      <c r="J1970" s="13" t="n">
        <v>1006</v>
      </c>
      <c r="K1970" s="14">
        <f>IF(OR(COUNT(G1970:J1970)&lt;&gt;4,G1970&lt;0,G1970&gt;1,H1970&gt;I1970,I1970&gt;J1970),"n.a.",ROUND(G1970*(H1970+4*I1970+J1970)/6+0.00000001,2))</f>
        <v/>
      </c>
      <c r="L1970" s="13" t="n">
        <v>0</v>
      </c>
      <c r="M1970" s="14">
        <f>SUMIFS(Maßnahmen!$I$7:$I$126,Maßnahmen!$D$7:$D$126,C1970,Maßnahmen!$H$7:$H$126,"&lt;&gt;verworfen")</f>
        <v/>
      </c>
      <c r="N1970" s="14">
        <f>IF(ISNUMBER(K1970),MAX(0,K1970-L1970-M1970),"n.a.")</f>
        <v/>
      </c>
      <c r="O1970" s="14" t="n">
        <v>53.65</v>
      </c>
      <c r="P1970" s="14">
        <f>IF(ISNUMBER(K1970),K1970-O1970,"n.a.")</f>
        <v/>
      </c>
    </row>
    <row r="1971" ht="32" customHeight="1">
      <c r="C1971" s="10" t="inlineStr">
        <is>
          <t>PRJ-3d4efac9-RK-02</t>
        </is>
      </c>
      <c r="D1971" s="10" t="inlineStr">
        <is>
          <t>W4102304943</t>
        </is>
      </c>
      <c r="E1971" s="11" t="inlineStr">
        <is>
          <t>Arbeitsschutz kontaminierte Bereiche (TRGS 524)</t>
        </is>
      </c>
      <c r="F1971" s="10" t="inlineStr">
        <is>
          <t>Schadstoffe</t>
        </is>
      </c>
      <c r="G1971" s="12" t="n">
        <v>0.47</v>
      </c>
      <c r="H1971" s="13" t="n">
        <v>201</v>
      </c>
      <c r="I1971" s="13" t="n">
        <v>503</v>
      </c>
      <c r="J1971" s="13" t="n">
        <v>1006</v>
      </c>
      <c r="K1971" s="14">
        <f>IF(OR(COUNT(G1971:J1971)&lt;&gt;4,G1971&lt;0,G1971&gt;1,H1971&gt;I1971,I1971&gt;J1971),"n.a.",ROUND(G1971*(H1971+4*I1971+J1971)/6+0.00000001,2))</f>
        <v/>
      </c>
      <c r="L1971" s="13" t="n">
        <v>0</v>
      </c>
      <c r="M1971" s="14">
        <f>SUMIFS(Maßnahmen!$I$7:$I$126,Maßnahmen!$D$7:$D$126,C1971,Maßnahmen!$H$7:$H$126,"&lt;&gt;verworfen")</f>
        <v/>
      </c>
      <c r="N1971" s="14">
        <f>IF(ISNUMBER(K1971),MAX(0,K1971-L1971-M1971),"n.a.")</f>
        <v/>
      </c>
      <c r="O1971" s="14" t="n">
        <v>252.16</v>
      </c>
      <c r="P1971" s="14">
        <f>IF(ISNUMBER(K1971),K1971-O1971,"n.a.")</f>
        <v/>
      </c>
    </row>
    <row r="1972" ht="32" customHeight="1">
      <c r="C1972" s="10" t="inlineStr">
        <is>
          <t>PRJ-3d4efac9-RK-03</t>
        </is>
      </c>
      <c r="D1972" s="10" t="inlineStr">
        <is>
          <t>W4102304943</t>
        </is>
      </c>
      <c r="E1972" s="11" t="inlineStr">
        <is>
          <t>Entsorgungs-Mehrkosten / Entsorgungswege</t>
        </is>
      </c>
      <c r="F1972" s="10" t="inlineStr">
        <is>
          <t>Entsorgung</t>
        </is>
      </c>
      <c r="G1972" s="12" t="n">
        <v>0.15</v>
      </c>
      <c r="H1972" s="13" t="n">
        <v>201</v>
      </c>
      <c r="I1972" s="13" t="n">
        <v>503</v>
      </c>
      <c r="J1972" s="13" t="n">
        <v>1006</v>
      </c>
      <c r="K1972" s="14">
        <f>IF(OR(COUNT(G1972:J1972)&lt;&gt;4,G1972&lt;0,G1972&gt;1,H1972&gt;I1972,I1972&gt;J1972),"n.a.",ROUND(G1972*(H1972+4*I1972+J1972)/6+0.00000001,2))</f>
        <v/>
      </c>
      <c r="L1972" s="13" t="n">
        <v>0</v>
      </c>
      <c r="M1972" s="14">
        <f>SUMIFS(Maßnahmen!$I$7:$I$126,Maßnahmen!$D$7:$D$126,C1972,Maßnahmen!$H$7:$H$126,"&lt;&gt;verworfen")</f>
        <v/>
      </c>
      <c r="N1972" s="14">
        <f>IF(ISNUMBER(K1972),MAX(0,K1972-L1972-M1972),"n.a.")</f>
        <v/>
      </c>
      <c r="O1972" s="14" t="n">
        <v>80.48</v>
      </c>
      <c r="P1972" s="14">
        <f>IF(ISNUMBER(K1972),K1972-O1972,"n.a.")</f>
        <v/>
      </c>
    </row>
    <row r="1973" ht="32" customHeight="1">
      <c r="C1973" s="10" t="inlineStr">
        <is>
          <t>PRJ-3d4efac9-RK-04</t>
        </is>
      </c>
      <c r="D1973" s="10" t="inlineStr">
        <is>
          <t>W4102304943</t>
        </is>
      </c>
      <c r="E1973" s="11" t="inlineStr">
        <is>
          <t>Baustofftrennung / Aufbereitung nicht wie geplant</t>
        </is>
      </c>
      <c r="F1973" s="10" t="inlineStr">
        <is>
          <t>Entsorgung</t>
        </is>
      </c>
      <c r="G1973" s="12" t="n">
        <v>0.1</v>
      </c>
      <c r="H1973" s="13" t="n">
        <v>201</v>
      </c>
      <c r="I1973" s="13" t="n">
        <v>503</v>
      </c>
      <c r="J1973" s="13" t="n">
        <v>1006</v>
      </c>
      <c r="K1973" s="14">
        <f>IF(OR(COUNT(G1973:J1973)&lt;&gt;4,G1973&lt;0,G1973&gt;1,H1973&gt;I1973,I1973&gt;J1973),"n.a.",ROUND(G1973*(H1973+4*I1973+J1973)/6+0.00000001,2))</f>
        <v/>
      </c>
      <c r="L1973" s="13" t="n">
        <v>0</v>
      </c>
      <c r="M1973" s="14">
        <f>SUMIFS(Maßnahmen!$I$7:$I$126,Maßnahmen!$D$7:$D$126,C1973,Maßnahmen!$H$7:$H$126,"&lt;&gt;verworfen")</f>
        <v/>
      </c>
      <c r="N1973" s="14">
        <f>IF(ISNUMBER(K1973),MAX(0,K1973-L1973-M1973),"n.a.")</f>
        <v/>
      </c>
      <c r="O1973" s="14" t="n">
        <v>53.65</v>
      </c>
      <c r="P1973" s="14">
        <f>IF(ISNUMBER(K1973),K1973-O1973,"n.a.")</f>
        <v/>
      </c>
    </row>
    <row r="1974" ht="32" customHeight="1">
      <c r="C1974" s="10" t="inlineStr">
        <is>
          <t>PRJ-3d4efac9-RK-05</t>
        </is>
      </c>
      <c r="D1974" s="10" t="inlineStr">
        <is>
          <t>W4102304943</t>
        </is>
      </c>
      <c r="E1974" s="11" t="inlineStr">
        <is>
          <t>Unbekannte Bauwerkskonstruktion / fehlende Pläne</t>
        </is>
      </c>
      <c r="F1974" s="10" t="inlineStr">
        <is>
          <t>Statik</t>
        </is>
      </c>
      <c r="G1974" s="12" t="n">
        <v>0.12</v>
      </c>
      <c r="H1974" s="13" t="n">
        <v>402</v>
      </c>
      <c r="I1974" s="13" t="n">
        <v>805</v>
      </c>
      <c r="J1974" s="13" t="n">
        <v>1509</v>
      </c>
      <c r="K1974" s="14">
        <f>IF(OR(COUNT(G1974:J1974)&lt;&gt;4,G1974&lt;0,G1974&gt;1,H1974&gt;I1974,I1974&gt;J1974),"n.a.",ROUND(G1974*(H1974+4*I1974+J1974)/6+0.00000001,2))</f>
        <v/>
      </c>
      <c r="L1974" s="13" t="n">
        <v>0</v>
      </c>
      <c r="M1974" s="14">
        <f>SUMIFS(Maßnahmen!$I$7:$I$126,Maßnahmen!$D$7:$D$126,C1974,Maßnahmen!$H$7:$H$126,"&lt;&gt;verworfen")</f>
        <v/>
      </c>
      <c r="N1974" s="14">
        <f>IF(ISNUMBER(K1974),MAX(0,K1974-L1974-M1974),"n.a.")</f>
        <v/>
      </c>
      <c r="O1974" s="14" t="n">
        <v>102.62</v>
      </c>
      <c r="P1974" s="14">
        <f>IF(ISNUMBER(K1974),K1974-O1974,"n.a.")</f>
        <v/>
      </c>
    </row>
    <row r="1975" ht="32" customHeight="1">
      <c r="C1975" s="10" t="inlineStr">
        <is>
          <t>PRJ-3d4efac9-RK-06</t>
        </is>
      </c>
      <c r="D1975" s="10" t="inlineStr">
        <is>
          <t>W4102304943</t>
        </is>
      </c>
      <c r="E1975" s="11" t="inlineStr">
        <is>
          <t>Statik / Einsturzsicherung während Abbruch</t>
        </is>
      </c>
      <c r="F1975" s="10" t="inlineStr">
        <is>
          <t>Statik</t>
        </is>
      </c>
      <c r="G1975" s="12" t="n">
        <v>0.12</v>
      </c>
      <c r="H1975" s="13" t="n">
        <v>302</v>
      </c>
      <c r="I1975" s="13" t="n">
        <v>704</v>
      </c>
      <c r="J1975" s="13" t="n">
        <v>1409</v>
      </c>
      <c r="K1975" s="14">
        <f>IF(OR(COUNT(G1975:J1975)&lt;&gt;4,G1975&lt;0,G1975&gt;1,H1975&gt;I1975,I1975&gt;J1975),"n.a.",ROUND(G1975*(H1975+4*I1975+J1975)/6+0.00000001,2))</f>
        <v/>
      </c>
      <c r="L1975" s="13" t="n">
        <v>0</v>
      </c>
      <c r="M1975" s="14">
        <f>SUMIFS(Maßnahmen!$I$7:$I$126,Maßnahmen!$D$7:$D$126,C1975,Maßnahmen!$H$7:$H$126,"&lt;&gt;verworfen")</f>
        <v/>
      </c>
      <c r="N1975" s="14">
        <f>IF(ISNUMBER(K1975),MAX(0,K1975-L1975-M1975),"n.a.")</f>
        <v/>
      </c>
      <c r="O1975" s="14" t="n">
        <v>90.54000000000001</v>
      </c>
      <c r="P1975" s="14">
        <f>IF(ISNUMBER(K1975),K1975-O1975,"n.a.")</f>
        <v/>
      </c>
    </row>
    <row r="1976" ht="32" customHeight="1">
      <c r="C1976" s="10" t="inlineStr">
        <is>
          <t>PRJ-3d4efac9-RK-07</t>
        </is>
      </c>
      <c r="D1976" s="10" t="inlineStr">
        <is>
          <t>W4102304943</t>
        </is>
      </c>
      <c r="E1976" s="11" t="inlineStr">
        <is>
          <t>Unterirdische Tragkonstruktion / Fundamente</t>
        </is>
      </c>
      <c r="F1976" s="10" t="inlineStr">
        <is>
          <t>Statik</t>
        </is>
      </c>
      <c r="G1976" s="12" t="n">
        <v>0.5</v>
      </c>
      <c r="H1976" s="13" t="n">
        <v>50</v>
      </c>
      <c r="I1976" s="13" t="n">
        <v>201</v>
      </c>
      <c r="J1976" s="13" t="n">
        <v>503</v>
      </c>
      <c r="K1976" s="14">
        <f>IF(OR(COUNT(G1976:J1976)&lt;&gt;4,G1976&lt;0,G1976&gt;1,H1976&gt;I1976,I1976&gt;J1976),"n.a.",ROUND(G1976*(H1976+4*I1976+J1976)/6+0.00000001,2))</f>
        <v/>
      </c>
      <c r="L1976" s="13" t="n">
        <v>0</v>
      </c>
      <c r="M1976" s="14">
        <f>SUMIFS(Maßnahmen!$I$7:$I$126,Maßnahmen!$D$7:$D$126,C1976,Maßnahmen!$H$7:$H$126,"&lt;&gt;verworfen")</f>
        <v/>
      </c>
      <c r="N1976" s="14">
        <f>IF(ISNUMBER(K1976),MAX(0,K1976-L1976-M1976),"n.a.")</f>
        <v/>
      </c>
      <c r="O1976" s="14" t="n">
        <v>113.08</v>
      </c>
      <c r="P1976" s="14">
        <f>IF(ISNUMBER(K1976),K1976-O1976,"n.a.")</f>
        <v/>
      </c>
    </row>
    <row r="1977" ht="32" customHeight="1">
      <c r="C1977" s="10" t="inlineStr">
        <is>
          <t>PRJ-3d4efac9-RK-08</t>
        </is>
      </c>
      <c r="D1977" s="10" t="inlineStr">
        <is>
          <t>W4102304943</t>
        </is>
      </c>
      <c r="E1977" s="11" t="inlineStr">
        <is>
          <t>Gebäudehöhe &gt;22 m / Longfront-Bagger (+130–150 %)</t>
        </is>
      </c>
      <c r="F1977" s="10" t="inlineStr">
        <is>
          <t>Termin</t>
        </is>
      </c>
      <c r="G1977" s="12" t="n">
        <v>0.6</v>
      </c>
      <c r="H1977" s="13" t="n">
        <v>905</v>
      </c>
      <c r="I1977" s="13" t="n">
        <v>1811</v>
      </c>
      <c r="J1977" s="13" t="n">
        <v>3421</v>
      </c>
      <c r="K1977" s="14">
        <f>IF(OR(COUNT(G1977:J1977)&lt;&gt;4,G1977&lt;0,G1977&gt;1,H1977&gt;I1977,I1977&gt;J1977),"n.a.",ROUND(G1977*(H1977+4*I1977+J1977)/6+0.00000001,2))</f>
        <v/>
      </c>
      <c r="L1977" s="13" t="n">
        <v>0</v>
      </c>
      <c r="M1977" s="14">
        <f>SUMIFS(Maßnahmen!$I$7:$I$126,Maßnahmen!$D$7:$D$126,C1977,Maßnahmen!$H$7:$H$126,"&lt;&gt;verworfen")</f>
        <v/>
      </c>
      <c r="N1977" s="14">
        <f>IF(ISNUMBER(K1977),MAX(0,K1977-L1977-M1977),"n.a.")</f>
        <v/>
      </c>
      <c r="O1977" s="14" t="n">
        <v>1157</v>
      </c>
      <c r="P1977" s="14">
        <f>IF(ISNUMBER(K1977),K1977-O1977,"n.a.")</f>
        <v/>
      </c>
    </row>
    <row r="1978" ht="32" customHeight="1">
      <c r="C1978" s="10" t="inlineStr">
        <is>
          <t>PRJ-3d4efac9-RK-09</t>
        </is>
      </c>
      <c r="D1978" s="10" t="inlineStr">
        <is>
          <t>W4102304943</t>
        </is>
      </c>
      <c r="E1978" s="11" t="inlineStr">
        <is>
          <t>Beennte Lage / nur Handabbruch möglich</t>
        </is>
      </c>
      <c r="F1978" s="10" t="inlineStr">
        <is>
          <t>Termin</t>
        </is>
      </c>
      <c r="G1978" s="12" t="n">
        <v>0.15</v>
      </c>
      <c r="H1978" s="13" t="n">
        <v>80</v>
      </c>
      <c r="I1978" s="13" t="n">
        <v>201</v>
      </c>
      <c r="J1978" s="13" t="n">
        <v>503</v>
      </c>
      <c r="K1978" s="14">
        <f>IF(OR(COUNT(G1978:J1978)&lt;&gt;4,G1978&lt;0,G1978&gt;1,H1978&gt;I1978,I1978&gt;J1978),"n.a.",ROUND(G1978*(H1978+4*I1978+J1978)/6+0.00000001,2))</f>
        <v/>
      </c>
      <c r="L1978" s="13" t="n">
        <v>0</v>
      </c>
      <c r="M1978" s="14">
        <f>SUMIFS(Maßnahmen!$I$7:$I$126,Maßnahmen!$D$7:$D$126,C1978,Maßnahmen!$H$7:$H$126,"&lt;&gt;verworfen")</f>
        <v/>
      </c>
      <c r="N1978" s="14">
        <f>IF(ISNUMBER(K1978),MAX(0,K1978-L1978-M1978),"n.a.")</f>
        <v/>
      </c>
      <c r="O1978" s="14" t="n">
        <v>34.68</v>
      </c>
      <c r="P1978" s="14">
        <f>IF(ISNUMBER(K1978),K1978-O1978,"n.a.")</f>
        <v/>
      </c>
    </row>
    <row r="1979" ht="32" customHeight="1">
      <c r="C1979" s="10" t="inlineStr">
        <is>
          <t>PRJ-3d4efac9-RK-10</t>
        </is>
      </c>
      <c r="D1979" s="10" t="inlineStr">
        <is>
          <t>W4102304943</t>
        </is>
      </c>
      <c r="E1979" s="11" t="inlineStr">
        <is>
          <t>Terminvorgabe Auftraggeber / Geräteauslastung</t>
        </is>
      </c>
      <c r="F1979" s="10" t="inlineStr">
        <is>
          <t>Termin</t>
        </is>
      </c>
      <c r="G1979" s="12" t="n">
        <v>0.1</v>
      </c>
      <c r="H1979" s="13" t="n">
        <v>80</v>
      </c>
      <c r="I1979" s="13" t="n">
        <v>201</v>
      </c>
      <c r="J1979" s="13" t="n">
        <v>503</v>
      </c>
      <c r="K1979" s="14">
        <f>IF(OR(COUNT(G1979:J1979)&lt;&gt;4,G1979&lt;0,G1979&gt;1,H1979&gt;I1979,I1979&gt;J1979),"n.a.",ROUND(G1979*(H1979+4*I1979+J1979)/6+0.00000001,2))</f>
        <v/>
      </c>
      <c r="L1979" s="13" t="n">
        <v>0</v>
      </c>
      <c r="M1979" s="14">
        <f>SUMIFS(Maßnahmen!$I$7:$I$126,Maßnahmen!$D$7:$D$126,C1979,Maßnahmen!$H$7:$H$126,"&lt;&gt;verworfen")</f>
        <v/>
      </c>
      <c r="N1979" s="14">
        <f>IF(ISNUMBER(K1979),MAX(0,K1979-L1979-M1979),"n.a.")</f>
        <v/>
      </c>
      <c r="O1979" s="14" t="n">
        <v>23.12</v>
      </c>
      <c r="P1979" s="14">
        <f>IF(ISNUMBER(K1979),K1979-O1979,"n.a.")</f>
        <v/>
      </c>
    </row>
    <row r="1980" ht="32" customHeight="1">
      <c r="C1980" s="10" t="inlineStr">
        <is>
          <t>PRJ-3d4efac9-RK-11</t>
        </is>
      </c>
      <c r="D1980" s="10" t="inlineStr">
        <is>
          <t>W4102304943</t>
        </is>
      </c>
      <c r="E1980" s="11" t="inlineStr">
        <is>
          <t>Witterung / Ablaufstörung</t>
        </is>
      </c>
      <c r="F1980" s="10" t="inlineStr">
        <is>
          <t>Termin</t>
        </is>
      </c>
      <c r="G1980" s="12" t="n">
        <v>0.25</v>
      </c>
      <c r="H1980" s="13" t="n">
        <v>101</v>
      </c>
      <c r="I1980" s="13" t="n">
        <v>302</v>
      </c>
      <c r="J1980" s="13" t="n">
        <v>604</v>
      </c>
      <c r="K1980" s="14">
        <f>IF(OR(COUNT(G1980:J1980)&lt;&gt;4,G1980&lt;0,G1980&gt;1,H1980&gt;I1980,I1980&gt;J1980),"n.a.",ROUND(G1980*(H1980+4*I1980+J1980)/6+0.00000001,2))</f>
        <v/>
      </c>
      <c r="L1980" s="13" t="n">
        <v>0</v>
      </c>
      <c r="M1980" s="14">
        <f>SUMIFS(Maßnahmen!$I$7:$I$126,Maßnahmen!$D$7:$D$126,C1980,Maßnahmen!$H$7:$H$126,"&lt;&gt;verworfen")</f>
        <v/>
      </c>
      <c r="N1980" s="14">
        <f>IF(ISNUMBER(K1980),MAX(0,K1980-L1980-M1980),"n.a.")</f>
        <v/>
      </c>
      <c r="O1980" s="14" t="n">
        <v>79.70999999999999</v>
      </c>
      <c r="P1980" s="14">
        <f>IF(ISNUMBER(K1980),K1980-O1980,"n.a.")</f>
        <v/>
      </c>
    </row>
    <row r="1981" ht="32" customHeight="1">
      <c r="C1981" s="10" t="inlineStr">
        <is>
          <t>PRJ-3d4efac9-RK-12</t>
        </is>
      </c>
      <c r="D1981" s="10" t="inlineStr">
        <is>
          <t>W4102304943</t>
        </is>
      </c>
      <c r="E1981" s="11" t="inlineStr">
        <is>
          <t>Staubemissionen (höchster Aufwand laut Umfrage)</t>
        </is>
      </c>
      <c r="F1981" s="10" t="inlineStr">
        <is>
          <t>Emissionen</t>
        </is>
      </c>
      <c r="G1981" s="12" t="n">
        <v>0.1</v>
      </c>
      <c r="H1981" s="13" t="n">
        <v>302</v>
      </c>
      <c r="I1981" s="13" t="n">
        <v>604</v>
      </c>
      <c r="J1981" s="13" t="n">
        <v>1207</v>
      </c>
      <c r="K1981" s="14">
        <f>IF(OR(COUNT(G1981:J1981)&lt;&gt;4,G1981&lt;0,G1981&gt;1,H1981&gt;I1981,I1981&gt;J1981),"n.a.",ROUND(G1981*(H1981+4*I1981+J1981)/6+0.00000001,2))</f>
        <v/>
      </c>
      <c r="L1981" s="13" t="n">
        <v>0</v>
      </c>
      <c r="M1981" s="14">
        <f>SUMIFS(Maßnahmen!$I$7:$I$126,Maßnahmen!$D$7:$D$126,C1981,Maßnahmen!$H$7:$H$126,"&lt;&gt;verworfen")</f>
        <v/>
      </c>
      <c r="N1981" s="14">
        <f>IF(ISNUMBER(K1981),MAX(0,K1981-L1981-M1981),"n.a.")</f>
        <v/>
      </c>
      <c r="O1981" s="14" t="n">
        <v>65.42</v>
      </c>
      <c r="P1981" s="14">
        <f>IF(ISNUMBER(K1981),K1981-O1981,"n.a.")</f>
        <v/>
      </c>
    </row>
    <row r="1982" ht="32" customHeight="1">
      <c r="C1982" s="10" t="inlineStr">
        <is>
          <t>PRJ-3d4efac9-RK-13</t>
        </is>
      </c>
      <c r="D1982" s="10" t="inlineStr">
        <is>
          <t>W4102304943</t>
        </is>
      </c>
      <c r="E1982" s="11" t="inlineStr">
        <is>
          <t>Lärm- und Erschütterungsauflagen</t>
        </is>
      </c>
      <c r="F1982" s="10" t="inlineStr">
        <is>
          <t>Emissionen</t>
        </is>
      </c>
      <c r="G1982" s="12" t="n">
        <v>0.2</v>
      </c>
      <c r="H1982" s="13" t="n">
        <v>201</v>
      </c>
      <c r="I1982" s="13" t="n">
        <v>503</v>
      </c>
      <c r="J1982" s="13" t="n">
        <v>1006</v>
      </c>
      <c r="K1982" s="14">
        <f>IF(OR(COUNT(G1982:J1982)&lt;&gt;4,G1982&lt;0,G1982&gt;1,H1982&gt;I1982,I1982&gt;J1982),"n.a.",ROUND(G1982*(H1982+4*I1982+J1982)/6+0.00000001,2))</f>
        <v/>
      </c>
      <c r="L1982" s="13" t="n">
        <v>0</v>
      </c>
      <c r="M1982" s="14">
        <f>SUMIFS(Maßnahmen!$I$7:$I$126,Maßnahmen!$D$7:$D$126,C1982,Maßnahmen!$H$7:$H$126,"&lt;&gt;verworfen")</f>
        <v/>
      </c>
      <c r="N1982" s="14">
        <f>IF(ISNUMBER(K1982),MAX(0,K1982-L1982-M1982),"n.a.")</f>
        <v/>
      </c>
      <c r="O1982" s="14" t="n">
        <v>107.3</v>
      </c>
      <c r="P1982" s="14">
        <f>IF(ISNUMBER(K1982),K1982-O1982,"n.a.")</f>
        <v/>
      </c>
    </row>
    <row r="1983" ht="32" customHeight="1">
      <c r="C1983" s="10" t="inlineStr">
        <is>
          <t>PRJ-3d4efac9-RK-14</t>
        </is>
      </c>
      <c r="D1983" s="10" t="inlineStr">
        <is>
          <t>W4102304943</t>
        </is>
      </c>
      <c r="E1983" s="11" t="inlineStr">
        <is>
          <t>Rechtliche Auflagen / Entsorgungsnachweise (Formalismus)</t>
        </is>
      </c>
      <c r="F1983" s="10" t="inlineStr">
        <is>
          <t>Genehmigung</t>
        </is>
      </c>
      <c r="G1983" s="12" t="n">
        <v>0.4</v>
      </c>
      <c r="H1983" s="13" t="n">
        <v>956</v>
      </c>
      <c r="I1983" s="13" t="n">
        <v>1861</v>
      </c>
      <c r="J1983" s="13" t="n">
        <v>3521</v>
      </c>
      <c r="K1983" s="14">
        <f>IF(OR(COUNT(G1983:J1983)&lt;&gt;4,G1983&lt;0,G1983&gt;1,H1983&gt;I1983,I1983&gt;J1983),"n.a.",ROUND(G1983*(H1983+4*I1983+J1983)/6+0.00000001,2))</f>
        <v/>
      </c>
      <c r="L1983" s="13" t="n">
        <v>0</v>
      </c>
      <c r="M1983" s="14">
        <f>SUMIFS(Maßnahmen!$I$7:$I$126,Maßnahmen!$D$7:$D$126,C1983,Maßnahmen!$H$7:$H$126,"&lt;&gt;verworfen")</f>
        <v/>
      </c>
      <c r="N1983" s="14">
        <f>IF(ISNUMBER(K1983),MAX(0,K1983-L1983-M1983),"n.a.")</f>
        <v/>
      </c>
      <c r="O1983" s="14" t="n">
        <v>794.73</v>
      </c>
      <c r="P1983" s="14">
        <f>IF(ISNUMBER(K1983),K1983-O1983,"n.a.")</f>
        <v/>
      </c>
    </row>
    <row r="1984" ht="32" customHeight="1">
      <c r="C1984" s="10" t="inlineStr">
        <is>
          <t>PRJ-3d4efac9-RK-15</t>
        </is>
      </c>
      <c r="D1984" s="10" t="inlineStr">
        <is>
          <t>W4102304943</t>
        </is>
      </c>
      <c r="E1984" s="11" t="inlineStr">
        <is>
          <t>Konjunktur / Sekundärstoffpreise &amp; Gerätemiete</t>
        </is>
      </c>
      <c r="F1984" s="10" t="inlineStr">
        <is>
          <t>Markt</t>
        </is>
      </c>
      <c r="G1984" s="12" t="n">
        <v>0.12</v>
      </c>
      <c r="H1984" s="13" t="n">
        <v>80</v>
      </c>
      <c r="I1984" s="13" t="n">
        <v>201</v>
      </c>
      <c r="J1984" s="13" t="n">
        <v>503</v>
      </c>
      <c r="K1984" s="14">
        <f>IF(OR(COUNT(G1984:J1984)&lt;&gt;4,G1984&lt;0,G1984&gt;1,H1984&gt;I1984,I1984&gt;J1984),"n.a.",ROUND(G1984*(H1984+4*I1984+J1984)/6+0.00000001,2))</f>
        <v/>
      </c>
      <c r="L1984" s="13" t="n">
        <v>0</v>
      </c>
      <c r="M1984" s="14">
        <f>SUMIFS(Maßnahmen!$I$7:$I$126,Maßnahmen!$D$7:$D$126,C1984,Maßnahmen!$H$7:$H$126,"&lt;&gt;verworfen")</f>
        <v/>
      </c>
      <c r="N1984" s="14">
        <f>IF(ISNUMBER(K1984),MAX(0,K1984-L1984-M1984),"n.a.")</f>
        <v/>
      </c>
      <c r="O1984" s="14" t="n">
        <v>27.74</v>
      </c>
      <c r="P1984" s="14">
        <f>IF(ISNUMBER(K1984),K1984-O1984,"n.a.")</f>
        <v/>
      </c>
    </row>
    <row r="1985" ht="32" customHeight="1">
      <c r="C1985" s="10" t="inlineStr">
        <is>
          <t>PRJ-3d4efac6-RK-01</t>
        </is>
      </c>
      <c r="D1985" s="10" t="inlineStr">
        <is>
          <t>W4102304946</t>
        </is>
      </c>
      <c r="E1985" s="11" t="inlineStr">
        <is>
          <t>Schadstofffund / Schadstoffsanierung (Asbest, PAK, PCB, PCP)</t>
        </is>
      </c>
      <c r="F1985" s="10" t="inlineStr">
        <is>
          <t>Schadstoffe</t>
        </is>
      </c>
      <c r="G1985" s="12" t="n">
        <v>0.1</v>
      </c>
      <c r="H1985" s="13" t="n">
        <v>358</v>
      </c>
      <c r="I1985" s="13" t="n">
        <v>896</v>
      </c>
      <c r="J1985" s="13" t="n">
        <v>1791</v>
      </c>
      <c r="K1985" s="14">
        <f>IF(OR(COUNT(G1985:J1985)&lt;&gt;4,G1985&lt;0,G1985&gt;1,H1985&gt;I1985,I1985&gt;J1985),"n.a.",ROUND(G1985*(H1985+4*I1985+J1985)/6+0.00000001,2))</f>
        <v/>
      </c>
      <c r="L1985" s="13" t="n">
        <v>0</v>
      </c>
      <c r="M1985" s="14">
        <f>SUMIFS(Maßnahmen!$I$7:$I$126,Maßnahmen!$D$7:$D$126,C1985,Maßnahmen!$H$7:$H$126,"&lt;&gt;verworfen")</f>
        <v/>
      </c>
      <c r="N1985" s="14">
        <f>IF(ISNUMBER(K1985),MAX(0,K1985-L1985-M1985),"n.a.")</f>
        <v/>
      </c>
      <c r="O1985" s="14" t="n">
        <v>95.55</v>
      </c>
      <c r="P1985" s="14">
        <f>IF(ISNUMBER(K1985),K1985-O1985,"n.a.")</f>
        <v/>
      </c>
    </row>
    <row r="1986" ht="32" customHeight="1">
      <c r="C1986" s="10" t="inlineStr">
        <is>
          <t>PRJ-3d4efac6-RK-02</t>
        </is>
      </c>
      <c r="D1986" s="10" t="inlineStr">
        <is>
          <t>W4102304946</t>
        </is>
      </c>
      <c r="E1986" s="11" t="inlineStr">
        <is>
          <t>Arbeitsschutz kontaminierte Bereiche (TRGS 524)</t>
        </is>
      </c>
      <c r="F1986" s="10" t="inlineStr">
        <is>
          <t>Schadstoffe</t>
        </is>
      </c>
      <c r="G1986" s="12" t="n">
        <v>0.47</v>
      </c>
      <c r="H1986" s="13" t="n">
        <v>358</v>
      </c>
      <c r="I1986" s="13" t="n">
        <v>896</v>
      </c>
      <c r="J1986" s="13" t="n">
        <v>1791</v>
      </c>
      <c r="K1986" s="14">
        <f>IF(OR(COUNT(G1986:J1986)&lt;&gt;4,G1986&lt;0,G1986&gt;1,H1986&gt;I1986,I1986&gt;J1986),"n.a.",ROUND(G1986*(H1986+4*I1986+J1986)/6+0.00000001,2))</f>
        <v/>
      </c>
      <c r="L1986" s="13" t="n">
        <v>0</v>
      </c>
      <c r="M1986" s="14">
        <f>SUMIFS(Maßnahmen!$I$7:$I$126,Maßnahmen!$D$7:$D$126,C1986,Maßnahmen!$H$7:$H$126,"&lt;&gt;verworfen")</f>
        <v/>
      </c>
      <c r="N1986" s="14">
        <f>IF(ISNUMBER(K1986),MAX(0,K1986-L1986-M1986),"n.a.")</f>
        <v/>
      </c>
      <c r="O1986" s="14" t="n">
        <v>449.09</v>
      </c>
      <c r="P1986" s="14">
        <f>IF(ISNUMBER(K1986),K1986-O1986,"n.a.")</f>
        <v/>
      </c>
    </row>
    <row r="1987" ht="32" customHeight="1">
      <c r="C1987" s="10" t="inlineStr">
        <is>
          <t>PRJ-3d4efac6-RK-03</t>
        </is>
      </c>
      <c r="D1987" s="10" t="inlineStr">
        <is>
          <t>W4102304946</t>
        </is>
      </c>
      <c r="E1987" s="11" t="inlineStr">
        <is>
          <t>Entsorgungs-Mehrkosten / Entsorgungswege</t>
        </is>
      </c>
      <c r="F1987" s="10" t="inlineStr">
        <is>
          <t>Entsorgung</t>
        </is>
      </c>
      <c r="G1987" s="12" t="n">
        <v>0.15</v>
      </c>
      <c r="H1987" s="13" t="n">
        <v>358</v>
      </c>
      <c r="I1987" s="13" t="n">
        <v>896</v>
      </c>
      <c r="J1987" s="13" t="n">
        <v>1791</v>
      </c>
      <c r="K1987" s="14">
        <f>IF(OR(COUNT(G1987:J1987)&lt;&gt;4,G1987&lt;0,G1987&gt;1,H1987&gt;I1987,I1987&gt;J1987),"n.a.",ROUND(G1987*(H1987+4*I1987+J1987)/6+0.00000001,2))</f>
        <v/>
      </c>
      <c r="L1987" s="13" t="n">
        <v>0</v>
      </c>
      <c r="M1987" s="14">
        <f>SUMIFS(Maßnahmen!$I$7:$I$126,Maßnahmen!$D$7:$D$126,C1987,Maßnahmen!$H$7:$H$126,"&lt;&gt;verworfen")</f>
        <v/>
      </c>
      <c r="N1987" s="14">
        <f>IF(ISNUMBER(K1987),MAX(0,K1987-L1987-M1987),"n.a.")</f>
        <v/>
      </c>
      <c r="O1987" s="14" t="n">
        <v>143.33</v>
      </c>
      <c r="P1987" s="14">
        <f>IF(ISNUMBER(K1987),K1987-O1987,"n.a.")</f>
        <v/>
      </c>
    </row>
    <row r="1988" ht="32" customHeight="1">
      <c r="C1988" s="10" t="inlineStr">
        <is>
          <t>PRJ-3d4efac6-RK-04</t>
        </is>
      </c>
      <c r="D1988" s="10" t="inlineStr">
        <is>
          <t>W4102304946</t>
        </is>
      </c>
      <c r="E1988" s="11" t="inlineStr">
        <is>
          <t>Baustofftrennung / Aufbereitung nicht wie geplant</t>
        </is>
      </c>
      <c r="F1988" s="10" t="inlineStr">
        <is>
          <t>Entsorgung</t>
        </is>
      </c>
      <c r="G1988" s="12" t="n">
        <v>0.1</v>
      </c>
      <c r="H1988" s="13" t="n">
        <v>358</v>
      </c>
      <c r="I1988" s="13" t="n">
        <v>896</v>
      </c>
      <c r="J1988" s="13" t="n">
        <v>1791</v>
      </c>
      <c r="K1988" s="14">
        <f>IF(OR(COUNT(G1988:J1988)&lt;&gt;4,G1988&lt;0,G1988&gt;1,H1988&gt;I1988,I1988&gt;J1988),"n.a.",ROUND(G1988*(H1988+4*I1988+J1988)/6+0.00000001,2))</f>
        <v/>
      </c>
      <c r="L1988" s="13" t="n">
        <v>0</v>
      </c>
      <c r="M1988" s="14">
        <f>SUMIFS(Maßnahmen!$I$7:$I$126,Maßnahmen!$D$7:$D$126,C1988,Maßnahmen!$H$7:$H$126,"&lt;&gt;verworfen")</f>
        <v/>
      </c>
      <c r="N1988" s="14">
        <f>IF(ISNUMBER(K1988),MAX(0,K1988-L1988-M1988),"n.a.")</f>
        <v/>
      </c>
      <c r="O1988" s="14" t="n">
        <v>95.55</v>
      </c>
      <c r="P1988" s="14">
        <f>IF(ISNUMBER(K1988),K1988-O1988,"n.a.")</f>
        <v/>
      </c>
    </row>
    <row r="1989" ht="32" customHeight="1">
      <c r="C1989" s="10" t="inlineStr">
        <is>
          <t>PRJ-3d4efac6-RK-05</t>
        </is>
      </c>
      <c r="D1989" s="10" t="inlineStr">
        <is>
          <t>W4102304946</t>
        </is>
      </c>
      <c r="E1989" s="11" t="inlineStr">
        <is>
          <t>Unbekannte Bauwerkskonstruktion / fehlende Pläne</t>
        </is>
      </c>
      <c r="F1989" s="10" t="inlineStr">
        <is>
          <t>Statik</t>
        </is>
      </c>
      <c r="G1989" s="12" t="n">
        <v>0.12</v>
      </c>
      <c r="H1989" s="13" t="n">
        <v>716</v>
      </c>
      <c r="I1989" s="13" t="n">
        <v>1433</v>
      </c>
      <c r="J1989" s="13" t="n">
        <v>2687</v>
      </c>
      <c r="K1989" s="14">
        <f>IF(OR(COUNT(G1989:J1989)&lt;&gt;4,G1989&lt;0,G1989&gt;1,H1989&gt;I1989,I1989&gt;J1989),"n.a.",ROUND(G1989*(H1989+4*I1989+J1989)/6+0.00000001,2))</f>
        <v/>
      </c>
      <c r="L1989" s="13" t="n">
        <v>0</v>
      </c>
      <c r="M1989" s="14">
        <f>SUMIFS(Maßnahmen!$I$7:$I$126,Maßnahmen!$D$7:$D$126,C1989,Maßnahmen!$H$7:$H$126,"&lt;&gt;verworfen")</f>
        <v/>
      </c>
      <c r="N1989" s="14">
        <f>IF(ISNUMBER(K1989),MAX(0,K1989-L1989-M1989),"n.a.")</f>
        <v/>
      </c>
      <c r="O1989" s="14" t="n">
        <v>182.7</v>
      </c>
      <c r="P1989" s="14">
        <f>IF(ISNUMBER(K1989),K1989-O1989,"n.a.")</f>
        <v/>
      </c>
    </row>
    <row r="1990" ht="32" customHeight="1">
      <c r="C1990" s="10" t="inlineStr">
        <is>
          <t>PRJ-3d4efac6-RK-06</t>
        </is>
      </c>
      <c r="D1990" s="10" t="inlineStr">
        <is>
          <t>W4102304946</t>
        </is>
      </c>
      <c r="E1990" s="11" t="inlineStr">
        <is>
          <t>Statik / Einsturzsicherung während Abbruch</t>
        </is>
      </c>
      <c r="F1990" s="10" t="inlineStr">
        <is>
          <t>Statik</t>
        </is>
      </c>
      <c r="G1990" s="12" t="n">
        <v>0.12</v>
      </c>
      <c r="H1990" s="13" t="n">
        <v>537</v>
      </c>
      <c r="I1990" s="13" t="n">
        <v>1254</v>
      </c>
      <c r="J1990" s="13" t="n">
        <v>2508</v>
      </c>
      <c r="K1990" s="14">
        <f>IF(OR(COUNT(G1990:J1990)&lt;&gt;4,G1990&lt;0,G1990&gt;1,H1990&gt;I1990,I1990&gt;J1990),"n.a.",ROUND(G1990*(H1990+4*I1990+J1990)/6+0.00000001,2))</f>
        <v/>
      </c>
      <c r="L1990" s="13" t="n">
        <v>0</v>
      </c>
      <c r="M1990" s="14">
        <f>SUMIFS(Maßnahmen!$I$7:$I$126,Maßnahmen!$D$7:$D$126,C1990,Maßnahmen!$H$7:$H$126,"&lt;&gt;verworfen")</f>
        <v/>
      </c>
      <c r="N1990" s="14">
        <f>IF(ISNUMBER(K1990),MAX(0,K1990-L1990-M1990),"n.a.")</f>
        <v/>
      </c>
      <c r="O1990" s="14" t="n">
        <v>161.22</v>
      </c>
      <c r="P1990" s="14">
        <f>IF(ISNUMBER(K1990),K1990-O1990,"n.a.")</f>
        <v/>
      </c>
    </row>
    <row r="1991" ht="32" customHeight="1">
      <c r="C1991" s="10" t="inlineStr">
        <is>
          <t>PRJ-3d4efac6-RK-07</t>
        </is>
      </c>
      <c r="D1991" s="10" t="inlineStr">
        <is>
          <t>W4102304946</t>
        </is>
      </c>
      <c r="E1991" s="11" t="inlineStr">
        <is>
          <t>Unterirdische Tragkonstruktion / Fundamente</t>
        </is>
      </c>
      <c r="F1991" s="10" t="inlineStr">
        <is>
          <t>Statik</t>
        </is>
      </c>
      <c r="G1991" s="12" t="n">
        <v>0.5</v>
      </c>
      <c r="H1991" s="13" t="n">
        <v>90</v>
      </c>
      <c r="I1991" s="13" t="n">
        <v>358</v>
      </c>
      <c r="J1991" s="13" t="n">
        <v>896</v>
      </c>
      <c r="K1991" s="14">
        <f>IF(OR(COUNT(G1991:J1991)&lt;&gt;4,G1991&lt;0,G1991&gt;1,H1991&gt;I1991,I1991&gt;J1991),"n.a.",ROUND(G1991*(H1991+4*I1991+J1991)/6+0.00000001,2))</f>
        <v/>
      </c>
      <c r="L1991" s="13" t="n">
        <v>0</v>
      </c>
      <c r="M1991" s="14">
        <f>SUMIFS(Maßnahmen!$I$7:$I$126,Maßnahmen!$D$7:$D$126,C1991,Maßnahmen!$H$7:$H$126,"&lt;&gt;verworfen")</f>
        <v/>
      </c>
      <c r="N1991" s="14">
        <f>IF(ISNUMBER(K1991),MAX(0,K1991-L1991-M1991),"n.a.")</f>
        <v/>
      </c>
      <c r="O1991" s="14" t="n">
        <v>201.5</v>
      </c>
      <c r="P1991" s="14">
        <f>IF(ISNUMBER(K1991),K1991-O1991,"n.a.")</f>
        <v/>
      </c>
    </row>
    <row r="1992" ht="32" customHeight="1">
      <c r="C1992" s="10" t="inlineStr">
        <is>
          <t>PRJ-3d4efac6-RK-08</t>
        </is>
      </c>
      <c r="D1992" s="10" t="inlineStr">
        <is>
          <t>W4102304946</t>
        </is>
      </c>
      <c r="E1992" s="11" t="inlineStr">
        <is>
          <t>Gebäudehöhe &gt;22 m / Longfront-Bagger (+130–150 %)</t>
        </is>
      </c>
      <c r="F1992" s="10" t="inlineStr">
        <is>
          <t>Termin</t>
        </is>
      </c>
      <c r="G1992" s="12" t="n">
        <v>0.6</v>
      </c>
      <c r="H1992" s="13" t="n">
        <v>1612</v>
      </c>
      <c r="I1992" s="13" t="n">
        <v>3224</v>
      </c>
      <c r="J1992" s="13" t="n">
        <v>6090</v>
      </c>
      <c r="K1992" s="14">
        <f>IF(OR(COUNT(G1992:J1992)&lt;&gt;4,G1992&lt;0,G1992&gt;1,H1992&gt;I1992,I1992&gt;J1992),"n.a.",ROUND(G1992*(H1992+4*I1992+J1992)/6+0.00000001,2))</f>
        <v/>
      </c>
      <c r="L1992" s="13" t="n">
        <v>0</v>
      </c>
      <c r="M1992" s="14">
        <f>SUMIFS(Maßnahmen!$I$7:$I$126,Maßnahmen!$D$7:$D$126,C1992,Maßnahmen!$H$7:$H$126,"&lt;&gt;verworfen")</f>
        <v/>
      </c>
      <c r="N1992" s="14">
        <f>IF(ISNUMBER(K1992),MAX(0,K1992-L1992-M1992),"n.a.")</f>
        <v/>
      </c>
      <c r="O1992" s="14" t="n">
        <v>2059.8</v>
      </c>
      <c r="P1992" s="14">
        <f>IF(ISNUMBER(K1992),K1992-O1992,"n.a.")</f>
        <v/>
      </c>
    </row>
    <row r="1993" ht="32" customHeight="1">
      <c r="C1993" s="10" t="inlineStr">
        <is>
          <t>PRJ-3d4efac6-RK-09</t>
        </is>
      </c>
      <c r="D1993" s="10" t="inlineStr">
        <is>
          <t>W4102304946</t>
        </is>
      </c>
      <c r="E1993" s="11" t="inlineStr">
        <is>
          <t>Beennte Lage / nur Handabbruch möglich</t>
        </is>
      </c>
      <c r="F1993" s="10" t="inlineStr">
        <is>
          <t>Termin</t>
        </is>
      </c>
      <c r="G1993" s="12" t="n">
        <v>0.15</v>
      </c>
      <c r="H1993" s="13" t="n">
        <v>143</v>
      </c>
      <c r="I1993" s="13" t="n">
        <v>358</v>
      </c>
      <c r="J1993" s="13" t="n">
        <v>896</v>
      </c>
      <c r="K1993" s="14">
        <f>IF(OR(COUNT(G1993:J1993)&lt;&gt;4,G1993&lt;0,G1993&gt;1,H1993&gt;I1993,I1993&gt;J1993),"n.a.",ROUND(G1993*(H1993+4*I1993+J1993)/6+0.00000001,2))</f>
        <v/>
      </c>
      <c r="L1993" s="13" t="n">
        <v>0</v>
      </c>
      <c r="M1993" s="14">
        <f>SUMIFS(Maßnahmen!$I$7:$I$126,Maßnahmen!$D$7:$D$126,C1993,Maßnahmen!$H$7:$H$126,"&lt;&gt;verworfen")</f>
        <v/>
      </c>
      <c r="N1993" s="14">
        <f>IF(ISNUMBER(K1993),MAX(0,K1993-L1993-M1993),"n.a.")</f>
        <v/>
      </c>
      <c r="O1993" s="14" t="n">
        <v>61.78</v>
      </c>
      <c r="P1993" s="14">
        <f>IF(ISNUMBER(K1993),K1993-O1993,"n.a.")</f>
        <v/>
      </c>
    </row>
    <row r="1994" ht="32" customHeight="1">
      <c r="C1994" s="10" t="inlineStr">
        <is>
          <t>PRJ-3d4efac6-RK-10</t>
        </is>
      </c>
      <c r="D1994" s="10" t="inlineStr">
        <is>
          <t>W4102304946</t>
        </is>
      </c>
      <c r="E1994" s="11" t="inlineStr">
        <is>
          <t>Terminvorgabe Auftraggeber / Geräteauslastung</t>
        </is>
      </c>
      <c r="F1994" s="10" t="inlineStr">
        <is>
          <t>Termin</t>
        </is>
      </c>
      <c r="G1994" s="12" t="n">
        <v>0.1</v>
      </c>
      <c r="H1994" s="13" t="n">
        <v>143</v>
      </c>
      <c r="I1994" s="13" t="n">
        <v>358</v>
      </c>
      <c r="J1994" s="13" t="n">
        <v>896</v>
      </c>
      <c r="K1994" s="14">
        <f>IF(OR(COUNT(G1994:J1994)&lt;&gt;4,G1994&lt;0,G1994&gt;1,H1994&gt;I1994,I1994&gt;J1994),"n.a.",ROUND(G1994*(H1994+4*I1994+J1994)/6+0.00000001,2))</f>
        <v/>
      </c>
      <c r="L1994" s="13" t="n">
        <v>0</v>
      </c>
      <c r="M1994" s="14">
        <f>SUMIFS(Maßnahmen!$I$7:$I$126,Maßnahmen!$D$7:$D$126,C1994,Maßnahmen!$H$7:$H$126,"&lt;&gt;verworfen")</f>
        <v/>
      </c>
      <c r="N1994" s="14">
        <f>IF(ISNUMBER(K1994),MAX(0,K1994-L1994-M1994),"n.a.")</f>
        <v/>
      </c>
      <c r="O1994" s="14" t="n">
        <v>41.18</v>
      </c>
      <c r="P1994" s="14">
        <f>IF(ISNUMBER(K1994),K1994-O1994,"n.a.")</f>
        <v/>
      </c>
    </row>
    <row r="1995" ht="32" customHeight="1">
      <c r="C1995" s="10" t="inlineStr">
        <is>
          <t>PRJ-3d4efac6-RK-11</t>
        </is>
      </c>
      <c r="D1995" s="10" t="inlineStr">
        <is>
          <t>W4102304946</t>
        </is>
      </c>
      <c r="E1995" s="11" t="inlineStr">
        <is>
          <t>Witterung / Ablaufstörung</t>
        </is>
      </c>
      <c r="F1995" s="10" t="inlineStr">
        <is>
          <t>Termin</t>
        </is>
      </c>
      <c r="G1995" s="12" t="n">
        <v>0.25</v>
      </c>
      <c r="H1995" s="13" t="n">
        <v>179</v>
      </c>
      <c r="I1995" s="13" t="n">
        <v>537</v>
      </c>
      <c r="J1995" s="13" t="n">
        <v>1075</v>
      </c>
      <c r="K1995" s="14">
        <f>IF(OR(COUNT(G1995:J1995)&lt;&gt;4,G1995&lt;0,G1995&gt;1,H1995&gt;I1995,I1995&gt;J1995),"n.a.",ROUND(G1995*(H1995+4*I1995+J1995)/6+0.00000001,2))</f>
        <v/>
      </c>
      <c r="L1995" s="13" t="n">
        <v>0</v>
      </c>
      <c r="M1995" s="14">
        <f>SUMIFS(Maßnahmen!$I$7:$I$126,Maßnahmen!$D$7:$D$126,C1995,Maßnahmen!$H$7:$H$126,"&lt;&gt;verworfen")</f>
        <v/>
      </c>
      <c r="N1995" s="14">
        <f>IF(ISNUMBER(K1995),MAX(0,K1995-L1995-M1995),"n.a.")</f>
        <v/>
      </c>
      <c r="O1995" s="14" t="n">
        <v>141.75</v>
      </c>
      <c r="P1995" s="14">
        <f>IF(ISNUMBER(K1995),K1995-O1995,"n.a.")</f>
        <v/>
      </c>
    </row>
    <row r="1996" ht="32" customHeight="1">
      <c r="C1996" s="10" t="inlineStr">
        <is>
          <t>PRJ-3d4efac6-RK-12</t>
        </is>
      </c>
      <c r="D1996" s="10" t="inlineStr">
        <is>
          <t>W4102304946</t>
        </is>
      </c>
      <c r="E1996" s="11" t="inlineStr">
        <is>
          <t>Staubemissionen (höchster Aufwand laut Umfrage)</t>
        </is>
      </c>
      <c r="F1996" s="10" t="inlineStr">
        <is>
          <t>Emissionen</t>
        </is>
      </c>
      <c r="G1996" s="12" t="n">
        <v>0.1</v>
      </c>
      <c r="H1996" s="13" t="n">
        <v>537</v>
      </c>
      <c r="I1996" s="13" t="n">
        <v>1075</v>
      </c>
      <c r="J1996" s="13" t="n">
        <v>2149</v>
      </c>
      <c r="K1996" s="14">
        <f>IF(OR(COUNT(G1996:J1996)&lt;&gt;4,G1996&lt;0,G1996&gt;1,H1996&gt;I1996,I1996&gt;J1996),"n.a.",ROUND(G1996*(H1996+4*I1996+J1996)/6+0.00000001,2))</f>
        <v/>
      </c>
      <c r="L1996" s="13" t="n">
        <v>0</v>
      </c>
      <c r="M1996" s="14">
        <f>SUMIFS(Maßnahmen!$I$7:$I$126,Maßnahmen!$D$7:$D$126,C1996,Maßnahmen!$H$7:$H$126,"&lt;&gt;verworfen")</f>
        <v/>
      </c>
      <c r="N1996" s="14">
        <f>IF(ISNUMBER(K1996),MAX(0,K1996-L1996-M1996),"n.a.")</f>
        <v/>
      </c>
      <c r="O1996" s="14" t="n">
        <v>116.43</v>
      </c>
      <c r="P1996" s="14">
        <f>IF(ISNUMBER(K1996),K1996-O1996,"n.a.")</f>
        <v/>
      </c>
    </row>
    <row r="1997" ht="32" customHeight="1">
      <c r="C1997" s="10" t="inlineStr">
        <is>
          <t>PRJ-3d4efac6-RK-13</t>
        </is>
      </c>
      <c r="D1997" s="10" t="inlineStr">
        <is>
          <t>W4102304946</t>
        </is>
      </c>
      <c r="E1997" s="11" t="inlineStr">
        <is>
          <t>Lärm- und Erschütterungsauflagen</t>
        </is>
      </c>
      <c r="F1997" s="10" t="inlineStr">
        <is>
          <t>Emissionen</t>
        </is>
      </c>
      <c r="G1997" s="12" t="n">
        <v>0.2</v>
      </c>
      <c r="H1997" s="13" t="n">
        <v>358</v>
      </c>
      <c r="I1997" s="13" t="n">
        <v>896</v>
      </c>
      <c r="J1997" s="13" t="n">
        <v>1791</v>
      </c>
      <c r="K1997" s="14">
        <f>IF(OR(COUNT(G1997:J1997)&lt;&gt;4,G1997&lt;0,G1997&gt;1,H1997&gt;I1997,I1997&gt;J1997),"n.a.",ROUND(G1997*(H1997+4*I1997+J1997)/6+0.00000001,2))</f>
        <v/>
      </c>
      <c r="L1997" s="13" t="n">
        <v>0</v>
      </c>
      <c r="M1997" s="14">
        <f>SUMIFS(Maßnahmen!$I$7:$I$126,Maßnahmen!$D$7:$D$126,C1997,Maßnahmen!$H$7:$H$126,"&lt;&gt;verworfen")</f>
        <v/>
      </c>
      <c r="N1997" s="14">
        <f>IF(ISNUMBER(K1997),MAX(0,K1997-L1997-M1997),"n.a.")</f>
        <v/>
      </c>
      <c r="O1997" s="14" t="n">
        <v>191.1</v>
      </c>
      <c r="P1997" s="14">
        <f>IF(ISNUMBER(K1997),K1997-O1997,"n.a.")</f>
        <v/>
      </c>
    </row>
    <row r="1998" ht="32" customHeight="1">
      <c r="C1998" s="10" t="inlineStr">
        <is>
          <t>PRJ-3d4efac6-RK-14</t>
        </is>
      </c>
      <c r="D1998" s="10" t="inlineStr">
        <is>
          <t>W4102304946</t>
        </is>
      </c>
      <c r="E1998" s="11" t="inlineStr">
        <is>
          <t>Rechtliche Auflagen / Entsorgungsnachweise (Formalismus)</t>
        </is>
      </c>
      <c r="F1998" s="10" t="inlineStr">
        <is>
          <t>Genehmigung</t>
        </is>
      </c>
      <c r="G1998" s="12" t="n">
        <v>0.4</v>
      </c>
      <c r="H1998" s="13" t="n">
        <v>1702</v>
      </c>
      <c r="I1998" s="13" t="n">
        <v>3314</v>
      </c>
      <c r="J1998" s="13" t="n">
        <v>6269</v>
      </c>
      <c r="K1998" s="14">
        <f>IF(OR(COUNT(G1998:J1998)&lt;&gt;4,G1998&lt;0,G1998&gt;1,H1998&gt;I1998,I1998&gt;J1998),"n.a.",ROUND(G1998*(H1998+4*I1998+J1998)/6+0.00000001,2))</f>
        <v/>
      </c>
      <c r="L1998" s="13" t="n">
        <v>0</v>
      </c>
      <c r="M1998" s="14">
        <f>SUMIFS(Maßnahmen!$I$7:$I$126,Maßnahmen!$D$7:$D$126,C1998,Maßnahmen!$H$7:$H$126,"&lt;&gt;verworfen")</f>
        <v/>
      </c>
      <c r="N1998" s="14">
        <f>IF(ISNUMBER(K1998),MAX(0,K1998-L1998-M1998),"n.a.")</f>
        <v/>
      </c>
      <c r="O1998" s="14" t="n">
        <v>1415.13</v>
      </c>
      <c r="P1998" s="14">
        <f>IF(ISNUMBER(K1998),K1998-O1998,"n.a.")</f>
        <v/>
      </c>
    </row>
    <row r="1999" ht="32" customHeight="1">
      <c r="C1999" s="10" t="inlineStr">
        <is>
          <t>PRJ-3d4efac6-RK-15</t>
        </is>
      </c>
      <c r="D1999" s="10" t="inlineStr">
        <is>
          <t>W4102304946</t>
        </is>
      </c>
      <c r="E1999" s="11" t="inlineStr">
        <is>
          <t>Konjunktur / Sekundärstoffpreise &amp; Gerätemiete</t>
        </is>
      </c>
      <c r="F1999" s="10" t="inlineStr">
        <is>
          <t>Markt</t>
        </is>
      </c>
      <c r="G1999" s="12" t="n">
        <v>0.12</v>
      </c>
      <c r="H1999" s="13" t="n">
        <v>143</v>
      </c>
      <c r="I1999" s="13" t="n">
        <v>358</v>
      </c>
      <c r="J1999" s="13" t="n">
        <v>896</v>
      </c>
      <c r="K1999" s="14">
        <f>IF(OR(COUNT(G1999:J1999)&lt;&gt;4,G1999&lt;0,G1999&gt;1,H1999&gt;I1999,I1999&gt;J1999),"n.a.",ROUND(G1999*(H1999+4*I1999+J1999)/6+0.00000001,2))</f>
        <v/>
      </c>
      <c r="L1999" s="13" t="n">
        <v>0</v>
      </c>
      <c r="M1999" s="14">
        <f>SUMIFS(Maßnahmen!$I$7:$I$126,Maßnahmen!$D$7:$D$126,C1999,Maßnahmen!$H$7:$H$126,"&lt;&gt;verworfen")</f>
        <v/>
      </c>
      <c r="N1999" s="14">
        <f>IF(ISNUMBER(K1999),MAX(0,K1999-L1999-M1999),"n.a.")</f>
        <v/>
      </c>
      <c r="O1999" s="14" t="n">
        <v>49.42</v>
      </c>
      <c r="P1999" s="14">
        <f>IF(ISNUMBER(K1999),K1999-O1999,"n.a.")</f>
        <v/>
      </c>
    </row>
    <row r="2000" ht="32" customHeight="1">
      <c r="C2000" s="10" t="inlineStr">
        <is>
          <t>PRJ-38317bb1-RK-01</t>
        </is>
      </c>
      <c r="D2000" s="10" t="inlineStr">
        <is>
          <t>W4102602023</t>
        </is>
      </c>
      <c r="E2000" s="11" t="inlineStr">
        <is>
          <t>Schadstofffund / Schadstoffsanierung (Asbest, PAK, PCB, PCP)</t>
        </is>
      </c>
      <c r="F2000" s="10" t="inlineStr">
        <is>
          <t>Schadstoffe</t>
        </is>
      </c>
      <c r="G2000" s="12" t="n">
        <v>0.1</v>
      </c>
      <c r="H2000" s="13" t="n">
        <v>20</v>
      </c>
      <c r="I2000" s="13" t="n">
        <v>50</v>
      </c>
      <c r="J2000" s="13" t="n">
        <v>100</v>
      </c>
      <c r="K2000" s="14">
        <f>IF(OR(COUNT(G2000:J2000)&lt;&gt;4,G2000&lt;0,G2000&gt;1,H2000&gt;I2000,I2000&gt;J2000),"n.a.",ROUND(G2000*(H2000+4*I2000+J2000)/6+0.00000001,2))</f>
        <v/>
      </c>
      <c r="L2000" s="13" t="n">
        <v>0</v>
      </c>
      <c r="M2000" s="14">
        <f>SUMIFS(Maßnahmen!$I$7:$I$126,Maßnahmen!$D$7:$D$126,C2000,Maßnahmen!$H$7:$H$126,"&lt;&gt;verworfen")</f>
        <v/>
      </c>
      <c r="N2000" s="14">
        <f>IF(ISNUMBER(K2000),MAX(0,K2000-L2000-M2000),"n.a.")</f>
        <v/>
      </c>
      <c r="O2000" s="14" t="n">
        <v>5.33</v>
      </c>
      <c r="P2000" s="14">
        <f>IF(ISNUMBER(K2000),K2000-O2000,"n.a.")</f>
        <v/>
      </c>
    </row>
    <row r="2001" ht="32" customHeight="1">
      <c r="C2001" s="10" t="inlineStr">
        <is>
          <t>PRJ-38317bb1-RK-02</t>
        </is>
      </c>
      <c r="D2001" s="10" t="inlineStr">
        <is>
          <t>W4102602023</t>
        </is>
      </c>
      <c r="E2001" s="11" t="inlineStr">
        <is>
          <t>Arbeitsschutz kontaminierte Bereiche (TRGS 524)</t>
        </is>
      </c>
      <c r="F2001" s="10" t="inlineStr">
        <is>
          <t>Schadstoffe</t>
        </is>
      </c>
      <c r="G2001" s="12" t="n">
        <v>0.1</v>
      </c>
      <c r="H2001" s="13" t="n">
        <v>5</v>
      </c>
      <c r="I2001" s="13" t="n">
        <v>10</v>
      </c>
      <c r="J2001" s="13" t="n">
        <v>20</v>
      </c>
      <c r="K2001" s="14">
        <f>IF(OR(COUNT(G2001:J2001)&lt;&gt;4,G2001&lt;0,G2001&gt;1,H2001&gt;I2001,I2001&gt;J2001),"n.a.",ROUND(G2001*(H2001+4*I2001+J2001)/6+0.00000001,2))</f>
        <v/>
      </c>
      <c r="L2001" s="13" t="n">
        <v>0</v>
      </c>
      <c r="M2001" s="14">
        <f>SUMIFS(Maßnahmen!$I$7:$I$126,Maßnahmen!$D$7:$D$126,C2001,Maßnahmen!$H$7:$H$126,"&lt;&gt;verworfen")</f>
        <v/>
      </c>
      <c r="N2001" s="14">
        <f>IF(ISNUMBER(K2001),MAX(0,K2001-L2001-M2001),"n.a.")</f>
        <v/>
      </c>
      <c r="O2001" s="14" t="n">
        <v>1.08</v>
      </c>
      <c r="P2001" s="14">
        <f>IF(ISNUMBER(K2001),K2001-O2001,"n.a.")</f>
        <v/>
      </c>
    </row>
    <row r="2002" ht="32" customHeight="1">
      <c r="C2002" s="10" t="inlineStr">
        <is>
          <t>PRJ-38317bb1-RK-03</t>
        </is>
      </c>
      <c r="D2002" s="10" t="inlineStr">
        <is>
          <t>W4102602023</t>
        </is>
      </c>
      <c r="E2002" s="11" t="inlineStr">
        <is>
          <t>Entsorgungs-Mehrkosten / Entsorgungswege</t>
        </is>
      </c>
      <c r="F2002" s="10" t="inlineStr">
        <is>
          <t>Entsorgung</t>
        </is>
      </c>
      <c r="G2002" s="12" t="n">
        <v>0.27</v>
      </c>
      <c r="H2002" s="13" t="n">
        <v>20</v>
      </c>
      <c r="I2002" s="13" t="n">
        <v>50</v>
      </c>
      <c r="J2002" s="13" t="n">
        <v>100</v>
      </c>
      <c r="K2002" s="14">
        <f>IF(OR(COUNT(G2002:J2002)&lt;&gt;4,G2002&lt;0,G2002&gt;1,H2002&gt;I2002,I2002&gt;J2002),"n.a.",ROUND(G2002*(H2002+4*I2002+J2002)/6+0.00000001,2))</f>
        <v/>
      </c>
      <c r="L2002" s="13" t="n">
        <v>0</v>
      </c>
      <c r="M2002" s="14">
        <f>SUMIFS(Maßnahmen!$I$7:$I$126,Maßnahmen!$D$7:$D$126,C2002,Maßnahmen!$H$7:$H$126,"&lt;&gt;verworfen")</f>
        <v/>
      </c>
      <c r="N2002" s="14">
        <f>IF(ISNUMBER(K2002),MAX(0,K2002-L2002-M2002),"n.a.")</f>
        <v/>
      </c>
      <c r="O2002" s="14" t="n">
        <v>14.4</v>
      </c>
      <c r="P2002" s="14">
        <f>IF(ISNUMBER(K2002),K2002-O2002,"n.a.")</f>
        <v/>
      </c>
    </row>
    <row r="2003" ht="32" customHeight="1">
      <c r="C2003" s="10" t="inlineStr">
        <is>
          <t>PRJ-38317bb1-RK-04</t>
        </is>
      </c>
      <c r="D2003" s="10" t="inlineStr">
        <is>
          <t>W4102602023</t>
        </is>
      </c>
      <c r="E2003" s="11" t="inlineStr">
        <is>
          <t>Baustofftrennung / Aufbereitung nicht wie geplant</t>
        </is>
      </c>
      <c r="F2003" s="10" t="inlineStr">
        <is>
          <t>Entsorgung</t>
        </is>
      </c>
      <c r="G2003" s="12" t="n">
        <v>0.08</v>
      </c>
      <c r="H2003" s="13" t="n">
        <v>5</v>
      </c>
      <c r="I2003" s="13" t="n">
        <v>10</v>
      </c>
      <c r="J2003" s="13" t="n">
        <v>20</v>
      </c>
      <c r="K2003" s="14">
        <f>IF(OR(COUNT(G2003:J2003)&lt;&gt;4,G2003&lt;0,G2003&gt;1,H2003&gt;I2003,I2003&gt;J2003),"n.a.",ROUND(G2003*(H2003+4*I2003+J2003)/6+0.00000001,2))</f>
        <v/>
      </c>
      <c r="L2003" s="13" t="n">
        <v>0</v>
      </c>
      <c r="M2003" s="14">
        <f>SUMIFS(Maßnahmen!$I$7:$I$126,Maßnahmen!$D$7:$D$126,C2003,Maßnahmen!$H$7:$H$126,"&lt;&gt;verworfen")</f>
        <v/>
      </c>
      <c r="N2003" s="14">
        <f>IF(ISNUMBER(K2003),MAX(0,K2003-L2003-M2003),"n.a.")</f>
        <v/>
      </c>
      <c r="O2003" s="14" t="n">
        <v>0.87</v>
      </c>
      <c r="P2003" s="14">
        <f>IF(ISNUMBER(K2003),K2003-O2003,"n.a.")</f>
        <v/>
      </c>
    </row>
    <row r="2004" ht="32" customHeight="1">
      <c r="C2004" s="10" t="inlineStr">
        <is>
          <t>PRJ-38317bb1-RK-05</t>
        </is>
      </c>
      <c r="D2004" s="10" t="inlineStr">
        <is>
          <t>W4102602023</t>
        </is>
      </c>
      <c r="E2004" s="11" t="inlineStr">
        <is>
          <t>Unbekannte Bauwerkskonstruktion / fehlende Pläne</t>
        </is>
      </c>
      <c r="F2004" s="10" t="inlineStr">
        <is>
          <t>Statik</t>
        </is>
      </c>
      <c r="G2004" s="12" t="n">
        <v>0.12</v>
      </c>
      <c r="H2004" s="13" t="n">
        <v>40</v>
      </c>
      <c r="I2004" s="13" t="n">
        <v>80</v>
      </c>
      <c r="J2004" s="13" t="n">
        <v>150</v>
      </c>
      <c r="K2004" s="14">
        <f>IF(OR(COUNT(G2004:J2004)&lt;&gt;4,G2004&lt;0,G2004&gt;1,H2004&gt;I2004,I2004&gt;J2004),"n.a.",ROUND(G2004*(H2004+4*I2004+J2004)/6+0.00000001,2))</f>
        <v/>
      </c>
      <c r="L2004" s="13" t="n">
        <v>0</v>
      </c>
      <c r="M2004" s="14">
        <f>SUMIFS(Maßnahmen!$I$7:$I$126,Maßnahmen!$D$7:$D$126,C2004,Maßnahmen!$H$7:$H$126,"&lt;&gt;verworfen")</f>
        <v/>
      </c>
      <c r="N2004" s="14">
        <f>IF(ISNUMBER(K2004),MAX(0,K2004-L2004-M2004),"n.a.")</f>
        <v/>
      </c>
      <c r="O2004" s="14" t="n">
        <v>10.2</v>
      </c>
      <c r="P2004" s="14">
        <f>IF(ISNUMBER(K2004),K2004-O2004,"n.a.")</f>
        <v/>
      </c>
    </row>
    <row r="2005" ht="32" customHeight="1">
      <c r="C2005" s="10" t="inlineStr">
        <is>
          <t>PRJ-38317bb1-RK-06</t>
        </is>
      </c>
      <c r="D2005" s="10" t="inlineStr">
        <is>
          <t>W4102602023</t>
        </is>
      </c>
      <c r="E2005" s="11" t="inlineStr">
        <is>
          <t>Statik / Einsturzsicherung während Abbruch</t>
        </is>
      </c>
      <c r="F2005" s="10" t="inlineStr">
        <is>
          <t>Statik</t>
        </is>
      </c>
      <c r="G2005" s="12" t="n">
        <v>0.24</v>
      </c>
      <c r="H2005" s="13" t="n">
        <v>30</v>
      </c>
      <c r="I2005" s="13" t="n">
        <v>70</v>
      </c>
      <c r="J2005" s="13" t="n">
        <v>140</v>
      </c>
      <c r="K2005" s="14">
        <f>IF(OR(COUNT(G2005:J2005)&lt;&gt;4,G2005&lt;0,G2005&gt;1,H2005&gt;I2005,I2005&gt;J2005),"n.a.",ROUND(G2005*(H2005+4*I2005+J2005)/6+0.00000001,2))</f>
        <v/>
      </c>
      <c r="L2005" s="13" t="n">
        <v>0</v>
      </c>
      <c r="M2005" s="14">
        <f>SUMIFS(Maßnahmen!$I$7:$I$126,Maßnahmen!$D$7:$D$126,C2005,Maßnahmen!$H$7:$H$126,"&lt;&gt;verworfen")</f>
        <v/>
      </c>
      <c r="N2005" s="14">
        <f>IF(ISNUMBER(K2005),MAX(0,K2005-L2005-M2005),"n.a.")</f>
        <v/>
      </c>
      <c r="O2005" s="14" t="n">
        <v>18</v>
      </c>
      <c r="P2005" s="14">
        <f>IF(ISNUMBER(K2005),K2005-O2005,"n.a.")</f>
        <v/>
      </c>
    </row>
    <row r="2006" ht="32" customHeight="1">
      <c r="C2006" s="10" t="inlineStr">
        <is>
          <t>PRJ-38317bb1-RK-07</t>
        </is>
      </c>
      <c r="D2006" s="10" t="inlineStr">
        <is>
          <t>W4102602023</t>
        </is>
      </c>
      <c r="E2006" s="11" t="inlineStr">
        <is>
          <t>Unterirdische Tragkonstruktion / Fundamente</t>
        </is>
      </c>
      <c r="F2006" s="10" t="inlineStr">
        <is>
          <t>Statik</t>
        </is>
      </c>
      <c r="G2006" s="12" t="n">
        <v>0.4</v>
      </c>
      <c r="H2006" s="13" t="n">
        <v>5</v>
      </c>
      <c r="I2006" s="13" t="n">
        <v>20</v>
      </c>
      <c r="J2006" s="13" t="n">
        <v>50</v>
      </c>
      <c r="K2006" s="14">
        <f>IF(OR(COUNT(G2006:J2006)&lt;&gt;4,G2006&lt;0,G2006&gt;1,H2006&gt;I2006,I2006&gt;J2006),"n.a.",ROUND(G2006*(H2006+4*I2006+J2006)/6+0.00000001,2))</f>
        <v/>
      </c>
      <c r="L2006" s="13" t="n">
        <v>0</v>
      </c>
      <c r="M2006" s="14">
        <f>SUMIFS(Maßnahmen!$I$7:$I$126,Maßnahmen!$D$7:$D$126,C2006,Maßnahmen!$H$7:$H$126,"&lt;&gt;verworfen")</f>
        <v/>
      </c>
      <c r="N2006" s="14">
        <f>IF(ISNUMBER(K2006),MAX(0,K2006-L2006-M2006),"n.a.")</f>
        <v/>
      </c>
      <c r="O2006" s="14" t="n">
        <v>9</v>
      </c>
      <c r="P2006" s="14">
        <f>IF(ISNUMBER(K2006),K2006-O2006,"n.a.")</f>
        <v/>
      </c>
    </row>
    <row r="2007" ht="32" customHeight="1">
      <c r="C2007" s="10" t="inlineStr">
        <is>
          <t>PRJ-38317bb1-RK-08</t>
        </is>
      </c>
      <c r="D2007" s="10" t="inlineStr">
        <is>
          <t>W4102602023</t>
        </is>
      </c>
      <c r="E2007" s="11" t="inlineStr">
        <is>
          <t>Gebäudehöhe &gt;22 m / Longfront-Bagger (+130–150 %)</t>
        </is>
      </c>
      <c r="F2007" s="10" t="inlineStr">
        <is>
          <t>Termin</t>
        </is>
      </c>
      <c r="G2007" s="12" t="n">
        <v>0.6</v>
      </c>
      <c r="H2007" s="13" t="n">
        <v>90</v>
      </c>
      <c r="I2007" s="13" t="n">
        <v>180</v>
      </c>
      <c r="J2007" s="13" t="n">
        <v>340</v>
      </c>
      <c r="K2007" s="14">
        <f>IF(OR(COUNT(G2007:J2007)&lt;&gt;4,G2007&lt;0,G2007&gt;1,H2007&gt;I2007,I2007&gt;J2007),"n.a.",ROUND(G2007*(H2007+4*I2007+J2007)/6+0.00000001,2))</f>
        <v/>
      </c>
      <c r="L2007" s="13" t="n">
        <v>0</v>
      </c>
      <c r="M2007" s="14">
        <f>SUMIFS(Maßnahmen!$I$7:$I$126,Maßnahmen!$D$7:$D$126,C2007,Maßnahmen!$H$7:$H$126,"&lt;&gt;verworfen")</f>
        <v/>
      </c>
      <c r="N2007" s="14">
        <f>IF(ISNUMBER(K2007),MAX(0,K2007-L2007-M2007),"n.a.")</f>
        <v/>
      </c>
      <c r="O2007" s="14" t="n">
        <v>115</v>
      </c>
      <c r="P2007" s="14">
        <f>IF(ISNUMBER(K2007),K2007-O2007,"n.a.")</f>
        <v/>
      </c>
    </row>
    <row r="2008" ht="32" customHeight="1">
      <c r="C2008" s="10" t="inlineStr">
        <is>
          <t>PRJ-38317bb1-RK-09</t>
        </is>
      </c>
      <c r="D2008" s="10" t="inlineStr">
        <is>
          <t>W4102602023</t>
        </is>
      </c>
      <c r="E2008" s="11" t="inlineStr">
        <is>
          <t>Beennte Lage / nur Handabbruch möglich</t>
        </is>
      </c>
      <c r="F2008" s="10" t="inlineStr">
        <is>
          <t>Termin</t>
        </is>
      </c>
      <c r="G2008" s="12" t="n">
        <v>0.15</v>
      </c>
      <c r="H2008" s="13" t="n">
        <v>8</v>
      </c>
      <c r="I2008" s="13" t="n">
        <v>20</v>
      </c>
      <c r="J2008" s="13" t="n">
        <v>50</v>
      </c>
      <c r="K2008" s="14">
        <f>IF(OR(COUNT(G2008:J2008)&lt;&gt;4,G2008&lt;0,G2008&gt;1,H2008&gt;I2008,I2008&gt;J2008),"n.a.",ROUND(G2008*(H2008+4*I2008+J2008)/6+0.00000001,2))</f>
        <v/>
      </c>
      <c r="L2008" s="13" t="n">
        <v>0</v>
      </c>
      <c r="M2008" s="14">
        <f>SUMIFS(Maßnahmen!$I$7:$I$126,Maßnahmen!$D$7:$D$126,C2008,Maßnahmen!$H$7:$H$126,"&lt;&gt;verworfen")</f>
        <v/>
      </c>
      <c r="N2008" s="14">
        <f>IF(ISNUMBER(K2008),MAX(0,K2008-L2008-M2008),"n.a.")</f>
        <v/>
      </c>
      <c r="O2008" s="14" t="n">
        <v>3.45</v>
      </c>
      <c r="P2008" s="14">
        <f>IF(ISNUMBER(K2008),K2008-O2008,"n.a.")</f>
        <v/>
      </c>
    </row>
    <row r="2009" ht="32" customHeight="1">
      <c r="C2009" s="10" t="inlineStr">
        <is>
          <t>PRJ-38317bb1-RK-10</t>
        </is>
      </c>
      <c r="D2009" s="10" t="inlineStr">
        <is>
          <t>W4102602023</t>
        </is>
      </c>
      <c r="E2009" s="11" t="inlineStr">
        <is>
          <t>Terminvorgabe Auftraggeber / Geräteauslastung</t>
        </is>
      </c>
      <c r="F2009" s="10" t="inlineStr">
        <is>
          <t>Termin</t>
        </is>
      </c>
      <c r="G2009" s="12" t="n">
        <v>0.08</v>
      </c>
      <c r="H2009" s="13" t="n">
        <v>5</v>
      </c>
      <c r="I2009" s="13" t="n">
        <v>10</v>
      </c>
      <c r="J2009" s="13" t="n">
        <v>20</v>
      </c>
      <c r="K2009" s="14">
        <f>IF(OR(COUNT(G2009:J2009)&lt;&gt;4,G2009&lt;0,G2009&gt;1,H2009&gt;I2009,I2009&gt;J2009),"n.a.",ROUND(G2009*(H2009+4*I2009+J2009)/6+0.00000001,2))</f>
        <v/>
      </c>
      <c r="L2009" s="13" t="n">
        <v>0</v>
      </c>
      <c r="M2009" s="14">
        <f>SUMIFS(Maßnahmen!$I$7:$I$126,Maßnahmen!$D$7:$D$126,C2009,Maßnahmen!$H$7:$H$126,"&lt;&gt;verworfen")</f>
        <v/>
      </c>
      <c r="N2009" s="14">
        <f>IF(ISNUMBER(K2009),MAX(0,K2009-L2009-M2009),"n.a.")</f>
        <v/>
      </c>
      <c r="O2009" s="14" t="n">
        <v>0.87</v>
      </c>
      <c r="P2009" s="14">
        <f>IF(ISNUMBER(K2009),K2009-O2009,"n.a.")</f>
        <v/>
      </c>
    </row>
    <row r="2010" ht="32" customHeight="1">
      <c r="C2010" s="10" t="inlineStr">
        <is>
          <t>PRJ-38317bb1-RK-11</t>
        </is>
      </c>
      <c r="D2010" s="10" t="inlineStr">
        <is>
          <t>W4102602023</t>
        </is>
      </c>
      <c r="E2010" s="11" t="inlineStr">
        <is>
          <t>Witterung / Ablaufstörung</t>
        </is>
      </c>
      <c r="F2010" s="10" t="inlineStr">
        <is>
          <t>Termin</t>
        </is>
      </c>
      <c r="G2010" s="12" t="n">
        <v>0.25</v>
      </c>
      <c r="H2010" s="13" t="n">
        <v>10</v>
      </c>
      <c r="I2010" s="13" t="n">
        <v>30</v>
      </c>
      <c r="J2010" s="13" t="n">
        <v>60</v>
      </c>
      <c r="K2010" s="14">
        <f>IF(OR(COUNT(G2010:J2010)&lt;&gt;4,G2010&lt;0,G2010&gt;1,H2010&gt;I2010,I2010&gt;J2010),"n.a.",ROUND(G2010*(H2010+4*I2010+J2010)/6+0.00000001,2))</f>
        <v/>
      </c>
      <c r="L2010" s="13" t="n">
        <v>0</v>
      </c>
      <c r="M2010" s="14">
        <f>SUMIFS(Maßnahmen!$I$7:$I$126,Maßnahmen!$D$7:$D$126,C2010,Maßnahmen!$H$7:$H$126,"&lt;&gt;verworfen")</f>
        <v/>
      </c>
      <c r="N2010" s="14">
        <f>IF(ISNUMBER(K2010),MAX(0,K2010-L2010-M2010),"n.a.")</f>
        <v/>
      </c>
      <c r="O2010" s="14" t="n">
        <v>7.92</v>
      </c>
      <c r="P2010" s="14">
        <f>IF(ISNUMBER(K2010),K2010-O2010,"n.a.")</f>
        <v/>
      </c>
    </row>
    <row r="2011" ht="32" customHeight="1">
      <c r="C2011" s="10" t="inlineStr">
        <is>
          <t>PRJ-38317bb1-RK-12</t>
        </is>
      </c>
      <c r="D2011" s="10" t="inlineStr">
        <is>
          <t>W4102602023</t>
        </is>
      </c>
      <c r="E2011" s="11" t="inlineStr">
        <is>
          <t>Staubemissionen (höchster Aufwand laut Umfrage)</t>
        </is>
      </c>
      <c r="F2011" s="10" t="inlineStr">
        <is>
          <t>Emissionen</t>
        </is>
      </c>
      <c r="G2011" s="12" t="n">
        <v>0.1</v>
      </c>
      <c r="H2011" s="13" t="n">
        <v>30</v>
      </c>
      <c r="I2011" s="13" t="n">
        <v>60</v>
      </c>
      <c r="J2011" s="13" t="n">
        <v>120</v>
      </c>
      <c r="K2011" s="14">
        <f>IF(OR(COUNT(G2011:J2011)&lt;&gt;4,G2011&lt;0,G2011&gt;1,H2011&gt;I2011,I2011&gt;J2011),"n.a.",ROUND(G2011*(H2011+4*I2011+J2011)/6+0.00000001,2))</f>
        <v/>
      </c>
      <c r="L2011" s="13" t="n">
        <v>0</v>
      </c>
      <c r="M2011" s="14">
        <f>SUMIFS(Maßnahmen!$I$7:$I$126,Maßnahmen!$D$7:$D$126,C2011,Maßnahmen!$H$7:$H$126,"&lt;&gt;verworfen")</f>
        <v/>
      </c>
      <c r="N2011" s="14">
        <f>IF(ISNUMBER(K2011),MAX(0,K2011-L2011-M2011),"n.a.")</f>
        <v/>
      </c>
      <c r="O2011" s="14" t="n">
        <v>6.5</v>
      </c>
      <c r="P2011" s="14">
        <f>IF(ISNUMBER(K2011),K2011-O2011,"n.a.")</f>
        <v/>
      </c>
    </row>
    <row r="2012" ht="32" customHeight="1">
      <c r="C2012" s="10" t="inlineStr">
        <is>
          <t>PRJ-38317bb1-RK-13</t>
        </is>
      </c>
      <c r="D2012" s="10" t="inlineStr">
        <is>
          <t>W4102602023</t>
        </is>
      </c>
      <c r="E2012" s="11" t="inlineStr">
        <is>
          <t>Lärm- und Erschütterungsauflagen</t>
        </is>
      </c>
      <c r="F2012" s="10" t="inlineStr">
        <is>
          <t>Emissionen</t>
        </is>
      </c>
      <c r="G2012" s="12" t="n">
        <v>0.2</v>
      </c>
      <c r="H2012" s="13" t="n">
        <v>20</v>
      </c>
      <c r="I2012" s="13" t="n">
        <v>50</v>
      </c>
      <c r="J2012" s="13" t="n">
        <v>100</v>
      </c>
      <c r="K2012" s="14">
        <f>IF(OR(COUNT(G2012:J2012)&lt;&gt;4,G2012&lt;0,G2012&gt;1,H2012&gt;I2012,I2012&gt;J2012),"n.a.",ROUND(G2012*(H2012+4*I2012+J2012)/6+0.00000001,2))</f>
        <v/>
      </c>
      <c r="L2012" s="13" t="n">
        <v>0</v>
      </c>
      <c r="M2012" s="14">
        <f>SUMIFS(Maßnahmen!$I$7:$I$126,Maßnahmen!$D$7:$D$126,C2012,Maßnahmen!$H$7:$H$126,"&lt;&gt;verworfen")</f>
        <v/>
      </c>
      <c r="N2012" s="14">
        <f>IF(ISNUMBER(K2012),MAX(0,K2012-L2012-M2012),"n.a.")</f>
        <v/>
      </c>
      <c r="O2012" s="14" t="n">
        <v>10.67</v>
      </c>
      <c r="P2012" s="14">
        <f>IF(ISNUMBER(K2012),K2012-O2012,"n.a.")</f>
        <v/>
      </c>
    </row>
    <row r="2013" ht="32" customHeight="1">
      <c r="C2013" s="10" t="inlineStr">
        <is>
          <t>PRJ-38317bb1-RK-14</t>
        </is>
      </c>
      <c r="D2013" s="10" t="inlineStr">
        <is>
          <t>W4102602023</t>
        </is>
      </c>
      <c r="E2013" s="11" t="inlineStr">
        <is>
          <t>Rechtliche Auflagen / Entsorgungsnachweise (Formalismus)</t>
        </is>
      </c>
      <c r="F2013" s="10" t="inlineStr">
        <is>
          <t>Genehmigung</t>
        </is>
      </c>
      <c r="G2013" s="12" t="n">
        <v>0.4</v>
      </c>
      <c r="H2013" s="13" t="n">
        <v>95</v>
      </c>
      <c r="I2013" s="13" t="n">
        <v>185</v>
      </c>
      <c r="J2013" s="13" t="n">
        <v>350</v>
      </c>
      <c r="K2013" s="14">
        <f>IF(OR(COUNT(G2013:J2013)&lt;&gt;4,G2013&lt;0,G2013&gt;1,H2013&gt;I2013,I2013&gt;J2013),"n.a.",ROUND(G2013*(H2013+4*I2013+J2013)/6+0.00000001,2))</f>
        <v/>
      </c>
      <c r="L2013" s="13" t="n">
        <v>0</v>
      </c>
      <c r="M2013" s="14">
        <f>SUMIFS(Maßnahmen!$I$7:$I$126,Maßnahmen!$D$7:$D$126,C2013,Maßnahmen!$H$7:$H$126,"&lt;&gt;verworfen")</f>
        <v/>
      </c>
      <c r="N2013" s="14">
        <f>IF(ISNUMBER(K2013),MAX(0,K2013-L2013-M2013),"n.a.")</f>
        <v/>
      </c>
      <c r="O2013" s="14" t="n">
        <v>79</v>
      </c>
      <c r="P2013" s="14">
        <f>IF(ISNUMBER(K2013),K2013-O2013,"n.a.")</f>
        <v/>
      </c>
    </row>
    <row r="2014" ht="32" customHeight="1">
      <c r="C2014" s="10" t="inlineStr">
        <is>
          <t>PRJ-38317bb1-RK-15</t>
        </is>
      </c>
      <c r="D2014" s="10" t="inlineStr">
        <is>
          <t>W4102602023</t>
        </is>
      </c>
      <c r="E2014" s="11" t="inlineStr">
        <is>
          <t>Konjunktur / Sekundärstoffpreise &amp; Gerätemiete</t>
        </is>
      </c>
      <c r="F2014" s="10" t="inlineStr">
        <is>
          <t>Markt</t>
        </is>
      </c>
      <c r="G2014" s="12" t="n">
        <v>0.12</v>
      </c>
      <c r="H2014" s="13" t="n">
        <v>8</v>
      </c>
      <c r="I2014" s="13" t="n">
        <v>20</v>
      </c>
      <c r="J2014" s="13" t="n">
        <v>50</v>
      </c>
      <c r="K2014" s="14">
        <f>IF(OR(COUNT(G2014:J2014)&lt;&gt;4,G2014&lt;0,G2014&gt;1,H2014&gt;I2014,I2014&gt;J2014),"n.a.",ROUND(G2014*(H2014+4*I2014+J2014)/6+0.00000001,2))</f>
        <v/>
      </c>
      <c r="L2014" s="13" t="n">
        <v>0</v>
      </c>
      <c r="M2014" s="14">
        <f>SUMIFS(Maßnahmen!$I$7:$I$126,Maßnahmen!$D$7:$D$126,C2014,Maßnahmen!$H$7:$H$126,"&lt;&gt;verworfen")</f>
        <v/>
      </c>
      <c r="N2014" s="14">
        <f>IF(ISNUMBER(K2014),MAX(0,K2014-L2014-M2014),"n.a.")</f>
        <v/>
      </c>
      <c r="O2014" s="14" t="n">
        <v>2.76</v>
      </c>
      <c r="P2014" s="14">
        <f>IF(ISNUMBER(K2014),K2014-O2014,"n.a.")</f>
        <v/>
      </c>
    </row>
    <row r="2015" ht="32" customHeight="1">
      <c r="C2015" s="10" t="inlineStr">
        <is>
          <t>PRJ-39e5492e-RK-01</t>
        </is>
      </c>
      <c r="D2015" s="10" t="inlineStr">
        <is>
          <t>W4102504973</t>
        </is>
      </c>
      <c r="E2015" s="11" t="inlineStr">
        <is>
          <t>Schadstofffund / Schadstoffsanierung (Asbest, PAK, PCB, PCP)</t>
        </is>
      </c>
      <c r="F2015" s="10" t="inlineStr">
        <is>
          <t>Schadstoffe</t>
        </is>
      </c>
      <c r="G2015" s="12" t="n">
        <v>0.1</v>
      </c>
      <c r="H2015" s="13" t="n">
        <v>237</v>
      </c>
      <c r="I2015" s="13" t="n">
        <v>592</v>
      </c>
      <c r="J2015" s="13" t="n">
        <v>1183</v>
      </c>
      <c r="K2015" s="14">
        <f>IF(OR(COUNT(G2015:J2015)&lt;&gt;4,G2015&lt;0,G2015&gt;1,H2015&gt;I2015,I2015&gt;J2015),"n.a.",ROUND(G2015*(H2015+4*I2015+J2015)/6+0.00000001,2))</f>
        <v/>
      </c>
      <c r="L2015" s="13" t="n">
        <v>0</v>
      </c>
      <c r="M2015" s="14">
        <f>SUMIFS(Maßnahmen!$I$7:$I$126,Maßnahmen!$D$7:$D$126,C2015,Maßnahmen!$H$7:$H$126,"&lt;&gt;verworfen")</f>
        <v/>
      </c>
      <c r="N2015" s="14">
        <f>IF(ISNUMBER(K2015),MAX(0,K2015-L2015-M2015),"n.a.")</f>
        <v/>
      </c>
      <c r="O2015" s="14" t="n">
        <v>63.13</v>
      </c>
      <c r="P2015" s="14">
        <f>IF(ISNUMBER(K2015),K2015-O2015,"n.a.")</f>
        <v/>
      </c>
    </row>
    <row r="2016" ht="32" customHeight="1">
      <c r="C2016" s="10" t="inlineStr">
        <is>
          <t>PRJ-39e5492e-RK-02</t>
        </is>
      </c>
      <c r="D2016" s="10" t="inlineStr">
        <is>
          <t>W4102504973</t>
        </is>
      </c>
      <c r="E2016" s="11" t="inlineStr">
        <is>
          <t>Arbeitsschutz kontaminierte Bereiche (TRGS 524)</t>
        </is>
      </c>
      <c r="F2016" s="10" t="inlineStr">
        <is>
          <t>Schadstoffe</t>
        </is>
      </c>
      <c r="G2016" s="12" t="n">
        <v>0.47</v>
      </c>
      <c r="H2016" s="13" t="n">
        <v>237</v>
      </c>
      <c r="I2016" s="13" t="n">
        <v>592</v>
      </c>
      <c r="J2016" s="13" t="n">
        <v>1183</v>
      </c>
      <c r="K2016" s="14">
        <f>IF(OR(COUNT(G2016:J2016)&lt;&gt;4,G2016&lt;0,G2016&gt;1,H2016&gt;I2016,I2016&gt;J2016),"n.a.",ROUND(G2016*(H2016+4*I2016+J2016)/6+0.00000001,2))</f>
        <v/>
      </c>
      <c r="L2016" s="13" t="n">
        <v>0</v>
      </c>
      <c r="M2016" s="14">
        <f>SUMIFS(Maßnahmen!$I$7:$I$126,Maßnahmen!$D$7:$D$126,C2016,Maßnahmen!$H$7:$H$126,"&lt;&gt;verworfen")</f>
        <v/>
      </c>
      <c r="N2016" s="14">
        <f>IF(ISNUMBER(K2016),MAX(0,K2016-L2016-M2016),"n.a.")</f>
        <v/>
      </c>
      <c r="O2016" s="14" t="n">
        <v>296.73</v>
      </c>
      <c r="P2016" s="14">
        <f>IF(ISNUMBER(K2016),K2016-O2016,"n.a.")</f>
        <v/>
      </c>
    </row>
    <row r="2017" ht="32" customHeight="1">
      <c r="C2017" s="10" t="inlineStr">
        <is>
          <t>PRJ-39e5492e-RK-03</t>
        </is>
      </c>
      <c r="D2017" s="10" t="inlineStr">
        <is>
          <t>W4102504973</t>
        </is>
      </c>
      <c r="E2017" s="11" t="inlineStr">
        <is>
          <t>Entsorgungs-Mehrkosten / Entsorgungswege</t>
        </is>
      </c>
      <c r="F2017" s="10" t="inlineStr">
        <is>
          <t>Entsorgung</t>
        </is>
      </c>
      <c r="G2017" s="12" t="n">
        <v>0.15</v>
      </c>
      <c r="H2017" s="13" t="n">
        <v>237</v>
      </c>
      <c r="I2017" s="13" t="n">
        <v>592</v>
      </c>
      <c r="J2017" s="13" t="n">
        <v>1183</v>
      </c>
      <c r="K2017" s="14">
        <f>IF(OR(COUNT(G2017:J2017)&lt;&gt;4,G2017&lt;0,G2017&gt;1,H2017&gt;I2017,I2017&gt;J2017),"n.a.",ROUND(G2017*(H2017+4*I2017+J2017)/6+0.00000001,2))</f>
        <v/>
      </c>
      <c r="L2017" s="13" t="n">
        <v>0</v>
      </c>
      <c r="M2017" s="14">
        <f>SUMIFS(Maßnahmen!$I$7:$I$126,Maßnahmen!$D$7:$D$126,C2017,Maßnahmen!$H$7:$H$126,"&lt;&gt;verworfen")</f>
        <v/>
      </c>
      <c r="N2017" s="14">
        <f>IF(ISNUMBER(K2017),MAX(0,K2017-L2017-M2017),"n.a.")</f>
        <v/>
      </c>
      <c r="O2017" s="14" t="n">
        <v>94.7</v>
      </c>
      <c r="P2017" s="14">
        <f>IF(ISNUMBER(K2017),K2017-O2017,"n.a.")</f>
        <v/>
      </c>
    </row>
    <row r="2018" ht="32" customHeight="1">
      <c r="C2018" s="10" t="inlineStr">
        <is>
          <t>PRJ-39e5492e-RK-04</t>
        </is>
      </c>
      <c r="D2018" s="10" t="inlineStr">
        <is>
          <t>W4102504973</t>
        </is>
      </c>
      <c r="E2018" s="11" t="inlineStr">
        <is>
          <t>Baustofftrennung / Aufbereitung nicht wie geplant</t>
        </is>
      </c>
      <c r="F2018" s="10" t="inlineStr">
        <is>
          <t>Entsorgung</t>
        </is>
      </c>
      <c r="G2018" s="12" t="n">
        <v>0.1</v>
      </c>
      <c r="H2018" s="13" t="n">
        <v>237</v>
      </c>
      <c r="I2018" s="13" t="n">
        <v>592</v>
      </c>
      <c r="J2018" s="13" t="n">
        <v>1183</v>
      </c>
      <c r="K2018" s="14">
        <f>IF(OR(COUNT(G2018:J2018)&lt;&gt;4,G2018&lt;0,G2018&gt;1,H2018&gt;I2018,I2018&gt;J2018),"n.a.",ROUND(G2018*(H2018+4*I2018+J2018)/6+0.00000001,2))</f>
        <v/>
      </c>
      <c r="L2018" s="13" t="n">
        <v>0</v>
      </c>
      <c r="M2018" s="14">
        <f>SUMIFS(Maßnahmen!$I$7:$I$126,Maßnahmen!$D$7:$D$126,C2018,Maßnahmen!$H$7:$H$126,"&lt;&gt;verworfen")</f>
        <v/>
      </c>
      <c r="N2018" s="14">
        <f>IF(ISNUMBER(K2018),MAX(0,K2018-L2018-M2018),"n.a.")</f>
        <v/>
      </c>
      <c r="O2018" s="14" t="n">
        <v>63.13</v>
      </c>
      <c r="P2018" s="14">
        <f>IF(ISNUMBER(K2018),K2018-O2018,"n.a.")</f>
        <v/>
      </c>
    </row>
    <row r="2019" ht="32" customHeight="1">
      <c r="C2019" s="10" t="inlineStr">
        <is>
          <t>PRJ-39e5492e-RK-05</t>
        </is>
      </c>
      <c r="D2019" s="10" t="inlineStr">
        <is>
          <t>W4102504973</t>
        </is>
      </c>
      <c r="E2019" s="11" t="inlineStr">
        <is>
          <t>Unbekannte Bauwerkskonstruktion / fehlende Pläne</t>
        </is>
      </c>
      <c r="F2019" s="10" t="inlineStr">
        <is>
          <t>Statik</t>
        </is>
      </c>
      <c r="G2019" s="12" t="n">
        <v>0.12</v>
      </c>
      <c r="H2019" s="13" t="n">
        <v>473</v>
      </c>
      <c r="I2019" s="13" t="n">
        <v>947</v>
      </c>
      <c r="J2019" s="13" t="n">
        <v>1775</v>
      </c>
      <c r="K2019" s="14">
        <f>IF(OR(COUNT(G2019:J2019)&lt;&gt;4,G2019&lt;0,G2019&gt;1,H2019&gt;I2019,I2019&gt;J2019),"n.a.",ROUND(G2019*(H2019+4*I2019+J2019)/6+0.00000001,2))</f>
        <v/>
      </c>
      <c r="L2019" s="13" t="n">
        <v>0</v>
      </c>
      <c r="M2019" s="14">
        <f>SUMIFS(Maßnahmen!$I$7:$I$126,Maßnahmen!$D$7:$D$126,C2019,Maßnahmen!$H$7:$H$126,"&lt;&gt;verworfen")</f>
        <v/>
      </c>
      <c r="N2019" s="14">
        <f>IF(ISNUMBER(K2019),MAX(0,K2019-L2019-M2019),"n.a.")</f>
        <v/>
      </c>
      <c r="O2019" s="14" t="n">
        <v>120.72</v>
      </c>
      <c r="P2019" s="14">
        <f>IF(ISNUMBER(K2019),K2019-O2019,"n.a.")</f>
        <v/>
      </c>
    </row>
    <row r="2020" ht="32" customHeight="1">
      <c r="C2020" s="10" t="inlineStr">
        <is>
          <t>PRJ-39e5492e-RK-06</t>
        </is>
      </c>
      <c r="D2020" s="10" t="inlineStr">
        <is>
          <t>W4102504973</t>
        </is>
      </c>
      <c r="E2020" s="11" t="inlineStr">
        <is>
          <t>Statik / Einsturzsicherung während Abbruch</t>
        </is>
      </c>
      <c r="F2020" s="10" t="inlineStr">
        <is>
          <t>Statik</t>
        </is>
      </c>
      <c r="G2020" s="12" t="n">
        <v>0.12</v>
      </c>
      <c r="H2020" s="13" t="n">
        <v>355</v>
      </c>
      <c r="I2020" s="13" t="n">
        <v>828</v>
      </c>
      <c r="J2020" s="13" t="n">
        <v>1657</v>
      </c>
      <c r="K2020" s="14">
        <f>IF(OR(COUNT(G2020:J2020)&lt;&gt;4,G2020&lt;0,G2020&gt;1,H2020&gt;I2020,I2020&gt;J2020),"n.a.",ROUND(G2020*(H2020+4*I2020+J2020)/6+0.00000001,2))</f>
        <v/>
      </c>
      <c r="L2020" s="13" t="n">
        <v>0</v>
      </c>
      <c r="M2020" s="14">
        <f>SUMIFS(Maßnahmen!$I$7:$I$126,Maßnahmen!$D$7:$D$126,C2020,Maßnahmen!$H$7:$H$126,"&lt;&gt;verworfen")</f>
        <v/>
      </c>
      <c r="N2020" s="14">
        <f>IF(ISNUMBER(K2020),MAX(0,K2020-L2020-M2020),"n.a.")</f>
        <v/>
      </c>
      <c r="O2020" s="14" t="n">
        <v>106.48</v>
      </c>
      <c r="P2020" s="14">
        <f>IF(ISNUMBER(K2020),K2020-O2020,"n.a.")</f>
        <v/>
      </c>
    </row>
    <row r="2021" ht="32" customHeight="1">
      <c r="C2021" s="10" t="inlineStr">
        <is>
          <t>PRJ-39e5492e-RK-07</t>
        </is>
      </c>
      <c r="D2021" s="10" t="inlineStr">
        <is>
          <t>W4102504973</t>
        </is>
      </c>
      <c r="E2021" s="11" t="inlineStr">
        <is>
          <t>Unterirdische Tragkonstruktion / Fundamente</t>
        </is>
      </c>
      <c r="F2021" s="10" t="inlineStr">
        <is>
          <t>Statik</t>
        </is>
      </c>
      <c r="G2021" s="12" t="n">
        <v>0.5</v>
      </c>
      <c r="H2021" s="13" t="n">
        <v>59</v>
      </c>
      <c r="I2021" s="13" t="n">
        <v>237</v>
      </c>
      <c r="J2021" s="13" t="n">
        <v>592</v>
      </c>
      <c r="K2021" s="14">
        <f>IF(OR(COUNT(G2021:J2021)&lt;&gt;4,G2021&lt;0,G2021&gt;1,H2021&gt;I2021,I2021&gt;J2021),"n.a.",ROUND(G2021*(H2021+4*I2021+J2021)/6+0.00000001,2))</f>
        <v/>
      </c>
      <c r="L2021" s="13" t="n">
        <v>0</v>
      </c>
      <c r="M2021" s="14">
        <f>SUMIFS(Maßnahmen!$I$7:$I$126,Maßnahmen!$D$7:$D$126,C2021,Maßnahmen!$H$7:$H$126,"&lt;&gt;verworfen")</f>
        <v/>
      </c>
      <c r="N2021" s="14">
        <f>IF(ISNUMBER(K2021),MAX(0,K2021-L2021-M2021),"n.a.")</f>
        <v/>
      </c>
      <c r="O2021" s="14" t="n">
        <v>133.25</v>
      </c>
      <c r="P2021" s="14">
        <f>IF(ISNUMBER(K2021),K2021-O2021,"n.a.")</f>
        <v/>
      </c>
    </row>
    <row r="2022" ht="32" customHeight="1">
      <c r="C2022" s="10" t="inlineStr">
        <is>
          <t>PRJ-39e5492e-RK-08</t>
        </is>
      </c>
      <c r="D2022" s="10" t="inlineStr">
        <is>
          <t>W4102504973</t>
        </is>
      </c>
      <c r="E2022" s="11" t="inlineStr">
        <is>
          <t>Gebäudehöhe &gt;22 m / Longfront-Bagger (+130–150 %)</t>
        </is>
      </c>
      <c r="F2022" s="10" t="inlineStr">
        <is>
          <t>Termin</t>
        </is>
      </c>
      <c r="G2022" s="12" t="n">
        <v>0.6</v>
      </c>
      <c r="H2022" s="13" t="n">
        <v>1065</v>
      </c>
      <c r="I2022" s="13" t="n">
        <v>2130</v>
      </c>
      <c r="J2022" s="13" t="n">
        <v>4024</v>
      </c>
      <c r="K2022" s="14">
        <f>IF(OR(COUNT(G2022:J2022)&lt;&gt;4,G2022&lt;0,G2022&gt;1,H2022&gt;I2022,I2022&gt;J2022),"n.a.",ROUND(G2022*(H2022+4*I2022+J2022)/6+0.00000001,2))</f>
        <v/>
      </c>
      <c r="L2022" s="13" t="n">
        <v>0</v>
      </c>
      <c r="M2022" s="14">
        <f>SUMIFS(Maßnahmen!$I$7:$I$126,Maßnahmen!$D$7:$D$126,C2022,Maßnahmen!$H$7:$H$126,"&lt;&gt;verworfen")</f>
        <v/>
      </c>
      <c r="N2022" s="14">
        <f>IF(ISNUMBER(K2022),MAX(0,K2022-L2022-M2022),"n.a.")</f>
        <v/>
      </c>
      <c r="O2022" s="14" t="n">
        <v>1360.9</v>
      </c>
      <c r="P2022" s="14">
        <f>IF(ISNUMBER(K2022),K2022-O2022,"n.a.")</f>
        <v/>
      </c>
    </row>
    <row r="2023" ht="32" customHeight="1">
      <c r="C2023" s="10" t="inlineStr">
        <is>
          <t>PRJ-39e5492e-RK-09</t>
        </is>
      </c>
      <c r="D2023" s="10" t="inlineStr">
        <is>
          <t>W4102504973</t>
        </is>
      </c>
      <c r="E2023" s="11" t="inlineStr">
        <is>
          <t>Beennte Lage / nur Handabbruch möglich</t>
        </is>
      </c>
      <c r="F2023" s="10" t="inlineStr">
        <is>
          <t>Termin</t>
        </is>
      </c>
      <c r="G2023" s="12" t="n">
        <v>0.15</v>
      </c>
      <c r="H2023" s="13" t="n">
        <v>95</v>
      </c>
      <c r="I2023" s="13" t="n">
        <v>237</v>
      </c>
      <c r="J2023" s="13" t="n">
        <v>592</v>
      </c>
      <c r="K2023" s="14">
        <f>IF(OR(COUNT(G2023:J2023)&lt;&gt;4,G2023&lt;0,G2023&gt;1,H2023&gt;I2023,I2023&gt;J2023),"n.a.",ROUND(G2023*(H2023+4*I2023+J2023)/6+0.00000001,2))</f>
        <v/>
      </c>
      <c r="L2023" s="13" t="n">
        <v>0</v>
      </c>
      <c r="M2023" s="14">
        <f>SUMIFS(Maßnahmen!$I$7:$I$126,Maßnahmen!$D$7:$D$126,C2023,Maßnahmen!$H$7:$H$126,"&lt;&gt;verworfen")</f>
        <v/>
      </c>
      <c r="N2023" s="14">
        <f>IF(ISNUMBER(K2023),MAX(0,K2023-L2023-M2023),"n.a.")</f>
        <v/>
      </c>
      <c r="O2023" s="14" t="n">
        <v>40.88</v>
      </c>
      <c r="P2023" s="14">
        <f>IF(ISNUMBER(K2023),K2023-O2023,"n.a.")</f>
        <v/>
      </c>
    </row>
    <row r="2024" ht="32" customHeight="1">
      <c r="C2024" s="10" t="inlineStr">
        <is>
          <t>PRJ-39e5492e-RK-10</t>
        </is>
      </c>
      <c r="D2024" s="10" t="inlineStr">
        <is>
          <t>W4102504973</t>
        </is>
      </c>
      <c r="E2024" s="11" t="inlineStr">
        <is>
          <t>Terminvorgabe Auftraggeber / Geräteauslastung</t>
        </is>
      </c>
      <c r="F2024" s="10" t="inlineStr">
        <is>
          <t>Termin</t>
        </is>
      </c>
      <c r="G2024" s="12" t="n">
        <v>0.1</v>
      </c>
      <c r="H2024" s="13" t="n">
        <v>95</v>
      </c>
      <c r="I2024" s="13" t="n">
        <v>237</v>
      </c>
      <c r="J2024" s="13" t="n">
        <v>592</v>
      </c>
      <c r="K2024" s="14">
        <f>IF(OR(COUNT(G2024:J2024)&lt;&gt;4,G2024&lt;0,G2024&gt;1,H2024&gt;I2024,I2024&gt;J2024),"n.a.",ROUND(G2024*(H2024+4*I2024+J2024)/6+0.00000001,2))</f>
        <v/>
      </c>
      <c r="L2024" s="13" t="n">
        <v>0</v>
      </c>
      <c r="M2024" s="14">
        <f>SUMIFS(Maßnahmen!$I$7:$I$126,Maßnahmen!$D$7:$D$126,C2024,Maßnahmen!$H$7:$H$126,"&lt;&gt;verworfen")</f>
        <v/>
      </c>
      <c r="N2024" s="14">
        <f>IF(ISNUMBER(K2024),MAX(0,K2024-L2024-M2024),"n.a.")</f>
        <v/>
      </c>
      <c r="O2024" s="14" t="n">
        <v>27.25</v>
      </c>
      <c r="P2024" s="14">
        <f>IF(ISNUMBER(K2024),K2024-O2024,"n.a.")</f>
        <v/>
      </c>
    </row>
    <row r="2025" ht="32" customHeight="1">
      <c r="C2025" s="10" t="inlineStr">
        <is>
          <t>PRJ-39e5492e-RK-11</t>
        </is>
      </c>
      <c r="D2025" s="10" t="inlineStr">
        <is>
          <t>W4102504973</t>
        </is>
      </c>
      <c r="E2025" s="11" t="inlineStr">
        <is>
          <t>Witterung / Ablaufstörung</t>
        </is>
      </c>
      <c r="F2025" s="10" t="inlineStr">
        <is>
          <t>Termin</t>
        </is>
      </c>
      <c r="G2025" s="12" t="n">
        <v>0.25</v>
      </c>
      <c r="H2025" s="13" t="n">
        <v>118</v>
      </c>
      <c r="I2025" s="13" t="n">
        <v>355</v>
      </c>
      <c r="J2025" s="13" t="n">
        <v>710</v>
      </c>
      <c r="K2025" s="14">
        <f>IF(OR(COUNT(G2025:J2025)&lt;&gt;4,G2025&lt;0,G2025&gt;1,H2025&gt;I2025,I2025&gt;J2025),"n.a.",ROUND(G2025*(H2025+4*I2025+J2025)/6+0.00000001,2))</f>
        <v/>
      </c>
      <c r="L2025" s="13" t="n">
        <v>0</v>
      </c>
      <c r="M2025" s="14">
        <f>SUMIFS(Maßnahmen!$I$7:$I$126,Maßnahmen!$D$7:$D$126,C2025,Maßnahmen!$H$7:$H$126,"&lt;&gt;verworfen")</f>
        <v/>
      </c>
      <c r="N2025" s="14">
        <f>IF(ISNUMBER(K2025),MAX(0,K2025-L2025-M2025),"n.a.")</f>
        <v/>
      </c>
      <c r="O2025" s="14" t="n">
        <v>93.67</v>
      </c>
      <c r="P2025" s="14">
        <f>IF(ISNUMBER(K2025),K2025-O2025,"n.a.")</f>
        <v/>
      </c>
    </row>
    <row r="2026" ht="32" customHeight="1">
      <c r="C2026" s="10" t="inlineStr">
        <is>
          <t>PRJ-39e5492e-RK-12</t>
        </is>
      </c>
      <c r="D2026" s="10" t="inlineStr">
        <is>
          <t>W4102504973</t>
        </is>
      </c>
      <c r="E2026" s="11" t="inlineStr">
        <is>
          <t>Staubemissionen (höchster Aufwand laut Umfrage)</t>
        </is>
      </c>
      <c r="F2026" s="10" t="inlineStr">
        <is>
          <t>Emissionen</t>
        </is>
      </c>
      <c r="G2026" s="12" t="n">
        <v>0.1</v>
      </c>
      <c r="H2026" s="13" t="n">
        <v>355</v>
      </c>
      <c r="I2026" s="13" t="n">
        <v>710</v>
      </c>
      <c r="J2026" s="13" t="n">
        <v>1420</v>
      </c>
      <c r="K2026" s="14">
        <f>IF(OR(COUNT(G2026:J2026)&lt;&gt;4,G2026&lt;0,G2026&gt;1,H2026&gt;I2026,I2026&gt;J2026),"n.a.",ROUND(G2026*(H2026+4*I2026+J2026)/6+0.00000001,2))</f>
        <v/>
      </c>
      <c r="L2026" s="13" t="n">
        <v>0</v>
      </c>
      <c r="M2026" s="14">
        <f>SUMIFS(Maßnahmen!$I$7:$I$126,Maßnahmen!$D$7:$D$126,C2026,Maßnahmen!$H$7:$H$126,"&lt;&gt;verworfen")</f>
        <v/>
      </c>
      <c r="N2026" s="14">
        <f>IF(ISNUMBER(K2026),MAX(0,K2026-L2026-M2026),"n.a.")</f>
        <v/>
      </c>
      <c r="O2026" s="14" t="n">
        <v>76.92</v>
      </c>
      <c r="P2026" s="14">
        <f>IF(ISNUMBER(K2026),K2026-O2026,"n.a.")</f>
        <v/>
      </c>
    </row>
    <row r="2027" ht="32" customHeight="1">
      <c r="C2027" s="10" t="inlineStr">
        <is>
          <t>PRJ-39e5492e-RK-13</t>
        </is>
      </c>
      <c r="D2027" s="10" t="inlineStr">
        <is>
          <t>W4102504973</t>
        </is>
      </c>
      <c r="E2027" s="11" t="inlineStr">
        <is>
          <t>Lärm- und Erschütterungsauflagen</t>
        </is>
      </c>
      <c r="F2027" s="10" t="inlineStr">
        <is>
          <t>Emissionen</t>
        </is>
      </c>
      <c r="G2027" s="12" t="n">
        <v>0.2</v>
      </c>
      <c r="H2027" s="13" t="n">
        <v>237</v>
      </c>
      <c r="I2027" s="13" t="n">
        <v>592</v>
      </c>
      <c r="J2027" s="13" t="n">
        <v>1183</v>
      </c>
      <c r="K2027" s="14">
        <f>IF(OR(COUNT(G2027:J2027)&lt;&gt;4,G2027&lt;0,G2027&gt;1,H2027&gt;I2027,I2027&gt;J2027),"n.a.",ROUND(G2027*(H2027+4*I2027+J2027)/6+0.00000001,2))</f>
        <v/>
      </c>
      <c r="L2027" s="13" t="n">
        <v>0</v>
      </c>
      <c r="M2027" s="14">
        <f>SUMIFS(Maßnahmen!$I$7:$I$126,Maßnahmen!$D$7:$D$126,C2027,Maßnahmen!$H$7:$H$126,"&lt;&gt;verworfen")</f>
        <v/>
      </c>
      <c r="N2027" s="14">
        <f>IF(ISNUMBER(K2027),MAX(0,K2027-L2027-M2027),"n.a.")</f>
        <v/>
      </c>
      <c r="O2027" s="14" t="n">
        <v>126.27</v>
      </c>
      <c r="P2027" s="14">
        <f>IF(ISNUMBER(K2027),K2027-O2027,"n.a.")</f>
        <v/>
      </c>
    </row>
    <row r="2028" ht="32" customHeight="1">
      <c r="C2028" s="10" t="inlineStr">
        <is>
          <t>PRJ-39e5492e-RK-14</t>
        </is>
      </c>
      <c r="D2028" s="10" t="inlineStr">
        <is>
          <t>W4102504973</t>
        </is>
      </c>
      <c r="E2028" s="11" t="inlineStr">
        <is>
          <t>Rechtliche Auflagen / Entsorgungsnachweise (Formalismus)</t>
        </is>
      </c>
      <c r="F2028" s="10" t="inlineStr">
        <is>
          <t>Genehmigung</t>
        </is>
      </c>
      <c r="G2028" s="12" t="n">
        <v>0.4</v>
      </c>
      <c r="H2028" s="13" t="n">
        <v>1124</v>
      </c>
      <c r="I2028" s="13" t="n">
        <v>2189</v>
      </c>
      <c r="J2028" s="13" t="n">
        <v>4142</v>
      </c>
      <c r="K2028" s="14">
        <f>IF(OR(COUNT(G2028:J2028)&lt;&gt;4,G2028&lt;0,G2028&gt;1,H2028&gt;I2028,I2028&gt;J2028),"n.a.",ROUND(G2028*(H2028+4*I2028+J2028)/6+0.00000001,2))</f>
        <v/>
      </c>
      <c r="L2028" s="13" t="n">
        <v>0</v>
      </c>
      <c r="M2028" s="14">
        <f>SUMIFS(Maßnahmen!$I$7:$I$126,Maßnahmen!$D$7:$D$126,C2028,Maßnahmen!$H$7:$H$126,"&lt;&gt;verworfen")</f>
        <v/>
      </c>
      <c r="N2028" s="14">
        <f>IF(ISNUMBER(K2028),MAX(0,K2028-L2028-M2028),"n.a.")</f>
        <v/>
      </c>
      <c r="O2028" s="14" t="n">
        <v>934.8</v>
      </c>
      <c r="P2028" s="14">
        <f>IF(ISNUMBER(K2028),K2028-O2028,"n.a.")</f>
        <v/>
      </c>
    </row>
    <row r="2029" ht="32" customHeight="1">
      <c r="C2029" s="10" t="inlineStr">
        <is>
          <t>PRJ-39e5492e-RK-15</t>
        </is>
      </c>
      <c r="D2029" s="10" t="inlineStr">
        <is>
          <t>W4102504973</t>
        </is>
      </c>
      <c r="E2029" s="11" t="inlineStr">
        <is>
          <t>Konjunktur / Sekundärstoffpreise &amp; Gerätemiete</t>
        </is>
      </c>
      <c r="F2029" s="10" t="inlineStr">
        <is>
          <t>Markt</t>
        </is>
      </c>
      <c r="G2029" s="12" t="n">
        <v>0.12</v>
      </c>
      <c r="H2029" s="13" t="n">
        <v>95</v>
      </c>
      <c r="I2029" s="13" t="n">
        <v>237</v>
      </c>
      <c r="J2029" s="13" t="n">
        <v>592</v>
      </c>
      <c r="K2029" s="14">
        <f>IF(OR(COUNT(G2029:J2029)&lt;&gt;4,G2029&lt;0,G2029&gt;1,H2029&gt;I2029,I2029&gt;J2029),"n.a.",ROUND(G2029*(H2029+4*I2029+J2029)/6+0.00000001,2))</f>
        <v/>
      </c>
      <c r="L2029" s="13" t="n">
        <v>0</v>
      </c>
      <c r="M2029" s="14">
        <f>SUMIFS(Maßnahmen!$I$7:$I$126,Maßnahmen!$D$7:$D$126,C2029,Maßnahmen!$H$7:$H$126,"&lt;&gt;verworfen")</f>
        <v/>
      </c>
      <c r="N2029" s="14">
        <f>IF(ISNUMBER(K2029),MAX(0,K2029-L2029-M2029),"n.a.")</f>
        <v/>
      </c>
      <c r="O2029" s="14" t="n">
        <v>32.7</v>
      </c>
      <c r="P2029" s="14">
        <f>IF(ISNUMBER(K2029),K2029-O2029,"n.a.")</f>
        <v/>
      </c>
    </row>
    <row r="2030" ht="32" customHeight="1">
      <c r="C2030" s="10" t="inlineStr">
        <is>
          <t>PRJ-39e5492d-RK-01</t>
        </is>
      </c>
      <c r="D2030" s="10" t="inlineStr">
        <is>
          <t>W4102504974</t>
        </is>
      </c>
      <c r="E2030" s="11" t="inlineStr">
        <is>
          <t>Schadstofffund / Schadstoffsanierung (Asbest, PAK, PCB, PCP)</t>
        </is>
      </c>
      <c r="F2030" s="10" t="inlineStr">
        <is>
          <t>Schadstoffe</t>
        </is>
      </c>
      <c r="G2030" s="12" t="n">
        <v>0.1</v>
      </c>
      <c r="H2030" s="13" t="n">
        <v>209</v>
      </c>
      <c r="I2030" s="13" t="n">
        <v>522</v>
      </c>
      <c r="J2030" s="13" t="n">
        <v>1045</v>
      </c>
      <c r="K2030" s="14">
        <f>IF(OR(COUNT(G2030:J2030)&lt;&gt;4,G2030&lt;0,G2030&gt;1,H2030&gt;I2030,I2030&gt;J2030),"n.a.",ROUND(G2030*(H2030+4*I2030+J2030)/6+0.00000001,2))</f>
        <v/>
      </c>
      <c r="L2030" s="13" t="n">
        <v>0</v>
      </c>
      <c r="M2030" s="14">
        <f>SUMIFS(Maßnahmen!$I$7:$I$126,Maßnahmen!$D$7:$D$126,C2030,Maßnahmen!$H$7:$H$126,"&lt;&gt;verworfen")</f>
        <v/>
      </c>
      <c r="N2030" s="14">
        <f>IF(ISNUMBER(K2030),MAX(0,K2030-L2030-M2030),"n.a.")</f>
        <v/>
      </c>
      <c r="O2030" s="14" t="n">
        <v>55.7</v>
      </c>
      <c r="P2030" s="14">
        <f>IF(ISNUMBER(K2030),K2030-O2030,"n.a.")</f>
        <v/>
      </c>
    </row>
    <row r="2031" ht="32" customHeight="1">
      <c r="C2031" s="10" t="inlineStr">
        <is>
          <t>PRJ-39e5492d-RK-02</t>
        </is>
      </c>
      <c r="D2031" s="10" t="inlineStr">
        <is>
          <t>W4102504974</t>
        </is>
      </c>
      <c r="E2031" s="11" t="inlineStr">
        <is>
          <t>Arbeitsschutz kontaminierte Bereiche (TRGS 524)</t>
        </is>
      </c>
      <c r="F2031" s="10" t="inlineStr">
        <is>
          <t>Schadstoffe</t>
        </is>
      </c>
      <c r="G2031" s="12" t="n">
        <v>0.47</v>
      </c>
      <c r="H2031" s="13" t="n">
        <v>209</v>
      </c>
      <c r="I2031" s="13" t="n">
        <v>522</v>
      </c>
      <c r="J2031" s="13" t="n">
        <v>1045</v>
      </c>
      <c r="K2031" s="14">
        <f>IF(OR(COUNT(G2031:J2031)&lt;&gt;4,G2031&lt;0,G2031&gt;1,H2031&gt;I2031,I2031&gt;J2031),"n.a.",ROUND(G2031*(H2031+4*I2031+J2031)/6+0.00000001,2))</f>
        <v/>
      </c>
      <c r="L2031" s="13" t="n">
        <v>0</v>
      </c>
      <c r="M2031" s="14">
        <f>SUMIFS(Maßnahmen!$I$7:$I$126,Maßnahmen!$D$7:$D$126,C2031,Maßnahmen!$H$7:$H$126,"&lt;&gt;verworfen")</f>
        <v/>
      </c>
      <c r="N2031" s="14">
        <f>IF(ISNUMBER(K2031),MAX(0,K2031-L2031-M2031),"n.a.")</f>
        <v/>
      </c>
      <c r="O2031" s="14" t="n">
        <v>261.79</v>
      </c>
      <c r="P2031" s="14">
        <f>IF(ISNUMBER(K2031),K2031-O2031,"n.a.")</f>
        <v/>
      </c>
    </row>
    <row r="2032" ht="32" customHeight="1">
      <c r="C2032" s="10" t="inlineStr">
        <is>
          <t>PRJ-39e5492d-RK-03</t>
        </is>
      </c>
      <c r="D2032" s="10" t="inlineStr">
        <is>
          <t>W4102504974</t>
        </is>
      </c>
      <c r="E2032" s="11" t="inlineStr">
        <is>
          <t>Entsorgungs-Mehrkosten / Entsorgungswege</t>
        </is>
      </c>
      <c r="F2032" s="10" t="inlineStr">
        <is>
          <t>Entsorgung</t>
        </is>
      </c>
      <c r="G2032" s="12" t="n">
        <v>0.15</v>
      </c>
      <c r="H2032" s="13" t="n">
        <v>209</v>
      </c>
      <c r="I2032" s="13" t="n">
        <v>522</v>
      </c>
      <c r="J2032" s="13" t="n">
        <v>1045</v>
      </c>
      <c r="K2032" s="14">
        <f>IF(OR(COUNT(G2032:J2032)&lt;&gt;4,G2032&lt;0,G2032&gt;1,H2032&gt;I2032,I2032&gt;J2032),"n.a.",ROUND(G2032*(H2032+4*I2032+J2032)/6+0.00000001,2))</f>
        <v/>
      </c>
      <c r="L2032" s="13" t="n">
        <v>0</v>
      </c>
      <c r="M2032" s="14">
        <f>SUMIFS(Maßnahmen!$I$7:$I$126,Maßnahmen!$D$7:$D$126,C2032,Maßnahmen!$H$7:$H$126,"&lt;&gt;verworfen")</f>
        <v/>
      </c>
      <c r="N2032" s="14">
        <f>IF(ISNUMBER(K2032),MAX(0,K2032-L2032-M2032),"n.a.")</f>
        <v/>
      </c>
      <c r="O2032" s="14" t="n">
        <v>83.55</v>
      </c>
      <c r="P2032" s="14">
        <f>IF(ISNUMBER(K2032),K2032-O2032,"n.a.")</f>
        <v/>
      </c>
    </row>
    <row r="2033" ht="32" customHeight="1">
      <c r="C2033" s="10" t="inlineStr">
        <is>
          <t>PRJ-39e5492d-RK-04</t>
        </is>
      </c>
      <c r="D2033" s="10" t="inlineStr">
        <is>
          <t>W4102504974</t>
        </is>
      </c>
      <c r="E2033" s="11" t="inlineStr">
        <is>
          <t>Baustofftrennung / Aufbereitung nicht wie geplant</t>
        </is>
      </c>
      <c r="F2033" s="10" t="inlineStr">
        <is>
          <t>Entsorgung</t>
        </is>
      </c>
      <c r="G2033" s="12" t="n">
        <v>0.1</v>
      </c>
      <c r="H2033" s="13" t="n">
        <v>209</v>
      </c>
      <c r="I2033" s="13" t="n">
        <v>522</v>
      </c>
      <c r="J2033" s="13" t="n">
        <v>1045</v>
      </c>
      <c r="K2033" s="14">
        <f>IF(OR(COUNT(G2033:J2033)&lt;&gt;4,G2033&lt;0,G2033&gt;1,H2033&gt;I2033,I2033&gt;J2033),"n.a.",ROUND(G2033*(H2033+4*I2033+J2033)/6+0.00000001,2))</f>
        <v/>
      </c>
      <c r="L2033" s="13" t="n">
        <v>0</v>
      </c>
      <c r="M2033" s="14">
        <f>SUMIFS(Maßnahmen!$I$7:$I$126,Maßnahmen!$D$7:$D$126,C2033,Maßnahmen!$H$7:$H$126,"&lt;&gt;verworfen")</f>
        <v/>
      </c>
      <c r="N2033" s="14">
        <f>IF(ISNUMBER(K2033),MAX(0,K2033-L2033-M2033),"n.a.")</f>
        <v/>
      </c>
      <c r="O2033" s="14" t="n">
        <v>55.7</v>
      </c>
      <c r="P2033" s="14">
        <f>IF(ISNUMBER(K2033),K2033-O2033,"n.a.")</f>
        <v/>
      </c>
    </row>
    <row r="2034" ht="32" customHeight="1">
      <c r="C2034" s="10" t="inlineStr">
        <is>
          <t>PRJ-39e5492d-RK-05</t>
        </is>
      </c>
      <c r="D2034" s="10" t="inlineStr">
        <is>
          <t>W4102504974</t>
        </is>
      </c>
      <c r="E2034" s="11" t="inlineStr">
        <is>
          <t>Unbekannte Bauwerkskonstruktion / fehlende Pläne</t>
        </is>
      </c>
      <c r="F2034" s="10" t="inlineStr">
        <is>
          <t>Statik</t>
        </is>
      </c>
      <c r="G2034" s="12" t="n">
        <v>0.12</v>
      </c>
      <c r="H2034" s="13" t="n">
        <v>418</v>
      </c>
      <c r="I2034" s="13" t="n">
        <v>836</v>
      </c>
      <c r="J2034" s="13" t="n">
        <v>1567</v>
      </c>
      <c r="K2034" s="14">
        <f>IF(OR(COUNT(G2034:J2034)&lt;&gt;4,G2034&lt;0,G2034&gt;1,H2034&gt;I2034,I2034&gt;J2034),"n.a.",ROUND(G2034*(H2034+4*I2034+J2034)/6+0.00000001,2))</f>
        <v/>
      </c>
      <c r="L2034" s="13" t="n">
        <v>0</v>
      </c>
      <c r="M2034" s="14">
        <f>SUMIFS(Maßnahmen!$I$7:$I$126,Maßnahmen!$D$7:$D$126,C2034,Maßnahmen!$H$7:$H$126,"&lt;&gt;verworfen")</f>
        <v/>
      </c>
      <c r="N2034" s="14">
        <f>IF(ISNUMBER(K2034),MAX(0,K2034-L2034-M2034),"n.a.")</f>
        <v/>
      </c>
      <c r="O2034" s="14" t="n">
        <v>106.58</v>
      </c>
      <c r="P2034" s="14">
        <f>IF(ISNUMBER(K2034),K2034-O2034,"n.a.")</f>
        <v/>
      </c>
    </row>
    <row r="2035" ht="32" customHeight="1">
      <c r="C2035" s="10" t="inlineStr">
        <is>
          <t>PRJ-39e5492d-RK-06</t>
        </is>
      </c>
      <c r="D2035" s="10" t="inlineStr">
        <is>
          <t>W4102504974</t>
        </is>
      </c>
      <c r="E2035" s="11" t="inlineStr">
        <is>
          <t>Statik / Einsturzsicherung während Abbruch</t>
        </is>
      </c>
      <c r="F2035" s="10" t="inlineStr">
        <is>
          <t>Statik</t>
        </is>
      </c>
      <c r="G2035" s="12" t="n">
        <v>0.12</v>
      </c>
      <c r="H2035" s="13" t="n">
        <v>313</v>
      </c>
      <c r="I2035" s="13" t="n">
        <v>731</v>
      </c>
      <c r="J2035" s="13" t="n">
        <v>1462</v>
      </c>
      <c r="K2035" s="14">
        <f>IF(OR(COUNT(G2035:J2035)&lt;&gt;4,G2035&lt;0,G2035&gt;1,H2035&gt;I2035,I2035&gt;J2035),"n.a.",ROUND(G2035*(H2035+4*I2035+J2035)/6+0.00000001,2))</f>
        <v/>
      </c>
      <c r="L2035" s="13" t="n">
        <v>0</v>
      </c>
      <c r="M2035" s="14">
        <f>SUMIFS(Maßnahmen!$I$7:$I$126,Maßnahmen!$D$7:$D$126,C2035,Maßnahmen!$H$7:$H$126,"&lt;&gt;verworfen")</f>
        <v/>
      </c>
      <c r="N2035" s="14">
        <f>IF(ISNUMBER(K2035),MAX(0,K2035-L2035-M2035),"n.a.")</f>
        <v/>
      </c>
      <c r="O2035" s="14" t="n">
        <v>93.98</v>
      </c>
      <c r="P2035" s="14">
        <f>IF(ISNUMBER(K2035),K2035-O2035,"n.a.")</f>
        <v/>
      </c>
    </row>
    <row r="2036" ht="32" customHeight="1">
      <c r="C2036" s="10" t="inlineStr">
        <is>
          <t>PRJ-39e5492d-RK-07</t>
        </is>
      </c>
      <c r="D2036" s="10" t="inlineStr">
        <is>
          <t>W4102504974</t>
        </is>
      </c>
      <c r="E2036" s="11" t="inlineStr">
        <is>
          <t>Unterirdische Tragkonstruktion / Fundamente</t>
        </is>
      </c>
      <c r="F2036" s="10" t="inlineStr">
        <is>
          <t>Statik</t>
        </is>
      </c>
      <c r="G2036" s="12" t="n">
        <v>0.5</v>
      </c>
      <c r="H2036" s="13" t="n">
        <v>52</v>
      </c>
      <c r="I2036" s="13" t="n">
        <v>209</v>
      </c>
      <c r="J2036" s="13" t="n">
        <v>522</v>
      </c>
      <c r="K2036" s="14">
        <f>IF(OR(COUNT(G2036:J2036)&lt;&gt;4,G2036&lt;0,G2036&gt;1,H2036&gt;I2036,I2036&gt;J2036),"n.a.",ROUND(G2036*(H2036+4*I2036+J2036)/6+0.00000001,2))</f>
        <v/>
      </c>
      <c r="L2036" s="13" t="n">
        <v>0</v>
      </c>
      <c r="M2036" s="14">
        <f>SUMIFS(Maßnahmen!$I$7:$I$126,Maßnahmen!$D$7:$D$126,C2036,Maßnahmen!$H$7:$H$126,"&lt;&gt;verworfen")</f>
        <v/>
      </c>
      <c r="N2036" s="14">
        <f>IF(ISNUMBER(K2036),MAX(0,K2036-L2036-M2036),"n.a.")</f>
        <v/>
      </c>
      <c r="O2036" s="14" t="n">
        <v>117.5</v>
      </c>
      <c r="P2036" s="14">
        <f>IF(ISNUMBER(K2036),K2036-O2036,"n.a.")</f>
        <v/>
      </c>
    </row>
    <row r="2037" ht="32" customHeight="1">
      <c r="C2037" s="10" t="inlineStr">
        <is>
          <t>PRJ-39e5492d-RK-08</t>
        </is>
      </c>
      <c r="D2037" s="10" t="inlineStr">
        <is>
          <t>W4102504974</t>
        </is>
      </c>
      <c r="E2037" s="11" t="inlineStr">
        <is>
          <t>Gebäudehöhe &gt;22 m / Longfront-Bagger (+130–150 %)</t>
        </is>
      </c>
      <c r="F2037" s="10" t="inlineStr">
        <is>
          <t>Termin</t>
        </is>
      </c>
      <c r="G2037" s="12" t="n">
        <v>0.6</v>
      </c>
      <c r="H2037" s="13" t="n">
        <v>940</v>
      </c>
      <c r="I2037" s="13" t="n">
        <v>1880</v>
      </c>
      <c r="J2037" s="13" t="n">
        <v>3552</v>
      </c>
      <c r="K2037" s="14">
        <f>IF(OR(COUNT(G2037:J2037)&lt;&gt;4,G2037&lt;0,G2037&gt;1,H2037&gt;I2037,I2037&gt;J2037),"n.a.",ROUND(G2037*(H2037+4*I2037+J2037)/6+0.00000001,2))</f>
        <v/>
      </c>
      <c r="L2037" s="13" t="n">
        <v>0</v>
      </c>
      <c r="M2037" s="14">
        <f>SUMIFS(Maßnahmen!$I$7:$I$126,Maßnahmen!$D$7:$D$126,C2037,Maßnahmen!$H$7:$H$126,"&lt;&gt;verworfen")</f>
        <v/>
      </c>
      <c r="N2037" s="14">
        <f>IF(ISNUMBER(K2037),MAX(0,K2037-L2037-M2037),"n.a.")</f>
        <v/>
      </c>
      <c r="O2037" s="14" t="n">
        <v>1201.2</v>
      </c>
      <c r="P2037" s="14">
        <f>IF(ISNUMBER(K2037),K2037-O2037,"n.a.")</f>
        <v/>
      </c>
    </row>
    <row r="2038" ht="32" customHeight="1">
      <c r="C2038" s="10" t="inlineStr">
        <is>
          <t>PRJ-39e5492d-RK-09</t>
        </is>
      </c>
      <c r="D2038" s="10" t="inlineStr">
        <is>
          <t>W4102504974</t>
        </is>
      </c>
      <c r="E2038" s="11" t="inlineStr">
        <is>
          <t>Beennte Lage / nur Handabbruch möglich</t>
        </is>
      </c>
      <c r="F2038" s="10" t="inlineStr">
        <is>
          <t>Termin</t>
        </is>
      </c>
      <c r="G2038" s="12" t="n">
        <v>0.15</v>
      </c>
      <c r="H2038" s="13" t="n">
        <v>84</v>
      </c>
      <c r="I2038" s="13" t="n">
        <v>209</v>
      </c>
      <c r="J2038" s="13" t="n">
        <v>522</v>
      </c>
      <c r="K2038" s="14">
        <f>IF(OR(COUNT(G2038:J2038)&lt;&gt;4,G2038&lt;0,G2038&gt;1,H2038&gt;I2038,I2038&gt;J2038),"n.a.",ROUND(G2038*(H2038+4*I2038+J2038)/6+0.00000001,2))</f>
        <v/>
      </c>
      <c r="L2038" s="13" t="n">
        <v>0</v>
      </c>
      <c r="M2038" s="14">
        <f>SUMIFS(Maßnahmen!$I$7:$I$126,Maßnahmen!$D$7:$D$126,C2038,Maßnahmen!$H$7:$H$126,"&lt;&gt;verworfen")</f>
        <v/>
      </c>
      <c r="N2038" s="14">
        <f>IF(ISNUMBER(K2038),MAX(0,K2038-L2038-M2038),"n.a.")</f>
        <v/>
      </c>
      <c r="O2038" s="14" t="n">
        <v>36.05</v>
      </c>
      <c r="P2038" s="14">
        <f>IF(ISNUMBER(K2038),K2038-O2038,"n.a.")</f>
        <v/>
      </c>
    </row>
    <row r="2039" ht="32" customHeight="1">
      <c r="C2039" s="10" t="inlineStr">
        <is>
          <t>PRJ-39e5492d-RK-10</t>
        </is>
      </c>
      <c r="D2039" s="10" t="inlineStr">
        <is>
          <t>W4102504974</t>
        </is>
      </c>
      <c r="E2039" s="11" t="inlineStr">
        <is>
          <t>Terminvorgabe Auftraggeber / Geräteauslastung</t>
        </is>
      </c>
      <c r="F2039" s="10" t="inlineStr">
        <is>
          <t>Termin</t>
        </is>
      </c>
      <c r="G2039" s="12" t="n">
        <v>0.1</v>
      </c>
      <c r="H2039" s="13" t="n">
        <v>84</v>
      </c>
      <c r="I2039" s="13" t="n">
        <v>209</v>
      </c>
      <c r="J2039" s="13" t="n">
        <v>522</v>
      </c>
      <c r="K2039" s="14">
        <f>IF(OR(COUNT(G2039:J2039)&lt;&gt;4,G2039&lt;0,G2039&gt;1,H2039&gt;I2039,I2039&gt;J2039),"n.a.",ROUND(G2039*(H2039+4*I2039+J2039)/6+0.00000001,2))</f>
        <v/>
      </c>
      <c r="L2039" s="13" t="n">
        <v>0</v>
      </c>
      <c r="M2039" s="14">
        <f>SUMIFS(Maßnahmen!$I$7:$I$126,Maßnahmen!$D$7:$D$126,C2039,Maßnahmen!$H$7:$H$126,"&lt;&gt;verworfen")</f>
        <v/>
      </c>
      <c r="N2039" s="14">
        <f>IF(ISNUMBER(K2039),MAX(0,K2039-L2039-M2039),"n.a.")</f>
        <v/>
      </c>
      <c r="O2039" s="14" t="n">
        <v>24.03</v>
      </c>
      <c r="P2039" s="14">
        <f>IF(ISNUMBER(K2039),K2039-O2039,"n.a.")</f>
        <v/>
      </c>
    </row>
    <row r="2040" ht="32" customHeight="1">
      <c r="C2040" s="10" t="inlineStr">
        <is>
          <t>PRJ-39e5492d-RK-11</t>
        </is>
      </c>
      <c r="D2040" s="10" t="inlineStr">
        <is>
          <t>W4102504974</t>
        </is>
      </c>
      <c r="E2040" s="11" t="inlineStr">
        <is>
          <t>Witterung / Ablaufstörung</t>
        </is>
      </c>
      <c r="F2040" s="10" t="inlineStr">
        <is>
          <t>Termin</t>
        </is>
      </c>
      <c r="G2040" s="12" t="n">
        <v>0.25</v>
      </c>
      <c r="H2040" s="13" t="n">
        <v>104</v>
      </c>
      <c r="I2040" s="13" t="n">
        <v>313</v>
      </c>
      <c r="J2040" s="13" t="n">
        <v>627</v>
      </c>
      <c r="K2040" s="14">
        <f>IF(OR(COUNT(G2040:J2040)&lt;&gt;4,G2040&lt;0,G2040&gt;1,H2040&gt;I2040,I2040&gt;J2040),"n.a.",ROUND(G2040*(H2040+4*I2040+J2040)/6+0.00000001,2))</f>
        <v/>
      </c>
      <c r="L2040" s="13" t="n">
        <v>0</v>
      </c>
      <c r="M2040" s="14">
        <f>SUMIFS(Maßnahmen!$I$7:$I$126,Maßnahmen!$D$7:$D$126,C2040,Maßnahmen!$H$7:$H$126,"&lt;&gt;verworfen")</f>
        <v/>
      </c>
      <c r="N2040" s="14">
        <f>IF(ISNUMBER(K2040),MAX(0,K2040-L2040-M2040),"n.a.")</f>
        <v/>
      </c>
      <c r="O2040" s="14" t="n">
        <v>82.63</v>
      </c>
      <c r="P2040" s="14">
        <f>IF(ISNUMBER(K2040),K2040-O2040,"n.a.")</f>
        <v/>
      </c>
    </row>
    <row r="2041" ht="32" customHeight="1">
      <c r="C2041" s="10" t="inlineStr">
        <is>
          <t>PRJ-39e5492d-RK-12</t>
        </is>
      </c>
      <c r="D2041" s="10" t="inlineStr">
        <is>
          <t>W4102504974</t>
        </is>
      </c>
      <c r="E2041" s="11" t="inlineStr">
        <is>
          <t>Staubemissionen (höchster Aufwand laut Umfrage)</t>
        </is>
      </c>
      <c r="F2041" s="10" t="inlineStr">
        <is>
          <t>Emissionen</t>
        </is>
      </c>
      <c r="G2041" s="12" t="n">
        <v>0.1</v>
      </c>
      <c r="H2041" s="13" t="n">
        <v>313</v>
      </c>
      <c r="I2041" s="13" t="n">
        <v>627</v>
      </c>
      <c r="J2041" s="13" t="n">
        <v>1254</v>
      </c>
      <c r="K2041" s="14">
        <f>IF(OR(COUNT(G2041:J2041)&lt;&gt;4,G2041&lt;0,G2041&gt;1,H2041&gt;I2041,I2041&gt;J2041),"n.a.",ROUND(G2041*(H2041+4*I2041+J2041)/6+0.00000001,2))</f>
        <v/>
      </c>
      <c r="L2041" s="13" t="n">
        <v>0</v>
      </c>
      <c r="M2041" s="14">
        <f>SUMIFS(Maßnahmen!$I$7:$I$126,Maßnahmen!$D$7:$D$126,C2041,Maßnahmen!$H$7:$H$126,"&lt;&gt;verworfen")</f>
        <v/>
      </c>
      <c r="N2041" s="14">
        <f>IF(ISNUMBER(K2041),MAX(0,K2041-L2041-M2041),"n.a.")</f>
        <v/>
      </c>
      <c r="O2041" s="14" t="n">
        <v>67.92</v>
      </c>
      <c r="P2041" s="14">
        <f>IF(ISNUMBER(K2041),K2041-O2041,"n.a.")</f>
        <v/>
      </c>
    </row>
    <row r="2042" ht="32" customHeight="1">
      <c r="C2042" s="10" t="inlineStr">
        <is>
          <t>PRJ-39e5492d-RK-13</t>
        </is>
      </c>
      <c r="D2042" s="10" t="inlineStr">
        <is>
          <t>W4102504974</t>
        </is>
      </c>
      <c r="E2042" s="11" t="inlineStr">
        <is>
          <t>Lärm- und Erschütterungsauflagen</t>
        </is>
      </c>
      <c r="F2042" s="10" t="inlineStr">
        <is>
          <t>Emissionen</t>
        </is>
      </c>
      <c r="G2042" s="12" t="n">
        <v>0.2</v>
      </c>
      <c r="H2042" s="13" t="n">
        <v>209</v>
      </c>
      <c r="I2042" s="13" t="n">
        <v>522</v>
      </c>
      <c r="J2042" s="13" t="n">
        <v>1045</v>
      </c>
      <c r="K2042" s="14">
        <f>IF(OR(COUNT(G2042:J2042)&lt;&gt;4,G2042&lt;0,G2042&gt;1,H2042&gt;I2042,I2042&gt;J2042),"n.a.",ROUND(G2042*(H2042+4*I2042+J2042)/6+0.00000001,2))</f>
        <v/>
      </c>
      <c r="L2042" s="13" t="n">
        <v>0</v>
      </c>
      <c r="M2042" s="14">
        <f>SUMIFS(Maßnahmen!$I$7:$I$126,Maßnahmen!$D$7:$D$126,C2042,Maßnahmen!$H$7:$H$126,"&lt;&gt;verworfen")</f>
        <v/>
      </c>
      <c r="N2042" s="14">
        <f>IF(ISNUMBER(K2042),MAX(0,K2042-L2042-M2042),"n.a.")</f>
        <v/>
      </c>
      <c r="O2042" s="14" t="n">
        <v>111.4</v>
      </c>
      <c r="P2042" s="14">
        <f>IF(ISNUMBER(K2042),K2042-O2042,"n.a.")</f>
        <v/>
      </c>
    </row>
    <row r="2043" ht="32" customHeight="1">
      <c r="C2043" s="10" t="inlineStr">
        <is>
          <t>PRJ-39e5492d-RK-14</t>
        </is>
      </c>
      <c r="D2043" s="10" t="inlineStr">
        <is>
          <t>W4102504974</t>
        </is>
      </c>
      <c r="E2043" s="11" t="inlineStr">
        <is>
          <t>Rechtliche Auflagen / Entsorgungsnachweise (Formalismus)</t>
        </is>
      </c>
      <c r="F2043" s="10" t="inlineStr">
        <is>
          <t>Genehmigung</t>
        </is>
      </c>
      <c r="G2043" s="12" t="n">
        <v>0.4</v>
      </c>
      <c r="H2043" s="13" t="n">
        <v>992</v>
      </c>
      <c r="I2043" s="13" t="n">
        <v>1932</v>
      </c>
      <c r="J2043" s="13" t="n">
        <v>3656</v>
      </c>
      <c r="K2043" s="14">
        <f>IF(OR(COUNT(G2043:J2043)&lt;&gt;4,G2043&lt;0,G2043&gt;1,H2043&gt;I2043,I2043&gt;J2043),"n.a.",ROUND(G2043*(H2043+4*I2043+J2043)/6+0.00000001,2))</f>
        <v/>
      </c>
      <c r="L2043" s="13" t="n">
        <v>0</v>
      </c>
      <c r="M2043" s="14">
        <f>SUMIFS(Maßnahmen!$I$7:$I$126,Maßnahmen!$D$7:$D$126,C2043,Maßnahmen!$H$7:$H$126,"&lt;&gt;verworfen")</f>
        <v/>
      </c>
      <c r="N2043" s="14">
        <f>IF(ISNUMBER(K2043),MAX(0,K2043-L2043-M2043),"n.a.")</f>
        <v/>
      </c>
      <c r="O2043" s="14" t="n">
        <v>825.0700000000001</v>
      </c>
      <c r="P2043" s="14">
        <f>IF(ISNUMBER(K2043),K2043-O2043,"n.a.")</f>
        <v/>
      </c>
    </row>
    <row r="2044" ht="32" customHeight="1">
      <c r="C2044" s="10" t="inlineStr">
        <is>
          <t>PRJ-39e5492d-RK-15</t>
        </is>
      </c>
      <c r="D2044" s="10" t="inlineStr">
        <is>
          <t>W4102504974</t>
        </is>
      </c>
      <c r="E2044" s="11" t="inlineStr">
        <is>
          <t>Konjunktur / Sekundärstoffpreise &amp; Gerätemiete</t>
        </is>
      </c>
      <c r="F2044" s="10" t="inlineStr">
        <is>
          <t>Markt</t>
        </is>
      </c>
      <c r="G2044" s="12" t="n">
        <v>0.12</v>
      </c>
      <c r="H2044" s="13" t="n">
        <v>84</v>
      </c>
      <c r="I2044" s="13" t="n">
        <v>209</v>
      </c>
      <c r="J2044" s="13" t="n">
        <v>522</v>
      </c>
      <c r="K2044" s="14">
        <f>IF(OR(COUNT(G2044:J2044)&lt;&gt;4,G2044&lt;0,G2044&gt;1,H2044&gt;I2044,I2044&gt;J2044),"n.a.",ROUND(G2044*(H2044+4*I2044+J2044)/6+0.00000001,2))</f>
        <v/>
      </c>
      <c r="L2044" s="13" t="n">
        <v>0</v>
      </c>
      <c r="M2044" s="14">
        <f>SUMIFS(Maßnahmen!$I$7:$I$126,Maßnahmen!$D$7:$D$126,C2044,Maßnahmen!$H$7:$H$126,"&lt;&gt;verworfen")</f>
        <v/>
      </c>
      <c r="N2044" s="14">
        <f>IF(ISNUMBER(K2044),MAX(0,K2044-L2044-M2044),"n.a.")</f>
        <v/>
      </c>
      <c r="O2044" s="14" t="n">
        <v>28.84</v>
      </c>
      <c r="P2044" s="14">
        <f>IF(ISNUMBER(K2044),K2044-O2044,"n.a.")</f>
        <v/>
      </c>
    </row>
    <row r="2045" ht="32" customHeight="1">
      <c r="C2045" s="10" t="inlineStr">
        <is>
          <t>PRJ-39e5492b-RK-01</t>
        </is>
      </c>
      <c r="D2045" s="10" t="inlineStr">
        <is>
          <t>W4102504976</t>
        </is>
      </c>
      <c r="E2045" s="11" t="inlineStr">
        <is>
          <t>Schadstofffund / Schadstoffsanierung (Asbest, PAK, PCB, PCP)</t>
        </is>
      </c>
      <c r="F2045" s="10" t="inlineStr">
        <is>
          <t>Schadstoffe</t>
        </is>
      </c>
      <c r="G2045" s="12" t="n">
        <v>0.1</v>
      </c>
      <c r="H2045" s="13" t="n">
        <v>82</v>
      </c>
      <c r="I2045" s="13" t="n">
        <v>204</v>
      </c>
      <c r="J2045" s="13" t="n">
        <v>408</v>
      </c>
      <c r="K2045" s="14">
        <f>IF(OR(COUNT(G2045:J2045)&lt;&gt;4,G2045&lt;0,G2045&gt;1,H2045&gt;I2045,I2045&gt;J2045),"n.a.",ROUND(G2045*(H2045+4*I2045+J2045)/6+0.00000001,2))</f>
        <v/>
      </c>
      <c r="L2045" s="13" t="n">
        <v>0</v>
      </c>
      <c r="M2045" s="14">
        <f>SUMIFS(Maßnahmen!$I$7:$I$126,Maßnahmen!$D$7:$D$126,C2045,Maßnahmen!$H$7:$H$126,"&lt;&gt;verworfen")</f>
        <v/>
      </c>
      <c r="N2045" s="14">
        <f>IF(ISNUMBER(K2045),MAX(0,K2045-L2045-M2045),"n.a.")</f>
        <v/>
      </c>
      <c r="O2045" s="14" t="n">
        <v>21.77</v>
      </c>
      <c r="P2045" s="14">
        <f>IF(ISNUMBER(K2045),K2045-O2045,"n.a.")</f>
        <v/>
      </c>
    </row>
    <row r="2046" ht="32" customHeight="1">
      <c r="C2046" s="10" t="inlineStr">
        <is>
          <t>PRJ-39e5492b-RK-02</t>
        </is>
      </c>
      <c r="D2046" s="10" t="inlineStr">
        <is>
          <t>W4102504976</t>
        </is>
      </c>
      <c r="E2046" s="11" t="inlineStr">
        <is>
          <t>Arbeitsschutz kontaminierte Bereiche (TRGS 524)</t>
        </is>
      </c>
      <c r="F2046" s="10" t="inlineStr">
        <is>
          <t>Schadstoffe</t>
        </is>
      </c>
      <c r="G2046" s="12" t="n">
        <v>0.47</v>
      </c>
      <c r="H2046" s="13" t="n">
        <v>82</v>
      </c>
      <c r="I2046" s="13" t="n">
        <v>204</v>
      </c>
      <c r="J2046" s="13" t="n">
        <v>408</v>
      </c>
      <c r="K2046" s="14">
        <f>IF(OR(COUNT(G2046:J2046)&lt;&gt;4,G2046&lt;0,G2046&gt;1,H2046&gt;I2046,I2046&gt;J2046),"n.a.",ROUND(G2046*(H2046+4*I2046+J2046)/6+0.00000001,2))</f>
        <v/>
      </c>
      <c r="L2046" s="13" t="n">
        <v>0</v>
      </c>
      <c r="M2046" s="14">
        <f>SUMIFS(Maßnahmen!$I$7:$I$126,Maßnahmen!$D$7:$D$126,C2046,Maßnahmen!$H$7:$H$126,"&lt;&gt;verworfen")</f>
        <v/>
      </c>
      <c r="N2046" s="14">
        <f>IF(ISNUMBER(K2046),MAX(0,K2046-L2046-M2046),"n.a.")</f>
        <v/>
      </c>
      <c r="O2046" s="14" t="n">
        <v>102.3</v>
      </c>
      <c r="P2046" s="14">
        <f>IF(ISNUMBER(K2046),K2046-O2046,"n.a.")</f>
        <v/>
      </c>
    </row>
    <row r="2047" ht="32" customHeight="1">
      <c r="C2047" s="10" t="inlineStr">
        <is>
          <t>PRJ-39e5492b-RK-03</t>
        </is>
      </c>
      <c r="D2047" s="10" t="inlineStr">
        <is>
          <t>W4102504976</t>
        </is>
      </c>
      <c r="E2047" s="11" t="inlineStr">
        <is>
          <t>Entsorgungs-Mehrkosten / Entsorgungswege</t>
        </is>
      </c>
      <c r="F2047" s="10" t="inlineStr">
        <is>
          <t>Entsorgung</t>
        </is>
      </c>
      <c r="G2047" s="12" t="n">
        <v>0.15</v>
      </c>
      <c r="H2047" s="13" t="n">
        <v>82</v>
      </c>
      <c r="I2047" s="13" t="n">
        <v>204</v>
      </c>
      <c r="J2047" s="13" t="n">
        <v>408</v>
      </c>
      <c r="K2047" s="14">
        <f>IF(OR(COUNT(G2047:J2047)&lt;&gt;4,G2047&lt;0,G2047&gt;1,H2047&gt;I2047,I2047&gt;J2047),"n.a.",ROUND(G2047*(H2047+4*I2047+J2047)/6+0.00000001,2))</f>
        <v/>
      </c>
      <c r="L2047" s="13" t="n">
        <v>0</v>
      </c>
      <c r="M2047" s="14">
        <f>SUMIFS(Maßnahmen!$I$7:$I$126,Maßnahmen!$D$7:$D$126,C2047,Maßnahmen!$H$7:$H$126,"&lt;&gt;verworfen")</f>
        <v/>
      </c>
      <c r="N2047" s="14">
        <f>IF(ISNUMBER(K2047),MAX(0,K2047-L2047-M2047),"n.a.")</f>
        <v/>
      </c>
      <c r="O2047" s="14" t="n">
        <v>32.65</v>
      </c>
      <c r="P2047" s="14">
        <f>IF(ISNUMBER(K2047),K2047-O2047,"n.a.")</f>
        <v/>
      </c>
    </row>
    <row r="2048" ht="32" customHeight="1">
      <c r="C2048" s="10" t="inlineStr">
        <is>
          <t>PRJ-39e5492b-RK-04</t>
        </is>
      </c>
      <c r="D2048" s="10" t="inlineStr">
        <is>
          <t>W4102504976</t>
        </is>
      </c>
      <c r="E2048" s="11" t="inlineStr">
        <is>
          <t>Baustofftrennung / Aufbereitung nicht wie geplant</t>
        </is>
      </c>
      <c r="F2048" s="10" t="inlineStr">
        <is>
          <t>Entsorgung</t>
        </is>
      </c>
      <c r="G2048" s="12" t="n">
        <v>0.1</v>
      </c>
      <c r="H2048" s="13" t="n">
        <v>82</v>
      </c>
      <c r="I2048" s="13" t="n">
        <v>204</v>
      </c>
      <c r="J2048" s="13" t="n">
        <v>408</v>
      </c>
      <c r="K2048" s="14">
        <f>IF(OR(COUNT(G2048:J2048)&lt;&gt;4,G2048&lt;0,G2048&gt;1,H2048&gt;I2048,I2048&gt;J2048),"n.a.",ROUND(G2048*(H2048+4*I2048+J2048)/6+0.00000001,2))</f>
        <v/>
      </c>
      <c r="L2048" s="13" t="n">
        <v>0</v>
      </c>
      <c r="M2048" s="14">
        <f>SUMIFS(Maßnahmen!$I$7:$I$126,Maßnahmen!$D$7:$D$126,C2048,Maßnahmen!$H$7:$H$126,"&lt;&gt;verworfen")</f>
        <v/>
      </c>
      <c r="N2048" s="14">
        <f>IF(ISNUMBER(K2048),MAX(0,K2048-L2048-M2048),"n.a.")</f>
        <v/>
      </c>
      <c r="O2048" s="14" t="n">
        <v>21.77</v>
      </c>
      <c r="P2048" s="14">
        <f>IF(ISNUMBER(K2048),K2048-O2048,"n.a.")</f>
        <v/>
      </c>
    </row>
    <row r="2049" ht="32" customHeight="1">
      <c r="C2049" s="10" t="inlineStr">
        <is>
          <t>PRJ-39e5492b-RK-05</t>
        </is>
      </c>
      <c r="D2049" s="10" t="inlineStr">
        <is>
          <t>W4102504976</t>
        </is>
      </c>
      <c r="E2049" s="11" t="inlineStr">
        <is>
          <t>Unbekannte Bauwerkskonstruktion / fehlende Pläne</t>
        </is>
      </c>
      <c r="F2049" s="10" t="inlineStr">
        <is>
          <t>Statik</t>
        </is>
      </c>
      <c r="G2049" s="12" t="n">
        <v>0.12</v>
      </c>
      <c r="H2049" s="13" t="n">
        <v>163</v>
      </c>
      <c r="I2049" s="13" t="n">
        <v>327</v>
      </c>
      <c r="J2049" s="13" t="n">
        <v>612</v>
      </c>
      <c r="K2049" s="14">
        <f>IF(OR(COUNT(G2049:J2049)&lt;&gt;4,G2049&lt;0,G2049&gt;1,H2049&gt;I2049,I2049&gt;J2049),"n.a.",ROUND(G2049*(H2049+4*I2049+J2049)/6+0.00000001,2))</f>
        <v/>
      </c>
      <c r="L2049" s="13" t="n">
        <v>0</v>
      </c>
      <c r="M2049" s="14">
        <f>SUMIFS(Maßnahmen!$I$7:$I$126,Maßnahmen!$D$7:$D$126,C2049,Maßnahmen!$H$7:$H$126,"&lt;&gt;verworfen")</f>
        <v/>
      </c>
      <c r="N2049" s="14">
        <f>IF(ISNUMBER(K2049),MAX(0,K2049-L2049-M2049),"n.a.")</f>
        <v/>
      </c>
      <c r="O2049" s="14" t="n">
        <v>41.66</v>
      </c>
      <c r="P2049" s="14">
        <f>IF(ISNUMBER(K2049),K2049-O2049,"n.a.")</f>
        <v/>
      </c>
    </row>
    <row r="2050" ht="32" customHeight="1">
      <c r="C2050" s="10" t="inlineStr">
        <is>
          <t>PRJ-39e5492b-RK-06</t>
        </is>
      </c>
      <c r="D2050" s="10" t="inlineStr">
        <is>
          <t>W4102504976</t>
        </is>
      </c>
      <c r="E2050" s="11" t="inlineStr">
        <is>
          <t>Statik / Einsturzsicherung während Abbruch</t>
        </is>
      </c>
      <c r="F2050" s="10" t="inlineStr">
        <is>
          <t>Statik</t>
        </is>
      </c>
      <c r="G2050" s="12" t="n">
        <v>0.12</v>
      </c>
      <c r="H2050" s="13" t="n">
        <v>122</v>
      </c>
      <c r="I2050" s="13" t="n">
        <v>286</v>
      </c>
      <c r="J2050" s="13" t="n">
        <v>572</v>
      </c>
      <c r="K2050" s="14">
        <f>IF(OR(COUNT(G2050:J2050)&lt;&gt;4,G2050&lt;0,G2050&gt;1,H2050&gt;I2050,I2050&gt;J2050),"n.a.",ROUND(G2050*(H2050+4*I2050+J2050)/6+0.00000001,2))</f>
        <v/>
      </c>
      <c r="L2050" s="13" t="n">
        <v>0</v>
      </c>
      <c r="M2050" s="14">
        <f>SUMIFS(Maßnahmen!$I$7:$I$126,Maßnahmen!$D$7:$D$126,C2050,Maßnahmen!$H$7:$H$126,"&lt;&gt;verworfen")</f>
        <v/>
      </c>
      <c r="N2050" s="14">
        <f>IF(ISNUMBER(K2050),MAX(0,K2050-L2050-M2050),"n.a.")</f>
        <v/>
      </c>
      <c r="O2050" s="14" t="n">
        <v>36.76</v>
      </c>
      <c r="P2050" s="14">
        <f>IF(ISNUMBER(K2050),K2050-O2050,"n.a.")</f>
        <v/>
      </c>
    </row>
    <row r="2051" ht="32" customHeight="1">
      <c r="C2051" s="10" t="inlineStr">
        <is>
          <t>PRJ-39e5492b-RK-07</t>
        </is>
      </c>
      <c r="D2051" s="10" t="inlineStr">
        <is>
          <t>W4102504976</t>
        </is>
      </c>
      <c r="E2051" s="11" t="inlineStr">
        <is>
          <t>Unterirdische Tragkonstruktion / Fundamente</t>
        </is>
      </c>
      <c r="F2051" s="10" t="inlineStr">
        <is>
          <t>Statik</t>
        </is>
      </c>
      <c r="G2051" s="12" t="n">
        <v>0.4</v>
      </c>
      <c r="H2051" s="13" t="n">
        <v>20</v>
      </c>
      <c r="I2051" s="13" t="n">
        <v>82</v>
      </c>
      <c r="J2051" s="13" t="n">
        <v>204</v>
      </c>
      <c r="K2051" s="14">
        <f>IF(OR(COUNT(G2051:J2051)&lt;&gt;4,G2051&lt;0,G2051&gt;1,H2051&gt;I2051,I2051&gt;J2051),"n.a.",ROUND(G2051*(H2051+4*I2051+J2051)/6+0.00000001,2))</f>
        <v/>
      </c>
      <c r="L2051" s="13" t="n">
        <v>0</v>
      </c>
      <c r="M2051" s="14">
        <f>SUMIFS(Maßnahmen!$I$7:$I$126,Maßnahmen!$D$7:$D$126,C2051,Maßnahmen!$H$7:$H$126,"&lt;&gt;verworfen")</f>
        <v/>
      </c>
      <c r="N2051" s="14">
        <f>IF(ISNUMBER(K2051),MAX(0,K2051-L2051-M2051),"n.a.")</f>
        <v/>
      </c>
      <c r="O2051" s="14" t="n">
        <v>36.8</v>
      </c>
      <c r="P2051" s="14">
        <f>IF(ISNUMBER(K2051),K2051-O2051,"n.a.")</f>
        <v/>
      </c>
    </row>
    <row r="2052" ht="32" customHeight="1">
      <c r="C2052" s="10" t="inlineStr">
        <is>
          <t>PRJ-39e5492b-RK-08</t>
        </is>
      </c>
      <c r="D2052" s="10" t="inlineStr">
        <is>
          <t>W4102504976</t>
        </is>
      </c>
      <c r="E2052" s="11" t="inlineStr">
        <is>
          <t>Gebäudehöhe &gt;22 m / Longfront-Bagger (+130–150 %)</t>
        </is>
      </c>
      <c r="F2052" s="10" t="inlineStr">
        <is>
          <t>Termin</t>
        </is>
      </c>
      <c r="G2052" s="12" t="n">
        <v>0.6</v>
      </c>
      <c r="H2052" s="13" t="n">
        <v>367</v>
      </c>
      <c r="I2052" s="13" t="n">
        <v>735</v>
      </c>
      <c r="J2052" s="13" t="n">
        <v>1388</v>
      </c>
      <c r="K2052" s="14">
        <f>IF(OR(COUNT(G2052:J2052)&lt;&gt;4,G2052&lt;0,G2052&gt;1,H2052&gt;I2052,I2052&gt;J2052),"n.a.",ROUND(G2052*(H2052+4*I2052+J2052)/6+0.00000001,2))</f>
        <v/>
      </c>
      <c r="L2052" s="13" t="n">
        <v>0</v>
      </c>
      <c r="M2052" s="14">
        <f>SUMIFS(Maßnahmen!$I$7:$I$126,Maßnahmen!$D$7:$D$126,C2052,Maßnahmen!$H$7:$H$126,"&lt;&gt;verworfen")</f>
        <v/>
      </c>
      <c r="N2052" s="14">
        <f>IF(ISNUMBER(K2052),MAX(0,K2052-L2052-M2052),"n.a.")</f>
        <v/>
      </c>
      <c r="O2052" s="14" t="n">
        <v>469.5</v>
      </c>
      <c r="P2052" s="14">
        <f>IF(ISNUMBER(K2052),K2052-O2052,"n.a.")</f>
        <v/>
      </c>
    </row>
    <row r="2053" ht="32" customHeight="1">
      <c r="C2053" s="10" t="inlineStr">
        <is>
          <t>PRJ-39e5492b-RK-09</t>
        </is>
      </c>
      <c r="D2053" s="10" t="inlineStr">
        <is>
          <t>W4102504976</t>
        </is>
      </c>
      <c r="E2053" s="11" t="inlineStr">
        <is>
          <t>Beennte Lage / nur Handabbruch möglich</t>
        </is>
      </c>
      <c r="F2053" s="10" t="inlineStr">
        <is>
          <t>Termin</t>
        </is>
      </c>
      <c r="G2053" s="12" t="n">
        <v>0.15</v>
      </c>
      <c r="H2053" s="13" t="n">
        <v>33</v>
      </c>
      <c r="I2053" s="13" t="n">
        <v>82</v>
      </c>
      <c r="J2053" s="13" t="n">
        <v>204</v>
      </c>
      <c r="K2053" s="14">
        <f>IF(OR(COUNT(G2053:J2053)&lt;&gt;4,G2053&lt;0,G2053&gt;1,H2053&gt;I2053,I2053&gt;J2053),"n.a.",ROUND(G2053*(H2053+4*I2053+J2053)/6+0.00000001,2))</f>
        <v/>
      </c>
      <c r="L2053" s="13" t="n">
        <v>0</v>
      </c>
      <c r="M2053" s="14">
        <f>SUMIFS(Maßnahmen!$I$7:$I$126,Maßnahmen!$D$7:$D$126,C2053,Maßnahmen!$H$7:$H$126,"&lt;&gt;verworfen")</f>
        <v/>
      </c>
      <c r="N2053" s="14">
        <f>IF(ISNUMBER(K2053),MAX(0,K2053-L2053-M2053),"n.a.")</f>
        <v/>
      </c>
      <c r="O2053" s="14" t="n">
        <v>14.13</v>
      </c>
      <c r="P2053" s="14">
        <f>IF(ISNUMBER(K2053),K2053-O2053,"n.a.")</f>
        <v/>
      </c>
    </row>
    <row r="2054" ht="32" customHeight="1">
      <c r="C2054" s="10" t="inlineStr">
        <is>
          <t>PRJ-39e5492b-RK-10</t>
        </is>
      </c>
      <c r="D2054" s="10" t="inlineStr">
        <is>
          <t>W4102504976</t>
        </is>
      </c>
      <c r="E2054" s="11" t="inlineStr">
        <is>
          <t>Terminvorgabe Auftraggeber / Geräteauslastung</t>
        </is>
      </c>
      <c r="F2054" s="10" t="inlineStr">
        <is>
          <t>Termin</t>
        </is>
      </c>
      <c r="G2054" s="12" t="n">
        <v>0.1</v>
      </c>
      <c r="H2054" s="13" t="n">
        <v>33</v>
      </c>
      <c r="I2054" s="13" t="n">
        <v>82</v>
      </c>
      <c r="J2054" s="13" t="n">
        <v>204</v>
      </c>
      <c r="K2054" s="14">
        <f>IF(OR(COUNT(G2054:J2054)&lt;&gt;4,G2054&lt;0,G2054&gt;1,H2054&gt;I2054,I2054&gt;J2054),"n.a.",ROUND(G2054*(H2054+4*I2054+J2054)/6+0.00000001,2))</f>
        <v/>
      </c>
      <c r="L2054" s="13" t="n">
        <v>0</v>
      </c>
      <c r="M2054" s="14">
        <f>SUMIFS(Maßnahmen!$I$7:$I$126,Maßnahmen!$D$7:$D$126,C2054,Maßnahmen!$H$7:$H$126,"&lt;&gt;verworfen")</f>
        <v/>
      </c>
      <c r="N2054" s="14">
        <f>IF(ISNUMBER(K2054),MAX(0,K2054-L2054-M2054),"n.a.")</f>
        <v/>
      </c>
      <c r="O2054" s="14" t="n">
        <v>9.42</v>
      </c>
      <c r="P2054" s="14">
        <f>IF(ISNUMBER(K2054),K2054-O2054,"n.a.")</f>
        <v/>
      </c>
    </row>
    <row r="2055" ht="32" customHeight="1">
      <c r="C2055" s="10" t="inlineStr">
        <is>
          <t>PRJ-39e5492b-RK-11</t>
        </is>
      </c>
      <c r="D2055" s="10" t="inlineStr">
        <is>
          <t>W4102504976</t>
        </is>
      </c>
      <c r="E2055" s="11" t="inlineStr">
        <is>
          <t>Witterung / Ablaufstörung</t>
        </is>
      </c>
      <c r="F2055" s="10" t="inlineStr">
        <is>
          <t>Termin</t>
        </is>
      </c>
      <c r="G2055" s="12" t="n">
        <v>0.25</v>
      </c>
      <c r="H2055" s="13" t="n">
        <v>41</v>
      </c>
      <c r="I2055" s="13" t="n">
        <v>122</v>
      </c>
      <c r="J2055" s="13" t="n">
        <v>245</v>
      </c>
      <c r="K2055" s="14">
        <f>IF(OR(COUNT(G2055:J2055)&lt;&gt;4,G2055&lt;0,G2055&gt;1,H2055&gt;I2055,I2055&gt;J2055),"n.a.",ROUND(G2055*(H2055+4*I2055+J2055)/6+0.00000001,2))</f>
        <v/>
      </c>
      <c r="L2055" s="13" t="n">
        <v>0</v>
      </c>
      <c r="M2055" s="14">
        <f>SUMIFS(Maßnahmen!$I$7:$I$126,Maßnahmen!$D$7:$D$126,C2055,Maßnahmen!$H$7:$H$126,"&lt;&gt;verworfen")</f>
        <v/>
      </c>
      <c r="N2055" s="14">
        <f>IF(ISNUMBER(K2055),MAX(0,K2055-L2055-M2055),"n.a.")</f>
        <v/>
      </c>
      <c r="O2055" s="14" t="n">
        <v>32.25</v>
      </c>
      <c r="P2055" s="14">
        <f>IF(ISNUMBER(K2055),K2055-O2055,"n.a.")</f>
        <v/>
      </c>
    </row>
    <row r="2056" ht="32" customHeight="1">
      <c r="C2056" s="10" t="inlineStr">
        <is>
          <t>PRJ-39e5492b-RK-12</t>
        </is>
      </c>
      <c r="D2056" s="10" t="inlineStr">
        <is>
          <t>W4102504976</t>
        </is>
      </c>
      <c r="E2056" s="11" t="inlineStr">
        <is>
          <t>Staubemissionen (höchster Aufwand laut Umfrage)</t>
        </is>
      </c>
      <c r="F2056" s="10" t="inlineStr">
        <is>
          <t>Emissionen</t>
        </is>
      </c>
      <c r="G2056" s="12" t="n">
        <v>0.1</v>
      </c>
      <c r="H2056" s="13" t="n">
        <v>122</v>
      </c>
      <c r="I2056" s="13" t="n">
        <v>245</v>
      </c>
      <c r="J2056" s="13" t="n">
        <v>490</v>
      </c>
      <c r="K2056" s="14">
        <f>IF(OR(COUNT(G2056:J2056)&lt;&gt;4,G2056&lt;0,G2056&gt;1,H2056&gt;I2056,I2056&gt;J2056),"n.a.",ROUND(G2056*(H2056+4*I2056+J2056)/6+0.00000001,2))</f>
        <v/>
      </c>
      <c r="L2056" s="13" t="n">
        <v>0</v>
      </c>
      <c r="M2056" s="14">
        <f>SUMIFS(Maßnahmen!$I$7:$I$126,Maßnahmen!$D$7:$D$126,C2056,Maßnahmen!$H$7:$H$126,"&lt;&gt;verworfen")</f>
        <v/>
      </c>
      <c r="N2056" s="14">
        <f>IF(ISNUMBER(K2056),MAX(0,K2056-L2056-M2056),"n.a.")</f>
        <v/>
      </c>
      <c r="O2056" s="14" t="n">
        <v>26.53</v>
      </c>
      <c r="P2056" s="14">
        <f>IF(ISNUMBER(K2056),K2056-O2056,"n.a.")</f>
        <v/>
      </c>
    </row>
    <row r="2057" ht="32" customHeight="1">
      <c r="C2057" s="10" t="inlineStr">
        <is>
          <t>PRJ-39e5492b-RK-13</t>
        </is>
      </c>
      <c r="D2057" s="10" t="inlineStr">
        <is>
          <t>W4102504976</t>
        </is>
      </c>
      <c r="E2057" s="11" t="inlineStr">
        <is>
          <t>Lärm- und Erschütterungsauflagen</t>
        </is>
      </c>
      <c r="F2057" s="10" t="inlineStr">
        <is>
          <t>Emissionen</t>
        </is>
      </c>
      <c r="G2057" s="12" t="n">
        <v>0.2</v>
      </c>
      <c r="H2057" s="13" t="n">
        <v>82</v>
      </c>
      <c r="I2057" s="13" t="n">
        <v>204</v>
      </c>
      <c r="J2057" s="13" t="n">
        <v>408</v>
      </c>
      <c r="K2057" s="14">
        <f>IF(OR(COUNT(G2057:J2057)&lt;&gt;4,G2057&lt;0,G2057&gt;1,H2057&gt;I2057,I2057&gt;J2057),"n.a.",ROUND(G2057*(H2057+4*I2057+J2057)/6+0.00000001,2))</f>
        <v/>
      </c>
      <c r="L2057" s="13" t="n">
        <v>0</v>
      </c>
      <c r="M2057" s="14">
        <f>SUMIFS(Maßnahmen!$I$7:$I$126,Maßnahmen!$D$7:$D$126,C2057,Maßnahmen!$H$7:$H$126,"&lt;&gt;verworfen")</f>
        <v/>
      </c>
      <c r="N2057" s="14">
        <f>IF(ISNUMBER(K2057),MAX(0,K2057-L2057-M2057),"n.a.")</f>
        <v/>
      </c>
      <c r="O2057" s="14" t="n">
        <v>43.53</v>
      </c>
      <c r="P2057" s="14">
        <f>IF(ISNUMBER(K2057),K2057-O2057,"n.a.")</f>
        <v/>
      </c>
    </row>
    <row r="2058" ht="32" customHeight="1">
      <c r="C2058" s="10" t="inlineStr">
        <is>
          <t>PRJ-39e5492b-RK-14</t>
        </is>
      </c>
      <c r="D2058" s="10" t="inlineStr">
        <is>
          <t>W4102504976</t>
        </is>
      </c>
      <c r="E2058" s="11" t="inlineStr">
        <is>
          <t>Rechtliche Auflagen / Entsorgungsnachweise (Formalismus)</t>
        </is>
      </c>
      <c r="F2058" s="10" t="inlineStr">
        <is>
          <t>Genehmigung</t>
        </is>
      </c>
      <c r="G2058" s="12" t="n">
        <v>0.4</v>
      </c>
      <c r="H2058" s="13" t="n">
        <v>388</v>
      </c>
      <c r="I2058" s="13" t="n">
        <v>755</v>
      </c>
      <c r="J2058" s="13" t="n">
        <v>1429</v>
      </c>
      <c r="K2058" s="14">
        <f>IF(OR(COUNT(G2058:J2058)&lt;&gt;4,G2058&lt;0,G2058&gt;1,H2058&gt;I2058,I2058&gt;J2058),"n.a.",ROUND(G2058*(H2058+4*I2058+J2058)/6+0.00000001,2))</f>
        <v/>
      </c>
      <c r="L2058" s="13" t="n">
        <v>0</v>
      </c>
      <c r="M2058" s="14">
        <f>SUMIFS(Maßnahmen!$I$7:$I$126,Maßnahmen!$D$7:$D$126,C2058,Maßnahmen!$H$7:$H$126,"&lt;&gt;verworfen")</f>
        <v/>
      </c>
      <c r="N2058" s="14">
        <f>IF(ISNUMBER(K2058),MAX(0,K2058-L2058-M2058),"n.a.")</f>
        <v/>
      </c>
      <c r="O2058" s="14" t="n">
        <v>322.47</v>
      </c>
      <c r="P2058" s="14">
        <f>IF(ISNUMBER(K2058),K2058-O2058,"n.a.")</f>
        <v/>
      </c>
    </row>
    <row r="2059" ht="32" customHeight="1">
      <c r="C2059" s="10" t="inlineStr">
        <is>
          <t>PRJ-39e5492b-RK-15</t>
        </is>
      </c>
      <c r="D2059" s="10" t="inlineStr">
        <is>
          <t>W4102504976</t>
        </is>
      </c>
      <c r="E2059" s="11" t="inlineStr">
        <is>
          <t>Konjunktur / Sekundärstoffpreise &amp; Gerätemiete</t>
        </is>
      </c>
      <c r="F2059" s="10" t="inlineStr">
        <is>
          <t>Markt</t>
        </is>
      </c>
      <c r="G2059" s="12" t="n">
        <v>0.12</v>
      </c>
      <c r="H2059" s="13" t="n">
        <v>33</v>
      </c>
      <c r="I2059" s="13" t="n">
        <v>82</v>
      </c>
      <c r="J2059" s="13" t="n">
        <v>204</v>
      </c>
      <c r="K2059" s="14">
        <f>IF(OR(COUNT(G2059:J2059)&lt;&gt;4,G2059&lt;0,G2059&gt;1,H2059&gt;I2059,I2059&gt;J2059),"n.a.",ROUND(G2059*(H2059+4*I2059+J2059)/6+0.00000001,2))</f>
        <v/>
      </c>
      <c r="L2059" s="13" t="n">
        <v>0</v>
      </c>
      <c r="M2059" s="14">
        <f>SUMIFS(Maßnahmen!$I$7:$I$126,Maßnahmen!$D$7:$D$126,C2059,Maßnahmen!$H$7:$H$126,"&lt;&gt;verworfen")</f>
        <v/>
      </c>
      <c r="N2059" s="14">
        <f>IF(ISNUMBER(K2059),MAX(0,K2059-L2059-M2059),"n.a.")</f>
        <v/>
      </c>
      <c r="O2059" s="14" t="n">
        <v>11.3</v>
      </c>
      <c r="P2059" s="14">
        <f>IF(ISNUMBER(K2059),K2059-O2059,"n.a.")</f>
        <v/>
      </c>
    </row>
    <row r="2060" ht="32" customHeight="1">
      <c r="C2060" s="10" t="inlineStr">
        <is>
          <t>PRJ-39e5496e-RK-01</t>
        </is>
      </c>
      <c r="D2060" s="10" t="inlineStr">
        <is>
          <t>W4102504951</t>
        </is>
      </c>
      <c r="E2060" s="11" t="inlineStr">
        <is>
          <t>Schadstofffund / Schadstoffsanierung (Asbest, PAK, PCB, PCP)</t>
        </is>
      </c>
      <c r="F2060" s="10" t="inlineStr">
        <is>
          <t>Schadstoffe</t>
        </is>
      </c>
      <c r="G2060" s="12" t="n">
        <v>0.1</v>
      </c>
      <c r="H2060" s="13" t="n">
        <v>2042</v>
      </c>
      <c r="I2060" s="13" t="n">
        <v>5104</v>
      </c>
      <c r="J2060" s="13" t="n">
        <v>10208</v>
      </c>
      <c r="K2060" s="14">
        <f>IF(OR(COUNT(G2060:J2060)&lt;&gt;4,G2060&lt;0,G2060&gt;1,H2060&gt;I2060,I2060&gt;J2060),"n.a.",ROUND(G2060*(H2060+4*I2060+J2060)/6+0.00000001,2))</f>
        <v/>
      </c>
      <c r="L2060" s="13" t="n">
        <v>0</v>
      </c>
      <c r="M2060" s="14">
        <f>SUMIFS(Maßnahmen!$I$7:$I$126,Maßnahmen!$D$7:$D$126,C2060,Maßnahmen!$H$7:$H$126,"&lt;&gt;verworfen")</f>
        <v/>
      </c>
      <c r="N2060" s="14">
        <f>IF(ISNUMBER(K2060),MAX(0,K2060-L2060-M2060),"n.a.")</f>
        <v/>
      </c>
      <c r="O2060" s="14" t="n">
        <v>544.4299999999999</v>
      </c>
      <c r="P2060" s="14">
        <f>IF(ISNUMBER(K2060),K2060-O2060,"n.a.")</f>
        <v/>
      </c>
    </row>
    <row r="2061" ht="32" customHeight="1">
      <c r="C2061" s="10" t="inlineStr">
        <is>
          <t>PRJ-39e5496e-RK-02</t>
        </is>
      </c>
      <c r="D2061" s="10" t="inlineStr">
        <is>
          <t>W4102504951</t>
        </is>
      </c>
      <c r="E2061" s="11" t="inlineStr">
        <is>
          <t>Arbeitsschutz kontaminierte Bereiche (TRGS 524)</t>
        </is>
      </c>
      <c r="F2061" s="10" t="inlineStr">
        <is>
          <t>Schadstoffe</t>
        </is>
      </c>
      <c r="G2061" s="12" t="n">
        <v>0.47</v>
      </c>
      <c r="H2061" s="13" t="n">
        <v>2042</v>
      </c>
      <c r="I2061" s="13" t="n">
        <v>5104</v>
      </c>
      <c r="J2061" s="13" t="n">
        <v>10208</v>
      </c>
      <c r="K2061" s="14">
        <f>IF(OR(COUNT(G2061:J2061)&lt;&gt;4,G2061&lt;0,G2061&gt;1,H2061&gt;I2061,I2061&gt;J2061),"n.a.",ROUND(G2061*(H2061+4*I2061+J2061)/6+0.00000001,2))</f>
        <v/>
      </c>
      <c r="L2061" s="13" t="n">
        <v>0</v>
      </c>
      <c r="M2061" s="14">
        <f>SUMIFS(Maßnahmen!$I$7:$I$126,Maßnahmen!$D$7:$D$126,C2061,Maßnahmen!$H$7:$H$126,"&lt;&gt;verworfen")</f>
        <v/>
      </c>
      <c r="N2061" s="14">
        <f>IF(ISNUMBER(K2061),MAX(0,K2061-L2061-M2061),"n.a.")</f>
        <v/>
      </c>
      <c r="O2061" s="14" t="n">
        <v>2558.84</v>
      </c>
      <c r="P2061" s="14">
        <f>IF(ISNUMBER(K2061),K2061-O2061,"n.a.")</f>
        <v/>
      </c>
    </row>
    <row r="2062" ht="32" customHeight="1">
      <c r="C2062" s="10" t="inlineStr">
        <is>
          <t>PRJ-39e5496e-RK-03</t>
        </is>
      </c>
      <c r="D2062" s="10" t="inlineStr">
        <is>
          <t>W4102504951</t>
        </is>
      </c>
      <c r="E2062" s="11" t="inlineStr">
        <is>
          <t>Entsorgungs-Mehrkosten / Entsorgungswege</t>
        </is>
      </c>
      <c r="F2062" s="10" t="inlineStr">
        <is>
          <t>Entsorgung</t>
        </is>
      </c>
      <c r="G2062" s="12" t="n">
        <v>0.15</v>
      </c>
      <c r="H2062" s="13" t="n">
        <v>2042</v>
      </c>
      <c r="I2062" s="13" t="n">
        <v>5104</v>
      </c>
      <c r="J2062" s="13" t="n">
        <v>10208</v>
      </c>
      <c r="K2062" s="14">
        <f>IF(OR(COUNT(G2062:J2062)&lt;&gt;4,G2062&lt;0,G2062&gt;1,H2062&gt;I2062,I2062&gt;J2062),"n.a.",ROUND(G2062*(H2062+4*I2062+J2062)/6+0.00000001,2))</f>
        <v/>
      </c>
      <c r="L2062" s="13" t="n">
        <v>0</v>
      </c>
      <c r="M2062" s="14">
        <f>SUMIFS(Maßnahmen!$I$7:$I$126,Maßnahmen!$D$7:$D$126,C2062,Maßnahmen!$H$7:$H$126,"&lt;&gt;verworfen")</f>
        <v/>
      </c>
      <c r="N2062" s="14">
        <f>IF(ISNUMBER(K2062),MAX(0,K2062-L2062-M2062),"n.a.")</f>
        <v/>
      </c>
      <c r="O2062" s="14" t="n">
        <v>816.65</v>
      </c>
      <c r="P2062" s="14">
        <f>IF(ISNUMBER(K2062),K2062-O2062,"n.a.")</f>
        <v/>
      </c>
    </row>
    <row r="2063" ht="32" customHeight="1">
      <c r="C2063" s="10" t="inlineStr">
        <is>
          <t>PRJ-39e5496e-RK-04</t>
        </is>
      </c>
      <c r="D2063" s="10" t="inlineStr">
        <is>
          <t>W4102504951</t>
        </is>
      </c>
      <c r="E2063" s="11" t="inlineStr">
        <is>
          <t>Baustofftrennung / Aufbereitung nicht wie geplant</t>
        </is>
      </c>
      <c r="F2063" s="10" t="inlineStr">
        <is>
          <t>Entsorgung</t>
        </is>
      </c>
      <c r="G2063" s="12" t="n">
        <v>0.1</v>
      </c>
      <c r="H2063" s="13" t="n">
        <v>2042</v>
      </c>
      <c r="I2063" s="13" t="n">
        <v>5104</v>
      </c>
      <c r="J2063" s="13" t="n">
        <v>10208</v>
      </c>
      <c r="K2063" s="14">
        <f>IF(OR(COUNT(G2063:J2063)&lt;&gt;4,G2063&lt;0,G2063&gt;1,H2063&gt;I2063,I2063&gt;J2063),"n.a.",ROUND(G2063*(H2063+4*I2063+J2063)/6+0.00000001,2))</f>
        <v/>
      </c>
      <c r="L2063" s="13" t="n">
        <v>0</v>
      </c>
      <c r="M2063" s="14">
        <f>SUMIFS(Maßnahmen!$I$7:$I$126,Maßnahmen!$D$7:$D$126,C2063,Maßnahmen!$H$7:$H$126,"&lt;&gt;verworfen")</f>
        <v/>
      </c>
      <c r="N2063" s="14">
        <f>IF(ISNUMBER(K2063),MAX(0,K2063-L2063-M2063),"n.a.")</f>
        <v/>
      </c>
      <c r="O2063" s="14" t="n">
        <v>544.4299999999999</v>
      </c>
      <c r="P2063" s="14">
        <f>IF(ISNUMBER(K2063),K2063-O2063,"n.a.")</f>
        <v/>
      </c>
    </row>
    <row r="2064" ht="32" customHeight="1">
      <c r="C2064" s="10" t="inlineStr">
        <is>
          <t>PRJ-39e5496e-RK-05</t>
        </is>
      </c>
      <c r="D2064" s="10" t="inlineStr">
        <is>
          <t>W4102504951</t>
        </is>
      </c>
      <c r="E2064" s="11" t="inlineStr">
        <is>
          <t>Unbekannte Bauwerkskonstruktion / fehlende Pläne</t>
        </is>
      </c>
      <c r="F2064" s="10" t="inlineStr">
        <is>
          <t>Statik</t>
        </is>
      </c>
      <c r="G2064" s="12" t="n">
        <v>0.12</v>
      </c>
      <c r="H2064" s="13" t="n">
        <v>4083</v>
      </c>
      <c r="I2064" s="13" t="n">
        <v>8166</v>
      </c>
      <c r="J2064" s="13" t="n">
        <v>15311</v>
      </c>
      <c r="K2064" s="14">
        <f>IF(OR(COUNT(G2064:J2064)&lt;&gt;4,G2064&lt;0,G2064&gt;1,H2064&gt;I2064,I2064&gt;J2064),"n.a.",ROUND(G2064*(H2064+4*I2064+J2064)/6+0.00000001,2))</f>
        <v/>
      </c>
      <c r="L2064" s="13" t="n">
        <v>0</v>
      </c>
      <c r="M2064" s="14">
        <f>SUMIFS(Maßnahmen!$I$7:$I$126,Maßnahmen!$D$7:$D$126,C2064,Maßnahmen!$H$7:$H$126,"&lt;&gt;verworfen")</f>
        <v/>
      </c>
      <c r="N2064" s="14">
        <f>IF(ISNUMBER(K2064),MAX(0,K2064-L2064-M2064),"n.a.")</f>
        <v/>
      </c>
      <c r="O2064" s="14" t="n">
        <v>1041.16</v>
      </c>
      <c r="P2064" s="14">
        <f>IF(ISNUMBER(K2064),K2064-O2064,"n.a.")</f>
        <v/>
      </c>
    </row>
    <row r="2065" ht="32" customHeight="1">
      <c r="C2065" s="10" t="inlineStr">
        <is>
          <t>PRJ-39e5496e-RK-06</t>
        </is>
      </c>
      <c r="D2065" s="10" t="inlineStr">
        <is>
          <t>W4102504951</t>
        </is>
      </c>
      <c r="E2065" s="11" t="inlineStr">
        <is>
          <t>Statik / Einsturzsicherung während Abbruch</t>
        </is>
      </c>
      <c r="F2065" s="10" t="inlineStr">
        <is>
          <t>Statik</t>
        </is>
      </c>
      <c r="G2065" s="12" t="n">
        <v>0.12</v>
      </c>
      <c r="H2065" s="13" t="n">
        <v>3062</v>
      </c>
      <c r="I2065" s="13" t="n">
        <v>7145</v>
      </c>
      <c r="J2065" s="13" t="n">
        <v>14291</v>
      </c>
      <c r="K2065" s="14">
        <f>IF(OR(COUNT(G2065:J2065)&lt;&gt;4,G2065&lt;0,G2065&gt;1,H2065&gt;I2065,I2065&gt;J2065),"n.a.",ROUND(G2065*(H2065+4*I2065+J2065)/6+0.00000001,2))</f>
        <v/>
      </c>
      <c r="L2065" s="13" t="n">
        <v>0</v>
      </c>
      <c r="M2065" s="14">
        <f>SUMIFS(Maßnahmen!$I$7:$I$126,Maßnahmen!$D$7:$D$126,C2065,Maßnahmen!$H$7:$H$126,"&lt;&gt;verworfen")</f>
        <v/>
      </c>
      <c r="N2065" s="14">
        <f>IF(ISNUMBER(K2065),MAX(0,K2065-L2065-M2065),"n.a.")</f>
        <v/>
      </c>
      <c r="O2065" s="14" t="n">
        <v>918.66</v>
      </c>
      <c r="P2065" s="14">
        <f>IF(ISNUMBER(K2065),K2065-O2065,"n.a.")</f>
        <v/>
      </c>
    </row>
    <row r="2066" ht="32" customHeight="1">
      <c r="C2066" s="10" t="inlineStr">
        <is>
          <t>PRJ-39e5496e-RK-07</t>
        </is>
      </c>
      <c r="D2066" s="10" t="inlineStr">
        <is>
          <t>W4102504951</t>
        </is>
      </c>
      <c r="E2066" s="11" t="inlineStr">
        <is>
          <t>Unterirdische Tragkonstruktion / Fundamente</t>
        </is>
      </c>
      <c r="F2066" s="10" t="inlineStr">
        <is>
          <t>Statik</t>
        </is>
      </c>
      <c r="G2066" s="12" t="n">
        <v>0.4</v>
      </c>
      <c r="H2066" s="13" t="n">
        <v>510</v>
      </c>
      <c r="I2066" s="13" t="n">
        <v>2042</v>
      </c>
      <c r="J2066" s="13" t="n">
        <v>5104</v>
      </c>
      <c r="K2066" s="14">
        <f>IF(OR(COUNT(G2066:J2066)&lt;&gt;4,G2066&lt;0,G2066&gt;1,H2066&gt;I2066,I2066&gt;J2066),"n.a.",ROUND(G2066*(H2066+4*I2066+J2066)/6+0.00000001,2))</f>
        <v/>
      </c>
      <c r="L2066" s="13" t="n">
        <v>0</v>
      </c>
      <c r="M2066" s="14">
        <f>SUMIFS(Maßnahmen!$I$7:$I$126,Maßnahmen!$D$7:$D$126,C2066,Maßnahmen!$H$7:$H$126,"&lt;&gt;verworfen")</f>
        <v/>
      </c>
      <c r="N2066" s="14">
        <f>IF(ISNUMBER(K2066),MAX(0,K2066-L2066-M2066),"n.a.")</f>
        <v/>
      </c>
      <c r="O2066" s="14" t="n">
        <v>918.8</v>
      </c>
      <c r="P2066" s="14">
        <f>IF(ISNUMBER(K2066),K2066-O2066,"n.a.")</f>
        <v/>
      </c>
    </row>
    <row r="2067" ht="32" customHeight="1">
      <c r="C2067" s="10" t="inlineStr">
        <is>
          <t>PRJ-39e5496e-RK-08</t>
        </is>
      </c>
      <c r="D2067" s="10" t="inlineStr">
        <is>
          <t>W4102504951</t>
        </is>
      </c>
      <c r="E2067" s="11" t="inlineStr">
        <is>
          <t>Gebäudehöhe &gt;22 m / Longfront-Bagger (+130–150 %)</t>
        </is>
      </c>
      <c r="F2067" s="10" t="inlineStr">
        <is>
          <t>Termin</t>
        </is>
      </c>
      <c r="G2067" s="12" t="n">
        <v>0.6</v>
      </c>
      <c r="H2067" s="13" t="n">
        <v>9187</v>
      </c>
      <c r="I2067" s="13" t="n">
        <v>18374</v>
      </c>
      <c r="J2067" s="13" t="n">
        <v>34706</v>
      </c>
      <c r="K2067" s="14">
        <f>IF(OR(COUNT(G2067:J2067)&lt;&gt;4,G2067&lt;0,G2067&gt;1,H2067&gt;I2067,I2067&gt;J2067),"n.a.",ROUND(G2067*(H2067+4*I2067+J2067)/6+0.00000001,2))</f>
        <v/>
      </c>
      <c r="L2067" s="13" t="n">
        <v>0</v>
      </c>
      <c r="M2067" s="14">
        <f>SUMIFS(Maßnahmen!$I$7:$I$126,Maßnahmen!$D$7:$D$126,C2067,Maßnahmen!$H$7:$H$126,"&lt;&gt;verworfen")</f>
        <v/>
      </c>
      <c r="N2067" s="14">
        <f>IF(ISNUMBER(K2067),MAX(0,K2067-L2067-M2067),"n.a.")</f>
        <v/>
      </c>
      <c r="O2067" s="14" t="n">
        <v>11738.9</v>
      </c>
      <c r="P2067" s="14">
        <f>IF(ISNUMBER(K2067),K2067-O2067,"n.a.")</f>
        <v/>
      </c>
    </row>
    <row r="2068" ht="32" customHeight="1">
      <c r="C2068" s="10" t="inlineStr">
        <is>
          <t>PRJ-39e5496e-RK-09</t>
        </is>
      </c>
      <c r="D2068" s="10" t="inlineStr">
        <is>
          <t>W4102504951</t>
        </is>
      </c>
      <c r="E2068" s="11" t="inlineStr">
        <is>
          <t>Beennte Lage / nur Handabbruch möglich</t>
        </is>
      </c>
      <c r="F2068" s="10" t="inlineStr">
        <is>
          <t>Termin</t>
        </is>
      </c>
      <c r="G2068" s="12" t="n">
        <v>0.15</v>
      </c>
      <c r="H2068" s="13" t="n">
        <v>817</v>
      </c>
      <c r="I2068" s="13" t="n">
        <v>2042</v>
      </c>
      <c r="J2068" s="13" t="n">
        <v>5104</v>
      </c>
      <c r="K2068" s="14">
        <f>IF(OR(COUNT(G2068:J2068)&lt;&gt;4,G2068&lt;0,G2068&gt;1,H2068&gt;I2068,I2068&gt;J2068),"n.a.",ROUND(G2068*(H2068+4*I2068+J2068)/6+0.00000001,2))</f>
        <v/>
      </c>
      <c r="L2068" s="13" t="n">
        <v>0</v>
      </c>
      <c r="M2068" s="14">
        <f>SUMIFS(Maßnahmen!$I$7:$I$126,Maßnahmen!$D$7:$D$126,C2068,Maßnahmen!$H$7:$H$126,"&lt;&gt;verworfen")</f>
        <v/>
      </c>
      <c r="N2068" s="14">
        <f>IF(ISNUMBER(K2068),MAX(0,K2068-L2068-M2068),"n.a.")</f>
        <v/>
      </c>
      <c r="O2068" s="14" t="n">
        <v>352.23</v>
      </c>
      <c r="P2068" s="14">
        <f>IF(ISNUMBER(K2068),K2068-O2068,"n.a.")</f>
        <v/>
      </c>
    </row>
    <row r="2069" ht="32" customHeight="1">
      <c r="C2069" s="10" t="inlineStr">
        <is>
          <t>PRJ-39e5496e-RK-10</t>
        </is>
      </c>
      <c r="D2069" s="10" t="inlineStr">
        <is>
          <t>W4102504951</t>
        </is>
      </c>
      <c r="E2069" s="11" t="inlineStr">
        <is>
          <t>Terminvorgabe Auftraggeber / Geräteauslastung</t>
        </is>
      </c>
      <c r="F2069" s="10" t="inlineStr">
        <is>
          <t>Termin</t>
        </is>
      </c>
      <c r="G2069" s="12" t="n">
        <v>0.1</v>
      </c>
      <c r="H2069" s="13" t="n">
        <v>817</v>
      </c>
      <c r="I2069" s="13" t="n">
        <v>2042</v>
      </c>
      <c r="J2069" s="13" t="n">
        <v>5104</v>
      </c>
      <c r="K2069" s="14">
        <f>IF(OR(COUNT(G2069:J2069)&lt;&gt;4,G2069&lt;0,G2069&gt;1,H2069&gt;I2069,I2069&gt;J2069),"n.a.",ROUND(G2069*(H2069+4*I2069+J2069)/6+0.00000001,2))</f>
        <v/>
      </c>
      <c r="L2069" s="13" t="n">
        <v>0</v>
      </c>
      <c r="M2069" s="14">
        <f>SUMIFS(Maßnahmen!$I$7:$I$126,Maßnahmen!$D$7:$D$126,C2069,Maßnahmen!$H$7:$H$126,"&lt;&gt;verworfen")</f>
        <v/>
      </c>
      <c r="N2069" s="14">
        <f>IF(ISNUMBER(K2069),MAX(0,K2069-L2069-M2069),"n.a.")</f>
        <v/>
      </c>
      <c r="O2069" s="14" t="n">
        <v>234.82</v>
      </c>
      <c r="P2069" s="14">
        <f>IF(ISNUMBER(K2069),K2069-O2069,"n.a.")</f>
        <v/>
      </c>
    </row>
    <row r="2070" ht="32" customHeight="1">
      <c r="C2070" s="10" t="inlineStr">
        <is>
          <t>PRJ-39e5496e-RK-12</t>
        </is>
      </c>
      <c r="D2070" s="10" t="inlineStr">
        <is>
          <t>W4102504951</t>
        </is>
      </c>
      <c r="E2070" s="11" t="inlineStr">
        <is>
          <t>Staubemissionen (höchster Aufwand laut Umfrage)</t>
        </is>
      </c>
      <c r="F2070" s="10" t="inlineStr">
        <is>
          <t>Emissionen</t>
        </is>
      </c>
      <c r="G2070" s="12" t="n">
        <v>0.1</v>
      </c>
      <c r="H2070" s="13" t="n">
        <v>3062</v>
      </c>
      <c r="I2070" s="13" t="n">
        <v>6125</v>
      </c>
      <c r="J2070" s="13" t="n">
        <v>12249</v>
      </c>
      <c r="K2070" s="14">
        <f>IF(OR(COUNT(G2070:J2070)&lt;&gt;4,G2070&lt;0,G2070&gt;1,H2070&gt;I2070,I2070&gt;J2070),"n.a.",ROUND(G2070*(H2070+4*I2070+J2070)/6+0.00000001,2))</f>
        <v/>
      </c>
      <c r="L2070" s="13" t="n">
        <v>0</v>
      </c>
      <c r="M2070" s="14">
        <f>SUMIFS(Maßnahmen!$I$7:$I$126,Maßnahmen!$D$7:$D$126,C2070,Maßnahmen!$H$7:$H$126,"&lt;&gt;verworfen")</f>
        <v/>
      </c>
      <c r="N2070" s="14">
        <f>IF(ISNUMBER(K2070),MAX(0,K2070-L2070-M2070),"n.a.")</f>
        <v/>
      </c>
      <c r="O2070" s="14" t="n">
        <v>663.52</v>
      </c>
      <c r="P2070" s="14">
        <f>IF(ISNUMBER(K2070),K2070-O2070,"n.a.")</f>
        <v/>
      </c>
    </row>
    <row r="2071" ht="32" customHeight="1">
      <c r="C2071" s="10" t="inlineStr">
        <is>
          <t>PRJ-39e5496e-RK-13</t>
        </is>
      </c>
      <c r="D2071" s="10" t="inlineStr">
        <is>
          <t>W4102504951</t>
        </is>
      </c>
      <c r="E2071" s="11" t="inlineStr">
        <is>
          <t>Lärm- und Erschütterungsauflagen</t>
        </is>
      </c>
      <c r="F2071" s="10" t="inlineStr">
        <is>
          <t>Emissionen</t>
        </is>
      </c>
      <c r="G2071" s="12" t="n">
        <v>0.2</v>
      </c>
      <c r="H2071" s="13" t="n">
        <v>2042</v>
      </c>
      <c r="I2071" s="13" t="n">
        <v>5104</v>
      </c>
      <c r="J2071" s="13" t="n">
        <v>10208</v>
      </c>
      <c r="K2071" s="14">
        <f>IF(OR(COUNT(G2071:J2071)&lt;&gt;4,G2071&lt;0,G2071&gt;1,H2071&gt;I2071,I2071&gt;J2071),"n.a.",ROUND(G2071*(H2071+4*I2071+J2071)/6+0.00000001,2))</f>
        <v/>
      </c>
      <c r="L2071" s="13" t="n">
        <v>0</v>
      </c>
      <c r="M2071" s="14">
        <f>SUMIFS(Maßnahmen!$I$7:$I$126,Maßnahmen!$D$7:$D$126,C2071,Maßnahmen!$H$7:$H$126,"&lt;&gt;verworfen")</f>
        <v/>
      </c>
      <c r="N2071" s="14">
        <f>IF(ISNUMBER(K2071),MAX(0,K2071-L2071-M2071),"n.a.")</f>
        <v/>
      </c>
      <c r="O2071" s="14" t="n">
        <v>1088.87</v>
      </c>
      <c r="P2071" s="14">
        <f>IF(ISNUMBER(K2071),K2071-O2071,"n.a.")</f>
        <v/>
      </c>
    </row>
    <row r="2072" ht="32" customHeight="1">
      <c r="C2072" s="10" t="inlineStr">
        <is>
          <t>PRJ-39e5496e-RK-14</t>
        </is>
      </c>
      <c r="D2072" s="10" t="inlineStr">
        <is>
          <t>W4102504951</t>
        </is>
      </c>
      <c r="E2072" s="11" t="inlineStr">
        <is>
          <t>Rechtliche Auflagen / Entsorgungsnachweise (Formalismus)</t>
        </is>
      </c>
      <c r="F2072" s="10" t="inlineStr">
        <is>
          <t>Genehmigung</t>
        </is>
      </c>
      <c r="G2072" s="12" t="n">
        <v>0.4</v>
      </c>
      <c r="H2072" s="13" t="n">
        <v>9697</v>
      </c>
      <c r="I2072" s="13" t="n">
        <v>18884</v>
      </c>
      <c r="J2072" s="13" t="n">
        <v>35727</v>
      </c>
      <c r="K2072" s="14">
        <f>IF(OR(COUNT(G2072:J2072)&lt;&gt;4,G2072&lt;0,G2072&gt;1,H2072&gt;I2072,I2072&gt;J2072),"n.a.",ROUND(G2072*(H2072+4*I2072+J2072)/6+0.00000001,2))</f>
        <v/>
      </c>
      <c r="L2072" s="13" t="n">
        <v>0</v>
      </c>
      <c r="M2072" s="14">
        <f>SUMIFS(Maßnahmen!$I$7:$I$126,Maßnahmen!$D$7:$D$126,C2072,Maßnahmen!$H$7:$H$126,"&lt;&gt;verworfen")</f>
        <v/>
      </c>
      <c r="N2072" s="14">
        <f>IF(ISNUMBER(K2072),MAX(0,K2072-L2072-M2072),"n.a.")</f>
        <v/>
      </c>
      <c r="O2072" s="14" t="n">
        <v>8064</v>
      </c>
      <c r="P2072" s="14">
        <f>IF(ISNUMBER(K2072),K2072-O2072,"n.a.")</f>
        <v/>
      </c>
    </row>
    <row r="2073" ht="32" customHeight="1">
      <c r="C2073" s="10" t="inlineStr">
        <is>
          <t>PRJ-39e5496e-RK-15</t>
        </is>
      </c>
      <c r="D2073" s="10" t="inlineStr">
        <is>
          <t>W4102504951</t>
        </is>
      </c>
      <c r="E2073" s="11" t="inlineStr">
        <is>
          <t>Konjunktur / Sekundärstoffpreise &amp; Gerätemiete</t>
        </is>
      </c>
      <c r="F2073" s="10" t="inlineStr">
        <is>
          <t>Markt</t>
        </is>
      </c>
      <c r="G2073" s="12" t="n">
        <v>0.12</v>
      </c>
      <c r="H2073" s="13" t="n">
        <v>817</v>
      </c>
      <c r="I2073" s="13" t="n">
        <v>2042</v>
      </c>
      <c r="J2073" s="13" t="n">
        <v>5104</v>
      </c>
      <c r="K2073" s="14">
        <f>IF(OR(COUNT(G2073:J2073)&lt;&gt;4,G2073&lt;0,G2073&gt;1,H2073&gt;I2073,I2073&gt;J2073),"n.a.",ROUND(G2073*(H2073+4*I2073+J2073)/6+0.00000001,2))</f>
        <v/>
      </c>
      <c r="L2073" s="13" t="n">
        <v>0</v>
      </c>
      <c r="M2073" s="14">
        <f>SUMIFS(Maßnahmen!$I$7:$I$126,Maßnahmen!$D$7:$D$126,C2073,Maßnahmen!$H$7:$H$126,"&lt;&gt;verworfen")</f>
        <v/>
      </c>
      <c r="N2073" s="14">
        <f>IF(ISNUMBER(K2073),MAX(0,K2073-L2073-M2073),"n.a.")</f>
        <v/>
      </c>
      <c r="O2073" s="14" t="n">
        <v>281.78</v>
      </c>
      <c r="P2073" s="14">
        <f>IF(ISNUMBER(K2073),K2073-O2073,"n.a.")</f>
        <v/>
      </c>
    </row>
    <row r="2074" ht="32" customHeight="1">
      <c r="C2074" s="10" t="inlineStr">
        <is>
          <t>PRJ-39e56395-RK-01</t>
        </is>
      </c>
      <c r="D2074" s="10" t="inlineStr">
        <is>
          <t>W4102504262</t>
        </is>
      </c>
      <c r="E2074" s="11" t="inlineStr">
        <is>
          <t>Schadstofffund / Schadstoffsanierung (Asbest, PAK, PCB, PCP)</t>
        </is>
      </c>
      <c r="F2074" s="10" t="inlineStr">
        <is>
          <t>Schadstoffe</t>
        </is>
      </c>
      <c r="G2074" s="12" t="n">
        <v>0.1</v>
      </c>
      <c r="H2074" s="13" t="n">
        <v>1200</v>
      </c>
      <c r="I2074" s="13" t="n">
        <v>3000</v>
      </c>
      <c r="J2074" s="13" t="n">
        <v>6001</v>
      </c>
      <c r="K2074" s="14">
        <f>IF(OR(COUNT(G2074:J2074)&lt;&gt;4,G2074&lt;0,G2074&gt;1,H2074&gt;I2074,I2074&gt;J2074),"n.a.",ROUND(G2074*(H2074+4*I2074+J2074)/6+0.00000001,2))</f>
        <v/>
      </c>
      <c r="L2074" s="13" t="n">
        <v>0</v>
      </c>
      <c r="M2074" s="14">
        <f>SUMIFS(Maßnahmen!$I$7:$I$126,Maßnahmen!$D$7:$D$126,C2074,Maßnahmen!$H$7:$H$126,"&lt;&gt;verworfen")</f>
        <v/>
      </c>
      <c r="N2074" s="14">
        <f>IF(ISNUMBER(K2074),MAX(0,K2074-L2074-M2074),"n.a.")</f>
        <v/>
      </c>
      <c r="O2074" s="14" t="n">
        <v>320.02</v>
      </c>
      <c r="P2074" s="14">
        <f>IF(ISNUMBER(K2074),K2074-O2074,"n.a.")</f>
        <v/>
      </c>
    </row>
    <row r="2075" ht="32" customHeight="1">
      <c r="C2075" s="10" t="inlineStr">
        <is>
          <t>PRJ-39e56395-RK-02</t>
        </is>
      </c>
      <c r="D2075" s="10" t="inlineStr">
        <is>
          <t>W4102504262</t>
        </is>
      </c>
      <c r="E2075" s="11" t="inlineStr">
        <is>
          <t>Arbeitsschutz kontaminierte Bereiche (TRGS 524)</t>
        </is>
      </c>
      <c r="F2075" s="10" t="inlineStr">
        <is>
          <t>Schadstoffe</t>
        </is>
      </c>
      <c r="G2075" s="12" t="n">
        <v>0.463</v>
      </c>
      <c r="H2075" s="13" t="n">
        <v>967</v>
      </c>
      <c r="I2075" s="13" t="n">
        <v>2651</v>
      </c>
      <c r="J2075" s="13" t="n">
        <v>5418</v>
      </c>
      <c r="K2075" s="14">
        <f>IF(OR(COUNT(G2075:J2075)&lt;&gt;4,G2075&lt;0,G2075&gt;1,H2075&gt;I2075,I2075&gt;J2075),"n.a.",ROUND(G2075*(H2075+4*I2075+J2075)/6+0.00000001,2))</f>
        <v/>
      </c>
      <c r="L2075" s="13" t="n">
        <v>0</v>
      </c>
      <c r="M2075" s="14">
        <f>SUMIFS(Maßnahmen!$I$7:$I$126,Maßnahmen!$D$7:$D$126,C2075,Maßnahmen!$H$7:$H$126,"&lt;&gt;verworfen")</f>
        <v/>
      </c>
      <c r="N2075" s="14">
        <f>IF(ISNUMBER(K2075),MAX(0,K2075-L2075-M2075),"n.a.")</f>
        <v/>
      </c>
      <c r="O2075" s="14" t="n">
        <v>1310.98</v>
      </c>
      <c r="P2075" s="14">
        <f>IF(ISNUMBER(K2075),K2075-O2075,"n.a.")</f>
        <v/>
      </c>
    </row>
    <row r="2076" ht="32" customHeight="1">
      <c r="C2076" s="10" t="inlineStr">
        <is>
          <t>PRJ-39e56395-RK-03</t>
        </is>
      </c>
      <c r="D2076" s="10" t="inlineStr">
        <is>
          <t>W4102504262</t>
        </is>
      </c>
      <c r="E2076" s="11" t="inlineStr">
        <is>
          <t>Entsorgungs-Mehrkosten / Entsorgungswege</t>
        </is>
      </c>
      <c r="F2076" s="10" t="inlineStr">
        <is>
          <t>Entsorgung</t>
        </is>
      </c>
      <c r="G2076" s="12" t="n">
        <v>0.15</v>
      </c>
      <c r="H2076" s="13" t="n">
        <v>1200</v>
      </c>
      <c r="I2076" s="13" t="n">
        <v>3000</v>
      </c>
      <c r="J2076" s="13" t="n">
        <v>6001</v>
      </c>
      <c r="K2076" s="14">
        <f>IF(OR(COUNT(G2076:J2076)&lt;&gt;4,G2076&lt;0,G2076&gt;1,H2076&gt;I2076,I2076&gt;J2076),"n.a.",ROUND(G2076*(H2076+4*I2076+J2076)/6+0.00000001,2))</f>
        <v/>
      </c>
      <c r="L2076" s="13" t="n">
        <v>0</v>
      </c>
      <c r="M2076" s="14">
        <f>SUMIFS(Maßnahmen!$I$7:$I$126,Maßnahmen!$D$7:$D$126,C2076,Maßnahmen!$H$7:$H$126,"&lt;&gt;verworfen")</f>
        <v/>
      </c>
      <c r="N2076" s="14">
        <f>IF(ISNUMBER(K2076),MAX(0,K2076-L2076-M2076),"n.a.")</f>
        <v/>
      </c>
      <c r="O2076" s="14" t="n">
        <v>480.03</v>
      </c>
      <c r="P2076" s="14">
        <f>IF(ISNUMBER(K2076),K2076-O2076,"n.a.")</f>
        <v/>
      </c>
    </row>
    <row r="2077" ht="32" customHeight="1">
      <c r="C2077" s="10" t="inlineStr">
        <is>
          <t>PRJ-39e56395-RK-04</t>
        </is>
      </c>
      <c r="D2077" s="10" t="inlineStr">
        <is>
          <t>W4102504262</t>
        </is>
      </c>
      <c r="E2077" s="11" t="inlineStr">
        <is>
          <t>Baustofftrennung / Aufbereitung nicht wie geplant</t>
        </is>
      </c>
      <c r="F2077" s="10" t="inlineStr">
        <is>
          <t>Entsorgung</t>
        </is>
      </c>
      <c r="G2077" s="12" t="n">
        <v>0.098</v>
      </c>
      <c r="H2077" s="13" t="n">
        <v>909</v>
      </c>
      <c r="I2077" s="13" t="n">
        <v>2563</v>
      </c>
      <c r="J2077" s="13" t="n">
        <v>5272</v>
      </c>
      <c r="K2077" s="14">
        <f>IF(OR(COUNT(G2077:J2077)&lt;&gt;4,G2077&lt;0,G2077&gt;1,H2077&gt;I2077,I2077&gt;J2077),"n.a.",ROUND(G2077*(H2077+4*I2077+J2077)/6+0.00000001,2))</f>
        <v/>
      </c>
      <c r="L2077" s="13" t="n">
        <v>0</v>
      </c>
      <c r="M2077" s="14">
        <f>SUMIFS(Maßnahmen!$I$7:$I$126,Maßnahmen!$D$7:$D$126,C2077,Maßnahmen!$H$7:$H$126,"&lt;&gt;verworfen")</f>
        <v/>
      </c>
      <c r="N2077" s="14">
        <f>IF(ISNUMBER(K2077),MAX(0,K2077-L2077-M2077),"n.a.")</f>
        <v/>
      </c>
      <c r="O2077" s="14" t="n">
        <v>268.41</v>
      </c>
      <c r="P2077" s="14">
        <f>IF(ISNUMBER(K2077),K2077-O2077,"n.a.")</f>
        <v/>
      </c>
    </row>
    <row r="2078" ht="32" customHeight="1">
      <c r="C2078" s="10" t="inlineStr">
        <is>
          <t>PRJ-39e56395-RK-05</t>
        </is>
      </c>
      <c r="D2078" s="10" t="inlineStr">
        <is>
          <t>W4102504262</t>
        </is>
      </c>
      <c r="E2078" s="11" t="inlineStr">
        <is>
          <t>Unbekannte Bauwerkskonstruktion / fehlende Pläne</t>
        </is>
      </c>
      <c r="F2078" s="10" t="inlineStr">
        <is>
          <t>Statik</t>
        </is>
      </c>
      <c r="G2078" s="12" t="n">
        <v>0.12</v>
      </c>
      <c r="H2078" s="13" t="n">
        <v>1830</v>
      </c>
      <c r="I2078" s="13" t="n">
        <v>3851</v>
      </c>
      <c r="J2078" s="13" t="n">
        <v>7481</v>
      </c>
      <c r="K2078" s="14">
        <f>IF(OR(COUNT(G2078:J2078)&lt;&gt;4,G2078&lt;0,G2078&gt;1,H2078&gt;I2078,I2078&gt;J2078),"n.a.",ROUND(G2078*(H2078+4*I2078+J2078)/6+0.00000001,2))</f>
        <v/>
      </c>
      <c r="L2078" s="13" t="n">
        <v>0</v>
      </c>
      <c r="M2078" s="14">
        <f>SUMIFS(Maßnahmen!$I$7:$I$126,Maßnahmen!$D$7:$D$126,C2078,Maßnahmen!$H$7:$H$126,"&lt;&gt;verworfen")</f>
        <v/>
      </c>
      <c r="N2078" s="14">
        <f>IF(ISNUMBER(K2078),MAX(0,K2078-L2078-M2078),"n.a.")</f>
        <v/>
      </c>
      <c r="O2078" s="14" t="n">
        <v>494.3</v>
      </c>
      <c r="P2078" s="14">
        <f>IF(ISNUMBER(K2078),K2078-O2078,"n.a.")</f>
        <v/>
      </c>
    </row>
    <row r="2079" ht="32" customHeight="1">
      <c r="C2079" s="10" t="inlineStr">
        <is>
          <t>PRJ-39e56395-RK-06</t>
        </is>
      </c>
      <c r="D2079" s="10" t="inlineStr">
        <is>
          <t>W4102504262</t>
        </is>
      </c>
      <c r="E2079" s="11" t="inlineStr">
        <is>
          <t>Statik / Einsturzsicherung während Abbruch</t>
        </is>
      </c>
      <c r="F2079" s="10" t="inlineStr">
        <is>
          <t>Statik</t>
        </is>
      </c>
      <c r="G2079" s="12" t="n">
        <v>0.12</v>
      </c>
      <c r="H2079" s="13" t="n">
        <v>1800</v>
      </c>
      <c r="I2079" s="13" t="n">
        <v>4201</v>
      </c>
      <c r="J2079" s="13" t="n">
        <v>8401</v>
      </c>
      <c r="K2079" s="14">
        <f>IF(OR(COUNT(G2079:J2079)&lt;&gt;4,G2079&lt;0,G2079&gt;1,H2079&gt;I2079,I2079&gt;J2079),"n.a.",ROUND(G2079*(H2079+4*I2079+J2079)/6+0.00000001,2))</f>
        <v/>
      </c>
      <c r="L2079" s="13" t="n">
        <v>0</v>
      </c>
      <c r="M2079" s="14">
        <f>SUMIFS(Maßnahmen!$I$7:$I$126,Maßnahmen!$D$7:$D$126,C2079,Maßnahmen!$H$7:$H$126,"&lt;&gt;verworfen")</f>
        <v/>
      </c>
      <c r="N2079" s="14">
        <f>IF(ISNUMBER(K2079),MAX(0,K2079-L2079-M2079),"n.a.")</f>
        <v/>
      </c>
      <c r="O2079" s="14" t="n">
        <v>540.1</v>
      </c>
      <c r="P2079" s="14">
        <f>IF(ISNUMBER(K2079),K2079-O2079,"n.a.")</f>
        <v/>
      </c>
    </row>
    <row r="2080" ht="32" customHeight="1">
      <c r="C2080" s="10" t="inlineStr">
        <is>
          <t>PRJ-39e56395-RK-07</t>
        </is>
      </c>
      <c r="D2080" s="10" t="inlineStr">
        <is>
          <t>W4102504262</t>
        </is>
      </c>
      <c r="E2080" s="11" t="inlineStr">
        <is>
          <t>Unterirdische Tragkonstruktion / Fundamente</t>
        </is>
      </c>
      <c r="F2080" s="10" t="inlineStr">
        <is>
          <t>Statik</t>
        </is>
      </c>
      <c r="G2080" s="12" t="n">
        <v>0.5</v>
      </c>
      <c r="H2080" s="13" t="n">
        <v>300</v>
      </c>
      <c r="I2080" s="13" t="n">
        <v>1200</v>
      </c>
      <c r="J2080" s="13" t="n">
        <v>3000</v>
      </c>
      <c r="K2080" s="14">
        <f>IF(OR(COUNT(G2080:J2080)&lt;&gt;4,G2080&lt;0,G2080&gt;1,H2080&gt;I2080,I2080&gt;J2080),"n.a.",ROUND(G2080*(H2080+4*I2080+J2080)/6+0.00000001,2))</f>
        <v/>
      </c>
      <c r="L2080" s="13" t="n">
        <v>0</v>
      </c>
      <c r="M2080" s="14">
        <f>SUMIFS(Maßnahmen!$I$7:$I$126,Maßnahmen!$D$7:$D$126,C2080,Maßnahmen!$H$7:$H$126,"&lt;&gt;verworfen")</f>
        <v/>
      </c>
      <c r="N2080" s="14">
        <f>IF(ISNUMBER(K2080),MAX(0,K2080-L2080-M2080),"n.a.")</f>
        <v/>
      </c>
      <c r="O2080" s="14" t="n">
        <v>675</v>
      </c>
      <c r="P2080" s="14">
        <f>IF(ISNUMBER(K2080),K2080-O2080,"n.a.")</f>
        <v/>
      </c>
    </row>
    <row r="2081" ht="32" customHeight="1">
      <c r="C2081" s="10" t="inlineStr">
        <is>
          <t>PRJ-39e56395-RK-08</t>
        </is>
      </c>
      <c r="D2081" s="10" t="inlineStr">
        <is>
          <t>W4102504262</t>
        </is>
      </c>
      <c r="E2081" s="11" t="inlineStr">
        <is>
          <t>Gebäudehöhe &gt;22 m / Longfront-Bagger (+130–150 %)</t>
        </is>
      </c>
      <c r="F2081" s="10" t="inlineStr">
        <is>
          <t>Termin</t>
        </is>
      </c>
      <c r="G2081" s="12" t="n">
        <v>0.6</v>
      </c>
      <c r="H2081" s="13" t="n">
        <v>5401</v>
      </c>
      <c r="I2081" s="13" t="n">
        <v>10802</v>
      </c>
      <c r="J2081" s="13" t="n">
        <v>20403</v>
      </c>
      <c r="K2081" s="14">
        <f>IF(OR(COUNT(G2081:J2081)&lt;&gt;4,G2081&lt;0,G2081&gt;1,H2081&gt;I2081,I2081&gt;J2081),"n.a.",ROUND(G2081*(H2081+4*I2081+J2081)/6+0.00000001,2))</f>
        <v/>
      </c>
      <c r="L2081" s="13" t="n">
        <v>0</v>
      </c>
      <c r="M2081" s="14">
        <f>SUMIFS(Maßnahmen!$I$7:$I$126,Maßnahmen!$D$7:$D$126,C2081,Maßnahmen!$H$7:$H$126,"&lt;&gt;verworfen")</f>
        <v/>
      </c>
      <c r="N2081" s="14">
        <f>IF(ISNUMBER(K2081),MAX(0,K2081-L2081-M2081),"n.a.")</f>
        <v/>
      </c>
      <c r="O2081" s="14" t="n">
        <v>6901.2</v>
      </c>
      <c r="P2081" s="14">
        <f>IF(ISNUMBER(K2081),K2081-O2081,"n.a.")</f>
        <v/>
      </c>
    </row>
    <row r="2082" ht="32" customHeight="1">
      <c r="C2082" s="10" t="inlineStr">
        <is>
          <t>PRJ-39e56395-RK-09</t>
        </is>
      </c>
      <c r="D2082" s="10" t="inlineStr">
        <is>
          <t>W4102504262</t>
        </is>
      </c>
      <c r="E2082" s="11" t="inlineStr">
        <is>
          <t>Beennte Lage / nur Handabbruch möglich</t>
        </is>
      </c>
      <c r="F2082" s="10" t="inlineStr">
        <is>
          <t>Termin</t>
        </is>
      </c>
      <c r="G2082" s="12" t="n">
        <v>0.128</v>
      </c>
      <c r="H2082" s="13" t="n">
        <v>300</v>
      </c>
      <c r="I2082" s="13" t="n">
        <v>820</v>
      </c>
      <c r="J2082" s="13" t="n">
        <v>2240</v>
      </c>
      <c r="K2082" s="14">
        <f>IF(OR(COUNT(G2082:J2082)&lt;&gt;4,G2082&lt;0,G2082&gt;1,H2082&gt;I2082,I2082&gt;J2082),"n.a.",ROUND(G2082*(H2082+4*I2082+J2082)/6+0.00000001,2))</f>
        <v/>
      </c>
      <c r="L2082" s="13" t="n">
        <v>0</v>
      </c>
      <c r="M2082" s="14">
        <f>SUMIFS(Maßnahmen!$I$7:$I$126,Maßnahmen!$D$7:$D$126,C2082,Maßnahmen!$H$7:$H$126,"&lt;&gt;verworfen")</f>
        <v/>
      </c>
      <c r="N2082" s="14">
        <f>IF(ISNUMBER(K2082),MAX(0,K2082-L2082-M2082),"n.a.")</f>
        <v/>
      </c>
      <c r="O2082" s="14" t="n">
        <v>124.16</v>
      </c>
      <c r="P2082" s="14">
        <f>IF(ISNUMBER(K2082),K2082-O2082,"n.a.")</f>
        <v/>
      </c>
    </row>
    <row r="2083" ht="32" customHeight="1">
      <c r="C2083" s="10" t="inlineStr">
        <is>
          <t>PRJ-39e56395-RK-10</t>
        </is>
      </c>
      <c r="D2083" s="10" t="inlineStr">
        <is>
          <t>W4102504262</t>
        </is>
      </c>
      <c r="E2083" s="11" t="inlineStr">
        <is>
          <t>Terminvorgabe Auftraggeber / Geräteauslastung</t>
        </is>
      </c>
      <c r="F2083" s="10" t="inlineStr">
        <is>
          <t>Termin</t>
        </is>
      </c>
      <c r="G2083" s="12" t="n">
        <v>0.098</v>
      </c>
      <c r="H2083" s="13" t="n">
        <v>451</v>
      </c>
      <c r="I2083" s="13" t="n">
        <v>1156</v>
      </c>
      <c r="J2083" s="13" t="n">
        <v>2928</v>
      </c>
      <c r="K2083" s="14">
        <f>IF(OR(COUNT(G2083:J2083)&lt;&gt;4,G2083&lt;0,G2083&gt;1,H2083&gt;I2083,I2083&gt;J2083),"n.a.",ROUND(G2083*(H2083+4*I2083+J2083)/6+0.00000001,2))</f>
        <v/>
      </c>
      <c r="L2083" s="13" t="n">
        <v>0</v>
      </c>
      <c r="M2083" s="14">
        <f>SUMIFS(Maßnahmen!$I$7:$I$126,Maßnahmen!$D$7:$D$126,C2083,Maßnahmen!$H$7:$H$126,"&lt;&gt;verworfen")</f>
        <v/>
      </c>
      <c r="N2083" s="14">
        <f>IF(ISNUMBER(K2083),MAX(0,K2083-L2083-M2083),"n.a.")</f>
        <v/>
      </c>
      <c r="O2083" s="14" t="n">
        <v>130.72</v>
      </c>
      <c r="P2083" s="14">
        <f>IF(ISNUMBER(K2083),K2083-O2083,"n.a.")</f>
        <v/>
      </c>
    </row>
    <row r="2084" ht="32" customHeight="1">
      <c r="C2084" s="10" t="inlineStr">
        <is>
          <t>PRJ-39e56395-RK-11</t>
        </is>
      </c>
      <c r="D2084" s="10" t="inlineStr">
        <is>
          <t>W4102504262</t>
        </is>
      </c>
      <c r="E2084" s="11" t="inlineStr">
        <is>
          <t>Witterung / Ablaufstörung</t>
        </is>
      </c>
      <c r="F2084" s="10" t="inlineStr">
        <is>
          <t>Termin</t>
        </is>
      </c>
      <c r="G2084" s="12" t="n">
        <v>0.25</v>
      </c>
      <c r="H2084" s="13" t="n">
        <v>600</v>
      </c>
      <c r="I2084" s="13" t="n">
        <v>1800</v>
      </c>
      <c r="J2084" s="13" t="n">
        <v>3601</v>
      </c>
      <c r="K2084" s="14">
        <f>IF(OR(COUNT(G2084:J2084)&lt;&gt;4,G2084&lt;0,G2084&gt;1,H2084&gt;I2084,I2084&gt;J2084),"n.a.",ROUND(G2084*(H2084+4*I2084+J2084)/6+0.00000001,2))</f>
        <v/>
      </c>
      <c r="L2084" s="13" t="n">
        <v>0</v>
      </c>
      <c r="M2084" s="14">
        <f>SUMIFS(Maßnahmen!$I$7:$I$126,Maßnahmen!$D$7:$D$126,C2084,Maßnahmen!$H$7:$H$126,"&lt;&gt;verworfen")</f>
        <v/>
      </c>
      <c r="N2084" s="14">
        <f>IF(ISNUMBER(K2084),MAX(0,K2084-L2084-M2084),"n.a.")</f>
        <v/>
      </c>
      <c r="O2084" s="14" t="n">
        <v>475.04</v>
      </c>
      <c r="P2084" s="14">
        <f>IF(ISNUMBER(K2084),K2084-O2084,"n.a.")</f>
        <v/>
      </c>
    </row>
    <row r="2085" ht="32" customHeight="1">
      <c r="C2085" s="10" t="inlineStr">
        <is>
          <t>PRJ-39e56395-RK-12</t>
        </is>
      </c>
      <c r="D2085" s="10" t="inlineStr">
        <is>
          <t>W4102504262</t>
        </is>
      </c>
      <c r="E2085" s="11" t="inlineStr">
        <is>
          <t>Staubemissionen (höchster Aufwand laut Umfrage)</t>
        </is>
      </c>
      <c r="F2085" s="10" t="inlineStr">
        <is>
          <t>Emissionen</t>
        </is>
      </c>
      <c r="G2085" s="12" t="n">
        <v>0.1</v>
      </c>
      <c r="H2085" s="13" t="n">
        <v>1800</v>
      </c>
      <c r="I2085" s="13" t="n">
        <v>3601</v>
      </c>
      <c r="J2085" s="13" t="n">
        <v>7201</v>
      </c>
      <c r="K2085" s="14">
        <f>IF(OR(COUNT(G2085:J2085)&lt;&gt;4,G2085&lt;0,G2085&gt;1,H2085&gt;I2085,I2085&gt;J2085),"n.a.",ROUND(G2085*(H2085+4*I2085+J2085)/6+0.00000001,2))</f>
        <v/>
      </c>
      <c r="L2085" s="13" t="n">
        <v>0</v>
      </c>
      <c r="M2085" s="14">
        <f>SUMIFS(Maßnahmen!$I$7:$I$126,Maßnahmen!$D$7:$D$126,C2085,Maßnahmen!$H$7:$H$126,"&lt;&gt;verworfen")</f>
        <v/>
      </c>
      <c r="N2085" s="14">
        <f>IF(ISNUMBER(K2085),MAX(0,K2085-L2085-M2085),"n.a.")</f>
        <v/>
      </c>
      <c r="O2085" s="14" t="n">
        <v>390.08</v>
      </c>
      <c r="P2085" s="14">
        <f>IF(ISNUMBER(K2085),K2085-O2085,"n.a.")</f>
        <v/>
      </c>
    </row>
    <row r="2086" ht="32" customHeight="1">
      <c r="C2086" s="10" t="inlineStr">
        <is>
          <t>PRJ-39e56395-RK-13</t>
        </is>
      </c>
      <c r="D2086" s="10" t="inlineStr">
        <is>
          <t>W4102504262</t>
        </is>
      </c>
      <c r="E2086" s="11" t="inlineStr">
        <is>
          <t>Lärm- und Erschütterungsauflagen</t>
        </is>
      </c>
      <c r="F2086" s="10" t="inlineStr">
        <is>
          <t>Emissionen</t>
        </is>
      </c>
      <c r="G2086" s="12" t="n">
        <v>0.165</v>
      </c>
      <c r="H2086" s="13" t="n">
        <v>744</v>
      </c>
      <c r="I2086" s="13" t="n">
        <v>2164</v>
      </c>
      <c r="J2086" s="13" t="n">
        <v>4557</v>
      </c>
      <c r="K2086" s="14">
        <f>IF(OR(COUNT(G2086:J2086)&lt;&gt;4,G2086&lt;0,G2086&gt;1,H2086&gt;I2086,I2086&gt;J2086),"n.a.",ROUND(G2086*(H2086+4*I2086+J2086)/6+0.00000001,2))</f>
        <v/>
      </c>
      <c r="L2086" s="13" t="n">
        <v>0</v>
      </c>
      <c r="M2086" s="14">
        <f>SUMIFS(Maßnahmen!$I$7:$I$126,Maßnahmen!$D$7:$D$126,C2086,Maßnahmen!$H$7:$H$126,"&lt;&gt;verworfen")</f>
        <v/>
      </c>
      <c r="N2086" s="14">
        <f>IF(ISNUMBER(K2086),MAX(0,K2086-L2086-M2086),"n.a.")</f>
        <v/>
      </c>
      <c r="O2086" s="14" t="n">
        <v>383.82</v>
      </c>
      <c r="P2086" s="14">
        <f>IF(ISNUMBER(K2086),K2086-O2086,"n.a.")</f>
        <v/>
      </c>
    </row>
    <row r="2087" ht="32" customHeight="1">
      <c r="C2087" s="10" t="inlineStr">
        <is>
          <t>PRJ-39e56395-RK-14</t>
        </is>
      </c>
      <c r="D2087" s="10" t="inlineStr">
        <is>
          <t>W4102504262</t>
        </is>
      </c>
      <c r="E2087" s="11" t="inlineStr">
        <is>
          <t>Rechtliche Auflagen / Entsorgungsnachweise (Formalismus)</t>
        </is>
      </c>
      <c r="F2087" s="10" t="inlineStr">
        <is>
          <t>Genehmigung</t>
        </is>
      </c>
      <c r="G2087" s="12" t="n">
        <v>0.4</v>
      </c>
      <c r="H2087" s="13" t="n">
        <v>5701</v>
      </c>
      <c r="I2087" s="13" t="n">
        <v>11102</v>
      </c>
      <c r="J2087" s="13" t="n">
        <v>21003</v>
      </c>
      <c r="K2087" s="14">
        <f>IF(OR(COUNT(G2087:J2087)&lt;&gt;4,G2087&lt;0,G2087&gt;1,H2087&gt;I2087,I2087&gt;J2087),"n.a.",ROUND(G2087*(H2087+4*I2087+J2087)/6+0.00000001,2))</f>
        <v/>
      </c>
      <c r="L2087" s="13" t="n">
        <v>0</v>
      </c>
      <c r="M2087" s="14">
        <f>SUMIFS(Maßnahmen!$I$7:$I$126,Maßnahmen!$D$7:$D$126,C2087,Maßnahmen!$H$7:$H$126,"&lt;&gt;verworfen")</f>
        <v/>
      </c>
      <c r="N2087" s="14">
        <f>IF(ISNUMBER(K2087),MAX(0,K2087-L2087-M2087),"n.a.")</f>
        <v/>
      </c>
      <c r="O2087" s="14" t="n">
        <v>4740.8</v>
      </c>
      <c r="P2087" s="14">
        <f>IF(ISNUMBER(K2087),K2087-O2087,"n.a.")</f>
        <v/>
      </c>
    </row>
    <row r="2088" ht="32" customHeight="1">
      <c r="C2088" s="10" t="inlineStr">
        <is>
          <t>PRJ-39e56395-RK-15</t>
        </is>
      </c>
      <c r="D2088" s="10" t="inlineStr">
        <is>
          <t>W4102504262</t>
        </is>
      </c>
      <c r="E2088" s="11" t="inlineStr">
        <is>
          <t>Konjunktur / Sekundärstoffpreise &amp; Gerätemiete</t>
        </is>
      </c>
      <c r="F2088" s="10" t="inlineStr">
        <is>
          <t>Markt</t>
        </is>
      </c>
      <c r="G2088" s="12" t="n">
        <v>0.12</v>
      </c>
      <c r="H2088" s="13" t="n">
        <v>480</v>
      </c>
      <c r="I2088" s="13" t="n">
        <v>1200</v>
      </c>
      <c r="J2088" s="13" t="n">
        <v>3000</v>
      </c>
      <c r="K2088" s="14">
        <f>IF(OR(COUNT(G2088:J2088)&lt;&gt;4,G2088&lt;0,G2088&gt;1,H2088&gt;I2088,I2088&gt;J2088),"n.a.",ROUND(G2088*(H2088+4*I2088+J2088)/6+0.00000001,2))</f>
        <v/>
      </c>
      <c r="L2088" s="13" t="n">
        <v>0</v>
      </c>
      <c r="M2088" s="14">
        <f>SUMIFS(Maßnahmen!$I$7:$I$126,Maßnahmen!$D$7:$D$126,C2088,Maßnahmen!$H$7:$H$126,"&lt;&gt;verworfen")</f>
        <v/>
      </c>
      <c r="N2088" s="14">
        <f>IF(ISNUMBER(K2088),MAX(0,K2088-L2088-M2088),"n.a.")</f>
        <v/>
      </c>
      <c r="O2088" s="14" t="n">
        <v>165.6</v>
      </c>
      <c r="P2088" s="14">
        <f>IF(ISNUMBER(K2088),K2088-O2088,"n.a.")</f>
        <v/>
      </c>
    </row>
    <row r="2089" ht="32" customHeight="1">
      <c r="C2089" s="10" t="inlineStr">
        <is>
          <t>PRJ-39e56431-RK-01</t>
        </is>
      </c>
      <c r="D2089" s="10" t="inlineStr">
        <is>
          <t>W4102504211</t>
        </is>
      </c>
      <c r="E2089" s="11" t="inlineStr">
        <is>
          <t>Schadstofffund / Schadstoffsanierung (Asbest, PAK, PCB, PCP)</t>
        </is>
      </c>
      <c r="F2089" s="10" t="inlineStr">
        <is>
          <t>Schadstoffe</t>
        </is>
      </c>
      <c r="G2089" s="12" t="n">
        <v>0.1</v>
      </c>
      <c r="H2089" s="13" t="n">
        <v>20</v>
      </c>
      <c r="I2089" s="13" t="n">
        <v>50</v>
      </c>
      <c r="J2089" s="13" t="n">
        <v>100</v>
      </c>
      <c r="K2089" s="14">
        <f>IF(OR(COUNT(G2089:J2089)&lt;&gt;4,G2089&lt;0,G2089&gt;1,H2089&gt;I2089,I2089&gt;J2089),"n.a.",ROUND(G2089*(H2089+4*I2089+J2089)/6+0.00000001,2))</f>
        <v/>
      </c>
      <c r="L2089" s="13" t="n">
        <v>0</v>
      </c>
      <c r="M2089" s="14">
        <f>SUMIFS(Maßnahmen!$I$7:$I$126,Maßnahmen!$D$7:$D$126,C2089,Maßnahmen!$H$7:$H$126,"&lt;&gt;verworfen")</f>
        <v/>
      </c>
      <c r="N2089" s="14">
        <f>IF(ISNUMBER(K2089),MAX(0,K2089-L2089-M2089),"n.a.")</f>
        <v/>
      </c>
      <c r="O2089" s="14" t="n">
        <v>5.33</v>
      </c>
      <c r="P2089" s="14">
        <f>IF(ISNUMBER(K2089),K2089-O2089,"n.a.")</f>
        <v/>
      </c>
    </row>
    <row r="2090" ht="32" customHeight="1">
      <c r="C2090" s="10" t="inlineStr">
        <is>
          <t>PRJ-39e56431-RK-02</t>
        </is>
      </c>
      <c r="D2090" s="10" t="inlineStr">
        <is>
          <t>W4102504211</t>
        </is>
      </c>
      <c r="E2090" s="11" t="inlineStr">
        <is>
          <t>Arbeitsschutz kontaminierte Bereiche (TRGS 524)</t>
        </is>
      </c>
      <c r="F2090" s="10" t="inlineStr">
        <is>
          <t>Schadstoffe</t>
        </is>
      </c>
      <c r="G2090" s="12" t="n">
        <v>0.47</v>
      </c>
      <c r="H2090" s="13" t="n">
        <v>20</v>
      </c>
      <c r="I2090" s="13" t="n">
        <v>50</v>
      </c>
      <c r="J2090" s="13" t="n">
        <v>100</v>
      </c>
      <c r="K2090" s="14">
        <f>IF(OR(COUNT(G2090:J2090)&lt;&gt;4,G2090&lt;0,G2090&gt;1,H2090&gt;I2090,I2090&gt;J2090),"n.a.",ROUND(G2090*(H2090+4*I2090+J2090)/6+0.00000001,2))</f>
        <v/>
      </c>
      <c r="L2090" s="13" t="n">
        <v>0</v>
      </c>
      <c r="M2090" s="14">
        <f>SUMIFS(Maßnahmen!$I$7:$I$126,Maßnahmen!$D$7:$D$126,C2090,Maßnahmen!$H$7:$H$126,"&lt;&gt;verworfen")</f>
        <v/>
      </c>
      <c r="N2090" s="14">
        <f>IF(ISNUMBER(K2090),MAX(0,K2090-L2090-M2090),"n.a.")</f>
        <v/>
      </c>
      <c r="O2090" s="14" t="n">
        <v>25.07</v>
      </c>
      <c r="P2090" s="14">
        <f>IF(ISNUMBER(K2090),K2090-O2090,"n.a.")</f>
        <v/>
      </c>
    </row>
    <row r="2091" ht="32" customHeight="1">
      <c r="C2091" s="10" t="inlineStr">
        <is>
          <t>PRJ-39e56431-RK-03</t>
        </is>
      </c>
      <c r="D2091" s="10" t="inlineStr">
        <is>
          <t>W4102504211</t>
        </is>
      </c>
      <c r="E2091" s="11" t="inlineStr">
        <is>
          <t>Entsorgungs-Mehrkosten / Entsorgungswege</t>
        </is>
      </c>
      <c r="F2091" s="10" t="inlineStr">
        <is>
          <t>Entsorgung</t>
        </is>
      </c>
      <c r="G2091" s="12" t="n">
        <v>0.15</v>
      </c>
      <c r="H2091" s="13" t="n">
        <v>20</v>
      </c>
      <c r="I2091" s="13" t="n">
        <v>50</v>
      </c>
      <c r="J2091" s="13" t="n">
        <v>100</v>
      </c>
      <c r="K2091" s="14">
        <f>IF(OR(COUNT(G2091:J2091)&lt;&gt;4,G2091&lt;0,G2091&gt;1,H2091&gt;I2091,I2091&gt;J2091),"n.a.",ROUND(G2091*(H2091+4*I2091+J2091)/6+0.00000001,2))</f>
        <v/>
      </c>
      <c r="L2091" s="13" t="n">
        <v>0</v>
      </c>
      <c r="M2091" s="14">
        <f>SUMIFS(Maßnahmen!$I$7:$I$126,Maßnahmen!$D$7:$D$126,C2091,Maßnahmen!$H$7:$H$126,"&lt;&gt;verworfen")</f>
        <v/>
      </c>
      <c r="N2091" s="14">
        <f>IF(ISNUMBER(K2091),MAX(0,K2091-L2091-M2091),"n.a.")</f>
        <v/>
      </c>
      <c r="O2091" s="14" t="n">
        <v>8</v>
      </c>
      <c r="P2091" s="14">
        <f>IF(ISNUMBER(K2091),K2091-O2091,"n.a.")</f>
        <v/>
      </c>
    </row>
    <row r="2092" ht="32" customHeight="1">
      <c r="C2092" s="10" t="inlineStr">
        <is>
          <t>PRJ-39e56431-RK-04</t>
        </is>
      </c>
      <c r="D2092" s="10" t="inlineStr">
        <is>
          <t>W4102504211</t>
        </is>
      </c>
      <c r="E2092" s="11" t="inlineStr">
        <is>
          <t>Baustofftrennung / Aufbereitung nicht wie geplant</t>
        </is>
      </c>
      <c r="F2092" s="10" t="inlineStr">
        <is>
          <t>Entsorgung</t>
        </is>
      </c>
      <c r="G2092" s="12" t="n">
        <v>0.1</v>
      </c>
      <c r="H2092" s="13" t="n">
        <v>20</v>
      </c>
      <c r="I2092" s="13" t="n">
        <v>50</v>
      </c>
      <c r="J2092" s="13" t="n">
        <v>100</v>
      </c>
      <c r="K2092" s="14">
        <f>IF(OR(COUNT(G2092:J2092)&lt;&gt;4,G2092&lt;0,G2092&gt;1,H2092&gt;I2092,I2092&gt;J2092),"n.a.",ROUND(G2092*(H2092+4*I2092+J2092)/6+0.00000001,2))</f>
        <v/>
      </c>
      <c r="L2092" s="13" t="n">
        <v>0</v>
      </c>
      <c r="M2092" s="14">
        <f>SUMIFS(Maßnahmen!$I$7:$I$126,Maßnahmen!$D$7:$D$126,C2092,Maßnahmen!$H$7:$H$126,"&lt;&gt;verworfen")</f>
        <v/>
      </c>
      <c r="N2092" s="14">
        <f>IF(ISNUMBER(K2092),MAX(0,K2092-L2092-M2092),"n.a.")</f>
        <v/>
      </c>
      <c r="O2092" s="14" t="n">
        <v>5.33</v>
      </c>
      <c r="P2092" s="14">
        <f>IF(ISNUMBER(K2092),K2092-O2092,"n.a.")</f>
        <v/>
      </c>
    </row>
    <row r="2093" ht="32" customHeight="1">
      <c r="C2093" s="10" t="inlineStr">
        <is>
          <t>PRJ-39e56431-RK-05</t>
        </is>
      </c>
      <c r="D2093" s="10" t="inlineStr">
        <is>
          <t>W4102504211</t>
        </is>
      </c>
      <c r="E2093" s="11" t="inlineStr">
        <is>
          <t>Unbekannte Bauwerkskonstruktion / fehlende Pläne</t>
        </is>
      </c>
      <c r="F2093" s="10" t="inlineStr">
        <is>
          <t>Statik</t>
        </is>
      </c>
      <c r="G2093" s="12" t="n">
        <v>0.12</v>
      </c>
      <c r="H2093" s="13" t="n">
        <v>40</v>
      </c>
      <c r="I2093" s="13" t="n">
        <v>80</v>
      </c>
      <c r="J2093" s="13" t="n">
        <v>150</v>
      </c>
      <c r="K2093" s="14">
        <f>IF(OR(COUNT(G2093:J2093)&lt;&gt;4,G2093&lt;0,G2093&gt;1,H2093&gt;I2093,I2093&gt;J2093),"n.a.",ROUND(G2093*(H2093+4*I2093+J2093)/6+0.00000001,2))</f>
        <v/>
      </c>
      <c r="L2093" s="13" t="n">
        <v>0</v>
      </c>
      <c r="M2093" s="14">
        <f>SUMIFS(Maßnahmen!$I$7:$I$126,Maßnahmen!$D$7:$D$126,C2093,Maßnahmen!$H$7:$H$126,"&lt;&gt;verworfen")</f>
        <v/>
      </c>
      <c r="N2093" s="14">
        <f>IF(ISNUMBER(K2093),MAX(0,K2093-L2093-M2093),"n.a.")</f>
        <v/>
      </c>
      <c r="O2093" s="14" t="n">
        <v>10.2</v>
      </c>
      <c r="P2093" s="14">
        <f>IF(ISNUMBER(K2093),K2093-O2093,"n.a.")</f>
        <v/>
      </c>
    </row>
    <row r="2094" ht="32" customHeight="1">
      <c r="C2094" s="10" t="inlineStr">
        <is>
          <t>PRJ-39e56431-RK-06</t>
        </is>
      </c>
      <c r="D2094" s="10" t="inlineStr">
        <is>
          <t>W4102504211</t>
        </is>
      </c>
      <c r="E2094" s="11" t="inlineStr">
        <is>
          <t>Statik / Einsturzsicherung während Abbruch</t>
        </is>
      </c>
      <c r="F2094" s="10" t="inlineStr">
        <is>
          <t>Statik</t>
        </is>
      </c>
      <c r="G2094" s="12" t="n">
        <v>0.12</v>
      </c>
      <c r="H2094" s="13" t="n">
        <v>30</v>
      </c>
      <c r="I2094" s="13" t="n">
        <v>70</v>
      </c>
      <c r="J2094" s="13" t="n">
        <v>140</v>
      </c>
      <c r="K2094" s="14">
        <f>IF(OR(COUNT(G2094:J2094)&lt;&gt;4,G2094&lt;0,G2094&gt;1,H2094&gt;I2094,I2094&gt;J2094),"n.a.",ROUND(G2094*(H2094+4*I2094+J2094)/6+0.00000001,2))</f>
        <v/>
      </c>
      <c r="L2094" s="13" t="n">
        <v>0</v>
      </c>
      <c r="M2094" s="14">
        <f>SUMIFS(Maßnahmen!$I$7:$I$126,Maßnahmen!$D$7:$D$126,C2094,Maßnahmen!$H$7:$H$126,"&lt;&gt;verworfen")</f>
        <v/>
      </c>
      <c r="N2094" s="14">
        <f>IF(ISNUMBER(K2094),MAX(0,K2094-L2094-M2094),"n.a.")</f>
        <v/>
      </c>
      <c r="O2094" s="14" t="n">
        <v>9</v>
      </c>
      <c r="P2094" s="14">
        <f>IF(ISNUMBER(K2094),K2094-O2094,"n.a.")</f>
        <v/>
      </c>
    </row>
    <row r="2095" ht="32" customHeight="1">
      <c r="C2095" s="10" t="inlineStr">
        <is>
          <t>PRJ-39e56431-RK-07</t>
        </is>
      </c>
      <c r="D2095" s="10" t="inlineStr">
        <is>
          <t>W4102504211</t>
        </is>
      </c>
      <c r="E2095" s="11" t="inlineStr">
        <is>
          <t>Unterirdische Tragkonstruktion / Fundamente</t>
        </is>
      </c>
      <c r="F2095" s="10" t="inlineStr">
        <is>
          <t>Statik</t>
        </is>
      </c>
      <c r="G2095" s="12" t="n">
        <v>0.5</v>
      </c>
      <c r="H2095" s="13" t="n">
        <v>5</v>
      </c>
      <c r="I2095" s="13" t="n">
        <v>20</v>
      </c>
      <c r="J2095" s="13" t="n">
        <v>50</v>
      </c>
      <c r="K2095" s="14">
        <f>IF(OR(COUNT(G2095:J2095)&lt;&gt;4,G2095&lt;0,G2095&gt;1,H2095&gt;I2095,I2095&gt;J2095),"n.a.",ROUND(G2095*(H2095+4*I2095+J2095)/6+0.00000001,2))</f>
        <v/>
      </c>
      <c r="L2095" s="13" t="n">
        <v>0</v>
      </c>
      <c r="M2095" s="14">
        <f>SUMIFS(Maßnahmen!$I$7:$I$126,Maßnahmen!$D$7:$D$126,C2095,Maßnahmen!$H$7:$H$126,"&lt;&gt;verworfen")</f>
        <v/>
      </c>
      <c r="N2095" s="14">
        <f>IF(ISNUMBER(K2095),MAX(0,K2095-L2095-M2095),"n.a.")</f>
        <v/>
      </c>
      <c r="O2095" s="14" t="n">
        <v>11.25</v>
      </c>
      <c r="P2095" s="14">
        <f>IF(ISNUMBER(K2095),K2095-O2095,"n.a.")</f>
        <v/>
      </c>
    </row>
    <row r="2096" ht="32" customHeight="1">
      <c r="C2096" s="10" t="inlineStr">
        <is>
          <t>PRJ-39e56431-RK-08</t>
        </is>
      </c>
      <c r="D2096" s="10" t="inlineStr">
        <is>
          <t>W4102504211</t>
        </is>
      </c>
      <c r="E2096" s="11" t="inlineStr">
        <is>
          <t>Gebäudehöhe &gt;22 m / Longfront-Bagger (+130–150 %)</t>
        </is>
      </c>
      <c r="F2096" s="10" t="inlineStr">
        <is>
          <t>Termin</t>
        </is>
      </c>
      <c r="G2096" s="12" t="n">
        <v>0.6</v>
      </c>
      <c r="H2096" s="13" t="n">
        <v>90</v>
      </c>
      <c r="I2096" s="13" t="n">
        <v>180</v>
      </c>
      <c r="J2096" s="13" t="n">
        <v>340</v>
      </c>
      <c r="K2096" s="14">
        <f>IF(OR(COUNT(G2096:J2096)&lt;&gt;4,G2096&lt;0,G2096&gt;1,H2096&gt;I2096,I2096&gt;J2096),"n.a.",ROUND(G2096*(H2096+4*I2096+J2096)/6+0.00000001,2))</f>
        <v/>
      </c>
      <c r="L2096" s="13" t="n">
        <v>0</v>
      </c>
      <c r="M2096" s="14">
        <f>SUMIFS(Maßnahmen!$I$7:$I$126,Maßnahmen!$D$7:$D$126,C2096,Maßnahmen!$H$7:$H$126,"&lt;&gt;verworfen")</f>
        <v/>
      </c>
      <c r="N2096" s="14">
        <f>IF(ISNUMBER(K2096),MAX(0,K2096-L2096-M2096),"n.a.")</f>
        <v/>
      </c>
      <c r="O2096" s="14" t="n">
        <v>115</v>
      </c>
      <c r="P2096" s="14">
        <f>IF(ISNUMBER(K2096),K2096-O2096,"n.a.")</f>
        <v/>
      </c>
    </row>
    <row r="2097" ht="32" customHeight="1">
      <c r="C2097" s="10" t="inlineStr">
        <is>
          <t>PRJ-39e56431-RK-09</t>
        </is>
      </c>
      <c r="D2097" s="10" t="inlineStr">
        <is>
          <t>W4102504211</t>
        </is>
      </c>
      <c r="E2097" s="11" t="inlineStr">
        <is>
          <t>Beennte Lage / nur Handabbruch möglich</t>
        </is>
      </c>
      <c r="F2097" s="10" t="inlineStr">
        <is>
          <t>Termin</t>
        </is>
      </c>
      <c r="G2097" s="12" t="n">
        <v>0.15</v>
      </c>
      <c r="H2097" s="13" t="n">
        <v>8</v>
      </c>
      <c r="I2097" s="13" t="n">
        <v>20</v>
      </c>
      <c r="J2097" s="13" t="n">
        <v>50</v>
      </c>
      <c r="K2097" s="14">
        <f>IF(OR(COUNT(G2097:J2097)&lt;&gt;4,G2097&lt;0,G2097&gt;1,H2097&gt;I2097,I2097&gt;J2097),"n.a.",ROUND(G2097*(H2097+4*I2097+J2097)/6+0.00000001,2))</f>
        <v/>
      </c>
      <c r="L2097" s="13" t="n">
        <v>0</v>
      </c>
      <c r="M2097" s="14">
        <f>SUMIFS(Maßnahmen!$I$7:$I$126,Maßnahmen!$D$7:$D$126,C2097,Maßnahmen!$H$7:$H$126,"&lt;&gt;verworfen")</f>
        <v/>
      </c>
      <c r="N2097" s="14">
        <f>IF(ISNUMBER(K2097),MAX(0,K2097-L2097-M2097),"n.a.")</f>
        <v/>
      </c>
      <c r="O2097" s="14" t="n">
        <v>3.45</v>
      </c>
      <c r="P2097" s="14">
        <f>IF(ISNUMBER(K2097),K2097-O2097,"n.a.")</f>
        <v/>
      </c>
    </row>
    <row r="2098" ht="32" customHeight="1">
      <c r="C2098" s="10" t="inlineStr">
        <is>
          <t>PRJ-39e56431-RK-10</t>
        </is>
      </c>
      <c r="D2098" s="10" t="inlineStr">
        <is>
          <t>W4102504211</t>
        </is>
      </c>
      <c r="E2098" s="11" t="inlineStr">
        <is>
          <t>Terminvorgabe Auftraggeber / Geräteauslastung</t>
        </is>
      </c>
      <c r="F2098" s="10" t="inlineStr">
        <is>
          <t>Termin</t>
        </is>
      </c>
      <c r="G2098" s="12" t="n">
        <v>0.1</v>
      </c>
      <c r="H2098" s="13" t="n">
        <v>8</v>
      </c>
      <c r="I2098" s="13" t="n">
        <v>20</v>
      </c>
      <c r="J2098" s="13" t="n">
        <v>50</v>
      </c>
      <c r="K2098" s="14">
        <f>IF(OR(COUNT(G2098:J2098)&lt;&gt;4,G2098&lt;0,G2098&gt;1,H2098&gt;I2098,I2098&gt;J2098),"n.a.",ROUND(G2098*(H2098+4*I2098+J2098)/6+0.00000001,2))</f>
        <v/>
      </c>
      <c r="L2098" s="13" t="n">
        <v>0</v>
      </c>
      <c r="M2098" s="14">
        <f>SUMIFS(Maßnahmen!$I$7:$I$126,Maßnahmen!$D$7:$D$126,C2098,Maßnahmen!$H$7:$H$126,"&lt;&gt;verworfen")</f>
        <v/>
      </c>
      <c r="N2098" s="14">
        <f>IF(ISNUMBER(K2098),MAX(0,K2098-L2098-M2098),"n.a.")</f>
        <v/>
      </c>
      <c r="O2098" s="14" t="n">
        <v>2.3</v>
      </c>
      <c r="P2098" s="14">
        <f>IF(ISNUMBER(K2098),K2098-O2098,"n.a.")</f>
        <v/>
      </c>
    </row>
    <row r="2099" ht="32" customHeight="1">
      <c r="C2099" s="10" t="inlineStr">
        <is>
          <t>PRJ-39e56431-RK-11</t>
        </is>
      </c>
      <c r="D2099" s="10" t="inlineStr">
        <is>
          <t>W4102504211</t>
        </is>
      </c>
      <c r="E2099" s="11" t="inlineStr">
        <is>
          <t>Witterung / Ablaufstörung</t>
        </is>
      </c>
      <c r="F2099" s="10" t="inlineStr">
        <is>
          <t>Termin</t>
        </is>
      </c>
      <c r="G2099" s="12" t="n">
        <v>0.25</v>
      </c>
      <c r="H2099" s="13" t="n">
        <v>10</v>
      </c>
      <c r="I2099" s="13" t="n">
        <v>30</v>
      </c>
      <c r="J2099" s="13" t="n">
        <v>60</v>
      </c>
      <c r="K2099" s="14">
        <f>IF(OR(COUNT(G2099:J2099)&lt;&gt;4,G2099&lt;0,G2099&gt;1,H2099&gt;I2099,I2099&gt;J2099),"n.a.",ROUND(G2099*(H2099+4*I2099+J2099)/6+0.00000001,2))</f>
        <v/>
      </c>
      <c r="L2099" s="13" t="n">
        <v>0</v>
      </c>
      <c r="M2099" s="14">
        <f>SUMIFS(Maßnahmen!$I$7:$I$126,Maßnahmen!$D$7:$D$126,C2099,Maßnahmen!$H$7:$H$126,"&lt;&gt;verworfen")</f>
        <v/>
      </c>
      <c r="N2099" s="14">
        <f>IF(ISNUMBER(K2099),MAX(0,K2099-L2099-M2099),"n.a.")</f>
        <v/>
      </c>
      <c r="O2099" s="14" t="n">
        <v>7.92</v>
      </c>
      <c r="P2099" s="14">
        <f>IF(ISNUMBER(K2099),K2099-O2099,"n.a.")</f>
        <v/>
      </c>
    </row>
    <row r="2100" ht="32" customHeight="1">
      <c r="C2100" s="10" t="inlineStr">
        <is>
          <t>PRJ-39e56431-RK-12</t>
        </is>
      </c>
      <c r="D2100" s="10" t="inlineStr">
        <is>
          <t>W4102504211</t>
        </is>
      </c>
      <c r="E2100" s="11" t="inlineStr">
        <is>
          <t>Staubemissionen (höchster Aufwand laut Umfrage)</t>
        </is>
      </c>
      <c r="F2100" s="10" t="inlineStr">
        <is>
          <t>Emissionen</t>
        </is>
      </c>
      <c r="G2100" s="12" t="n">
        <v>0.1</v>
      </c>
      <c r="H2100" s="13" t="n">
        <v>30</v>
      </c>
      <c r="I2100" s="13" t="n">
        <v>60</v>
      </c>
      <c r="J2100" s="13" t="n">
        <v>120</v>
      </c>
      <c r="K2100" s="14">
        <f>IF(OR(COUNT(G2100:J2100)&lt;&gt;4,G2100&lt;0,G2100&gt;1,H2100&gt;I2100,I2100&gt;J2100),"n.a.",ROUND(G2100*(H2100+4*I2100+J2100)/6+0.00000001,2))</f>
        <v/>
      </c>
      <c r="L2100" s="13" t="n">
        <v>0</v>
      </c>
      <c r="M2100" s="14">
        <f>SUMIFS(Maßnahmen!$I$7:$I$126,Maßnahmen!$D$7:$D$126,C2100,Maßnahmen!$H$7:$H$126,"&lt;&gt;verworfen")</f>
        <v/>
      </c>
      <c r="N2100" s="14">
        <f>IF(ISNUMBER(K2100),MAX(0,K2100-L2100-M2100),"n.a.")</f>
        <v/>
      </c>
      <c r="O2100" s="14" t="n">
        <v>6.5</v>
      </c>
      <c r="P2100" s="14">
        <f>IF(ISNUMBER(K2100),K2100-O2100,"n.a.")</f>
        <v/>
      </c>
    </row>
    <row r="2101" ht="32" customHeight="1">
      <c r="C2101" s="10" t="inlineStr">
        <is>
          <t>PRJ-39e56431-RK-13</t>
        </is>
      </c>
      <c r="D2101" s="10" t="inlineStr">
        <is>
          <t>W4102504211</t>
        </is>
      </c>
      <c r="E2101" s="11" t="inlineStr">
        <is>
          <t>Lärm- und Erschütterungsauflagen</t>
        </is>
      </c>
      <c r="F2101" s="10" t="inlineStr">
        <is>
          <t>Emissionen</t>
        </is>
      </c>
      <c r="G2101" s="12" t="n">
        <v>0.2</v>
      </c>
      <c r="H2101" s="13" t="n">
        <v>20</v>
      </c>
      <c r="I2101" s="13" t="n">
        <v>50</v>
      </c>
      <c r="J2101" s="13" t="n">
        <v>100</v>
      </c>
      <c r="K2101" s="14">
        <f>IF(OR(COUNT(G2101:J2101)&lt;&gt;4,G2101&lt;0,G2101&gt;1,H2101&gt;I2101,I2101&gt;J2101),"n.a.",ROUND(G2101*(H2101+4*I2101+J2101)/6+0.00000001,2))</f>
        <v/>
      </c>
      <c r="L2101" s="13" t="n">
        <v>0</v>
      </c>
      <c r="M2101" s="14">
        <f>SUMIFS(Maßnahmen!$I$7:$I$126,Maßnahmen!$D$7:$D$126,C2101,Maßnahmen!$H$7:$H$126,"&lt;&gt;verworfen")</f>
        <v/>
      </c>
      <c r="N2101" s="14">
        <f>IF(ISNUMBER(K2101),MAX(0,K2101-L2101-M2101),"n.a.")</f>
        <v/>
      </c>
      <c r="O2101" s="14" t="n">
        <v>10.67</v>
      </c>
      <c r="P2101" s="14">
        <f>IF(ISNUMBER(K2101),K2101-O2101,"n.a.")</f>
        <v/>
      </c>
    </row>
    <row r="2102" ht="32" customHeight="1">
      <c r="C2102" s="10" t="inlineStr">
        <is>
          <t>PRJ-39e56431-RK-14</t>
        </is>
      </c>
      <c r="D2102" s="10" t="inlineStr">
        <is>
          <t>W4102504211</t>
        </is>
      </c>
      <c r="E2102" s="11" t="inlineStr">
        <is>
          <t>Rechtliche Auflagen / Entsorgungsnachweise (Formalismus)</t>
        </is>
      </c>
      <c r="F2102" s="10" t="inlineStr">
        <is>
          <t>Genehmigung</t>
        </is>
      </c>
      <c r="G2102" s="12" t="n">
        <v>0.4</v>
      </c>
      <c r="H2102" s="13" t="n">
        <v>95</v>
      </c>
      <c r="I2102" s="13" t="n">
        <v>185</v>
      </c>
      <c r="J2102" s="13" t="n">
        <v>350</v>
      </c>
      <c r="K2102" s="14">
        <f>IF(OR(COUNT(G2102:J2102)&lt;&gt;4,G2102&lt;0,G2102&gt;1,H2102&gt;I2102,I2102&gt;J2102),"n.a.",ROUND(G2102*(H2102+4*I2102+J2102)/6+0.00000001,2))</f>
        <v/>
      </c>
      <c r="L2102" s="13" t="n">
        <v>0</v>
      </c>
      <c r="M2102" s="14">
        <f>SUMIFS(Maßnahmen!$I$7:$I$126,Maßnahmen!$D$7:$D$126,C2102,Maßnahmen!$H$7:$H$126,"&lt;&gt;verworfen")</f>
        <v/>
      </c>
      <c r="N2102" s="14">
        <f>IF(ISNUMBER(K2102),MAX(0,K2102-L2102-M2102),"n.a.")</f>
        <v/>
      </c>
      <c r="O2102" s="14" t="n">
        <v>79</v>
      </c>
      <c r="P2102" s="14">
        <f>IF(ISNUMBER(K2102),K2102-O2102,"n.a.")</f>
        <v/>
      </c>
    </row>
    <row r="2103" ht="32" customHeight="1">
      <c r="C2103" s="10" t="inlineStr">
        <is>
          <t>PRJ-39e56431-RK-15</t>
        </is>
      </c>
      <c r="D2103" s="10" t="inlineStr">
        <is>
          <t>W4102504211</t>
        </is>
      </c>
      <c r="E2103" s="11" t="inlineStr">
        <is>
          <t>Konjunktur / Sekundärstoffpreise &amp; Gerätemiete</t>
        </is>
      </c>
      <c r="F2103" s="10" t="inlineStr">
        <is>
          <t>Markt</t>
        </is>
      </c>
      <c r="G2103" s="12" t="n">
        <v>0.12</v>
      </c>
      <c r="H2103" s="13" t="n">
        <v>8</v>
      </c>
      <c r="I2103" s="13" t="n">
        <v>20</v>
      </c>
      <c r="J2103" s="13" t="n">
        <v>50</v>
      </c>
      <c r="K2103" s="14">
        <f>IF(OR(COUNT(G2103:J2103)&lt;&gt;4,G2103&lt;0,G2103&gt;1,H2103&gt;I2103,I2103&gt;J2103),"n.a.",ROUND(G2103*(H2103+4*I2103+J2103)/6+0.00000001,2))</f>
        <v/>
      </c>
      <c r="L2103" s="13" t="n">
        <v>0</v>
      </c>
      <c r="M2103" s="14">
        <f>SUMIFS(Maßnahmen!$I$7:$I$126,Maßnahmen!$D$7:$D$126,C2103,Maßnahmen!$H$7:$H$126,"&lt;&gt;verworfen")</f>
        <v/>
      </c>
      <c r="N2103" s="14">
        <f>IF(ISNUMBER(K2103),MAX(0,K2103-L2103-M2103),"n.a.")</f>
        <v/>
      </c>
      <c r="O2103" s="14" t="n">
        <v>2.76</v>
      </c>
      <c r="P2103" s="14">
        <f>IF(ISNUMBER(K2103),K2103-O2103,"n.a.")</f>
        <v/>
      </c>
    </row>
    <row r="2104" ht="32" customHeight="1">
      <c r="C2104" s="10" t="inlineStr">
        <is>
          <t>PRJ-39e56412-RK-01</t>
        </is>
      </c>
      <c r="D2104" s="10" t="inlineStr">
        <is>
          <t>W4102504221</t>
        </is>
      </c>
      <c r="E2104" s="11" t="inlineStr">
        <is>
          <t>Schadstofffund / Schadstoffsanierung (Asbest, PAK, PCB, PCP)</t>
        </is>
      </c>
      <c r="F2104" s="10" t="inlineStr">
        <is>
          <t>Schadstoffe</t>
        </is>
      </c>
      <c r="G2104" s="12" t="n">
        <v>0.1</v>
      </c>
      <c r="H2104" s="13" t="n">
        <v>52</v>
      </c>
      <c r="I2104" s="13" t="n">
        <v>129</v>
      </c>
      <c r="J2104" s="13" t="n">
        <v>259</v>
      </c>
      <c r="K2104" s="14">
        <f>IF(OR(COUNT(G2104:J2104)&lt;&gt;4,G2104&lt;0,G2104&gt;1,H2104&gt;I2104,I2104&gt;J2104),"n.a.",ROUND(G2104*(H2104+4*I2104+J2104)/6+0.00000001,2))</f>
        <v/>
      </c>
      <c r="L2104" s="13" t="n">
        <v>0</v>
      </c>
      <c r="M2104" s="14">
        <f>SUMIFS(Maßnahmen!$I$7:$I$126,Maßnahmen!$D$7:$D$126,C2104,Maßnahmen!$H$7:$H$126,"&lt;&gt;verworfen")</f>
        <v/>
      </c>
      <c r="N2104" s="14">
        <f>IF(ISNUMBER(K2104),MAX(0,K2104-L2104-M2104),"n.a.")</f>
        <v/>
      </c>
      <c r="O2104" s="14" t="n">
        <v>13.78</v>
      </c>
      <c r="P2104" s="14">
        <f>IF(ISNUMBER(K2104),K2104-O2104,"n.a.")</f>
        <v/>
      </c>
    </row>
    <row r="2105" ht="32" customHeight="1">
      <c r="C2105" s="10" t="inlineStr">
        <is>
          <t>PRJ-39e56412-RK-02</t>
        </is>
      </c>
      <c r="D2105" s="10" t="inlineStr">
        <is>
          <t>W4102504221</t>
        </is>
      </c>
      <c r="E2105" s="11" t="inlineStr">
        <is>
          <t>Arbeitsschutz kontaminierte Bereiche (TRGS 524)</t>
        </is>
      </c>
      <c r="F2105" s="10" t="inlineStr">
        <is>
          <t>Schadstoffe</t>
        </is>
      </c>
      <c r="G2105" s="12" t="n">
        <v>0.47</v>
      </c>
      <c r="H2105" s="13" t="n">
        <v>52</v>
      </c>
      <c r="I2105" s="13" t="n">
        <v>129</v>
      </c>
      <c r="J2105" s="13" t="n">
        <v>259</v>
      </c>
      <c r="K2105" s="14">
        <f>IF(OR(COUNT(G2105:J2105)&lt;&gt;4,G2105&lt;0,G2105&gt;1,H2105&gt;I2105,I2105&gt;J2105),"n.a.",ROUND(G2105*(H2105+4*I2105+J2105)/6+0.00000001,2))</f>
        <v/>
      </c>
      <c r="L2105" s="13" t="n">
        <v>0</v>
      </c>
      <c r="M2105" s="14">
        <f>SUMIFS(Maßnahmen!$I$7:$I$126,Maßnahmen!$D$7:$D$126,C2105,Maßnahmen!$H$7:$H$126,"&lt;&gt;verworfen")</f>
        <v/>
      </c>
      <c r="N2105" s="14">
        <f>IF(ISNUMBER(K2105),MAX(0,K2105-L2105-M2105),"n.a.")</f>
        <v/>
      </c>
      <c r="O2105" s="14" t="n">
        <v>64.78</v>
      </c>
      <c r="P2105" s="14">
        <f>IF(ISNUMBER(K2105),K2105-O2105,"n.a.")</f>
        <v/>
      </c>
    </row>
    <row r="2106" ht="32" customHeight="1">
      <c r="C2106" s="10" t="inlineStr">
        <is>
          <t>PRJ-39e56412-RK-03</t>
        </is>
      </c>
      <c r="D2106" s="10" t="inlineStr">
        <is>
          <t>W4102504221</t>
        </is>
      </c>
      <c r="E2106" s="11" t="inlineStr">
        <is>
          <t>Entsorgungs-Mehrkosten / Entsorgungswege</t>
        </is>
      </c>
      <c r="F2106" s="10" t="inlineStr">
        <is>
          <t>Entsorgung</t>
        </is>
      </c>
      <c r="G2106" s="12" t="n">
        <v>0.15</v>
      </c>
      <c r="H2106" s="13" t="n">
        <v>52</v>
      </c>
      <c r="I2106" s="13" t="n">
        <v>129</v>
      </c>
      <c r="J2106" s="13" t="n">
        <v>259</v>
      </c>
      <c r="K2106" s="14">
        <f>IF(OR(COUNT(G2106:J2106)&lt;&gt;4,G2106&lt;0,G2106&gt;1,H2106&gt;I2106,I2106&gt;J2106),"n.a.",ROUND(G2106*(H2106+4*I2106+J2106)/6+0.00000001,2))</f>
        <v/>
      </c>
      <c r="L2106" s="13" t="n">
        <v>0</v>
      </c>
      <c r="M2106" s="14">
        <f>SUMIFS(Maßnahmen!$I$7:$I$126,Maßnahmen!$D$7:$D$126,C2106,Maßnahmen!$H$7:$H$126,"&lt;&gt;verworfen")</f>
        <v/>
      </c>
      <c r="N2106" s="14">
        <f>IF(ISNUMBER(K2106),MAX(0,K2106-L2106-M2106),"n.a.")</f>
        <v/>
      </c>
      <c r="O2106" s="14" t="n">
        <v>20.68</v>
      </c>
      <c r="P2106" s="14">
        <f>IF(ISNUMBER(K2106),K2106-O2106,"n.a.")</f>
        <v/>
      </c>
    </row>
    <row r="2107" ht="32" customHeight="1">
      <c r="C2107" s="10" t="inlineStr">
        <is>
          <t>PRJ-39e56412-RK-04</t>
        </is>
      </c>
      <c r="D2107" s="10" t="inlineStr">
        <is>
          <t>W4102504221</t>
        </is>
      </c>
      <c r="E2107" s="11" t="inlineStr">
        <is>
          <t>Baustofftrennung / Aufbereitung nicht wie geplant</t>
        </is>
      </c>
      <c r="F2107" s="10" t="inlineStr">
        <is>
          <t>Entsorgung</t>
        </is>
      </c>
      <c r="G2107" s="12" t="n">
        <v>0.08</v>
      </c>
      <c r="H2107" s="13" t="n">
        <v>13</v>
      </c>
      <c r="I2107" s="13" t="n">
        <v>26</v>
      </c>
      <c r="J2107" s="13" t="n">
        <v>52</v>
      </c>
      <c r="K2107" s="14">
        <f>IF(OR(COUNT(G2107:J2107)&lt;&gt;4,G2107&lt;0,G2107&gt;1,H2107&gt;I2107,I2107&gt;J2107),"n.a.",ROUND(G2107*(H2107+4*I2107+J2107)/6+0.00000001,2))</f>
        <v/>
      </c>
      <c r="L2107" s="13" t="n">
        <v>0</v>
      </c>
      <c r="M2107" s="14">
        <f>SUMIFS(Maßnahmen!$I$7:$I$126,Maßnahmen!$D$7:$D$126,C2107,Maßnahmen!$H$7:$H$126,"&lt;&gt;verworfen")</f>
        <v/>
      </c>
      <c r="N2107" s="14">
        <f>IF(ISNUMBER(K2107),MAX(0,K2107-L2107-M2107),"n.a.")</f>
        <v/>
      </c>
      <c r="O2107" s="14" t="n">
        <v>2.25</v>
      </c>
      <c r="P2107" s="14">
        <f>IF(ISNUMBER(K2107),K2107-O2107,"n.a.")</f>
        <v/>
      </c>
    </row>
    <row r="2108" ht="32" customHeight="1">
      <c r="C2108" s="10" t="inlineStr">
        <is>
          <t>PRJ-39e56412-RK-05</t>
        </is>
      </c>
      <c r="D2108" s="10" t="inlineStr">
        <is>
          <t>W4102504221</t>
        </is>
      </c>
      <c r="E2108" s="11" t="inlineStr">
        <is>
          <t>Unbekannte Bauwerkskonstruktion / fehlende Pläne</t>
        </is>
      </c>
      <c r="F2108" s="10" t="inlineStr">
        <is>
          <t>Statik</t>
        </is>
      </c>
      <c r="G2108" s="12" t="n">
        <v>0.12</v>
      </c>
      <c r="H2108" s="13" t="n">
        <v>13</v>
      </c>
      <c r="I2108" s="13" t="n">
        <v>27</v>
      </c>
      <c r="J2108" s="13" t="n">
        <v>100</v>
      </c>
      <c r="K2108" s="14">
        <f>IF(OR(COUNT(G2108:J2108)&lt;&gt;4,G2108&lt;0,G2108&gt;1,H2108&gt;I2108,I2108&gt;J2108),"n.a.",ROUND(G2108*(H2108+4*I2108+J2108)/6+0.00000001,2))</f>
        <v/>
      </c>
      <c r="L2108" s="13" t="n">
        <v>0</v>
      </c>
      <c r="M2108" s="14">
        <f>SUMIFS(Maßnahmen!$I$7:$I$126,Maßnahmen!$D$7:$D$126,C2108,Maßnahmen!$H$7:$H$126,"&lt;&gt;verworfen")</f>
        <v/>
      </c>
      <c r="N2108" s="14">
        <f>IF(ISNUMBER(K2108),MAX(0,K2108-L2108-M2108),"n.a.")</f>
        <v/>
      </c>
      <c r="O2108" s="14" t="n">
        <v>4.42</v>
      </c>
      <c r="P2108" s="14">
        <f>IF(ISNUMBER(K2108),K2108-O2108,"n.a.")</f>
        <v/>
      </c>
    </row>
    <row r="2109" ht="32" customHeight="1">
      <c r="C2109" s="10" t="inlineStr">
        <is>
          <t>PRJ-39e56412-RK-06</t>
        </is>
      </c>
      <c r="D2109" s="10" t="inlineStr">
        <is>
          <t>W4102504221</t>
        </is>
      </c>
      <c r="E2109" s="11" t="inlineStr">
        <is>
          <t>Statik / Einsturzsicherung während Abbruch</t>
        </is>
      </c>
      <c r="F2109" s="10" t="inlineStr">
        <is>
          <t>Statik</t>
        </is>
      </c>
      <c r="G2109" s="12" t="n">
        <v>0.12</v>
      </c>
      <c r="H2109" s="13" t="n">
        <v>78</v>
      </c>
      <c r="I2109" s="13" t="n">
        <v>181</v>
      </c>
      <c r="J2109" s="13" t="n">
        <v>362</v>
      </c>
      <c r="K2109" s="14">
        <f>IF(OR(COUNT(G2109:J2109)&lt;&gt;4,G2109&lt;0,G2109&gt;1,H2109&gt;I2109,I2109&gt;J2109),"n.a.",ROUND(G2109*(H2109+4*I2109+J2109)/6+0.00000001,2))</f>
        <v/>
      </c>
      <c r="L2109" s="13" t="n">
        <v>0</v>
      </c>
      <c r="M2109" s="14">
        <f>SUMIFS(Maßnahmen!$I$7:$I$126,Maßnahmen!$D$7:$D$126,C2109,Maßnahmen!$H$7:$H$126,"&lt;&gt;verworfen")</f>
        <v/>
      </c>
      <c r="N2109" s="14">
        <f>IF(ISNUMBER(K2109),MAX(0,K2109-L2109-M2109),"n.a.")</f>
        <v/>
      </c>
      <c r="O2109" s="14" t="n">
        <v>23.28</v>
      </c>
      <c r="P2109" s="14">
        <f>IF(ISNUMBER(K2109),K2109-O2109,"n.a.")</f>
        <v/>
      </c>
    </row>
    <row r="2110" ht="32" customHeight="1">
      <c r="C2110" s="10" t="inlineStr">
        <is>
          <t>PRJ-39e56412-RK-07</t>
        </is>
      </c>
      <c r="D2110" s="10" t="inlineStr">
        <is>
          <t>W4102504221</t>
        </is>
      </c>
      <c r="E2110" s="11" t="inlineStr">
        <is>
          <t>Unterirdische Tragkonstruktion / Fundamente</t>
        </is>
      </c>
      <c r="F2110" s="10" t="inlineStr">
        <is>
          <t>Statik</t>
        </is>
      </c>
      <c r="G2110" s="12" t="n">
        <v>0.5</v>
      </c>
      <c r="H2110" s="13" t="n">
        <v>13</v>
      </c>
      <c r="I2110" s="13" t="n">
        <v>52</v>
      </c>
      <c r="J2110" s="13" t="n">
        <v>129</v>
      </c>
      <c r="K2110" s="14">
        <f>IF(OR(COUNT(G2110:J2110)&lt;&gt;4,G2110&lt;0,G2110&gt;1,H2110&gt;I2110,I2110&gt;J2110),"n.a.",ROUND(G2110*(H2110+4*I2110+J2110)/6+0.00000001,2))</f>
        <v/>
      </c>
      <c r="L2110" s="13" t="n">
        <v>0</v>
      </c>
      <c r="M2110" s="14">
        <f>SUMIFS(Maßnahmen!$I$7:$I$126,Maßnahmen!$D$7:$D$126,C2110,Maßnahmen!$H$7:$H$126,"&lt;&gt;verworfen")</f>
        <v/>
      </c>
      <c r="N2110" s="14">
        <f>IF(ISNUMBER(K2110),MAX(0,K2110-L2110-M2110),"n.a.")</f>
        <v/>
      </c>
      <c r="O2110" s="14" t="n">
        <v>29.17</v>
      </c>
      <c r="P2110" s="14">
        <f>IF(ISNUMBER(K2110),K2110-O2110,"n.a.")</f>
        <v/>
      </c>
    </row>
    <row r="2111" ht="32" customHeight="1">
      <c r="C2111" s="10" t="inlineStr">
        <is>
          <t>PRJ-39e56412-RK-08</t>
        </is>
      </c>
      <c r="D2111" s="10" t="inlineStr">
        <is>
          <t>W4102504221</t>
        </is>
      </c>
      <c r="E2111" s="11" t="inlineStr">
        <is>
          <t>Gebäudehöhe &gt;22 m / Longfront-Bagger (+130–150 %)</t>
        </is>
      </c>
      <c r="F2111" s="10" t="inlineStr">
        <is>
          <t>Termin</t>
        </is>
      </c>
      <c r="G2111" s="12" t="n">
        <v>0.6</v>
      </c>
      <c r="H2111" s="13" t="n">
        <v>233</v>
      </c>
      <c r="I2111" s="13" t="n">
        <v>466</v>
      </c>
      <c r="J2111" s="13" t="n">
        <v>880</v>
      </c>
      <c r="K2111" s="14">
        <f>IF(OR(COUNT(G2111:J2111)&lt;&gt;4,G2111&lt;0,G2111&gt;1,H2111&gt;I2111,I2111&gt;J2111),"n.a.",ROUND(G2111*(H2111+4*I2111+J2111)/6+0.00000001,2))</f>
        <v/>
      </c>
      <c r="L2111" s="13" t="n">
        <v>0</v>
      </c>
      <c r="M2111" s="14">
        <f>SUMIFS(Maßnahmen!$I$7:$I$126,Maßnahmen!$D$7:$D$126,C2111,Maßnahmen!$H$7:$H$126,"&lt;&gt;verworfen")</f>
        <v/>
      </c>
      <c r="N2111" s="14">
        <f>IF(ISNUMBER(K2111),MAX(0,K2111-L2111-M2111),"n.a.")</f>
        <v/>
      </c>
      <c r="O2111" s="14" t="n">
        <v>297.7</v>
      </c>
      <c r="P2111" s="14">
        <f>IF(ISNUMBER(K2111),K2111-O2111,"n.a.")</f>
        <v/>
      </c>
    </row>
    <row r="2112" ht="32" customHeight="1">
      <c r="C2112" s="10" t="inlineStr">
        <is>
          <t>PRJ-39e56412-RK-09</t>
        </is>
      </c>
      <c r="D2112" s="10" t="inlineStr">
        <is>
          <t>W4102504221</t>
        </is>
      </c>
      <c r="E2112" s="11" t="inlineStr">
        <is>
          <t>Beennte Lage / nur Handabbruch möglich</t>
        </is>
      </c>
      <c r="F2112" s="10" t="inlineStr">
        <is>
          <t>Termin</t>
        </is>
      </c>
      <c r="G2112" s="12" t="n">
        <v>0.1</v>
      </c>
      <c r="H2112" s="13" t="n">
        <v>13</v>
      </c>
      <c r="I2112" s="13" t="n">
        <v>26</v>
      </c>
      <c r="J2112" s="13" t="n">
        <v>52</v>
      </c>
      <c r="K2112" s="14">
        <f>IF(OR(COUNT(G2112:J2112)&lt;&gt;4,G2112&lt;0,G2112&gt;1,H2112&gt;I2112,I2112&gt;J2112),"n.a.",ROUND(G2112*(H2112+4*I2112+J2112)/6+0.00000001,2))</f>
        <v/>
      </c>
      <c r="L2112" s="13" t="n">
        <v>0</v>
      </c>
      <c r="M2112" s="14">
        <f>SUMIFS(Maßnahmen!$I$7:$I$126,Maßnahmen!$D$7:$D$126,C2112,Maßnahmen!$H$7:$H$126,"&lt;&gt;verworfen")</f>
        <v/>
      </c>
      <c r="N2112" s="14">
        <f>IF(ISNUMBER(K2112),MAX(0,K2112-L2112-M2112),"n.a.")</f>
        <v/>
      </c>
      <c r="O2112" s="14" t="n">
        <v>2.82</v>
      </c>
      <c r="P2112" s="14">
        <f>IF(ISNUMBER(K2112),K2112-O2112,"n.a.")</f>
        <v/>
      </c>
    </row>
    <row r="2113" ht="32" customHeight="1">
      <c r="C2113" s="10" t="inlineStr">
        <is>
          <t>PRJ-39e56412-RK-10</t>
        </is>
      </c>
      <c r="D2113" s="10" t="inlineStr">
        <is>
          <t>W4102504221</t>
        </is>
      </c>
      <c r="E2113" s="11" t="inlineStr">
        <is>
          <t>Terminvorgabe Auftraggeber / Geräteauslastung</t>
        </is>
      </c>
      <c r="F2113" s="10" t="inlineStr">
        <is>
          <t>Termin</t>
        </is>
      </c>
      <c r="G2113" s="12" t="n">
        <v>0.1</v>
      </c>
      <c r="H2113" s="13" t="n">
        <v>21</v>
      </c>
      <c r="I2113" s="13" t="n">
        <v>52</v>
      </c>
      <c r="J2113" s="13" t="n">
        <v>129</v>
      </c>
      <c r="K2113" s="14">
        <f>IF(OR(COUNT(G2113:J2113)&lt;&gt;4,G2113&lt;0,G2113&gt;1,H2113&gt;I2113,I2113&gt;J2113),"n.a.",ROUND(G2113*(H2113+4*I2113+J2113)/6+0.00000001,2))</f>
        <v/>
      </c>
      <c r="L2113" s="13" t="n">
        <v>0</v>
      </c>
      <c r="M2113" s="14">
        <f>SUMIFS(Maßnahmen!$I$7:$I$126,Maßnahmen!$D$7:$D$126,C2113,Maßnahmen!$H$7:$H$126,"&lt;&gt;verworfen")</f>
        <v/>
      </c>
      <c r="N2113" s="14">
        <f>IF(ISNUMBER(K2113),MAX(0,K2113-L2113-M2113),"n.a.")</f>
        <v/>
      </c>
      <c r="O2113" s="14" t="n">
        <v>5.97</v>
      </c>
      <c r="P2113" s="14">
        <f>IF(ISNUMBER(K2113),K2113-O2113,"n.a.")</f>
        <v/>
      </c>
    </row>
    <row r="2114" ht="32" customHeight="1">
      <c r="C2114" s="10" t="inlineStr">
        <is>
          <t>PRJ-39e56412-RK-11</t>
        </is>
      </c>
      <c r="D2114" s="10" t="inlineStr">
        <is>
          <t>W4102504221</t>
        </is>
      </c>
      <c r="E2114" s="11" t="inlineStr">
        <is>
          <t>Witterung / Ablaufstörung</t>
        </is>
      </c>
      <c r="F2114" s="10" t="inlineStr">
        <is>
          <t>Termin</t>
        </is>
      </c>
      <c r="G2114" s="12" t="n">
        <v>0.25</v>
      </c>
      <c r="H2114" s="13" t="n">
        <v>26</v>
      </c>
      <c r="I2114" s="13" t="n">
        <v>78</v>
      </c>
      <c r="J2114" s="13" t="n">
        <v>155</v>
      </c>
      <c r="K2114" s="14">
        <f>IF(OR(COUNT(G2114:J2114)&lt;&gt;4,G2114&lt;0,G2114&gt;1,H2114&gt;I2114,I2114&gt;J2114),"n.a.",ROUND(G2114*(H2114+4*I2114+J2114)/6+0.00000001,2))</f>
        <v/>
      </c>
      <c r="L2114" s="13" t="n">
        <v>0</v>
      </c>
      <c r="M2114" s="14">
        <f>SUMIFS(Maßnahmen!$I$7:$I$126,Maßnahmen!$D$7:$D$126,C2114,Maßnahmen!$H$7:$H$126,"&lt;&gt;verworfen")</f>
        <v/>
      </c>
      <c r="N2114" s="14">
        <f>IF(ISNUMBER(K2114),MAX(0,K2114-L2114-M2114),"n.a.")</f>
        <v/>
      </c>
      <c r="O2114" s="14" t="n">
        <v>20.54</v>
      </c>
      <c r="P2114" s="14">
        <f>IF(ISNUMBER(K2114),K2114-O2114,"n.a.")</f>
        <v/>
      </c>
    </row>
    <row r="2115" ht="32" customHeight="1">
      <c r="C2115" s="10" t="inlineStr">
        <is>
          <t>PRJ-39e56412-RK-12</t>
        </is>
      </c>
      <c r="D2115" s="10" t="inlineStr">
        <is>
          <t>W4102504221</t>
        </is>
      </c>
      <c r="E2115" s="11" t="inlineStr">
        <is>
          <t>Staubemissionen (höchster Aufwand laut Umfrage)</t>
        </is>
      </c>
      <c r="F2115" s="10" t="inlineStr">
        <is>
          <t>Emissionen</t>
        </is>
      </c>
      <c r="G2115" s="12" t="n">
        <v>0.1</v>
      </c>
      <c r="H2115" s="13" t="n">
        <v>78</v>
      </c>
      <c r="I2115" s="13" t="n">
        <v>155</v>
      </c>
      <c r="J2115" s="13" t="n">
        <v>311</v>
      </c>
      <c r="K2115" s="14">
        <f>IF(OR(COUNT(G2115:J2115)&lt;&gt;4,G2115&lt;0,G2115&gt;1,H2115&gt;I2115,I2115&gt;J2115),"n.a.",ROUND(G2115*(H2115+4*I2115+J2115)/6+0.00000001,2))</f>
        <v/>
      </c>
      <c r="L2115" s="13" t="n">
        <v>0</v>
      </c>
      <c r="M2115" s="14">
        <f>SUMIFS(Maßnahmen!$I$7:$I$126,Maßnahmen!$D$7:$D$126,C2115,Maßnahmen!$H$7:$H$126,"&lt;&gt;verworfen")</f>
        <v/>
      </c>
      <c r="N2115" s="14">
        <f>IF(ISNUMBER(K2115),MAX(0,K2115-L2115-M2115),"n.a.")</f>
        <v/>
      </c>
      <c r="O2115" s="14" t="n">
        <v>16.82</v>
      </c>
      <c r="P2115" s="14">
        <f>IF(ISNUMBER(K2115),K2115-O2115,"n.a.")</f>
        <v/>
      </c>
    </row>
    <row r="2116" ht="32" customHeight="1">
      <c r="C2116" s="10" t="inlineStr">
        <is>
          <t>PRJ-39e56412-RK-13</t>
        </is>
      </c>
      <c r="D2116" s="10" t="inlineStr">
        <is>
          <t>W4102504221</t>
        </is>
      </c>
      <c r="E2116" s="11" t="inlineStr">
        <is>
          <t>Lärm- und Erschütterungsauflagen</t>
        </is>
      </c>
      <c r="F2116" s="10" t="inlineStr">
        <is>
          <t>Emissionen</t>
        </is>
      </c>
      <c r="G2116" s="12" t="n">
        <v>0.15</v>
      </c>
      <c r="H2116" s="13" t="n">
        <v>13</v>
      </c>
      <c r="I2116" s="13" t="n">
        <v>26</v>
      </c>
      <c r="J2116" s="13" t="n">
        <v>52</v>
      </c>
      <c r="K2116" s="14">
        <f>IF(OR(COUNT(G2116:J2116)&lt;&gt;4,G2116&lt;0,G2116&gt;1,H2116&gt;I2116,I2116&gt;J2116),"n.a.",ROUND(G2116*(H2116+4*I2116+J2116)/6+0.00000001,2))</f>
        <v/>
      </c>
      <c r="L2116" s="13" t="n">
        <v>0</v>
      </c>
      <c r="M2116" s="14">
        <f>SUMIFS(Maßnahmen!$I$7:$I$126,Maßnahmen!$D$7:$D$126,C2116,Maßnahmen!$H$7:$H$126,"&lt;&gt;verworfen")</f>
        <v/>
      </c>
      <c r="N2116" s="14">
        <f>IF(ISNUMBER(K2116),MAX(0,K2116-L2116-M2116),"n.a.")</f>
        <v/>
      </c>
      <c r="O2116" s="14" t="n">
        <v>4.23</v>
      </c>
      <c r="P2116" s="14">
        <f>IF(ISNUMBER(K2116),K2116-O2116,"n.a.")</f>
        <v/>
      </c>
    </row>
    <row r="2117" ht="32" customHeight="1">
      <c r="C2117" s="10" t="inlineStr">
        <is>
          <t>PRJ-39e56412-RK-14</t>
        </is>
      </c>
      <c r="D2117" s="10" t="inlineStr">
        <is>
          <t>W4102504221</t>
        </is>
      </c>
      <c r="E2117" s="11" t="inlineStr">
        <is>
          <t>Rechtliche Auflagen / Entsorgungsnachweise (Formalismus)</t>
        </is>
      </c>
      <c r="F2117" s="10" t="inlineStr">
        <is>
          <t>Genehmigung</t>
        </is>
      </c>
      <c r="G2117" s="12" t="n">
        <v>0.4</v>
      </c>
      <c r="H2117" s="13" t="n">
        <v>246</v>
      </c>
      <c r="I2117" s="13" t="n">
        <v>479</v>
      </c>
      <c r="J2117" s="13" t="n">
        <v>906</v>
      </c>
      <c r="K2117" s="14">
        <f>IF(OR(COUNT(G2117:J2117)&lt;&gt;4,G2117&lt;0,G2117&gt;1,H2117&gt;I2117,I2117&gt;J2117),"n.a.",ROUND(G2117*(H2117+4*I2117+J2117)/6+0.00000001,2))</f>
        <v/>
      </c>
      <c r="L2117" s="13" t="n">
        <v>0</v>
      </c>
      <c r="M2117" s="14">
        <f>SUMIFS(Maßnahmen!$I$7:$I$126,Maßnahmen!$D$7:$D$126,C2117,Maßnahmen!$H$7:$H$126,"&lt;&gt;verworfen")</f>
        <v/>
      </c>
      <c r="N2117" s="14">
        <f>IF(ISNUMBER(K2117),MAX(0,K2117-L2117-M2117),"n.a.")</f>
        <v/>
      </c>
      <c r="O2117" s="14" t="n">
        <v>204.53</v>
      </c>
      <c r="P2117" s="14">
        <f>IF(ISNUMBER(K2117),K2117-O2117,"n.a.")</f>
        <v/>
      </c>
    </row>
    <row r="2118" ht="32" customHeight="1">
      <c r="C2118" s="10" t="inlineStr">
        <is>
          <t>PRJ-39e56412-RK-15</t>
        </is>
      </c>
      <c r="D2118" s="10" t="inlineStr">
        <is>
          <t>W4102504221</t>
        </is>
      </c>
      <c r="E2118" s="11" t="inlineStr">
        <is>
          <t>Konjunktur / Sekundärstoffpreise &amp; Gerätemiete</t>
        </is>
      </c>
      <c r="F2118" s="10" t="inlineStr">
        <is>
          <t>Markt</t>
        </is>
      </c>
      <c r="G2118" s="12" t="n">
        <v>0.12</v>
      </c>
      <c r="H2118" s="13" t="n">
        <v>21</v>
      </c>
      <c r="I2118" s="13" t="n">
        <v>52</v>
      </c>
      <c r="J2118" s="13" t="n">
        <v>129</v>
      </c>
      <c r="K2118" s="14">
        <f>IF(OR(COUNT(G2118:J2118)&lt;&gt;4,G2118&lt;0,G2118&gt;1,H2118&gt;I2118,I2118&gt;J2118),"n.a.",ROUND(G2118*(H2118+4*I2118+J2118)/6+0.00000001,2))</f>
        <v/>
      </c>
      <c r="L2118" s="13" t="n">
        <v>0</v>
      </c>
      <c r="M2118" s="14">
        <f>SUMIFS(Maßnahmen!$I$7:$I$126,Maßnahmen!$D$7:$D$126,C2118,Maßnahmen!$H$7:$H$126,"&lt;&gt;verworfen")</f>
        <v/>
      </c>
      <c r="N2118" s="14">
        <f>IF(ISNUMBER(K2118),MAX(0,K2118-L2118-M2118),"n.a.")</f>
        <v/>
      </c>
      <c r="O2118" s="14" t="n">
        <v>7.16</v>
      </c>
      <c r="P2118" s="14">
        <f>IF(ISNUMBER(K2118),K2118-O2118,"n.a.")</f>
        <v/>
      </c>
    </row>
    <row r="2119" ht="32" customHeight="1">
      <c r="C2119" s="10" t="inlineStr">
        <is>
          <t>PRJ-39e5680c-RK-01</t>
        </is>
      </c>
      <c r="D2119" s="10" t="inlineStr">
        <is>
          <t>W4102504106</t>
        </is>
      </c>
      <c r="E2119" s="11" t="inlineStr">
        <is>
          <t>Schadstofffund / Schadstoffsanierung (Asbest, PAK, PCB, PCP)</t>
        </is>
      </c>
      <c r="F2119" s="10" t="inlineStr">
        <is>
          <t>Schadstoffe</t>
        </is>
      </c>
      <c r="G2119" s="12" t="n">
        <v>0.1</v>
      </c>
      <c r="H2119" s="13" t="n">
        <v>126</v>
      </c>
      <c r="I2119" s="13" t="n">
        <v>316</v>
      </c>
      <c r="J2119" s="13" t="n">
        <v>632</v>
      </c>
      <c r="K2119" s="14">
        <f>IF(OR(COUNT(G2119:J2119)&lt;&gt;4,G2119&lt;0,G2119&gt;1,H2119&gt;I2119,I2119&gt;J2119),"n.a.",ROUND(G2119*(H2119+4*I2119+J2119)/6+0.00000001,2))</f>
        <v/>
      </c>
      <c r="L2119" s="13" t="n">
        <v>0</v>
      </c>
      <c r="M2119" s="14">
        <f>SUMIFS(Maßnahmen!$I$7:$I$126,Maßnahmen!$D$7:$D$126,C2119,Maßnahmen!$H$7:$H$126,"&lt;&gt;verworfen")</f>
        <v/>
      </c>
      <c r="N2119" s="14">
        <f>IF(ISNUMBER(K2119),MAX(0,K2119-L2119-M2119),"n.a.")</f>
        <v/>
      </c>
      <c r="O2119" s="14" t="n">
        <v>33.7</v>
      </c>
      <c r="P2119" s="14">
        <f>IF(ISNUMBER(K2119),K2119-O2119,"n.a.")</f>
        <v/>
      </c>
    </row>
    <row r="2120" ht="32" customHeight="1">
      <c r="C2120" s="10" t="inlineStr">
        <is>
          <t>PRJ-39e5680c-RK-02</t>
        </is>
      </c>
      <c r="D2120" s="10" t="inlineStr">
        <is>
          <t>W4102504106</t>
        </is>
      </c>
      <c r="E2120" s="11" t="inlineStr">
        <is>
          <t>Arbeitsschutz kontaminierte Bereiche (TRGS 524)</t>
        </is>
      </c>
      <c r="F2120" s="10" t="inlineStr">
        <is>
          <t>Schadstoffe</t>
        </is>
      </c>
      <c r="G2120" s="12" t="n">
        <v>0.47</v>
      </c>
      <c r="H2120" s="13" t="n">
        <v>126</v>
      </c>
      <c r="I2120" s="13" t="n">
        <v>316</v>
      </c>
      <c r="J2120" s="13" t="n">
        <v>632</v>
      </c>
      <c r="K2120" s="14">
        <f>IF(OR(COUNT(G2120:J2120)&lt;&gt;4,G2120&lt;0,G2120&gt;1,H2120&gt;I2120,I2120&gt;J2120),"n.a.",ROUND(G2120*(H2120+4*I2120+J2120)/6+0.00000001,2))</f>
        <v/>
      </c>
      <c r="L2120" s="13" t="n">
        <v>0</v>
      </c>
      <c r="M2120" s="14">
        <f>SUMIFS(Maßnahmen!$I$7:$I$126,Maßnahmen!$D$7:$D$126,C2120,Maßnahmen!$H$7:$H$126,"&lt;&gt;verworfen")</f>
        <v/>
      </c>
      <c r="N2120" s="14">
        <f>IF(ISNUMBER(K2120),MAX(0,K2120-L2120-M2120),"n.a.")</f>
        <v/>
      </c>
      <c r="O2120" s="14" t="n">
        <v>158.39</v>
      </c>
      <c r="P2120" s="14">
        <f>IF(ISNUMBER(K2120),K2120-O2120,"n.a.")</f>
        <v/>
      </c>
    </row>
    <row r="2121" ht="32" customHeight="1">
      <c r="C2121" s="10" t="inlineStr">
        <is>
          <t>PRJ-39e5680c-RK-03</t>
        </is>
      </c>
      <c r="D2121" s="10" t="inlineStr">
        <is>
          <t>W4102504106</t>
        </is>
      </c>
      <c r="E2121" s="11" t="inlineStr">
        <is>
          <t>Entsorgungs-Mehrkosten / Entsorgungswege</t>
        </is>
      </c>
      <c r="F2121" s="10" t="inlineStr">
        <is>
          <t>Entsorgung</t>
        </is>
      </c>
      <c r="G2121" s="12" t="n">
        <v>0.15</v>
      </c>
      <c r="H2121" s="13" t="n">
        <v>126</v>
      </c>
      <c r="I2121" s="13" t="n">
        <v>316</v>
      </c>
      <c r="J2121" s="13" t="n">
        <v>632</v>
      </c>
      <c r="K2121" s="14">
        <f>IF(OR(COUNT(G2121:J2121)&lt;&gt;4,G2121&lt;0,G2121&gt;1,H2121&gt;I2121,I2121&gt;J2121),"n.a.",ROUND(G2121*(H2121+4*I2121+J2121)/6+0.00000001,2))</f>
        <v/>
      </c>
      <c r="L2121" s="13" t="n">
        <v>0</v>
      </c>
      <c r="M2121" s="14">
        <f>SUMIFS(Maßnahmen!$I$7:$I$126,Maßnahmen!$D$7:$D$126,C2121,Maßnahmen!$H$7:$H$126,"&lt;&gt;verworfen")</f>
        <v/>
      </c>
      <c r="N2121" s="14">
        <f>IF(ISNUMBER(K2121),MAX(0,K2121-L2121-M2121),"n.a.")</f>
        <v/>
      </c>
      <c r="O2121" s="14" t="n">
        <v>50.55</v>
      </c>
      <c r="P2121" s="14">
        <f>IF(ISNUMBER(K2121),K2121-O2121,"n.a.")</f>
        <v/>
      </c>
    </row>
    <row r="2122" ht="32" customHeight="1">
      <c r="C2122" s="10" t="inlineStr">
        <is>
          <t>PRJ-39e5680c-RK-04</t>
        </is>
      </c>
      <c r="D2122" s="10" t="inlineStr">
        <is>
          <t>W4102504106</t>
        </is>
      </c>
      <c r="E2122" s="11" t="inlineStr">
        <is>
          <t>Baustofftrennung / Aufbereitung nicht wie geplant</t>
        </is>
      </c>
      <c r="F2122" s="10" t="inlineStr">
        <is>
          <t>Entsorgung</t>
        </is>
      </c>
      <c r="G2122" s="12" t="n">
        <v>0.08</v>
      </c>
      <c r="H2122" s="13" t="n">
        <v>32</v>
      </c>
      <c r="I2122" s="13" t="n">
        <v>63</v>
      </c>
      <c r="J2122" s="13" t="n">
        <v>126</v>
      </c>
      <c r="K2122" s="14">
        <f>IF(OR(COUNT(G2122:J2122)&lt;&gt;4,G2122&lt;0,G2122&gt;1,H2122&gt;I2122,I2122&gt;J2122),"n.a.",ROUND(G2122*(H2122+4*I2122+J2122)/6+0.00000001,2))</f>
        <v/>
      </c>
      <c r="L2122" s="13" t="n">
        <v>0</v>
      </c>
      <c r="M2122" s="14">
        <f>SUMIFS(Maßnahmen!$I$7:$I$126,Maßnahmen!$D$7:$D$126,C2122,Maßnahmen!$H$7:$H$126,"&lt;&gt;verworfen")</f>
        <v/>
      </c>
      <c r="N2122" s="14">
        <f>IF(ISNUMBER(K2122),MAX(0,K2122-L2122-M2122),"n.a.")</f>
        <v/>
      </c>
      <c r="O2122" s="14" t="n">
        <v>5.47</v>
      </c>
      <c r="P2122" s="14">
        <f>IF(ISNUMBER(K2122),K2122-O2122,"n.a.")</f>
        <v/>
      </c>
    </row>
    <row r="2123" ht="32" customHeight="1">
      <c r="C2123" s="10" t="inlineStr">
        <is>
          <t>PRJ-39e5680c-RK-05</t>
        </is>
      </c>
      <c r="D2123" s="10" t="inlineStr">
        <is>
          <t>W4102504106</t>
        </is>
      </c>
      <c r="E2123" s="11" t="inlineStr">
        <is>
          <t>Unbekannte Bauwerkskonstruktion / fehlende Pläne</t>
        </is>
      </c>
      <c r="F2123" s="10" t="inlineStr">
        <is>
          <t>Statik</t>
        </is>
      </c>
      <c r="G2123" s="12" t="n">
        <v>0.12</v>
      </c>
      <c r="H2123" s="13" t="n">
        <v>32</v>
      </c>
      <c r="I2123" s="13" t="n">
        <v>127</v>
      </c>
      <c r="J2123" s="13" t="n">
        <v>343</v>
      </c>
      <c r="K2123" s="14">
        <f>IF(OR(COUNT(G2123:J2123)&lt;&gt;4,G2123&lt;0,G2123&gt;1,H2123&gt;I2123,I2123&gt;J2123),"n.a.",ROUND(G2123*(H2123+4*I2123+J2123)/6+0.00000001,2))</f>
        <v/>
      </c>
      <c r="L2123" s="13" t="n">
        <v>0</v>
      </c>
      <c r="M2123" s="14">
        <f>SUMIFS(Maßnahmen!$I$7:$I$126,Maßnahmen!$D$7:$D$126,C2123,Maßnahmen!$H$7:$H$126,"&lt;&gt;verworfen")</f>
        <v/>
      </c>
      <c r="N2123" s="14">
        <f>IF(ISNUMBER(K2123),MAX(0,K2123-L2123-M2123),"n.a.")</f>
        <v/>
      </c>
      <c r="O2123" s="14" t="n">
        <v>17.66</v>
      </c>
      <c r="P2123" s="14">
        <f>IF(ISNUMBER(K2123),K2123-O2123,"n.a.")</f>
        <v/>
      </c>
    </row>
    <row r="2124" ht="32" customHeight="1">
      <c r="C2124" s="10" t="inlineStr">
        <is>
          <t>PRJ-39e5680c-RK-06</t>
        </is>
      </c>
      <c r="D2124" s="10" t="inlineStr">
        <is>
          <t>W4102504106</t>
        </is>
      </c>
      <c r="E2124" s="11" t="inlineStr">
        <is>
          <t>Statik / Einsturzsicherung während Abbruch</t>
        </is>
      </c>
      <c r="F2124" s="10" t="inlineStr">
        <is>
          <t>Statik</t>
        </is>
      </c>
      <c r="G2124" s="12" t="n">
        <v>0.12</v>
      </c>
      <c r="H2124" s="13" t="n">
        <v>190</v>
      </c>
      <c r="I2124" s="13" t="n">
        <v>443</v>
      </c>
      <c r="J2124" s="13" t="n">
        <v>885</v>
      </c>
      <c r="K2124" s="14">
        <f>IF(OR(COUNT(G2124:J2124)&lt;&gt;4,G2124&lt;0,G2124&gt;1,H2124&gt;I2124,I2124&gt;J2124),"n.a.",ROUND(G2124*(H2124+4*I2124+J2124)/6+0.00000001,2))</f>
        <v/>
      </c>
      <c r="L2124" s="13" t="n">
        <v>0</v>
      </c>
      <c r="M2124" s="14">
        <f>SUMIFS(Maßnahmen!$I$7:$I$126,Maßnahmen!$D$7:$D$126,C2124,Maßnahmen!$H$7:$H$126,"&lt;&gt;verworfen")</f>
        <v/>
      </c>
      <c r="N2124" s="14">
        <f>IF(ISNUMBER(K2124),MAX(0,K2124-L2124-M2124),"n.a.")</f>
        <v/>
      </c>
      <c r="O2124" s="14" t="n">
        <v>56.94</v>
      </c>
      <c r="P2124" s="14">
        <f>IF(ISNUMBER(K2124),K2124-O2124,"n.a.")</f>
        <v/>
      </c>
    </row>
    <row r="2125" ht="32" customHeight="1">
      <c r="C2125" s="10" t="inlineStr">
        <is>
          <t>PRJ-39e5680c-RK-07</t>
        </is>
      </c>
      <c r="D2125" s="10" t="inlineStr">
        <is>
          <t>W4102504106</t>
        </is>
      </c>
      <c r="E2125" s="11" t="inlineStr">
        <is>
          <t>Unterirdische Tragkonstruktion / Fundamente</t>
        </is>
      </c>
      <c r="F2125" s="10" t="inlineStr">
        <is>
          <t>Statik</t>
        </is>
      </c>
      <c r="G2125" s="12" t="n">
        <v>0.5</v>
      </c>
      <c r="H2125" s="13" t="n">
        <v>32</v>
      </c>
      <c r="I2125" s="13" t="n">
        <v>126</v>
      </c>
      <c r="J2125" s="13" t="n">
        <v>316</v>
      </c>
      <c r="K2125" s="14">
        <f>IF(OR(COUNT(G2125:J2125)&lt;&gt;4,G2125&lt;0,G2125&gt;1,H2125&gt;I2125,I2125&gt;J2125),"n.a.",ROUND(G2125*(H2125+4*I2125+J2125)/6+0.00000001,2))</f>
        <v/>
      </c>
      <c r="L2125" s="13" t="n">
        <v>0</v>
      </c>
      <c r="M2125" s="14">
        <f>SUMIFS(Maßnahmen!$I$7:$I$126,Maßnahmen!$D$7:$D$126,C2125,Maßnahmen!$H$7:$H$126,"&lt;&gt;verworfen")</f>
        <v/>
      </c>
      <c r="N2125" s="14">
        <f>IF(ISNUMBER(K2125),MAX(0,K2125-L2125-M2125),"n.a.")</f>
        <v/>
      </c>
      <c r="O2125" s="14" t="n">
        <v>71</v>
      </c>
      <c r="P2125" s="14">
        <f>IF(ISNUMBER(K2125),K2125-O2125,"n.a.")</f>
        <v/>
      </c>
    </row>
    <row r="2126" ht="32" customHeight="1">
      <c r="C2126" s="10" t="inlineStr">
        <is>
          <t>PRJ-39e5680c-RK-08</t>
        </is>
      </c>
      <c r="D2126" s="10" t="inlineStr">
        <is>
          <t>W4102504106</t>
        </is>
      </c>
      <c r="E2126" s="11" t="inlineStr">
        <is>
          <t>Gebäudehöhe &gt;22 m / Longfront-Bagger (+130–150 %)</t>
        </is>
      </c>
      <c r="F2126" s="10" t="inlineStr">
        <is>
          <t>Termin</t>
        </is>
      </c>
      <c r="G2126" s="12" t="n">
        <v>0.6</v>
      </c>
      <c r="H2126" s="13" t="n">
        <v>569</v>
      </c>
      <c r="I2126" s="13" t="n">
        <v>1138</v>
      </c>
      <c r="J2126" s="13" t="n">
        <v>2150</v>
      </c>
      <c r="K2126" s="14">
        <f>IF(OR(COUNT(G2126:J2126)&lt;&gt;4,G2126&lt;0,G2126&gt;1,H2126&gt;I2126,I2126&gt;J2126),"n.a.",ROUND(G2126*(H2126+4*I2126+J2126)/6+0.00000001,2))</f>
        <v/>
      </c>
      <c r="L2126" s="13" t="n">
        <v>0</v>
      </c>
      <c r="M2126" s="14">
        <f>SUMIFS(Maßnahmen!$I$7:$I$126,Maßnahmen!$D$7:$D$126,C2126,Maßnahmen!$H$7:$H$126,"&lt;&gt;verworfen")</f>
        <v/>
      </c>
      <c r="N2126" s="14">
        <f>IF(ISNUMBER(K2126),MAX(0,K2126-L2126-M2126),"n.a.")</f>
        <v/>
      </c>
      <c r="O2126" s="14" t="n">
        <v>727.1</v>
      </c>
      <c r="P2126" s="14">
        <f>IF(ISNUMBER(K2126),K2126-O2126,"n.a.")</f>
        <v/>
      </c>
    </row>
    <row r="2127" ht="32" customHeight="1">
      <c r="C2127" s="10" t="inlineStr">
        <is>
          <t>PRJ-39e5680c-RK-09</t>
        </is>
      </c>
      <c r="D2127" s="10" t="inlineStr">
        <is>
          <t>W4102504106</t>
        </is>
      </c>
      <c r="E2127" s="11" t="inlineStr">
        <is>
          <t>Beennte Lage / nur Handabbruch möglich</t>
        </is>
      </c>
      <c r="F2127" s="10" t="inlineStr">
        <is>
          <t>Termin</t>
        </is>
      </c>
      <c r="G2127" s="12" t="n">
        <v>0.1</v>
      </c>
      <c r="H2127" s="13" t="n">
        <v>32</v>
      </c>
      <c r="I2127" s="13" t="n">
        <v>63</v>
      </c>
      <c r="J2127" s="13" t="n">
        <v>126</v>
      </c>
      <c r="K2127" s="14">
        <f>IF(OR(COUNT(G2127:J2127)&lt;&gt;4,G2127&lt;0,G2127&gt;1,H2127&gt;I2127,I2127&gt;J2127),"n.a.",ROUND(G2127*(H2127+4*I2127+J2127)/6+0.00000001,2))</f>
        <v/>
      </c>
      <c r="L2127" s="13" t="n">
        <v>0</v>
      </c>
      <c r="M2127" s="14">
        <f>SUMIFS(Maßnahmen!$I$7:$I$126,Maßnahmen!$D$7:$D$126,C2127,Maßnahmen!$H$7:$H$126,"&lt;&gt;verworfen")</f>
        <v/>
      </c>
      <c r="N2127" s="14">
        <f>IF(ISNUMBER(K2127),MAX(0,K2127-L2127-M2127),"n.a.")</f>
        <v/>
      </c>
      <c r="O2127" s="14" t="n">
        <v>6.83</v>
      </c>
      <c r="P2127" s="14">
        <f>IF(ISNUMBER(K2127),K2127-O2127,"n.a.")</f>
        <v/>
      </c>
    </row>
    <row r="2128" ht="32" customHeight="1">
      <c r="C2128" s="10" t="inlineStr">
        <is>
          <t>PRJ-39e5680c-RK-10</t>
        </is>
      </c>
      <c r="D2128" s="10" t="inlineStr">
        <is>
          <t>W4102504106</t>
        </is>
      </c>
      <c r="E2128" s="11" t="inlineStr">
        <is>
          <t>Terminvorgabe Auftraggeber / Geräteauslastung</t>
        </is>
      </c>
      <c r="F2128" s="10" t="inlineStr">
        <is>
          <t>Termin</t>
        </is>
      </c>
      <c r="G2128" s="12" t="n">
        <v>0.1</v>
      </c>
      <c r="H2128" s="13" t="n">
        <v>51</v>
      </c>
      <c r="I2128" s="13" t="n">
        <v>126</v>
      </c>
      <c r="J2128" s="13" t="n">
        <v>316</v>
      </c>
      <c r="K2128" s="14">
        <f>IF(OR(COUNT(G2128:J2128)&lt;&gt;4,G2128&lt;0,G2128&gt;1,H2128&gt;I2128,I2128&gt;J2128),"n.a.",ROUND(G2128*(H2128+4*I2128+J2128)/6+0.00000001,2))</f>
        <v/>
      </c>
      <c r="L2128" s="13" t="n">
        <v>0</v>
      </c>
      <c r="M2128" s="14">
        <f>SUMIFS(Maßnahmen!$I$7:$I$126,Maßnahmen!$D$7:$D$126,C2128,Maßnahmen!$H$7:$H$126,"&lt;&gt;verworfen")</f>
        <v/>
      </c>
      <c r="N2128" s="14">
        <f>IF(ISNUMBER(K2128),MAX(0,K2128-L2128-M2128),"n.a.")</f>
        <v/>
      </c>
      <c r="O2128" s="14" t="n">
        <v>14.52</v>
      </c>
      <c r="P2128" s="14">
        <f>IF(ISNUMBER(K2128),K2128-O2128,"n.a.")</f>
        <v/>
      </c>
    </row>
    <row r="2129" ht="32" customHeight="1">
      <c r="C2129" s="10" t="inlineStr">
        <is>
          <t>PRJ-39e5680c-RK-11</t>
        </is>
      </c>
      <c r="D2129" s="10" t="inlineStr">
        <is>
          <t>W4102504106</t>
        </is>
      </c>
      <c r="E2129" s="11" t="inlineStr">
        <is>
          <t>Witterung / Ablaufstörung</t>
        </is>
      </c>
      <c r="F2129" s="10" t="inlineStr">
        <is>
          <t>Termin</t>
        </is>
      </c>
      <c r="G2129" s="12" t="n">
        <v>0.25</v>
      </c>
      <c r="H2129" s="13" t="n">
        <v>63</v>
      </c>
      <c r="I2129" s="13" t="n">
        <v>190</v>
      </c>
      <c r="J2129" s="13" t="n">
        <v>379</v>
      </c>
      <c r="K2129" s="14">
        <f>IF(OR(COUNT(G2129:J2129)&lt;&gt;4,G2129&lt;0,G2129&gt;1,H2129&gt;I2129,I2129&gt;J2129),"n.a.",ROUND(G2129*(H2129+4*I2129+J2129)/6+0.00000001,2))</f>
        <v/>
      </c>
      <c r="L2129" s="13" t="n">
        <v>0</v>
      </c>
      <c r="M2129" s="14">
        <f>SUMIFS(Maßnahmen!$I$7:$I$126,Maßnahmen!$D$7:$D$126,C2129,Maßnahmen!$H$7:$H$126,"&lt;&gt;verworfen")</f>
        <v/>
      </c>
      <c r="N2129" s="14">
        <f>IF(ISNUMBER(K2129),MAX(0,K2129-L2129-M2129),"n.a.")</f>
        <v/>
      </c>
      <c r="O2129" s="14" t="n">
        <v>50.08</v>
      </c>
      <c r="P2129" s="14">
        <f>IF(ISNUMBER(K2129),K2129-O2129,"n.a.")</f>
        <v/>
      </c>
    </row>
    <row r="2130" ht="32" customHeight="1">
      <c r="C2130" s="10" t="inlineStr">
        <is>
          <t>PRJ-39e5680c-RK-12</t>
        </is>
      </c>
      <c r="D2130" s="10" t="inlineStr">
        <is>
          <t>W4102504106</t>
        </is>
      </c>
      <c r="E2130" s="11" t="inlineStr">
        <is>
          <t>Staubemissionen (höchster Aufwand laut Umfrage)</t>
        </is>
      </c>
      <c r="F2130" s="10" t="inlineStr">
        <is>
          <t>Emissionen</t>
        </is>
      </c>
      <c r="G2130" s="12" t="n">
        <v>0.1</v>
      </c>
      <c r="H2130" s="13" t="n">
        <v>190</v>
      </c>
      <c r="I2130" s="13" t="n">
        <v>379</v>
      </c>
      <c r="J2130" s="13" t="n">
        <v>759</v>
      </c>
      <c r="K2130" s="14">
        <f>IF(OR(COUNT(G2130:J2130)&lt;&gt;4,G2130&lt;0,G2130&gt;1,H2130&gt;I2130,I2130&gt;J2130),"n.a.",ROUND(G2130*(H2130+4*I2130+J2130)/6+0.00000001,2))</f>
        <v/>
      </c>
      <c r="L2130" s="13" t="n">
        <v>0</v>
      </c>
      <c r="M2130" s="14">
        <f>SUMIFS(Maßnahmen!$I$7:$I$126,Maßnahmen!$D$7:$D$126,C2130,Maßnahmen!$H$7:$H$126,"&lt;&gt;verworfen")</f>
        <v/>
      </c>
      <c r="N2130" s="14">
        <f>IF(ISNUMBER(K2130),MAX(0,K2130-L2130-M2130),"n.a.")</f>
        <v/>
      </c>
      <c r="O2130" s="14" t="n">
        <v>41.08</v>
      </c>
      <c r="P2130" s="14">
        <f>IF(ISNUMBER(K2130),K2130-O2130,"n.a.")</f>
        <v/>
      </c>
    </row>
    <row r="2131" ht="32" customHeight="1">
      <c r="C2131" s="10" t="inlineStr">
        <is>
          <t>PRJ-39e5680c-RK-13</t>
        </is>
      </c>
      <c r="D2131" s="10" t="inlineStr">
        <is>
          <t>W4102504106</t>
        </is>
      </c>
      <c r="E2131" s="11" t="inlineStr">
        <is>
          <t>Lärm- und Erschütterungsauflagen</t>
        </is>
      </c>
      <c r="F2131" s="10" t="inlineStr">
        <is>
          <t>Emissionen</t>
        </is>
      </c>
      <c r="G2131" s="12" t="n">
        <v>0.15</v>
      </c>
      <c r="H2131" s="13" t="n">
        <v>32</v>
      </c>
      <c r="I2131" s="13" t="n">
        <v>63</v>
      </c>
      <c r="J2131" s="13" t="n">
        <v>126</v>
      </c>
      <c r="K2131" s="14">
        <f>IF(OR(COUNT(G2131:J2131)&lt;&gt;4,G2131&lt;0,G2131&gt;1,H2131&gt;I2131,I2131&gt;J2131),"n.a.",ROUND(G2131*(H2131+4*I2131+J2131)/6+0.00000001,2))</f>
        <v/>
      </c>
      <c r="L2131" s="13" t="n">
        <v>0</v>
      </c>
      <c r="M2131" s="14">
        <f>SUMIFS(Maßnahmen!$I$7:$I$126,Maßnahmen!$D$7:$D$126,C2131,Maßnahmen!$H$7:$H$126,"&lt;&gt;verworfen")</f>
        <v/>
      </c>
      <c r="N2131" s="14">
        <f>IF(ISNUMBER(K2131),MAX(0,K2131-L2131-M2131),"n.a.")</f>
        <v/>
      </c>
      <c r="O2131" s="14" t="n">
        <v>10.25</v>
      </c>
      <c r="P2131" s="14">
        <f>IF(ISNUMBER(K2131),K2131-O2131,"n.a.")</f>
        <v/>
      </c>
    </row>
    <row r="2132" ht="32" customHeight="1">
      <c r="C2132" s="10" t="inlineStr">
        <is>
          <t>PRJ-39e5680c-RK-14</t>
        </is>
      </c>
      <c r="D2132" s="10" t="inlineStr">
        <is>
          <t>W4102504106</t>
        </is>
      </c>
      <c r="E2132" s="11" t="inlineStr">
        <is>
          <t>Rechtliche Auflagen / Entsorgungsnachweise (Formalismus)</t>
        </is>
      </c>
      <c r="F2132" s="10" t="inlineStr">
        <is>
          <t>Genehmigung</t>
        </is>
      </c>
      <c r="G2132" s="12" t="n">
        <v>0.4</v>
      </c>
      <c r="H2132" s="13" t="n">
        <v>601</v>
      </c>
      <c r="I2132" s="13" t="n">
        <v>1170</v>
      </c>
      <c r="J2132" s="13" t="n">
        <v>2213</v>
      </c>
      <c r="K2132" s="14">
        <f>IF(OR(COUNT(G2132:J2132)&lt;&gt;4,G2132&lt;0,G2132&gt;1,H2132&gt;I2132,I2132&gt;J2132),"n.a.",ROUND(G2132*(H2132+4*I2132+J2132)/6+0.00000001,2))</f>
        <v/>
      </c>
      <c r="L2132" s="13" t="n">
        <v>0</v>
      </c>
      <c r="M2132" s="14">
        <f>SUMIFS(Maßnahmen!$I$7:$I$126,Maßnahmen!$D$7:$D$126,C2132,Maßnahmen!$H$7:$H$126,"&lt;&gt;verworfen")</f>
        <v/>
      </c>
      <c r="N2132" s="14">
        <f>IF(ISNUMBER(K2132),MAX(0,K2132-L2132-M2132),"n.a.")</f>
        <v/>
      </c>
      <c r="O2132" s="14" t="n">
        <v>499.6</v>
      </c>
      <c r="P2132" s="14">
        <f>IF(ISNUMBER(K2132),K2132-O2132,"n.a.")</f>
        <v/>
      </c>
    </row>
    <row r="2133" ht="32" customHeight="1">
      <c r="C2133" s="10" t="inlineStr">
        <is>
          <t>PRJ-39e5680c-RK-15</t>
        </is>
      </c>
      <c r="D2133" s="10" t="inlineStr">
        <is>
          <t>W4102504106</t>
        </is>
      </c>
      <c r="E2133" s="11" t="inlineStr">
        <is>
          <t>Konjunktur / Sekundärstoffpreise &amp; Gerätemiete</t>
        </is>
      </c>
      <c r="F2133" s="10" t="inlineStr">
        <is>
          <t>Markt</t>
        </is>
      </c>
      <c r="G2133" s="12" t="n">
        <v>0.12</v>
      </c>
      <c r="H2133" s="13" t="n">
        <v>51</v>
      </c>
      <c r="I2133" s="13" t="n">
        <v>126</v>
      </c>
      <c r="J2133" s="13" t="n">
        <v>316</v>
      </c>
      <c r="K2133" s="14">
        <f>IF(OR(COUNT(G2133:J2133)&lt;&gt;4,G2133&lt;0,G2133&gt;1,H2133&gt;I2133,I2133&gt;J2133),"n.a.",ROUND(G2133*(H2133+4*I2133+J2133)/6+0.00000001,2))</f>
        <v/>
      </c>
      <c r="L2133" s="13" t="n">
        <v>0</v>
      </c>
      <c r="M2133" s="14">
        <f>SUMIFS(Maßnahmen!$I$7:$I$126,Maßnahmen!$D$7:$D$126,C2133,Maßnahmen!$H$7:$H$126,"&lt;&gt;verworfen")</f>
        <v/>
      </c>
      <c r="N2133" s="14">
        <f>IF(ISNUMBER(K2133),MAX(0,K2133-L2133-M2133),"n.a.")</f>
        <v/>
      </c>
      <c r="O2133" s="14" t="n">
        <v>17.42</v>
      </c>
      <c r="P2133" s="14">
        <f>IF(ISNUMBER(K2133),K2133-O2133,"n.a.")</f>
        <v/>
      </c>
    </row>
    <row r="2134" ht="32" customHeight="1">
      <c r="C2134" s="10" t="inlineStr">
        <is>
          <t>PRJ-37e9fb65-RK-01</t>
        </is>
      </c>
      <c r="D2134" s="10" t="inlineStr">
        <is>
          <t>W4102654945</t>
        </is>
      </c>
      <c r="E2134" s="11" t="inlineStr">
        <is>
          <t>Schadstofffund / Schadstoffsanierung (Asbest, PAK, PCB, PCP)</t>
        </is>
      </c>
      <c r="F2134" s="10" t="inlineStr">
        <is>
          <t>Schadstoffe</t>
        </is>
      </c>
      <c r="G2134" s="12" t="n">
        <v>0.1</v>
      </c>
      <c r="H2134" s="13" t="n">
        <v>251</v>
      </c>
      <c r="I2134" s="13" t="n">
        <v>628</v>
      </c>
      <c r="J2134" s="13" t="n">
        <v>1257</v>
      </c>
      <c r="K2134" s="14">
        <f>IF(OR(COUNT(G2134:J2134)&lt;&gt;4,G2134&lt;0,G2134&gt;1,H2134&gt;I2134,I2134&gt;J2134),"n.a.",ROUND(G2134*(H2134+4*I2134+J2134)/6+0.00000001,2))</f>
        <v/>
      </c>
      <c r="L2134" s="13" t="n">
        <v>0</v>
      </c>
      <c r="M2134" s="14">
        <f>SUMIFS(Maßnahmen!$I$7:$I$126,Maßnahmen!$D$7:$D$126,C2134,Maßnahmen!$H$7:$H$126,"&lt;&gt;verworfen")</f>
        <v/>
      </c>
      <c r="N2134" s="14">
        <f>IF(ISNUMBER(K2134),MAX(0,K2134-L2134-M2134),"n.a.")</f>
        <v/>
      </c>
      <c r="O2134" s="14" t="n">
        <v>67</v>
      </c>
      <c r="P2134" s="14">
        <f>IF(ISNUMBER(K2134),K2134-O2134,"n.a.")</f>
        <v/>
      </c>
    </row>
    <row r="2135" ht="32" customHeight="1">
      <c r="C2135" s="10" t="inlineStr">
        <is>
          <t>PRJ-37e9fb65-RK-02</t>
        </is>
      </c>
      <c r="D2135" s="10" t="inlineStr">
        <is>
          <t>W4102654945</t>
        </is>
      </c>
      <c r="E2135" s="11" t="inlineStr">
        <is>
          <t>Arbeitsschutz kontaminierte Bereiche (TRGS 524)</t>
        </is>
      </c>
      <c r="F2135" s="10" t="inlineStr">
        <is>
          <t>Schadstoffe</t>
        </is>
      </c>
      <c r="G2135" s="12" t="n">
        <v>0.47</v>
      </c>
      <c r="H2135" s="13" t="n">
        <v>251</v>
      </c>
      <c r="I2135" s="13" t="n">
        <v>628</v>
      </c>
      <c r="J2135" s="13" t="n">
        <v>1257</v>
      </c>
      <c r="K2135" s="14">
        <f>IF(OR(COUNT(G2135:J2135)&lt;&gt;4,G2135&lt;0,G2135&gt;1,H2135&gt;I2135,I2135&gt;J2135),"n.a.",ROUND(G2135*(H2135+4*I2135+J2135)/6+0.00000001,2))</f>
        <v/>
      </c>
      <c r="L2135" s="13" t="n">
        <v>0</v>
      </c>
      <c r="M2135" s="14">
        <f>SUMIFS(Maßnahmen!$I$7:$I$126,Maßnahmen!$D$7:$D$126,C2135,Maßnahmen!$H$7:$H$126,"&lt;&gt;verworfen")</f>
        <v/>
      </c>
      <c r="N2135" s="14">
        <f>IF(ISNUMBER(K2135),MAX(0,K2135-L2135-M2135),"n.a.")</f>
        <v/>
      </c>
      <c r="O2135" s="14" t="n">
        <v>314.9</v>
      </c>
      <c r="P2135" s="14">
        <f>IF(ISNUMBER(K2135),K2135-O2135,"n.a.")</f>
        <v/>
      </c>
    </row>
    <row r="2136" ht="32" customHeight="1">
      <c r="C2136" s="10" t="inlineStr">
        <is>
          <t>PRJ-37e9fb65-RK-03</t>
        </is>
      </c>
      <c r="D2136" s="10" t="inlineStr">
        <is>
          <t>W4102654945</t>
        </is>
      </c>
      <c r="E2136" s="11" t="inlineStr">
        <is>
          <t>Entsorgungs-Mehrkosten / Entsorgungswege</t>
        </is>
      </c>
      <c r="F2136" s="10" t="inlineStr">
        <is>
          <t>Entsorgung</t>
        </is>
      </c>
      <c r="G2136" s="12" t="n">
        <v>0.15</v>
      </c>
      <c r="H2136" s="13" t="n">
        <v>251</v>
      </c>
      <c r="I2136" s="13" t="n">
        <v>628</v>
      </c>
      <c r="J2136" s="13" t="n">
        <v>1257</v>
      </c>
      <c r="K2136" s="14">
        <f>IF(OR(COUNT(G2136:J2136)&lt;&gt;4,G2136&lt;0,G2136&gt;1,H2136&gt;I2136,I2136&gt;J2136),"n.a.",ROUND(G2136*(H2136+4*I2136+J2136)/6+0.00000001,2))</f>
        <v/>
      </c>
      <c r="L2136" s="13" t="n">
        <v>0</v>
      </c>
      <c r="M2136" s="14">
        <f>SUMIFS(Maßnahmen!$I$7:$I$126,Maßnahmen!$D$7:$D$126,C2136,Maßnahmen!$H$7:$H$126,"&lt;&gt;verworfen")</f>
        <v/>
      </c>
      <c r="N2136" s="14">
        <f>IF(ISNUMBER(K2136),MAX(0,K2136-L2136-M2136),"n.a.")</f>
        <v/>
      </c>
      <c r="O2136" s="14" t="n">
        <v>100.5</v>
      </c>
      <c r="P2136" s="14">
        <f>IF(ISNUMBER(K2136),K2136-O2136,"n.a.")</f>
        <v/>
      </c>
    </row>
    <row r="2137" ht="32" customHeight="1">
      <c r="C2137" s="10" t="inlineStr">
        <is>
          <t>PRJ-37e9fb65-RK-04</t>
        </is>
      </c>
      <c r="D2137" s="10" t="inlineStr">
        <is>
          <t>W4102654945</t>
        </is>
      </c>
      <c r="E2137" s="11" t="inlineStr">
        <is>
          <t>Baustofftrennung / Aufbereitung nicht wie geplant</t>
        </is>
      </c>
      <c r="F2137" s="10" t="inlineStr">
        <is>
          <t>Entsorgung</t>
        </is>
      </c>
      <c r="G2137" s="12" t="n">
        <v>0.1</v>
      </c>
      <c r="H2137" s="13" t="n">
        <v>251</v>
      </c>
      <c r="I2137" s="13" t="n">
        <v>628</v>
      </c>
      <c r="J2137" s="13" t="n">
        <v>1257</v>
      </c>
      <c r="K2137" s="14">
        <f>IF(OR(COUNT(G2137:J2137)&lt;&gt;4,G2137&lt;0,G2137&gt;1,H2137&gt;I2137,I2137&gt;J2137),"n.a.",ROUND(G2137*(H2137+4*I2137+J2137)/6+0.00000001,2))</f>
        <v/>
      </c>
      <c r="L2137" s="13" t="n">
        <v>0</v>
      </c>
      <c r="M2137" s="14">
        <f>SUMIFS(Maßnahmen!$I$7:$I$126,Maßnahmen!$D$7:$D$126,C2137,Maßnahmen!$H$7:$H$126,"&lt;&gt;verworfen")</f>
        <v/>
      </c>
      <c r="N2137" s="14">
        <f>IF(ISNUMBER(K2137),MAX(0,K2137-L2137-M2137),"n.a.")</f>
        <v/>
      </c>
      <c r="O2137" s="14" t="n">
        <v>67</v>
      </c>
      <c r="P2137" s="14">
        <f>IF(ISNUMBER(K2137),K2137-O2137,"n.a.")</f>
        <v/>
      </c>
    </row>
    <row r="2138" ht="32" customHeight="1">
      <c r="C2138" s="10" t="inlineStr">
        <is>
          <t>PRJ-37e9fb65-RK-05</t>
        </is>
      </c>
      <c r="D2138" s="10" t="inlineStr">
        <is>
          <t>W4102654945</t>
        </is>
      </c>
      <c r="E2138" s="11" t="inlineStr">
        <is>
          <t>Unbekannte Bauwerkskonstruktion / fehlende Pläne</t>
        </is>
      </c>
      <c r="F2138" s="10" t="inlineStr">
        <is>
          <t>Statik</t>
        </is>
      </c>
      <c r="G2138" s="12" t="n">
        <v>0.12</v>
      </c>
      <c r="H2138" s="13" t="n">
        <v>503</v>
      </c>
      <c r="I2138" s="13" t="n">
        <v>1005</v>
      </c>
      <c r="J2138" s="13" t="n">
        <v>1885</v>
      </c>
      <c r="K2138" s="14">
        <f>IF(OR(COUNT(G2138:J2138)&lt;&gt;4,G2138&lt;0,G2138&gt;1,H2138&gt;I2138,I2138&gt;J2138),"n.a.",ROUND(G2138*(H2138+4*I2138+J2138)/6+0.00000001,2))</f>
        <v/>
      </c>
      <c r="L2138" s="13" t="n">
        <v>0</v>
      </c>
      <c r="M2138" s="14">
        <f>SUMIFS(Maßnahmen!$I$7:$I$126,Maßnahmen!$D$7:$D$126,C2138,Maßnahmen!$H$7:$H$126,"&lt;&gt;verworfen")</f>
        <v/>
      </c>
      <c r="N2138" s="14">
        <f>IF(ISNUMBER(K2138),MAX(0,K2138-L2138-M2138),"n.a.")</f>
        <v/>
      </c>
      <c r="O2138" s="14" t="n">
        <v>128.16</v>
      </c>
      <c r="P2138" s="14">
        <f>IF(ISNUMBER(K2138),K2138-O2138,"n.a.")</f>
        <v/>
      </c>
    </row>
    <row r="2139" ht="32" customHeight="1">
      <c r="C2139" s="10" t="inlineStr">
        <is>
          <t>PRJ-37e9fb65-RK-06</t>
        </is>
      </c>
      <c r="D2139" s="10" t="inlineStr">
        <is>
          <t>W4102654945</t>
        </is>
      </c>
      <c r="E2139" s="11" t="inlineStr">
        <is>
          <t>Statik / Einsturzsicherung während Abbruch</t>
        </is>
      </c>
      <c r="F2139" s="10" t="inlineStr">
        <is>
          <t>Statik</t>
        </is>
      </c>
      <c r="G2139" s="12" t="n">
        <v>0.12</v>
      </c>
      <c r="H2139" s="13" t="n">
        <v>377</v>
      </c>
      <c r="I2139" s="13" t="n">
        <v>880</v>
      </c>
      <c r="J2139" s="13" t="n">
        <v>1759</v>
      </c>
      <c r="K2139" s="14">
        <f>IF(OR(COUNT(G2139:J2139)&lt;&gt;4,G2139&lt;0,G2139&gt;1,H2139&gt;I2139,I2139&gt;J2139),"n.a.",ROUND(G2139*(H2139+4*I2139+J2139)/6+0.00000001,2))</f>
        <v/>
      </c>
      <c r="L2139" s="13" t="n">
        <v>0</v>
      </c>
      <c r="M2139" s="14">
        <f>SUMIFS(Maßnahmen!$I$7:$I$126,Maßnahmen!$D$7:$D$126,C2139,Maßnahmen!$H$7:$H$126,"&lt;&gt;verworfen")</f>
        <v/>
      </c>
      <c r="N2139" s="14">
        <f>IF(ISNUMBER(K2139),MAX(0,K2139-L2139-M2139),"n.a.")</f>
        <v/>
      </c>
      <c r="O2139" s="14" t="n">
        <v>113.12</v>
      </c>
      <c r="P2139" s="14">
        <f>IF(ISNUMBER(K2139),K2139-O2139,"n.a.")</f>
        <v/>
      </c>
    </row>
    <row r="2140" ht="32" customHeight="1">
      <c r="C2140" s="10" t="inlineStr">
        <is>
          <t>PRJ-37e9fb65-RK-07</t>
        </is>
      </c>
      <c r="D2140" s="10" t="inlineStr">
        <is>
          <t>W4102654945</t>
        </is>
      </c>
      <c r="E2140" s="11" t="inlineStr">
        <is>
          <t>Unterirdische Tragkonstruktion / Fundamente</t>
        </is>
      </c>
      <c r="F2140" s="10" t="inlineStr">
        <is>
          <t>Statik</t>
        </is>
      </c>
      <c r="G2140" s="12" t="n">
        <v>0.5</v>
      </c>
      <c r="H2140" s="13" t="n">
        <v>63</v>
      </c>
      <c r="I2140" s="13" t="n">
        <v>251</v>
      </c>
      <c r="J2140" s="13" t="n">
        <v>628</v>
      </c>
      <c r="K2140" s="14">
        <f>IF(OR(COUNT(G2140:J2140)&lt;&gt;4,G2140&lt;0,G2140&gt;1,H2140&gt;I2140,I2140&gt;J2140),"n.a.",ROUND(G2140*(H2140+4*I2140+J2140)/6+0.00000001,2))</f>
        <v/>
      </c>
      <c r="L2140" s="13" t="n">
        <v>0</v>
      </c>
      <c r="M2140" s="14">
        <f>SUMIFS(Maßnahmen!$I$7:$I$126,Maßnahmen!$D$7:$D$126,C2140,Maßnahmen!$H$7:$H$126,"&lt;&gt;verworfen")</f>
        <v/>
      </c>
      <c r="N2140" s="14">
        <f>IF(ISNUMBER(K2140),MAX(0,K2140-L2140-M2140),"n.a.")</f>
        <v/>
      </c>
      <c r="O2140" s="14" t="n">
        <v>141.25</v>
      </c>
      <c r="P2140" s="14">
        <f>IF(ISNUMBER(K2140),K2140-O2140,"n.a.")</f>
        <v/>
      </c>
    </row>
    <row r="2141" ht="32" customHeight="1">
      <c r="C2141" s="10" t="inlineStr">
        <is>
          <t>PRJ-37e9fb65-RK-08</t>
        </is>
      </c>
      <c r="D2141" s="10" t="inlineStr">
        <is>
          <t>W4102654945</t>
        </is>
      </c>
      <c r="E2141" s="11" t="inlineStr">
        <is>
          <t>Gebäudehöhe &gt;22 m / Longfront-Bagger (+130–150 %)</t>
        </is>
      </c>
      <c r="F2141" s="10" t="inlineStr">
        <is>
          <t>Termin</t>
        </is>
      </c>
      <c r="G2141" s="12" t="n">
        <v>0.6</v>
      </c>
      <c r="H2141" s="13" t="n">
        <v>1131</v>
      </c>
      <c r="I2141" s="13" t="n">
        <v>2262</v>
      </c>
      <c r="J2141" s="13" t="n">
        <v>4272</v>
      </c>
      <c r="K2141" s="14">
        <f>IF(OR(COUNT(G2141:J2141)&lt;&gt;4,G2141&lt;0,G2141&gt;1,H2141&gt;I2141,I2141&gt;J2141),"n.a.",ROUND(G2141*(H2141+4*I2141+J2141)/6+0.00000001,2))</f>
        <v/>
      </c>
      <c r="L2141" s="13" t="n">
        <v>0</v>
      </c>
      <c r="M2141" s="14">
        <f>SUMIFS(Maßnahmen!$I$7:$I$126,Maßnahmen!$D$7:$D$126,C2141,Maßnahmen!$H$7:$H$126,"&lt;&gt;verworfen")</f>
        <v/>
      </c>
      <c r="N2141" s="14">
        <f>IF(ISNUMBER(K2141),MAX(0,K2141-L2141-M2141),"n.a.")</f>
        <v/>
      </c>
      <c r="O2141" s="14" t="n">
        <v>1445.1</v>
      </c>
      <c r="P2141" s="14">
        <f>IF(ISNUMBER(K2141),K2141-O2141,"n.a.")</f>
        <v/>
      </c>
    </row>
    <row r="2142" ht="32" customHeight="1">
      <c r="C2142" s="10" t="inlineStr">
        <is>
          <t>PRJ-37e9fb65-RK-09</t>
        </is>
      </c>
      <c r="D2142" s="10" t="inlineStr">
        <is>
          <t>W4102654945</t>
        </is>
      </c>
      <c r="E2142" s="11" t="inlineStr">
        <is>
          <t>Beennte Lage / nur Handabbruch möglich</t>
        </is>
      </c>
      <c r="F2142" s="10" t="inlineStr">
        <is>
          <t>Termin</t>
        </is>
      </c>
      <c r="G2142" s="12" t="n">
        <v>0.15</v>
      </c>
      <c r="H2142" s="13" t="n">
        <v>101</v>
      </c>
      <c r="I2142" s="13" t="n">
        <v>251</v>
      </c>
      <c r="J2142" s="13" t="n">
        <v>628</v>
      </c>
      <c r="K2142" s="14">
        <f>IF(OR(COUNT(G2142:J2142)&lt;&gt;4,G2142&lt;0,G2142&gt;1,H2142&gt;I2142,I2142&gt;J2142),"n.a.",ROUND(G2142*(H2142+4*I2142+J2142)/6+0.00000001,2))</f>
        <v/>
      </c>
      <c r="L2142" s="13" t="n">
        <v>0</v>
      </c>
      <c r="M2142" s="14">
        <f>SUMIFS(Maßnahmen!$I$7:$I$126,Maßnahmen!$D$7:$D$126,C2142,Maßnahmen!$H$7:$H$126,"&lt;&gt;verworfen")</f>
        <v/>
      </c>
      <c r="N2142" s="14">
        <f>IF(ISNUMBER(K2142),MAX(0,K2142-L2142-M2142),"n.a.")</f>
        <v/>
      </c>
      <c r="O2142" s="14" t="n">
        <v>43.33</v>
      </c>
      <c r="P2142" s="14">
        <f>IF(ISNUMBER(K2142),K2142-O2142,"n.a.")</f>
        <v/>
      </c>
    </row>
    <row r="2143" ht="32" customHeight="1">
      <c r="C2143" s="10" t="inlineStr">
        <is>
          <t>PRJ-38308410-RK-01</t>
        </is>
      </c>
      <c r="D2143" s="10" t="inlineStr">
        <is>
          <t>W4102604411</t>
        </is>
      </c>
      <c r="E2143" s="11" t="inlineStr">
        <is>
          <t>Schadstofffund / Schadstoffsanierung (Asbest, PAK, PCB, PCP)</t>
        </is>
      </c>
      <c r="F2143" s="10" t="inlineStr">
        <is>
          <t>Schadstoffe</t>
        </is>
      </c>
      <c r="G2143" s="12" t="n">
        <v>0.1</v>
      </c>
      <c r="H2143" s="13" t="n">
        <v>1673</v>
      </c>
      <c r="I2143" s="13" t="n">
        <v>4183</v>
      </c>
      <c r="J2143" s="13" t="n">
        <v>8367</v>
      </c>
      <c r="K2143" s="14">
        <f>IF(OR(COUNT(G2143:J2143)&lt;&gt;4,G2143&lt;0,G2143&gt;1,H2143&gt;I2143,I2143&gt;J2143),"n.a.",ROUND(G2143*(H2143+4*I2143+J2143)/6+0.00000001,2))</f>
        <v/>
      </c>
      <c r="L2143" s="13" t="n">
        <v>0</v>
      </c>
      <c r="M2143" s="14">
        <f>SUMIFS(Maßnahmen!$I$7:$I$126,Maßnahmen!$D$7:$D$126,C2143,Maßnahmen!$H$7:$H$126,"&lt;&gt;verworfen")</f>
        <v/>
      </c>
      <c r="N2143" s="14">
        <f>IF(ISNUMBER(K2143),MAX(0,K2143-L2143-M2143),"n.a.")</f>
        <v/>
      </c>
      <c r="O2143" s="14" t="n">
        <v>446.2</v>
      </c>
      <c r="P2143" s="14">
        <f>IF(ISNUMBER(K2143),K2143-O2143,"n.a.")</f>
        <v/>
      </c>
    </row>
    <row r="2144" ht="32" customHeight="1">
      <c r="C2144" s="10" t="inlineStr">
        <is>
          <t>PRJ-38308410-RK-02</t>
        </is>
      </c>
      <c r="D2144" s="10" t="inlineStr">
        <is>
          <t>W4102604411</t>
        </is>
      </c>
      <c r="E2144" s="11" t="inlineStr">
        <is>
          <t>Arbeitsschutz kontaminierte Bereiche (TRGS 524)</t>
        </is>
      </c>
      <c r="F2144" s="10" t="inlineStr">
        <is>
          <t>Schadstoffe</t>
        </is>
      </c>
      <c r="G2144" s="12" t="n">
        <v>0.35</v>
      </c>
      <c r="H2144" s="13" t="n">
        <v>418</v>
      </c>
      <c r="I2144" s="13" t="n">
        <v>837</v>
      </c>
      <c r="J2144" s="13" t="n">
        <v>1673</v>
      </c>
      <c r="K2144" s="14">
        <f>IF(OR(COUNT(G2144:J2144)&lt;&gt;4,G2144&lt;0,G2144&gt;1,H2144&gt;I2144,I2144&gt;J2144),"n.a.",ROUND(G2144*(H2144+4*I2144+J2144)/6+0.00000001,2))</f>
        <v/>
      </c>
      <c r="L2144" s="13" t="n">
        <v>0</v>
      </c>
      <c r="M2144" s="14">
        <f>SUMIFS(Maßnahmen!$I$7:$I$126,Maßnahmen!$D$7:$D$126,C2144,Maßnahmen!$H$7:$H$126,"&lt;&gt;verworfen")</f>
        <v/>
      </c>
      <c r="N2144" s="14">
        <f>IF(ISNUMBER(K2144),MAX(0,K2144-L2144-M2144),"n.a.")</f>
        <v/>
      </c>
      <c r="O2144" s="14" t="n">
        <v>317.28</v>
      </c>
      <c r="P2144" s="14">
        <f>IF(ISNUMBER(K2144),K2144-O2144,"n.a.")</f>
        <v/>
      </c>
    </row>
    <row r="2145" ht="32" customHeight="1">
      <c r="C2145" s="10" t="inlineStr">
        <is>
          <t>PRJ-38308410-RK-03</t>
        </is>
      </c>
      <c r="D2145" s="10" t="inlineStr">
        <is>
          <t>W4102604411</t>
        </is>
      </c>
      <c r="E2145" s="11" t="inlineStr">
        <is>
          <t>Entsorgungs-Mehrkosten / Entsorgungswege</t>
        </is>
      </c>
      <c r="F2145" s="10" t="inlineStr">
        <is>
          <t>Entsorgung</t>
        </is>
      </c>
      <c r="G2145" s="12" t="n">
        <v>0.15</v>
      </c>
      <c r="H2145" s="13" t="n">
        <v>1673</v>
      </c>
      <c r="I2145" s="13" t="n">
        <v>4183</v>
      </c>
      <c r="J2145" s="13" t="n">
        <v>8367</v>
      </c>
      <c r="K2145" s="14">
        <f>IF(OR(COUNT(G2145:J2145)&lt;&gt;4,G2145&lt;0,G2145&gt;1,H2145&gt;I2145,I2145&gt;J2145),"n.a.",ROUND(G2145*(H2145+4*I2145+J2145)/6+0.00000001,2))</f>
        <v/>
      </c>
      <c r="L2145" s="13" t="n">
        <v>0</v>
      </c>
      <c r="M2145" s="14">
        <f>SUMIFS(Maßnahmen!$I$7:$I$126,Maßnahmen!$D$7:$D$126,C2145,Maßnahmen!$H$7:$H$126,"&lt;&gt;verworfen")</f>
        <v/>
      </c>
      <c r="N2145" s="14">
        <f>IF(ISNUMBER(K2145),MAX(0,K2145-L2145-M2145),"n.a.")</f>
        <v/>
      </c>
      <c r="O2145" s="14" t="n">
        <v>669.3</v>
      </c>
      <c r="P2145" s="14">
        <f>IF(ISNUMBER(K2145),K2145-O2145,"n.a.")</f>
        <v/>
      </c>
    </row>
    <row r="2146" ht="32" customHeight="1">
      <c r="C2146" s="10" t="inlineStr">
        <is>
          <t>PRJ-38308410-RK-04</t>
        </is>
      </c>
      <c r="D2146" s="10" t="inlineStr">
        <is>
          <t>W4102604411</t>
        </is>
      </c>
      <c r="E2146" s="11" t="inlineStr">
        <is>
          <t>Baustofftrennung / Aufbereitung nicht wie geplant</t>
        </is>
      </c>
      <c r="F2146" s="10" t="inlineStr">
        <is>
          <t>Entsorgung</t>
        </is>
      </c>
      <c r="G2146" s="12" t="n">
        <v>0.08</v>
      </c>
      <c r="H2146" s="13" t="n">
        <v>418</v>
      </c>
      <c r="I2146" s="13" t="n">
        <v>837</v>
      </c>
      <c r="J2146" s="13" t="n">
        <v>1673</v>
      </c>
      <c r="K2146" s="14">
        <f>IF(OR(COUNT(G2146:J2146)&lt;&gt;4,G2146&lt;0,G2146&gt;1,H2146&gt;I2146,I2146&gt;J2146),"n.a.",ROUND(G2146*(H2146+4*I2146+J2146)/6+0.00000001,2))</f>
        <v/>
      </c>
      <c r="L2146" s="13" t="n">
        <v>0</v>
      </c>
      <c r="M2146" s="14">
        <f>SUMIFS(Maßnahmen!$I$7:$I$126,Maßnahmen!$D$7:$D$126,C2146,Maßnahmen!$H$7:$H$126,"&lt;&gt;verworfen")</f>
        <v/>
      </c>
      <c r="N2146" s="14">
        <f>IF(ISNUMBER(K2146),MAX(0,K2146-L2146-M2146),"n.a.")</f>
        <v/>
      </c>
      <c r="O2146" s="14" t="n">
        <v>72.52</v>
      </c>
      <c r="P2146" s="14">
        <f>IF(ISNUMBER(K2146),K2146-O2146,"n.a.")</f>
        <v/>
      </c>
    </row>
    <row r="2147" ht="32" customHeight="1">
      <c r="C2147" s="10" t="inlineStr">
        <is>
          <t>PRJ-38308410-RK-05</t>
        </is>
      </c>
      <c r="D2147" s="10" t="inlineStr">
        <is>
          <t>W4102604411</t>
        </is>
      </c>
      <c r="E2147" s="11" t="inlineStr">
        <is>
          <t>Unbekannte Bauwerkskonstruktion / fehlende Pläne</t>
        </is>
      </c>
      <c r="F2147" s="10" t="inlineStr">
        <is>
          <t>Statik</t>
        </is>
      </c>
      <c r="G2147" s="12" t="n">
        <v>0.12</v>
      </c>
      <c r="H2147" s="13" t="n">
        <v>1016</v>
      </c>
      <c r="I2147" s="13" t="n">
        <v>2808</v>
      </c>
      <c r="J2147" s="13" t="n">
        <v>6334</v>
      </c>
      <c r="K2147" s="14">
        <f>IF(OR(COUNT(G2147:J2147)&lt;&gt;4,G2147&lt;0,G2147&gt;1,H2147&gt;I2147,I2147&gt;J2147),"n.a.",ROUND(G2147*(H2147+4*I2147+J2147)/6+0.00000001,2))</f>
        <v/>
      </c>
      <c r="L2147" s="13" t="n">
        <v>0</v>
      </c>
      <c r="M2147" s="14">
        <f>SUMIFS(Maßnahmen!$I$7:$I$126,Maßnahmen!$D$7:$D$126,C2147,Maßnahmen!$H$7:$H$126,"&lt;&gt;verworfen")</f>
        <v/>
      </c>
      <c r="N2147" s="14">
        <f>IF(ISNUMBER(K2147),MAX(0,K2147-L2147-M2147),"n.a.")</f>
        <v/>
      </c>
      <c r="O2147" s="14" t="n">
        <v>371.64</v>
      </c>
      <c r="P2147" s="14">
        <f>IF(ISNUMBER(K2147),K2147-O2147,"n.a.")</f>
        <v/>
      </c>
    </row>
    <row r="2148" ht="32" customHeight="1">
      <c r="C2148" s="10" t="inlineStr">
        <is>
          <t>PRJ-38308410-RK-06</t>
        </is>
      </c>
      <c r="D2148" s="10" t="inlineStr">
        <is>
          <t>W4102604411</t>
        </is>
      </c>
      <c r="E2148" s="11" t="inlineStr">
        <is>
          <t>Statik / Einsturzsicherung während Abbruch</t>
        </is>
      </c>
      <c r="F2148" s="10" t="inlineStr">
        <is>
          <t>Statik</t>
        </is>
      </c>
      <c r="G2148" s="12" t="n">
        <v>0.12</v>
      </c>
      <c r="H2148" s="13" t="n">
        <v>2510</v>
      </c>
      <c r="I2148" s="13" t="n">
        <v>5857</v>
      </c>
      <c r="J2148" s="13" t="n">
        <v>11713</v>
      </c>
      <c r="K2148" s="14">
        <f>IF(OR(COUNT(G2148:J2148)&lt;&gt;4,G2148&lt;0,G2148&gt;1,H2148&gt;I2148,I2148&gt;J2148),"n.a.",ROUND(G2148*(H2148+4*I2148+J2148)/6+0.00000001,2))</f>
        <v/>
      </c>
      <c r="L2148" s="13" t="n">
        <v>0</v>
      </c>
      <c r="M2148" s="14">
        <f>SUMIFS(Maßnahmen!$I$7:$I$126,Maßnahmen!$D$7:$D$126,C2148,Maßnahmen!$H$7:$H$126,"&lt;&gt;verworfen")</f>
        <v/>
      </c>
      <c r="N2148" s="14">
        <f>IF(ISNUMBER(K2148),MAX(0,K2148-L2148-M2148),"n.a.")</f>
        <v/>
      </c>
      <c r="O2148" s="14" t="n">
        <v>753.02</v>
      </c>
      <c r="P2148" s="14">
        <f>IF(ISNUMBER(K2148),K2148-O2148,"n.a.")</f>
        <v/>
      </c>
    </row>
    <row r="2149" ht="32" customHeight="1">
      <c r="C2149" s="10" t="inlineStr">
        <is>
          <t>PRJ-38308410-RK-07</t>
        </is>
      </c>
      <c r="D2149" s="10" t="inlineStr">
        <is>
          <t>W4102604411</t>
        </is>
      </c>
      <c r="E2149" s="11" t="inlineStr">
        <is>
          <t>Unterirdische Tragkonstruktion / Fundamente</t>
        </is>
      </c>
      <c r="F2149" s="10" t="inlineStr">
        <is>
          <t>Statik</t>
        </is>
      </c>
      <c r="G2149" s="12" t="n">
        <v>0.5</v>
      </c>
      <c r="H2149" s="13" t="n">
        <v>418</v>
      </c>
      <c r="I2149" s="13" t="n">
        <v>1673</v>
      </c>
      <c r="J2149" s="13" t="n">
        <v>4183</v>
      </c>
      <c r="K2149" s="14">
        <f>IF(OR(COUNT(G2149:J2149)&lt;&gt;4,G2149&lt;0,G2149&gt;1,H2149&gt;I2149,I2149&gt;J2149),"n.a.",ROUND(G2149*(H2149+4*I2149+J2149)/6+0.00000001,2))</f>
        <v/>
      </c>
      <c r="L2149" s="13" t="n">
        <v>0</v>
      </c>
      <c r="M2149" s="14">
        <f>SUMIFS(Maßnahmen!$I$7:$I$126,Maßnahmen!$D$7:$D$126,C2149,Maßnahmen!$H$7:$H$126,"&lt;&gt;verworfen")</f>
        <v/>
      </c>
      <c r="N2149" s="14">
        <f>IF(ISNUMBER(K2149),MAX(0,K2149-L2149-M2149),"n.a.")</f>
        <v/>
      </c>
      <c r="O2149" s="14" t="n">
        <v>941.08</v>
      </c>
      <c r="P2149" s="14">
        <f>IF(ISNUMBER(K2149),K2149-O2149,"n.a.")</f>
        <v/>
      </c>
    </row>
    <row r="2150" ht="32" customHeight="1">
      <c r="C2150" s="10" t="inlineStr">
        <is>
          <t>PRJ-38308410-RK-08</t>
        </is>
      </c>
      <c r="D2150" s="10" t="inlineStr">
        <is>
          <t>W4102604411</t>
        </is>
      </c>
      <c r="E2150" s="11" t="inlineStr">
        <is>
          <t>Gebäudehöhe &gt;22 m / Longfront-Bagger (+130–150 %)</t>
        </is>
      </c>
      <c r="F2150" s="10" t="inlineStr">
        <is>
          <t>Termin</t>
        </is>
      </c>
      <c r="G2150" s="12" t="n">
        <v>0.6</v>
      </c>
      <c r="H2150" s="13" t="n">
        <v>7530</v>
      </c>
      <c r="I2150" s="13" t="n">
        <v>15060</v>
      </c>
      <c r="J2150" s="13" t="n">
        <v>28446</v>
      </c>
      <c r="K2150" s="14">
        <f>IF(OR(COUNT(G2150:J2150)&lt;&gt;4,G2150&lt;0,G2150&gt;1,H2150&gt;I2150,I2150&gt;J2150),"n.a.",ROUND(G2150*(H2150+4*I2150+J2150)/6+0.00000001,2))</f>
        <v/>
      </c>
      <c r="L2150" s="13" t="n">
        <v>0</v>
      </c>
      <c r="M2150" s="14">
        <f>SUMIFS(Maßnahmen!$I$7:$I$126,Maßnahmen!$D$7:$D$126,C2150,Maßnahmen!$H$7:$H$126,"&lt;&gt;verworfen")</f>
        <v/>
      </c>
      <c r="N2150" s="14">
        <f>IF(ISNUMBER(K2150),MAX(0,K2150-L2150-M2150),"n.a.")</f>
        <v/>
      </c>
      <c r="O2150" s="14" t="n">
        <v>9621.6</v>
      </c>
      <c r="P2150" s="14">
        <f>IF(ISNUMBER(K2150),K2150-O2150,"n.a.")</f>
        <v/>
      </c>
    </row>
    <row r="2151" ht="32" customHeight="1">
      <c r="C2151" s="10" t="inlineStr">
        <is>
          <t>PRJ-38308410-RK-09</t>
        </is>
      </c>
      <c r="D2151" s="10" t="inlineStr">
        <is>
          <t>W4102604411</t>
        </is>
      </c>
      <c r="E2151" s="11" t="inlineStr">
        <is>
          <t>Beennte Lage / nur Handabbruch möglich</t>
        </is>
      </c>
      <c r="F2151" s="10" t="inlineStr">
        <is>
          <t>Termin</t>
        </is>
      </c>
      <c r="G2151" s="12" t="n">
        <v>0.1</v>
      </c>
      <c r="H2151" s="13" t="n">
        <v>418</v>
      </c>
      <c r="I2151" s="13" t="n">
        <v>837</v>
      </c>
      <c r="J2151" s="13" t="n">
        <v>1673</v>
      </c>
      <c r="K2151" s="14">
        <f>IF(OR(COUNT(G2151:J2151)&lt;&gt;4,G2151&lt;0,G2151&gt;1,H2151&gt;I2151,I2151&gt;J2151),"n.a.",ROUND(G2151*(H2151+4*I2151+J2151)/6+0.00000001,2))</f>
        <v/>
      </c>
      <c r="L2151" s="13" t="n">
        <v>0</v>
      </c>
      <c r="M2151" s="14">
        <f>SUMIFS(Maßnahmen!$I$7:$I$126,Maßnahmen!$D$7:$D$126,C2151,Maßnahmen!$H$7:$H$126,"&lt;&gt;verworfen")</f>
        <v/>
      </c>
      <c r="N2151" s="14">
        <f>IF(ISNUMBER(K2151),MAX(0,K2151-L2151-M2151),"n.a.")</f>
        <v/>
      </c>
      <c r="O2151" s="14" t="n">
        <v>90.65000000000001</v>
      </c>
      <c r="P2151" s="14">
        <f>IF(ISNUMBER(K2151),K2151-O2151,"n.a.")</f>
        <v/>
      </c>
    </row>
    <row r="2152" ht="32" customHeight="1">
      <c r="C2152" s="10" t="inlineStr">
        <is>
          <t>PRJ-38308410-RK-10</t>
        </is>
      </c>
      <c r="D2152" s="10" t="inlineStr">
        <is>
          <t>W4102604411</t>
        </is>
      </c>
      <c r="E2152" s="11" t="inlineStr">
        <is>
          <t>Terminvorgabe Auftraggeber / Geräteauslastung</t>
        </is>
      </c>
      <c r="F2152" s="10" t="inlineStr">
        <is>
          <t>Termin</t>
        </is>
      </c>
      <c r="G2152" s="12" t="n">
        <v>0.08</v>
      </c>
      <c r="H2152" s="13" t="n">
        <v>418</v>
      </c>
      <c r="I2152" s="13" t="n">
        <v>837</v>
      </c>
      <c r="J2152" s="13" t="n">
        <v>2512</v>
      </c>
      <c r="K2152" s="14">
        <f>IF(OR(COUNT(G2152:J2152)&lt;&gt;4,G2152&lt;0,G2152&gt;1,H2152&gt;I2152,I2152&gt;J2152),"n.a.",ROUND(G2152*(H2152+4*I2152+J2152)/6+0.00000001,2))</f>
        <v/>
      </c>
      <c r="L2152" s="13" t="n">
        <v>0</v>
      </c>
      <c r="M2152" s="14">
        <f>SUMIFS(Maßnahmen!$I$7:$I$126,Maßnahmen!$D$7:$D$126,C2152,Maßnahmen!$H$7:$H$126,"&lt;&gt;verworfen")</f>
        <v/>
      </c>
      <c r="N2152" s="14">
        <f>IF(ISNUMBER(K2152),MAX(0,K2152-L2152-M2152),"n.a.")</f>
        <v/>
      </c>
      <c r="O2152" s="14" t="n">
        <v>83.70999999999999</v>
      </c>
      <c r="P2152" s="14">
        <f>IF(ISNUMBER(K2152),K2152-O2152,"n.a.")</f>
        <v/>
      </c>
    </row>
    <row r="2153" ht="32" customHeight="1">
      <c r="C2153" s="10" t="inlineStr">
        <is>
          <t>PRJ-38308410-RK-12</t>
        </is>
      </c>
      <c r="D2153" s="10" t="inlineStr">
        <is>
          <t>W4102604411</t>
        </is>
      </c>
      <c r="E2153" s="11" t="inlineStr">
        <is>
          <t>Staubemissionen (höchster Aufwand laut Umfrage)</t>
        </is>
      </c>
      <c r="F2153" s="10" t="inlineStr">
        <is>
          <t>Emissionen</t>
        </is>
      </c>
      <c r="G2153" s="12" t="n">
        <v>0.1</v>
      </c>
      <c r="H2153" s="13" t="n">
        <v>2510</v>
      </c>
      <c r="I2153" s="13" t="n">
        <v>5020</v>
      </c>
      <c r="J2153" s="13" t="n">
        <v>10040</v>
      </c>
      <c r="K2153" s="14">
        <f>IF(OR(COUNT(G2153:J2153)&lt;&gt;4,G2153&lt;0,G2153&gt;1,H2153&gt;I2153,I2153&gt;J2153),"n.a.",ROUND(G2153*(H2153+4*I2153+J2153)/6+0.00000001,2))</f>
        <v/>
      </c>
      <c r="L2153" s="13" t="n">
        <v>0</v>
      </c>
      <c r="M2153" s="14">
        <f>SUMIFS(Maßnahmen!$I$7:$I$126,Maßnahmen!$D$7:$D$126,C2153,Maßnahmen!$H$7:$H$126,"&lt;&gt;verworfen")</f>
        <v/>
      </c>
      <c r="N2153" s="14">
        <f>IF(ISNUMBER(K2153),MAX(0,K2153-L2153-M2153),"n.a.")</f>
        <v/>
      </c>
      <c r="O2153" s="14" t="n">
        <v>543.83</v>
      </c>
      <c r="P2153" s="14">
        <f>IF(ISNUMBER(K2153),K2153-O2153,"n.a.")</f>
        <v/>
      </c>
    </row>
    <row r="2154" ht="32" customHeight="1">
      <c r="C2154" s="10" t="inlineStr">
        <is>
          <t>PRJ-38308410-RK-13</t>
        </is>
      </c>
      <c r="D2154" s="10" t="inlineStr">
        <is>
          <t>W4102604411</t>
        </is>
      </c>
      <c r="E2154" s="11" t="inlineStr">
        <is>
          <t>Lärm- und Erschütterungsauflagen</t>
        </is>
      </c>
      <c r="F2154" s="10" t="inlineStr">
        <is>
          <t>Emissionen</t>
        </is>
      </c>
      <c r="G2154" s="12" t="n">
        <v>0.15</v>
      </c>
      <c r="H2154" s="13" t="n">
        <v>418</v>
      </c>
      <c r="I2154" s="13" t="n">
        <v>837</v>
      </c>
      <c r="J2154" s="13" t="n">
        <v>2461</v>
      </c>
      <c r="K2154" s="14">
        <f>IF(OR(COUNT(G2154:J2154)&lt;&gt;4,G2154&lt;0,G2154&gt;1,H2154&gt;I2154,I2154&gt;J2154),"n.a.",ROUND(G2154*(H2154+4*I2154+J2154)/6+0.00000001,2))</f>
        <v/>
      </c>
      <c r="L2154" s="13" t="n">
        <v>0</v>
      </c>
      <c r="M2154" s="14">
        <f>SUMIFS(Maßnahmen!$I$7:$I$126,Maßnahmen!$D$7:$D$126,C2154,Maßnahmen!$H$7:$H$126,"&lt;&gt;verworfen")</f>
        <v/>
      </c>
      <c r="N2154" s="14">
        <f>IF(ISNUMBER(K2154),MAX(0,K2154-L2154-M2154),"n.a.")</f>
        <v/>
      </c>
      <c r="O2154" s="14" t="n">
        <v>155.68</v>
      </c>
      <c r="P2154" s="14">
        <f>IF(ISNUMBER(K2154),K2154-O2154,"n.a.")</f>
        <v/>
      </c>
    </row>
    <row r="2155" ht="32" customHeight="1">
      <c r="C2155" s="10" t="inlineStr">
        <is>
          <t>PRJ-38308410-RK-14</t>
        </is>
      </c>
      <c r="D2155" s="10" t="inlineStr">
        <is>
          <t>W4102604411</t>
        </is>
      </c>
      <c r="E2155" s="11" t="inlineStr">
        <is>
          <t>Rechtliche Auflagen / Entsorgungsnachweise (Formalismus)</t>
        </is>
      </c>
      <c r="F2155" s="10" t="inlineStr">
        <is>
          <t>Genehmigung</t>
        </is>
      </c>
      <c r="G2155" s="12" t="n">
        <v>0.4</v>
      </c>
      <c r="H2155" s="13" t="n">
        <v>7948</v>
      </c>
      <c r="I2155" s="13" t="n">
        <v>15478</v>
      </c>
      <c r="J2155" s="13" t="n">
        <v>29283</v>
      </c>
      <c r="K2155" s="14">
        <f>IF(OR(COUNT(G2155:J2155)&lt;&gt;4,G2155&lt;0,G2155&gt;1,H2155&gt;I2155,I2155&gt;J2155),"n.a.",ROUND(G2155*(H2155+4*I2155+J2155)/6+0.00000001,2))</f>
        <v/>
      </c>
      <c r="L2155" s="13" t="n">
        <v>0</v>
      </c>
      <c r="M2155" s="14">
        <f>SUMIFS(Maßnahmen!$I$7:$I$126,Maßnahmen!$D$7:$D$126,C2155,Maßnahmen!$H$7:$H$126,"&lt;&gt;verworfen")</f>
        <v/>
      </c>
      <c r="N2155" s="14">
        <f>IF(ISNUMBER(K2155),MAX(0,K2155-L2155-M2155),"n.a.")</f>
        <v/>
      </c>
      <c r="O2155" s="14" t="n">
        <v>6609.53</v>
      </c>
      <c r="P2155" s="14">
        <f>IF(ISNUMBER(K2155),K2155-O2155,"n.a.")</f>
        <v/>
      </c>
    </row>
    <row r="2156" ht="32" customHeight="1">
      <c r="C2156" s="10" t="inlineStr">
        <is>
          <t>PRJ-38308410-RK-15</t>
        </is>
      </c>
      <c r="D2156" s="10" t="inlineStr">
        <is>
          <t>W4102604411</t>
        </is>
      </c>
      <c r="E2156" s="11" t="inlineStr">
        <is>
          <t>Konjunktur / Sekundärstoffpreise &amp; Gerätemiete</t>
        </is>
      </c>
      <c r="F2156" s="10" t="inlineStr">
        <is>
          <t>Markt</t>
        </is>
      </c>
      <c r="G2156" s="12" t="n">
        <v>0.12</v>
      </c>
      <c r="H2156" s="13" t="n">
        <v>669</v>
      </c>
      <c r="I2156" s="13" t="n">
        <v>1673</v>
      </c>
      <c r="J2156" s="13" t="n">
        <v>4183</v>
      </c>
      <c r="K2156" s="14">
        <f>IF(OR(COUNT(G2156:J2156)&lt;&gt;4,G2156&lt;0,G2156&gt;1,H2156&gt;I2156,I2156&gt;J2156),"n.a.",ROUND(G2156*(H2156+4*I2156+J2156)/6+0.00000001,2))</f>
        <v/>
      </c>
      <c r="L2156" s="13" t="n">
        <v>0</v>
      </c>
      <c r="M2156" s="14">
        <f>SUMIFS(Maßnahmen!$I$7:$I$126,Maßnahmen!$D$7:$D$126,C2156,Maßnahmen!$H$7:$H$126,"&lt;&gt;verworfen")</f>
        <v/>
      </c>
      <c r="N2156" s="14">
        <f>IF(ISNUMBER(K2156),MAX(0,K2156-L2156-M2156),"n.a.")</f>
        <v/>
      </c>
      <c r="O2156" s="14" t="n">
        <v>230.88</v>
      </c>
      <c r="P2156" s="14">
        <f>IF(ISNUMBER(K2156),K2156-O2156,"n.a.")</f>
        <v/>
      </c>
    </row>
    <row r="2157" ht="32" customHeight="1">
      <c r="C2157" s="10" t="inlineStr">
        <is>
          <t>PRJ-407249a6-RK-01</t>
        </is>
      </c>
      <c r="D2157" s="10" t="inlineStr">
        <is>
          <t>W4102154411</t>
        </is>
      </c>
      <c r="E2157" s="11" t="inlineStr">
        <is>
          <t>Schadstofffund / Schadstoffsanierung (Asbest, PAK, PCB, PCP)</t>
        </is>
      </c>
      <c r="F2157" s="10" t="inlineStr">
        <is>
          <t>Schadstoffe</t>
        </is>
      </c>
      <c r="G2157" s="12" t="n">
        <v>0.22</v>
      </c>
      <c r="H2157" s="13" t="n">
        <v>1787</v>
      </c>
      <c r="I2157" s="13" t="n">
        <v>4467</v>
      </c>
      <c r="J2157" s="13" t="n">
        <v>8934</v>
      </c>
      <c r="K2157" s="14">
        <f>IF(OR(COUNT(G2157:J2157)&lt;&gt;4,G2157&lt;0,G2157&gt;1,H2157&gt;I2157,I2157&gt;J2157),"n.a.",ROUND(G2157*(H2157+4*I2157+J2157)/6+0.00000001,2))</f>
        <v/>
      </c>
      <c r="L2157" s="13" t="n">
        <v>0</v>
      </c>
      <c r="M2157" s="14">
        <f>SUMIFS(Maßnahmen!$I$7:$I$126,Maßnahmen!$D$7:$D$126,C2157,Maßnahmen!$H$7:$H$126,"&lt;&gt;verworfen")</f>
        <v/>
      </c>
      <c r="N2157" s="14">
        <f>IF(ISNUMBER(K2157),MAX(0,K2157-L2157-M2157),"n.a.")</f>
        <v/>
      </c>
      <c r="O2157" s="14" t="n">
        <v>1048.26</v>
      </c>
      <c r="P2157" s="14">
        <f>IF(ISNUMBER(K2157),K2157-O2157,"n.a.")</f>
        <v/>
      </c>
    </row>
    <row r="2158" ht="32" customHeight="1">
      <c r="C2158" s="10" t="inlineStr">
        <is>
          <t>PRJ-407249a6-RK-02</t>
        </is>
      </c>
      <c r="D2158" s="10" t="inlineStr">
        <is>
          <t>W4102154411</t>
        </is>
      </c>
      <c r="E2158" s="11" t="inlineStr">
        <is>
          <t>Arbeitsschutz kontaminierte Bereiche (TRGS 524)</t>
        </is>
      </c>
      <c r="F2158" s="10" t="inlineStr">
        <is>
          <t>Schadstoffe</t>
        </is>
      </c>
      <c r="G2158" s="12" t="n">
        <v>0.165</v>
      </c>
      <c r="H2158" s="13" t="n">
        <v>447</v>
      </c>
      <c r="I2158" s="13" t="n">
        <v>893</v>
      </c>
      <c r="J2158" s="13" t="n">
        <v>1787</v>
      </c>
      <c r="K2158" s="14">
        <f>IF(OR(COUNT(G2158:J2158)&lt;&gt;4,G2158&lt;0,G2158&gt;1,H2158&gt;I2158,I2158&gt;J2158),"n.a.",ROUND(G2158*(H2158+4*I2158+J2158)/6+0.00000001,2))</f>
        <v/>
      </c>
      <c r="L2158" s="13" t="n">
        <v>0</v>
      </c>
      <c r="M2158" s="14">
        <f>SUMIFS(Maßnahmen!$I$7:$I$126,Maßnahmen!$D$7:$D$126,C2158,Maßnahmen!$H$7:$H$126,"&lt;&gt;verworfen")</f>
        <v/>
      </c>
      <c r="N2158" s="14">
        <f>IF(ISNUMBER(K2158),MAX(0,K2158-L2158-M2158),"n.a.")</f>
        <v/>
      </c>
      <c r="O2158" s="14" t="n">
        <v>159.67</v>
      </c>
      <c r="P2158" s="14">
        <f>IF(ISNUMBER(K2158),K2158-O2158,"n.a.")</f>
        <v/>
      </c>
    </row>
    <row r="2159" ht="32" customHeight="1">
      <c r="C2159" s="10" t="inlineStr">
        <is>
          <t>PRJ-407249a6-RK-03</t>
        </is>
      </c>
      <c r="D2159" s="10" t="inlineStr">
        <is>
          <t>W4102154411</t>
        </is>
      </c>
      <c r="E2159" s="11" t="inlineStr">
        <is>
          <t>Entsorgungs-Mehrkosten / Entsorgungswege</t>
        </is>
      </c>
      <c r="F2159" s="10" t="inlineStr">
        <is>
          <t>Entsorgung</t>
        </is>
      </c>
      <c r="G2159" s="12" t="n">
        <v>0.15</v>
      </c>
      <c r="H2159" s="13" t="n">
        <v>1787</v>
      </c>
      <c r="I2159" s="13" t="n">
        <v>4467</v>
      </c>
      <c r="J2159" s="13" t="n">
        <v>8934</v>
      </c>
      <c r="K2159" s="14">
        <f>IF(OR(COUNT(G2159:J2159)&lt;&gt;4,G2159&lt;0,G2159&gt;1,H2159&gt;I2159,I2159&gt;J2159),"n.a.",ROUND(G2159*(H2159+4*I2159+J2159)/6+0.00000001,2))</f>
        <v/>
      </c>
      <c r="L2159" s="13" t="n">
        <v>0</v>
      </c>
      <c r="M2159" s="14">
        <f>SUMIFS(Maßnahmen!$I$7:$I$126,Maßnahmen!$D$7:$D$126,C2159,Maßnahmen!$H$7:$H$126,"&lt;&gt;verworfen")</f>
        <v/>
      </c>
      <c r="N2159" s="14">
        <f>IF(ISNUMBER(K2159),MAX(0,K2159-L2159-M2159),"n.a.")</f>
        <v/>
      </c>
      <c r="O2159" s="14" t="n">
        <v>714.73</v>
      </c>
      <c r="P2159" s="14">
        <f>IF(ISNUMBER(K2159),K2159-O2159,"n.a.")</f>
        <v/>
      </c>
    </row>
    <row r="2160" ht="32" customHeight="1">
      <c r="C2160" s="10" t="inlineStr">
        <is>
          <t>PRJ-407249a6-RK-04</t>
        </is>
      </c>
      <c r="D2160" s="10" t="inlineStr">
        <is>
          <t>W4102154411</t>
        </is>
      </c>
      <c r="E2160" s="11" t="inlineStr">
        <is>
          <t>Baustofftrennung / Aufbereitung nicht wie geplant</t>
        </is>
      </c>
      <c r="F2160" s="10" t="inlineStr">
        <is>
          <t>Entsorgung</t>
        </is>
      </c>
      <c r="G2160" s="12" t="n">
        <v>0.08</v>
      </c>
      <c r="H2160" s="13" t="n">
        <v>447</v>
      </c>
      <c r="I2160" s="13" t="n">
        <v>893</v>
      </c>
      <c r="J2160" s="13" t="n">
        <v>1787</v>
      </c>
      <c r="K2160" s="14">
        <f>IF(OR(COUNT(G2160:J2160)&lt;&gt;4,G2160&lt;0,G2160&gt;1,H2160&gt;I2160,I2160&gt;J2160),"n.a.",ROUND(G2160*(H2160+4*I2160+J2160)/6+0.00000001,2))</f>
        <v/>
      </c>
      <c r="L2160" s="13" t="n">
        <v>0</v>
      </c>
      <c r="M2160" s="14">
        <f>SUMIFS(Maßnahmen!$I$7:$I$126,Maßnahmen!$D$7:$D$126,C2160,Maßnahmen!$H$7:$H$126,"&lt;&gt;verworfen")</f>
        <v/>
      </c>
      <c r="N2160" s="14">
        <f>IF(ISNUMBER(K2160),MAX(0,K2160-L2160-M2160),"n.a.")</f>
        <v/>
      </c>
      <c r="O2160" s="14" t="n">
        <v>77.41</v>
      </c>
      <c r="P2160" s="14">
        <f>IF(ISNUMBER(K2160),K2160-O2160,"n.a.")</f>
        <v/>
      </c>
    </row>
    <row r="2161" ht="32" customHeight="1">
      <c r="C2161" s="10" t="inlineStr">
        <is>
          <t>PRJ-407249a6-RK-05</t>
        </is>
      </c>
      <c r="D2161" s="10" t="inlineStr">
        <is>
          <t>W4102154411</t>
        </is>
      </c>
      <c r="E2161" s="11" t="inlineStr">
        <is>
          <t>Unbekannte Bauwerkskonstruktion / fehlende Pläne</t>
        </is>
      </c>
      <c r="F2161" s="10" t="inlineStr">
        <is>
          <t>Statik</t>
        </is>
      </c>
      <c r="G2161" s="12" t="n">
        <v>0.12</v>
      </c>
      <c r="H2161" s="13" t="n">
        <v>2494</v>
      </c>
      <c r="I2161" s="13" t="n">
        <v>5348</v>
      </c>
      <c r="J2161" s="13" t="n">
        <v>10522</v>
      </c>
      <c r="K2161" s="14">
        <f>IF(OR(COUNT(G2161:J2161)&lt;&gt;4,G2161&lt;0,G2161&gt;1,H2161&gt;I2161,I2161&gt;J2161),"n.a.",ROUND(G2161*(H2161+4*I2161+J2161)/6+0.00000001,2))</f>
        <v/>
      </c>
      <c r="L2161" s="13" t="n">
        <v>0</v>
      </c>
      <c r="M2161" s="14">
        <f>SUMIFS(Maßnahmen!$I$7:$I$126,Maßnahmen!$D$7:$D$126,C2161,Maßnahmen!$H$7:$H$126,"&lt;&gt;verworfen")</f>
        <v/>
      </c>
      <c r="N2161" s="14">
        <f>IF(ISNUMBER(K2161),MAX(0,K2161-L2161-M2161),"n.a.")</f>
        <v/>
      </c>
      <c r="O2161" s="14" t="n">
        <v>688.16</v>
      </c>
      <c r="P2161" s="14">
        <f>IF(ISNUMBER(K2161),K2161-O2161,"n.a.")</f>
        <v/>
      </c>
    </row>
    <row r="2162" ht="32" customHeight="1">
      <c r="C2162" s="10" t="inlineStr">
        <is>
          <t>PRJ-407249a6-RK-06</t>
        </is>
      </c>
      <c r="D2162" s="10" t="inlineStr">
        <is>
          <t>W4102154411</t>
        </is>
      </c>
      <c r="E2162" s="11" t="inlineStr">
        <is>
          <t>Statik / Einsturzsicherung während Abbruch</t>
        </is>
      </c>
      <c r="F2162" s="10" t="inlineStr">
        <is>
          <t>Statik</t>
        </is>
      </c>
      <c r="G2162" s="12" t="n">
        <v>0.12</v>
      </c>
      <c r="H2162" s="13" t="n">
        <v>2680</v>
      </c>
      <c r="I2162" s="13" t="n">
        <v>6254</v>
      </c>
      <c r="J2162" s="13" t="n">
        <v>12508</v>
      </c>
      <c r="K2162" s="14">
        <f>IF(OR(COUNT(G2162:J2162)&lt;&gt;4,G2162&lt;0,G2162&gt;1,H2162&gt;I2162,I2162&gt;J2162),"n.a.",ROUND(G2162*(H2162+4*I2162+J2162)/6+0.00000001,2))</f>
        <v/>
      </c>
      <c r="L2162" s="13" t="n">
        <v>0</v>
      </c>
      <c r="M2162" s="14">
        <f>SUMIFS(Maßnahmen!$I$7:$I$126,Maßnahmen!$D$7:$D$126,C2162,Maßnahmen!$H$7:$H$126,"&lt;&gt;verworfen")</f>
        <v/>
      </c>
      <c r="N2162" s="14">
        <f>IF(ISNUMBER(K2162),MAX(0,K2162-L2162-M2162),"n.a.")</f>
        <v/>
      </c>
      <c r="O2162" s="14" t="n">
        <v>804.08</v>
      </c>
      <c r="P2162" s="14">
        <f>IF(ISNUMBER(K2162),K2162-O2162,"n.a.")</f>
        <v/>
      </c>
    </row>
    <row r="2163" ht="32" customHeight="1">
      <c r="C2163" s="10" t="inlineStr">
        <is>
          <t>PRJ-407249a6-RK-07</t>
        </is>
      </c>
      <c r="D2163" s="10" t="inlineStr">
        <is>
          <t>W4102154411</t>
        </is>
      </c>
      <c r="E2163" s="11" t="inlineStr">
        <is>
          <t>Unterirdische Tragkonstruktion / Fundamente</t>
        </is>
      </c>
      <c r="F2163" s="10" t="inlineStr">
        <is>
          <t>Statik</t>
        </is>
      </c>
      <c r="G2163" s="12" t="n">
        <v>0.5</v>
      </c>
      <c r="H2163" s="13" t="n">
        <v>447</v>
      </c>
      <c r="I2163" s="13" t="n">
        <v>1787</v>
      </c>
      <c r="J2163" s="13" t="n">
        <v>4467</v>
      </c>
      <c r="K2163" s="14">
        <f>IF(OR(COUNT(G2163:J2163)&lt;&gt;4,G2163&lt;0,G2163&gt;1,H2163&gt;I2163,I2163&gt;J2163),"n.a.",ROUND(G2163*(H2163+4*I2163+J2163)/6+0.00000001,2))</f>
        <v/>
      </c>
      <c r="L2163" s="13" t="n">
        <v>0</v>
      </c>
      <c r="M2163" s="14">
        <f>SUMIFS(Maßnahmen!$I$7:$I$126,Maßnahmen!$D$7:$D$126,C2163,Maßnahmen!$H$7:$H$126,"&lt;&gt;verworfen")</f>
        <v/>
      </c>
      <c r="N2163" s="14">
        <f>IF(ISNUMBER(K2163),MAX(0,K2163-L2163-M2163),"n.a.")</f>
        <v/>
      </c>
      <c r="O2163" s="14" t="n">
        <v>1005.17</v>
      </c>
      <c r="P2163" s="14">
        <f>IF(ISNUMBER(K2163),K2163-O2163,"n.a.")</f>
        <v/>
      </c>
    </row>
    <row r="2164" ht="32" customHeight="1">
      <c r="C2164" s="10" t="inlineStr">
        <is>
          <t>PRJ-407249a6-RK-08</t>
        </is>
      </c>
      <c r="D2164" s="10" t="inlineStr">
        <is>
          <t>W4102154411</t>
        </is>
      </c>
      <c r="E2164" s="11" t="inlineStr">
        <is>
          <t>Gebäudehöhe &gt;22 m / Longfront-Bagger (+130–150 %)</t>
        </is>
      </c>
      <c r="F2164" s="10" t="inlineStr">
        <is>
          <t>Termin</t>
        </is>
      </c>
      <c r="G2164" s="12" t="n">
        <v>0.6</v>
      </c>
      <c r="H2164" s="13" t="n">
        <v>8041</v>
      </c>
      <c r="I2164" s="13" t="n">
        <v>16081</v>
      </c>
      <c r="J2164" s="13" t="n">
        <v>30376</v>
      </c>
      <c r="K2164" s="14">
        <f>IF(OR(COUNT(G2164:J2164)&lt;&gt;4,G2164&lt;0,G2164&gt;1,H2164&gt;I2164,I2164&gt;J2164),"n.a.",ROUND(G2164*(H2164+4*I2164+J2164)/6+0.00000001,2))</f>
        <v/>
      </c>
      <c r="L2164" s="13" t="n">
        <v>0</v>
      </c>
      <c r="M2164" s="14">
        <f>SUMIFS(Maßnahmen!$I$7:$I$126,Maßnahmen!$D$7:$D$126,C2164,Maßnahmen!$H$7:$H$126,"&lt;&gt;verworfen")</f>
        <v/>
      </c>
      <c r="N2164" s="14">
        <f>IF(ISNUMBER(K2164),MAX(0,K2164-L2164-M2164),"n.a.")</f>
        <v/>
      </c>
      <c r="O2164" s="14" t="n">
        <v>10274.1</v>
      </c>
      <c r="P2164" s="14">
        <f>IF(ISNUMBER(K2164),K2164-O2164,"n.a.")</f>
        <v/>
      </c>
    </row>
    <row r="2165" ht="32" customHeight="1">
      <c r="C2165" s="10" t="inlineStr">
        <is>
          <t>PRJ-407249a6-RK-09</t>
        </is>
      </c>
      <c r="D2165" s="10" t="inlineStr">
        <is>
          <t>W4102154411</t>
        </is>
      </c>
      <c r="E2165" s="11" t="inlineStr">
        <is>
          <t>Beennte Lage / nur Handabbruch möglich</t>
        </is>
      </c>
      <c r="F2165" s="10" t="inlineStr">
        <is>
          <t>Termin</t>
        </is>
      </c>
      <c r="G2165" s="12" t="n">
        <v>0.122</v>
      </c>
      <c r="H2165" s="13" t="n">
        <v>447</v>
      </c>
      <c r="I2165" s="13" t="n">
        <v>1067</v>
      </c>
      <c r="J2165" s="13" t="n">
        <v>3027</v>
      </c>
      <c r="K2165" s="14">
        <f>IF(OR(COUNT(G2165:J2165)&lt;&gt;4,G2165&lt;0,G2165&gt;1,H2165&gt;I2165,I2165&gt;J2165),"n.a.",ROUND(G2165*(H2165+4*I2165+J2165)/6+0.00000001,2))</f>
        <v/>
      </c>
      <c r="L2165" s="13" t="n">
        <v>0</v>
      </c>
      <c r="M2165" s="14">
        <f>SUMIFS(Maßnahmen!$I$7:$I$126,Maßnahmen!$D$7:$D$126,C2165,Maßnahmen!$H$7:$H$126,"&lt;&gt;verworfen")</f>
        <v/>
      </c>
      <c r="N2165" s="14">
        <f>IF(ISNUMBER(K2165),MAX(0,K2165-L2165-M2165),"n.a.")</f>
        <v/>
      </c>
      <c r="O2165" s="14" t="n">
        <v>157.42</v>
      </c>
      <c r="P2165" s="14">
        <f>IF(ISNUMBER(K2165),K2165-O2165,"n.a.")</f>
        <v/>
      </c>
    </row>
    <row r="2166" ht="32" customHeight="1">
      <c r="C2166" s="10" t="inlineStr">
        <is>
          <t>PRJ-407249a6-RK-10</t>
        </is>
      </c>
      <c r="D2166" s="10" t="inlineStr">
        <is>
          <t>W4102154411</t>
        </is>
      </c>
      <c r="E2166" s="11" t="inlineStr">
        <is>
          <t>Terminvorgabe Auftraggeber / Geräteauslastung</t>
        </is>
      </c>
      <c r="F2166" s="10" t="inlineStr">
        <is>
          <t>Termin</t>
        </is>
      </c>
      <c r="G2166" s="12" t="n">
        <v>0.098</v>
      </c>
      <c r="H2166" s="13" t="n">
        <v>447</v>
      </c>
      <c r="I2166" s="13" t="n">
        <v>893</v>
      </c>
      <c r="J2166" s="13" t="n">
        <v>1787</v>
      </c>
      <c r="K2166" s="14">
        <f>IF(OR(COUNT(G2166:J2166)&lt;&gt;4,G2166&lt;0,G2166&gt;1,H2166&gt;I2166,I2166&gt;J2166),"n.a.",ROUND(G2166*(H2166+4*I2166+J2166)/6+0.00000001,2))</f>
        <v/>
      </c>
      <c r="L2166" s="13" t="n">
        <v>0</v>
      </c>
      <c r="M2166" s="14">
        <f>SUMIFS(Maßnahmen!$I$7:$I$126,Maßnahmen!$D$7:$D$126,C2166,Maßnahmen!$H$7:$H$126,"&lt;&gt;verworfen")</f>
        <v/>
      </c>
      <c r="N2166" s="14">
        <f>IF(ISNUMBER(K2166),MAX(0,K2166-L2166-M2166),"n.a.")</f>
        <v/>
      </c>
      <c r="O2166" s="14" t="n">
        <v>94.83</v>
      </c>
      <c r="P2166" s="14">
        <f>IF(ISNUMBER(K2166),K2166-O2166,"n.a.")</f>
        <v/>
      </c>
    </row>
    <row r="2167" ht="32" customHeight="1">
      <c r="C2167" s="10" t="inlineStr">
        <is>
          <t>PRJ-407249a6-RK-11</t>
        </is>
      </c>
      <c r="D2167" s="10" t="inlineStr">
        <is>
          <t>W4102154411</t>
        </is>
      </c>
      <c r="E2167" s="11" t="inlineStr">
        <is>
          <t>Witterung / Ablaufstörung</t>
        </is>
      </c>
      <c r="F2167" s="10" t="inlineStr">
        <is>
          <t>Termin</t>
        </is>
      </c>
      <c r="G2167" s="12" t="n">
        <v>0.25</v>
      </c>
      <c r="H2167" s="13" t="n">
        <v>893</v>
      </c>
      <c r="I2167" s="13" t="n">
        <v>2680</v>
      </c>
      <c r="J2167" s="13" t="n">
        <v>5360</v>
      </c>
      <c r="K2167" s="14">
        <f>IF(OR(COUNT(G2167:J2167)&lt;&gt;4,G2167&lt;0,G2167&gt;1,H2167&gt;I2167,I2167&gt;J2167),"n.a.",ROUND(G2167*(H2167+4*I2167+J2167)/6+0.00000001,2))</f>
        <v/>
      </c>
      <c r="L2167" s="13" t="n">
        <v>0</v>
      </c>
      <c r="M2167" s="14">
        <f>SUMIFS(Maßnahmen!$I$7:$I$126,Maßnahmen!$D$7:$D$126,C2167,Maßnahmen!$H$7:$H$126,"&lt;&gt;verworfen")</f>
        <v/>
      </c>
      <c r="N2167" s="14">
        <f>IF(ISNUMBER(K2167),MAX(0,K2167-L2167-M2167),"n.a.")</f>
        <v/>
      </c>
      <c r="O2167" s="14" t="n">
        <v>707.21</v>
      </c>
      <c r="P2167" s="14">
        <f>IF(ISNUMBER(K2167),K2167-O2167,"n.a.")</f>
        <v/>
      </c>
    </row>
    <row r="2168" ht="32" customHeight="1">
      <c r="C2168" s="10" t="inlineStr">
        <is>
          <t>PRJ-407249a6-RK-12</t>
        </is>
      </c>
      <c r="D2168" s="10" t="inlineStr">
        <is>
          <t>W4102154411</t>
        </is>
      </c>
      <c r="E2168" s="11" t="inlineStr">
        <is>
          <t>Staubemissionen (höchster Aufwand laut Umfrage)</t>
        </is>
      </c>
      <c r="F2168" s="10" t="inlineStr">
        <is>
          <t>Emissionen</t>
        </is>
      </c>
      <c r="G2168" s="12" t="n">
        <v>0.1</v>
      </c>
      <c r="H2168" s="13" t="n">
        <v>2680</v>
      </c>
      <c r="I2168" s="13" t="n">
        <v>5360</v>
      </c>
      <c r="J2168" s="13" t="n">
        <v>10721</v>
      </c>
      <c r="K2168" s="14">
        <f>IF(OR(COUNT(G2168:J2168)&lt;&gt;4,G2168&lt;0,G2168&gt;1,H2168&gt;I2168,I2168&gt;J2168),"n.a.",ROUND(G2168*(H2168+4*I2168+J2168)/6+0.00000001,2))</f>
        <v/>
      </c>
      <c r="L2168" s="13" t="n">
        <v>0</v>
      </c>
      <c r="M2168" s="14">
        <f>SUMIFS(Maßnahmen!$I$7:$I$126,Maßnahmen!$D$7:$D$126,C2168,Maßnahmen!$H$7:$H$126,"&lt;&gt;verworfen")</f>
        <v/>
      </c>
      <c r="N2168" s="14">
        <f>IF(ISNUMBER(K2168),MAX(0,K2168-L2168-M2168),"n.a.")</f>
        <v/>
      </c>
      <c r="O2168" s="14" t="n">
        <v>580.6799999999999</v>
      </c>
      <c r="P2168" s="14">
        <f>IF(ISNUMBER(K2168),K2168-O2168,"n.a.")</f>
        <v/>
      </c>
    </row>
    <row r="2169" ht="32" customHeight="1">
      <c r="C2169" s="10" t="inlineStr">
        <is>
          <t>PRJ-407249a6-RK-13</t>
        </is>
      </c>
      <c r="D2169" s="10" t="inlineStr">
        <is>
          <t>W4102154411</t>
        </is>
      </c>
      <c r="E2169" s="11" t="inlineStr">
        <is>
          <t>Lärm- und Erschütterungsauflagen</t>
        </is>
      </c>
      <c r="F2169" s="10" t="inlineStr">
        <is>
          <t>Emissionen</t>
        </is>
      </c>
      <c r="G2169" s="12" t="n">
        <v>0.156</v>
      </c>
      <c r="H2169" s="13" t="n">
        <v>923</v>
      </c>
      <c r="I2169" s="13" t="n">
        <v>2883</v>
      </c>
      <c r="J2169" s="13" t="n">
        <v>6199</v>
      </c>
      <c r="K2169" s="14">
        <f>IF(OR(COUNT(G2169:J2169)&lt;&gt;4,G2169&lt;0,G2169&gt;1,H2169&gt;I2169,I2169&gt;J2169),"n.a.",ROUND(G2169*(H2169+4*I2169+J2169)/6+0.00000001,2))</f>
        <v/>
      </c>
      <c r="L2169" s="13" t="n">
        <v>0</v>
      </c>
      <c r="M2169" s="14">
        <f>SUMIFS(Maßnahmen!$I$7:$I$126,Maßnahmen!$D$7:$D$126,C2169,Maßnahmen!$H$7:$H$126,"&lt;&gt;verworfen")</f>
        <v/>
      </c>
      <c r="N2169" s="14">
        <f>IF(ISNUMBER(K2169),MAX(0,K2169-L2169-M2169),"n.a.")</f>
        <v/>
      </c>
      <c r="O2169" s="14" t="n">
        <v>485</v>
      </c>
      <c r="P2169" s="14">
        <f>IF(ISNUMBER(K2169),K2169-O2169,"n.a.")</f>
        <v/>
      </c>
    </row>
    <row r="2170" ht="32" customHeight="1">
      <c r="C2170" s="10" t="inlineStr">
        <is>
          <t>PRJ-407249a6-RK-14</t>
        </is>
      </c>
      <c r="D2170" s="10" t="inlineStr">
        <is>
          <t>W4102154411</t>
        </is>
      </c>
      <c r="E2170" s="11" t="inlineStr">
        <is>
          <t>Rechtliche Auflagen / Entsorgungsnachweise (Formalismus)</t>
        </is>
      </c>
      <c r="F2170" s="10" t="inlineStr">
        <is>
          <t>Genehmigung</t>
        </is>
      </c>
      <c r="G2170" s="12" t="n">
        <v>0.4</v>
      </c>
      <c r="H2170" s="13" t="n">
        <v>8487</v>
      </c>
      <c r="I2170" s="13" t="n">
        <v>16528</v>
      </c>
      <c r="J2170" s="13" t="n">
        <v>31269</v>
      </c>
      <c r="K2170" s="14">
        <f>IF(OR(COUNT(G2170:J2170)&lt;&gt;4,G2170&lt;0,G2170&gt;1,H2170&gt;I2170,I2170&gt;J2170),"n.a.",ROUND(G2170*(H2170+4*I2170+J2170)/6+0.00000001,2))</f>
        <v/>
      </c>
      <c r="L2170" s="13" t="n">
        <v>0</v>
      </c>
      <c r="M2170" s="14">
        <f>SUMIFS(Maßnahmen!$I$7:$I$126,Maßnahmen!$D$7:$D$126,C2170,Maßnahmen!$H$7:$H$126,"&lt;&gt;verworfen")</f>
        <v/>
      </c>
      <c r="N2170" s="14">
        <f>IF(ISNUMBER(K2170),MAX(0,K2170-L2170-M2170),"n.a.")</f>
        <v/>
      </c>
      <c r="O2170" s="14" t="n">
        <v>7057.87</v>
      </c>
      <c r="P2170" s="14">
        <f>IF(ISNUMBER(K2170),K2170-O2170,"n.a.")</f>
        <v/>
      </c>
    </row>
    <row r="2171" ht="32" customHeight="1">
      <c r="C2171" s="10" t="inlineStr">
        <is>
          <t>PRJ-407249a6-RK-15</t>
        </is>
      </c>
      <c r="D2171" s="10" t="inlineStr">
        <is>
          <t>W4102154411</t>
        </is>
      </c>
      <c r="E2171" s="11" t="inlineStr">
        <is>
          <t>Konjunktur / Sekundärstoffpreise &amp; Gerätemiete</t>
        </is>
      </c>
      <c r="F2171" s="10" t="inlineStr">
        <is>
          <t>Markt</t>
        </is>
      </c>
      <c r="G2171" s="12" t="n">
        <v>0.12</v>
      </c>
      <c r="H2171" s="13" t="n">
        <v>715</v>
      </c>
      <c r="I2171" s="13" t="n">
        <v>1787</v>
      </c>
      <c r="J2171" s="13" t="n">
        <v>4467</v>
      </c>
      <c r="K2171" s="14">
        <f>IF(OR(COUNT(G2171:J2171)&lt;&gt;4,G2171&lt;0,G2171&gt;1,H2171&gt;I2171,I2171&gt;J2171),"n.a.",ROUND(G2171*(H2171+4*I2171+J2171)/6+0.00000001,2))</f>
        <v/>
      </c>
      <c r="L2171" s="13" t="n">
        <v>0</v>
      </c>
      <c r="M2171" s="14">
        <f>SUMIFS(Maßnahmen!$I$7:$I$126,Maßnahmen!$D$7:$D$126,C2171,Maßnahmen!$H$7:$H$126,"&lt;&gt;verworfen")</f>
        <v/>
      </c>
      <c r="N2171" s="14">
        <f>IF(ISNUMBER(K2171),MAX(0,K2171-L2171-M2171),"n.a.")</f>
        <v/>
      </c>
      <c r="O2171" s="14" t="n">
        <v>246.6</v>
      </c>
      <c r="P2171" s="14">
        <f>IF(ISNUMBER(K2171),K2171-O2171,"n.a.")</f>
        <v/>
      </c>
    </row>
    <row r="2172" ht="32" customHeight="1">
      <c r="C2172" s="10" t="inlineStr">
        <is>
          <t>PRJ-37e9fb63-RK-01</t>
        </is>
      </c>
      <c r="D2172" s="10" t="inlineStr">
        <is>
          <t>W4102654947</t>
        </is>
      </c>
      <c r="E2172" s="11" t="inlineStr">
        <is>
          <t>Schadstofffund / Schadstoffsanierung (Asbest, PAK, PCB, PCP)</t>
        </is>
      </c>
      <c r="F2172" s="10" t="inlineStr">
        <is>
          <t>Schadstoffe</t>
        </is>
      </c>
      <c r="G2172" s="12" t="n">
        <v>0.1</v>
      </c>
      <c r="H2172" s="13" t="n">
        <v>77</v>
      </c>
      <c r="I2172" s="13" t="n">
        <v>194</v>
      </c>
      <c r="J2172" s="13" t="n">
        <v>387</v>
      </c>
      <c r="K2172" s="14">
        <f>IF(OR(COUNT(G2172:J2172)&lt;&gt;4,G2172&lt;0,G2172&gt;1,H2172&gt;I2172,I2172&gt;J2172),"n.a.",ROUND(G2172*(H2172+4*I2172+J2172)/6+0.00000001,2))</f>
        <v/>
      </c>
      <c r="L2172" s="13" t="n">
        <v>0</v>
      </c>
      <c r="M2172" s="14">
        <f>SUMIFS(Maßnahmen!$I$7:$I$126,Maßnahmen!$D$7:$D$126,C2172,Maßnahmen!$H$7:$H$126,"&lt;&gt;verworfen")</f>
        <v/>
      </c>
      <c r="N2172" s="14">
        <f>IF(ISNUMBER(K2172),MAX(0,K2172-L2172-M2172),"n.a.")</f>
        <v/>
      </c>
      <c r="O2172" s="14" t="n">
        <v>20.67</v>
      </c>
      <c r="P2172" s="14">
        <f>IF(ISNUMBER(K2172),K2172-O2172,"n.a.")</f>
        <v/>
      </c>
    </row>
    <row r="2173" ht="32" customHeight="1">
      <c r="C2173" s="10" t="inlineStr">
        <is>
          <t>PRJ-37e9fb63-RK-02</t>
        </is>
      </c>
      <c r="D2173" s="10" t="inlineStr">
        <is>
          <t>W4102654947</t>
        </is>
      </c>
      <c r="E2173" s="11" t="inlineStr">
        <is>
          <t>Arbeitsschutz kontaminierte Bereiche (TRGS 524)</t>
        </is>
      </c>
      <c r="F2173" s="10" t="inlineStr">
        <is>
          <t>Schadstoffe</t>
        </is>
      </c>
      <c r="G2173" s="12" t="n">
        <v>0.47</v>
      </c>
      <c r="H2173" s="13" t="n">
        <v>77</v>
      </c>
      <c r="I2173" s="13" t="n">
        <v>194</v>
      </c>
      <c r="J2173" s="13" t="n">
        <v>387</v>
      </c>
      <c r="K2173" s="14">
        <f>IF(OR(COUNT(G2173:J2173)&lt;&gt;4,G2173&lt;0,G2173&gt;1,H2173&gt;I2173,I2173&gt;J2173),"n.a.",ROUND(G2173*(H2173+4*I2173+J2173)/6+0.00000001,2))</f>
        <v/>
      </c>
      <c r="L2173" s="13" t="n">
        <v>0</v>
      </c>
      <c r="M2173" s="14">
        <f>SUMIFS(Maßnahmen!$I$7:$I$126,Maßnahmen!$D$7:$D$126,C2173,Maßnahmen!$H$7:$H$126,"&lt;&gt;verworfen")</f>
        <v/>
      </c>
      <c r="N2173" s="14">
        <f>IF(ISNUMBER(K2173),MAX(0,K2173-L2173-M2173),"n.a.")</f>
        <v/>
      </c>
      <c r="O2173" s="14" t="n">
        <v>97.13</v>
      </c>
      <c r="P2173" s="14">
        <f>IF(ISNUMBER(K2173),K2173-O2173,"n.a.")</f>
        <v/>
      </c>
    </row>
    <row r="2174" ht="32" customHeight="1">
      <c r="C2174" s="10" t="inlineStr">
        <is>
          <t>PRJ-37e9fb63-RK-03</t>
        </is>
      </c>
      <c r="D2174" s="10" t="inlineStr">
        <is>
          <t>W4102654947</t>
        </is>
      </c>
      <c r="E2174" s="11" t="inlineStr">
        <is>
          <t>Entsorgungs-Mehrkosten / Entsorgungswege</t>
        </is>
      </c>
      <c r="F2174" s="10" t="inlineStr">
        <is>
          <t>Entsorgung</t>
        </is>
      </c>
      <c r="G2174" s="12" t="n">
        <v>0.15</v>
      </c>
      <c r="H2174" s="13" t="n">
        <v>77</v>
      </c>
      <c r="I2174" s="13" t="n">
        <v>194</v>
      </c>
      <c r="J2174" s="13" t="n">
        <v>387</v>
      </c>
      <c r="K2174" s="14">
        <f>IF(OR(COUNT(G2174:J2174)&lt;&gt;4,G2174&lt;0,G2174&gt;1,H2174&gt;I2174,I2174&gt;J2174),"n.a.",ROUND(G2174*(H2174+4*I2174+J2174)/6+0.00000001,2))</f>
        <v/>
      </c>
      <c r="L2174" s="13" t="n">
        <v>0</v>
      </c>
      <c r="M2174" s="14">
        <f>SUMIFS(Maßnahmen!$I$7:$I$126,Maßnahmen!$D$7:$D$126,C2174,Maßnahmen!$H$7:$H$126,"&lt;&gt;verworfen")</f>
        <v/>
      </c>
      <c r="N2174" s="14">
        <f>IF(ISNUMBER(K2174),MAX(0,K2174-L2174-M2174),"n.a.")</f>
        <v/>
      </c>
      <c r="O2174" s="14" t="n">
        <v>31</v>
      </c>
      <c r="P2174" s="14">
        <f>IF(ISNUMBER(K2174),K2174-O2174,"n.a.")</f>
        <v/>
      </c>
    </row>
    <row r="2175" ht="32" customHeight="1">
      <c r="C2175" s="10" t="inlineStr">
        <is>
          <t>PRJ-37e9fb63-RK-04</t>
        </is>
      </c>
      <c r="D2175" s="10" t="inlineStr">
        <is>
          <t>W4102654947</t>
        </is>
      </c>
      <c r="E2175" s="11" t="inlineStr">
        <is>
          <t>Baustofftrennung / Aufbereitung nicht wie geplant</t>
        </is>
      </c>
      <c r="F2175" s="10" t="inlineStr">
        <is>
          <t>Entsorgung</t>
        </is>
      </c>
      <c r="G2175" s="12" t="n">
        <v>0.1</v>
      </c>
      <c r="H2175" s="13" t="n">
        <v>77</v>
      </c>
      <c r="I2175" s="13" t="n">
        <v>194</v>
      </c>
      <c r="J2175" s="13" t="n">
        <v>387</v>
      </c>
      <c r="K2175" s="14">
        <f>IF(OR(COUNT(G2175:J2175)&lt;&gt;4,G2175&lt;0,G2175&gt;1,H2175&gt;I2175,I2175&gt;J2175),"n.a.",ROUND(G2175*(H2175+4*I2175+J2175)/6+0.00000001,2))</f>
        <v/>
      </c>
      <c r="L2175" s="13" t="n">
        <v>0</v>
      </c>
      <c r="M2175" s="14">
        <f>SUMIFS(Maßnahmen!$I$7:$I$126,Maßnahmen!$D$7:$D$126,C2175,Maßnahmen!$H$7:$H$126,"&lt;&gt;verworfen")</f>
        <v/>
      </c>
      <c r="N2175" s="14">
        <f>IF(ISNUMBER(K2175),MAX(0,K2175-L2175-M2175),"n.a.")</f>
        <v/>
      </c>
      <c r="O2175" s="14" t="n">
        <v>20.67</v>
      </c>
      <c r="P2175" s="14">
        <f>IF(ISNUMBER(K2175),K2175-O2175,"n.a.")</f>
        <v/>
      </c>
    </row>
    <row r="2176" ht="32" customHeight="1">
      <c r="C2176" s="10" t="inlineStr">
        <is>
          <t>PRJ-37e9fb63-RK-05</t>
        </is>
      </c>
      <c r="D2176" s="10" t="inlineStr">
        <is>
          <t>W4102654947</t>
        </is>
      </c>
      <c r="E2176" s="11" t="inlineStr">
        <is>
          <t>Unbekannte Bauwerkskonstruktion / fehlende Pläne</t>
        </is>
      </c>
      <c r="F2176" s="10" t="inlineStr">
        <is>
          <t>Statik</t>
        </is>
      </c>
      <c r="G2176" s="12" t="n">
        <v>0.12</v>
      </c>
      <c r="H2176" s="13" t="n">
        <v>155</v>
      </c>
      <c r="I2176" s="13" t="n">
        <v>310</v>
      </c>
      <c r="J2176" s="13" t="n">
        <v>581</v>
      </c>
      <c r="K2176" s="14">
        <f>IF(OR(COUNT(G2176:J2176)&lt;&gt;4,G2176&lt;0,G2176&gt;1,H2176&gt;I2176,I2176&gt;J2176),"n.a.",ROUND(G2176*(H2176+4*I2176+J2176)/6+0.00000001,2))</f>
        <v/>
      </c>
      <c r="L2176" s="13" t="n">
        <v>0</v>
      </c>
      <c r="M2176" s="14">
        <f>SUMIFS(Maßnahmen!$I$7:$I$126,Maßnahmen!$D$7:$D$126,C2176,Maßnahmen!$H$7:$H$126,"&lt;&gt;verworfen")</f>
        <v/>
      </c>
      <c r="N2176" s="14">
        <f>IF(ISNUMBER(K2176),MAX(0,K2176-L2176-M2176),"n.a.")</f>
        <v/>
      </c>
      <c r="O2176" s="14" t="n">
        <v>39.52</v>
      </c>
      <c r="P2176" s="14">
        <f>IF(ISNUMBER(K2176),K2176-O2176,"n.a.")</f>
        <v/>
      </c>
    </row>
    <row r="2177" ht="32" customHeight="1">
      <c r="C2177" s="10" t="inlineStr">
        <is>
          <t>PRJ-37e9fb63-RK-06</t>
        </is>
      </c>
      <c r="D2177" s="10" t="inlineStr">
        <is>
          <t>W4102654947</t>
        </is>
      </c>
      <c r="E2177" s="11" t="inlineStr">
        <is>
          <t>Statik / Einsturzsicherung während Abbruch</t>
        </is>
      </c>
      <c r="F2177" s="10" t="inlineStr">
        <is>
          <t>Statik</t>
        </is>
      </c>
      <c r="G2177" s="12" t="n">
        <v>0.12</v>
      </c>
      <c r="H2177" s="13" t="n">
        <v>116</v>
      </c>
      <c r="I2177" s="13" t="n">
        <v>271</v>
      </c>
      <c r="J2177" s="13" t="n">
        <v>542</v>
      </c>
      <c r="K2177" s="14">
        <f>IF(OR(COUNT(G2177:J2177)&lt;&gt;4,G2177&lt;0,G2177&gt;1,H2177&gt;I2177,I2177&gt;J2177),"n.a.",ROUND(G2177*(H2177+4*I2177+J2177)/6+0.00000001,2))</f>
        <v/>
      </c>
      <c r="L2177" s="13" t="n">
        <v>0</v>
      </c>
      <c r="M2177" s="14">
        <f>SUMIFS(Maßnahmen!$I$7:$I$126,Maßnahmen!$D$7:$D$126,C2177,Maßnahmen!$H$7:$H$126,"&lt;&gt;verworfen")</f>
        <v/>
      </c>
      <c r="N2177" s="14">
        <f>IF(ISNUMBER(K2177),MAX(0,K2177-L2177-M2177),"n.a.")</f>
        <v/>
      </c>
      <c r="O2177" s="14" t="n">
        <v>34.84</v>
      </c>
      <c r="P2177" s="14">
        <f>IF(ISNUMBER(K2177),K2177-O2177,"n.a.")</f>
        <v/>
      </c>
    </row>
    <row r="2178" ht="32" customHeight="1">
      <c r="C2178" s="10" t="inlineStr">
        <is>
          <t>PRJ-37e9fb63-RK-07</t>
        </is>
      </c>
      <c r="D2178" s="10" t="inlineStr">
        <is>
          <t>W4102654947</t>
        </is>
      </c>
      <c r="E2178" s="11" t="inlineStr">
        <is>
          <t>Unterirdische Tragkonstruktion / Fundamente</t>
        </is>
      </c>
      <c r="F2178" s="10" t="inlineStr">
        <is>
          <t>Statik</t>
        </is>
      </c>
      <c r="G2178" s="12" t="n">
        <v>0.5</v>
      </c>
      <c r="H2178" s="13" t="n">
        <v>19</v>
      </c>
      <c r="I2178" s="13" t="n">
        <v>77</v>
      </c>
      <c r="J2178" s="13" t="n">
        <v>194</v>
      </c>
      <c r="K2178" s="14">
        <f>IF(OR(COUNT(G2178:J2178)&lt;&gt;4,G2178&lt;0,G2178&gt;1,H2178&gt;I2178,I2178&gt;J2178),"n.a.",ROUND(G2178*(H2178+4*I2178+J2178)/6+0.00000001,2))</f>
        <v/>
      </c>
      <c r="L2178" s="13" t="n">
        <v>0</v>
      </c>
      <c r="M2178" s="14">
        <f>SUMIFS(Maßnahmen!$I$7:$I$126,Maßnahmen!$D$7:$D$126,C2178,Maßnahmen!$H$7:$H$126,"&lt;&gt;verworfen")</f>
        <v/>
      </c>
      <c r="N2178" s="14">
        <f>IF(ISNUMBER(K2178),MAX(0,K2178-L2178-M2178),"n.a.")</f>
        <v/>
      </c>
      <c r="O2178" s="14" t="n">
        <v>43.42</v>
      </c>
      <c r="P2178" s="14">
        <f>IF(ISNUMBER(K2178),K2178-O2178,"n.a.")</f>
        <v/>
      </c>
    </row>
    <row r="2179" ht="32" customHeight="1">
      <c r="C2179" s="10" t="inlineStr">
        <is>
          <t>PRJ-37e9fb63-RK-08</t>
        </is>
      </c>
      <c r="D2179" s="10" t="inlineStr">
        <is>
          <t>W4102654947</t>
        </is>
      </c>
      <c r="E2179" s="11" t="inlineStr">
        <is>
          <t>Gebäudehöhe &gt;22 m / Longfront-Bagger (+130–150 %)</t>
        </is>
      </c>
      <c r="F2179" s="10" t="inlineStr">
        <is>
          <t>Termin</t>
        </is>
      </c>
      <c r="G2179" s="12" t="n">
        <v>0.6</v>
      </c>
      <c r="H2179" s="13" t="n">
        <v>349</v>
      </c>
      <c r="I2179" s="13" t="n">
        <v>697</v>
      </c>
      <c r="J2179" s="13" t="n">
        <v>1317</v>
      </c>
      <c r="K2179" s="14">
        <f>IF(OR(COUNT(G2179:J2179)&lt;&gt;4,G2179&lt;0,G2179&gt;1,H2179&gt;I2179,I2179&gt;J2179),"n.a.",ROUND(G2179*(H2179+4*I2179+J2179)/6+0.00000001,2))</f>
        <v/>
      </c>
      <c r="L2179" s="13" t="n">
        <v>0</v>
      </c>
      <c r="M2179" s="14">
        <f>SUMIFS(Maßnahmen!$I$7:$I$126,Maßnahmen!$D$7:$D$126,C2179,Maßnahmen!$H$7:$H$126,"&lt;&gt;verworfen")</f>
        <v/>
      </c>
      <c r="N2179" s="14">
        <f>IF(ISNUMBER(K2179),MAX(0,K2179-L2179-M2179),"n.a.")</f>
        <v/>
      </c>
      <c r="O2179" s="14" t="n">
        <v>445.4</v>
      </c>
      <c r="P2179" s="14">
        <f>IF(ISNUMBER(K2179),K2179-O2179,"n.a.")</f>
        <v/>
      </c>
    </row>
    <row r="2180" ht="32" customHeight="1">
      <c r="C2180" s="10" t="inlineStr">
        <is>
          <t>PRJ-37e9fb63-RK-09</t>
        </is>
      </c>
      <c r="D2180" s="10" t="inlineStr">
        <is>
          <t>W4102654947</t>
        </is>
      </c>
      <c r="E2180" s="11" t="inlineStr">
        <is>
          <t>Beennte Lage / nur Handabbruch möglich</t>
        </is>
      </c>
      <c r="F2180" s="10" t="inlineStr">
        <is>
          <t>Termin</t>
        </is>
      </c>
      <c r="G2180" s="12" t="n">
        <v>0.15</v>
      </c>
      <c r="H2180" s="13" t="n">
        <v>31</v>
      </c>
      <c r="I2180" s="13" t="n">
        <v>77</v>
      </c>
      <c r="J2180" s="13" t="n">
        <v>194</v>
      </c>
      <c r="K2180" s="14">
        <f>IF(OR(COUNT(G2180:J2180)&lt;&gt;4,G2180&lt;0,G2180&gt;1,H2180&gt;I2180,I2180&gt;J2180),"n.a.",ROUND(G2180*(H2180+4*I2180+J2180)/6+0.00000001,2))</f>
        <v/>
      </c>
      <c r="L2180" s="13" t="n">
        <v>0</v>
      </c>
      <c r="M2180" s="14">
        <f>SUMIFS(Maßnahmen!$I$7:$I$126,Maßnahmen!$D$7:$D$126,C2180,Maßnahmen!$H$7:$H$126,"&lt;&gt;verworfen")</f>
        <v/>
      </c>
      <c r="N2180" s="14">
        <f>IF(ISNUMBER(K2180),MAX(0,K2180-L2180-M2180),"n.a.")</f>
        <v/>
      </c>
      <c r="O2180" s="14" t="n">
        <v>13.33</v>
      </c>
      <c r="P2180" s="14">
        <f>IF(ISNUMBER(K2180),K2180-O2180,"n.a.")</f>
        <v/>
      </c>
    </row>
    <row r="2181" ht="32" customHeight="1">
      <c r="C2181" s="10" t="inlineStr">
        <is>
          <t>PRJ-37e9fb63-RK-10</t>
        </is>
      </c>
      <c r="D2181" s="10" t="inlineStr">
        <is>
          <t>W4102654947</t>
        </is>
      </c>
      <c r="E2181" s="11" t="inlineStr">
        <is>
          <t>Terminvorgabe Auftraggeber / Geräteauslastung</t>
        </is>
      </c>
      <c r="F2181" s="10" t="inlineStr">
        <is>
          <t>Termin</t>
        </is>
      </c>
      <c r="G2181" s="12" t="n">
        <v>0.1</v>
      </c>
      <c r="H2181" s="13" t="n">
        <v>31</v>
      </c>
      <c r="I2181" s="13" t="n">
        <v>77</v>
      </c>
      <c r="J2181" s="13" t="n">
        <v>194</v>
      </c>
      <c r="K2181" s="14">
        <f>IF(OR(COUNT(G2181:J2181)&lt;&gt;4,G2181&lt;0,G2181&gt;1,H2181&gt;I2181,I2181&gt;J2181),"n.a.",ROUND(G2181*(H2181+4*I2181+J2181)/6+0.00000001,2))</f>
        <v/>
      </c>
      <c r="L2181" s="13" t="n">
        <v>0</v>
      </c>
      <c r="M2181" s="14">
        <f>SUMIFS(Maßnahmen!$I$7:$I$126,Maßnahmen!$D$7:$D$126,C2181,Maßnahmen!$H$7:$H$126,"&lt;&gt;verworfen")</f>
        <v/>
      </c>
      <c r="N2181" s="14">
        <f>IF(ISNUMBER(K2181),MAX(0,K2181-L2181-M2181),"n.a.")</f>
        <v/>
      </c>
      <c r="O2181" s="14" t="n">
        <v>8.880000000000001</v>
      </c>
      <c r="P2181" s="14">
        <f>IF(ISNUMBER(K2181),K2181-O2181,"n.a.")</f>
        <v/>
      </c>
    </row>
    <row r="2182" ht="32" customHeight="1">
      <c r="C2182" s="10" t="inlineStr">
        <is>
          <t>PRJ-37e9fb63-RK-12</t>
        </is>
      </c>
      <c r="D2182" s="10" t="inlineStr">
        <is>
          <t>W4102654947</t>
        </is>
      </c>
      <c r="E2182" s="11" t="inlineStr">
        <is>
          <t>Staubemissionen (höchster Aufwand laut Umfrage)</t>
        </is>
      </c>
      <c r="F2182" s="10" t="inlineStr">
        <is>
          <t>Emissionen</t>
        </is>
      </c>
      <c r="G2182" s="12" t="n">
        <v>0.1</v>
      </c>
      <c r="H2182" s="13" t="n">
        <v>116</v>
      </c>
      <c r="I2182" s="13" t="n">
        <v>232</v>
      </c>
      <c r="J2182" s="13" t="n">
        <v>465</v>
      </c>
      <c r="K2182" s="14">
        <f>IF(OR(COUNT(G2182:J2182)&lt;&gt;4,G2182&lt;0,G2182&gt;1,H2182&gt;I2182,I2182&gt;J2182),"n.a.",ROUND(G2182*(H2182+4*I2182+J2182)/6+0.00000001,2))</f>
        <v/>
      </c>
      <c r="L2182" s="13" t="n">
        <v>0</v>
      </c>
      <c r="M2182" s="14">
        <f>SUMIFS(Maßnahmen!$I$7:$I$126,Maßnahmen!$D$7:$D$126,C2182,Maßnahmen!$H$7:$H$126,"&lt;&gt;verworfen")</f>
        <v/>
      </c>
      <c r="N2182" s="14">
        <f>IF(ISNUMBER(K2182),MAX(0,K2182-L2182-M2182),"n.a.")</f>
        <v/>
      </c>
      <c r="O2182" s="14" t="n">
        <v>25.15</v>
      </c>
      <c r="P2182" s="14">
        <f>IF(ISNUMBER(K2182),K2182-O2182,"n.a.")</f>
        <v/>
      </c>
    </row>
    <row r="2183" ht="32" customHeight="1">
      <c r="C2183" s="10" t="inlineStr">
        <is>
          <t>PRJ-37e9fb63-RK-13</t>
        </is>
      </c>
      <c r="D2183" s="10" t="inlineStr">
        <is>
          <t>W4102654947</t>
        </is>
      </c>
      <c r="E2183" s="11" t="inlineStr">
        <is>
          <t>Lärm- und Erschütterungsauflagen</t>
        </is>
      </c>
      <c r="F2183" s="10" t="inlineStr">
        <is>
          <t>Emissionen</t>
        </is>
      </c>
      <c r="G2183" s="12" t="n">
        <v>0.2</v>
      </c>
      <c r="H2183" s="13" t="n">
        <v>77</v>
      </c>
      <c r="I2183" s="13" t="n">
        <v>194</v>
      </c>
      <c r="J2183" s="13" t="n">
        <v>387</v>
      </c>
      <c r="K2183" s="14">
        <f>IF(OR(COUNT(G2183:J2183)&lt;&gt;4,G2183&lt;0,G2183&gt;1,H2183&gt;I2183,I2183&gt;J2183),"n.a.",ROUND(G2183*(H2183+4*I2183+J2183)/6+0.00000001,2))</f>
        <v/>
      </c>
      <c r="L2183" s="13" t="n">
        <v>0</v>
      </c>
      <c r="M2183" s="14">
        <f>SUMIFS(Maßnahmen!$I$7:$I$126,Maßnahmen!$D$7:$D$126,C2183,Maßnahmen!$H$7:$H$126,"&lt;&gt;verworfen")</f>
        <v/>
      </c>
      <c r="N2183" s="14">
        <f>IF(ISNUMBER(K2183),MAX(0,K2183-L2183-M2183),"n.a.")</f>
        <v/>
      </c>
      <c r="O2183" s="14" t="n">
        <v>41.33</v>
      </c>
      <c r="P2183" s="14">
        <f>IF(ISNUMBER(K2183),K2183-O2183,"n.a.")</f>
        <v/>
      </c>
    </row>
    <row r="2184" ht="32" customHeight="1">
      <c r="C2184" s="10" t="inlineStr">
        <is>
          <t>PRJ-37e9fb63-RK-14</t>
        </is>
      </c>
      <c r="D2184" s="10" t="inlineStr">
        <is>
          <t>W4102654947</t>
        </is>
      </c>
      <c r="E2184" s="11" t="inlineStr">
        <is>
          <t>Rechtliche Auflagen / Entsorgungsnachweise (Formalismus)</t>
        </is>
      </c>
      <c r="F2184" s="10" t="inlineStr">
        <is>
          <t>Genehmigung</t>
        </is>
      </c>
      <c r="G2184" s="12" t="n">
        <v>0.4</v>
      </c>
      <c r="H2184" s="13" t="n">
        <v>368</v>
      </c>
      <c r="I2184" s="13" t="n">
        <v>717</v>
      </c>
      <c r="J2184" s="13" t="n">
        <v>1356</v>
      </c>
      <c r="K2184" s="14">
        <f>IF(OR(COUNT(G2184:J2184)&lt;&gt;4,G2184&lt;0,G2184&gt;1,H2184&gt;I2184,I2184&gt;J2184),"n.a.",ROUND(G2184*(H2184+4*I2184+J2184)/6+0.00000001,2))</f>
        <v/>
      </c>
      <c r="L2184" s="13" t="n">
        <v>0</v>
      </c>
      <c r="M2184" s="14">
        <f>SUMIFS(Maßnahmen!$I$7:$I$126,Maßnahmen!$D$7:$D$126,C2184,Maßnahmen!$H$7:$H$126,"&lt;&gt;verworfen")</f>
        <v/>
      </c>
      <c r="N2184" s="14">
        <f>IF(ISNUMBER(K2184),MAX(0,K2184-L2184-M2184),"n.a.")</f>
        <v/>
      </c>
      <c r="O2184" s="14" t="n">
        <v>306.13</v>
      </c>
      <c r="P2184" s="14">
        <f>IF(ISNUMBER(K2184),K2184-O2184,"n.a.")</f>
        <v/>
      </c>
    </row>
    <row r="2185" ht="32" customHeight="1">
      <c r="C2185" s="10" t="inlineStr">
        <is>
          <t>PRJ-37e9fb63-RK-15</t>
        </is>
      </c>
      <c r="D2185" s="10" t="inlineStr">
        <is>
          <t>W4102654947</t>
        </is>
      </c>
      <c r="E2185" s="11" t="inlineStr">
        <is>
          <t>Konjunktur / Sekundärstoffpreise &amp; Gerätemiete</t>
        </is>
      </c>
      <c r="F2185" s="10" t="inlineStr">
        <is>
          <t>Markt</t>
        </is>
      </c>
      <c r="G2185" s="12" t="n">
        <v>0.12</v>
      </c>
      <c r="H2185" s="13" t="n">
        <v>31</v>
      </c>
      <c r="I2185" s="13" t="n">
        <v>77</v>
      </c>
      <c r="J2185" s="13" t="n">
        <v>194</v>
      </c>
      <c r="K2185" s="14">
        <f>IF(OR(COUNT(G2185:J2185)&lt;&gt;4,G2185&lt;0,G2185&gt;1,H2185&gt;I2185,I2185&gt;J2185),"n.a.",ROUND(G2185*(H2185+4*I2185+J2185)/6+0.00000001,2))</f>
        <v/>
      </c>
      <c r="L2185" s="13" t="n">
        <v>0</v>
      </c>
      <c r="M2185" s="14">
        <f>SUMIFS(Maßnahmen!$I$7:$I$126,Maßnahmen!$D$7:$D$126,C2185,Maßnahmen!$H$7:$H$126,"&lt;&gt;verworfen")</f>
        <v/>
      </c>
      <c r="N2185" s="14">
        <f>IF(ISNUMBER(K2185),MAX(0,K2185-L2185-M2185),"n.a.")</f>
        <v/>
      </c>
      <c r="O2185" s="14" t="n">
        <v>10.66</v>
      </c>
      <c r="P2185" s="14">
        <f>IF(ISNUMBER(K2185),K2185-O2185,"n.a.")</f>
        <v/>
      </c>
    </row>
    <row r="2186" ht="32" customHeight="1">
      <c r="C2186" s="10" t="inlineStr">
        <is>
          <t>PRJ-4a292756-RK-01</t>
        </is>
      </c>
      <c r="D2186" s="10" t="inlineStr">
        <is>
          <t>P4102658257</t>
        </is>
      </c>
      <c r="E2186" s="11" t="inlineStr">
        <is>
          <t>Schadstofffund / Schadstoffsanierung (Asbest, PAK, PCB, PCP)</t>
        </is>
      </c>
      <c r="F2186" s="10" t="inlineStr">
        <is>
          <t>Schadstoffe</t>
        </is>
      </c>
      <c r="G2186" s="12" t="n">
        <v>0.7</v>
      </c>
      <c r="H2186" s="13" t="n">
        <v>1750</v>
      </c>
      <c r="I2186" s="13" t="n">
        <v>2250</v>
      </c>
      <c r="J2186" s="13" t="n">
        <v>3250</v>
      </c>
      <c r="K2186" s="14">
        <f>IF(OR(COUNT(G2186:J2186)&lt;&gt;4,G2186&lt;0,G2186&gt;1,H2186&gt;I2186,I2186&gt;J2186),"n.a.",ROUND(G2186*(H2186+4*I2186+J2186)/6+0.00000001,2))</f>
        <v/>
      </c>
      <c r="L2186" s="13" t="n">
        <v>0</v>
      </c>
      <c r="M2186" s="14">
        <f>SUMIFS(Maßnahmen!$I$7:$I$126,Maßnahmen!$D$7:$D$126,C2186,Maßnahmen!$H$7:$H$126,"&lt;&gt;verworfen")</f>
        <v/>
      </c>
      <c r="N2186" s="14">
        <f>IF(ISNUMBER(K2186),MAX(0,K2186-L2186-M2186),"n.a.")</f>
        <v/>
      </c>
      <c r="O2186" s="14" t="n">
        <v>1633.33</v>
      </c>
      <c r="P2186" s="14">
        <f>IF(ISNUMBER(K2186),K2186-O2186,"n.a.")</f>
        <v/>
      </c>
    </row>
    <row r="2187" ht="32" customHeight="1">
      <c r="C2187" s="10" t="inlineStr">
        <is>
          <t>PRJ-4a292756-RK-02</t>
        </is>
      </c>
      <c r="D2187" s="10" t="inlineStr">
        <is>
          <t>P4102658257</t>
        </is>
      </c>
      <c r="E2187" s="11" t="inlineStr">
        <is>
          <t>Arbeitsschutz kontaminierte Bereiche (TRGS 524)</t>
        </is>
      </c>
      <c r="F2187" s="10" t="inlineStr">
        <is>
          <t>Schadstoffe</t>
        </is>
      </c>
      <c r="G2187" s="12" t="n">
        <v>0.47</v>
      </c>
      <c r="H2187" s="13" t="n">
        <v>100</v>
      </c>
      <c r="I2187" s="13" t="n">
        <v>250</v>
      </c>
      <c r="J2187" s="13" t="n">
        <v>500</v>
      </c>
      <c r="K2187" s="14">
        <f>IF(OR(COUNT(G2187:J2187)&lt;&gt;4,G2187&lt;0,G2187&gt;1,H2187&gt;I2187,I2187&gt;J2187),"n.a.",ROUND(G2187*(H2187+4*I2187+J2187)/6+0.00000001,2))</f>
        <v/>
      </c>
      <c r="L2187" s="13" t="n">
        <v>0</v>
      </c>
      <c r="M2187" s="14">
        <f>SUMIFS(Maßnahmen!$I$7:$I$126,Maßnahmen!$D$7:$D$126,C2187,Maßnahmen!$H$7:$H$126,"&lt;&gt;verworfen")</f>
        <v/>
      </c>
      <c r="N2187" s="14">
        <f>IF(ISNUMBER(K2187),MAX(0,K2187-L2187-M2187),"n.a.")</f>
        <v/>
      </c>
      <c r="O2187" s="14" t="n">
        <v>125.33</v>
      </c>
      <c r="P2187" s="14">
        <f>IF(ISNUMBER(K2187),K2187-O2187,"n.a.")</f>
        <v/>
      </c>
    </row>
    <row r="2188" ht="32" customHeight="1">
      <c r="C2188" s="10" t="inlineStr">
        <is>
          <t>PRJ-4a292756-RK-03</t>
        </is>
      </c>
      <c r="D2188" s="10" t="inlineStr">
        <is>
          <t>P4102658257</t>
        </is>
      </c>
      <c r="E2188" s="11" t="inlineStr">
        <is>
          <t>Entsorgungs-Mehrkosten / Entsorgungswege</t>
        </is>
      </c>
      <c r="F2188" s="10" t="inlineStr">
        <is>
          <t>Entsorgung</t>
        </is>
      </c>
      <c r="G2188" s="12" t="n">
        <v>0.27</v>
      </c>
      <c r="H2188" s="13" t="n">
        <v>100</v>
      </c>
      <c r="I2188" s="13" t="n">
        <v>250</v>
      </c>
      <c r="J2188" s="13" t="n">
        <v>500</v>
      </c>
      <c r="K2188" s="14">
        <f>IF(OR(COUNT(G2188:J2188)&lt;&gt;4,G2188&lt;0,G2188&gt;1,H2188&gt;I2188,I2188&gt;J2188),"n.a.",ROUND(G2188*(H2188+4*I2188+J2188)/6+0.00000001,2))</f>
        <v/>
      </c>
      <c r="L2188" s="13" t="n">
        <v>0</v>
      </c>
      <c r="M2188" s="14">
        <f>SUMIFS(Maßnahmen!$I$7:$I$126,Maßnahmen!$D$7:$D$126,C2188,Maßnahmen!$H$7:$H$126,"&lt;&gt;verworfen")</f>
        <v/>
      </c>
      <c r="N2188" s="14">
        <f>IF(ISNUMBER(K2188),MAX(0,K2188-L2188-M2188),"n.a.")</f>
        <v/>
      </c>
      <c r="O2188" s="14" t="n">
        <v>72</v>
      </c>
      <c r="P2188" s="14">
        <f>IF(ISNUMBER(K2188),K2188-O2188,"n.a.")</f>
        <v/>
      </c>
    </row>
    <row r="2189" ht="32" customHeight="1">
      <c r="C2189" s="10" t="inlineStr">
        <is>
          <t>PRJ-4a292756-RK-04</t>
        </is>
      </c>
      <c r="D2189" s="10" t="inlineStr">
        <is>
          <t>P4102658257</t>
        </is>
      </c>
      <c r="E2189" s="11" t="inlineStr">
        <is>
          <t>Baustofftrennung / Aufbereitung nicht wie geplant</t>
        </is>
      </c>
      <c r="F2189" s="10" t="inlineStr">
        <is>
          <t>Entsorgung</t>
        </is>
      </c>
      <c r="G2189" s="12" t="n">
        <v>0.1</v>
      </c>
      <c r="H2189" s="13" t="n">
        <v>100</v>
      </c>
      <c r="I2189" s="13" t="n">
        <v>250</v>
      </c>
      <c r="J2189" s="13" t="n">
        <v>500</v>
      </c>
      <c r="K2189" s="14">
        <f>IF(OR(COUNT(G2189:J2189)&lt;&gt;4,G2189&lt;0,G2189&gt;1,H2189&gt;I2189,I2189&gt;J2189),"n.a.",ROUND(G2189*(H2189+4*I2189+J2189)/6+0.00000001,2))</f>
        <v/>
      </c>
      <c r="L2189" s="13" t="n">
        <v>0</v>
      </c>
      <c r="M2189" s="14">
        <f>SUMIFS(Maßnahmen!$I$7:$I$126,Maßnahmen!$D$7:$D$126,C2189,Maßnahmen!$H$7:$H$126,"&lt;&gt;verworfen")</f>
        <v/>
      </c>
      <c r="N2189" s="14">
        <f>IF(ISNUMBER(K2189),MAX(0,K2189-L2189-M2189),"n.a.")</f>
        <v/>
      </c>
      <c r="O2189" s="14" t="n">
        <v>26.67</v>
      </c>
      <c r="P2189" s="14">
        <f>IF(ISNUMBER(K2189),K2189-O2189,"n.a.")</f>
        <v/>
      </c>
    </row>
    <row r="2190" ht="32" customHeight="1">
      <c r="C2190" s="10" t="inlineStr">
        <is>
          <t>PRJ-4a292756-RK-05</t>
        </is>
      </c>
      <c r="D2190" s="10" t="inlineStr">
        <is>
          <t>P4102658257</t>
        </is>
      </c>
      <c r="E2190" s="11" t="inlineStr">
        <is>
          <t>Unbekannte Bauwerkskonstruktion / fehlende Pläne</t>
        </is>
      </c>
      <c r="F2190" s="10" t="inlineStr">
        <is>
          <t>Statik</t>
        </is>
      </c>
      <c r="G2190" s="12" t="n">
        <v>0.12</v>
      </c>
      <c r="H2190" s="13" t="n">
        <v>200</v>
      </c>
      <c r="I2190" s="13" t="n">
        <v>400</v>
      </c>
      <c r="J2190" s="13" t="n">
        <v>750</v>
      </c>
      <c r="K2190" s="14">
        <f>IF(OR(COUNT(G2190:J2190)&lt;&gt;4,G2190&lt;0,G2190&gt;1,H2190&gt;I2190,I2190&gt;J2190),"n.a.",ROUND(G2190*(H2190+4*I2190+J2190)/6+0.00000001,2))</f>
        <v/>
      </c>
      <c r="L2190" s="13" t="n">
        <v>0</v>
      </c>
      <c r="M2190" s="14">
        <f>SUMIFS(Maßnahmen!$I$7:$I$126,Maßnahmen!$D$7:$D$126,C2190,Maßnahmen!$H$7:$H$126,"&lt;&gt;verworfen")</f>
        <v/>
      </c>
      <c r="N2190" s="14">
        <f>IF(ISNUMBER(K2190),MAX(0,K2190-L2190-M2190),"n.a.")</f>
        <v/>
      </c>
      <c r="O2190" s="14" t="n">
        <v>51</v>
      </c>
      <c r="P2190" s="14">
        <f>IF(ISNUMBER(K2190),K2190-O2190,"n.a.")</f>
        <v/>
      </c>
    </row>
    <row r="2191" ht="32" customHeight="1">
      <c r="C2191" s="10" t="inlineStr">
        <is>
          <t>PRJ-4a292756-RK-06</t>
        </is>
      </c>
      <c r="D2191" s="10" t="inlineStr">
        <is>
          <t>P4102658257</t>
        </is>
      </c>
      <c r="E2191" s="11" t="inlineStr">
        <is>
          <t>Statik / Einsturzsicherung während Abbruch</t>
        </is>
      </c>
      <c r="F2191" s="10" t="inlineStr">
        <is>
          <t>Statik</t>
        </is>
      </c>
      <c r="G2191" s="12" t="n">
        <v>0.24</v>
      </c>
      <c r="H2191" s="13" t="n">
        <v>150</v>
      </c>
      <c r="I2191" s="13" t="n">
        <v>350</v>
      </c>
      <c r="J2191" s="13" t="n">
        <v>700</v>
      </c>
      <c r="K2191" s="14">
        <f>IF(OR(COUNT(G2191:J2191)&lt;&gt;4,G2191&lt;0,G2191&gt;1,H2191&gt;I2191,I2191&gt;J2191),"n.a.",ROUND(G2191*(H2191+4*I2191+J2191)/6+0.00000001,2))</f>
        <v/>
      </c>
      <c r="L2191" s="13" t="n">
        <v>0</v>
      </c>
      <c r="M2191" s="14">
        <f>SUMIFS(Maßnahmen!$I$7:$I$126,Maßnahmen!$D$7:$D$126,C2191,Maßnahmen!$H$7:$H$126,"&lt;&gt;verworfen")</f>
        <v/>
      </c>
      <c r="N2191" s="14">
        <f>IF(ISNUMBER(K2191),MAX(0,K2191-L2191-M2191),"n.a.")</f>
        <v/>
      </c>
      <c r="O2191" s="14" t="n">
        <v>90</v>
      </c>
      <c r="P2191" s="14">
        <f>IF(ISNUMBER(K2191),K2191-O2191,"n.a.")</f>
        <v/>
      </c>
    </row>
    <row r="2192" ht="32" customHeight="1">
      <c r="C2192" s="10" t="inlineStr">
        <is>
          <t>PRJ-4a292756-RK-07</t>
        </is>
      </c>
      <c r="D2192" s="10" t="inlineStr">
        <is>
          <t>P4102658257</t>
        </is>
      </c>
      <c r="E2192" s="11" t="inlineStr">
        <is>
          <t>Unterirdische Tragkonstruktion / Fundamente</t>
        </is>
      </c>
      <c r="F2192" s="10" t="inlineStr">
        <is>
          <t>Statik</t>
        </is>
      </c>
      <c r="G2192" s="12" t="n">
        <v>0.4</v>
      </c>
      <c r="H2192" s="13" t="n">
        <v>25</v>
      </c>
      <c r="I2192" s="13" t="n">
        <v>100</v>
      </c>
      <c r="J2192" s="13" t="n">
        <v>250</v>
      </c>
      <c r="K2192" s="14">
        <f>IF(OR(COUNT(G2192:J2192)&lt;&gt;4,G2192&lt;0,G2192&gt;1,H2192&gt;I2192,I2192&gt;J2192),"n.a.",ROUND(G2192*(H2192+4*I2192+J2192)/6+0.00000001,2))</f>
        <v/>
      </c>
      <c r="L2192" s="13" t="n">
        <v>0</v>
      </c>
      <c r="M2192" s="14">
        <f>SUMIFS(Maßnahmen!$I$7:$I$126,Maßnahmen!$D$7:$D$126,C2192,Maßnahmen!$H$7:$H$126,"&lt;&gt;verworfen")</f>
        <v/>
      </c>
      <c r="N2192" s="14">
        <f>IF(ISNUMBER(K2192),MAX(0,K2192-L2192-M2192),"n.a.")</f>
        <v/>
      </c>
      <c r="O2192" s="14" t="n">
        <v>45</v>
      </c>
      <c r="P2192" s="14">
        <f>IF(ISNUMBER(K2192),K2192-O2192,"n.a.")</f>
        <v/>
      </c>
    </row>
    <row r="2193" ht="32" customHeight="1">
      <c r="C2193" s="10" t="inlineStr">
        <is>
          <t>PRJ-4a292756-RK-08</t>
        </is>
      </c>
      <c r="D2193" s="10" t="inlineStr">
        <is>
          <t>P4102658257</t>
        </is>
      </c>
      <c r="E2193" s="11" t="inlineStr">
        <is>
          <t>Gebäudehöhe &gt;22 m / Longfront-Bagger (+130–150 %)</t>
        </is>
      </c>
      <c r="F2193" s="10" t="inlineStr">
        <is>
          <t>Termin</t>
        </is>
      </c>
      <c r="G2193" s="12" t="n">
        <v>0.6</v>
      </c>
      <c r="H2193" s="13" t="n">
        <v>450</v>
      </c>
      <c r="I2193" s="13" t="n">
        <v>900</v>
      </c>
      <c r="J2193" s="13" t="n">
        <v>1700</v>
      </c>
      <c r="K2193" s="14">
        <f>IF(OR(COUNT(G2193:J2193)&lt;&gt;4,G2193&lt;0,G2193&gt;1,H2193&gt;I2193,I2193&gt;J2193),"n.a.",ROUND(G2193*(H2193+4*I2193+J2193)/6+0.00000001,2))</f>
        <v/>
      </c>
      <c r="L2193" s="13" t="n">
        <v>0</v>
      </c>
      <c r="M2193" s="14">
        <f>SUMIFS(Maßnahmen!$I$7:$I$126,Maßnahmen!$D$7:$D$126,C2193,Maßnahmen!$H$7:$H$126,"&lt;&gt;verworfen")</f>
        <v/>
      </c>
      <c r="N2193" s="14">
        <f>IF(ISNUMBER(K2193),MAX(0,K2193-L2193-M2193),"n.a.")</f>
        <v/>
      </c>
      <c r="O2193" s="14" t="n">
        <v>575</v>
      </c>
      <c r="P2193" s="14">
        <f>IF(ISNUMBER(K2193),K2193-O2193,"n.a.")</f>
        <v/>
      </c>
    </row>
    <row r="2194" ht="32" customHeight="1">
      <c r="C2194" s="10" t="inlineStr">
        <is>
          <t>PRJ-4a292756-RK-09</t>
        </is>
      </c>
      <c r="D2194" s="10" t="inlineStr">
        <is>
          <t>P4102658257</t>
        </is>
      </c>
      <c r="E2194" s="11" t="inlineStr">
        <is>
          <t>Beennte Lage / nur Handabbruch möglich</t>
        </is>
      </c>
      <c r="F2194" s="10" t="inlineStr">
        <is>
          <t>Termin</t>
        </is>
      </c>
      <c r="G2194" s="12" t="n">
        <v>0.15</v>
      </c>
      <c r="H2194" s="13" t="n">
        <v>40</v>
      </c>
      <c r="I2194" s="13" t="n">
        <v>100</v>
      </c>
      <c r="J2194" s="13" t="n">
        <v>250</v>
      </c>
      <c r="K2194" s="14">
        <f>IF(OR(COUNT(G2194:J2194)&lt;&gt;4,G2194&lt;0,G2194&gt;1,H2194&gt;I2194,I2194&gt;J2194),"n.a.",ROUND(G2194*(H2194+4*I2194+J2194)/6+0.00000001,2))</f>
        <v/>
      </c>
      <c r="L2194" s="13" t="n">
        <v>0</v>
      </c>
      <c r="M2194" s="14">
        <f>SUMIFS(Maßnahmen!$I$7:$I$126,Maßnahmen!$D$7:$D$126,C2194,Maßnahmen!$H$7:$H$126,"&lt;&gt;verworfen")</f>
        <v/>
      </c>
      <c r="N2194" s="14">
        <f>IF(ISNUMBER(K2194),MAX(0,K2194-L2194-M2194),"n.a.")</f>
        <v/>
      </c>
      <c r="O2194" s="14" t="n">
        <v>17.25</v>
      </c>
      <c r="P2194" s="14">
        <f>IF(ISNUMBER(K2194),K2194-O2194,"n.a.")</f>
        <v/>
      </c>
    </row>
    <row r="2195" ht="32" customHeight="1">
      <c r="C2195" s="10" t="inlineStr">
        <is>
          <t>PRJ-4a292756-RK-10</t>
        </is>
      </c>
      <c r="D2195" s="10" t="inlineStr">
        <is>
          <t>P4102658257</t>
        </is>
      </c>
      <c r="E2195" s="11" t="inlineStr">
        <is>
          <t>Terminvorgabe Auftraggeber / Geräteauslastung</t>
        </is>
      </c>
      <c r="F2195" s="10" t="inlineStr">
        <is>
          <t>Termin</t>
        </is>
      </c>
      <c r="G2195" s="12" t="n">
        <v>0.2</v>
      </c>
      <c r="H2195" s="13" t="n">
        <v>40</v>
      </c>
      <c r="I2195" s="13" t="n">
        <v>100</v>
      </c>
      <c r="J2195" s="13" t="n">
        <v>250</v>
      </c>
      <c r="K2195" s="14">
        <f>IF(OR(COUNT(G2195:J2195)&lt;&gt;4,G2195&lt;0,G2195&gt;1,H2195&gt;I2195,I2195&gt;J2195),"n.a.",ROUND(G2195*(H2195+4*I2195+J2195)/6+0.00000001,2))</f>
        <v/>
      </c>
      <c r="L2195" s="13" t="n">
        <v>0</v>
      </c>
      <c r="M2195" s="14">
        <f>SUMIFS(Maßnahmen!$I$7:$I$126,Maßnahmen!$D$7:$D$126,C2195,Maßnahmen!$H$7:$H$126,"&lt;&gt;verworfen")</f>
        <v/>
      </c>
      <c r="N2195" s="14">
        <f>IF(ISNUMBER(K2195),MAX(0,K2195-L2195-M2195),"n.a.")</f>
        <v/>
      </c>
      <c r="O2195" s="14" t="n">
        <v>23</v>
      </c>
      <c r="P2195" s="14">
        <f>IF(ISNUMBER(K2195),K2195-O2195,"n.a.")</f>
        <v/>
      </c>
    </row>
    <row r="2196" ht="32" customHeight="1">
      <c r="C2196" s="10" t="inlineStr">
        <is>
          <t>PRJ-4a292756-RK-11</t>
        </is>
      </c>
      <c r="D2196" s="10" t="inlineStr">
        <is>
          <t>P4102658257</t>
        </is>
      </c>
      <c r="E2196" s="11" t="inlineStr">
        <is>
          <t>Witterung / Ablaufstörung</t>
        </is>
      </c>
      <c r="F2196" s="10" t="inlineStr">
        <is>
          <t>Termin</t>
        </is>
      </c>
      <c r="G2196" s="12" t="n">
        <v>0.25</v>
      </c>
      <c r="H2196" s="13" t="n">
        <v>50</v>
      </c>
      <c r="I2196" s="13" t="n">
        <v>150</v>
      </c>
      <c r="J2196" s="13" t="n">
        <v>300</v>
      </c>
      <c r="K2196" s="14">
        <f>IF(OR(COUNT(G2196:J2196)&lt;&gt;4,G2196&lt;0,G2196&gt;1,H2196&gt;I2196,I2196&gt;J2196),"n.a.",ROUND(G2196*(H2196+4*I2196+J2196)/6+0.00000001,2))</f>
        <v/>
      </c>
      <c r="L2196" s="13" t="n">
        <v>0</v>
      </c>
      <c r="M2196" s="14">
        <f>SUMIFS(Maßnahmen!$I$7:$I$126,Maßnahmen!$D$7:$D$126,C2196,Maßnahmen!$H$7:$H$126,"&lt;&gt;verworfen")</f>
        <v/>
      </c>
      <c r="N2196" s="14">
        <f>IF(ISNUMBER(K2196),MAX(0,K2196-L2196-M2196),"n.a.")</f>
        <v/>
      </c>
      <c r="O2196" s="14" t="n">
        <v>39.58</v>
      </c>
      <c r="P2196" s="14">
        <f>IF(ISNUMBER(K2196),K2196-O2196,"n.a.")</f>
        <v/>
      </c>
    </row>
    <row r="2197" ht="32" customHeight="1">
      <c r="C2197" s="10" t="inlineStr">
        <is>
          <t>PRJ-4a292756-RK-12</t>
        </is>
      </c>
      <c r="D2197" s="10" t="inlineStr">
        <is>
          <t>P4102658257</t>
        </is>
      </c>
      <c r="E2197" s="11" t="inlineStr">
        <is>
          <t>Staubemissionen (höchster Aufwand laut Umfrage)</t>
        </is>
      </c>
      <c r="F2197" s="10" t="inlineStr">
        <is>
          <t>Emissionen</t>
        </is>
      </c>
      <c r="G2197" s="12" t="n">
        <v>0.1</v>
      </c>
      <c r="H2197" s="13" t="n">
        <v>150</v>
      </c>
      <c r="I2197" s="13" t="n">
        <v>300</v>
      </c>
      <c r="J2197" s="13" t="n">
        <v>600</v>
      </c>
      <c r="K2197" s="14">
        <f>IF(OR(COUNT(G2197:J2197)&lt;&gt;4,G2197&lt;0,G2197&gt;1,H2197&gt;I2197,I2197&gt;J2197),"n.a.",ROUND(G2197*(H2197+4*I2197+J2197)/6+0.00000001,2))</f>
        <v/>
      </c>
      <c r="L2197" s="13" t="n">
        <v>0</v>
      </c>
      <c r="M2197" s="14">
        <f>SUMIFS(Maßnahmen!$I$7:$I$126,Maßnahmen!$D$7:$D$126,C2197,Maßnahmen!$H$7:$H$126,"&lt;&gt;verworfen")</f>
        <v/>
      </c>
      <c r="N2197" s="14">
        <f>IF(ISNUMBER(K2197),MAX(0,K2197-L2197-M2197),"n.a.")</f>
        <v/>
      </c>
      <c r="O2197" s="14" t="n">
        <v>32.5</v>
      </c>
      <c r="P2197" s="14">
        <f>IF(ISNUMBER(K2197),K2197-O2197,"n.a.")</f>
        <v/>
      </c>
    </row>
    <row r="2198" ht="32" customHeight="1">
      <c r="C2198" s="10" t="inlineStr">
        <is>
          <t>PRJ-4a292756-RK-13</t>
        </is>
      </c>
      <c r="D2198" s="10" t="inlineStr">
        <is>
          <t>P4102658257</t>
        </is>
      </c>
      <c r="E2198" s="11" t="inlineStr">
        <is>
          <t>Lärm- und Erschütterungsauflagen</t>
        </is>
      </c>
      <c r="F2198" s="10" t="inlineStr">
        <is>
          <t>Emissionen</t>
        </is>
      </c>
      <c r="G2198" s="12" t="n">
        <v>0.2</v>
      </c>
      <c r="H2198" s="13" t="n">
        <v>100</v>
      </c>
      <c r="I2198" s="13" t="n">
        <v>250</v>
      </c>
      <c r="J2198" s="13" t="n">
        <v>500</v>
      </c>
      <c r="K2198" s="14">
        <f>IF(OR(COUNT(G2198:J2198)&lt;&gt;4,G2198&lt;0,G2198&gt;1,H2198&gt;I2198,I2198&gt;J2198),"n.a.",ROUND(G2198*(H2198+4*I2198+J2198)/6+0.00000001,2))</f>
        <v/>
      </c>
      <c r="L2198" s="13" t="n">
        <v>0</v>
      </c>
      <c r="M2198" s="14">
        <f>SUMIFS(Maßnahmen!$I$7:$I$126,Maßnahmen!$D$7:$D$126,C2198,Maßnahmen!$H$7:$H$126,"&lt;&gt;verworfen")</f>
        <v/>
      </c>
      <c r="N2198" s="14">
        <f>IF(ISNUMBER(K2198),MAX(0,K2198-L2198-M2198),"n.a.")</f>
        <v/>
      </c>
      <c r="O2198" s="14" t="n">
        <v>53.33</v>
      </c>
      <c r="P2198" s="14">
        <f>IF(ISNUMBER(K2198),K2198-O2198,"n.a.")</f>
        <v/>
      </c>
    </row>
    <row r="2199" ht="32" customHeight="1">
      <c r="C2199" s="10" t="inlineStr">
        <is>
          <t>PRJ-4a292756-RK-14</t>
        </is>
      </c>
      <c r="D2199" s="10" t="inlineStr">
        <is>
          <t>P4102658257</t>
        </is>
      </c>
      <c r="E2199" s="11" t="inlineStr">
        <is>
          <t>Rechtliche Auflagen / Entsorgungsnachweise (Formalismus)</t>
        </is>
      </c>
      <c r="F2199" s="10" t="inlineStr">
        <is>
          <t>Genehmigung</t>
        </is>
      </c>
      <c r="G2199" s="12" t="n">
        <v>0.4</v>
      </c>
      <c r="H2199" s="13" t="n">
        <v>475</v>
      </c>
      <c r="I2199" s="13" t="n">
        <v>925</v>
      </c>
      <c r="J2199" s="13" t="n">
        <v>1750</v>
      </c>
      <c r="K2199" s="14">
        <f>IF(OR(COUNT(G2199:J2199)&lt;&gt;4,G2199&lt;0,G2199&gt;1,H2199&gt;I2199,I2199&gt;J2199),"n.a.",ROUND(G2199*(H2199+4*I2199+J2199)/6+0.00000001,2))</f>
        <v/>
      </c>
      <c r="L2199" s="13" t="n">
        <v>0</v>
      </c>
      <c r="M2199" s="14">
        <f>SUMIFS(Maßnahmen!$I$7:$I$126,Maßnahmen!$D$7:$D$126,C2199,Maßnahmen!$H$7:$H$126,"&lt;&gt;verworfen")</f>
        <v/>
      </c>
      <c r="N2199" s="14">
        <f>IF(ISNUMBER(K2199),MAX(0,K2199-L2199-M2199),"n.a.")</f>
        <v/>
      </c>
      <c r="O2199" s="14" t="n">
        <v>395</v>
      </c>
      <c r="P2199" s="14">
        <f>IF(ISNUMBER(K2199),K2199-O2199,"n.a.")</f>
        <v/>
      </c>
    </row>
    <row r="2200" ht="32" customHeight="1">
      <c r="C2200" s="10" t="inlineStr">
        <is>
          <t>PRJ-4a292756-RK-15</t>
        </is>
      </c>
      <c r="D2200" s="10" t="inlineStr">
        <is>
          <t>P4102658257</t>
        </is>
      </c>
      <c r="E2200" s="11" t="inlineStr">
        <is>
          <t>Konjunktur / Sekundärstoffpreise &amp; Gerätemiete</t>
        </is>
      </c>
      <c r="F2200" s="10" t="inlineStr">
        <is>
          <t>Markt</t>
        </is>
      </c>
      <c r="G2200" s="12" t="n">
        <v>0.12</v>
      </c>
      <c r="H2200" s="13" t="n">
        <v>40</v>
      </c>
      <c r="I2200" s="13" t="n">
        <v>100</v>
      </c>
      <c r="J2200" s="13" t="n">
        <v>250</v>
      </c>
      <c r="K2200" s="14">
        <f>IF(OR(COUNT(G2200:J2200)&lt;&gt;4,G2200&lt;0,G2200&gt;1,H2200&gt;I2200,I2200&gt;J2200),"n.a.",ROUND(G2200*(H2200+4*I2200+J2200)/6+0.00000001,2))</f>
        <v/>
      </c>
      <c r="L2200" s="13" t="n">
        <v>0</v>
      </c>
      <c r="M2200" s="14">
        <f>SUMIFS(Maßnahmen!$I$7:$I$126,Maßnahmen!$D$7:$D$126,C2200,Maßnahmen!$H$7:$H$126,"&lt;&gt;verworfen")</f>
        <v/>
      </c>
      <c r="N2200" s="14">
        <f>IF(ISNUMBER(K2200),MAX(0,K2200-L2200-M2200),"n.a.")</f>
        <v/>
      </c>
      <c r="O2200" s="14" t="n">
        <v>13.8</v>
      </c>
      <c r="P2200" s="14">
        <f>IF(ISNUMBER(K2200),K2200-O2200,"n.a.")</f>
        <v/>
      </c>
    </row>
    <row r="2201" ht="32" customHeight="1">
      <c r="C2201" s="10" t="inlineStr">
        <is>
          <t>PRJ-52b1cf2f-RK-01</t>
        </is>
      </c>
      <c r="D2201" s="10" t="inlineStr">
        <is>
          <t>P4102157467</t>
        </is>
      </c>
      <c r="E2201" s="11" t="inlineStr">
        <is>
          <t>Schadstofffund / Schadstoffsanierung (Asbest, PAK, PCB, PCP)</t>
        </is>
      </c>
      <c r="F2201" s="10" t="inlineStr">
        <is>
          <t>Schadstoffe</t>
        </is>
      </c>
      <c r="G2201" s="12" t="n">
        <v>0.1</v>
      </c>
      <c r="H2201" s="13" t="n">
        <v>20</v>
      </c>
      <c r="I2201" s="13" t="n">
        <v>50</v>
      </c>
      <c r="J2201" s="13" t="n">
        <v>100</v>
      </c>
      <c r="K2201" s="14">
        <f>IF(OR(COUNT(G2201:J2201)&lt;&gt;4,G2201&lt;0,G2201&gt;1,H2201&gt;I2201,I2201&gt;J2201),"n.a.",ROUND(G2201*(H2201+4*I2201+J2201)/6+0.00000001,2))</f>
        <v/>
      </c>
      <c r="L2201" s="13" t="n">
        <v>0</v>
      </c>
      <c r="M2201" s="14">
        <f>SUMIFS(Maßnahmen!$I$7:$I$126,Maßnahmen!$D$7:$D$126,C2201,Maßnahmen!$H$7:$H$126,"&lt;&gt;verworfen")</f>
        <v/>
      </c>
      <c r="N2201" s="14">
        <f>IF(ISNUMBER(K2201),MAX(0,K2201-L2201-M2201),"n.a.")</f>
        <v/>
      </c>
      <c r="O2201" s="14" t="n">
        <v>5.33</v>
      </c>
      <c r="P2201" s="14">
        <f>IF(ISNUMBER(K2201),K2201-O2201,"n.a.")</f>
        <v/>
      </c>
    </row>
    <row r="2202" ht="32" customHeight="1">
      <c r="C2202" s="10" t="inlineStr">
        <is>
          <t>PRJ-52b1cf2f-RK-02</t>
        </is>
      </c>
      <c r="D2202" s="10" t="inlineStr">
        <is>
          <t>P4102157467</t>
        </is>
      </c>
      <c r="E2202" s="11" t="inlineStr">
        <is>
          <t>Arbeitsschutz kontaminierte Bereiche (TRGS 524)</t>
        </is>
      </c>
      <c r="F2202" s="10" t="inlineStr">
        <is>
          <t>Schadstoffe</t>
        </is>
      </c>
      <c r="G2202" s="12" t="n">
        <v>0.12</v>
      </c>
      <c r="H2202" s="13" t="n">
        <v>20</v>
      </c>
      <c r="I2202" s="13" t="n">
        <v>50</v>
      </c>
      <c r="J2202" s="13" t="n">
        <v>100</v>
      </c>
      <c r="K2202" s="14">
        <f>IF(OR(COUNT(G2202:J2202)&lt;&gt;4,G2202&lt;0,G2202&gt;1,H2202&gt;I2202,I2202&gt;J2202),"n.a.",ROUND(G2202*(H2202+4*I2202+J2202)/6+0.00000001,2))</f>
        <v/>
      </c>
      <c r="L2202" s="13" t="n">
        <v>0</v>
      </c>
      <c r="M2202" s="14">
        <f>SUMIFS(Maßnahmen!$I$7:$I$126,Maßnahmen!$D$7:$D$126,C2202,Maßnahmen!$H$7:$H$126,"&lt;&gt;verworfen")</f>
        <v/>
      </c>
      <c r="N2202" s="14">
        <f>IF(ISNUMBER(K2202),MAX(0,K2202-L2202-M2202),"n.a.")</f>
        <v/>
      </c>
      <c r="O2202" s="14" t="n">
        <v>6.4</v>
      </c>
      <c r="P2202" s="14">
        <f>IF(ISNUMBER(K2202),K2202-O2202,"n.a.")</f>
        <v/>
      </c>
    </row>
    <row r="2203" ht="32" customHeight="1">
      <c r="C2203" s="10" t="inlineStr">
        <is>
          <t>PRJ-52b1cf2f-RK-03</t>
        </is>
      </c>
      <c r="D2203" s="10" t="inlineStr">
        <is>
          <t>P4102157467</t>
        </is>
      </c>
      <c r="E2203" s="11" t="inlineStr">
        <is>
          <t>Entsorgungs-Mehrkosten / Entsorgungswege</t>
        </is>
      </c>
      <c r="F2203" s="10" t="inlineStr">
        <is>
          <t>Entsorgung</t>
        </is>
      </c>
      <c r="G2203" s="12" t="n">
        <v>0.27</v>
      </c>
      <c r="H2203" s="13" t="n">
        <v>20</v>
      </c>
      <c r="I2203" s="13" t="n">
        <v>50</v>
      </c>
      <c r="J2203" s="13" t="n">
        <v>100</v>
      </c>
      <c r="K2203" s="14">
        <f>IF(OR(COUNT(G2203:J2203)&lt;&gt;4,G2203&lt;0,G2203&gt;1,H2203&gt;I2203,I2203&gt;J2203),"n.a.",ROUND(G2203*(H2203+4*I2203+J2203)/6+0.00000001,2))</f>
        <v/>
      </c>
      <c r="L2203" s="13" t="n">
        <v>0</v>
      </c>
      <c r="M2203" s="14">
        <f>SUMIFS(Maßnahmen!$I$7:$I$126,Maßnahmen!$D$7:$D$126,C2203,Maßnahmen!$H$7:$H$126,"&lt;&gt;verworfen")</f>
        <v/>
      </c>
      <c r="N2203" s="14">
        <f>IF(ISNUMBER(K2203),MAX(0,K2203-L2203-M2203),"n.a.")</f>
        <v/>
      </c>
      <c r="O2203" s="14" t="n">
        <v>14.4</v>
      </c>
      <c r="P2203" s="14">
        <f>IF(ISNUMBER(K2203),K2203-O2203,"n.a.")</f>
        <v/>
      </c>
    </row>
    <row r="2204" ht="32" customHeight="1">
      <c r="C2204" s="10" t="inlineStr">
        <is>
          <t>PRJ-52b1cf2f-RK-04</t>
        </is>
      </c>
      <c r="D2204" s="10" t="inlineStr">
        <is>
          <t>P4102157467</t>
        </is>
      </c>
      <c r="E2204" s="11" t="inlineStr">
        <is>
          <t>Baustofftrennung / Aufbereitung nicht wie geplant</t>
        </is>
      </c>
      <c r="F2204" s="10" t="inlineStr">
        <is>
          <t>Entsorgung</t>
        </is>
      </c>
      <c r="G2204" s="12" t="n">
        <v>0.1</v>
      </c>
      <c r="H2204" s="13" t="n">
        <v>20</v>
      </c>
      <c r="I2204" s="13" t="n">
        <v>50</v>
      </c>
      <c r="J2204" s="13" t="n">
        <v>100</v>
      </c>
      <c r="K2204" s="14">
        <f>IF(OR(COUNT(G2204:J2204)&lt;&gt;4,G2204&lt;0,G2204&gt;1,H2204&gt;I2204,I2204&gt;J2204),"n.a.",ROUND(G2204*(H2204+4*I2204+J2204)/6+0.00000001,2))</f>
        <v/>
      </c>
      <c r="L2204" s="13" t="n">
        <v>0</v>
      </c>
      <c r="M2204" s="14">
        <f>SUMIFS(Maßnahmen!$I$7:$I$126,Maßnahmen!$D$7:$D$126,C2204,Maßnahmen!$H$7:$H$126,"&lt;&gt;verworfen")</f>
        <v/>
      </c>
      <c r="N2204" s="14">
        <f>IF(ISNUMBER(K2204),MAX(0,K2204-L2204-M2204),"n.a.")</f>
        <v/>
      </c>
      <c r="O2204" s="14" t="n">
        <v>5.33</v>
      </c>
      <c r="P2204" s="14">
        <f>IF(ISNUMBER(K2204),K2204-O2204,"n.a.")</f>
        <v/>
      </c>
    </row>
    <row r="2205" ht="32" customHeight="1">
      <c r="C2205" s="10" t="inlineStr">
        <is>
          <t>PRJ-52b1cf2f-RK-05</t>
        </is>
      </c>
      <c r="D2205" s="10" t="inlineStr">
        <is>
          <t>P4102157467</t>
        </is>
      </c>
      <c r="E2205" s="11" t="inlineStr">
        <is>
          <t>Unbekannte Bauwerkskonstruktion / fehlende Pläne</t>
        </is>
      </c>
      <c r="F2205" s="10" t="inlineStr">
        <is>
          <t>Statik</t>
        </is>
      </c>
      <c r="G2205" s="12" t="n">
        <v>0.12</v>
      </c>
      <c r="H2205" s="13" t="n">
        <v>40</v>
      </c>
      <c r="I2205" s="13" t="n">
        <v>80</v>
      </c>
      <c r="J2205" s="13" t="n">
        <v>150</v>
      </c>
      <c r="K2205" s="14">
        <f>IF(OR(COUNT(G2205:J2205)&lt;&gt;4,G2205&lt;0,G2205&gt;1,H2205&gt;I2205,I2205&gt;J2205),"n.a.",ROUND(G2205*(H2205+4*I2205+J2205)/6+0.00000001,2))</f>
        <v/>
      </c>
      <c r="L2205" s="13" t="n">
        <v>0</v>
      </c>
      <c r="M2205" s="14">
        <f>SUMIFS(Maßnahmen!$I$7:$I$126,Maßnahmen!$D$7:$D$126,C2205,Maßnahmen!$H$7:$H$126,"&lt;&gt;verworfen")</f>
        <v/>
      </c>
      <c r="N2205" s="14">
        <f>IF(ISNUMBER(K2205),MAX(0,K2205-L2205-M2205),"n.a.")</f>
        <v/>
      </c>
      <c r="O2205" s="14" t="n">
        <v>10.2</v>
      </c>
      <c r="P2205" s="14">
        <f>IF(ISNUMBER(K2205),K2205-O2205,"n.a.")</f>
        <v/>
      </c>
    </row>
    <row r="2206" ht="32" customHeight="1">
      <c r="C2206" s="10" t="inlineStr">
        <is>
          <t>PRJ-52b1cf2f-RK-06</t>
        </is>
      </c>
      <c r="D2206" s="10" t="inlineStr">
        <is>
          <t>P4102157467</t>
        </is>
      </c>
      <c r="E2206" s="11" t="inlineStr">
        <is>
          <t>Statik / Einsturzsicherung während Abbruch</t>
        </is>
      </c>
      <c r="F2206" s="10" t="inlineStr">
        <is>
          <t>Statik</t>
        </is>
      </c>
      <c r="G2206" s="12" t="n">
        <v>0.24</v>
      </c>
      <c r="H2206" s="13" t="n">
        <v>30</v>
      </c>
      <c r="I2206" s="13" t="n">
        <v>70</v>
      </c>
      <c r="J2206" s="13" t="n">
        <v>140</v>
      </c>
      <c r="K2206" s="14">
        <f>IF(OR(COUNT(G2206:J2206)&lt;&gt;4,G2206&lt;0,G2206&gt;1,H2206&gt;I2206,I2206&gt;J2206),"n.a.",ROUND(G2206*(H2206+4*I2206+J2206)/6+0.00000001,2))</f>
        <v/>
      </c>
      <c r="L2206" s="13" t="n">
        <v>0</v>
      </c>
      <c r="M2206" s="14">
        <f>SUMIFS(Maßnahmen!$I$7:$I$126,Maßnahmen!$D$7:$D$126,C2206,Maßnahmen!$H$7:$H$126,"&lt;&gt;verworfen")</f>
        <v/>
      </c>
      <c r="N2206" s="14">
        <f>IF(ISNUMBER(K2206),MAX(0,K2206-L2206-M2206),"n.a.")</f>
        <v/>
      </c>
      <c r="O2206" s="14" t="n">
        <v>18</v>
      </c>
      <c r="P2206" s="14">
        <f>IF(ISNUMBER(K2206),K2206-O2206,"n.a.")</f>
        <v/>
      </c>
    </row>
    <row r="2207" ht="32" customHeight="1">
      <c r="C2207" s="10" t="inlineStr">
        <is>
          <t>PRJ-52b1cf2f-RK-07</t>
        </is>
      </c>
      <c r="D2207" s="10" t="inlineStr">
        <is>
          <t>P4102157467</t>
        </is>
      </c>
      <c r="E2207" s="11" t="inlineStr">
        <is>
          <t>Unterirdische Tragkonstruktion / Fundamente</t>
        </is>
      </c>
      <c r="F2207" s="10" t="inlineStr">
        <is>
          <t>Statik</t>
        </is>
      </c>
      <c r="G2207" s="12" t="n">
        <v>0.4</v>
      </c>
      <c r="H2207" s="13" t="n">
        <v>5</v>
      </c>
      <c r="I2207" s="13" t="n">
        <v>20</v>
      </c>
      <c r="J2207" s="13" t="n">
        <v>50</v>
      </c>
      <c r="K2207" s="14">
        <f>IF(OR(COUNT(G2207:J2207)&lt;&gt;4,G2207&lt;0,G2207&gt;1,H2207&gt;I2207,I2207&gt;J2207),"n.a.",ROUND(G2207*(H2207+4*I2207+J2207)/6+0.00000001,2))</f>
        <v/>
      </c>
      <c r="L2207" s="13" t="n">
        <v>0</v>
      </c>
      <c r="M2207" s="14">
        <f>SUMIFS(Maßnahmen!$I$7:$I$126,Maßnahmen!$D$7:$D$126,C2207,Maßnahmen!$H$7:$H$126,"&lt;&gt;verworfen")</f>
        <v/>
      </c>
      <c r="N2207" s="14">
        <f>IF(ISNUMBER(K2207),MAX(0,K2207-L2207-M2207),"n.a.")</f>
        <v/>
      </c>
      <c r="O2207" s="14" t="n">
        <v>9</v>
      </c>
      <c r="P2207" s="14">
        <f>IF(ISNUMBER(K2207),K2207-O2207,"n.a.")</f>
        <v/>
      </c>
    </row>
    <row r="2208" ht="32" customHeight="1">
      <c r="C2208" s="10" t="inlineStr">
        <is>
          <t>PRJ-52b1cf2f-RK-08</t>
        </is>
      </c>
      <c r="D2208" s="10" t="inlineStr">
        <is>
          <t>P4102157467</t>
        </is>
      </c>
      <c r="E2208" s="11" t="inlineStr">
        <is>
          <t>Gebäudehöhe &gt;22 m / Longfront-Bagger (+130–150 %)</t>
        </is>
      </c>
      <c r="F2208" s="10" t="inlineStr">
        <is>
          <t>Termin</t>
        </is>
      </c>
      <c r="G2208" s="12" t="n">
        <v>0.2</v>
      </c>
      <c r="H2208" s="13" t="n">
        <v>10</v>
      </c>
      <c r="I2208" s="13" t="n">
        <v>30</v>
      </c>
      <c r="J2208" s="13" t="n">
        <v>60</v>
      </c>
      <c r="K2208" s="14">
        <f>IF(OR(COUNT(G2208:J2208)&lt;&gt;4,G2208&lt;0,G2208&gt;1,H2208&gt;I2208,I2208&gt;J2208),"n.a.",ROUND(G2208*(H2208+4*I2208+J2208)/6+0.00000001,2))</f>
        <v/>
      </c>
      <c r="L2208" s="13" t="n">
        <v>0</v>
      </c>
      <c r="M2208" s="14">
        <f>SUMIFS(Maßnahmen!$I$7:$I$126,Maßnahmen!$D$7:$D$126,C2208,Maßnahmen!$H$7:$H$126,"&lt;&gt;verworfen")</f>
        <v/>
      </c>
      <c r="N2208" s="14">
        <f>IF(ISNUMBER(K2208),MAX(0,K2208-L2208-M2208),"n.a.")</f>
        <v/>
      </c>
      <c r="O2208" s="14" t="n">
        <v>6.33</v>
      </c>
      <c r="P2208" s="14">
        <f>IF(ISNUMBER(K2208),K2208-O2208,"n.a.")</f>
        <v/>
      </c>
    </row>
    <row r="2209" ht="32" customHeight="1">
      <c r="C2209" s="10" t="inlineStr">
        <is>
          <t>PRJ-52b1cf2f-RK-09</t>
        </is>
      </c>
      <c r="D2209" s="10" t="inlineStr">
        <is>
          <t>P4102157467</t>
        </is>
      </c>
      <c r="E2209" s="11" t="inlineStr">
        <is>
          <t>Beennte Lage / nur Handabbruch möglich</t>
        </is>
      </c>
      <c r="F2209" s="10" t="inlineStr">
        <is>
          <t>Termin</t>
        </is>
      </c>
      <c r="G2209" s="12" t="n">
        <v>0.15</v>
      </c>
      <c r="H2209" s="13" t="n">
        <v>8</v>
      </c>
      <c r="I2209" s="13" t="n">
        <v>20</v>
      </c>
      <c r="J2209" s="13" t="n">
        <v>50</v>
      </c>
      <c r="K2209" s="14">
        <f>IF(OR(COUNT(G2209:J2209)&lt;&gt;4,G2209&lt;0,G2209&gt;1,H2209&gt;I2209,I2209&gt;J2209),"n.a.",ROUND(G2209*(H2209+4*I2209+J2209)/6+0.00000001,2))</f>
        <v/>
      </c>
      <c r="L2209" s="13" t="n">
        <v>0</v>
      </c>
      <c r="M2209" s="14">
        <f>SUMIFS(Maßnahmen!$I$7:$I$126,Maßnahmen!$D$7:$D$126,C2209,Maßnahmen!$H$7:$H$126,"&lt;&gt;verworfen")</f>
        <v/>
      </c>
      <c r="N2209" s="14">
        <f>IF(ISNUMBER(K2209),MAX(0,K2209-L2209-M2209),"n.a.")</f>
        <v/>
      </c>
      <c r="O2209" s="14" t="n">
        <v>3.45</v>
      </c>
      <c r="P2209" s="14">
        <f>IF(ISNUMBER(K2209),K2209-O2209,"n.a.")</f>
        <v/>
      </c>
    </row>
    <row r="2210" ht="32" customHeight="1">
      <c r="C2210" s="10" t="inlineStr">
        <is>
          <t>PRJ-52b1cf2f-RK-10</t>
        </is>
      </c>
      <c r="D2210" s="10" t="inlineStr">
        <is>
          <t>P4102157467</t>
        </is>
      </c>
      <c r="E2210" s="11" t="inlineStr">
        <is>
          <t>Terminvorgabe Auftraggeber / Geräteauslastung</t>
        </is>
      </c>
      <c r="F2210" s="10" t="inlineStr">
        <is>
          <t>Termin</t>
        </is>
      </c>
      <c r="G2210" s="12" t="n">
        <v>0.1</v>
      </c>
      <c r="H2210" s="13" t="n">
        <v>8</v>
      </c>
      <c r="I2210" s="13" t="n">
        <v>20</v>
      </c>
      <c r="J2210" s="13" t="n">
        <v>50</v>
      </c>
      <c r="K2210" s="14">
        <f>IF(OR(COUNT(G2210:J2210)&lt;&gt;4,G2210&lt;0,G2210&gt;1,H2210&gt;I2210,I2210&gt;J2210),"n.a.",ROUND(G2210*(H2210+4*I2210+J2210)/6+0.00000001,2))</f>
        <v/>
      </c>
      <c r="L2210" s="13" t="n">
        <v>0</v>
      </c>
      <c r="M2210" s="14">
        <f>SUMIFS(Maßnahmen!$I$7:$I$126,Maßnahmen!$D$7:$D$126,C2210,Maßnahmen!$H$7:$H$126,"&lt;&gt;verworfen")</f>
        <v/>
      </c>
      <c r="N2210" s="14">
        <f>IF(ISNUMBER(K2210),MAX(0,K2210-L2210-M2210),"n.a.")</f>
        <v/>
      </c>
      <c r="O2210" s="14" t="n">
        <v>2.3</v>
      </c>
      <c r="P2210" s="14">
        <f>IF(ISNUMBER(K2210),K2210-O2210,"n.a.")</f>
        <v/>
      </c>
    </row>
    <row r="2211" ht="32" customHeight="1">
      <c r="C2211" s="10" t="inlineStr">
        <is>
          <t>PRJ-52b1cf2f-RK-11</t>
        </is>
      </c>
      <c r="D2211" s="10" t="inlineStr">
        <is>
          <t>P4102157467</t>
        </is>
      </c>
      <c r="E2211" s="11" t="inlineStr">
        <is>
          <t>Witterung / Ablaufstörung</t>
        </is>
      </c>
      <c r="F2211" s="10" t="inlineStr">
        <is>
          <t>Termin</t>
        </is>
      </c>
      <c r="G2211" s="12" t="n">
        <v>0.15</v>
      </c>
      <c r="H2211" s="13" t="n">
        <v>10</v>
      </c>
      <c r="I2211" s="13" t="n">
        <v>30</v>
      </c>
      <c r="J2211" s="13" t="n">
        <v>60</v>
      </c>
      <c r="K2211" s="14">
        <f>IF(OR(COUNT(G2211:J2211)&lt;&gt;4,G2211&lt;0,G2211&gt;1,H2211&gt;I2211,I2211&gt;J2211),"n.a.",ROUND(G2211*(H2211+4*I2211+J2211)/6+0.00000001,2))</f>
        <v/>
      </c>
      <c r="L2211" s="13" t="n">
        <v>0</v>
      </c>
      <c r="M2211" s="14">
        <f>SUMIFS(Maßnahmen!$I$7:$I$126,Maßnahmen!$D$7:$D$126,C2211,Maßnahmen!$H$7:$H$126,"&lt;&gt;verworfen")</f>
        <v/>
      </c>
      <c r="N2211" s="14">
        <f>IF(ISNUMBER(K2211),MAX(0,K2211-L2211-M2211),"n.a.")</f>
        <v/>
      </c>
      <c r="O2211" s="14" t="n">
        <v>4.75</v>
      </c>
      <c r="P2211" s="14">
        <f>IF(ISNUMBER(K2211),K2211-O2211,"n.a.")</f>
        <v/>
      </c>
    </row>
    <row r="2212" ht="32" customHeight="1">
      <c r="C2212" s="10" t="inlineStr">
        <is>
          <t>PRJ-52b1cf2f-RK-12</t>
        </is>
      </c>
      <c r="D2212" s="10" t="inlineStr">
        <is>
          <t>P4102157467</t>
        </is>
      </c>
      <c r="E2212" s="11" t="inlineStr">
        <is>
          <t>Staubemissionen (höchster Aufwand laut Umfrage)</t>
        </is>
      </c>
      <c r="F2212" s="10" t="inlineStr">
        <is>
          <t>Emissionen</t>
        </is>
      </c>
      <c r="G2212" s="12" t="n">
        <v>0.1</v>
      </c>
      <c r="H2212" s="13" t="n">
        <v>30</v>
      </c>
      <c r="I2212" s="13" t="n">
        <v>60</v>
      </c>
      <c r="J2212" s="13" t="n">
        <v>120</v>
      </c>
      <c r="K2212" s="14">
        <f>IF(OR(COUNT(G2212:J2212)&lt;&gt;4,G2212&lt;0,G2212&gt;1,H2212&gt;I2212,I2212&gt;J2212),"n.a.",ROUND(G2212*(H2212+4*I2212+J2212)/6+0.00000001,2))</f>
        <v/>
      </c>
      <c r="L2212" s="13" t="n">
        <v>0</v>
      </c>
      <c r="M2212" s="14">
        <f>SUMIFS(Maßnahmen!$I$7:$I$126,Maßnahmen!$D$7:$D$126,C2212,Maßnahmen!$H$7:$H$126,"&lt;&gt;verworfen")</f>
        <v/>
      </c>
      <c r="N2212" s="14">
        <f>IF(ISNUMBER(K2212),MAX(0,K2212-L2212-M2212),"n.a.")</f>
        <v/>
      </c>
      <c r="O2212" s="14" t="n">
        <v>6.5</v>
      </c>
      <c r="P2212" s="14">
        <f>IF(ISNUMBER(K2212),K2212-O2212,"n.a.")</f>
        <v/>
      </c>
    </row>
    <row r="2213" ht="32" customHeight="1">
      <c r="C2213" s="10" t="inlineStr">
        <is>
          <t>PRJ-52b1cf2f-RK-13</t>
        </is>
      </c>
      <c r="D2213" s="10" t="inlineStr">
        <is>
          <t>P4102157467</t>
        </is>
      </c>
      <c r="E2213" s="11" t="inlineStr">
        <is>
          <t>Lärm- und Erschütterungsauflagen</t>
        </is>
      </c>
      <c r="F2213" s="10" t="inlineStr">
        <is>
          <t>Emissionen</t>
        </is>
      </c>
      <c r="G2213" s="12" t="n">
        <v>0.2</v>
      </c>
      <c r="H2213" s="13" t="n">
        <v>20</v>
      </c>
      <c r="I2213" s="13" t="n">
        <v>50</v>
      </c>
      <c r="J2213" s="13" t="n">
        <v>100</v>
      </c>
      <c r="K2213" s="14">
        <f>IF(OR(COUNT(G2213:J2213)&lt;&gt;4,G2213&lt;0,G2213&gt;1,H2213&gt;I2213,I2213&gt;J2213),"n.a.",ROUND(G2213*(H2213+4*I2213+J2213)/6+0.00000001,2))</f>
        <v/>
      </c>
      <c r="L2213" s="13" t="n">
        <v>0</v>
      </c>
      <c r="M2213" s="14">
        <f>SUMIFS(Maßnahmen!$I$7:$I$126,Maßnahmen!$D$7:$D$126,C2213,Maßnahmen!$H$7:$H$126,"&lt;&gt;verworfen")</f>
        <v/>
      </c>
      <c r="N2213" s="14">
        <f>IF(ISNUMBER(K2213),MAX(0,K2213-L2213-M2213),"n.a.")</f>
        <v/>
      </c>
      <c r="O2213" s="14" t="n">
        <v>10.67</v>
      </c>
      <c r="P2213" s="14">
        <f>IF(ISNUMBER(K2213),K2213-O2213,"n.a.")</f>
        <v/>
      </c>
    </row>
    <row r="2214" ht="32" customHeight="1">
      <c r="C2214" s="10" t="inlineStr">
        <is>
          <t>PRJ-52b1cf2f-RK-14</t>
        </is>
      </c>
      <c r="D2214" s="10" t="inlineStr">
        <is>
          <t>P4102157467</t>
        </is>
      </c>
      <c r="E2214" s="11" t="inlineStr">
        <is>
          <t>Rechtliche Auflagen / Entsorgungsnachweise (Formalismus)</t>
        </is>
      </c>
      <c r="F2214" s="10" t="inlineStr">
        <is>
          <t>Genehmigung</t>
        </is>
      </c>
      <c r="G2214" s="12" t="n">
        <v>0.12</v>
      </c>
      <c r="H2214" s="13" t="n">
        <v>15</v>
      </c>
      <c r="I2214" s="13" t="n">
        <v>35</v>
      </c>
      <c r="J2214" s="13" t="n">
        <v>70</v>
      </c>
      <c r="K2214" s="14">
        <f>IF(OR(COUNT(G2214:J2214)&lt;&gt;4,G2214&lt;0,G2214&gt;1,H2214&gt;I2214,I2214&gt;J2214),"n.a.",ROUND(G2214*(H2214+4*I2214+J2214)/6+0.00000001,2))</f>
        <v/>
      </c>
      <c r="L2214" s="13" t="n">
        <v>0</v>
      </c>
      <c r="M2214" s="14">
        <f>SUMIFS(Maßnahmen!$I$7:$I$126,Maßnahmen!$D$7:$D$126,C2214,Maßnahmen!$H$7:$H$126,"&lt;&gt;verworfen")</f>
        <v/>
      </c>
      <c r="N2214" s="14">
        <f>IF(ISNUMBER(K2214),MAX(0,K2214-L2214-M2214),"n.a.")</f>
        <v/>
      </c>
      <c r="O2214" s="14" t="n">
        <v>4.5</v>
      </c>
      <c r="P2214" s="14">
        <f>IF(ISNUMBER(K2214),K2214-O2214,"n.a.")</f>
        <v/>
      </c>
    </row>
    <row r="2215" ht="32" customHeight="1">
      <c r="C2215" s="10" t="inlineStr">
        <is>
          <t>PRJ-52b1cf2f-RK-15</t>
        </is>
      </c>
      <c r="D2215" s="10" t="inlineStr">
        <is>
          <t>P4102157467</t>
        </is>
      </c>
      <c r="E2215" s="11" t="inlineStr">
        <is>
          <t>Konjunktur / Sekundärstoffpreise &amp; Gerätemiete</t>
        </is>
      </c>
      <c r="F2215" s="10" t="inlineStr">
        <is>
          <t>Markt</t>
        </is>
      </c>
      <c r="G2215" s="12" t="n">
        <v>0.12</v>
      </c>
      <c r="H2215" s="13" t="n">
        <v>8</v>
      </c>
      <c r="I2215" s="13" t="n">
        <v>20</v>
      </c>
      <c r="J2215" s="13" t="n">
        <v>50</v>
      </c>
      <c r="K2215" s="14">
        <f>IF(OR(COUNT(G2215:J2215)&lt;&gt;4,G2215&lt;0,G2215&gt;1,H2215&gt;I2215,I2215&gt;J2215),"n.a.",ROUND(G2215*(H2215+4*I2215+J2215)/6+0.00000001,2))</f>
        <v/>
      </c>
      <c r="L2215" s="13" t="n">
        <v>0</v>
      </c>
      <c r="M2215" s="14">
        <f>SUMIFS(Maßnahmen!$I$7:$I$126,Maßnahmen!$D$7:$D$126,C2215,Maßnahmen!$H$7:$H$126,"&lt;&gt;verworfen")</f>
        <v/>
      </c>
      <c r="N2215" s="14">
        <f>IF(ISNUMBER(K2215),MAX(0,K2215-L2215-M2215),"n.a.")</f>
        <v/>
      </c>
      <c r="O2215" s="14" t="n">
        <v>2.76</v>
      </c>
      <c r="P2215" s="14">
        <f>IF(ISNUMBER(K2215),K2215-O2215,"n.a.")</f>
        <v/>
      </c>
    </row>
    <row r="2216" ht="32" customHeight="1">
      <c r="C2216" s="10" t="inlineStr">
        <is>
          <t>PRJ-3d4db3f1-RK-01</t>
        </is>
      </c>
      <c r="D2216" s="10" t="inlineStr">
        <is>
          <t>W4102307366</t>
        </is>
      </c>
      <c r="E2216" s="11" t="inlineStr">
        <is>
          <t>Schadstofffund / Schadstoffsanierung (Asbest, PAK, PCB, PCP)</t>
        </is>
      </c>
      <c r="F2216" s="10" t="inlineStr">
        <is>
          <t>Schadstoffe</t>
        </is>
      </c>
      <c r="G2216" s="12" t="n">
        <v>0.1</v>
      </c>
      <c r="H2216" s="13" t="n">
        <v>20</v>
      </c>
      <c r="I2216" s="13" t="n">
        <v>50</v>
      </c>
      <c r="J2216" s="13" t="n">
        <v>100</v>
      </c>
      <c r="K2216" s="14">
        <f>IF(OR(COUNT(G2216:J2216)&lt;&gt;4,G2216&lt;0,G2216&gt;1,H2216&gt;I2216,I2216&gt;J2216),"n.a.",ROUND(G2216*(H2216+4*I2216+J2216)/6+0.00000001,2))</f>
        <v/>
      </c>
      <c r="L2216" s="13" t="n">
        <v>0</v>
      </c>
      <c r="M2216" s="14">
        <f>SUMIFS(Maßnahmen!$I$7:$I$126,Maßnahmen!$D$7:$D$126,C2216,Maßnahmen!$H$7:$H$126,"&lt;&gt;verworfen")</f>
        <v/>
      </c>
      <c r="N2216" s="14">
        <f>IF(ISNUMBER(K2216),MAX(0,K2216-L2216-M2216),"n.a.")</f>
        <v/>
      </c>
      <c r="O2216" s="14" t="n">
        <v>5.33</v>
      </c>
      <c r="P2216" s="14">
        <f>IF(ISNUMBER(K2216),K2216-O2216,"n.a.")</f>
        <v/>
      </c>
    </row>
    <row r="2217" ht="32" customHeight="1">
      <c r="C2217" s="10" t="inlineStr">
        <is>
          <t>PRJ-3d4db3f1-RK-15</t>
        </is>
      </c>
      <c r="D2217" s="10" t="inlineStr">
        <is>
          <t>W4102307366</t>
        </is>
      </c>
      <c r="E2217" s="11" t="inlineStr">
        <is>
          <t>Konjunktur / Sekundärstoffpreise &amp; Gerätemiete</t>
        </is>
      </c>
      <c r="F2217" s="10" t="inlineStr">
        <is>
          <t>Markt</t>
        </is>
      </c>
      <c r="G2217" s="12" t="n">
        <v>0.12</v>
      </c>
      <c r="H2217" s="13" t="n">
        <v>8</v>
      </c>
      <c r="I2217" s="13" t="n">
        <v>20</v>
      </c>
      <c r="J2217" s="13" t="n">
        <v>50</v>
      </c>
      <c r="K2217" s="14">
        <f>IF(OR(COUNT(G2217:J2217)&lt;&gt;4,G2217&lt;0,G2217&gt;1,H2217&gt;I2217,I2217&gt;J2217),"n.a.",ROUND(G2217*(H2217+4*I2217+J2217)/6+0.00000001,2))</f>
        <v/>
      </c>
      <c r="L2217" s="13" t="n">
        <v>0</v>
      </c>
      <c r="M2217" s="14">
        <f>SUMIFS(Maßnahmen!$I$7:$I$126,Maßnahmen!$D$7:$D$126,C2217,Maßnahmen!$H$7:$H$126,"&lt;&gt;verworfen")</f>
        <v/>
      </c>
      <c r="N2217" s="14">
        <f>IF(ISNUMBER(K2217),MAX(0,K2217-L2217-M2217),"n.a.")</f>
        <v/>
      </c>
      <c r="O2217" s="14" t="n">
        <v>2.76</v>
      </c>
      <c r="P2217" s="14">
        <f>IF(ISNUMBER(K2217),K2217-O2217,"n.a.")</f>
        <v/>
      </c>
    </row>
    <row r="2218" ht="32" customHeight="1">
      <c r="C2218" s="10" t="inlineStr">
        <is>
          <t>PRJ-382f351e-RK-01</t>
        </is>
      </c>
      <c r="D2218" s="10" t="inlineStr">
        <is>
          <t>W4102607081</t>
        </is>
      </c>
      <c r="E2218" s="11" t="inlineStr">
        <is>
          <t>Schadstofffund / Schadstoffsanierung (Asbest, PAK, PCB, PCP)</t>
        </is>
      </c>
      <c r="F2218" s="10" t="inlineStr">
        <is>
          <t>Schadstoffe</t>
        </is>
      </c>
      <c r="G2218" s="12" t="n">
        <v>0.1</v>
      </c>
      <c r="H2218" s="13" t="n">
        <v>20</v>
      </c>
      <c r="I2218" s="13" t="n">
        <v>50</v>
      </c>
      <c r="J2218" s="13" t="n">
        <v>100</v>
      </c>
      <c r="K2218" s="14">
        <f>IF(OR(COUNT(G2218:J2218)&lt;&gt;4,G2218&lt;0,G2218&gt;1,H2218&gt;I2218,I2218&gt;J2218),"n.a.",ROUND(G2218*(H2218+4*I2218+J2218)/6+0.00000001,2))</f>
        <v/>
      </c>
      <c r="L2218" s="13" t="n">
        <v>0</v>
      </c>
      <c r="M2218" s="14">
        <f>SUMIFS(Maßnahmen!$I$7:$I$126,Maßnahmen!$D$7:$D$126,C2218,Maßnahmen!$H$7:$H$126,"&lt;&gt;verworfen")</f>
        <v/>
      </c>
      <c r="N2218" s="14">
        <f>IF(ISNUMBER(K2218),MAX(0,K2218-L2218-M2218),"n.a.")</f>
        <v/>
      </c>
      <c r="O2218" s="14" t="n">
        <v>5.33</v>
      </c>
      <c r="P2218" s="14">
        <f>IF(ISNUMBER(K2218),K2218-O2218,"n.a.")</f>
        <v/>
      </c>
    </row>
    <row r="2219" ht="32" customHeight="1">
      <c r="C2219" s="10" t="inlineStr">
        <is>
          <t>PRJ-382f351e-RK-02</t>
        </is>
      </c>
      <c r="D2219" s="10" t="inlineStr">
        <is>
          <t>W4102607081</t>
        </is>
      </c>
      <c r="E2219" s="11" t="inlineStr">
        <is>
          <t>Arbeitsschutz kontaminierte Bereiche (TRGS 524)</t>
        </is>
      </c>
      <c r="F2219" s="10" t="inlineStr">
        <is>
          <t>Schadstoffe</t>
        </is>
      </c>
      <c r="G2219" s="12" t="n">
        <v>0.47</v>
      </c>
      <c r="H2219" s="13" t="n">
        <v>20</v>
      </c>
      <c r="I2219" s="13" t="n">
        <v>50</v>
      </c>
      <c r="J2219" s="13" t="n">
        <v>100</v>
      </c>
      <c r="K2219" s="14">
        <f>IF(OR(COUNT(G2219:J2219)&lt;&gt;4,G2219&lt;0,G2219&gt;1,H2219&gt;I2219,I2219&gt;J2219),"n.a.",ROUND(G2219*(H2219+4*I2219+J2219)/6+0.00000001,2))</f>
        <v/>
      </c>
      <c r="L2219" s="13" t="n">
        <v>0</v>
      </c>
      <c r="M2219" s="14">
        <f>SUMIFS(Maßnahmen!$I$7:$I$126,Maßnahmen!$D$7:$D$126,C2219,Maßnahmen!$H$7:$H$126,"&lt;&gt;verworfen")</f>
        <v/>
      </c>
      <c r="N2219" s="14">
        <f>IF(ISNUMBER(K2219),MAX(0,K2219-L2219-M2219),"n.a.")</f>
        <v/>
      </c>
      <c r="O2219" s="14" t="n">
        <v>25.07</v>
      </c>
      <c r="P2219" s="14">
        <f>IF(ISNUMBER(K2219),K2219-O2219,"n.a.")</f>
        <v/>
      </c>
    </row>
    <row r="2220" ht="32" customHeight="1">
      <c r="C2220" s="10" t="inlineStr">
        <is>
          <t>PRJ-382f351e-RK-03</t>
        </is>
      </c>
      <c r="D2220" s="10" t="inlineStr">
        <is>
          <t>W4102607081</t>
        </is>
      </c>
      <c r="E2220" s="11" t="inlineStr">
        <is>
          <t>Entsorgungs-Mehrkosten / Entsorgungswege</t>
        </is>
      </c>
      <c r="F2220" s="10" t="inlineStr">
        <is>
          <t>Entsorgung</t>
        </is>
      </c>
      <c r="G2220" s="12" t="n">
        <v>0.15</v>
      </c>
      <c r="H2220" s="13" t="n">
        <v>20</v>
      </c>
      <c r="I2220" s="13" t="n">
        <v>50</v>
      </c>
      <c r="J2220" s="13" t="n">
        <v>100</v>
      </c>
      <c r="K2220" s="14">
        <f>IF(OR(COUNT(G2220:J2220)&lt;&gt;4,G2220&lt;0,G2220&gt;1,H2220&gt;I2220,I2220&gt;J2220),"n.a.",ROUND(G2220*(H2220+4*I2220+J2220)/6+0.00000001,2))</f>
        <v/>
      </c>
      <c r="L2220" s="13" t="n">
        <v>0</v>
      </c>
      <c r="M2220" s="14">
        <f>SUMIFS(Maßnahmen!$I$7:$I$126,Maßnahmen!$D$7:$D$126,C2220,Maßnahmen!$H$7:$H$126,"&lt;&gt;verworfen")</f>
        <v/>
      </c>
      <c r="N2220" s="14">
        <f>IF(ISNUMBER(K2220),MAX(0,K2220-L2220-M2220),"n.a.")</f>
        <v/>
      </c>
      <c r="O2220" s="14" t="n">
        <v>8</v>
      </c>
      <c r="P2220" s="14">
        <f>IF(ISNUMBER(K2220),K2220-O2220,"n.a.")</f>
        <v/>
      </c>
    </row>
    <row r="2221" ht="32" customHeight="1">
      <c r="C2221" s="10" t="inlineStr">
        <is>
          <t>PRJ-382f351e-RK-04</t>
        </is>
      </c>
      <c r="D2221" s="10" t="inlineStr">
        <is>
          <t>W4102607081</t>
        </is>
      </c>
      <c r="E2221" s="11" t="inlineStr">
        <is>
          <t>Baustofftrennung / Aufbereitung nicht wie geplant</t>
        </is>
      </c>
      <c r="F2221" s="10" t="inlineStr">
        <is>
          <t>Entsorgung</t>
        </is>
      </c>
      <c r="G2221" s="12" t="n">
        <v>0.1</v>
      </c>
      <c r="H2221" s="13" t="n">
        <v>20</v>
      </c>
      <c r="I2221" s="13" t="n">
        <v>50</v>
      </c>
      <c r="J2221" s="13" t="n">
        <v>100</v>
      </c>
      <c r="K2221" s="14">
        <f>IF(OR(COUNT(G2221:J2221)&lt;&gt;4,G2221&lt;0,G2221&gt;1,H2221&gt;I2221,I2221&gt;J2221),"n.a.",ROUND(G2221*(H2221+4*I2221+J2221)/6+0.00000001,2))</f>
        <v/>
      </c>
      <c r="L2221" s="13" t="n">
        <v>0</v>
      </c>
      <c r="M2221" s="14">
        <f>SUMIFS(Maßnahmen!$I$7:$I$126,Maßnahmen!$D$7:$D$126,C2221,Maßnahmen!$H$7:$H$126,"&lt;&gt;verworfen")</f>
        <v/>
      </c>
      <c r="N2221" s="14">
        <f>IF(ISNUMBER(K2221),MAX(0,K2221-L2221-M2221),"n.a.")</f>
        <v/>
      </c>
      <c r="O2221" s="14" t="n">
        <v>5.33</v>
      </c>
      <c r="P2221" s="14">
        <f>IF(ISNUMBER(K2221),K2221-O2221,"n.a.")</f>
        <v/>
      </c>
    </row>
    <row r="2222" ht="32" customHeight="1">
      <c r="C2222" s="10" t="inlineStr">
        <is>
          <t>PRJ-382f351e-RK-05</t>
        </is>
      </c>
      <c r="D2222" s="10" t="inlineStr">
        <is>
          <t>W4102607081</t>
        </is>
      </c>
      <c r="E2222" s="11" t="inlineStr">
        <is>
          <t>Unbekannte Bauwerkskonstruktion / fehlende Pläne</t>
        </is>
      </c>
      <c r="F2222" s="10" t="inlineStr">
        <is>
          <t>Statik</t>
        </is>
      </c>
      <c r="G2222" s="12" t="n">
        <v>0.12</v>
      </c>
      <c r="H2222" s="13" t="n">
        <v>40</v>
      </c>
      <c r="I2222" s="13" t="n">
        <v>80</v>
      </c>
      <c r="J2222" s="13" t="n">
        <v>150</v>
      </c>
      <c r="K2222" s="14">
        <f>IF(OR(COUNT(G2222:J2222)&lt;&gt;4,G2222&lt;0,G2222&gt;1,H2222&gt;I2222,I2222&gt;J2222),"n.a.",ROUND(G2222*(H2222+4*I2222+J2222)/6+0.00000001,2))</f>
        <v/>
      </c>
      <c r="L2222" s="13" t="n">
        <v>0</v>
      </c>
      <c r="M2222" s="14">
        <f>SUMIFS(Maßnahmen!$I$7:$I$126,Maßnahmen!$D$7:$D$126,C2222,Maßnahmen!$H$7:$H$126,"&lt;&gt;verworfen")</f>
        <v/>
      </c>
      <c r="N2222" s="14">
        <f>IF(ISNUMBER(K2222),MAX(0,K2222-L2222-M2222),"n.a.")</f>
        <v/>
      </c>
      <c r="O2222" s="14" t="n">
        <v>10.2</v>
      </c>
      <c r="P2222" s="14">
        <f>IF(ISNUMBER(K2222),K2222-O2222,"n.a.")</f>
        <v/>
      </c>
    </row>
    <row r="2223" ht="32" customHeight="1">
      <c r="C2223" s="10" t="inlineStr">
        <is>
          <t>PRJ-382f351e-RK-06</t>
        </is>
      </c>
      <c r="D2223" s="10" t="inlineStr">
        <is>
          <t>W4102607081</t>
        </is>
      </c>
      <c r="E2223" s="11" t="inlineStr">
        <is>
          <t>Statik / Einsturzsicherung während Abbruch</t>
        </is>
      </c>
      <c r="F2223" s="10" t="inlineStr">
        <is>
          <t>Statik</t>
        </is>
      </c>
      <c r="G2223" s="12" t="n">
        <v>0.12</v>
      </c>
      <c r="H2223" s="13" t="n">
        <v>30</v>
      </c>
      <c r="I2223" s="13" t="n">
        <v>70</v>
      </c>
      <c r="J2223" s="13" t="n">
        <v>140</v>
      </c>
      <c r="K2223" s="14">
        <f>IF(OR(COUNT(G2223:J2223)&lt;&gt;4,G2223&lt;0,G2223&gt;1,H2223&gt;I2223,I2223&gt;J2223),"n.a.",ROUND(G2223*(H2223+4*I2223+J2223)/6+0.00000001,2))</f>
        <v/>
      </c>
      <c r="L2223" s="13" t="n">
        <v>0</v>
      </c>
      <c r="M2223" s="14">
        <f>SUMIFS(Maßnahmen!$I$7:$I$126,Maßnahmen!$D$7:$D$126,C2223,Maßnahmen!$H$7:$H$126,"&lt;&gt;verworfen")</f>
        <v/>
      </c>
      <c r="N2223" s="14">
        <f>IF(ISNUMBER(K2223),MAX(0,K2223-L2223-M2223),"n.a.")</f>
        <v/>
      </c>
      <c r="O2223" s="14" t="n">
        <v>9</v>
      </c>
      <c r="P2223" s="14">
        <f>IF(ISNUMBER(K2223),K2223-O2223,"n.a.")</f>
        <v/>
      </c>
    </row>
    <row r="2224" ht="32" customHeight="1">
      <c r="C2224" s="10" t="inlineStr">
        <is>
          <t>PRJ-382f351e-RK-07</t>
        </is>
      </c>
      <c r="D2224" s="10" t="inlineStr">
        <is>
          <t>W4102607081</t>
        </is>
      </c>
      <c r="E2224" s="11" t="inlineStr">
        <is>
          <t>Unterirdische Tragkonstruktion / Fundamente</t>
        </is>
      </c>
      <c r="F2224" s="10" t="inlineStr">
        <is>
          <t>Statik</t>
        </is>
      </c>
      <c r="G2224" s="12" t="n">
        <v>0.5</v>
      </c>
      <c r="H2224" s="13" t="n">
        <v>5</v>
      </c>
      <c r="I2224" s="13" t="n">
        <v>20</v>
      </c>
      <c r="J2224" s="13" t="n">
        <v>50</v>
      </c>
      <c r="K2224" s="14">
        <f>IF(OR(COUNT(G2224:J2224)&lt;&gt;4,G2224&lt;0,G2224&gt;1,H2224&gt;I2224,I2224&gt;J2224),"n.a.",ROUND(G2224*(H2224+4*I2224+J2224)/6+0.00000001,2))</f>
        <v/>
      </c>
      <c r="L2224" s="13" t="n">
        <v>0</v>
      </c>
      <c r="M2224" s="14">
        <f>SUMIFS(Maßnahmen!$I$7:$I$126,Maßnahmen!$D$7:$D$126,C2224,Maßnahmen!$H$7:$H$126,"&lt;&gt;verworfen")</f>
        <v/>
      </c>
      <c r="N2224" s="14">
        <f>IF(ISNUMBER(K2224),MAX(0,K2224-L2224-M2224),"n.a.")</f>
        <v/>
      </c>
      <c r="O2224" s="14" t="n">
        <v>11.25</v>
      </c>
      <c r="P2224" s="14">
        <f>IF(ISNUMBER(K2224),K2224-O2224,"n.a.")</f>
        <v/>
      </c>
    </row>
    <row r="2225" ht="32" customHeight="1">
      <c r="C2225" s="10" t="inlineStr">
        <is>
          <t>PRJ-382f351e-RK-08</t>
        </is>
      </c>
      <c r="D2225" s="10" t="inlineStr">
        <is>
          <t>W4102607081</t>
        </is>
      </c>
      <c r="E2225" s="11" t="inlineStr">
        <is>
          <t>Gebäudehöhe &gt;22 m / Longfront-Bagger (+130–150 %)</t>
        </is>
      </c>
      <c r="F2225" s="10" t="inlineStr">
        <is>
          <t>Termin</t>
        </is>
      </c>
      <c r="G2225" s="12" t="n">
        <v>0.6</v>
      </c>
      <c r="H2225" s="13" t="n">
        <v>90</v>
      </c>
      <c r="I2225" s="13" t="n">
        <v>180</v>
      </c>
      <c r="J2225" s="13" t="n">
        <v>340</v>
      </c>
      <c r="K2225" s="14">
        <f>IF(OR(COUNT(G2225:J2225)&lt;&gt;4,G2225&lt;0,G2225&gt;1,H2225&gt;I2225,I2225&gt;J2225),"n.a.",ROUND(G2225*(H2225+4*I2225+J2225)/6+0.00000001,2))</f>
        <v/>
      </c>
      <c r="L2225" s="13" t="n">
        <v>0</v>
      </c>
      <c r="M2225" s="14">
        <f>SUMIFS(Maßnahmen!$I$7:$I$126,Maßnahmen!$D$7:$D$126,C2225,Maßnahmen!$H$7:$H$126,"&lt;&gt;verworfen")</f>
        <v/>
      </c>
      <c r="N2225" s="14">
        <f>IF(ISNUMBER(K2225),MAX(0,K2225-L2225-M2225),"n.a.")</f>
        <v/>
      </c>
      <c r="O2225" s="14" t="n">
        <v>115</v>
      </c>
      <c r="P2225" s="14">
        <f>IF(ISNUMBER(K2225),K2225-O2225,"n.a.")</f>
        <v/>
      </c>
    </row>
    <row r="2226" ht="32" customHeight="1">
      <c r="C2226" s="10" t="inlineStr">
        <is>
          <t>PRJ-382f351e-RK-09</t>
        </is>
      </c>
      <c r="D2226" s="10" t="inlineStr">
        <is>
          <t>W4102607081</t>
        </is>
      </c>
      <c r="E2226" s="11" t="inlineStr">
        <is>
          <t>Beennte Lage / nur Handabbruch möglich</t>
        </is>
      </c>
      <c r="F2226" s="10" t="inlineStr">
        <is>
          <t>Termin</t>
        </is>
      </c>
      <c r="G2226" s="12" t="n">
        <v>0.15</v>
      </c>
      <c r="H2226" s="13" t="n">
        <v>8</v>
      </c>
      <c r="I2226" s="13" t="n">
        <v>20</v>
      </c>
      <c r="J2226" s="13" t="n">
        <v>50</v>
      </c>
      <c r="K2226" s="14">
        <f>IF(OR(COUNT(G2226:J2226)&lt;&gt;4,G2226&lt;0,G2226&gt;1,H2226&gt;I2226,I2226&gt;J2226),"n.a.",ROUND(G2226*(H2226+4*I2226+J2226)/6+0.00000001,2))</f>
        <v/>
      </c>
      <c r="L2226" s="13" t="n">
        <v>0</v>
      </c>
      <c r="M2226" s="14">
        <f>SUMIFS(Maßnahmen!$I$7:$I$126,Maßnahmen!$D$7:$D$126,C2226,Maßnahmen!$H$7:$H$126,"&lt;&gt;verworfen")</f>
        <v/>
      </c>
      <c r="N2226" s="14">
        <f>IF(ISNUMBER(K2226),MAX(0,K2226-L2226-M2226),"n.a.")</f>
        <v/>
      </c>
      <c r="O2226" s="14" t="n">
        <v>3.45</v>
      </c>
      <c r="P2226" s="14">
        <f>IF(ISNUMBER(K2226),K2226-O2226,"n.a.")</f>
        <v/>
      </c>
    </row>
    <row r="2227" ht="32" customHeight="1">
      <c r="C2227" s="10" t="inlineStr">
        <is>
          <t>PRJ-382f351e-RK-10</t>
        </is>
      </c>
      <c r="D2227" s="10" t="inlineStr">
        <is>
          <t>W4102607081</t>
        </is>
      </c>
      <c r="E2227" s="11" t="inlineStr">
        <is>
          <t>Terminvorgabe Auftraggeber / Geräteauslastung</t>
        </is>
      </c>
      <c r="F2227" s="10" t="inlineStr">
        <is>
          <t>Termin</t>
        </is>
      </c>
      <c r="G2227" s="12" t="n">
        <v>0.1</v>
      </c>
      <c r="H2227" s="13" t="n">
        <v>8</v>
      </c>
      <c r="I2227" s="13" t="n">
        <v>20</v>
      </c>
      <c r="J2227" s="13" t="n">
        <v>50</v>
      </c>
      <c r="K2227" s="14">
        <f>IF(OR(COUNT(G2227:J2227)&lt;&gt;4,G2227&lt;0,G2227&gt;1,H2227&gt;I2227,I2227&gt;J2227),"n.a.",ROUND(G2227*(H2227+4*I2227+J2227)/6+0.00000001,2))</f>
        <v/>
      </c>
      <c r="L2227" s="13" t="n">
        <v>0</v>
      </c>
      <c r="M2227" s="14">
        <f>SUMIFS(Maßnahmen!$I$7:$I$126,Maßnahmen!$D$7:$D$126,C2227,Maßnahmen!$H$7:$H$126,"&lt;&gt;verworfen")</f>
        <v/>
      </c>
      <c r="N2227" s="14">
        <f>IF(ISNUMBER(K2227),MAX(0,K2227-L2227-M2227),"n.a.")</f>
        <v/>
      </c>
      <c r="O2227" s="14" t="n">
        <v>2.3</v>
      </c>
      <c r="P2227" s="14">
        <f>IF(ISNUMBER(K2227),K2227-O2227,"n.a.")</f>
        <v/>
      </c>
    </row>
    <row r="2228" ht="32" customHeight="1">
      <c r="C2228" s="10" t="inlineStr">
        <is>
          <t>PRJ-382f351e-RK-12</t>
        </is>
      </c>
      <c r="D2228" s="10" t="inlineStr">
        <is>
          <t>W4102607081</t>
        </is>
      </c>
      <c r="E2228" s="11" t="inlineStr">
        <is>
          <t>Staubemissionen (höchster Aufwand laut Umfrage)</t>
        </is>
      </c>
      <c r="F2228" s="10" t="inlineStr">
        <is>
          <t>Emissionen</t>
        </is>
      </c>
      <c r="G2228" s="12" t="n">
        <v>0.1</v>
      </c>
      <c r="H2228" s="13" t="n">
        <v>30</v>
      </c>
      <c r="I2228" s="13" t="n">
        <v>60</v>
      </c>
      <c r="J2228" s="13" t="n">
        <v>120</v>
      </c>
      <c r="K2228" s="14">
        <f>IF(OR(COUNT(G2228:J2228)&lt;&gt;4,G2228&lt;0,G2228&gt;1,H2228&gt;I2228,I2228&gt;J2228),"n.a.",ROUND(G2228*(H2228+4*I2228+J2228)/6+0.00000001,2))</f>
        <v/>
      </c>
      <c r="L2228" s="13" t="n">
        <v>0</v>
      </c>
      <c r="M2228" s="14">
        <f>SUMIFS(Maßnahmen!$I$7:$I$126,Maßnahmen!$D$7:$D$126,C2228,Maßnahmen!$H$7:$H$126,"&lt;&gt;verworfen")</f>
        <v/>
      </c>
      <c r="N2228" s="14">
        <f>IF(ISNUMBER(K2228),MAX(0,K2228-L2228-M2228),"n.a.")</f>
        <v/>
      </c>
      <c r="O2228" s="14" t="n">
        <v>6.5</v>
      </c>
      <c r="P2228" s="14">
        <f>IF(ISNUMBER(K2228),K2228-O2228,"n.a.")</f>
        <v/>
      </c>
    </row>
    <row r="2229" ht="32" customHeight="1">
      <c r="C2229" s="10" t="inlineStr">
        <is>
          <t>PRJ-382f351e-RK-13</t>
        </is>
      </c>
      <c r="D2229" s="10" t="inlineStr">
        <is>
          <t>W4102607081</t>
        </is>
      </c>
      <c r="E2229" s="11" t="inlineStr">
        <is>
          <t>Lärm- und Erschütterungsauflagen</t>
        </is>
      </c>
      <c r="F2229" s="10" t="inlineStr">
        <is>
          <t>Emissionen</t>
        </is>
      </c>
      <c r="G2229" s="12" t="n">
        <v>0.2</v>
      </c>
      <c r="H2229" s="13" t="n">
        <v>20</v>
      </c>
      <c r="I2229" s="13" t="n">
        <v>50</v>
      </c>
      <c r="J2229" s="13" t="n">
        <v>100</v>
      </c>
      <c r="K2229" s="14">
        <f>IF(OR(COUNT(G2229:J2229)&lt;&gt;4,G2229&lt;0,G2229&gt;1,H2229&gt;I2229,I2229&gt;J2229),"n.a.",ROUND(G2229*(H2229+4*I2229+J2229)/6+0.00000001,2))</f>
        <v/>
      </c>
      <c r="L2229" s="13" t="n">
        <v>0</v>
      </c>
      <c r="M2229" s="14">
        <f>SUMIFS(Maßnahmen!$I$7:$I$126,Maßnahmen!$D$7:$D$126,C2229,Maßnahmen!$H$7:$H$126,"&lt;&gt;verworfen")</f>
        <v/>
      </c>
      <c r="N2229" s="14">
        <f>IF(ISNUMBER(K2229),MAX(0,K2229-L2229-M2229),"n.a.")</f>
        <v/>
      </c>
      <c r="O2229" s="14" t="n">
        <v>10.67</v>
      </c>
      <c r="P2229" s="14">
        <f>IF(ISNUMBER(K2229),K2229-O2229,"n.a.")</f>
        <v/>
      </c>
    </row>
    <row r="2230" ht="32" customHeight="1">
      <c r="C2230" s="10" t="inlineStr">
        <is>
          <t>PRJ-4a725ef8-RK-06</t>
        </is>
      </c>
      <c r="D2230" s="10" t="inlineStr">
        <is>
          <t>P4102602023</t>
        </is>
      </c>
      <c r="E2230" s="11" t="inlineStr">
        <is>
          <t>Statik / Einsturzsicherung während Abbruch</t>
        </is>
      </c>
      <c r="F2230" s="10" t="inlineStr">
        <is>
          <t>Statik</t>
        </is>
      </c>
      <c r="G2230" s="12" t="n">
        <v>0.12</v>
      </c>
      <c r="H2230" s="13" t="n">
        <v>159</v>
      </c>
      <c r="I2230" s="13" t="n">
        <v>371</v>
      </c>
      <c r="J2230" s="13" t="n">
        <v>741</v>
      </c>
      <c r="K2230" s="14">
        <f>IF(OR(COUNT(G2230:J2230)&lt;&gt;4,G2230&lt;0,G2230&gt;1,H2230&gt;I2230,I2230&gt;J2230),"n.a.",ROUND(G2230*(H2230+4*I2230+J2230)/6+0.00000001,2))</f>
        <v/>
      </c>
      <c r="L2230" s="13" t="n">
        <v>0</v>
      </c>
      <c r="M2230" s="14">
        <f>SUMIFS(Maßnahmen!$I$7:$I$126,Maßnahmen!$D$7:$D$126,C2230,Maßnahmen!$H$7:$H$126,"&lt;&gt;verworfen")</f>
        <v/>
      </c>
      <c r="N2230" s="14">
        <f>IF(ISNUMBER(K2230),MAX(0,K2230-L2230-M2230),"n.a.")</f>
        <v/>
      </c>
      <c r="O2230" s="14" t="n">
        <v>47.68</v>
      </c>
      <c r="P2230" s="14">
        <f>IF(ISNUMBER(K2230),K2230-O2230,"n.a.")</f>
        <v/>
      </c>
    </row>
    <row r="2231" ht="32" customHeight="1">
      <c r="C2231" s="10" t="inlineStr">
        <is>
          <t>PRJ-4a725ef8-RK-07</t>
        </is>
      </c>
      <c r="D2231" s="10" t="inlineStr">
        <is>
          <t>P4102602023</t>
        </is>
      </c>
      <c r="E2231" s="11" t="inlineStr">
        <is>
          <t>Unterirdische Tragkonstruktion / Fundamente</t>
        </is>
      </c>
      <c r="F2231" s="10" t="inlineStr">
        <is>
          <t>Statik</t>
        </is>
      </c>
      <c r="G2231" s="12" t="n">
        <v>0.4</v>
      </c>
      <c r="H2231" s="13" t="n">
        <v>26</v>
      </c>
      <c r="I2231" s="13" t="n">
        <v>106</v>
      </c>
      <c r="J2231" s="13" t="n">
        <v>265</v>
      </c>
      <c r="K2231" s="14">
        <f>IF(OR(COUNT(G2231:J2231)&lt;&gt;4,G2231&lt;0,G2231&gt;1,H2231&gt;I2231,I2231&gt;J2231),"n.a.",ROUND(G2231*(H2231+4*I2231+J2231)/6+0.00000001,2))</f>
        <v/>
      </c>
      <c r="L2231" s="13" t="n">
        <v>0</v>
      </c>
      <c r="M2231" s="14">
        <f>SUMIFS(Maßnahmen!$I$7:$I$126,Maßnahmen!$D$7:$D$126,C2231,Maßnahmen!$H$7:$H$126,"&lt;&gt;verworfen")</f>
        <v/>
      </c>
      <c r="N2231" s="14">
        <f>IF(ISNUMBER(K2231),MAX(0,K2231-L2231-M2231),"n.a.")</f>
        <v/>
      </c>
      <c r="O2231" s="14" t="n">
        <v>47.67</v>
      </c>
      <c r="P2231" s="14">
        <f>IF(ISNUMBER(K2231),K2231-O2231,"n.a.")</f>
        <v/>
      </c>
    </row>
    <row r="2232" ht="32" customHeight="1">
      <c r="C2232" s="10" t="inlineStr">
        <is>
          <t>PRJ-4a725ef8-RK-08</t>
        </is>
      </c>
      <c r="D2232" s="10" t="inlineStr">
        <is>
          <t>P4102602023</t>
        </is>
      </c>
      <c r="E2232" s="11" t="inlineStr">
        <is>
          <t>Gebäudehöhe &gt;22 m / Longfront-Bagger (+130–150 %)</t>
        </is>
      </c>
      <c r="F2232" s="10" t="inlineStr">
        <is>
          <t>Termin</t>
        </is>
      </c>
      <c r="G2232" s="12" t="n">
        <v>0.6</v>
      </c>
      <c r="H2232" s="13" t="n">
        <v>476</v>
      </c>
      <c r="I2232" s="13" t="n">
        <v>953</v>
      </c>
      <c r="J2232" s="13" t="n">
        <v>1800</v>
      </c>
      <c r="K2232" s="14">
        <f>IF(OR(COUNT(G2232:J2232)&lt;&gt;4,G2232&lt;0,G2232&gt;1,H2232&gt;I2232,I2232&gt;J2232),"n.a.",ROUND(G2232*(H2232+4*I2232+J2232)/6+0.00000001,2))</f>
        <v/>
      </c>
      <c r="L2232" s="13" t="n">
        <v>0</v>
      </c>
      <c r="M2232" s="14">
        <f>SUMIFS(Maßnahmen!$I$7:$I$126,Maßnahmen!$D$7:$D$126,C2232,Maßnahmen!$H$7:$H$126,"&lt;&gt;verworfen")</f>
        <v/>
      </c>
      <c r="N2232" s="14">
        <f>IF(ISNUMBER(K2232),MAX(0,K2232-L2232-M2232),"n.a.")</f>
        <v/>
      </c>
      <c r="O2232" s="14" t="n">
        <v>608.8</v>
      </c>
      <c r="P2232" s="14">
        <f>IF(ISNUMBER(K2232),K2232-O2232,"n.a.")</f>
        <v/>
      </c>
    </row>
    <row r="2233" ht="32" customHeight="1">
      <c r="C2233" s="10" t="inlineStr">
        <is>
          <t>PRJ-4a725ef8-RK-09</t>
        </is>
      </c>
      <c r="D2233" s="10" t="inlineStr">
        <is>
          <t>P4102602023</t>
        </is>
      </c>
      <c r="E2233" s="11" t="inlineStr">
        <is>
          <t>Beennte Lage / nur Handabbruch möglich</t>
        </is>
      </c>
      <c r="F2233" s="10" t="inlineStr">
        <is>
          <t>Termin</t>
        </is>
      </c>
      <c r="G2233" s="12" t="n">
        <v>0.15</v>
      </c>
      <c r="H2233" s="13" t="n">
        <v>42</v>
      </c>
      <c r="I2233" s="13" t="n">
        <v>106</v>
      </c>
      <c r="J2233" s="13" t="n">
        <v>265</v>
      </c>
      <c r="K2233" s="14">
        <f>IF(OR(COUNT(G2233:J2233)&lt;&gt;4,G2233&lt;0,G2233&gt;1,H2233&gt;I2233,I2233&gt;J2233),"n.a.",ROUND(G2233*(H2233+4*I2233+J2233)/6+0.00000001,2))</f>
        <v/>
      </c>
      <c r="L2233" s="13" t="n">
        <v>0</v>
      </c>
      <c r="M2233" s="14">
        <f>SUMIFS(Maßnahmen!$I$7:$I$126,Maßnahmen!$D$7:$D$126,C2233,Maßnahmen!$H$7:$H$126,"&lt;&gt;verworfen")</f>
        <v/>
      </c>
      <c r="N2233" s="14">
        <f>IF(ISNUMBER(K2233),MAX(0,K2233-L2233-M2233),"n.a.")</f>
        <v/>
      </c>
      <c r="O2233" s="14" t="n">
        <v>18.28</v>
      </c>
      <c r="P2233" s="14">
        <f>IF(ISNUMBER(K2233),K2233-O2233,"n.a.")</f>
        <v/>
      </c>
    </row>
    <row r="2234" ht="32" customHeight="1">
      <c r="C2234" s="10" t="inlineStr">
        <is>
          <t>PRJ-4a725ef8-RK-10</t>
        </is>
      </c>
      <c r="D2234" s="10" t="inlineStr">
        <is>
          <t>P4102602023</t>
        </is>
      </c>
      <c r="E2234" s="11" t="inlineStr">
        <is>
          <t>Terminvorgabe Auftraggeber / Geräteauslastung</t>
        </is>
      </c>
      <c r="F2234" s="10" t="inlineStr">
        <is>
          <t>Termin</t>
        </is>
      </c>
      <c r="G2234" s="12" t="n">
        <v>0.08</v>
      </c>
      <c r="H2234" s="13" t="n">
        <v>26</v>
      </c>
      <c r="I2234" s="13" t="n">
        <v>53</v>
      </c>
      <c r="J2234" s="13" t="n">
        <v>106</v>
      </c>
      <c r="K2234" s="14">
        <f>IF(OR(COUNT(G2234:J2234)&lt;&gt;4,G2234&lt;0,G2234&gt;1,H2234&gt;I2234,I2234&gt;J2234),"n.a.",ROUND(G2234*(H2234+4*I2234+J2234)/6+0.00000001,2))</f>
        <v/>
      </c>
      <c r="L2234" s="13" t="n">
        <v>0</v>
      </c>
      <c r="M2234" s="14">
        <f>SUMIFS(Maßnahmen!$I$7:$I$126,Maßnahmen!$D$7:$D$126,C2234,Maßnahmen!$H$7:$H$126,"&lt;&gt;verworfen")</f>
        <v/>
      </c>
      <c r="N2234" s="14">
        <f>IF(ISNUMBER(K2234),MAX(0,K2234-L2234-M2234),"n.a.")</f>
        <v/>
      </c>
      <c r="O2234" s="14" t="n">
        <v>4.59</v>
      </c>
      <c r="P2234" s="14">
        <f>IF(ISNUMBER(K2234),K2234-O2234,"n.a.")</f>
        <v/>
      </c>
    </row>
    <row r="2235" ht="32" customHeight="1">
      <c r="C2235" s="10" t="inlineStr">
        <is>
          <t>PRJ-4a725ef8-RK-12</t>
        </is>
      </c>
      <c r="D2235" s="10" t="inlineStr">
        <is>
          <t>P4102602023</t>
        </is>
      </c>
      <c r="E2235" s="11" t="inlineStr">
        <is>
          <t>Staubemissionen (höchster Aufwand laut Umfrage)</t>
        </is>
      </c>
      <c r="F2235" s="10" t="inlineStr">
        <is>
          <t>Emissionen</t>
        </is>
      </c>
      <c r="G2235" s="12" t="n">
        <v>0.1</v>
      </c>
      <c r="H2235" s="13" t="n">
        <v>159</v>
      </c>
      <c r="I2235" s="13" t="n">
        <v>318</v>
      </c>
      <c r="J2235" s="13" t="n">
        <v>635</v>
      </c>
      <c r="K2235" s="14">
        <f>IF(OR(COUNT(G2235:J2235)&lt;&gt;4,G2235&lt;0,G2235&gt;1,H2235&gt;I2235,I2235&gt;J2235),"n.a.",ROUND(G2235*(H2235+4*I2235+J2235)/6+0.00000001,2))</f>
        <v/>
      </c>
      <c r="L2235" s="13" t="n">
        <v>0</v>
      </c>
      <c r="M2235" s="14">
        <f>SUMIFS(Maßnahmen!$I$7:$I$126,Maßnahmen!$D$7:$D$126,C2235,Maßnahmen!$H$7:$H$126,"&lt;&gt;verworfen")</f>
        <v/>
      </c>
      <c r="N2235" s="14">
        <f>IF(ISNUMBER(K2235),MAX(0,K2235-L2235-M2235),"n.a.")</f>
        <v/>
      </c>
      <c r="O2235" s="14" t="n">
        <v>34.43</v>
      </c>
      <c r="P2235" s="14">
        <f>IF(ISNUMBER(K2235),K2235-O2235,"n.a.")</f>
        <v/>
      </c>
    </row>
    <row r="2236" ht="32" customHeight="1">
      <c r="C2236" s="10" t="inlineStr">
        <is>
          <t>PRJ-4a725ef8-RK-13</t>
        </is>
      </c>
      <c r="D2236" s="10" t="inlineStr">
        <is>
          <t>P4102602023</t>
        </is>
      </c>
      <c r="E2236" s="11" t="inlineStr">
        <is>
          <t>Lärm- und Erschütterungsauflagen</t>
        </is>
      </c>
      <c r="F2236" s="10" t="inlineStr">
        <is>
          <t>Emissionen</t>
        </is>
      </c>
      <c r="G2236" s="12" t="n">
        <v>0.2</v>
      </c>
      <c r="H2236" s="13" t="n">
        <v>106</v>
      </c>
      <c r="I2236" s="13" t="n">
        <v>265</v>
      </c>
      <c r="J2236" s="13" t="n">
        <v>529</v>
      </c>
      <c r="K2236" s="14">
        <f>IF(OR(COUNT(G2236:J2236)&lt;&gt;4,G2236&lt;0,G2236&gt;1,H2236&gt;I2236,I2236&gt;J2236),"n.a.",ROUND(G2236*(H2236+4*I2236+J2236)/6+0.00000001,2))</f>
        <v/>
      </c>
      <c r="L2236" s="13" t="n">
        <v>0</v>
      </c>
      <c r="M2236" s="14">
        <f>SUMIFS(Maßnahmen!$I$7:$I$126,Maßnahmen!$D$7:$D$126,C2236,Maßnahmen!$H$7:$H$126,"&lt;&gt;verworfen")</f>
        <v/>
      </c>
      <c r="N2236" s="14">
        <f>IF(ISNUMBER(K2236),MAX(0,K2236-L2236-M2236),"n.a.")</f>
        <v/>
      </c>
      <c r="O2236" s="14" t="n">
        <v>56.5</v>
      </c>
      <c r="P2236" s="14">
        <f>IF(ISNUMBER(K2236),K2236-O2236,"n.a.")</f>
        <v/>
      </c>
    </row>
    <row r="2237" ht="32" customHeight="1">
      <c r="C2237" s="10" t="inlineStr">
        <is>
          <t>PRJ-4a725ef8-RK-14</t>
        </is>
      </c>
      <c r="D2237" s="10" t="inlineStr">
        <is>
          <t>P4102602023</t>
        </is>
      </c>
      <c r="E2237" s="11" t="inlineStr">
        <is>
          <t>Rechtliche Auflagen / Entsorgungsnachweise (Formalismus)</t>
        </is>
      </c>
      <c r="F2237" s="10" t="inlineStr">
        <is>
          <t>Genehmigung</t>
        </is>
      </c>
      <c r="G2237" s="12" t="n">
        <v>0.4</v>
      </c>
      <c r="H2237" s="13" t="n">
        <v>503</v>
      </c>
      <c r="I2237" s="13" t="n">
        <v>979</v>
      </c>
      <c r="J2237" s="13" t="n">
        <v>1853</v>
      </c>
      <c r="K2237" s="14">
        <f>IF(OR(COUNT(G2237:J2237)&lt;&gt;4,G2237&lt;0,G2237&gt;1,H2237&gt;I2237,I2237&gt;J2237),"n.a.",ROUND(G2237*(H2237+4*I2237+J2237)/6+0.00000001,2))</f>
        <v/>
      </c>
      <c r="L2237" s="13" t="n">
        <v>0</v>
      </c>
      <c r="M2237" s="14">
        <f>SUMIFS(Maßnahmen!$I$7:$I$126,Maßnahmen!$D$7:$D$126,C2237,Maßnahmen!$H$7:$H$126,"&lt;&gt;verworfen")</f>
        <v/>
      </c>
      <c r="N2237" s="14">
        <f>IF(ISNUMBER(K2237),MAX(0,K2237-L2237-M2237),"n.a.")</f>
        <v/>
      </c>
      <c r="O2237" s="14" t="n">
        <v>418.13</v>
      </c>
      <c r="P2237" s="14">
        <f>IF(ISNUMBER(K2237),K2237-O2237,"n.a.")</f>
        <v/>
      </c>
    </row>
    <row r="2238" ht="32" customHeight="1">
      <c r="C2238" s="10" t="inlineStr">
        <is>
          <t>PRJ-4a725ef8-RK-15</t>
        </is>
      </c>
      <c r="D2238" s="10" t="inlineStr">
        <is>
          <t>P4102602023</t>
        </is>
      </c>
      <c r="E2238" s="11" t="inlineStr">
        <is>
          <t>Konjunktur / Sekundärstoffpreise &amp; Gerätemiete</t>
        </is>
      </c>
      <c r="F2238" s="10" t="inlineStr">
        <is>
          <t>Markt</t>
        </is>
      </c>
      <c r="G2238" s="12" t="n">
        <v>0.12</v>
      </c>
      <c r="H2238" s="13" t="n">
        <v>42</v>
      </c>
      <c r="I2238" s="13" t="n">
        <v>106</v>
      </c>
      <c r="J2238" s="13" t="n">
        <v>265</v>
      </c>
      <c r="K2238" s="14">
        <f>IF(OR(COUNT(G2238:J2238)&lt;&gt;4,G2238&lt;0,G2238&gt;1,H2238&gt;I2238,I2238&gt;J2238),"n.a.",ROUND(G2238*(H2238+4*I2238+J2238)/6+0.00000001,2))</f>
        <v/>
      </c>
      <c r="L2238" s="13" t="n">
        <v>0</v>
      </c>
      <c r="M2238" s="14">
        <f>SUMIFS(Maßnahmen!$I$7:$I$126,Maßnahmen!$D$7:$D$126,C2238,Maßnahmen!$H$7:$H$126,"&lt;&gt;verworfen")</f>
        <v/>
      </c>
      <c r="N2238" s="14">
        <f>IF(ISNUMBER(K2238),MAX(0,K2238-L2238-M2238),"n.a.")</f>
        <v/>
      </c>
      <c r="O2238" s="14" t="n">
        <v>14.62</v>
      </c>
      <c r="P2238" s="14">
        <f>IF(ISNUMBER(K2238),K2238-O2238,"n.a.")</f>
        <v/>
      </c>
    </row>
    <row r="2239" ht="32" customHeight="1">
      <c r="C2239" s="10" t="inlineStr">
        <is>
          <t>PRJ-37e9fb64-RK-01</t>
        </is>
      </c>
      <c r="D2239" s="10" t="inlineStr">
        <is>
          <t>W4102654946</t>
        </is>
      </c>
      <c r="E2239" s="11" t="inlineStr">
        <is>
          <t>Schadstofffund / Schadstoffsanierung (Asbest, PAK, PCB, PCP)</t>
        </is>
      </c>
      <c r="F2239" s="10" t="inlineStr">
        <is>
          <t>Schadstoffe</t>
        </is>
      </c>
      <c r="G2239" s="12" t="n">
        <v>0.1</v>
      </c>
      <c r="H2239" s="13" t="n">
        <v>116</v>
      </c>
      <c r="I2239" s="13" t="n">
        <v>290</v>
      </c>
      <c r="J2239" s="13" t="n">
        <v>580</v>
      </c>
      <c r="K2239" s="14">
        <f>IF(OR(COUNT(G2239:J2239)&lt;&gt;4,G2239&lt;0,G2239&gt;1,H2239&gt;I2239,I2239&gt;J2239),"n.a.",ROUND(G2239*(H2239+4*I2239+J2239)/6+0.00000001,2))</f>
        <v/>
      </c>
      <c r="L2239" s="13" t="n">
        <v>0</v>
      </c>
      <c r="M2239" s="14">
        <f>SUMIFS(Maßnahmen!$I$7:$I$126,Maßnahmen!$D$7:$D$126,C2239,Maßnahmen!$H$7:$H$126,"&lt;&gt;verworfen")</f>
        <v/>
      </c>
      <c r="N2239" s="14">
        <f>IF(ISNUMBER(K2239),MAX(0,K2239-L2239-M2239),"n.a.")</f>
        <v/>
      </c>
      <c r="O2239" s="14" t="n">
        <v>30.93</v>
      </c>
      <c r="P2239" s="14">
        <f>IF(ISNUMBER(K2239),K2239-O2239,"n.a.")</f>
        <v/>
      </c>
    </row>
    <row r="2240" ht="32" customHeight="1">
      <c r="C2240" s="10" t="inlineStr">
        <is>
          <t>PRJ-37e9fb64-RK-02</t>
        </is>
      </c>
      <c r="D2240" s="10" t="inlineStr">
        <is>
          <t>W4102654946</t>
        </is>
      </c>
      <c r="E2240" s="11" t="inlineStr">
        <is>
          <t>Arbeitsschutz kontaminierte Bereiche (TRGS 524)</t>
        </is>
      </c>
      <c r="F2240" s="10" t="inlineStr">
        <is>
          <t>Schadstoffe</t>
        </is>
      </c>
      <c r="G2240" s="12" t="n">
        <v>0.47</v>
      </c>
      <c r="H2240" s="13" t="n">
        <v>116</v>
      </c>
      <c r="I2240" s="13" t="n">
        <v>290</v>
      </c>
      <c r="J2240" s="13" t="n">
        <v>580</v>
      </c>
      <c r="K2240" s="14">
        <f>IF(OR(COUNT(G2240:J2240)&lt;&gt;4,G2240&lt;0,G2240&gt;1,H2240&gt;I2240,I2240&gt;J2240),"n.a.",ROUND(G2240*(H2240+4*I2240+J2240)/6+0.00000001,2))</f>
        <v/>
      </c>
      <c r="L2240" s="13" t="n">
        <v>0</v>
      </c>
      <c r="M2240" s="14">
        <f>SUMIFS(Maßnahmen!$I$7:$I$126,Maßnahmen!$D$7:$D$126,C2240,Maßnahmen!$H$7:$H$126,"&lt;&gt;verworfen")</f>
        <v/>
      </c>
      <c r="N2240" s="14">
        <f>IF(ISNUMBER(K2240),MAX(0,K2240-L2240-M2240),"n.a.")</f>
        <v/>
      </c>
      <c r="O2240" s="14" t="n">
        <v>145.39</v>
      </c>
      <c r="P2240" s="14">
        <f>IF(ISNUMBER(K2240),K2240-O2240,"n.a.")</f>
        <v/>
      </c>
    </row>
    <row r="2241" ht="32" customHeight="1">
      <c r="C2241" s="10" t="inlineStr">
        <is>
          <t>PRJ-37e9fb64-RK-05</t>
        </is>
      </c>
      <c r="D2241" s="10" t="inlineStr">
        <is>
          <t>W4102654946</t>
        </is>
      </c>
      <c r="E2241" s="11" t="inlineStr">
        <is>
          <t>Unbekannte Bauwerkskonstruktion / fehlende Pläne</t>
        </is>
      </c>
      <c r="F2241" s="10" t="inlineStr">
        <is>
          <t>Statik</t>
        </is>
      </c>
      <c r="G2241" s="12" t="n">
        <v>0.12</v>
      </c>
      <c r="H2241" s="13" t="n">
        <v>232</v>
      </c>
      <c r="I2241" s="13" t="n">
        <v>464</v>
      </c>
      <c r="J2241" s="13" t="n">
        <v>869</v>
      </c>
      <c r="K2241" s="14">
        <f>IF(OR(COUNT(G2241:J2241)&lt;&gt;4,G2241&lt;0,G2241&gt;1,H2241&gt;I2241,I2241&gt;J2241),"n.a.",ROUND(G2241*(H2241+4*I2241+J2241)/6+0.00000001,2))</f>
        <v/>
      </c>
      <c r="L2241" s="13" t="n">
        <v>0</v>
      </c>
      <c r="M2241" s="14">
        <f>SUMIFS(Maßnahmen!$I$7:$I$126,Maßnahmen!$D$7:$D$126,C2241,Maßnahmen!$H$7:$H$126,"&lt;&gt;verworfen")</f>
        <v/>
      </c>
      <c r="N2241" s="14">
        <f>IF(ISNUMBER(K2241),MAX(0,K2241-L2241-M2241),"n.a.")</f>
        <v/>
      </c>
      <c r="O2241" s="14" t="n">
        <v>59.14</v>
      </c>
      <c r="P2241" s="14">
        <f>IF(ISNUMBER(K2241),K2241-O2241,"n.a.")</f>
        <v/>
      </c>
    </row>
    <row r="2242" ht="32" customHeight="1">
      <c r="C2242" s="10" t="inlineStr">
        <is>
          <t>PRJ-37e9fb64-RK-06</t>
        </is>
      </c>
      <c r="D2242" s="10" t="inlineStr">
        <is>
          <t>W4102654946</t>
        </is>
      </c>
      <c r="E2242" s="11" t="inlineStr">
        <is>
          <t>Statik / Einsturzsicherung während Abbruch</t>
        </is>
      </c>
      <c r="F2242" s="10" t="inlineStr">
        <is>
          <t>Statik</t>
        </is>
      </c>
      <c r="G2242" s="12" t="n">
        <v>0.12</v>
      </c>
      <c r="H2242" s="13" t="n">
        <v>174</v>
      </c>
      <c r="I2242" s="13" t="n">
        <v>406</v>
      </c>
      <c r="J2242" s="13" t="n">
        <v>811</v>
      </c>
      <c r="K2242" s="14">
        <f>IF(OR(COUNT(G2242:J2242)&lt;&gt;4,G2242&lt;0,G2242&gt;1,H2242&gt;I2242,I2242&gt;J2242),"n.a.",ROUND(G2242*(H2242+4*I2242+J2242)/6+0.00000001,2))</f>
        <v/>
      </c>
      <c r="L2242" s="13" t="n">
        <v>0</v>
      </c>
      <c r="M2242" s="14">
        <f>SUMIFS(Maßnahmen!$I$7:$I$126,Maßnahmen!$D$7:$D$126,C2242,Maßnahmen!$H$7:$H$126,"&lt;&gt;verworfen")</f>
        <v/>
      </c>
      <c r="N2242" s="14">
        <f>IF(ISNUMBER(K2242),MAX(0,K2242-L2242-M2242),"n.a.")</f>
        <v/>
      </c>
      <c r="O2242" s="14" t="n">
        <v>52.18</v>
      </c>
      <c r="P2242" s="14">
        <f>IF(ISNUMBER(K2242),K2242-O2242,"n.a.")</f>
        <v/>
      </c>
    </row>
    <row r="2243" ht="32" customHeight="1">
      <c r="C2243" s="10" t="inlineStr">
        <is>
          <t>PRJ-37e9fb64-RK-07</t>
        </is>
      </c>
      <c r="D2243" s="10" t="inlineStr">
        <is>
          <t>W4102654946</t>
        </is>
      </c>
      <c r="E2243" s="11" t="inlineStr">
        <is>
          <t>Unterirdische Tragkonstruktion / Fundamente</t>
        </is>
      </c>
      <c r="F2243" s="10" t="inlineStr">
        <is>
          <t>Statik</t>
        </is>
      </c>
      <c r="G2243" s="12" t="n">
        <v>0.5</v>
      </c>
      <c r="H2243" s="13" t="n">
        <v>29</v>
      </c>
      <c r="I2243" s="13" t="n">
        <v>116</v>
      </c>
      <c r="J2243" s="13" t="n">
        <v>290</v>
      </c>
      <c r="K2243" s="14">
        <f>IF(OR(COUNT(G2243:J2243)&lt;&gt;4,G2243&lt;0,G2243&gt;1,H2243&gt;I2243,I2243&gt;J2243),"n.a.",ROUND(G2243*(H2243+4*I2243+J2243)/6+0.00000001,2))</f>
        <v/>
      </c>
      <c r="L2243" s="13" t="n">
        <v>0</v>
      </c>
      <c r="M2243" s="14">
        <f>SUMIFS(Maßnahmen!$I$7:$I$126,Maßnahmen!$D$7:$D$126,C2243,Maßnahmen!$H$7:$H$126,"&lt;&gt;verworfen")</f>
        <v/>
      </c>
      <c r="N2243" s="14">
        <f>IF(ISNUMBER(K2243),MAX(0,K2243-L2243-M2243),"n.a.")</f>
        <v/>
      </c>
      <c r="O2243" s="14" t="n">
        <v>65.25</v>
      </c>
      <c r="P2243" s="14">
        <f>IF(ISNUMBER(K2243),K2243-O2243,"n.a.")</f>
        <v/>
      </c>
    </row>
    <row r="2244" ht="32" customHeight="1">
      <c r="C2244" s="10" t="inlineStr">
        <is>
          <t>PRJ-37e9fb64-RK-08</t>
        </is>
      </c>
      <c r="D2244" s="10" t="inlineStr">
        <is>
          <t>W4102654946</t>
        </is>
      </c>
      <c r="E2244" s="11" t="inlineStr">
        <is>
          <t>Gebäudehöhe &gt;22 m / Longfront-Bagger (+130–150 %)</t>
        </is>
      </c>
      <c r="F2244" s="10" t="inlineStr">
        <is>
          <t>Termin</t>
        </is>
      </c>
      <c r="G2244" s="12" t="n">
        <v>0.6</v>
      </c>
      <c r="H2244" s="13" t="n">
        <v>522</v>
      </c>
      <c r="I2244" s="13" t="n">
        <v>1043</v>
      </c>
      <c r="J2244" s="13" t="n">
        <v>1970</v>
      </c>
      <c r="K2244" s="14">
        <f>IF(OR(COUNT(G2244:J2244)&lt;&gt;4,G2244&lt;0,G2244&gt;1,H2244&gt;I2244,I2244&gt;J2244),"n.a.",ROUND(G2244*(H2244+4*I2244+J2244)/6+0.00000001,2))</f>
        <v/>
      </c>
      <c r="L2244" s="13" t="n">
        <v>0</v>
      </c>
      <c r="M2244" s="14">
        <f>SUMIFS(Maßnahmen!$I$7:$I$126,Maßnahmen!$D$7:$D$126,C2244,Maßnahmen!$H$7:$H$126,"&lt;&gt;verworfen")</f>
        <v/>
      </c>
      <c r="N2244" s="14">
        <f>IF(ISNUMBER(K2244),MAX(0,K2244-L2244-M2244),"n.a.")</f>
        <v/>
      </c>
      <c r="O2244" s="14" t="n">
        <v>666.4</v>
      </c>
      <c r="P2244" s="14">
        <f>IF(ISNUMBER(K2244),K2244-O2244,"n.a.")</f>
        <v/>
      </c>
    </row>
    <row r="2245" ht="32" customHeight="1">
      <c r="C2245" s="10" t="inlineStr">
        <is>
          <t>PRJ-37e9fb64-RK-09</t>
        </is>
      </c>
      <c r="D2245" s="10" t="inlineStr">
        <is>
          <t>W4102654946</t>
        </is>
      </c>
      <c r="E2245" s="11" t="inlineStr">
        <is>
          <t>Beennte Lage / nur Handabbruch möglich</t>
        </is>
      </c>
      <c r="F2245" s="10" t="inlineStr">
        <is>
          <t>Termin</t>
        </is>
      </c>
      <c r="G2245" s="12" t="n">
        <v>0.15</v>
      </c>
      <c r="H2245" s="13" t="n">
        <v>46</v>
      </c>
      <c r="I2245" s="13" t="n">
        <v>116</v>
      </c>
      <c r="J2245" s="13" t="n">
        <v>290</v>
      </c>
      <c r="K2245" s="14">
        <f>IF(OR(COUNT(G2245:J2245)&lt;&gt;4,G2245&lt;0,G2245&gt;1,H2245&gt;I2245,I2245&gt;J2245),"n.a.",ROUND(G2245*(H2245+4*I2245+J2245)/6+0.00000001,2))</f>
        <v/>
      </c>
      <c r="L2245" s="13" t="n">
        <v>0</v>
      </c>
      <c r="M2245" s="14">
        <f>SUMIFS(Maßnahmen!$I$7:$I$126,Maßnahmen!$D$7:$D$126,C2245,Maßnahmen!$H$7:$H$126,"&lt;&gt;verworfen")</f>
        <v/>
      </c>
      <c r="N2245" s="14">
        <f>IF(ISNUMBER(K2245),MAX(0,K2245-L2245-M2245),"n.a.")</f>
        <v/>
      </c>
      <c r="O2245" s="14" t="n">
        <v>20</v>
      </c>
      <c r="P2245" s="14">
        <f>IF(ISNUMBER(K2245),K2245-O2245,"n.a.")</f>
        <v/>
      </c>
    </row>
    <row r="2246" ht="32" customHeight="1">
      <c r="C2246" s="10" t="inlineStr">
        <is>
          <t>PRJ-3d4db3f1-RK-02</t>
        </is>
      </c>
      <c r="D2246" s="10" t="inlineStr">
        <is>
          <t>W4102307366</t>
        </is>
      </c>
      <c r="E2246" s="11" t="inlineStr">
        <is>
          <t>Arbeitsschutz kontaminierte Bereiche (TRGS 524)</t>
        </is>
      </c>
      <c r="F2246" s="10" t="inlineStr">
        <is>
          <t>Schadstoffe</t>
        </is>
      </c>
      <c r="G2246" s="12" t="n">
        <v>0.47</v>
      </c>
      <c r="H2246" s="13" t="n">
        <v>20</v>
      </c>
      <c r="I2246" s="13" t="n">
        <v>50</v>
      </c>
      <c r="J2246" s="13" t="n">
        <v>100</v>
      </c>
      <c r="K2246" s="14">
        <f>IF(OR(COUNT(G2246:J2246)&lt;&gt;4,G2246&lt;0,G2246&gt;1,H2246&gt;I2246,I2246&gt;J2246),"n.a.",ROUND(G2246*(H2246+4*I2246+J2246)/6+0.00000001,2))</f>
        <v/>
      </c>
      <c r="L2246" s="13" t="n">
        <v>0</v>
      </c>
      <c r="M2246" s="14">
        <f>SUMIFS(Maßnahmen!$I$7:$I$126,Maßnahmen!$D$7:$D$126,C2246,Maßnahmen!$H$7:$H$126,"&lt;&gt;verworfen")</f>
        <v/>
      </c>
      <c r="N2246" s="14">
        <f>IF(ISNUMBER(K2246),MAX(0,K2246-L2246-M2246),"n.a.")</f>
        <v/>
      </c>
      <c r="O2246" s="14" t="n">
        <v>25.07</v>
      </c>
      <c r="P2246" s="14">
        <f>IF(ISNUMBER(K2246),K2246-O2246,"n.a.")</f>
        <v/>
      </c>
    </row>
    <row r="2247" ht="32" customHeight="1">
      <c r="C2247" s="10" t="inlineStr">
        <is>
          <t>PRJ-3d4db3f1-RK-03</t>
        </is>
      </c>
      <c r="D2247" s="10" t="inlineStr">
        <is>
          <t>W4102307366</t>
        </is>
      </c>
      <c r="E2247" s="11" t="inlineStr">
        <is>
          <t>Entsorgungs-Mehrkosten / Entsorgungswege</t>
        </is>
      </c>
      <c r="F2247" s="10" t="inlineStr">
        <is>
          <t>Entsorgung</t>
        </is>
      </c>
      <c r="G2247" s="12" t="n">
        <v>0.15</v>
      </c>
      <c r="H2247" s="13" t="n">
        <v>20</v>
      </c>
      <c r="I2247" s="13" t="n">
        <v>50</v>
      </c>
      <c r="J2247" s="13" t="n">
        <v>100</v>
      </c>
      <c r="K2247" s="14">
        <f>IF(OR(COUNT(G2247:J2247)&lt;&gt;4,G2247&lt;0,G2247&gt;1,H2247&gt;I2247,I2247&gt;J2247),"n.a.",ROUND(G2247*(H2247+4*I2247+J2247)/6+0.00000001,2))</f>
        <v/>
      </c>
      <c r="L2247" s="13" t="n">
        <v>0</v>
      </c>
      <c r="M2247" s="14">
        <f>SUMIFS(Maßnahmen!$I$7:$I$126,Maßnahmen!$D$7:$D$126,C2247,Maßnahmen!$H$7:$H$126,"&lt;&gt;verworfen")</f>
        <v/>
      </c>
      <c r="N2247" s="14">
        <f>IF(ISNUMBER(K2247),MAX(0,K2247-L2247-M2247),"n.a.")</f>
        <v/>
      </c>
      <c r="O2247" s="14" t="n">
        <v>8</v>
      </c>
      <c r="P2247" s="14">
        <f>IF(ISNUMBER(K2247),K2247-O2247,"n.a.")</f>
        <v/>
      </c>
    </row>
    <row r="2248" ht="32" customHeight="1">
      <c r="C2248" s="10" t="inlineStr">
        <is>
          <t>PRJ-3d4db3f1-RK-04</t>
        </is>
      </c>
      <c r="D2248" s="10" t="inlineStr">
        <is>
          <t>W4102307366</t>
        </is>
      </c>
      <c r="E2248" s="11" t="inlineStr">
        <is>
          <t>Baustofftrennung / Aufbereitung nicht wie geplant</t>
        </is>
      </c>
      <c r="F2248" s="10" t="inlineStr">
        <is>
          <t>Entsorgung</t>
        </is>
      </c>
      <c r="G2248" s="12" t="n">
        <v>0.1</v>
      </c>
      <c r="H2248" s="13" t="n">
        <v>20</v>
      </c>
      <c r="I2248" s="13" t="n">
        <v>50</v>
      </c>
      <c r="J2248" s="13" t="n">
        <v>100</v>
      </c>
      <c r="K2248" s="14">
        <f>IF(OR(COUNT(G2248:J2248)&lt;&gt;4,G2248&lt;0,G2248&gt;1,H2248&gt;I2248,I2248&gt;J2248),"n.a.",ROUND(G2248*(H2248+4*I2248+J2248)/6+0.00000001,2))</f>
        <v/>
      </c>
      <c r="L2248" s="13" t="n">
        <v>0</v>
      </c>
      <c r="M2248" s="14">
        <f>SUMIFS(Maßnahmen!$I$7:$I$126,Maßnahmen!$D$7:$D$126,C2248,Maßnahmen!$H$7:$H$126,"&lt;&gt;verworfen")</f>
        <v/>
      </c>
      <c r="N2248" s="14">
        <f>IF(ISNUMBER(K2248),MAX(0,K2248-L2248-M2248),"n.a.")</f>
        <v/>
      </c>
      <c r="O2248" s="14" t="n">
        <v>5.33</v>
      </c>
      <c r="P2248" s="14">
        <f>IF(ISNUMBER(K2248),K2248-O2248,"n.a.")</f>
        <v/>
      </c>
    </row>
    <row r="2249" ht="32" customHeight="1">
      <c r="C2249" s="10" t="inlineStr">
        <is>
          <t>PRJ-3d4db3f1-RK-05</t>
        </is>
      </c>
      <c r="D2249" s="10" t="inlineStr">
        <is>
          <t>W4102307366</t>
        </is>
      </c>
      <c r="E2249" s="11" t="inlineStr">
        <is>
          <t>Unbekannte Bauwerkskonstruktion / fehlende Pläne</t>
        </is>
      </c>
      <c r="F2249" s="10" t="inlineStr">
        <is>
          <t>Statik</t>
        </is>
      </c>
      <c r="G2249" s="12" t="n">
        <v>0.12</v>
      </c>
      <c r="H2249" s="13" t="n">
        <v>40</v>
      </c>
      <c r="I2249" s="13" t="n">
        <v>80</v>
      </c>
      <c r="J2249" s="13" t="n">
        <v>150</v>
      </c>
      <c r="K2249" s="14">
        <f>IF(OR(COUNT(G2249:J2249)&lt;&gt;4,G2249&lt;0,G2249&gt;1,H2249&gt;I2249,I2249&gt;J2249),"n.a.",ROUND(G2249*(H2249+4*I2249+J2249)/6+0.00000001,2))</f>
        <v/>
      </c>
      <c r="L2249" s="13" t="n">
        <v>0</v>
      </c>
      <c r="M2249" s="14">
        <f>SUMIFS(Maßnahmen!$I$7:$I$126,Maßnahmen!$D$7:$D$126,C2249,Maßnahmen!$H$7:$H$126,"&lt;&gt;verworfen")</f>
        <v/>
      </c>
      <c r="N2249" s="14">
        <f>IF(ISNUMBER(K2249),MAX(0,K2249-L2249-M2249),"n.a.")</f>
        <v/>
      </c>
      <c r="O2249" s="14" t="n">
        <v>10.2</v>
      </c>
      <c r="P2249" s="14">
        <f>IF(ISNUMBER(K2249),K2249-O2249,"n.a.")</f>
        <v/>
      </c>
    </row>
    <row r="2250" ht="32" customHeight="1">
      <c r="C2250" s="10" t="inlineStr">
        <is>
          <t>PRJ-3d4db3f1-RK-06</t>
        </is>
      </c>
      <c r="D2250" s="10" t="inlineStr">
        <is>
          <t>W4102307366</t>
        </is>
      </c>
      <c r="E2250" s="11" t="inlineStr">
        <is>
          <t>Statik / Einsturzsicherung während Abbruch</t>
        </is>
      </c>
      <c r="F2250" s="10" t="inlineStr">
        <is>
          <t>Statik</t>
        </is>
      </c>
      <c r="G2250" s="12" t="n">
        <v>0.12</v>
      </c>
      <c r="H2250" s="13" t="n">
        <v>30</v>
      </c>
      <c r="I2250" s="13" t="n">
        <v>70</v>
      </c>
      <c r="J2250" s="13" t="n">
        <v>140</v>
      </c>
      <c r="K2250" s="14">
        <f>IF(OR(COUNT(G2250:J2250)&lt;&gt;4,G2250&lt;0,G2250&gt;1,H2250&gt;I2250,I2250&gt;J2250),"n.a.",ROUND(G2250*(H2250+4*I2250+J2250)/6+0.00000001,2))</f>
        <v/>
      </c>
      <c r="L2250" s="13" t="n">
        <v>0</v>
      </c>
      <c r="M2250" s="14">
        <f>SUMIFS(Maßnahmen!$I$7:$I$126,Maßnahmen!$D$7:$D$126,C2250,Maßnahmen!$H$7:$H$126,"&lt;&gt;verworfen")</f>
        <v/>
      </c>
      <c r="N2250" s="14">
        <f>IF(ISNUMBER(K2250),MAX(0,K2250-L2250-M2250),"n.a.")</f>
        <v/>
      </c>
      <c r="O2250" s="14" t="n">
        <v>9</v>
      </c>
      <c r="P2250" s="14">
        <f>IF(ISNUMBER(K2250),K2250-O2250,"n.a.")</f>
        <v/>
      </c>
    </row>
    <row r="2251" ht="32" customHeight="1">
      <c r="C2251" s="10" t="inlineStr">
        <is>
          <t>PRJ-3d4db3f1-RK-07</t>
        </is>
      </c>
      <c r="D2251" s="10" t="inlineStr">
        <is>
          <t>W4102307366</t>
        </is>
      </c>
      <c r="E2251" s="11" t="inlineStr">
        <is>
          <t>Unterirdische Tragkonstruktion / Fundamente</t>
        </is>
      </c>
      <c r="F2251" s="10" t="inlineStr">
        <is>
          <t>Statik</t>
        </is>
      </c>
      <c r="G2251" s="12" t="n">
        <v>0.5</v>
      </c>
      <c r="H2251" s="13" t="n">
        <v>5</v>
      </c>
      <c r="I2251" s="13" t="n">
        <v>20</v>
      </c>
      <c r="J2251" s="13" t="n">
        <v>50</v>
      </c>
      <c r="K2251" s="14">
        <f>IF(OR(COUNT(G2251:J2251)&lt;&gt;4,G2251&lt;0,G2251&gt;1,H2251&gt;I2251,I2251&gt;J2251),"n.a.",ROUND(G2251*(H2251+4*I2251+J2251)/6+0.00000001,2))</f>
        <v/>
      </c>
      <c r="L2251" s="13" t="n">
        <v>0</v>
      </c>
      <c r="M2251" s="14">
        <f>SUMIFS(Maßnahmen!$I$7:$I$126,Maßnahmen!$D$7:$D$126,C2251,Maßnahmen!$H$7:$H$126,"&lt;&gt;verworfen")</f>
        <v/>
      </c>
      <c r="N2251" s="14">
        <f>IF(ISNUMBER(K2251),MAX(0,K2251-L2251-M2251),"n.a.")</f>
        <v/>
      </c>
      <c r="O2251" s="14" t="n">
        <v>11.25</v>
      </c>
      <c r="P2251" s="14">
        <f>IF(ISNUMBER(K2251),K2251-O2251,"n.a.")</f>
        <v/>
      </c>
    </row>
    <row r="2252" ht="32" customHeight="1">
      <c r="C2252" s="10" t="inlineStr">
        <is>
          <t>PRJ-3d4db3f1-RK-08</t>
        </is>
      </c>
      <c r="D2252" s="10" t="inlineStr">
        <is>
          <t>W4102307366</t>
        </is>
      </c>
      <c r="E2252" s="11" t="inlineStr">
        <is>
          <t>Gebäudehöhe &gt;22 m / Longfront-Bagger (+130–150 %)</t>
        </is>
      </c>
      <c r="F2252" s="10" t="inlineStr">
        <is>
          <t>Termin</t>
        </is>
      </c>
      <c r="G2252" s="12" t="n">
        <v>0.6</v>
      </c>
      <c r="H2252" s="13" t="n">
        <v>90</v>
      </c>
      <c r="I2252" s="13" t="n">
        <v>180</v>
      </c>
      <c r="J2252" s="13" t="n">
        <v>340</v>
      </c>
      <c r="K2252" s="14">
        <f>IF(OR(COUNT(G2252:J2252)&lt;&gt;4,G2252&lt;0,G2252&gt;1,H2252&gt;I2252,I2252&gt;J2252),"n.a.",ROUND(G2252*(H2252+4*I2252+J2252)/6+0.00000001,2))</f>
        <v/>
      </c>
      <c r="L2252" s="13" t="n">
        <v>0</v>
      </c>
      <c r="M2252" s="14">
        <f>SUMIFS(Maßnahmen!$I$7:$I$126,Maßnahmen!$D$7:$D$126,C2252,Maßnahmen!$H$7:$H$126,"&lt;&gt;verworfen")</f>
        <v/>
      </c>
      <c r="N2252" s="14">
        <f>IF(ISNUMBER(K2252),MAX(0,K2252-L2252-M2252),"n.a.")</f>
        <v/>
      </c>
      <c r="O2252" s="14" t="n">
        <v>115</v>
      </c>
      <c r="P2252" s="14">
        <f>IF(ISNUMBER(K2252),K2252-O2252,"n.a.")</f>
        <v/>
      </c>
    </row>
    <row r="2253" ht="32" customHeight="1">
      <c r="C2253" s="10" t="inlineStr">
        <is>
          <t>PRJ-3d4db3f1-RK-09</t>
        </is>
      </c>
      <c r="D2253" s="10" t="inlineStr">
        <is>
          <t>W4102307366</t>
        </is>
      </c>
      <c r="E2253" s="11" t="inlineStr">
        <is>
          <t>Beennte Lage / nur Handabbruch möglich</t>
        </is>
      </c>
      <c r="F2253" s="10" t="inlineStr">
        <is>
          <t>Termin</t>
        </is>
      </c>
      <c r="G2253" s="12" t="n">
        <v>0.15</v>
      </c>
      <c r="H2253" s="13" t="n">
        <v>8</v>
      </c>
      <c r="I2253" s="13" t="n">
        <v>20</v>
      </c>
      <c r="J2253" s="13" t="n">
        <v>50</v>
      </c>
      <c r="K2253" s="14">
        <f>IF(OR(COUNT(G2253:J2253)&lt;&gt;4,G2253&lt;0,G2253&gt;1,H2253&gt;I2253,I2253&gt;J2253),"n.a.",ROUND(G2253*(H2253+4*I2253+J2253)/6+0.00000001,2))</f>
        <v/>
      </c>
      <c r="L2253" s="13" t="n">
        <v>0</v>
      </c>
      <c r="M2253" s="14">
        <f>SUMIFS(Maßnahmen!$I$7:$I$126,Maßnahmen!$D$7:$D$126,C2253,Maßnahmen!$H$7:$H$126,"&lt;&gt;verworfen")</f>
        <v/>
      </c>
      <c r="N2253" s="14">
        <f>IF(ISNUMBER(K2253),MAX(0,K2253-L2253-M2253),"n.a.")</f>
        <v/>
      </c>
      <c r="O2253" s="14" t="n">
        <v>3.45</v>
      </c>
      <c r="P2253" s="14">
        <f>IF(ISNUMBER(K2253),K2253-O2253,"n.a.")</f>
        <v/>
      </c>
    </row>
    <row r="2254" ht="32" customHeight="1">
      <c r="C2254" s="10" t="inlineStr">
        <is>
          <t>PRJ-3d4db3f1-RK-10</t>
        </is>
      </c>
      <c r="D2254" s="10" t="inlineStr">
        <is>
          <t>W4102307366</t>
        </is>
      </c>
      <c r="E2254" s="11" t="inlineStr">
        <is>
          <t>Terminvorgabe Auftraggeber / Geräteauslastung</t>
        </is>
      </c>
      <c r="F2254" s="10" t="inlineStr">
        <is>
          <t>Termin</t>
        </is>
      </c>
      <c r="G2254" s="12" t="n">
        <v>0.1</v>
      </c>
      <c r="H2254" s="13" t="n">
        <v>8</v>
      </c>
      <c r="I2254" s="13" t="n">
        <v>20</v>
      </c>
      <c r="J2254" s="13" t="n">
        <v>50</v>
      </c>
      <c r="K2254" s="14">
        <f>IF(OR(COUNT(G2254:J2254)&lt;&gt;4,G2254&lt;0,G2254&gt;1,H2254&gt;I2254,I2254&gt;J2254),"n.a.",ROUND(G2254*(H2254+4*I2254+J2254)/6+0.00000001,2))</f>
        <v/>
      </c>
      <c r="L2254" s="13" t="n">
        <v>0</v>
      </c>
      <c r="M2254" s="14">
        <f>SUMIFS(Maßnahmen!$I$7:$I$126,Maßnahmen!$D$7:$D$126,C2254,Maßnahmen!$H$7:$H$126,"&lt;&gt;verworfen")</f>
        <v/>
      </c>
      <c r="N2254" s="14">
        <f>IF(ISNUMBER(K2254),MAX(0,K2254-L2254-M2254),"n.a.")</f>
        <v/>
      </c>
      <c r="O2254" s="14" t="n">
        <v>2.3</v>
      </c>
      <c r="P2254" s="14">
        <f>IF(ISNUMBER(K2254),K2254-O2254,"n.a.")</f>
        <v/>
      </c>
    </row>
    <row r="2255" ht="32" customHeight="1">
      <c r="C2255" s="10" t="inlineStr">
        <is>
          <t>PRJ-3d4db3f1-RK-11</t>
        </is>
      </c>
      <c r="D2255" s="10" t="inlineStr">
        <is>
          <t>W4102307366</t>
        </is>
      </c>
      <c r="E2255" s="11" t="inlineStr">
        <is>
          <t>Witterung / Ablaufstörung</t>
        </is>
      </c>
      <c r="F2255" s="10" t="inlineStr">
        <is>
          <t>Termin</t>
        </is>
      </c>
      <c r="G2255" s="12" t="n">
        <v>0.25</v>
      </c>
      <c r="H2255" s="13" t="n">
        <v>10</v>
      </c>
      <c r="I2255" s="13" t="n">
        <v>30</v>
      </c>
      <c r="J2255" s="13" t="n">
        <v>60</v>
      </c>
      <c r="K2255" s="14">
        <f>IF(OR(COUNT(G2255:J2255)&lt;&gt;4,G2255&lt;0,G2255&gt;1,H2255&gt;I2255,I2255&gt;J2255),"n.a.",ROUND(G2255*(H2255+4*I2255+J2255)/6+0.00000001,2))</f>
        <v/>
      </c>
      <c r="L2255" s="13" t="n">
        <v>0</v>
      </c>
      <c r="M2255" s="14">
        <f>SUMIFS(Maßnahmen!$I$7:$I$126,Maßnahmen!$D$7:$D$126,C2255,Maßnahmen!$H$7:$H$126,"&lt;&gt;verworfen")</f>
        <v/>
      </c>
      <c r="N2255" s="14">
        <f>IF(ISNUMBER(K2255),MAX(0,K2255-L2255-M2255),"n.a.")</f>
        <v/>
      </c>
      <c r="O2255" s="14" t="n">
        <v>7.92</v>
      </c>
      <c r="P2255" s="14">
        <f>IF(ISNUMBER(K2255),K2255-O2255,"n.a.")</f>
        <v/>
      </c>
    </row>
    <row r="2256" ht="32" customHeight="1">
      <c r="C2256" s="10" t="inlineStr">
        <is>
          <t>PRJ-3d4db3f1-RK-12</t>
        </is>
      </c>
      <c r="D2256" s="10" t="inlineStr">
        <is>
          <t>W4102307366</t>
        </is>
      </c>
      <c r="E2256" s="11" t="inlineStr">
        <is>
          <t>Staubemissionen (höchster Aufwand laut Umfrage)</t>
        </is>
      </c>
      <c r="F2256" s="10" t="inlineStr">
        <is>
          <t>Emissionen</t>
        </is>
      </c>
      <c r="G2256" s="12" t="n">
        <v>0.1</v>
      </c>
      <c r="H2256" s="13" t="n">
        <v>30</v>
      </c>
      <c r="I2256" s="13" t="n">
        <v>60</v>
      </c>
      <c r="J2256" s="13" t="n">
        <v>120</v>
      </c>
      <c r="K2256" s="14">
        <f>IF(OR(COUNT(G2256:J2256)&lt;&gt;4,G2256&lt;0,G2256&gt;1,H2256&gt;I2256,I2256&gt;J2256),"n.a.",ROUND(G2256*(H2256+4*I2256+J2256)/6+0.00000001,2))</f>
        <v/>
      </c>
      <c r="L2256" s="13" t="n">
        <v>0</v>
      </c>
      <c r="M2256" s="14">
        <f>SUMIFS(Maßnahmen!$I$7:$I$126,Maßnahmen!$D$7:$D$126,C2256,Maßnahmen!$H$7:$H$126,"&lt;&gt;verworfen")</f>
        <v/>
      </c>
      <c r="N2256" s="14">
        <f>IF(ISNUMBER(K2256),MAX(0,K2256-L2256-M2256),"n.a.")</f>
        <v/>
      </c>
      <c r="O2256" s="14" t="n">
        <v>6.5</v>
      </c>
      <c r="P2256" s="14">
        <f>IF(ISNUMBER(K2256),K2256-O2256,"n.a.")</f>
        <v/>
      </c>
    </row>
    <row r="2257" ht="32" customHeight="1">
      <c r="C2257" s="10" t="inlineStr">
        <is>
          <t>PRJ-3d4db3f1-RK-13</t>
        </is>
      </c>
      <c r="D2257" s="10" t="inlineStr">
        <is>
          <t>W4102307366</t>
        </is>
      </c>
      <c r="E2257" s="11" t="inlineStr">
        <is>
          <t>Lärm- und Erschütterungsauflagen</t>
        </is>
      </c>
      <c r="F2257" s="10" t="inlineStr">
        <is>
          <t>Emissionen</t>
        </is>
      </c>
      <c r="G2257" s="12" t="n">
        <v>0.2</v>
      </c>
      <c r="H2257" s="13" t="n">
        <v>20</v>
      </c>
      <c r="I2257" s="13" t="n">
        <v>50</v>
      </c>
      <c r="J2257" s="13" t="n">
        <v>100</v>
      </c>
      <c r="K2257" s="14">
        <f>IF(OR(COUNT(G2257:J2257)&lt;&gt;4,G2257&lt;0,G2257&gt;1,H2257&gt;I2257,I2257&gt;J2257),"n.a.",ROUND(G2257*(H2257+4*I2257+J2257)/6+0.00000001,2))</f>
        <v/>
      </c>
      <c r="L2257" s="13" t="n">
        <v>0</v>
      </c>
      <c r="M2257" s="14">
        <f>SUMIFS(Maßnahmen!$I$7:$I$126,Maßnahmen!$D$7:$D$126,C2257,Maßnahmen!$H$7:$H$126,"&lt;&gt;verworfen")</f>
        <v/>
      </c>
      <c r="N2257" s="14">
        <f>IF(ISNUMBER(K2257),MAX(0,K2257-L2257-M2257),"n.a.")</f>
        <v/>
      </c>
      <c r="O2257" s="14" t="n">
        <v>10.67</v>
      </c>
      <c r="P2257" s="14">
        <f>IF(ISNUMBER(K2257),K2257-O2257,"n.a.")</f>
        <v/>
      </c>
    </row>
    <row r="2258" ht="32" customHeight="1">
      <c r="C2258" s="10" t="inlineStr">
        <is>
          <t>PRJ-3d4db3f1-RK-14</t>
        </is>
      </c>
      <c r="D2258" s="10" t="inlineStr">
        <is>
          <t>W4102307366</t>
        </is>
      </c>
      <c r="E2258" s="11" t="inlineStr">
        <is>
          <t>Rechtliche Auflagen / Entsorgungsnachweise (Formalismus)</t>
        </is>
      </c>
      <c r="F2258" s="10" t="inlineStr">
        <is>
          <t>Genehmigung</t>
        </is>
      </c>
      <c r="G2258" s="12" t="n">
        <v>0.4</v>
      </c>
      <c r="H2258" s="13" t="n">
        <v>95</v>
      </c>
      <c r="I2258" s="13" t="n">
        <v>185</v>
      </c>
      <c r="J2258" s="13" t="n">
        <v>350</v>
      </c>
      <c r="K2258" s="14">
        <f>IF(OR(COUNT(G2258:J2258)&lt;&gt;4,G2258&lt;0,G2258&gt;1,H2258&gt;I2258,I2258&gt;J2258),"n.a.",ROUND(G2258*(H2258+4*I2258+J2258)/6+0.00000001,2))</f>
        <v/>
      </c>
      <c r="L2258" s="13" t="n">
        <v>0</v>
      </c>
      <c r="M2258" s="14">
        <f>SUMIFS(Maßnahmen!$I$7:$I$126,Maßnahmen!$D$7:$D$126,C2258,Maßnahmen!$H$7:$H$126,"&lt;&gt;verworfen")</f>
        <v/>
      </c>
      <c r="N2258" s="14">
        <f>IF(ISNUMBER(K2258),MAX(0,K2258-L2258-M2258),"n.a.")</f>
        <v/>
      </c>
      <c r="O2258" s="14" t="n">
        <v>79</v>
      </c>
      <c r="P2258" s="14">
        <f>IF(ISNUMBER(K2258),K2258-O2258,"n.a.")</f>
        <v/>
      </c>
    </row>
    <row r="2259" ht="32" customHeight="1">
      <c r="C2259" s="10" t="inlineStr">
        <is>
          <t>PRJ-382f351e-RK-11</t>
        </is>
      </c>
      <c r="D2259" s="10" t="inlineStr">
        <is>
          <t>W4102607081</t>
        </is>
      </c>
      <c r="E2259" s="11" t="inlineStr">
        <is>
          <t>Witterung / Ablaufstörung</t>
        </is>
      </c>
      <c r="F2259" s="10" t="inlineStr">
        <is>
          <t>Termin</t>
        </is>
      </c>
      <c r="G2259" s="12" t="n">
        <v>0.25</v>
      </c>
      <c r="H2259" s="13" t="n">
        <v>10</v>
      </c>
      <c r="I2259" s="13" t="n">
        <v>30</v>
      </c>
      <c r="J2259" s="13" t="n">
        <v>60</v>
      </c>
      <c r="K2259" s="14">
        <f>IF(OR(COUNT(G2259:J2259)&lt;&gt;4,G2259&lt;0,G2259&gt;1,H2259&gt;I2259,I2259&gt;J2259),"n.a.",ROUND(G2259*(H2259+4*I2259+J2259)/6+0.00000001,2))</f>
        <v/>
      </c>
      <c r="L2259" s="13" t="n">
        <v>0</v>
      </c>
      <c r="M2259" s="14">
        <f>SUMIFS(Maßnahmen!$I$7:$I$126,Maßnahmen!$D$7:$D$126,C2259,Maßnahmen!$H$7:$H$126,"&lt;&gt;verworfen")</f>
        <v/>
      </c>
      <c r="N2259" s="14">
        <f>IF(ISNUMBER(K2259),MAX(0,K2259-L2259-M2259),"n.a.")</f>
        <v/>
      </c>
      <c r="O2259" s="14" t="n">
        <v>7.92</v>
      </c>
      <c r="P2259" s="14">
        <f>IF(ISNUMBER(K2259),K2259-O2259,"n.a.")</f>
        <v/>
      </c>
    </row>
    <row r="2260" ht="32" customHeight="1">
      <c r="C2260" s="10" t="inlineStr">
        <is>
          <t>PRJ-382f351e-RK-14</t>
        </is>
      </c>
      <c r="D2260" s="10" t="inlineStr">
        <is>
          <t>W4102607081</t>
        </is>
      </c>
      <c r="E2260" s="11" t="inlineStr">
        <is>
          <t>Rechtliche Auflagen / Entsorgungsnachweise (Formalismus)</t>
        </is>
      </c>
      <c r="F2260" s="10" t="inlineStr">
        <is>
          <t>Genehmigung</t>
        </is>
      </c>
      <c r="G2260" s="12" t="n">
        <v>0.4</v>
      </c>
      <c r="H2260" s="13" t="n">
        <v>95</v>
      </c>
      <c r="I2260" s="13" t="n">
        <v>185</v>
      </c>
      <c r="J2260" s="13" t="n">
        <v>350</v>
      </c>
      <c r="K2260" s="14">
        <f>IF(OR(COUNT(G2260:J2260)&lt;&gt;4,G2260&lt;0,G2260&gt;1,H2260&gt;I2260,I2260&gt;J2260),"n.a.",ROUND(G2260*(H2260+4*I2260+J2260)/6+0.00000001,2))</f>
        <v/>
      </c>
      <c r="L2260" s="13" t="n">
        <v>0</v>
      </c>
      <c r="M2260" s="14">
        <f>SUMIFS(Maßnahmen!$I$7:$I$126,Maßnahmen!$D$7:$D$126,C2260,Maßnahmen!$H$7:$H$126,"&lt;&gt;verworfen")</f>
        <v/>
      </c>
      <c r="N2260" s="14">
        <f>IF(ISNUMBER(K2260),MAX(0,K2260-L2260-M2260),"n.a.")</f>
        <v/>
      </c>
      <c r="O2260" s="14" t="n">
        <v>79</v>
      </c>
      <c r="P2260" s="14">
        <f>IF(ISNUMBER(K2260),K2260-O2260,"n.a.")</f>
        <v/>
      </c>
    </row>
    <row r="2261" ht="32" customHeight="1">
      <c r="C2261" s="10" t="inlineStr">
        <is>
          <t>PRJ-382f351e-RK-15</t>
        </is>
      </c>
      <c r="D2261" s="10" t="inlineStr">
        <is>
          <t>W4102607081</t>
        </is>
      </c>
      <c r="E2261" s="11" t="inlineStr">
        <is>
          <t>Konjunktur / Sekundärstoffpreise &amp; Gerätemiete</t>
        </is>
      </c>
      <c r="F2261" s="10" t="inlineStr">
        <is>
          <t>Markt</t>
        </is>
      </c>
      <c r="G2261" s="12" t="n">
        <v>0.12</v>
      </c>
      <c r="H2261" s="13" t="n">
        <v>8</v>
      </c>
      <c r="I2261" s="13" t="n">
        <v>20</v>
      </c>
      <c r="J2261" s="13" t="n">
        <v>50</v>
      </c>
      <c r="K2261" s="14">
        <f>IF(OR(COUNT(G2261:J2261)&lt;&gt;4,G2261&lt;0,G2261&gt;1,H2261&gt;I2261,I2261&gt;J2261),"n.a.",ROUND(G2261*(H2261+4*I2261+J2261)/6+0.00000001,2))</f>
        <v/>
      </c>
      <c r="L2261" s="13" t="n">
        <v>0</v>
      </c>
      <c r="M2261" s="14">
        <f>SUMIFS(Maßnahmen!$I$7:$I$126,Maßnahmen!$D$7:$D$126,C2261,Maßnahmen!$H$7:$H$126,"&lt;&gt;verworfen")</f>
        <v/>
      </c>
      <c r="N2261" s="14">
        <f>IF(ISNUMBER(K2261),MAX(0,K2261-L2261-M2261),"n.a.")</f>
        <v/>
      </c>
      <c r="O2261" s="14" t="n">
        <v>2.76</v>
      </c>
      <c r="P2261" s="14">
        <f>IF(ISNUMBER(K2261),K2261-O2261,"n.a.")</f>
        <v/>
      </c>
    </row>
    <row r="2262" ht="32" customHeight="1">
      <c r="C2262" s="10" t="inlineStr">
        <is>
          <t>PRJ-37e9fb65-RK-10</t>
        </is>
      </c>
      <c r="D2262" s="10" t="inlineStr">
        <is>
          <t>W4102654945</t>
        </is>
      </c>
      <c r="E2262" s="11" t="inlineStr">
        <is>
          <t>Terminvorgabe Auftraggeber / Geräteauslastung</t>
        </is>
      </c>
      <c r="F2262" s="10" t="inlineStr">
        <is>
          <t>Termin</t>
        </is>
      </c>
      <c r="G2262" s="12" t="n">
        <v>0.1</v>
      </c>
      <c r="H2262" s="13" t="n">
        <v>101</v>
      </c>
      <c r="I2262" s="13" t="n">
        <v>251</v>
      </c>
      <c r="J2262" s="13" t="n">
        <v>628</v>
      </c>
      <c r="K2262" s="14">
        <f>IF(OR(COUNT(G2262:J2262)&lt;&gt;4,G2262&lt;0,G2262&gt;1,H2262&gt;I2262,I2262&gt;J2262),"n.a.",ROUND(G2262*(H2262+4*I2262+J2262)/6+0.00000001,2))</f>
        <v/>
      </c>
      <c r="L2262" s="13" t="n">
        <v>0</v>
      </c>
      <c r="M2262" s="14">
        <f>SUMIFS(Maßnahmen!$I$7:$I$126,Maßnahmen!$D$7:$D$126,C2262,Maßnahmen!$H$7:$H$126,"&lt;&gt;verworfen")</f>
        <v/>
      </c>
      <c r="N2262" s="14">
        <f>IF(ISNUMBER(K2262),MAX(0,K2262-L2262-M2262),"n.a.")</f>
        <v/>
      </c>
      <c r="O2262" s="14" t="n">
        <v>28.88</v>
      </c>
      <c r="P2262" s="14">
        <f>IF(ISNUMBER(K2262),K2262-O2262,"n.a.")</f>
        <v/>
      </c>
    </row>
    <row r="2263" ht="32" customHeight="1">
      <c r="C2263" s="10" t="inlineStr">
        <is>
          <t>PRJ-37e9fb65-RK-11</t>
        </is>
      </c>
      <c r="D2263" s="10" t="inlineStr">
        <is>
          <t>W4102654945</t>
        </is>
      </c>
      <c r="E2263" s="11" t="inlineStr">
        <is>
          <t>Witterung / Ablaufstörung</t>
        </is>
      </c>
      <c r="F2263" s="10" t="inlineStr">
        <is>
          <t>Termin</t>
        </is>
      </c>
      <c r="G2263" s="12" t="n">
        <v>0.25</v>
      </c>
      <c r="H2263" s="13" t="n">
        <v>126</v>
      </c>
      <c r="I2263" s="13" t="n">
        <v>377</v>
      </c>
      <c r="J2263" s="13" t="n">
        <v>754</v>
      </c>
      <c r="K2263" s="14">
        <f>IF(OR(COUNT(G2263:J2263)&lt;&gt;4,G2263&lt;0,G2263&gt;1,H2263&gt;I2263,I2263&gt;J2263),"n.a.",ROUND(G2263*(H2263+4*I2263+J2263)/6+0.00000001,2))</f>
        <v/>
      </c>
      <c r="L2263" s="13" t="n">
        <v>0</v>
      </c>
      <c r="M2263" s="14">
        <f>SUMIFS(Maßnahmen!$I$7:$I$126,Maßnahmen!$D$7:$D$126,C2263,Maßnahmen!$H$7:$H$126,"&lt;&gt;verworfen")</f>
        <v/>
      </c>
      <c r="N2263" s="14">
        <f>IF(ISNUMBER(K2263),MAX(0,K2263-L2263-M2263),"n.a.")</f>
        <v/>
      </c>
      <c r="O2263" s="14" t="n">
        <v>99.5</v>
      </c>
      <c r="P2263" s="14">
        <f>IF(ISNUMBER(K2263),K2263-O2263,"n.a.")</f>
        <v/>
      </c>
    </row>
    <row r="2264" ht="32" customHeight="1">
      <c r="C2264" s="10" t="inlineStr">
        <is>
          <t>PRJ-37e9fb65-RK-12</t>
        </is>
      </c>
      <c r="D2264" s="10" t="inlineStr">
        <is>
          <t>W4102654945</t>
        </is>
      </c>
      <c r="E2264" s="11" t="inlineStr">
        <is>
          <t>Staubemissionen (höchster Aufwand laut Umfrage)</t>
        </is>
      </c>
      <c r="F2264" s="10" t="inlineStr">
        <is>
          <t>Emissionen</t>
        </is>
      </c>
      <c r="G2264" s="12" t="n">
        <v>0.1</v>
      </c>
      <c r="H2264" s="13" t="n">
        <v>377</v>
      </c>
      <c r="I2264" s="13" t="n">
        <v>754</v>
      </c>
      <c r="J2264" s="13" t="n">
        <v>1508</v>
      </c>
      <c r="K2264" s="14">
        <f>IF(OR(COUNT(G2264:J2264)&lt;&gt;4,G2264&lt;0,G2264&gt;1,H2264&gt;I2264,I2264&gt;J2264),"n.a.",ROUND(G2264*(H2264+4*I2264+J2264)/6+0.00000001,2))</f>
        <v/>
      </c>
      <c r="L2264" s="13" t="n">
        <v>0</v>
      </c>
      <c r="M2264" s="14">
        <f>SUMIFS(Maßnahmen!$I$7:$I$126,Maßnahmen!$D$7:$D$126,C2264,Maßnahmen!$H$7:$H$126,"&lt;&gt;verworfen")</f>
        <v/>
      </c>
      <c r="N2264" s="14">
        <f>IF(ISNUMBER(K2264),MAX(0,K2264-L2264-M2264),"n.a.")</f>
        <v/>
      </c>
      <c r="O2264" s="14" t="n">
        <v>81.68000000000001</v>
      </c>
      <c r="P2264" s="14">
        <f>IF(ISNUMBER(K2264),K2264-O2264,"n.a.")</f>
        <v/>
      </c>
    </row>
    <row r="2265" ht="32" customHeight="1">
      <c r="C2265" s="10" t="inlineStr">
        <is>
          <t>PRJ-37e9fb65-RK-13</t>
        </is>
      </c>
      <c r="D2265" s="10" t="inlineStr">
        <is>
          <t>W4102654945</t>
        </is>
      </c>
      <c r="E2265" s="11" t="inlineStr">
        <is>
          <t>Lärm- und Erschütterungsauflagen</t>
        </is>
      </c>
      <c r="F2265" s="10" t="inlineStr">
        <is>
          <t>Emissionen</t>
        </is>
      </c>
      <c r="G2265" s="12" t="n">
        <v>0.2</v>
      </c>
      <c r="H2265" s="13" t="n">
        <v>251</v>
      </c>
      <c r="I2265" s="13" t="n">
        <v>628</v>
      </c>
      <c r="J2265" s="13" t="n">
        <v>1257</v>
      </c>
      <c r="K2265" s="14">
        <f>IF(OR(COUNT(G2265:J2265)&lt;&gt;4,G2265&lt;0,G2265&gt;1,H2265&gt;I2265,I2265&gt;J2265),"n.a.",ROUND(G2265*(H2265+4*I2265+J2265)/6+0.00000001,2))</f>
        <v/>
      </c>
      <c r="L2265" s="13" t="n">
        <v>0</v>
      </c>
      <c r="M2265" s="14">
        <f>SUMIFS(Maßnahmen!$I$7:$I$126,Maßnahmen!$D$7:$D$126,C2265,Maßnahmen!$H$7:$H$126,"&lt;&gt;verworfen")</f>
        <v/>
      </c>
      <c r="N2265" s="14">
        <f>IF(ISNUMBER(K2265),MAX(0,K2265-L2265-M2265),"n.a.")</f>
        <v/>
      </c>
      <c r="O2265" s="14" t="n">
        <v>134</v>
      </c>
      <c r="P2265" s="14">
        <f>IF(ISNUMBER(K2265),K2265-O2265,"n.a.")</f>
        <v/>
      </c>
    </row>
    <row r="2266" ht="32" customHeight="1">
      <c r="C2266" s="10" t="inlineStr">
        <is>
          <t>PRJ-37e9fb65-RK-14</t>
        </is>
      </c>
      <c r="D2266" s="10" t="inlineStr">
        <is>
          <t>W4102654945</t>
        </is>
      </c>
      <c r="E2266" s="11" t="inlineStr">
        <is>
          <t>Rechtliche Auflagen / Entsorgungsnachweise (Formalismus)</t>
        </is>
      </c>
      <c r="F2266" s="10" t="inlineStr">
        <is>
          <t>Genehmigung</t>
        </is>
      </c>
      <c r="G2266" s="12" t="n">
        <v>0.4</v>
      </c>
      <c r="H2266" s="13" t="n">
        <v>1194</v>
      </c>
      <c r="I2266" s="13" t="n">
        <v>2325</v>
      </c>
      <c r="J2266" s="13" t="n">
        <v>4398</v>
      </c>
      <c r="K2266" s="14">
        <f>IF(OR(COUNT(G2266:J2266)&lt;&gt;4,G2266&lt;0,G2266&gt;1,H2266&gt;I2266,I2266&gt;J2266),"n.a.",ROUND(G2266*(H2266+4*I2266+J2266)/6+0.00000001,2))</f>
        <v/>
      </c>
      <c r="L2266" s="13" t="n">
        <v>0</v>
      </c>
      <c r="M2266" s="14">
        <f>SUMIFS(Maßnahmen!$I$7:$I$126,Maßnahmen!$D$7:$D$126,C2266,Maßnahmen!$H$7:$H$126,"&lt;&gt;verworfen")</f>
        <v/>
      </c>
      <c r="N2266" s="14">
        <f>IF(ISNUMBER(K2266),MAX(0,K2266-L2266-M2266),"n.a.")</f>
        <v/>
      </c>
      <c r="O2266" s="14" t="n">
        <v>992.8</v>
      </c>
      <c r="P2266" s="14">
        <f>IF(ISNUMBER(K2266),K2266-O2266,"n.a.")</f>
        <v/>
      </c>
    </row>
    <row r="2267" ht="32" customHeight="1">
      <c r="C2267" s="10" t="inlineStr">
        <is>
          <t>PRJ-37e9fb65-RK-15</t>
        </is>
      </c>
      <c r="D2267" s="10" t="inlineStr">
        <is>
          <t>W4102654945</t>
        </is>
      </c>
      <c r="E2267" s="11" t="inlineStr">
        <is>
          <t>Konjunktur / Sekundärstoffpreise &amp; Gerätemiete</t>
        </is>
      </c>
      <c r="F2267" s="10" t="inlineStr">
        <is>
          <t>Markt</t>
        </is>
      </c>
      <c r="G2267" s="12" t="n">
        <v>0.12</v>
      </c>
      <c r="H2267" s="13" t="n">
        <v>101</v>
      </c>
      <c r="I2267" s="13" t="n">
        <v>251</v>
      </c>
      <c r="J2267" s="13" t="n">
        <v>628</v>
      </c>
      <c r="K2267" s="14">
        <f>IF(OR(COUNT(G2267:J2267)&lt;&gt;4,G2267&lt;0,G2267&gt;1,H2267&gt;I2267,I2267&gt;J2267),"n.a.",ROUND(G2267*(H2267+4*I2267+J2267)/6+0.00000001,2))</f>
        <v/>
      </c>
      <c r="L2267" s="13" t="n">
        <v>0</v>
      </c>
      <c r="M2267" s="14">
        <f>SUMIFS(Maßnahmen!$I$7:$I$126,Maßnahmen!$D$7:$D$126,C2267,Maßnahmen!$H$7:$H$126,"&lt;&gt;verworfen")</f>
        <v/>
      </c>
      <c r="N2267" s="14">
        <f>IF(ISNUMBER(K2267),MAX(0,K2267-L2267-M2267),"n.a.")</f>
        <v/>
      </c>
      <c r="O2267" s="14" t="n">
        <v>34.66</v>
      </c>
      <c r="P2267" s="14">
        <f>IF(ISNUMBER(K2267),K2267-O2267,"n.a.")</f>
        <v/>
      </c>
    </row>
    <row r="2268" ht="32" customHeight="1">
      <c r="C2268" s="10" t="inlineStr">
        <is>
          <t>PRJ-37e9fb63-RK-11</t>
        </is>
      </c>
      <c r="D2268" s="10" t="inlineStr">
        <is>
          <t>W4102654947</t>
        </is>
      </c>
      <c r="E2268" s="11" t="inlineStr">
        <is>
          <t>Witterung / Ablaufstörung</t>
        </is>
      </c>
      <c r="F2268" s="10" t="inlineStr">
        <is>
          <t>Termin</t>
        </is>
      </c>
      <c r="G2268" s="12" t="n">
        <v>0.25</v>
      </c>
      <c r="H2268" s="13" t="n">
        <v>39</v>
      </c>
      <c r="I2268" s="13" t="n">
        <v>116</v>
      </c>
      <c r="J2268" s="13" t="n">
        <v>232</v>
      </c>
      <c r="K2268" s="14">
        <f>IF(OR(COUNT(G2268:J2268)&lt;&gt;4,G2268&lt;0,G2268&gt;1,H2268&gt;I2268,I2268&gt;J2268),"n.a.",ROUND(G2268*(H2268+4*I2268+J2268)/6+0.00000001,2))</f>
        <v/>
      </c>
      <c r="L2268" s="13" t="n">
        <v>0</v>
      </c>
      <c r="M2268" s="14">
        <f>SUMIFS(Maßnahmen!$I$7:$I$126,Maßnahmen!$D$7:$D$126,C2268,Maßnahmen!$H$7:$H$126,"&lt;&gt;verworfen")</f>
        <v/>
      </c>
      <c r="N2268" s="14">
        <f>IF(ISNUMBER(K2268),MAX(0,K2268-L2268-M2268),"n.a.")</f>
        <v/>
      </c>
      <c r="O2268" s="14" t="n">
        <v>30.63</v>
      </c>
      <c r="P2268" s="14">
        <f>IF(ISNUMBER(K2268),K2268-O2268,"n.a.")</f>
        <v/>
      </c>
    </row>
    <row r="2269" ht="32" customHeight="1">
      <c r="C2269" s="10" t="inlineStr">
        <is>
          <t>PRJ-3d4efac3-RK-13</t>
        </is>
      </c>
      <c r="D2269" s="10" t="inlineStr">
        <is>
          <t>W4102304949</t>
        </is>
      </c>
      <c r="E2269" s="11" t="inlineStr">
        <is>
          <t>Lärm- und Erschütterungsauflagen</t>
        </is>
      </c>
      <c r="F2269" s="10" t="inlineStr">
        <is>
          <t>Emissionen</t>
        </is>
      </c>
      <c r="G2269" s="12" t="n">
        <v>0.2</v>
      </c>
      <c r="H2269" s="13" t="n">
        <v>20</v>
      </c>
      <c r="I2269" s="13" t="n">
        <v>50</v>
      </c>
      <c r="J2269" s="13" t="n">
        <v>100</v>
      </c>
      <c r="K2269" s="14">
        <f>IF(OR(COUNT(G2269:J2269)&lt;&gt;4,G2269&lt;0,G2269&gt;1,H2269&gt;I2269,I2269&gt;J2269),"n.a.",ROUND(G2269*(H2269+4*I2269+J2269)/6+0.00000001,2))</f>
        <v/>
      </c>
      <c r="L2269" s="13" t="n">
        <v>0</v>
      </c>
      <c r="M2269" s="14">
        <f>SUMIFS(Maßnahmen!$I$7:$I$126,Maßnahmen!$D$7:$D$126,C2269,Maßnahmen!$H$7:$H$126,"&lt;&gt;verworfen")</f>
        <v/>
      </c>
      <c r="N2269" s="14">
        <f>IF(ISNUMBER(K2269),MAX(0,K2269-L2269-M2269),"n.a.")</f>
        <v/>
      </c>
      <c r="O2269" s="14" t="n">
        <v>10.67</v>
      </c>
      <c r="P2269" s="14">
        <f>IF(ISNUMBER(K2269),K2269-O2269,"n.a.")</f>
        <v/>
      </c>
    </row>
    <row r="2270" ht="32" customHeight="1">
      <c r="C2270" s="10" t="inlineStr">
        <is>
          <t>PRJ-3d4efac3-RK-14</t>
        </is>
      </c>
      <c r="D2270" s="10" t="inlineStr">
        <is>
          <t>W4102304949</t>
        </is>
      </c>
      <c r="E2270" s="11" t="inlineStr">
        <is>
          <t>Rechtliche Auflagen / Entsorgungsnachweise (Formalismus)</t>
        </is>
      </c>
      <c r="F2270" s="10" t="inlineStr">
        <is>
          <t>Genehmigung</t>
        </is>
      </c>
      <c r="G2270" s="12" t="n">
        <v>0.4</v>
      </c>
      <c r="H2270" s="13" t="n">
        <v>95</v>
      </c>
      <c r="I2270" s="13" t="n">
        <v>185</v>
      </c>
      <c r="J2270" s="13" t="n">
        <v>350</v>
      </c>
      <c r="K2270" s="14">
        <f>IF(OR(COUNT(G2270:J2270)&lt;&gt;4,G2270&lt;0,G2270&gt;1,H2270&gt;I2270,I2270&gt;J2270),"n.a.",ROUND(G2270*(H2270+4*I2270+J2270)/6+0.00000001,2))</f>
        <v/>
      </c>
      <c r="L2270" s="13" t="n">
        <v>0</v>
      </c>
      <c r="M2270" s="14">
        <f>SUMIFS(Maßnahmen!$I$7:$I$126,Maßnahmen!$D$7:$D$126,C2270,Maßnahmen!$H$7:$H$126,"&lt;&gt;verworfen")</f>
        <v/>
      </c>
      <c r="N2270" s="14">
        <f>IF(ISNUMBER(K2270),MAX(0,K2270-L2270-M2270),"n.a.")</f>
        <v/>
      </c>
      <c r="O2270" s="14" t="n">
        <v>79</v>
      </c>
      <c r="P2270" s="14">
        <f>IF(ISNUMBER(K2270),K2270-O2270,"n.a.")</f>
        <v/>
      </c>
    </row>
    <row r="2271" ht="32" customHeight="1">
      <c r="C2271" s="10" t="inlineStr">
        <is>
          <t>PRJ-3d4efac3-RK-15</t>
        </is>
      </c>
      <c r="D2271" s="10" t="inlineStr">
        <is>
          <t>W4102304949</t>
        </is>
      </c>
      <c r="E2271" s="11" t="inlineStr">
        <is>
          <t>Konjunktur / Sekundärstoffpreise &amp; Gerätemiete</t>
        </is>
      </c>
      <c r="F2271" s="10" t="inlineStr">
        <is>
          <t>Markt</t>
        </is>
      </c>
      <c r="G2271" s="12" t="n">
        <v>0.12</v>
      </c>
      <c r="H2271" s="13" t="n">
        <v>8</v>
      </c>
      <c r="I2271" s="13" t="n">
        <v>20</v>
      </c>
      <c r="J2271" s="13" t="n">
        <v>50</v>
      </c>
      <c r="K2271" s="14">
        <f>IF(OR(COUNT(G2271:J2271)&lt;&gt;4,G2271&lt;0,G2271&gt;1,H2271&gt;I2271,I2271&gt;J2271),"n.a.",ROUND(G2271*(H2271+4*I2271+J2271)/6+0.00000001,2))</f>
        <v/>
      </c>
      <c r="L2271" s="13" t="n">
        <v>0</v>
      </c>
      <c r="M2271" s="14">
        <f>SUMIFS(Maßnahmen!$I$7:$I$126,Maßnahmen!$D$7:$D$126,C2271,Maßnahmen!$H$7:$H$126,"&lt;&gt;verworfen")</f>
        <v/>
      </c>
      <c r="N2271" s="14">
        <f>IF(ISNUMBER(K2271),MAX(0,K2271-L2271-M2271),"n.a.")</f>
        <v/>
      </c>
      <c r="O2271" s="14" t="n">
        <v>2.76</v>
      </c>
      <c r="P2271" s="14">
        <f>IF(ISNUMBER(K2271),K2271-O2271,"n.a.")</f>
        <v/>
      </c>
    </row>
    <row r="2274">
      <c r="C2274" t="inlineStr">
        <is>
          <t>SharePoint-Verknüpfungen (Dateien im selben Ordner)</t>
        </is>
      </c>
    </row>
    <row r="2275">
      <c r="C2275" t="inlineStr">
        <is>
          <t>Diese Datei</t>
        </is>
      </c>
      <c r="D2275" t="inlineStr">
        <is>
          <t>Risiken.xlsx</t>
        </is>
      </c>
    </row>
  </sheetData>
  <mergeCells count="2">
    <mergeCell ref="C2:R2"/>
    <mergeCell ref="C3:R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2026-10-12T08:21:58Z</dcterms:created>
  <dcterms:modified xsi:type="dcterms:W3CDTF">2026-10-12T08:22:04Z</dcterms:modified>
</cp:coreProperties>
</file>