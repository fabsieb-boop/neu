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t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0" fontId="6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1" displayName="TVF_81" ref="C18:K30" headerRowCount="1">
  <tableColumns count="9">
    <tableColumn id="1" name="Jahr"/>
    <tableColumn id="2" name="Monat"/>
    <tableColumn id="3" name="Art"/>
    <tableColumn id="4" name="EBITDA Plan"/>
    <tableColumn id="5" name="EBITDA Ist/FC"/>
    <tableColumn id="6" name="Δ EBITDA"/>
    <tableColumn id="7" name="GL Plan"/>
    <tableColumn id="8" name="GL Ist/FC"/>
    <tableColumn id="9" name="Δ Leis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A2" s="1" t="n"/>
      <c r="B2" s="1" t="n"/>
      <c r="C2" s="2" t="inlineStr">
        <is>
          <t>Monatsanalyse und Planabweichung</t>
        </is>
      </c>
      <c r="D2" s="3" t="n"/>
      <c r="E2" s="3" t="n"/>
      <c r="F2" s="3" t="n"/>
      <c r="G2" s="3" t="n"/>
      <c r="H2" s="3" t="n"/>
      <c r="I2" s="3" t="n"/>
      <c r="J2" s="3" t="n"/>
      <c r="K2" s="3" t="n"/>
    </row>
    <row r="3" ht="32" customHeight="1">
      <c r="A3" s="1" t="n"/>
      <c r="B3" s="1" t="n"/>
      <c r="C3" s="4" t="inlineStr">
        <is>
          <t>Monat und Vormonat folgen GuV einschließlich CSV-Import. Plan und die Abweichungstreiber darunter bleiben im Originalstand.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34" customHeight="1">
      <c r="A6" s="1" t="n"/>
      <c r="B6" s="1" t="n"/>
      <c r="C6" s="5" t="inlineStr">
        <is>
          <t>Kennzahl</t>
        </is>
      </c>
      <c r="D6" s="5" t="inlineStr">
        <is>
          <t>Berichtsmonat</t>
        </is>
      </c>
      <c r="E6" s="5" t="inlineStr">
        <is>
          <t>Vormonat</t>
        </is>
      </c>
      <c r="F6" s="5" t="inlineStr">
        <is>
          <t>Δ Vormonat</t>
        </is>
      </c>
      <c r="G6" s="5" t="inlineStr">
        <is>
          <t>Plan Monat</t>
        </is>
      </c>
      <c r="H6" s="5" t="inlineStr">
        <is>
          <t>Δ Plan</t>
        </is>
      </c>
      <c r="I6" s="5" t="inlineStr">
        <is>
          <t>Δ Plan %</t>
        </is>
      </c>
      <c r="J6" s="1" t="n"/>
      <c r="K6" s="1" t="n"/>
    </row>
    <row r="7">
      <c r="A7" s="1" t="n"/>
      <c r="B7" s="1" t="n"/>
      <c r="C7" s="1" t="inlineStr">
        <is>
          <t>Umsatz</t>
        </is>
      </c>
      <c r="D7" s="6">
        <f>INDEX('[GuV.xlsx]GuV'!$F$7:$Q$7,1,'[Steuerung.xlsx]Steuerung'!$F$7)</f>
        <v/>
      </c>
      <c r="E7" s="6">
        <f>IF('[Steuerung.xlsx]Steuerung'!$F$7=1,"n.a.",INDEX('[GuV.xlsx]GuV'!$F$7:$Q$7,1,'[Steuerung.xlsx]Steuerung'!$F$7-1))</f>
        <v/>
      </c>
      <c r="F7" s="6">
        <f>IF(ISNUMBER(E7),D7-E7,"n.a.")</f>
        <v/>
      </c>
      <c r="G7" s="6" t="inlineStr">
        <is>
          <t>n.a.</t>
        </is>
      </c>
      <c r="H7" s="6" t="inlineStr">
        <is>
          <t>n.a.</t>
        </is>
      </c>
      <c r="I7" s="7" t="inlineStr">
        <is>
          <t>n.a.</t>
        </is>
      </c>
      <c r="J7" s="1" t="n"/>
      <c r="K7" s="1" t="n"/>
    </row>
    <row r="8">
      <c r="A8" s="1" t="n"/>
      <c r="B8" s="1" t="n"/>
      <c r="C8" s="1" t="inlineStr">
        <is>
          <t>Bestandsveränderung</t>
        </is>
      </c>
      <c r="D8" s="6">
        <f>INDEX('[GuV.xlsx]GuV'!$F$8:$Q$8,1,'[Steuerung.xlsx]Steuerung'!$F$7)</f>
        <v/>
      </c>
      <c r="E8" s="6">
        <f>IF('[Steuerung.xlsx]Steuerung'!$F$7=1,"n.a.",INDEX('[GuV.xlsx]GuV'!$F$8:$Q$8,1,'[Steuerung.xlsx]Steuerung'!$F$7-1))</f>
        <v/>
      </c>
      <c r="F8" s="6">
        <f>IF(ISNUMBER(E8),D8-E8,"n.a.")</f>
        <v/>
      </c>
      <c r="G8" s="6" t="inlineStr">
        <is>
          <t>n.a.</t>
        </is>
      </c>
      <c r="H8" s="6" t="inlineStr">
        <is>
          <t>n.a.</t>
        </is>
      </c>
      <c r="I8" s="7" t="inlineStr">
        <is>
          <t>n.a.</t>
        </is>
      </c>
      <c r="J8" s="1" t="n"/>
      <c r="K8" s="1" t="n"/>
    </row>
    <row r="9">
      <c r="A9" s="1" t="n"/>
      <c r="B9" s="1" t="n"/>
      <c r="C9" s="1" t="inlineStr">
        <is>
          <t>Gesamtleistung</t>
        </is>
      </c>
      <c r="D9" s="6">
        <f>INDEX('[GuV.xlsx]GuV'!$F$9:$Q$9,1,'[Steuerung.xlsx]Steuerung'!$F$7)</f>
        <v/>
      </c>
      <c r="E9" s="6">
        <f>IF('[Steuerung.xlsx]Steuerung'!$F$7=1,"n.a.",INDEX('[GuV.xlsx]GuV'!$F$9:$Q$9,1,'[Steuerung.xlsx]Steuerung'!$F$7-1))</f>
        <v/>
      </c>
      <c r="F9" s="6">
        <f>IF(ISNUMBER(E9),D9-E9,"n.a.")</f>
        <v/>
      </c>
      <c r="G9" s="6">
        <f>SUMIFS('[D Finanzen.xlsx]D Finanzen'!$D$182:$D$193,'[D Finanzen.xlsx]D Finanzen'!$A$182:$A$193,'[Steuerung.xlsx]Steuerung'!$F$6,'[D Finanzen.xlsx]D Finanzen'!$B$182:$B$193,'[Steuerung.xlsx]Steuerung'!$F$7)</f>
        <v/>
      </c>
      <c r="H9" s="6">
        <f>D9-G9</f>
        <v/>
      </c>
      <c r="I9" s="7">
        <f>IF(G9=0,"n.a.",H9/ABS(G9))</f>
        <v/>
      </c>
      <c r="J9" s="1" t="n"/>
      <c r="K9" s="1" t="n"/>
    </row>
    <row r="10" ht="25" customHeight="1">
      <c r="A10" s="1" t="n"/>
      <c r="B10" s="1" t="n"/>
      <c r="C10" s="8" t="inlineStr">
        <is>
          <t>EBITDA</t>
        </is>
      </c>
      <c r="D10" s="9">
        <f>INDEX('[GuV.xlsx]GuV'!$F$20:$Q$20,1,'[Steuerung.xlsx]Steuerung'!$F$7)</f>
        <v/>
      </c>
      <c r="E10" s="9">
        <f>IF('[Steuerung.xlsx]Steuerung'!$F$7=1,"n.a.",INDEX('[GuV.xlsx]GuV'!$F$20:$Q$20,1,'[Steuerung.xlsx]Steuerung'!$F$7-1))</f>
        <v/>
      </c>
      <c r="F10" s="9">
        <f>IF(ISNUMBER(E10),D10-E10,"n.a.")</f>
        <v/>
      </c>
      <c r="G10" s="9">
        <f>SUMIFS('[D Finanzen.xlsx]D Finanzen'!$G$182:$G$193,'[D Finanzen.xlsx]D Finanzen'!$A$182:$A$193,'[Steuerung.xlsx]Steuerung'!$F$6,'[D Finanzen.xlsx]D Finanzen'!$B$182:$B$193,'[Steuerung.xlsx]Steuerung'!$F$7)</f>
        <v/>
      </c>
      <c r="H10" s="9">
        <f>D10-G10</f>
        <v/>
      </c>
      <c r="I10" s="10">
        <f>IF(G10=0,"n.a.",H10/ABS(G10))</f>
        <v/>
      </c>
      <c r="J10" s="1" t="n"/>
      <c r="K10" s="1" t="n"/>
    </row>
    <row r="11">
      <c r="A11" s="1" t="n"/>
      <c r="B11" s="1" t="n"/>
      <c r="C11" s="1" t="inlineStr">
        <is>
          <t>Neutrales Ergebnis</t>
        </is>
      </c>
      <c r="D11" s="6">
        <f>INDEX('[GuV.xlsx]GuV'!$F$24:$Q$24,1,'[Steuerung.xlsx]Steuerung'!$F$7)</f>
        <v/>
      </c>
      <c r="E11" s="6">
        <f>IF('[Steuerung.xlsx]Steuerung'!$F$7=1,"n.a.",INDEX('[GuV.xlsx]GuV'!$F$24:$Q$24,1,'[Steuerung.xlsx]Steuerung'!$F$7-1))</f>
        <v/>
      </c>
      <c r="F11" s="6">
        <f>IF(ISNUMBER(E11),D11-E11,"n.a.")</f>
        <v/>
      </c>
      <c r="G11" s="6" t="inlineStr">
        <is>
          <t>n.a.</t>
        </is>
      </c>
      <c r="H11" s="6" t="inlineStr">
        <is>
          <t>n.a.</t>
        </is>
      </c>
      <c r="I11" s="7" t="inlineStr">
        <is>
          <t>n.a.</t>
        </is>
      </c>
      <c r="J11" s="1" t="n"/>
      <c r="K11" s="1" t="n"/>
    </row>
    <row r="12">
      <c r="A12" s="1" t="n"/>
      <c r="B12" s="1" t="n"/>
      <c r="C12" s="1" t="inlineStr">
        <is>
          <t>EBITDA nach neutral</t>
        </is>
      </c>
      <c r="D12" s="6">
        <f>SUM(D10:D11)</f>
        <v/>
      </c>
      <c r="E12" s="6">
        <f>IF('[Steuerung.xlsx]Steuerung'!$F$7=1,"n.a.",SUM(E10:E11))</f>
        <v/>
      </c>
      <c r="F12" s="6">
        <f>IF(ISNUMBER(E12),D12-E12,"n.a.")</f>
        <v/>
      </c>
      <c r="G12" s="6" t="inlineStr">
        <is>
          <t>n.a.</t>
        </is>
      </c>
      <c r="H12" s="6" t="inlineStr">
        <is>
          <t>n.a.</t>
        </is>
      </c>
      <c r="I12" s="7" t="inlineStr">
        <is>
          <t>n.a.</t>
        </is>
      </c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26" customHeight="1">
      <c r="A16" s="1" t="n"/>
      <c r="B16" s="1" t="n"/>
      <c r="C16" s="11" t="inlineStr">
        <is>
          <t>Monatliche Abweichungstreiber aus dem Original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36" customHeight="1">
      <c r="A18" s="1" t="n"/>
      <c r="B18" s="1" t="n"/>
      <c r="C18" s="5" t="inlineStr">
        <is>
          <t>Jahr</t>
        </is>
      </c>
      <c r="D18" s="5" t="inlineStr">
        <is>
          <t>Monat</t>
        </is>
      </c>
      <c r="E18" s="5" t="inlineStr">
        <is>
          <t>Art</t>
        </is>
      </c>
      <c r="F18" s="5" t="inlineStr">
        <is>
          <t>EBITDA Plan</t>
        </is>
      </c>
      <c r="G18" s="5" t="inlineStr">
        <is>
          <t>EBITDA Ist/FC</t>
        </is>
      </c>
      <c r="H18" s="5" t="inlineStr">
        <is>
          <t>Δ EBITDA</t>
        </is>
      </c>
      <c r="I18" s="5" t="inlineStr">
        <is>
          <t>GL Plan</t>
        </is>
      </c>
      <c r="J18" s="5" t="inlineStr">
        <is>
          <t>GL Ist/FC</t>
        </is>
      </c>
      <c r="K18" s="5" t="inlineStr">
        <is>
          <t>Δ Leistung</t>
        </is>
      </c>
    </row>
    <row r="19" ht="21" customHeight="1">
      <c r="A19" s="1" t="n"/>
      <c r="B19" s="1" t="n"/>
      <c r="C19" s="1" t="n">
        <v>2026</v>
      </c>
      <c r="D19" s="1" t="n">
        <v>1</v>
      </c>
      <c r="E19" s="1" t="inlineStr">
        <is>
          <t>IST</t>
        </is>
      </c>
      <c r="F19" s="6" t="n">
        <v>76000</v>
      </c>
      <c r="G19" s="6" t="n">
        <v>294942.37</v>
      </c>
      <c r="H19" s="6" t="n">
        <v>218942.37</v>
      </c>
      <c r="I19" s="6" t="n">
        <v>1416000</v>
      </c>
      <c r="J19" s="6" t="n">
        <v>1920412.71</v>
      </c>
      <c r="K19" s="6" t="n">
        <v>504412.71</v>
      </c>
    </row>
    <row r="20" ht="21" customHeight="1">
      <c r="A20" s="1" t="n"/>
      <c r="B20" s="1" t="n"/>
      <c r="C20" s="1" t="n">
        <v>2026</v>
      </c>
      <c r="D20" s="1" t="n">
        <v>2</v>
      </c>
      <c r="E20" s="1" t="inlineStr">
        <is>
          <t>IST</t>
        </is>
      </c>
      <c r="F20" s="6" t="n">
        <v>25000</v>
      </c>
      <c r="G20" s="6" t="n">
        <v>318570.76</v>
      </c>
      <c r="H20" s="6" t="n">
        <v>293570.76</v>
      </c>
      <c r="I20" s="6" t="n">
        <v>1348000</v>
      </c>
      <c r="J20" s="6" t="n">
        <v>2577067.73</v>
      </c>
      <c r="K20" s="6" t="n">
        <v>1229067.73</v>
      </c>
    </row>
    <row r="21" ht="21" customHeight="1">
      <c r="A21" s="1" t="n"/>
      <c r="B21" s="1" t="n"/>
      <c r="C21" s="1" t="n">
        <v>2026</v>
      </c>
      <c r="D21" s="1" t="n">
        <v>3</v>
      </c>
      <c r="E21" s="1" t="inlineStr">
        <is>
          <t>IST</t>
        </is>
      </c>
      <c r="F21" s="6" t="n">
        <v>127000</v>
      </c>
      <c r="G21" s="6" t="n">
        <v>23595.18</v>
      </c>
      <c r="H21" s="6" t="n">
        <v>-103404.82</v>
      </c>
      <c r="I21" s="6" t="n">
        <v>1483000</v>
      </c>
      <c r="J21" s="6" t="n">
        <v>2412212.87</v>
      </c>
      <c r="K21" s="6" t="n">
        <v>929212.87</v>
      </c>
    </row>
    <row r="22" ht="21" customHeight="1">
      <c r="A22" s="1" t="n"/>
      <c r="B22" s="1" t="n"/>
      <c r="C22" s="1" t="n">
        <v>2026</v>
      </c>
      <c r="D22" s="1" t="n">
        <v>4</v>
      </c>
      <c r="E22" s="1" t="inlineStr">
        <is>
          <t>IST</t>
        </is>
      </c>
      <c r="F22" s="6" t="n">
        <v>24000</v>
      </c>
      <c r="G22" s="6" t="n">
        <v>-179274.07</v>
      </c>
      <c r="H22" s="6" t="n">
        <v>-203274.07</v>
      </c>
      <c r="I22" s="6" t="n">
        <v>1348000</v>
      </c>
      <c r="J22" s="6" t="n">
        <v>1939563.48</v>
      </c>
      <c r="K22" s="6" t="n">
        <v>591563.48</v>
      </c>
    </row>
    <row r="23" ht="21" customHeight="1">
      <c r="A23" s="1" t="n"/>
      <c r="B23" s="1" t="n"/>
      <c r="C23" s="1" t="n">
        <v>2026</v>
      </c>
      <c r="D23" s="1" t="n">
        <v>5</v>
      </c>
      <c r="E23" s="1" t="inlineStr">
        <is>
          <t>IST</t>
        </is>
      </c>
      <c r="F23" s="6" t="n">
        <v>-79000</v>
      </c>
      <c r="G23" s="6" t="n">
        <v>-141241.9</v>
      </c>
      <c r="H23" s="6" t="n">
        <v>-62241.9</v>
      </c>
      <c r="I23" s="6" t="n">
        <v>1213000</v>
      </c>
      <c r="J23" s="6" t="n">
        <v>1083981.39</v>
      </c>
      <c r="K23" s="6" t="n">
        <v>-129018.61</v>
      </c>
    </row>
    <row r="24" ht="21" customHeight="1">
      <c r="A24" s="1" t="n"/>
      <c r="B24" s="1" t="n"/>
      <c r="C24" s="1" t="n">
        <v>2026</v>
      </c>
      <c r="D24" s="1" t="n">
        <v>6</v>
      </c>
      <c r="E24" s="1" t="inlineStr">
        <is>
          <t>IST</t>
        </is>
      </c>
      <c r="F24" s="6" t="n">
        <v>126000</v>
      </c>
      <c r="G24" s="6" t="n">
        <v>58553.86</v>
      </c>
      <c r="H24" s="6" t="n">
        <v>-67446.14</v>
      </c>
      <c r="I24" s="6" t="n">
        <v>1483000</v>
      </c>
      <c r="J24" s="6" t="n">
        <v>2784687.33</v>
      </c>
      <c r="K24" s="6" t="n">
        <v>1301687.33</v>
      </c>
    </row>
    <row r="25" ht="21" customHeight="1">
      <c r="A25" s="1" t="n"/>
      <c r="B25" s="1" t="n"/>
      <c r="C25" s="1" t="n">
        <v>2026</v>
      </c>
      <c r="D25" s="1" t="n">
        <v>7</v>
      </c>
      <c r="E25" s="1" t="inlineStr">
        <is>
          <t>IST</t>
        </is>
      </c>
      <c r="F25" s="6" t="n">
        <v>178000</v>
      </c>
      <c r="G25" s="6" t="n">
        <v>-495291.54</v>
      </c>
      <c r="H25" s="6" t="n">
        <v>-673291.54</v>
      </c>
      <c r="I25" s="6" t="n">
        <v>1551000</v>
      </c>
      <c r="J25" s="6" t="n">
        <v>1618644.66</v>
      </c>
      <c r="K25" s="6" t="n">
        <v>67644.66</v>
      </c>
    </row>
    <row r="26" ht="21" customHeight="1">
      <c r="A26" s="1" t="n"/>
      <c r="B26" s="1" t="n"/>
      <c r="C26" s="1" t="n">
        <v>2026</v>
      </c>
      <c r="D26" s="1" t="n">
        <v>8</v>
      </c>
      <c r="E26" s="1" t="inlineStr">
        <is>
          <t>IST</t>
        </is>
      </c>
      <c r="F26" s="6" t="n">
        <v>76000</v>
      </c>
      <c r="G26" s="6" t="n">
        <v>-138242.37</v>
      </c>
      <c r="H26" s="6" t="n">
        <v>-214242.37</v>
      </c>
      <c r="I26" s="6" t="n">
        <v>1416000</v>
      </c>
      <c r="J26" s="6" t="n">
        <v>1876864.98</v>
      </c>
      <c r="K26" s="6" t="n">
        <v>460864.98</v>
      </c>
    </row>
    <row r="27" ht="21" customHeight="1">
      <c r="A27" s="1" t="n"/>
      <c r="B27" s="1" t="n"/>
      <c r="C27" s="1" t="n">
        <v>2026</v>
      </c>
      <c r="D27" s="1" t="n">
        <v>9</v>
      </c>
      <c r="E27" s="1" t="inlineStr">
        <is>
          <t>FC</t>
        </is>
      </c>
      <c r="F27" s="6" t="n">
        <v>125000</v>
      </c>
      <c r="G27" s="6" t="n">
        <v>309886</v>
      </c>
      <c r="H27" s="6" t="n">
        <v>184886</v>
      </c>
      <c r="I27" s="6" t="n">
        <v>1483000</v>
      </c>
      <c r="J27" s="6" t="n">
        <v>2604944</v>
      </c>
      <c r="K27" s="6" t="n">
        <v>1121944</v>
      </c>
    </row>
    <row r="28" ht="21" customHeight="1">
      <c r="A28" s="1" t="n"/>
      <c r="B28" s="1" t="n"/>
      <c r="C28" s="1" t="n">
        <v>2026</v>
      </c>
      <c r="D28" s="1" t="n">
        <v>10</v>
      </c>
      <c r="E28" s="1" t="inlineStr">
        <is>
          <t>FC</t>
        </is>
      </c>
      <c r="F28" s="6" t="n">
        <v>125000</v>
      </c>
      <c r="G28" s="6" t="n">
        <v>118692</v>
      </c>
      <c r="H28" s="6" t="n">
        <v>-6308</v>
      </c>
      <c r="I28" s="6" t="n">
        <v>1483000</v>
      </c>
      <c r="J28" s="6" t="n">
        <v>1333000</v>
      </c>
      <c r="K28" s="6" t="n">
        <v>-150000</v>
      </c>
    </row>
    <row r="29" ht="21" customHeight="1">
      <c r="A29" s="1" t="n"/>
      <c r="B29" s="1" t="n"/>
      <c r="C29" s="1" t="n">
        <v>2026</v>
      </c>
      <c r="D29" s="1" t="n">
        <v>11</v>
      </c>
      <c r="E29" s="1" t="inlineStr">
        <is>
          <t>FC</t>
        </is>
      </c>
      <c r="F29" s="6" t="n">
        <v>73000</v>
      </c>
      <c r="G29" s="6" t="n">
        <v>380092</v>
      </c>
      <c r="H29" s="6" t="n">
        <v>307092</v>
      </c>
      <c r="I29" s="6" t="n">
        <v>1416000</v>
      </c>
      <c r="J29" s="6" t="n">
        <v>1775000</v>
      </c>
      <c r="K29" s="6" t="n">
        <v>359000</v>
      </c>
    </row>
    <row r="30" ht="21" customHeight="1">
      <c r="A30" s="1" t="n"/>
      <c r="B30" s="1" t="n"/>
      <c r="C30" s="1" t="n">
        <v>2026</v>
      </c>
      <c r="D30" s="1" t="n">
        <v>12</v>
      </c>
      <c r="E30" s="1" t="inlineStr">
        <is>
          <t>FC</t>
        </is>
      </c>
      <c r="F30" s="6" t="n">
        <v>124000</v>
      </c>
      <c r="G30" s="6" t="n">
        <v>-110405</v>
      </c>
      <c r="H30" s="6" t="n">
        <v>-234405</v>
      </c>
      <c r="I30" s="6" t="n">
        <v>1483000</v>
      </c>
      <c r="J30" s="6" t="n">
        <v>1073000</v>
      </c>
      <c r="K30" s="6" t="n">
        <v>-410000</v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Monatsanalyse.xlsx</t>
        </is>
      </c>
    </row>
    <row r="65">
      <c r="C65" t="inlineStr">
        <is>
          <t>Liest aus</t>
        </is>
      </c>
      <c r="D65" t="inlineStr">
        <is>
          <t>D Finanzen.xlsx</t>
        </is>
      </c>
      <c r="E65" t="inlineStr">
        <is>
          <t>D Finanzen</t>
        </is>
      </c>
    </row>
    <row r="66">
      <c r="C66" t="inlineStr">
        <is>
          <t>Liest aus</t>
        </is>
      </c>
      <c r="D66" t="inlineStr">
        <is>
          <t>GuV.xlsx</t>
        </is>
      </c>
      <c r="E66" t="inlineStr">
        <is>
          <t>GuV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mergeCells count="3">
    <mergeCell ref="C2:K2"/>
    <mergeCell ref="C16:M16"/>
    <mergeCell ref="C3:K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2026-10-12T08:21:44Z</dcterms:created>
  <dcterms:modified xsi:type="dcterms:W3CDTF">2026-10-12T08:21:44Z</dcterms:modified>
</cp:coreProperties>
</file>