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ückstellunge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[Red]\(#,##0.00\);&quot;–&quot;"/>
  </numFmts>
  <fonts count="6">
    <font>
      <name val="Calibri"/>
      <family val="2"/>
      <color theme="1"/>
      <sz val="11"/>
      <scheme val="minor"/>
    </font>
    <font>
      <name val="Arial"/>
      <family val="2"/>
      <color rgb="FF1E293B"/>
      <sz val="10"/>
    </font>
    <font>
      <name val="Arial"/>
      <family val="2"/>
      <b val="1"/>
      <color rgb="FF1E293B"/>
      <sz val="16"/>
    </font>
    <font>
      <name val="Carlito"/>
      <sz val="11"/>
    </font>
    <font>
      <name val="Arial"/>
      <family val="2"/>
      <color rgb="FF64748B"/>
      <sz val="10"/>
    </font>
    <font>
      <name val="Arial"/>
      <family val="2"/>
      <b val="1"/>
      <color rgb="FFFFFFFF"/>
      <sz val="10"/>
    </font>
  </fonts>
  <fills count="3">
    <fill>
      <patternFill/>
    </fill>
    <fill>
      <patternFill patternType="gray125"/>
    </fill>
    <fill>
      <patternFill patternType="solid">
        <fgColor rgb="FF1E293B"/>
      </patternFill>
    </fill>
  </fills>
  <borders count="2">
    <border>
      <left/>
      <right/>
      <top/>
      <bottom/>
      <diagonal/>
    </border>
    <border>
      <left/>
      <right/>
      <top/>
      <bottom style="thin">
        <color rgb="FF2563EB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0" fillId="0" borderId="1" pivotButton="0" quotePrefix="0" xfId="0"/>
    <xf numFmtId="0" fontId="4" fillId="0" borderId="0" applyAlignment="1" pivotButton="0" quotePrefix="0" xfId="0">
      <alignment vertical="center" wrapText="1"/>
    </xf>
    <xf numFmtId="0" fontId="5" fillId="2" borderId="0" applyAlignment="1" pivotButton="0" quotePrefix="0" xfId="0">
      <alignment horizontal="center" vertical="center" wrapText="1"/>
    </xf>
    <xf numFmtId="164" fontId="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VF_100" displayName="TVF_100" ref="C6:J18" headerRowCount="1">
  <tableColumns count="8">
    <tableColumn id="1" name="Konto"/>
    <tableColumn id="2" name="Bezeichnung"/>
    <tableColumn id="3" name="Anfangsbestand"/>
    <tableColumn id="4" name="Verbrauch / Auflösung"/>
    <tableColumn id="5" name="Zuführung"/>
    <tableColumn id="6" name="Endbestand"/>
    <tableColumn id="7" name="Quelle Ende"/>
    <tableColumn id="8" name="Differenz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5" customWidth="1" min="1" max="1"/>
    <col width="38" customWidth="1" min="3" max="3"/>
    <col width="55" customWidth="1" min="4" max="4"/>
    <col width="15" customWidth="1" min="5" max="5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30" customHeight="1">
      <c r="A2" s="1" t="n"/>
      <c r="B2" s="1" t="n"/>
      <c r="C2" s="2" t="inlineStr">
        <is>
          <t>Rückstellungsspiegel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 ht="32" customHeight="1">
      <c r="A3" s="1" t="n"/>
      <c r="B3" s="1" t="n"/>
      <c r="C3" s="4" t="inlineStr">
        <is>
          <t>Passiva positiv. Der Export enthält Nettobewegungen; Verbrauch und Auflösung können damit nicht getrennt ausgewiesen werden.</t>
        </is>
      </c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</row>
    <row r="6" ht="36" customHeight="1">
      <c r="A6" s="1" t="n"/>
      <c r="B6" s="1" t="n"/>
      <c r="C6" s="5" t="inlineStr">
        <is>
          <t>Konto</t>
        </is>
      </c>
      <c r="D6" s="5" t="inlineStr">
        <is>
          <t>Bezeichnung</t>
        </is>
      </c>
      <c r="E6" s="5" t="inlineStr">
        <is>
          <t>Anfangsbestand</t>
        </is>
      </c>
      <c r="F6" s="5" t="inlineStr">
        <is>
          <t>Verbrauch / Auflösung</t>
        </is>
      </c>
      <c r="G6" s="5" t="inlineStr">
        <is>
          <t>Zuführung</t>
        </is>
      </c>
      <c r="H6" s="5" t="inlineStr">
        <is>
          <t>Endbestand</t>
        </is>
      </c>
      <c r="I6" s="5" t="inlineStr">
        <is>
          <t>Quelle Ende</t>
        </is>
      </c>
      <c r="J6" s="5" t="inlineStr">
        <is>
          <t>Differenz</t>
        </is>
      </c>
      <c r="K6" s="1" t="n"/>
      <c r="L6" s="1" t="n"/>
    </row>
    <row r="7" ht="21" customHeight="1">
      <c r="A7" s="1" t="n"/>
      <c r="B7" s="1" t="n"/>
      <c r="C7" s="1" t="inlineStr">
        <is>
          <t>599992</t>
        </is>
      </c>
      <c r="D7" s="1" t="inlineStr">
        <is>
          <t>599992 Gegenkonto Kostenabgrenzungen (Rückstell.)</t>
        </is>
      </c>
      <c r="E7" s="6" t="n">
        <v>0</v>
      </c>
      <c r="F7" s="6" t="n">
        <v>0</v>
      </c>
      <c r="G7" s="6" t="n">
        <v>57000</v>
      </c>
      <c r="H7" s="6">
        <f>E7-F7+G7</f>
        <v/>
      </c>
      <c r="I7" s="6" t="n">
        <v>57000</v>
      </c>
      <c r="J7" s="6">
        <f>H7-I7</f>
        <v/>
      </c>
      <c r="K7" s="1" t="n"/>
      <c r="L7" s="1" t="n"/>
    </row>
    <row r="8" ht="21" customHeight="1">
      <c r="A8" s="1" t="n"/>
      <c r="B8" s="1" t="n"/>
      <c r="C8" s="1" t="inlineStr">
        <is>
          <t>95510</t>
        </is>
      </c>
      <c r="D8" s="1" t="inlineStr">
        <is>
          <t>095510 Gewerbesteuerrückstellung</t>
        </is>
      </c>
      <c r="E8" s="6" t="n">
        <v>1265.1</v>
      </c>
      <c r="F8" s="6" t="n">
        <v>1014.3</v>
      </c>
      <c r="G8" s="6" t="n">
        <v>0</v>
      </c>
      <c r="H8" s="6">
        <f>E8-F8+G8</f>
        <v/>
      </c>
      <c r="I8" s="6" t="n">
        <v>250.8</v>
      </c>
      <c r="J8" s="6">
        <f>H8-I8</f>
        <v/>
      </c>
      <c r="K8" s="1" t="n"/>
      <c r="L8" s="1" t="n"/>
    </row>
    <row r="9" ht="21" customHeight="1">
      <c r="A9" s="1" t="n"/>
      <c r="B9" s="1" t="n"/>
      <c r="C9" s="1" t="inlineStr">
        <is>
          <t>95520</t>
        </is>
      </c>
      <c r="D9" s="1" t="inlineStr">
        <is>
          <t>095520 Körperschaftsteuerrückstellung inkl. SolZ</t>
        </is>
      </c>
      <c r="E9" s="6" t="n">
        <v>1645.8</v>
      </c>
      <c r="F9" s="6" t="n">
        <v>1645.8</v>
      </c>
      <c r="G9" s="6" t="n">
        <v>0</v>
      </c>
      <c r="H9" s="6">
        <f>E9-F9+G9</f>
        <v/>
      </c>
      <c r="I9" s="6" t="n">
        <v>0</v>
      </c>
      <c r="J9" s="6">
        <f>H9-I9</f>
        <v/>
      </c>
      <c r="K9" s="1" t="n"/>
      <c r="L9" s="1" t="n"/>
    </row>
    <row r="10" ht="21" customHeight="1">
      <c r="A10" s="1" t="n"/>
      <c r="B10" s="1" t="n"/>
      <c r="C10" s="1" t="inlineStr">
        <is>
          <t>97030</t>
        </is>
      </c>
      <c r="D10" s="1" t="inlineStr">
        <is>
          <t>097030 Rückstellungen für ausstehende Rechnungen/Leistg.</t>
        </is>
      </c>
      <c r="E10" s="6" t="n">
        <v>88700</v>
      </c>
      <c r="F10" s="6" t="n">
        <v>88700</v>
      </c>
      <c r="G10" s="6" t="n">
        <v>0</v>
      </c>
      <c r="H10" s="6">
        <f>E10-F10+G10</f>
        <v/>
      </c>
      <c r="I10" s="6" t="n">
        <v>0</v>
      </c>
      <c r="J10" s="6">
        <f>H10-I10</f>
        <v/>
      </c>
      <c r="K10" s="1" t="n"/>
      <c r="L10" s="1" t="n"/>
    </row>
    <row r="11" ht="21" customHeight="1">
      <c r="A11" s="1" t="n"/>
      <c r="B11" s="1" t="n"/>
      <c r="C11" s="1" t="inlineStr">
        <is>
          <t>97035</t>
        </is>
      </c>
      <c r="D11" s="1" t="inlineStr">
        <is>
          <t>097035 Rückst. f. Jahresabschluss/Rechtsberatung</t>
        </is>
      </c>
      <c r="E11" s="6" t="n">
        <v>33330</v>
      </c>
      <c r="F11" s="6" t="n">
        <v>22148</v>
      </c>
      <c r="G11" s="6" t="n">
        <v>0</v>
      </c>
      <c r="H11" s="6">
        <f>E11-F11+G11</f>
        <v/>
      </c>
      <c r="I11" s="6" t="n">
        <v>11182</v>
      </c>
      <c r="J11" s="6">
        <f>H11-I11</f>
        <v/>
      </c>
      <c r="K11" s="1" t="n"/>
      <c r="L11" s="1" t="n"/>
    </row>
    <row r="12" ht="21" customHeight="1">
      <c r="A12" s="1" t="n"/>
      <c r="B12" s="1" t="n"/>
      <c r="C12" s="1" t="inlineStr">
        <is>
          <t>97200</t>
        </is>
      </c>
      <c r="D12" s="1" t="inlineStr">
        <is>
          <t>097200 Rückstellung Berufsgenossenschaft</t>
        </is>
      </c>
      <c r="E12" s="6" t="n">
        <v>67750</v>
      </c>
      <c r="F12" s="6" t="n">
        <v>67462.2</v>
      </c>
      <c r="G12" s="6" t="n">
        <v>0</v>
      </c>
      <c r="H12" s="6">
        <f>E12-F12+G12</f>
        <v/>
      </c>
      <c r="I12" s="6" t="n">
        <v>287.8</v>
      </c>
      <c r="J12" s="6">
        <f>H12-I12</f>
        <v/>
      </c>
      <c r="K12" s="1" t="n"/>
      <c r="L12" s="1" t="n"/>
    </row>
    <row r="13" ht="21" customHeight="1">
      <c r="A13" s="1" t="n"/>
      <c r="B13" s="1" t="n"/>
      <c r="C13" s="1" t="inlineStr">
        <is>
          <t>97201</t>
        </is>
      </c>
      <c r="D13" s="1" t="inlineStr">
        <is>
          <t>097201 Rückstellung Schwerbehindertenabgabe</t>
        </is>
      </c>
      <c r="E13" s="6" t="n">
        <v>700</v>
      </c>
      <c r="F13" s="6" t="n">
        <v>700</v>
      </c>
      <c r="G13" s="6" t="n">
        <v>0</v>
      </c>
      <c r="H13" s="6">
        <f>E13-F13+G13</f>
        <v/>
      </c>
      <c r="I13" s="6" t="n">
        <v>0</v>
      </c>
      <c r="J13" s="6">
        <f>H13-I13</f>
        <v/>
      </c>
      <c r="K13" s="1" t="n"/>
      <c r="L13" s="1" t="n"/>
    </row>
    <row r="14" ht="21" customHeight="1">
      <c r="A14" s="1" t="n"/>
      <c r="B14" s="1" t="n"/>
      <c r="C14" s="1" t="inlineStr">
        <is>
          <t>97202</t>
        </is>
      </c>
      <c r="D14" s="1" t="inlineStr">
        <is>
          <t>097202 Rückstellung Urlaubsverpflichtungen</t>
        </is>
      </c>
      <c r="E14" s="6" t="n">
        <v>108635.41</v>
      </c>
      <c r="F14" s="6" t="n">
        <v>0</v>
      </c>
      <c r="G14" s="6" t="n">
        <v>0</v>
      </c>
      <c r="H14" s="6">
        <f>E14-F14+G14</f>
        <v/>
      </c>
      <c r="I14" s="6" t="n">
        <v>108635.41</v>
      </c>
      <c r="J14" s="6">
        <f>H14-I14</f>
        <v/>
      </c>
      <c r="K14" s="1" t="n"/>
      <c r="L14" s="1" t="n"/>
    </row>
    <row r="15" ht="21" customHeight="1">
      <c r="A15" s="1" t="n"/>
      <c r="B15" s="1" t="n"/>
      <c r="C15" s="1" t="inlineStr">
        <is>
          <t>97207</t>
        </is>
      </c>
      <c r="D15" s="1" t="inlineStr">
        <is>
          <t>097207 Rückstellung Variable Vergütung</t>
        </is>
      </c>
      <c r="E15" s="6" t="n">
        <v>115620.7</v>
      </c>
      <c r="F15" s="6" t="n">
        <v>49115.05</v>
      </c>
      <c r="G15" s="6" t="n">
        <v>0</v>
      </c>
      <c r="H15" s="6">
        <f>E15-F15+G15</f>
        <v/>
      </c>
      <c r="I15" s="6" t="n">
        <v>66505.64999999999</v>
      </c>
      <c r="J15" s="6">
        <f>H15-I15</f>
        <v/>
      </c>
      <c r="K15" s="1" t="n"/>
      <c r="L15" s="1" t="n"/>
    </row>
    <row r="16" ht="21" customHeight="1">
      <c r="A16" s="1" t="n"/>
      <c r="B16" s="1" t="n"/>
      <c r="C16" s="1" t="inlineStr">
        <is>
          <t>97209</t>
        </is>
      </c>
      <c r="D16" s="1" t="inlineStr">
        <is>
          <t>097209 Rückstellung Überstunden/Mehrarbeit</t>
        </is>
      </c>
      <c r="E16" s="6" t="n">
        <v>75406.8</v>
      </c>
      <c r="F16" s="6" t="n">
        <v>0</v>
      </c>
      <c r="G16" s="6" t="n">
        <v>0</v>
      </c>
      <c r="H16" s="6">
        <f>E16-F16+G16</f>
        <v/>
      </c>
      <c r="I16" s="6" t="n">
        <v>75406.8</v>
      </c>
      <c r="J16" s="6">
        <f>H16-I16</f>
        <v/>
      </c>
      <c r="K16" s="1" t="n"/>
      <c r="L16" s="1" t="n"/>
    </row>
    <row r="17" ht="21" customHeight="1">
      <c r="A17" s="1" t="n"/>
      <c r="B17" s="1" t="n"/>
      <c r="C17" s="1" t="inlineStr">
        <is>
          <t>97300</t>
        </is>
      </c>
      <c r="D17" s="1" t="inlineStr">
        <is>
          <t>097300 Rückstellung für Zinsen auf Steuernachzahlungen</t>
        </is>
      </c>
      <c r="E17" s="6" t="n">
        <v>157.74</v>
      </c>
      <c r="F17" s="6" t="n">
        <v>128.18</v>
      </c>
      <c r="G17" s="6" t="n">
        <v>0</v>
      </c>
      <c r="H17" s="6">
        <f>E17-F17+G17</f>
        <v/>
      </c>
      <c r="I17" s="6" t="n">
        <v>29.56</v>
      </c>
      <c r="J17" s="6">
        <f>H17-I17</f>
        <v/>
      </c>
      <c r="K17" s="1" t="n"/>
      <c r="L17" s="1" t="n"/>
    </row>
    <row r="18" ht="21" customHeight="1">
      <c r="A18" s="1" t="n"/>
      <c r="B18" s="1" t="n"/>
      <c r="C18" s="1" t="inlineStr">
        <is>
          <t>F095550</t>
        </is>
      </c>
      <c r="D18" s="1" t="inlineStr">
        <is>
          <t>F095550 Rückstellung latente Steuern &gt; 1 Jahr</t>
        </is>
      </c>
      <c r="E18" s="6" t="n">
        <v>509383</v>
      </c>
      <c r="F18" s="6" t="n">
        <v>0</v>
      </c>
      <c r="G18" s="6" t="n">
        <v>0</v>
      </c>
      <c r="H18" s="6">
        <f>E18-F18+G18</f>
        <v/>
      </c>
      <c r="I18" s="6" t="n">
        <v>509383</v>
      </c>
      <c r="J18" s="6">
        <f>H18-I18</f>
        <v/>
      </c>
      <c r="K18" s="1" t="n"/>
      <c r="L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</row>
    <row r="63">
      <c r="C63" t="inlineStr">
        <is>
          <t>SharePoint-Verknüpfungen (Dateien im selben Ordner)</t>
        </is>
      </c>
    </row>
    <row r="64">
      <c r="C64" t="inlineStr">
        <is>
          <t>Diese Datei</t>
        </is>
      </c>
      <c r="D64" t="inlineStr">
        <is>
          <t>Rückstellungen.xlsx</t>
        </is>
      </c>
    </row>
  </sheetData>
  <mergeCells count="2">
    <mergeCell ref="C2:L2"/>
    <mergeCell ref="C3:L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2026-10-12T08:22:08Z</dcterms:created>
  <dcterms:modified xsi:type="dcterms:W3CDTF">2026-10-12T08:22:09Z</dcterms:modified>
</cp:coreProperties>
</file>