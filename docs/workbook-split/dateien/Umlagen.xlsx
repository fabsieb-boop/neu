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mla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\(#,##0\);&quot;–&quot;"/>
  </numFmts>
  <fonts count="7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</fonts>
  <fills count="4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0F4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101" displayName="TVF_101" ref="C6:H25" headerRowCount="1">
  <tableColumns count="6">
    <tableColumn id="1" name="Region"/>
    <tableColumn id="2" name="Funktion"/>
    <tableColumn id="3" name="Primärkosten"/>
    <tableColumn id="4" name="Umlage"/>
    <tableColumn id="5" name="Deckungsdifferenz"/>
    <tableColumn id="6" name="Innenaufträ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102" displayName="TVF_102" ref="C31:J197" headerRowCount="1">
  <tableColumns count="8">
    <tableColumn id="1" name="Auftrag"/>
    <tableColumn id="2" name="Bezeichnung"/>
    <tableColumn id="3" name="Region"/>
    <tableColumn id="4" name="Funktion"/>
    <tableColumn id="5" name="Primärkosten"/>
    <tableColumn id="6" name="Umlage"/>
    <tableColumn id="7" name="Saldo"/>
    <tableColumn id="8" name="Zeil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45" customWidth="1" min="4" max="4"/>
    <col width="15" customWidth="1" min="5" max="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0" customHeight="1">
      <c r="A2" s="1" t="n"/>
      <c r="B2" s="1" t="n"/>
      <c r="C2" s="2" t="inlineStr">
        <is>
          <t>Umlagen und Innenaufträge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 ht="32" customHeight="1">
      <c r="A3" s="1" t="n"/>
      <c r="B3" s="1" t="n"/>
      <c r="C3" s="4" t="inlineStr">
        <is>
          <t>Primärkosten, Umlagen und Entlastungen nach Region und Innenauftrag.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 ht="36" customHeight="1">
      <c r="A6" s="1" t="n"/>
      <c r="B6" s="1" t="n"/>
      <c r="C6" s="5" t="inlineStr">
        <is>
          <t>Region</t>
        </is>
      </c>
      <c r="D6" s="5" t="inlineStr">
        <is>
          <t>Funktion</t>
        </is>
      </c>
      <c r="E6" s="5" t="inlineStr">
        <is>
          <t>Primärkosten</t>
        </is>
      </c>
      <c r="F6" s="5" t="inlineStr">
        <is>
          <t>Umlage</t>
        </is>
      </c>
      <c r="G6" s="5" t="inlineStr">
        <is>
          <t>Deckungsdifferenz</t>
        </is>
      </c>
      <c r="H6" s="5" t="inlineStr">
        <is>
          <t>Innenaufträge</t>
        </is>
      </c>
      <c r="I6" s="1" t="n"/>
      <c r="J6" s="1" t="n"/>
      <c r="K6" s="1" t="n"/>
      <c r="L6" s="1" t="n"/>
      <c r="M6" s="1" t="n"/>
    </row>
    <row r="7" ht="21" customHeight="1">
      <c r="A7" s="1" t="n"/>
      <c r="B7" s="1" t="n"/>
      <c r="C7" s="1" t="inlineStr">
        <is>
          <t>Berlin</t>
        </is>
      </c>
      <c r="D7" s="1" t="inlineStr">
        <is>
          <t>Firmenwagen</t>
        </is>
      </c>
      <c r="E7" s="6" t="n">
        <v>27266.67</v>
      </c>
      <c r="F7" s="6" t="n"/>
      <c r="G7" s="6">
        <f>SUM(E7:F7)</f>
        <v/>
      </c>
      <c r="H7" s="1" t="n">
        <v>4</v>
      </c>
      <c r="I7" s="1" t="n"/>
      <c r="J7" s="1" t="n"/>
      <c r="K7" s="1" t="n"/>
      <c r="L7" s="1" t="n"/>
      <c r="M7" s="1" t="n"/>
    </row>
    <row r="8" ht="21" customHeight="1">
      <c r="A8" s="1" t="n"/>
      <c r="B8" s="1" t="n"/>
      <c r="C8" s="1" t="inlineStr">
        <is>
          <t>Berlin</t>
        </is>
      </c>
      <c r="D8" s="1" t="inlineStr">
        <is>
          <t>Lager</t>
        </is>
      </c>
      <c r="E8" s="6" t="n">
        <v>16432.83</v>
      </c>
      <c r="F8" s="6" t="n"/>
      <c r="G8" s="6">
        <f>SUM(E8:F8)</f>
        <v/>
      </c>
      <c r="H8" s="1" t="n">
        <v>1</v>
      </c>
      <c r="I8" s="1" t="n"/>
      <c r="J8" s="1" t="n"/>
      <c r="K8" s="1" t="n"/>
      <c r="L8" s="1" t="n"/>
      <c r="M8" s="1" t="n"/>
    </row>
    <row r="9" ht="21" customHeight="1">
      <c r="A9" s="1" t="n"/>
      <c r="B9" s="1" t="n"/>
      <c r="C9" s="1" t="inlineStr">
        <is>
          <t>Berlin</t>
        </is>
      </c>
      <c r="D9" s="1" t="inlineStr">
        <is>
          <t>Vertrieb</t>
        </is>
      </c>
      <c r="E9" s="6" t="n">
        <v>36706.48</v>
      </c>
      <c r="F9" s="6" t="n">
        <v>-92864.49000000001</v>
      </c>
      <c r="G9" s="6">
        <f>SUM(E9:F9)</f>
        <v/>
      </c>
      <c r="H9" s="1" t="n">
        <v>1</v>
      </c>
      <c r="I9" s="1" t="n"/>
      <c r="J9" s="1" t="n"/>
      <c r="K9" s="1" t="n"/>
      <c r="L9" s="1" t="n"/>
      <c r="M9" s="1" t="n"/>
    </row>
    <row r="10" ht="21" customHeight="1">
      <c r="A10" s="1" t="n"/>
      <c r="B10" s="1" t="n"/>
      <c r="C10" s="1" t="inlineStr">
        <is>
          <t>Berlin</t>
        </is>
      </c>
      <c r="D10" s="1" t="inlineStr">
        <is>
          <t>Verwaltung</t>
        </is>
      </c>
      <c r="E10" s="6" t="n">
        <v>-302862.87</v>
      </c>
      <c r="F10" s="6" t="n">
        <v>296941.99</v>
      </c>
      <c r="G10" s="6">
        <f>SUM(E10:F10)</f>
        <v/>
      </c>
      <c r="H10" s="1" t="n">
        <v>15</v>
      </c>
      <c r="I10" s="1" t="n"/>
      <c r="J10" s="1" t="n"/>
      <c r="K10" s="1" t="n"/>
      <c r="L10" s="1" t="n"/>
      <c r="M10" s="1" t="n"/>
    </row>
    <row r="11" ht="21" customHeight="1">
      <c r="A11" s="1" t="n"/>
      <c r="B11" s="1" t="n"/>
      <c r="C11" s="1" t="inlineStr">
        <is>
          <t>Ost</t>
        </is>
      </c>
      <c r="D11" s="1" t="inlineStr">
        <is>
          <t>Firmenwagen</t>
        </is>
      </c>
      <c r="E11" s="6" t="n">
        <v>45902.48</v>
      </c>
      <c r="F11" s="6" t="n"/>
      <c r="G11" s="6">
        <f>SUM(E11:F11)</f>
        <v/>
      </c>
      <c r="H11" s="1" t="n">
        <v>5</v>
      </c>
      <c r="I11" s="1" t="n"/>
      <c r="J11" s="1" t="n"/>
      <c r="K11" s="1" t="n"/>
      <c r="L11" s="1" t="n"/>
      <c r="M11" s="1" t="n"/>
    </row>
    <row r="12" ht="21" customHeight="1">
      <c r="A12" s="1" t="n"/>
      <c r="B12" s="1" t="n"/>
      <c r="C12" s="1" t="inlineStr">
        <is>
          <t>Ost</t>
        </is>
      </c>
      <c r="D12" s="1" t="inlineStr">
        <is>
          <t>Lager</t>
        </is>
      </c>
      <c r="E12" s="6" t="n">
        <v>15819.75</v>
      </c>
      <c r="F12" s="6" t="n">
        <v>3965</v>
      </c>
      <c r="G12" s="6">
        <f>SUM(E12:F12)</f>
        <v/>
      </c>
      <c r="H12" s="1" t="n">
        <v>2</v>
      </c>
      <c r="I12" s="1" t="n"/>
      <c r="J12" s="1" t="n"/>
      <c r="K12" s="1" t="n"/>
      <c r="L12" s="1" t="n"/>
      <c r="M12" s="1" t="n"/>
    </row>
    <row r="13" ht="21" customHeight="1">
      <c r="A13" s="1" t="n"/>
      <c r="B13" s="1" t="n"/>
      <c r="C13" s="1" t="inlineStr">
        <is>
          <t>Ost</t>
        </is>
      </c>
      <c r="D13" s="1" t="inlineStr">
        <is>
          <t>Vertrieb</t>
        </is>
      </c>
      <c r="E13" s="6" t="n">
        <v>94507.77</v>
      </c>
      <c r="F13" s="6" t="n">
        <v>-429383.95</v>
      </c>
      <c r="G13" s="6">
        <f>SUM(E13:F13)</f>
        <v/>
      </c>
      <c r="H13" s="1" t="n">
        <v>1</v>
      </c>
      <c r="I13" s="1" t="n"/>
      <c r="J13" s="1" t="n"/>
      <c r="K13" s="1" t="n"/>
      <c r="L13" s="1" t="n"/>
      <c r="M13" s="1" t="n"/>
    </row>
    <row r="14" ht="21" customHeight="1">
      <c r="A14" s="1" t="n"/>
      <c r="B14" s="1" t="n"/>
      <c r="C14" s="1" t="inlineStr">
        <is>
          <t>Ost</t>
        </is>
      </c>
      <c r="D14" s="1" t="inlineStr">
        <is>
          <t>Verwaltung</t>
        </is>
      </c>
      <c r="E14" s="6" t="n">
        <v>-1744682.22</v>
      </c>
      <c r="F14" s="6" t="n">
        <v>955895.45</v>
      </c>
      <c r="G14" s="6">
        <f>SUM(E14:F14)</f>
        <v/>
      </c>
      <c r="H14" s="1" t="n">
        <v>27</v>
      </c>
      <c r="I14" s="1" t="n"/>
      <c r="J14" s="1" t="n"/>
      <c r="K14" s="1" t="n"/>
      <c r="L14" s="1" t="n"/>
      <c r="M14" s="1" t="n"/>
    </row>
    <row r="15" ht="21" customHeight="1">
      <c r="A15" s="1" t="n"/>
      <c r="B15" s="1" t="n"/>
      <c r="C15" s="1" t="inlineStr">
        <is>
          <t>Süd-West</t>
        </is>
      </c>
      <c r="D15" s="1" t="inlineStr">
        <is>
          <t>Firmenwagen</t>
        </is>
      </c>
      <c r="E15" s="6" t="n">
        <v>22524.39</v>
      </c>
      <c r="F15" s="6" t="n"/>
      <c r="G15" s="6">
        <f>SUM(E15:F15)</f>
        <v/>
      </c>
      <c r="H15" s="1" t="n">
        <v>3</v>
      </c>
      <c r="I15" s="1" t="n"/>
      <c r="J15" s="1" t="n"/>
      <c r="K15" s="1" t="n"/>
      <c r="L15" s="1" t="n"/>
      <c r="M15" s="1" t="n"/>
    </row>
    <row r="16" ht="21" customHeight="1">
      <c r="A16" s="1" t="n"/>
      <c r="B16" s="1" t="n"/>
      <c r="C16" s="1" t="inlineStr">
        <is>
          <t>Süd-West</t>
        </is>
      </c>
      <c r="D16" s="1" t="inlineStr">
        <is>
          <t>Lager</t>
        </is>
      </c>
      <c r="E16" s="6" t="n">
        <v>85442.86</v>
      </c>
      <c r="F16" s="6" t="n"/>
      <c r="G16" s="6">
        <f>SUM(E16:F16)</f>
        <v/>
      </c>
      <c r="H16" s="1" t="n">
        <v>1</v>
      </c>
      <c r="I16" s="1" t="n"/>
      <c r="J16" s="1" t="n"/>
      <c r="K16" s="1" t="n"/>
      <c r="L16" s="1" t="n"/>
      <c r="M16" s="1" t="n"/>
    </row>
    <row r="17" ht="21" customHeight="1">
      <c r="A17" s="1" t="n"/>
      <c r="B17" s="1" t="n"/>
      <c r="C17" s="1" t="inlineStr">
        <is>
          <t>Süd-West</t>
        </is>
      </c>
      <c r="D17" s="1" t="inlineStr">
        <is>
          <t>Vertrieb</t>
        </is>
      </c>
      <c r="E17" s="6" t="n">
        <v>98508.03</v>
      </c>
      <c r="F17" s="6" t="n">
        <v>-404531.32</v>
      </c>
      <c r="G17" s="6">
        <f>SUM(E17:F17)</f>
        <v/>
      </c>
      <c r="H17" s="1" t="n">
        <v>1</v>
      </c>
      <c r="I17" s="1" t="n"/>
      <c r="J17" s="1" t="n"/>
      <c r="K17" s="1" t="n"/>
      <c r="L17" s="1" t="n"/>
      <c r="M17" s="1" t="n"/>
    </row>
    <row r="18" ht="21" customHeight="1">
      <c r="A18" s="1" t="n"/>
      <c r="B18" s="1" t="n"/>
      <c r="C18" s="1" t="inlineStr">
        <is>
          <t>Süd-West</t>
        </is>
      </c>
      <c r="D18" s="1" t="inlineStr">
        <is>
          <t>Verwaltung</t>
        </is>
      </c>
      <c r="E18" s="6" t="n">
        <v>-158377.21</v>
      </c>
      <c r="F18" s="6" t="n">
        <v>854559.8199999999</v>
      </c>
      <c r="G18" s="6">
        <f>SUM(E18:F18)</f>
        <v/>
      </c>
      <c r="H18" s="1" t="n">
        <v>39</v>
      </c>
      <c r="I18" s="1" t="n"/>
      <c r="J18" s="1" t="n"/>
      <c r="K18" s="1" t="n"/>
      <c r="L18" s="1" t="n"/>
      <c r="M18" s="1" t="n"/>
    </row>
    <row r="19" ht="21" customHeight="1">
      <c r="A19" s="1" t="n"/>
      <c r="B19" s="1" t="n"/>
      <c r="C19" s="1" t="inlineStr">
        <is>
          <t>Verwaltung</t>
        </is>
      </c>
      <c r="D19" s="1" t="inlineStr">
        <is>
          <t>Firmenwagen</t>
        </is>
      </c>
      <c r="E19" s="6" t="n">
        <v>33476.74</v>
      </c>
      <c r="F19" s="6" t="n"/>
      <c r="G19" s="6">
        <f>SUM(E19:F19)</f>
        <v/>
      </c>
      <c r="H19" s="1" t="n">
        <v>5</v>
      </c>
      <c r="I19" s="1" t="n"/>
      <c r="J19" s="1" t="n"/>
      <c r="K19" s="1" t="n"/>
      <c r="L19" s="1" t="n"/>
      <c r="M19" s="1" t="n"/>
    </row>
    <row r="20" ht="21" customHeight="1">
      <c r="A20" s="1" t="n"/>
      <c r="B20" s="1" t="n"/>
      <c r="C20" s="1" t="inlineStr">
        <is>
          <t>Verwaltung</t>
        </is>
      </c>
      <c r="D20" s="1" t="inlineStr">
        <is>
          <t>Steuern</t>
        </is>
      </c>
      <c r="E20" s="6" t="n">
        <v>147.77</v>
      </c>
      <c r="F20" s="6" t="n"/>
      <c r="G20" s="6">
        <f>SUM(E20:F20)</f>
        <v/>
      </c>
      <c r="H20" s="1" t="n">
        <v>1</v>
      </c>
      <c r="I20" s="1" t="n"/>
      <c r="J20" s="1" t="n"/>
      <c r="K20" s="1" t="n"/>
      <c r="L20" s="1" t="n"/>
      <c r="M20" s="1" t="n"/>
    </row>
    <row r="21" ht="21" customHeight="1">
      <c r="A21" s="1" t="n"/>
      <c r="B21" s="1" t="n"/>
      <c r="C21" s="1" t="inlineStr">
        <is>
          <t>Verwaltung</t>
        </is>
      </c>
      <c r="D21" s="1" t="inlineStr">
        <is>
          <t>Verwaltung</t>
        </is>
      </c>
      <c r="E21" s="6" t="n">
        <v>604713.85</v>
      </c>
      <c r="F21" s="6" t="n">
        <v>3278</v>
      </c>
      <c r="G21" s="6">
        <f>SUM(E21:F21)</f>
        <v/>
      </c>
      <c r="H21" s="1" t="n">
        <v>16</v>
      </c>
      <c r="I21" s="1" t="n"/>
      <c r="J21" s="1" t="n"/>
      <c r="K21" s="1" t="n"/>
      <c r="L21" s="1" t="n"/>
      <c r="M21" s="1" t="n"/>
    </row>
    <row r="22" ht="21" customHeight="1">
      <c r="A22" s="1" t="n"/>
      <c r="B22" s="1" t="n"/>
      <c r="C22" s="1" t="inlineStr">
        <is>
          <t>West</t>
        </is>
      </c>
      <c r="D22" s="1" t="inlineStr">
        <is>
          <t>Firmenwagen</t>
        </is>
      </c>
      <c r="E22" s="6" t="n">
        <v>14888.17</v>
      </c>
      <c r="F22" s="6" t="n"/>
      <c r="G22" s="6">
        <f>SUM(E22:F22)</f>
        <v/>
      </c>
      <c r="H22" s="1" t="n">
        <v>2</v>
      </c>
      <c r="I22" s="1" t="n"/>
      <c r="J22" s="1" t="n"/>
      <c r="K22" s="1" t="n"/>
      <c r="L22" s="1" t="n"/>
      <c r="M22" s="1" t="n"/>
    </row>
    <row r="23" ht="21" customHeight="1">
      <c r="A23" s="1" t="n"/>
      <c r="B23" s="1" t="n"/>
      <c r="C23" s="1" t="inlineStr">
        <is>
          <t>West</t>
        </is>
      </c>
      <c r="D23" s="1" t="inlineStr">
        <is>
          <t>Vertrieb</t>
        </is>
      </c>
      <c r="E23" s="6" t="n">
        <v>96993.19</v>
      </c>
      <c r="F23" s="6" t="n">
        <v>-588458.3100000001</v>
      </c>
      <c r="G23" s="6">
        <f>SUM(E23:F23)</f>
        <v/>
      </c>
      <c r="H23" s="1" t="n">
        <v>1</v>
      </c>
      <c r="I23" s="1" t="n"/>
      <c r="J23" s="1" t="n"/>
      <c r="K23" s="1" t="n"/>
      <c r="L23" s="1" t="n"/>
      <c r="M23" s="1" t="n"/>
    </row>
    <row r="24" ht="21" customHeight="1">
      <c r="A24" s="1" t="n"/>
      <c r="B24" s="1" t="n"/>
      <c r="C24" s="1" t="inlineStr">
        <is>
          <t>West</t>
        </is>
      </c>
      <c r="D24" s="1" t="inlineStr">
        <is>
          <t>Verwaltung</t>
        </is>
      </c>
      <c r="E24" s="6" t="n">
        <v>-1467742.14</v>
      </c>
      <c r="F24" s="6" t="n">
        <v>1232422.31</v>
      </c>
      <c r="G24" s="6">
        <f>SUM(E24:F24)</f>
        <v/>
      </c>
      <c r="H24" s="1" t="n">
        <v>40</v>
      </c>
      <c r="I24" s="1" t="n"/>
      <c r="J24" s="1" t="n"/>
      <c r="K24" s="1" t="n"/>
      <c r="L24" s="1" t="n"/>
      <c r="M24" s="1" t="n"/>
    </row>
    <row r="25" ht="21" customHeight="1">
      <c r="A25" s="1" t="n"/>
      <c r="B25" s="1" t="n"/>
      <c r="C25" s="1" t="inlineStr">
        <is>
          <t>West</t>
        </is>
      </c>
      <c r="D25" s="1" t="inlineStr">
        <is>
          <t>Werkstatt</t>
        </is>
      </c>
      <c r="E25" s="6" t="n">
        <v>16506.24</v>
      </c>
      <c r="F25" s="6" t="n"/>
      <c r="G25" s="6">
        <f>SUM(E25:F25)</f>
        <v/>
      </c>
      <c r="H25" s="1" t="n">
        <v>1</v>
      </c>
      <c r="I25" s="1" t="n"/>
      <c r="J25" s="1" t="n"/>
      <c r="K25" s="1" t="n"/>
      <c r="L25" s="1" t="n"/>
      <c r="M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26" customHeight="1">
      <c r="A29" s="1" t="n"/>
      <c r="B29" s="1" t="n"/>
      <c r="C29" s="7" t="inlineStr">
        <is>
          <t>Innenaufträge</t>
        </is>
      </c>
      <c r="M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36" customHeight="1">
      <c r="A31" s="1" t="n"/>
      <c r="B31" s="1" t="n"/>
      <c r="C31" s="5" t="inlineStr">
        <is>
          <t>Auftrag</t>
        </is>
      </c>
      <c r="D31" s="5" t="inlineStr">
        <is>
          <t>Bezeichnung</t>
        </is>
      </c>
      <c r="E31" s="5" t="inlineStr">
        <is>
          <t>Region</t>
        </is>
      </c>
      <c r="F31" s="5" t="inlineStr">
        <is>
          <t>Funktion</t>
        </is>
      </c>
      <c r="G31" s="5" t="inlineStr">
        <is>
          <t>Primärkosten</t>
        </is>
      </c>
      <c r="H31" s="5" t="inlineStr">
        <is>
          <t>Umlage</t>
        </is>
      </c>
      <c r="I31" s="5" t="inlineStr">
        <is>
          <t>Saldo</t>
        </is>
      </c>
      <c r="J31" s="5" t="inlineStr">
        <is>
          <t>Zeilen</t>
        </is>
      </c>
      <c r="K31" s="1" t="n"/>
      <c r="L31" s="1" t="n"/>
      <c r="M31" s="1" t="n"/>
    </row>
    <row r="32" ht="21" customHeight="1">
      <c r="A32" s="1" t="n"/>
      <c r="B32" s="1" t="n"/>
      <c r="C32" s="1" t="inlineStr">
        <is>
          <t>W4102654411</t>
        </is>
      </c>
      <c r="D32" s="1" t="inlineStr">
        <is>
          <t>VVK Berlin</t>
        </is>
      </c>
      <c r="E32" s="1" t="inlineStr">
        <is>
          <t>Berlin</t>
        </is>
      </c>
      <c r="F32" s="1" t="inlineStr">
        <is>
          <t>Vertrieb</t>
        </is>
      </c>
      <c r="G32" s="6" t="n">
        <v>36706.48</v>
      </c>
      <c r="H32" s="6" t="n">
        <v>-92864.49000000001</v>
      </c>
      <c r="I32" s="6">
        <f>SUM(G32:H32)</f>
        <v/>
      </c>
      <c r="J32" s="1" t="n">
        <v>246</v>
      </c>
      <c r="K32" s="1" t="n"/>
      <c r="L32" s="1" t="n"/>
      <c r="M32" s="1" t="n"/>
    </row>
    <row r="33" ht="21" customHeight="1">
      <c r="A33" s="1" t="n"/>
      <c r="B33" s="1" t="n"/>
      <c r="C33" s="1" t="inlineStr">
        <is>
          <t>W4102504973</t>
        </is>
      </c>
      <c r="D33" s="1" t="inlineStr">
        <is>
          <t>CB- TV 300E Hr. Kemper Mercedes</t>
        </is>
      </c>
      <c r="E33" s="1" t="inlineStr">
        <is>
          <t>Verwaltung</t>
        </is>
      </c>
      <c r="F33" s="1" t="inlineStr">
        <is>
          <t>Firmenwagen</t>
        </is>
      </c>
      <c r="G33" s="6" t="n">
        <v>14807.19</v>
      </c>
      <c r="H33" s="6" t="n"/>
      <c r="I33" s="6">
        <f>SUM(G33:H33)</f>
        <v/>
      </c>
      <c r="J33" s="1" t="n">
        <v>68</v>
      </c>
      <c r="K33" s="1" t="n"/>
      <c r="L33" s="1" t="n"/>
      <c r="M33" s="1" t="n"/>
    </row>
    <row r="34" ht="21" customHeight="1">
      <c r="A34" s="1" t="n"/>
      <c r="B34" s="1" t="n"/>
      <c r="C34" s="1" t="inlineStr">
        <is>
          <t>P4102608246</t>
        </is>
      </c>
      <c r="D34" s="1" t="inlineStr">
        <is>
          <t>RB Kohlebunker/Brücke Lübbenau</t>
        </is>
      </c>
      <c r="E34" s="1" t="inlineStr">
        <is>
          <t>Ost</t>
        </is>
      </c>
      <c r="F34" s="1" t="inlineStr">
        <is>
          <t>Verwaltung</t>
        </is>
      </c>
      <c r="G34" s="6" t="n">
        <v>-452007.38</v>
      </c>
      <c r="H34" s="6" t="n">
        <v>383640.92</v>
      </c>
      <c r="I34" s="6">
        <f>SUM(G34:H34)</f>
        <v/>
      </c>
      <c r="J34" s="1" t="n">
        <v>458</v>
      </c>
      <c r="K34" s="1" t="n"/>
      <c r="L34" s="1" t="n"/>
      <c r="M34" s="1" t="n"/>
    </row>
    <row r="35" ht="21" customHeight="1">
      <c r="A35" s="1" t="n"/>
      <c r="B35" s="1" t="n"/>
      <c r="C35" s="1" t="inlineStr">
        <is>
          <t>P4102309045</t>
        </is>
      </c>
      <c r="D35" s="1" t="inlineStr">
        <is>
          <t>BASF Sonstige Kleinmaßnahmen</t>
        </is>
      </c>
      <c r="E35" s="1" t="inlineStr">
        <is>
          <t>Süd-West</t>
        </is>
      </c>
      <c r="F35" s="1" t="inlineStr">
        <is>
          <t>Verwaltung</t>
        </is>
      </c>
      <c r="G35" s="6" t="n">
        <v>-14959.45</v>
      </c>
      <c r="H35" s="6" t="n">
        <v>43140.39</v>
      </c>
      <c r="I35" s="6">
        <f>SUM(G35:H35)</f>
        <v/>
      </c>
      <c r="J35" s="1" t="n">
        <v>113</v>
      </c>
      <c r="K35" s="1" t="n"/>
      <c r="L35" s="1" t="n"/>
      <c r="M35" s="1" t="n"/>
    </row>
    <row r="36" ht="21" customHeight="1">
      <c r="A36" s="1" t="n"/>
      <c r="B36" s="1" t="n"/>
      <c r="C36" s="1" t="inlineStr">
        <is>
          <t>W4102654611</t>
        </is>
      </c>
      <c r="D36" s="1" t="inlineStr">
        <is>
          <t>Lager Region Berlin</t>
        </is>
      </c>
      <c r="E36" s="1" t="inlineStr">
        <is>
          <t>Berlin</t>
        </is>
      </c>
      <c r="F36" s="1" t="inlineStr">
        <is>
          <t>Lager</t>
        </is>
      </c>
      <c r="G36" s="6" t="n">
        <v>16432.83</v>
      </c>
      <c r="H36" s="6" t="n"/>
      <c r="I36" s="6">
        <f>SUM(G36:H36)</f>
        <v/>
      </c>
      <c r="J36" s="1" t="n">
        <v>87</v>
      </c>
      <c r="K36" s="1" t="n"/>
      <c r="L36" s="1" t="n"/>
      <c r="M36" s="1" t="n"/>
    </row>
    <row r="37" ht="21" customHeight="1">
      <c r="A37" s="1" t="n"/>
      <c r="B37" s="1" t="n"/>
      <c r="C37" s="1" t="inlineStr">
        <is>
          <t>P4102157469</t>
        </is>
      </c>
      <c r="D37" s="1" t="inlineStr">
        <is>
          <t>Anmeldung fehlt</t>
        </is>
      </c>
      <c r="E37" s="1" t="inlineStr">
        <is>
          <t>West</t>
        </is>
      </c>
      <c r="F37" s="1" t="inlineStr">
        <is>
          <t>Verwaltung</t>
        </is>
      </c>
      <c r="G37" s="6" t="n">
        <v>1053.31</v>
      </c>
      <c r="H37" s="6" t="n">
        <v>160.64</v>
      </c>
      <c r="I37" s="6">
        <f>SUM(G37:H37)</f>
        <v/>
      </c>
      <c r="J37" s="1" t="n">
        <v>13</v>
      </c>
      <c r="K37" s="1" t="n"/>
      <c r="L37" s="1" t="n"/>
      <c r="M37" s="1" t="n"/>
    </row>
    <row r="38" ht="21" customHeight="1">
      <c r="A38" s="1" t="n"/>
      <c r="B38" s="1" t="n"/>
      <c r="C38" s="1" t="inlineStr">
        <is>
          <t>P4102307437</t>
        </is>
      </c>
      <c r="D38" s="1" t="inlineStr">
        <is>
          <t>ENBW - KW Walheim, Permutit-Anlage</t>
        </is>
      </c>
      <c r="E38" s="1" t="inlineStr">
        <is>
          <t>Süd-West</t>
        </is>
      </c>
      <c r="F38" s="1" t="inlineStr">
        <is>
          <t>Verwaltung</t>
        </is>
      </c>
      <c r="G38" s="6" t="n">
        <v>138.33</v>
      </c>
      <c r="H38" s="6" t="n">
        <v>515.39</v>
      </c>
      <c r="I38" s="6">
        <f>SUM(G38:H38)</f>
        <v/>
      </c>
      <c r="J38" s="1" t="n">
        <v>20</v>
      </c>
      <c r="K38" s="1" t="n"/>
      <c r="L38" s="1" t="n"/>
      <c r="M38" s="1" t="n"/>
    </row>
    <row r="39" ht="21" customHeight="1">
      <c r="A39" s="1" t="n"/>
      <c r="B39" s="1" t="n"/>
      <c r="C39" s="1" t="inlineStr">
        <is>
          <t>W4102304947</t>
        </is>
      </c>
      <c r="D39" s="1" t="inlineStr">
        <is>
          <t>CB-AB 644 Passat Herr Yavuz</t>
        </is>
      </c>
      <c r="E39" s="1" t="inlineStr">
        <is>
          <t>Süd-West</t>
        </is>
      </c>
      <c r="F39" s="1" t="inlineStr">
        <is>
          <t>Firmenwagen</t>
        </is>
      </c>
      <c r="G39" s="6" t="n">
        <v>30</v>
      </c>
      <c r="H39" s="6" t="n"/>
      <c r="I39" s="6">
        <f>SUM(G39:H39)</f>
        <v/>
      </c>
      <c r="J39" s="1" t="n">
        <v>10</v>
      </c>
      <c r="K39" s="1" t="n"/>
      <c r="L39" s="1" t="n"/>
      <c r="M39" s="1" t="n"/>
    </row>
    <row r="40" ht="21" customHeight="1">
      <c r="A40" s="1" t="n"/>
      <c r="B40" s="1" t="n"/>
      <c r="C40" s="1" t="inlineStr">
        <is>
          <t>W4102604940</t>
        </is>
      </c>
      <c r="D40" s="1" t="inlineStr">
        <is>
          <t>CB-VT 475 Heilmann</t>
        </is>
      </c>
      <c r="E40" s="1" t="inlineStr">
        <is>
          <t>Ost</t>
        </is>
      </c>
      <c r="F40" s="1" t="inlineStr">
        <is>
          <t>Firmenwagen</t>
        </is>
      </c>
      <c r="G40" s="6" t="n">
        <v>4781.24</v>
      </c>
      <c r="H40" s="6" t="n"/>
      <c r="I40" s="6">
        <f>SUM(G40:H40)</f>
        <v/>
      </c>
      <c r="J40" s="1" t="n">
        <v>46</v>
      </c>
      <c r="K40" s="1" t="n"/>
      <c r="L40" s="1" t="n"/>
      <c r="M40" s="1" t="n"/>
    </row>
    <row r="41" ht="21" customHeight="1">
      <c r="A41" s="1" t="n"/>
      <c r="B41" s="1" t="n"/>
      <c r="C41" s="1" t="inlineStr">
        <is>
          <t>P4102157436</t>
        </is>
      </c>
      <c r="D41" s="1" t="inlineStr">
        <is>
          <t>Sanierung Kompensatoren</t>
        </is>
      </c>
      <c r="E41" s="1" t="inlineStr">
        <is>
          <t>West</t>
        </is>
      </c>
      <c r="F41" s="1" t="inlineStr">
        <is>
          <t>Verwaltung</t>
        </is>
      </c>
      <c r="G41" s="6" t="n">
        <v>-5236.57</v>
      </c>
      <c r="H41" s="6" t="n"/>
      <c r="I41" s="6">
        <f>SUM(G41:H41)</f>
        <v/>
      </c>
      <c r="J41" s="1" t="n">
        <v>2</v>
      </c>
      <c r="K41" s="1" t="n"/>
      <c r="L41" s="1" t="n"/>
      <c r="M41" s="1" t="n"/>
    </row>
    <row r="42" ht="21" customHeight="1">
      <c r="A42" s="1" t="n"/>
      <c r="B42" s="1" t="n"/>
      <c r="C42" s="1" t="inlineStr">
        <is>
          <t>W4102154501</t>
        </is>
      </c>
      <c r="D42" s="1" t="inlineStr">
        <is>
          <t>Gehalt BL Region West</t>
        </is>
      </c>
      <c r="E42" s="1" t="inlineStr">
        <is>
          <t>West</t>
        </is>
      </c>
      <c r="F42" s="1" t="inlineStr">
        <is>
          <t>Verwaltung</t>
        </is>
      </c>
      <c r="G42" s="6" t="n">
        <v>8664</v>
      </c>
      <c r="H42" s="6" t="n"/>
      <c r="I42" s="6">
        <f>SUM(G42:H42)</f>
        <v/>
      </c>
      <c r="J42" s="1" t="n">
        <v>10</v>
      </c>
      <c r="K42" s="1" t="n"/>
      <c r="L42" s="1" t="n"/>
      <c r="M42" s="1" t="n"/>
    </row>
    <row r="43" ht="21" customHeight="1">
      <c r="A43" s="1" t="n"/>
      <c r="B43" s="1" t="n"/>
      <c r="C43" s="1" t="inlineStr">
        <is>
          <t>W4102154611</t>
        </is>
      </c>
      <c r="D43" s="1" t="inlineStr">
        <is>
          <t>Werkstatt Region West</t>
        </is>
      </c>
      <c r="E43" s="1" t="inlineStr">
        <is>
          <t>West</t>
        </is>
      </c>
      <c r="F43" s="1" t="inlineStr">
        <is>
          <t>Werkstatt</t>
        </is>
      </c>
      <c r="G43" s="6" t="n">
        <v>16506.24</v>
      </c>
      <c r="H43" s="6" t="n"/>
      <c r="I43" s="6">
        <f>SUM(G43:H43)</f>
        <v/>
      </c>
      <c r="J43" s="1" t="n">
        <v>105</v>
      </c>
      <c r="K43" s="1" t="n"/>
      <c r="L43" s="1" t="n"/>
      <c r="M43" s="1" t="n"/>
    </row>
    <row r="44" ht="21" customHeight="1">
      <c r="A44" s="1" t="n"/>
      <c r="B44" s="1" t="n"/>
      <c r="C44" s="1" t="inlineStr">
        <is>
          <t>P4102307449</t>
        </is>
      </c>
      <c r="D44" s="1" t="inlineStr">
        <is>
          <t>BASF S 607</t>
        </is>
      </c>
      <c r="E44" s="1" t="inlineStr">
        <is>
          <t>Süd-West</t>
        </is>
      </c>
      <c r="F44" s="1" t="inlineStr">
        <is>
          <t>Verwaltung</t>
        </is>
      </c>
      <c r="G44" s="6" t="n">
        <v>-4867.14</v>
      </c>
      <c r="H44" s="6" t="n">
        <v>41853.45</v>
      </c>
      <c r="I44" s="6">
        <f>SUM(G44:H44)</f>
        <v/>
      </c>
      <c r="J44" s="1" t="n">
        <v>38</v>
      </c>
      <c r="K44" s="1" t="n"/>
      <c r="L44" s="1" t="n"/>
      <c r="M44" s="1" t="n"/>
    </row>
    <row r="45" ht="21" customHeight="1">
      <c r="A45" s="1" t="n"/>
      <c r="B45" s="1" t="n"/>
      <c r="C45" s="1" t="inlineStr">
        <is>
          <t>P4102157450</t>
        </is>
      </c>
      <c r="D45" s="1" t="inlineStr">
        <is>
          <t>Verschr. Brennkammer BA-301 Oxygen</t>
        </is>
      </c>
      <c r="E45" s="1" t="inlineStr">
        <is>
          <t>West</t>
        </is>
      </c>
      <c r="F45" s="1" t="inlineStr">
        <is>
          <t>Verwaltung</t>
        </is>
      </c>
      <c r="G45" s="6" t="n">
        <v>-197.23</v>
      </c>
      <c r="H45" s="6" t="n">
        <v>-23.67</v>
      </c>
      <c r="I45" s="6">
        <f>SUM(G45:H45)</f>
        <v/>
      </c>
      <c r="J45" s="1" t="n">
        <v>5</v>
      </c>
      <c r="K45" s="1" t="n"/>
      <c r="L45" s="1" t="n"/>
      <c r="M45" s="1" t="n"/>
    </row>
    <row r="46" ht="21" customHeight="1">
      <c r="A46" s="1" t="n"/>
      <c r="B46" s="1" t="n"/>
      <c r="C46" s="1" t="inlineStr">
        <is>
          <t>P4102157451</t>
        </is>
      </c>
      <c r="D46" s="1" t="inlineStr">
        <is>
          <t>Sanierung Campus Golzheim</t>
        </is>
      </c>
      <c r="E46" s="1" t="inlineStr">
        <is>
          <t>West</t>
        </is>
      </c>
      <c r="F46" s="1" t="inlineStr">
        <is>
          <t>Verwaltung</t>
        </is>
      </c>
      <c r="G46" s="6" t="n">
        <v>-281247.66</v>
      </c>
      <c r="H46" s="6" t="n">
        <v>281979.91</v>
      </c>
      <c r="I46" s="6">
        <f>SUM(G46:H46)</f>
        <v/>
      </c>
      <c r="J46" s="1" t="n">
        <v>521</v>
      </c>
      <c r="K46" s="1" t="n"/>
      <c r="L46" s="1" t="n"/>
      <c r="M46" s="1" t="n"/>
    </row>
    <row r="47" ht="21" customHeight="1">
      <c r="A47" s="1" t="n"/>
      <c r="B47" s="1" t="n"/>
      <c r="C47" s="1" t="inlineStr">
        <is>
          <t>W4102504951</t>
        </is>
      </c>
      <c r="D47" s="1" t="inlineStr">
        <is>
          <t>Steuern</t>
        </is>
      </c>
      <c r="E47" s="1" t="inlineStr">
        <is>
          <t>Verwaltung</t>
        </is>
      </c>
      <c r="F47" s="1" t="inlineStr">
        <is>
          <t>Steuern</t>
        </is>
      </c>
      <c r="G47" s="6" t="n">
        <v>147.77</v>
      </c>
      <c r="H47" s="6" t="n"/>
      <c r="I47" s="6">
        <f>SUM(G47:H47)</f>
        <v/>
      </c>
      <c r="J47" s="1" t="n">
        <v>11</v>
      </c>
      <c r="K47" s="1" t="n"/>
      <c r="L47" s="1" t="n"/>
      <c r="M47" s="1" t="n"/>
    </row>
    <row r="48" ht="21" customHeight="1">
      <c r="A48" s="1" t="n"/>
      <c r="B48" s="1" t="n"/>
      <c r="C48" s="1" t="inlineStr">
        <is>
          <t>W4102154966</t>
        </is>
      </c>
      <c r="D48" s="1" t="inlineStr">
        <is>
          <t>PKW Kilinc</t>
        </is>
      </c>
      <c r="E48" s="1" t="inlineStr">
        <is>
          <t>West</t>
        </is>
      </c>
      <c r="F48" s="1" t="inlineStr">
        <is>
          <t>Verwaltung</t>
        </is>
      </c>
      <c r="G48" s="6" t="n">
        <v>10167.47</v>
      </c>
      <c r="H48" s="6" t="n"/>
      <c r="I48" s="6">
        <f>SUM(G48:H48)</f>
        <v/>
      </c>
      <c r="J48" s="1" t="n">
        <v>27</v>
      </c>
      <c r="K48" s="1" t="n"/>
      <c r="L48" s="1" t="n"/>
      <c r="M48" s="1" t="n"/>
    </row>
    <row r="49" ht="21" customHeight="1">
      <c r="A49" s="1" t="n"/>
      <c r="B49" s="1" t="n"/>
      <c r="C49" s="1" t="inlineStr">
        <is>
          <t>P4102607989</t>
        </is>
      </c>
      <c r="D49" s="1" t="inlineStr">
        <is>
          <t>Kleinaufträge</t>
        </is>
      </c>
      <c r="E49" s="1" t="inlineStr">
        <is>
          <t>Ost</t>
        </is>
      </c>
      <c r="F49" s="1" t="inlineStr">
        <is>
          <t>Verwaltung</t>
        </is>
      </c>
      <c r="G49" s="6" t="n">
        <v>-81060.75</v>
      </c>
      <c r="H49" s="6" t="n">
        <v>65194.65</v>
      </c>
      <c r="I49" s="6">
        <f>SUM(G49:H49)</f>
        <v/>
      </c>
      <c r="J49" s="1" t="n">
        <v>183</v>
      </c>
      <c r="K49" s="1" t="n"/>
      <c r="L49" s="1" t="n"/>
      <c r="M49" s="1" t="n"/>
    </row>
    <row r="50" ht="21" customHeight="1">
      <c r="A50" s="1" t="n"/>
      <c r="B50" s="1" t="n"/>
      <c r="C50" s="1" t="inlineStr">
        <is>
          <t>W4102651216</t>
        </is>
      </c>
      <c r="D50" s="1" t="inlineStr">
        <is>
          <t>Bagger CAT 326 07 FLN</t>
        </is>
      </c>
      <c r="E50" s="1" t="inlineStr">
        <is>
          <t>Berlin</t>
        </is>
      </c>
      <c r="F50" s="1" t="inlineStr">
        <is>
          <t>Verwaltung</t>
        </is>
      </c>
      <c r="G50" s="6" t="n">
        <v>2570</v>
      </c>
      <c r="H50" s="6" t="n"/>
      <c r="I50" s="6">
        <f>SUM(G50:H50)</f>
        <v/>
      </c>
      <c r="J50" s="1" t="n">
        <v>9</v>
      </c>
      <c r="K50" s="1" t="n"/>
      <c r="L50" s="1" t="n"/>
      <c r="M50" s="1" t="n"/>
    </row>
    <row r="51" ht="21" customHeight="1">
      <c r="A51" s="1" t="n"/>
      <c r="B51" s="1" t="n"/>
      <c r="C51" s="1" t="inlineStr">
        <is>
          <t>P4102608224</t>
        </is>
      </c>
      <c r="D51" s="1" t="inlineStr">
        <is>
          <t>RB Turbinen Hirschfelde</t>
        </is>
      </c>
      <c r="E51" s="1" t="inlineStr">
        <is>
          <t>Ost</t>
        </is>
      </c>
      <c r="F51" s="1" t="inlineStr">
        <is>
          <t>Verwaltung</t>
        </is>
      </c>
      <c r="G51" s="6" t="n">
        <v>-211.05</v>
      </c>
      <c r="H51" s="6" t="n">
        <v>211.05</v>
      </c>
      <c r="I51" s="6">
        <f>SUM(G51:H51)</f>
        <v/>
      </c>
      <c r="J51" s="1" t="n">
        <v>4</v>
      </c>
      <c r="K51" s="1" t="n"/>
      <c r="L51" s="1" t="n"/>
      <c r="M51" s="1" t="n"/>
    </row>
    <row r="52" ht="21" customHeight="1">
      <c r="A52" s="1" t="n"/>
      <c r="B52" s="1" t="n"/>
      <c r="C52" s="1" t="inlineStr">
        <is>
          <t>P4102652023</t>
        </is>
      </c>
      <c r="D52" s="1" t="inlineStr">
        <is>
          <t>Nachlaufende Kosten</t>
        </is>
      </c>
      <c r="E52" s="1" t="inlineStr">
        <is>
          <t>Berlin</t>
        </is>
      </c>
      <c r="F52" s="1" t="inlineStr">
        <is>
          <t>Verwaltung</t>
        </is>
      </c>
      <c r="G52" s="6" t="n">
        <v>100</v>
      </c>
      <c r="H52" s="6" t="n">
        <v>12</v>
      </c>
      <c r="I52" s="6">
        <f>SUM(G52:H52)</f>
        <v/>
      </c>
      <c r="J52" s="1" t="n">
        <v>2</v>
      </c>
      <c r="K52" s="1" t="n"/>
      <c r="L52" s="1" t="n"/>
      <c r="M52" s="1" t="n"/>
    </row>
    <row r="53" ht="21" customHeight="1">
      <c r="A53" s="1" t="n"/>
      <c r="B53" s="1" t="n"/>
      <c r="C53" s="1" t="inlineStr">
        <is>
          <t>P4102608263</t>
        </is>
      </c>
      <c r="D53" s="1" t="inlineStr">
        <is>
          <t>RB Föderbrücke AFB 60</t>
        </is>
      </c>
      <c r="E53" s="1" t="inlineStr">
        <is>
          <t>Ost</t>
        </is>
      </c>
      <c r="F53" s="1" t="inlineStr">
        <is>
          <t>Verwaltung</t>
        </is>
      </c>
      <c r="G53" s="6" t="n">
        <v>-830828.04</v>
      </c>
      <c r="H53" s="6" t="n">
        <v>356392.55</v>
      </c>
      <c r="I53" s="6">
        <f>SUM(G53:H53)</f>
        <v/>
      </c>
      <c r="J53" s="1" t="n">
        <v>280</v>
      </c>
      <c r="K53" s="1" t="n"/>
      <c r="L53" s="1" t="n"/>
      <c r="M53" s="1" t="n"/>
    </row>
    <row r="54" ht="21" customHeight="1">
      <c r="A54" s="1" t="n"/>
      <c r="B54" s="1" t="n"/>
      <c r="C54" s="1" t="inlineStr">
        <is>
          <t>P4102658257</t>
        </is>
      </c>
      <c r="D54" s="1" t="inlineStr">
        <is>
          <t>Brücke An der Wuhlheide - Notunterstützu</t>
        </is>
      </c>
      <c r="E54" s="1" t="inlineStr">
        <is>
          <t>Berlin</t>
        </is>
      </c>
      <c r="F54" s="1" t="inlineStr">
        <is>
          <t>Verwaltung</t>
        </is>
      </c>
      <c r="G54" s="6" t="n">
        <v>0</v>
      </c>
      <c r="H54" s="6" t="n"/>
      <c r="I54" s="6">
        <f>SUM(G54:H54)</f>
        <v/>
      </c>
      <c r="J54" s="1" t="n">
        <v>2</v>
      </c>
      <c r="K54" s="1" t="n"/>
      <c r="L54" s="1" t="n"/>
      <c r="M54" s="1" t="n"/>
    </row>
    <row r="55" ht="21" customHeight="1">
      <c r="A55" s="1" t="n"/>
      <c r="B55" s="1" t="n"/>
      <c r="C55" s="1" t="inlineStr">
        <is>
          <t>P4102607081</t>
        </is>
      </c>
      <c r="D55" s="1" t="inlineStr">
        <is>
          <t>Abbr. Lager radioakt. Abfälle Los 3/EWN</t>
        </is>
      </c>
      <c r="E55" s="1" t="inlineStr">
        <is>
          <t>Ost</t>
        </is>
      </c>
      <c r="F55" s="1" t="inlineStr">
        <is>
          <t>Lager</t>
        </is>
      </c>
      <c r="G55" s="6" t="n">
        <v>177.57</v>
      </c>
      <c r="H55" s="6" t="n"/>
      <c r="I55" s="6">
        <f>SUM(G55:H55)</f>
        <v/>
      </c>
      <c r="J55" s="1" t="n">
        <v>2</v>
      </c>
      <c r="K55" s="1" t="n"/>
      <c r="L55" s="1" t="n"/>
      <c r="M55" s="1" t="n"/>
    </row>
    <row r="56" ht="21" customHeight="1">
      <c r="A56" s="1" t="n"/>
      <c r="B56" s="1" t="n"/>
      <c r="C56" s="1" t="inlineStr">
        <is>
          <t>P4102307424</t>
        </is>
      </c>
      <c r="D56" s="1" t="inlineStr">
        <is>
          <t>BASF P 703</t>
        </is>
      </c>
      <c r="E56" s="1" t="inlineStr">
        <is>
          <t>Süd-West</t>
        </is>
      </c>
      <c r="F56" s="1" t="inlineStr">
        <is>
          <t>Verwaltung</t>
        </is>
      </c>
      <c r="G56" s="6" t="n">
        <v>-5.16</v>
      </c>
      <c r="H56" s="6" t="n">
        <v>-0.62</v>
      </c>
      <c r="I56" s="6">
        <f>SUM(G56:H56)</f>
        <v/>
      </c>
      <c r="J56" s="1" t="n">
        <v>4</v>
      </c>
      <c r="K56" s="1" t="n"/>
      <c r="L56" s="1" t="n"/>
      <c r="M56" s="1" t="n"/>
    </row>
    <row r="57" ht="21" customHeight="1">
      <c r="A57" s="1" t="n"/>
      <c r="B57" s="1" t="n"/>
      <c r="C57" s="1" t="inlineStr">
        <is>
          <t>P4102157208</t>
        </is>
      </c>
      <c r="D57" s="1" t="inlineStr">
        <is>
          <t>Waggonverschrottung</t>
        </is>
      </c>
      <c r="E57" s="1" t="inlineStr">
        <is>
          <t>West</t>
        </is>
      </c>
      <c r="F57" s="1" t="inlineStr">
        <is>
          <t>Verwaltung</t>
        </is>
      </c>
      <c r="G57" s="6" t="n">
        <v>4373.37</v>
      </c>
      <c r="H57" s="6" t="n">
        <v>8099.5</v>
      </c>
      <c r="I57" s="6">
        <f>SUM(G57:H57)</f>
        <v/>
      </c>
      <c r="J57" s="1" t="n">
        <v>32</v>
      </c>
      <c r="K57" s="1" t="n"/>
      <c r="L57" s="1" t="n"/>
      <c r="M57" s="1" t="n"/>
    </row>
    <row r="58" ht="21" customHeight="1">
      <c r="A58" s="1" t="n"/>
      <c r="B58" s="1" t="n"/>
      <c r="C58" s="1" t="inlineStr">
        <is>
          <t>W4102154411</t>
        </is>
      </c>
      <c r="D58" s="1" t="inlineStr">
        <is>
          <t>Vetrieb Region West</t>
        </is>
      </c>
      <c r="E58" s="1" t="inlineStr">
        <is>
          <t>West</t>
        </is>
      </c>
      <c r="F58" s="1" t="inlineStr">
        <is>
          <t>Vertrieb</t>
        </is>
      </c>
      <c r="G58" s="6" t="n">
        <v>96993.19</v>
      </c>
      <c r="H58" s="6" t="n">
        <v>-588458.3100000001</v>
      </c>
      <c r="I58" s="6">
        <f>SUM(G58:H58)</f>
        <v/>
      </c>
      <c r="J58" s="1" t="n">
        <v>643</v>
      </c>
      <c r="K58" s="1" t="n"/>
      <c r="L58" s="1" t="n"/>
      <c r="M58" s="1" t="n"/>
    </row>
    <row r="59" ht="21" customHeight="1">
      <c r="A59" s="1" t="n"/>
      <c r="B59" s="1" t="n"/>
      <c r="C59" s="1" t="inlineStr">
        <is>
          <t>W4102504110</t>
        </is>
      </c>
      <c r="D59" s="1" t="inlineStr">
        <is>
          <t>Kaufmännischer Leiter Herr Siebert</t>
        </is>
      </c>
      <c r="E59" s="1" t="inlineStr">
        <is>
          <t>Verwaltung</t>
        </is>
      </c>
      <c r="F59" s="1" t="inlineStr">
        <is>
          <t>Verwaltung</t>
        </is>
      </c>
      <c r="G59" s="6" t="n">
        <v>79.34</v>
      </c>
      <c r="H59" s="6" t="n"/>
      <c r="I59" s="6">
        <f>SUM(G59:H59)</f>
        <v/>
      </c>
      <c r="J59" s="1" t="n">
        <v>2</v>
      </c>
      <c r="K59" s="1" t="n"/>
      <c r="L59" s="1" t="n"/>
      <c r="M59" s="1" t="n"/>
    </row>
    <row r="60" ht="21" customHeight="1">
      <c r="A60" s="1" t="n"/>
      <c r="B60" s="1" t="n"/>
      <c r="C60" s="1" t="inlineStr">
        <is>
          <t>P4102157463</t>
        </is>
      </c>
      <c r="D60" s="1" t="inlineStr">
        <is>
          <t>RB Maschinenhaus Bl. B+C</t>
        </is>
      </c>
      <c r="E60" s="1" t="inlineStr">
        <is>
          <t>West</t>
        </is>
      </c>
      <c r="F60" s="1" t="inlineStr">
        <is>
          <t>Verwaltung</t>
        </is>
      </c>
      <c r="G60" s="6" t="n">
        <v>84963.42</v>
      </c>
      <c r="H60" s="6" t="n">
        <v>65914</v>
      </c>
      <c r="I60" s="6">
        <f>SUM(G60:H60)</f>
        <v/>
      </c>
      <c r="J60" s="1" t="n">
        <v>190</v>
      </c>
      <c r="K60" s="1" t="n"/>
      <c r="L60" s="1" t="n"/>
      <c r="M60" s="1" t="n"/>
    </row>
    <row r="61" ht="21" customHeight="1">
      <c r="C61" s="8" t="inlineStr">
        <is>
          <t>P4102307426</t>
        </is>
      </c>
      <c r="D61" s="8" t="inlineStr">
        <is>
          <t>BASF Z 300</t>
        </is>
      </c>
      <c r="E61" s="8" t="inlineStr">
        <is>
          <t>Süd-West</t>
        </is>
      </c>
      <c r="F61" s="8" t="inlineStr">
        <is>
          <t>Verwaltung</t>
        </is>
      </c>
      <c r="G61" s="9" t="n">
        <v>-8788.82</v>
      </c>
      <c r="H61" s="9" t="n">
        <v>7318.49</v>
      </c>
      <c r="I61" s="9">
        <f>SUM(G61:H61)</f>
        <v/>
      </c>
      <c r="J61" s="8" t="n">
        <v>11</v>
      </c>
    </row>
    <row r="62" ht="21" customHeight="1">
      <c r="C62" s="8" t="inlineStr">
        <is>
          <t>P4102157414</t>
        </is>
      </c>
      <c r="D62" s="8" t="inlineStr">
        <is>
          <t>Krandemontage</t>
        </is>
      </c>
      <c r="E62" s="8" t="inlineStr">
        <is>
          <t>West</t>
        </is>
      </c>
      <c r="F62" s="8" t="inlineStr">
        <is>
          <t>Verwaltung</t>
        </is>
      </c>
      <c r="G62" s="9" t="n">
        <v>-35088.55</v>
      </c>
      <c r="H62" s="9" t="n">
        <v>11809.3</v>
      </c>
      <c r="I62" s="9">
        <f>SUM(G62:H62)</f>
        <v/>
      </c>
      <c r="J62" s="8" t="n">
        <v>33</v>
      </c>
    </row>
    <row r="63" ht="21" customHeight="1">
      <c r="C63" s="8" t="inlineStr">
        <is>
          <t>W4102304412</t>
        </is>
      </c>
      <c r="D63" s="8" t="inlineStr">
        <is>
          <t>Fremdfirmenstuetzupunkt</t>
        </is>
      </c>
      <c r="E63" s="8" t="inlineStr">
        <is>
          <t>Süd-West</t>
        </is>
      </c>
      <c r="F63" s="8" t="inlineStr">
        <is>
          <t>Verwaltung</t>
        </is>
      </c>
      <c r="G63" s="9" t="n">
        <v>2488</v>
      </c>
      <c r="H63" s="9" t="n"/>
      <c r="I63" s="9">
        <f>SUM(G63:H63)</f>
        <v/>
      </c>
      <c r="J63" s="8" t="n">
        <v>6</v>
      </c>
    </row>
    <row r="64" ht="21" customHeight="1">
      <c r="C64" s="8" t="inlineStr">
        <is>
          <t>P4102307433</t>
        </is>
      </c>
      <c r="D64" s="8" t="inlineStr">
        <is>
          <t>BASF U 505 Blauer Block</t>
        </is>
      </c>
      <c r="E64" s="8" t="inlineStr">
        <is>
          <t>Süd-West</t>
        </is>
      </c>
      <c r="F64" s="8" t="inlineStr">
        <is>
          <t>Verwaltung</t>
        </is>
      </c>
      <c r="G64" s="9" t="n">
        <v>-19667.2</v>
      </c>
      <c r="H64" s="9" t="n">
        <v>309210.16</v>
      </c>
      <c r="I64" s="9">
        <f>SUM(G64:H64)</f>
        <v/>
      </c>
      <c r="J64" s="8" t="n">
        <v>301</v>
      </c>
    </row>
    <row r="65" ht="21" customHeight="1">
      <c r="C65" s="8" t="inlineStr">
        <is>
          <t>P4102157455</t>
        </is>
      </c>
      <c r="D65" s="8" t="inlineStr">
        <is>
          <t>Currenta San.+RB G22 Los 1+2 Anm.fehlt</t>
        </is>
      </c>
      <c r="E65" s="8" t="inlineStr">
        <is>
          <t>West</t>
        </is>
      </c>
      <c r="F65" s="8" t="inlineStr">
        <is>
          <t>Verwaltung</t>
        </is>
      </c>
      <c r="G65" s="9" t="n">
        <v>116217.66</v>
      </c>
      <c r="H65" s="9" t="n">
        <v>345725.19</v>
      </c>
      <c r="I65" s="9">
        <f>SUM(G65:H65)</f>
        <v/>
      </c>
      <c r="J65" s="8" t="n">
        <v>588</v>
      </c>
    </row>
    <row r="66" ht="21" customHeight="1">
      <c r="C66" s="8" t="inlineStr">
        <is>
          <t>P4102157440</t>
        </is>
      </c>
      <c r="D66" s="8" t="inlineStr">
        <is>
          <t>tkse RB 2025</t>
        </is>
      </c>
      <c r="E66" s="8" t="inlineStr">
        <is>
          <t>West</t>
        </is>
      </c>
      <c r="F66" s="8" t="inlineStr">
        <is>
          <t>Verwaltung</t>
        </is>
      </c>
      <c r="G66" s="9" t="n"/>
      <c r="H66" s="9" t="n">
        <v>828.8</v>
      </c>
      <c r="I66" s="9">
        <f>SUM(G66:H66)</f>
        <v/>
      </c>
      <c r="J66" s="8" t="n">
        <v>3</v>
      </c>
    </row>
    <row r="67" ht="21" customHeight="1">
      <c r="C67" s="8" t="inlineStr">
        <is>
          <t>P4102307443</t>
        </is>
      </c>
      <c r="D67" s="8" t="inlineStr">
        <is>
          <t>Leingarten Schwimmhalle 2</t>
        </is>
      </c>
      <c r="E67" s="8" t="inlineStr">
        <is>
          <t>Süd-West</t>
        </is>
      </c>
      <c r="F67" s="8" t="inlineStr">
        <is>
          <t>Verwaltung</t>
        </is>
      </c>
      <c r="G67" s="9" t="n">
        <v>-36102.09</v>
      </c>
      <c r="H67" s="9" t="n">
        <v>10856.92</v>
      </c>
      <c r="I67" s="9">
        <f>SUM(G67:H67)</f>
        <v/>
      </c>
      <c r="J67" s="8" t="n">
        <v>42</v>
      </c>
    </row>
    <row r="68" ht="21" customHeight="1">
      <c r="C68" s="8" t="inlineStr">
        <is>
          <t>P4102608232</t>
        </is>
      </c>
      <c r="D68" s="8" t="inlineStr">
        <is>
          <t>Seilbaggerarbeiten Platz der Republik</t>
        </is>
      </c>
      <c r="E68" s="8" t="inlineStr">
        <is>
          <t>Ost</t>
        </is>
      </c>
      <c r="F68" s="8" t="inlineStr">
        <is>
          <t>Verwaltung</t>
        </is>
      </c>
      <c r="G68" s="9" t="n">
        <v>-6059.53</v>
      </c>
      <c r="H68" s="9" t="n"/>
      <c r="I68" s="9">
        <f>SUM(G68:H68)</f>
        <v/>
      </c>
      <c r="J68" s="8" t="n">
        <v>1</v>
      </c>
    </row>
    <row r="69" ht="21" customHeight="1">
      <c r="C69" s="8" t="inlineStr">
        <is>
          <t>P4102307435</t>
        </is>
      </c>
      <c r="D69" s="8" t="inlineStr">
        <is>
          <t>ENBW - KW Walheim</t>
        </is>
      </c>
      <c r="E69" s="8" t="inlineStr">
        <is>
          <t>Süd-West</t>
        </is>
      </c>
      <c r="F69" s="8" t="inlineStr">
        <is>
          <t>Verwaltung</t>
        </is>
      </c>
      <c r="G69" s="9" t="n">
        <v>88340.19</v>
      </c>
      <c r="H69" s="9" t="n">
        <v>25006.67</v>
      </c>
      <c r="I69" s="9">
        <f>SUM(G69:H69)</f>
        <v/>
      </c>
      <c r="J69" s="8" t="n">
        <v>72</v>
      </c>
    </row>
    <row r="70" ht="21" customHeight="1">
      <c r="C70" s="8" t="inlineStr">
        <is>
          <t>P4102658228</t>
        </is>
      </c>
      <c r="D70" s="8" t="inlineStr">
        <is>
          <t>ENB EÜ Wollankstraße</t>
        </is>
      </c>
      <c r="E70" s="8" t="inlineStr">
        <is>
          <t>Berlin</t>
        </is>
      </c>
      <c r="F70" s="8" t="inlineStr">
        <is>
          <t>Verwaltung</t>
        </is>
      </c>
      <c r="G70" s="9" t="n">
        <v>-50.92</v>
      </c>
      <c r="H70" s="9" t="n">
        <v>50.92</v>
      </c>
      <c r="I70" s="9">
        <f>SUM(G70:H70)</f>
        <v/>
      </c>
      <c r="J70" s="8" t="n">
        <v>3</v>
      </c>
    </row>
    <row r="71" ht="21" customHeight="1">
      <c r="C71" s="8" t="inlineStr">
        <is>
          <t>P4102307430</t>
        </is>
      </c>
      <c r="D71" s="8" t="inlineStr">
        <is>
          <t>BASF E 701</t>
        </is>
      </c>
      <c r="E71" s="8" t="inlineStr">
        <is>
          <t>Süd-West</t>
        </is>
      </c>
      <c r="F71" s="8" t="inlineStr">
        <is>
          <t>Verwaltung</t>
        </is>
      </c>
      <c r="G71" s="9" t="n">
        <v>-22533.26</v>
      </c>
      <c r="H71" s="9" t="n">
        <v>2387.02</v>
      </c>
      <c r="I71" s="9">
        <f>SUM(G71:H71)</f>
        <v/>
      </c>
      <c r="J71" s="8" t="n">
        <v>18</v>
      </c>
    </row>
    <row r="72" ht="21" customHeight="1">
      <c r="C72" s="8" t="inlineStr">
        <is>
          <t>W4102504108</t>
        </is>
      </c>
      <c r="D72" s="8" t="inlineStr">
        <is>
          <t>Geschäftsführer Hr. Kenski</t>
        </is>
      </c>
      <c r="E72" s="8" t="inlineStr">
        <is>
          <t>Verwaltung</t>
        </is>
      </c>
      <c r="F72" s="8" t="inlineStr">
        <is>
          <t>Verwaltung</t>
        </is>
      </c>
      <c r="G72" s="9" t="n">
        <v>4155.7</v>
      </c>
      <c r="H72" s="9" t="n"/>
      <c r="I72" s="9">
        <f>SUM(G72:H72)</f>
        <v/>
      </c>
      <c r="J72" s="8" t="n">
        <v>52</v>
      </c>
    </row>
    <row r="73" ht="21" customHeight="1">
      <c r="C73" s="8" t="inlineStr">
        <is>
          <t>P4102608267</t>
        </is>
      </c>
      <c r="D73" s="8" t="inlineStr">
        <is>
          <t>Sprengarbeiten FLJS</t>
        </is>
      </c>
      <c r="E73" s="8" t="inlineStr">
        <is>
          <t>Ost</t>
        </is>
      </c>
      <c r="F73" s="8" t="inlineStr">
        <is>
          <t>Verwaltung</t>
        </is>
      </c>
      <c r="G73" s="9" t="n">
        <v>-8155.8</v>
      </c>
      <c r="H73" s="9" t="n">
        <v>5796.21</v>
      </c>
      <c r="I73" s="9">
        <f>SUM(G73:H73)</f>
        <v/>
      </c>
      <c r="J73" s="8" t="n">
        <v>23</v>
      </c>
    </row>
    <row r="74" ht="21" customHeight="1">
      <c r="C74" s="8" t="inlineStr">
        <is>
          <t>W4102504941</t>
        </is>
      </c>
      <c r="D74" s="8" t="inlineStr">
        <is>
          <t>Betriebsrat</t>
        </is>
      </c>
      <c r="E74" s="8" t="inlineStr">
        <is>
          <t>Verwaltung</t>
        </is>
      </c>
      <c r="F74" s="8" t="inlineStr">
        <is>
          <t>Verwaltung</t>
        </is>
      </c>
      <c r="G74" s="9" t="n">
        <v>590.37</v>
      </c>
      <c r="H74" s="9" t="n">
        <v>3278</v>
      </c>
      <c r="I74" s="9">
        <f>SUM(G74:H74)</f>
        <v/>
      </c>
      <c r="J74" s="8" t="n">
        <v>23</v>
      </c>
    </row>
    <row r="75" ht="21" customHeight="1">
      <c r="C75" s="8" t="inlineStr">
        <is>
          <t>P4102307427</t>
        </is>
      </c>
      <c r="D75" s="8" t="inlineStr">
        <is>
          <t>BASF N 720</t>
        </is>
      </c>
      <c r="E75" s="8" t="inlineStr">
        <is>
          <t>Süd-West</t>
        </is>
      </c>
      <c r="F75" s="8" t="inlineStr">
        <is>
          <t>Verwaltung</t>
        </is>
      </c>
      <c r="G75" s="9" t="n">
        <v>22810.76</v>
      </c>
      <c r="H75" s="9" t="n">
        <v>7605.73</v>
      </c>
      <c r="I75" s="9">
        <f>SUM(G75:H75)</f>
        <v/>
      </c>
      <c r="J75" s="8" t="n">
        <v>43</v>
      </c>
    </row>
    <row r="76" ht="21" customHeight="1">
      <c r="C76" s="8" t="inlineStr">
        <is>
          <t>W4102504221</t>
        </is>
      </c>
      <c r="D76" s="8" t="inlineStr">
        <is>
          <t>Übriges Personal</t>
        </is>
      </c>
      <c r="E76" s="8" t="inlineStr">
        <is>
          <t>Verwaltung</t>
        </is>
      </c>
      <c r="F76" s="8" t="inlineStr">
        <is>
          <t>Verwaltung</t>
        </is>
      </c>
      <c r="G76" s="9" t="n">
        <v>2702.81</v>
      </c>
      <c r="H76" s="9" t="n"/>
      <c r="I76" s="9">
        <f>SUM(G76:H76)</f>
        <v/>
      </c>
      <c r="J76" s="8" t="n">
        <v>28</v>
      </c>
    </row>
    <row r="77" ht="21" customHeight="1">
      <c r="C77" s="8" t="inlineStr">
        <is>
          <t>P4102307416</t>
        </is>
      </c>
      <c r="D77" s="8" t="inlineStr">
        <is>
          <t>BASF O 405 Ammoniak</t>
        </is>
      </c>
      <c r="E77" s="8" t="inlineStr">
        <is>
          <t>Süd-West</t>
        </is>
      </c>
      <c r="F77" s="8" t="inlineStr">
        <is>
          <t>Verwaltung</t>
        </is>
      </c>
      <c r="G77" s="9" t="n">
        <v>25780.46</v>
      </c>
      <c r="H77" s="9" t="n"/>
      <c r="I77" s="9">
        <f>SUM(G77:H77)</f>
        <v/>
      </c>
      <c r="J77" s="8" t="n">
        <v>1</v>
      </c>
    </row>
    <row r="78" ht="21" customHeight="1">
      <c r="C78" s="8" t="inlineStr">
        <is>
          <t>P4102157452</t>
        </is>
      </c>
      <c r="D78" s="8" t="inlineStr">
        <is>
          <t>RB Cont.anlage TKSE Gelände</t>
        </is>
      </c>
      <c r="E78" s="8" t="inlineStr">
        <is>
          <t>West</t>
        </is>
      </c>
      <c r="F78" s="8" t="inlineStr">
        <is>
          <t>Verwaltung</t>
        </is>
      </c>
      <c r="G78" s="9" t="n">
        <v>2847.73</v>
      </c>
      <c r="H78" s="9" t="n"/>
      <c r="I78" s="9">
        <f>SUM(G78:H78)</f>
        <v/>
      </c>
      <c r="J78" s="8" t="n">
        <v>1</v>
      </c>
    </row>
    <row r="79" ht="21" customHeight="1">
      <c r="C79" s="8" t="inlineStr">
        <is>
          <t>W4102654946</t>
        </is>
      </c>
      <c r="D79" s="8" t="inlineStr">
        <is>
          <t>CB-TV 65 Hr Braun</t>
        </is>
      </c>
      <c r="E79" s="8" t="inlineStr">
        <is>
          <t>Berlin</t>
        </is>
      </c>
      <c r="F79" s="8" t="inlineStr">
        <is>
          <t>Firmenwagen</t>
        </is>
      </c>
      <c r="G79" s="9" t="n">
        <v>6739.56</v>
      </c>
      <c r="H79" s="9" t="n"/>
      <c r="I79" s="9">
        <f>SUM(G79:H79)</f>
        <v/>
      </c>
      <c r="J79" s="8" t="n">
        <v>51</v>
      </c>
    </row>
    <row r="80" ht="21" customHeight="1">
      <c r="C80" s="8" t="inlineStr">
        <is>
          <t>W4102604613</t>
        </is>
      </c>
      <c r="D80" s="8" t="inlineStr">
        <is>
          <t>Basis HR</t>
        </is>
      </c>
      <c r="E80" s="8" t="inlineStr">
        <is>
          <t>Ost</t>
        </is>
      </c>
      <c r="F80" s="8" t="inlineStr">
        <is>
          <t>Verwaltung</t>
        </is>
      </c>
      <c r="G80" s="9" t="n">
        <v>2192.04</v>
      </c>
      <c r="H80" s="9" t="n">
        <v>396</v>
      </c>
      <c r="I80" s="9">
        <f>SUM(G80:H80)</f>
        <v/>
      </c>
      <c r="J80" s="8" t="n">
        <v>8</v>
      </c>
    </row>
    <row r="81" ht="21" customHeight="1">
      <c r="C81" s="8" t="inlineStr">
        <is>
          <t>P4102307434</t>
        </is>
      </c>
      <c r="D81" s="8" t="inlineStr">
        <is>
          <t>BASF S 304</t>
        </is>
      </c>
      <c r="E81" s="8" t="inlineStr">
        <is>
          <t>Süd-West</t>
        </is>
      </c>
      <c r="F81" s="8" t="inlineStr">
        <is>
          <t>Verwaltung</t>
        </is>
      </c>
      <c r="G81" s="9" t="n">
        <v>7969.87</v>
      </c>
      <c r="H81" s="9" t="n">
        <v>2637.75</v>
      </c>
      <c r="I81" s="9">
        <f>SUM(G81:H81)</f>
        <v/>
      </c>
      <c r="J81" s="8" t="n">
        <v>20</v>
      </c>
    </row>
    <row r="82" ht="21" customHeight="1">
      <c r="C82" s="8" t="inlineStr">
        <is>
          <t>P4102307450</t>
        </is>
      </c>
      <c r="D82" s="8" t="inlineStr">
        <is>
          <t>BASF Z 500-4 Helion</t>
        </is>
      </c>
      <c r="E82" s="8" t="inlineStr">
        <is>
          <t>Süd-West</t>
        </is>
      </c>
      <c r="F82" s="8" t="inlineStr">
        <is>
          <t>Verwaltung</t>
        </is>
      </c>
      <c r="G82" s="9" t="n">
        <v>-12178.25</v>
      </c>
      <c r="H82" s="9" t="n">
        <v>2056.89</v>
      </c>
      <c r="I82" s="9">
        <f>SUM(G82:H82)</f>
        <v/>
      </c>
      <c r="J82" s="8" t="n">
        <v>10</v>
      </c>
    </row>
    <row r="83" ht="21" customHeight="1">
      <c r="C83" s="8" t="inlineStr">
        <is>
          <t>W4102504262</t>
        </is>
      </c>
      <c r="D83" s="8" t="inlineStr">
        <is>
          <t>Zentrale EDV</t>
        </is>
      </c>
      <c r="E83" s="8" t="inlineStr">
        <is>
          <t>Verwaltung</t>
        </is>
      </c>
      <c r="F83" s="8" t="inlineStr">
        <is>
          <t>Verwaltung</t>
        </is>
      </c>
      <c r="G83" s="9" t="n">
        <v>68245.31</v>
      </c>
      <c r="H83" s="9" t="n"/>
      <c r="I83" s="9">
        <f>SUM(G83:H83)</f>
        <v/>
      </c>
      <c r="J83" s="8" t="n">
        <v>122</v>
      </c>
    </row>
    <row r="84" ht="21" customHeight="1">
      <c r="C84" s="8" t="inlineStr">
        <is>
          <t>W4102304611</t>
        </is>
      </c>
      <c r="D84" s="8" t="inlineStr">
        <is>
          <t>Lager Region Sued-West</t>
        </is>
      </c>
      <c r="E84" s="8" t="inlineStr">
        <is>
          <t>Süd-West</t>
        </is>
      </c>
      <c r="F84" s="8" t="inlineStr">
        <is>
          <t>Lager</t>
        </is>
      </c>
      <c r="G84" s="9" t="n">
        <v>85442.86</v>
      </c>
      <c r="H84" s="9" t="n"/>
      <c r="I84" s="9">
        <f>SUM(G84:H84)</f>
        <v/>
      </c>
      <c r="J84" s="8" t="n">
        <v>180</v>
      </c>
    </row>
    <row r="85" ht="21" customHeight="1">
      <c r="C85" s="8" t="inlineStr">
        <is>
          <t>P4102608226</t>
        </is>
      </c>
      <c r="D85" s="8" t="inlineStr">
        <is>
          <t>RB Kohlebunker Lübbenau</t>
        </is>
      </c>
      <c r="E85" s="8" t="inlineStr">
        <is>
          <t>Ost</t>
        </is>
      </c>
      <c r="F85" s="8" t="inlineStr">
        <is>
          <t>Verwaltung</t>
        </is>
      </c>
      <c r="G85" s="9" t="n">
        <v>0</v>
      </c>
      <c r="H85" s="9" t="n"/>
      <c r="I85" s="9">
        <f>SUM(G85:H85)</f>
        <v/>
      </c>
      <c r="J85" s="8" t="n">
        <v>2</v>
      </c>
    </row>
    <row r="86" ht="21" customHeight="1">
      <c r="C86" s="8" t="inlineStr">
        <is>
          <t>P4102157468</t>
        </is>
      </c>
      <c r="D86" s="8" t="inlineStr">
        <is>
          <t>Verschr. Kondensattank Kokerei Schwelger</t>
        </is>
      </c>
      <c r="E86" s="8" t="inlineStr">
        <is>
          <t>West</t>
        </is>
      </c>
      <c r="F86" s="8" t="inlineStr">
        <is>
          <t>Verwaltung</t>
        </is>
      </c>
      <c r="G86" s="9" t="n">
        <v>31262.12</v>
      </c>
      <c r="H86" s="9" t="n">
        <v>4076.14</v>
      </c>
      <c r="I86" s="9">
        <f>SUM(G86:H86)</f>
        <v/>
      </c>
      <c r="J86" s="8" t="n">
        <v>16</v>
      </c>
    </row>
    <row r="87" ht="21" customHeight="1">
      <c r="C87" s="8" t="inlineStr">
        <is>
          <t>P4102608277</t>
        </is>
      </c>
      <c r="D87" s="8" t="inlineStr">
        <is>
          <t>Siebarbeiten KMK Storkow</t>
        </is>
      </c>
      <c r="E87" s="8" t="inlineStr">
        <is>
          <t>Ost</t>
        </is>
      </c>
      <c r="F87" s="8" t="inlineStr">
        <is>
          <t>Verwaltung</t>
        </is>
      </c>
      <c r="G87" s="9" t="n">
        <v>-4077.63</v>
      </c>
      <c r="H87" s="9" t="n">
        <v>2077.62</v>
      </c>
      <c r="I87" s="9">
        <f>SUM(G87:H87)</f>
        <v/>
      </c>
      <c r="J87" s="8" t="n">
        <v>10</v>
      </c>
    </row>
    <row r="88" ht="21" customHeight="1">
      <c r="C88" s="8" t="inlineStr">
        <is>
          <t>W4102154967</t>
        </is>
      </c>
      <c r="D88" s="8" t="inlineStr">
        <is>
          <t>CB - VT 585  Hr. Büskens</t>
        </is>
      </c>
      <c r="E88" s="8" t="inlineStr">
        <is>
          <t>West</t>
        </is>
      </c>
      <c r="F88" s="8" t="inlineStr">
        <is>
          <t>Firmenwagen</t>
        </is>
      </c>
      <c r="G88" s="9" t="n">
        <v>13406.42</v>
      </c>
      <c r="H88" s="9" t="n"/>
      <c r="I88" s="9">
        <f>SUM(G88:H88)</f>
        <v/>
      </c>
      <c r="J88" s="8" t="n">
        <v>46</v>
      </c>
    </row>
    <row r="89" ht="21" customHeight="1">
      <c r="C89" s="8" t="inlineStr">
        <is>
          <t>P4102307304</t>
        </is>
      </c>
      <c r="D89" s="8" t="inlineStr">
        <is>
          <t>HKW Süd</t>
        </is>
      </c>
      <c r="E89" s="8" t="inlineStr">
        <is>
          <t>Süd-West</t>
        </is>
      </c>
      <c r="F89" s="8" t="inlineStr">
        <is>
          <t>Verwaltung</t>
        </is>
      </c>
      <c r="G89" s="9" t="n">
        <v>-238.58</v>
      </c>
      <c r="H89" s="9" t="n">
        <v>-13.63</v>
      </c>
      <c r="I89" s="9">
        <f>SUM(G89:H89)</f>
        <v/>
      </c>
      <c r="J89" s="8" t="n">
        <v>31</v>
      </c>
    </row>
    <row r="90" ht="21" customHeight="1">
      <c r="C90" s="8" t="inlineStr">
        <is>
          <t>P4102157462</t>
        </is>
      </c>
      <c r="D90" s="8" t="inlineStr">
        <is>
          <t>Waggonverschrottung 2026</t>
        </is>
      </c>
      <c r="E90" s="8" t="inlineStr">
        <is>
          <t>West</t>
        </is>
      </c>
      <c r="F90" s="8" t="inlineStr">
        <is>
          <t>Verwaltung</t>
        </is>
      </c>
      <c r="G90" s="9" t="n">
        <v>2979.39</v>
      </c>
      <c r="H90" s="9" t="n">
        <v>21292.87</v>
      </c>
      <c r="I90" s="9">
        <f>SUM(G90:H90)</f>
        <v/>
      </c>
      <c r="J90" s="8" t="n">
        <v>42</v>
      </c>
    </row>
    <row r="91" ht="21" customHeight="1">
      <c r="C91" s="8" t="inlineStr">
        <is>
          <t>P4102157466</t>
        </is>
      </c>
      <c r="D91" s="8" t="inlineStr">
        <is>
          <t>Verschrottung Anlagenteile</t>
        </is>
      </c>
      <c r="E91" s="8" t="inlineStr">
        <is>
          <t>West</t>
        </is>
      </c>
      <c r="F91" s="8" t="inlineStr">
        <is>
          <t>Verwaltung</t>
        </is>
      </c>
      <c r="G91" s="9" t="n">
        <v>-7057.91</v>
      </c>
      <c r="H91" s="9" t="n">
        <v>1925.81</v>
      </c>
      <c r="I91" s="9">
        <f>SUM(G91:H91)</f>
        <v/>
      </c>
      <c r="J91" s="8" t="n">
        <v>19</v>
      </c>
    </row>
    <row r="92" ht="21" customHeight="1">
      <c r="C92" s="8" t="inlineStr">
        <is>
          <t>W4102504222</t>
        </is>
      </c>
      <c r="D92" s="8" t="inlineStr">
        <is>
          <t>Sonstige Sachkosten</t>
        </is>
      </c>
      <c r="E92" s="8" t="inlineStr">
        <is>
          <t>Verwaltung</t>
        </is>
      </c>
      <c r="F92" s="8" t="inlineStr">
        <is>
          <t>Verwaltung</t>
        </is>
      </c>
      <c r="G92" s="9" t="n">
        <v>456116.42</v>
      </c>
      <c r="H92" s="9" t="n"/>
      <c r="I92" s="9">
        <f>SUM(G92:H92)</f>
        <v/>
      </c>
      <c r="J92" s="8" t="n">
        <v>522</v>
      </c>
    </row>
    <row r="93" ht="21" customHeight="1">
      <c r="C93" s="8" t="inlineStr">
        <is>
          <t>W4102604950</t>
        </is>
      </c>
      <c r="D93" s="8" t="inlineStr">
        <is>
          <t>CB-TV 97 Hr. Mühlberg</t>
        </is>
      </c>
      <c r="E93" s="8" t="inlineStr">
        <is>
          <t>Ost</t>
        </is>
      </c>
      <c r="F93" s="8" t="inlineStr">
        <is>
          <t>Firmenwagen</t>
        </is>
      </c>
      <c r="G93" s="9" t="n">
        <v>8486.219999999999</v>
      </c>
      <c r="H93" s="9" t="n"/>
      <c r="I93" s="9">
        <f>SUM(G93:H93)</f>
        <v/>
      </c>
      <c r="J93" s="8" t="n">
        <v>44</v>
      </c>
    </row>
    <row r="94" ht="21" customHeight="1">
      <c r="C94" s="8" t="inlineStr">
        <is>
          <t>W4102304943</t>
        </is>
      </c>
      <c r="D94" s="8" t="inlineStr">
        <is>
          <t>CB - TV 90 Hr. Flamme</t>
        </is>
      </c>
      <c r="E94" s="8" t="inlineStr">
        <is>
          <t>Süd-West</t>
        </is>
      </c>
      <c r="F94" s="8" t="inlineStr">
        <is>
          <t>Firmenwagen</t>
        </is>
      </c>
      <c r="G94" s="9" t="n">
        <v>12044.46</v>
      </c>
      <c r="H94" s="9" t="n"/>
      <c r="I94" s="9">
        <f>SUM(G94:H94)</f>
        <v/>
      </c>
      <c r="J94" s="8" t="n">
        <v>52</v>
      </c>
    </row>
    <row r="95" ht="21" customHeight="1">
      <c r="C95" s="8" t="inlineStr">
        <is>
          <t>P4102157443</t>
        </is>
      </c>
      <c r="D95" s="8" t="inlineStr">
        <is>
          <t>Medice Arzneim. RB 2 Tanks</t>
        </is>
      </c>
      <c r="E95" s="8" t="inlineStr">
        <is>
          <t>West</t>
        </is>
      </c>
      <c r="F95" s="8" t="inlineStr">
        <is>
          <t>Verwaltung</t>
        </is>
      </c>
      <c r="G95" s="9" t="n">
        <v>-7269.84</v>
      </c>
      <c r="H95" s="9" t="n">
        <v>851.2</v>
      </c>
      <c r="I95" s="9">
        <f>SUM(G95:H95)</f>
        <v/>
      </c>
      <c r="J95" s="8" t="n">
        <v>4</v>
      </c>
    </row>
    <row r="96" ht="21" customHeight="1">
      <c r="C96" s="8" t="inlineStr">
        <is>
          <t>W4102504974</t>
        </is>
      </c>
      <c r="D96" s="8" t="inlineStr">
        <is>
          <t>CB-TV 55E Volvo Herr Kay</t>
        </is>
      </c>
      <c r="E96" s="8" t="inlineStr">
        <is>
          <t>Verwaltung</t>
        </is>
      </c>
      <c r="F96" s="8" t="inlineStr">
        <is>
          <t>Firmenwagen</t>
        </is>
      </c>
      <c r="G96" s="9" t="n">
        <v>9021.780000000001</v>
      </c>
      <c r="H96" s="9" t="n"/>
      <c r="I96" s="9">
        <f>SUM(G96:H96)</f>
        <v/>
      </c>
      <c r="J96" s="8" t="n">
        <v>47</v>
      </c>
    </row>
    <row r="97" ht="21" customHeight="1">
      <c r="C97" s="8" t="inlineStr">
        <is>
          <t>W4102604411</t>
        </is>
      </c>
      <c r="D97" s="8" t="inlineStr">
        <is>
          <t>Vertrieb Region Ost</t>
        </is>
      </c>
      <c r="E97" s="8" t="inlineStr">
        <is>
          <t>Ost</t>
        </is>
      </c>
      <c r="F97" s="8" t="inlineStr">
        <is>
          <t>Vertrieb</t>
        </is>
      </c>
      <c r="G97" s="9" t="n">
        <v>94507.77</v>
      </c>
      <c r="H97" s="9" t="n">
        <v>-429383.95</v>
      </c>
      <c r="I97" s="9">
        <f>SUM(G97:H97)</f>
        <v/>
      </c>
      <c r="J97" s="8" t="n">
        <v>414</v>
      </c>
    </row>
    <row r="98" ht="21" customHeight="1">
      <c r="C98" s="8" t="inlineStr">
        <is>
          <t>W4102602023</t>
        </is>
      </c>
      <c r="D98" s="8" t="inlineStr">
        <is>
          <t>nachlaufende Kosten</t>
        </is>
      </c>
      <c r="E98" s="8" t="inlineStr">
        <is>
          <t>Ost</t>
        </is>
      </c>
      <c r="F98" s="8" t="inlineStr">
        <is>
          <t>Verwaltung</t>
        </is>
      </c>
      <c r="G98" s="9" t="n">
        <v>761.1</v>
      </c>
      <c r="H98" s="9" t="n"/>
      <c r="I98" s="9">
        <f>SUM(G98:H98)</f>
        <v/>
      </c>
      <c r="J98" s="8" t="n">
        <v>1</v>
      </c>
    </row>
    <row r="99" ht="21" customHeight="1">
      <c r="C99" s="8" t="inlineStr">
        <is>
          <t>P4102157456</t>
        </is>
      </c>
      <c r="D99" s="8" t="inlineStr">
        <is>
          <t>RB und Entsorgung Fundament Schleifbank</t>
        </is>
      </c>
      <c r="E99" s="8" t="inlineStr">
        <is>
          <t>West</t>
        </is>
      </c>
      <c r="F99" s="8" t="inlineStr">
        <is>
          <t>Verwaltung</t>
        </is>
      </c>
      <c r="G99" s="9" t="n">
        <v>-33286.16</v>
      </c>
      <c r="H99" s="9" t="n">
        <v>16733.74</v>
      </c>
      <c r="I99" s="9">
        <f>SUM(G99:H99)</f>
        <v/>
      </c>
      <c r="J99" s="8" t="n">
        <v>40</v>
      </c>
    </row>
    <row r="100" ht="21" customHeight="1">
      <c r="C100" s="8" t="inlineStr">
        <is>
          <t>P4102157431</t>
        </is>
      </c>
      <c r="D100" s="8" t="inlineStr">
        <is>
          <t>RB drei Sandfilter</t>
        </is>
      </c>
      <c r="E100" s="8" t="inlineStr">
        <is>
          <t>West</t>
        </is>
      </c>
      <c r="F100" s="8" t="inlineStr">
        <is>
          <t>Verwaltung</t>
        </is>
      </c>
      <c r="G100" s="9" t="n">
        <v>5683.12</v>
      </c>
      <c r="H100" s="9" t="n"/>
      <c r="I100" s="9">
        <f>SUM(G100:H100)</f>
        <v/>
      </c>
      <c r="J100" s="8" t="n">
        <v>2</v>
      </c>
    </row>
    <row r="101" ht="21" customHeight="1">
      <c r="C101" s="8" t="inlineStr">
        <is>
          <t>W4102654947</t>
        </is>
      </c>
      <c r="D101" s="8" t="inlineStr">
        <is>
          <t>CB-TV 200 Hr. Adil</t>
        </is>
      </c>
      <c r="E101" s="8" t="inlineStr">
        <is>
          <t>Berlin</t>
        </is>
      </c>
      <c r="F101" s="8" t="inlineStr">
        <is>
          <t>Firmenwagen</t>
        </is>
      </c>
      <c r="G101" s="9" t="n">
        <v>4243</v>
      </c>
      <c r="H101" s="9" t="n"/>
      <c r="I101" s="9">
        <f>SUM(G101:H101)</f>
        <v/>
      </c>
      <c r="J101" s="8" t="n">
        <v>31</v>
      </c>
    </row>
    <row r="102" ht="21" customHeight="1">
      <c r="C102" s="8" t="inlineStr">
        <is>
          <t>W4102604612</t>
        </is>
      </c>
      <c r="D102" s="8" t="inlineStr">
        <is>
          <t>Recyclingplatz Boxberg</t>
        </is>
      </c>
      <c r="E102" s="8" t="inlineStr">
        <is>
          <t>Ost</t>
        </is>
      </c>
      <c r="F102" s="8" t="inlineStr">
        <is>
          <t>Verwaltung</t>
        </is>
      </c>
      <c r="G102" s="9" t="n">
        <v>-10354.42</v>
      </c>
      <c r="H102" s="9" t="n">
        <v>5323</v>
      </c>
      <c r="I102" s="9">
        <f>SUM(G102:H102)</f>
        <v/>
      </c>
      <c r="J102" s="8" t="n">
        <v>52</v>
      </c>
    </row>
    <row r="103" ht="21" customHeight="1">
      <c r="C103" s="8" t="inlineStr">
        <is>
          <t>P4102307436</t>
        </is>
      </c>
      <c r="D103" s="8" t="inlineStr">
        <is>
          <t>BASF O 914 - O 915</t>
        </is>
      </c>
      <c r="E103" s="8" t="inlineStr">
        <is>
          <t>Süd-West</t>
        </is>
      </c>
      <c r="F103" s="8" t="inlineStr">
        <is>
          <t>Verwaltung</t>
        </is>
      </c>
      <c r="G103" s="9" t="n">
        <v>-1289.01</v>
      </c>
      <c r="H103" s="9" t="n">
        <v>14700.53</v>
      </c>
      <c r="I103" s="9">
        <f>SUM(G103:H103)</f>
        <v/>
      </c>
      <c r="J103" s="8" t="n">
        <v>50</v>
      </c>
    </row>
    <row r="104" ht="21" customHeight="1">
      <c r="C104" s="8" t="inlineStr">
        <is>
          <t>P4102307432</t>
        </is>
      </c>
      <c r="D104" s="8" t="inlineStr">
        <is>
          <t>HNVG - Bauph. III Gaswerk</t>
        </is>
      </c>
      <c r="E104" s="8" t="inlineStr">
        <is>
          <t>Süd-West</t>
        </is>
      </c>
      <c r="F104" s="8" t="inlineStr">
        <is>
          <t>Verwaltung</t>
        </is>
      </c>
      <c r="G104" s="9" t="n">
        <v>-14925.16</v>
      </c>
      <c r="H104" s="9" t="n">
        <v>3672</v>
      </c>
      <c r="I104" s="9">
        <f>SUM(G104:H104)</f>
        <v/>
      </c>
      <c r="J104" s="8" t="n">
        <v>17</v>
      </c>
    </row>
    <row r="105" ht="21" customHeight="1">
      <c r="C105" s="8" t="inlineStr">
        <is>
          <t>W4102309045</t>
        </is>
      </c>
      <c r="D105" s="8" t="inlineStr">
        <is>
          <t>Kleinmaßnahmen BASF 2022</t>
        </is>
      </c>
      <c r="E105" s="8" t="inlineStr">
        <is>
          <t>Süd-West</t>
        </is>
      </c>
      <c r="F105" s="8" t="inlineStr">
        <is>
          <t>Verwaltung</t>
        </is>
      </c>
      <c r="G105" s="9" t="n">
        <v>0</v>
      </c>
      <c r="H105" s="9" t="n"/>
      <c r="I105" s="9">
        <f>SUM(G105:H105)</f>
        <v/>
      </c>
      <c r="J105" s="8" t="n">
        <v>2</v>
      </c>
    </row>
    <row r="106" ht="21" customHeight="1">
      <c r="C106" s="8" t="inlineStr">
        <is>
          <t>P4102608258</t>
        </is>
      </c>
      <c r="D106" s="8" t="inlineStr">
        <is>
          <t>BTU Dachsanierung Halle 3b</t>
        </is>
      </c>
      <c r="E106" s="8" t="inlineStr">
        <is>
          <t>Ost</t>
        </is>
      </c>
      <c r="F106" s="8" t="inlineStr">
        <is>
          <t>Verwaltung</t>
        </is>
      </c>
      <c r="G106" s="9" t="n">
        <v>-81006.27</v>
      </c>
      <c r="H106" s="9" t="n"/>
      <c r="I106" s="9">
        <f>SUM(G106:H106)</f>
        <v/>
      </c>
      <c r="J106" s="8" t="n">
        <v>2</v>
      </c>
    </row>
    <row r="107" ht="21" customHeight="1">
      <c r="C107" s="8" t="inlineStr">
        <is>
          <t>P4102157457</t>
        </is>
      </c>
      <c r="D107" s="8" t="inlineStr">
        <is>
          <t>tkse RB 2026</t>
        </is>
      </c>
      <c r="E107" s="8" t="inlineStr">
        <is>
          <t>West</t>
        </is>
      </c>
      <c r="F107" s="8" t="inlineStr">
        <is>
          <t>Verwaltung</t>
        </is>
      </c>
      <c r="G107" s="9" t="n">
        <v>-176041.91</v>
      </c>
      <c r="H107" s="9" t="n">
        <v>85122.32000000001</v>
      </c>
      <c r="I107" s="9">
        <f>SUM(G107:H107)</f>
        <v/>
      </c>
      <c r="J107" s="8" t="n">
        <v>176</v>
      </c>
    </row>
    <row r="108" ht="21" customHeight="1">
      <c r="C108" s="8" t="inlineStr">
        <is>
          <t>P4102157453</t>
        </is>
      </c>
      <c r="D108" s="8" t="inlineStr">
        <is>
          <t>Wbw 4 Hallenrückbau</t>
        </is>
      </c>
      <c r="E108" s="8" t="inlineStr">
        <is>
          <t>West</t>
        </is>
      </c>
      <c r="F108" s="8" t="inlineStr">
        <is>
          <t>Verwaltung</t>
        </is>
      </c>
      <c r="G108" s="9" t="n">
        <v>-475407.9</v>
      </c>
      <c r="H108" s="9" t="n">
        <v>296221.88</v>
      </c>
      <c r="I108" s="9">
        <f>SUM(G108:H108)</f>
        <v/>
      </c>
      <c r="J108" s="8" t="n">
        <v>249</v>
      </c>
    </row>
    <row r="109" ht="21" customHeight="1">
      <c r="C109" s="8" t="inlineStr">
        <is>
          <t>P4102658269</t>
        </is>
      </c>
      <c r="D109" s="8" t="inlineStr">
        <is>
          <t>B102 OD Jüterbog Alte Nuthe</t>
        </is>
      </c>
      <c r="E109" s="8" t="inlineStr">
        <is>
          <t>Berlin</t>
        </is>
      </c>
      <c r="F109" s="8" t="inlineStr">
        <is>
          <t>Verwaltung</t>
        </is>
      </c>
      <c r="G109" s="9" t="n">
        <v>-13322.18</v>
      </c>
      <c r="H109" s="9" t="n">
        <v>5760.32</v>
      </c>
      <c r="I109" s="9">
        <f>SUM(G109:H109)</f>
        <v/>
      </c>
      <c r="J109" s="8" t="n">
        <v>36</v>
      </c>
    </row>
    <row r="110" ht="21" customHeight="1">
      <c r="C110" s="8" t="inlineStr">
        <is>
          <t>P4102307444</t>
        </is>
      </c>
      <c r="D110" s="8" t="inlineStr">
        <is>
          <t>BASF  N 416-O 405</t>
        </is>
      </c>
      <c r="E110" s="8" t="inlineStr">
        <is>
          <t>Süd-West</t>
        </is>
      </c>
      <c r="F110" s="8" t="inlineStr">
        <is>
          <t>Verwaltung</t>
        </is>
      </c>
      <c r="G110" s="9" t="n">
        <v>126008.37</v>
      </c>
      <c r="H110" s="9" t="n">
        <v>117352.5</v>
      </c>
      <c r="I110" s="9">
        <f>SUM(G110:H110)</f>
        <v/>
      </c>
      <c r="J110" s="8" t="n">
        <v>116</v>
      </c>
    </row>
    <row r="111" ht="21" customHeight="1">
      <c r="C111" s="8" t="inlineStr">
        <is>
          <t>P4102157472</t>
        </is>
      </c>
      <c r="D111" s="8" t="inlineStr">
        <is>
          <t>Kaltwindleitung SMB</t>
        </is>
      </c>
      <c r="E111" s="8" t="inlineStr">
        <is>
          <t>West</t>
        </is>
      </c>
      <c r="F111" s="8" t="inlineStr">
        <is>
          <t>Verwaltung</t>
        </is>
      </c>
      <c r="G111" s="9" t="n">
        <v>-6616.24</v>
      </c>
      <c r="H111" s="9" t="n">
        <v>1700.89</v>
      </c>
      <c r="I111" s="9">
        <f>SUM(G111:H111)</f>
        <v/>
      </c>
      <c r="J111" s="8" t="n">
        <v>7</v>
      </c>
    </row>
    <row r="112" ht="21" customHeight="1">
      <c r="C112" s="8" t="inlineStr">
        <is>
          <t>W4102304946</t>
        </is>
      </c>
      <c r="D112" s="8" t="inlineStr">
        <is>
          <t>CB-AA 552 Sesjunin</t>
        </is>
      </c>
      <c r="E112" s="8" t="inlineStr">
        <is>
          <t>Süd-West</t>
        </is>
      </c>
      <c r="F112" s="8" t="inlineStr">
        <is>
          <t>Firmenwagen</t>
        </is>
      </c>
      <c r="G112" s="9" t="n">
        <v>10449.93</v>
      </c>
      <c r="H112" s="9" t="n"/>
      <c r="I112" s="9">
        <f>SUM(G112:H112)</f>
        <v/>
      </c>
      <c r="J112" s="8" t="n">
        <v>35</v>
      </c>
    </row>
    <row r="113" ht="21" customHeight="1">
      <c r="C113" s="8" t="inlineStr">
        <is>
          <t>P4102157420</t>
        </is>
      </c>
      <c r="D113" s="8" t="inlineStr">
        <is>
          <t>ARGE RB GWA+SGA 4</t>
        </is>
      </c>
      <c r="E113" s="8" t="inlineStr">
        <is>
          <t>West</t>
        </is>
      </c>
      <c r="F113" s="8" t="inlineStr">
        <is>
          <t>Verwaltung</t>
        </is>
      </c>
      <c r="G113" s="9" t="n">
        <v>1084.64</v>
      </c>
      <c r="H113" s="9" t="n">
        <v>92.2</v>
      </c>
      <c r="I113" s="9">
        <f>SUM(G113:H113)</f>
        <v/>
      </c>
      <c r="J113" s="8" t="n">
        <v>38</v>
      </c>
    </row>
    <row r="114" ht="21" customHeight="1">
      <c r="C114" s="8" t="inlineStr">
        <is>
          <t>P4102658256</t>
        </is>
      </c>
      <c r="D114" s="8" t="inlineStr">
        <is>
          <t>Schleuse Wolfswinkel</t>
        </is>
      </c>
      <c r="E114" s="8" t="inlineStr">
        <is>
          <t>Berlin</t>
        </is>
      </c>
      <c r="F114" s="8" t="inlineStr">
        <is>
          <t>Verwaltung</t>
        </is>
      </c>
      <c r="G114" s="9" t="n">
        <v>-171949.09</v>
      </c>
      <c r="H114" s="9" t="n">
        <v>55734.37</v>
      </c>
      <c r="I114" s="9">
        <f>SUM(G114:H114)</f>
        <v/>
      </c>
      <c r="J114" s="8" t="n">
        <v>135</v>
      </c>
    </row>
    <row r="115" ht="21" customHeight="1">
      <c r="C115" s="8" t="inlineStr">
        <is>
          <t>P4102157439</t>
        </is>
      </c>
      <c r="D115" s="8" t="inlineStr">
        <is>
          <t>RB Sperrmüllschereefeld</t>
        </is>
      </c>
      <c r="E115" s="8" t="inlineStr">
        <is>
          <t>West</t>
        </is>
      </c>
      <c r="F115" s="8" t="inlineStr">
        <is>
          <t>Verwaltung</t>
        </is>
      </c>
      <c r="G115" s="9" t="n">
        <v>-37284</v>
      </c>
      <c r="H115" s="9" t="n"/>
      <c r="I115" s="9">
        <f>SUM(G115:H115)</f>
        <v/>
      </c>
      <c r="J115" s="8" t="n">
        <v>1</v>
      </c>
    </row>
    <row r="116" ht="21" customHeight="1">
      <c r="C116" s="8" t="inlineStr">
        <is>
          <t>P4102608264</t>
        </is>
      </c>
      <c r="D116" s="8" t="inlineStr">
        <is>
          <t>Mastrückbau Mainflingen</t>
        </is>
      </c>
      <c r="E116" s="8" t="inlineStr">
        <is>
          <t>Ost</t>
        </is>
      </c>
      <c r="F116" s="8" t="inlineStr">
        <is>
          <t>Verwaltung</t>
        </is>
      </c>
      <c r="G116" s="9" t="n">
        <v>583.34</v>
      </c>
      <c r="H116" s="9" t="n">
        <v>70</v>
      </c>
      <c r="I116" s="9">
        <f>SUM(G116:H116)</f>
        <v/>
      </c>
      <c r="J116" s="8" t="n">
        <v>5</v>
      </c>
    </row>
    <row r="117" ht="21" customHeight="1">
      <c r="C117" s="8" t="inlineStr">
        <is>
          <t>W4102604501</t>
        </is>
      </c>
      <c r="D117" s="8" t="inlineStr">
        <is>
          <t>Gehalt BL Region Sued</t>
        </is>
      </c>
      <c r="E117" s="8" t="inlineStr">
        <is>
          <t>Ost</t>
        </is>
      </c>
      <c r="F117" s="8" t="inlineStr">
        <is>
          <t>Verwaltung</t>
        </is>
      </c>
      <c r="G117" s="9" t="n">
        <v>33.46</v>
      </c>
      <c r="H117" s="9" t="n"/>
      <c r="I117" s="9">
        <f>SUM(G117:H117)</f>
        <v/>
      </c>
      <c r="J117" s="8" t="n">
        <v>2</v>
      </c>
    </row>
    <row r="118" ht="21" customHeight="1">
      <c r="C118" s="8" t="inlineStr">
        <is>
          <t>P4102307411</t>
        </is>
      </c>
      <c r="D118" s="8" t="inlineStr">
        <is>
          <t>BASF G 521</t>
        </is>
      </c>
      <c r="E118" s="8" t="inlineStr">
        <is>
          <t>Süd-West</t>
        </is>
      </c>
      <c r="F118" s="8" t="inlineStr">
        <is>
          <t>Verwaltung</t>
        </is>
      </c>
      <c r="G118" s="9" t="n"/>
      <c r="H118" s="9" t="n">
        <v>69.59999999999999</v>
      </c>
      <c r="I118" s="9">
        <f>SUM(G118:H118)</f>
        <v/>
      </c>
      <c r="J118" s="8" t="n">
        <v>1</v>
      </c>
    </row>
    <row r="119" ht="21" customHeight="1">
      <c r="C119" s="8" t="inlineStr">
        <is>
          <t>W4102504107</t>
        </is>
      </c>
      <c r="D119" s="8" t="inlineStr">
        <is>
          <t>Geschäftsfüh. Hr Kay</t>
        </is>
      </c>
      <c r="E119" s="8" t="inlineStr">
        <is>
          <t>Verwaltung</t>
        </is>
      </c>
      <c r="F119" s="8" t="inlineStr">
        <is>
          <t>Verwaltung</t>
        </is>
      </c>
      <c r="G119" s="9" t="n">
        <v>709.1799999999999</v>
      </c>
      <c r="H119" s="9" t="n"/>
      <c r="I119" s="9">
        <f>SUM(G119:H119)</f>
        <v/>
      </c>
      <c r="J119" s="8" t="n">
        <v>17</v>
      </c>
    </row>
    <row r="120" ht="21" customHeight="1">
      <c r="C120" s="8" t="inlineStr">
        <is>
          <t>W4102304411</t>
        </is>
      </c>
      <c r="D120" s="8" t="inlineStr">
        <is>
          <t>Vetrieb Region Sued-West</t>
        </is>
      </c>
      <c r="E120" s="8" t="inlineStr">
        <is>
          <t>Süd-West</t>
        </is>
      </c>
      <c r="F120" s="8" t="inlineStr">
        <is>
          <t>Vertrieb</t>
        </is>
      </c>
      <c r="G120" s="9" t="n">
        <v>98508.03</v>
      </c>
      <c r="H120" s="9" t="n">
        <v>-404531.32</v>
      </c>
      <c r="I120" s="9">
        <f>SUM(G120:H120)</f>
        <v/>
      </c>
      <c r="J120" s="8" t="n">
        <v>521</v>
      </c>
    </row>
    <row r="121" ht="21" customHeight="1">
      <c r="C121" s="8" t="inlineStr">
        <is>
          <t>P4102657982</t>
        </is>
      </c>
      <c r="D121" s="8" t="inlineStr">
        <is>
          <t>Kleinaufträge</t>
        </is>
      </c>
      <c r="E121" s="8" t="inlineStr">
        <is>
          <t>Berlin</t>
        </is>
      </c>
      <c r="F121" s="8" t="inlineStr">
        <is>
          <t>Verwaltung</t>
        </is>
      </c>
      <c r="G121" s="9" t="n">
        <v>-8250</v>
      </c>
      <c r="H121" s="9" t="n">
        <v>748.16</v>
      </c>
      <c r="I121" s="9">
        <f>SUM(G121:H121)</f>
        <v/>
      </c>
      <c r="J121" s="8" t="n">
        <v>5</v>
      </c>
    </row>
    <row r="122" ht="21" customHeight="1">
      <c r="C122" s="8" t="inlineStr">
        <is>
          <t>P4102608265</t>
        </is>
      </c>
      <c r="D122" s="8" t="inlineStr">
        <is>
          <t>RB Gebäude Grüneberg</t>
        </is>
      </c>
      <c r="E122" s="8" t="inlineStr">
        <is>
          <t>Ost</t>
        </is>
      </c>
      <c r="F122" s="8" t="inlineStr">
        <is>
          <t>Verwaltung</t>
        </is>
      </c>
      <c r="G122" s="9" t="n">
        <v>3096.72</v>
      </c>
      <c r="H122" s="9" t="n">
        <v>1054.81</v>
      </c>
      <c r="I122" s="9">
        <f>SUM(G122:H122)</f>
        <v/>
      </c>
      <c r="J122" s="8" t="n">
        <v>13</v>
      </c>
    </row>
    <row r="123" ht="21" customHeight="1">
      <c r="C123" s="8" t="inlineStr">
        <is>
          <t>W4102504102</t>
        </is>
      </c>
      <c r="D123" s="8" t="inlineStr">
        <is>
          <t>Techn. Geschäftsfüh.</t>
        </is>
      </c>
      <c r="E123" s="8" t="inlineStr">
        <is>
          <t>Verwaltung</t>
        </is>
      </c>
      <c r="F123" s="8" t="inlineStr">
        <is>
          <t>Verwaltung</t>
        </is>
      </c>
      <c r="G123" s="9" t="n">
        <v>14.1</v>
      </c>
      <c r="H123" s="9" t="n"/>
      <c r="I123" s="9">
        <f>SUM(G123:H123)</f>
        <v/>
      </c>
      <c r="J123" s="8" t="n">
        <v>1</v>
      </c>
    </row>
    <row r="124" ht="21" customHeight="1">
      <c r="C124" s="8" t="inlineStr">
        <is>
          <t>W4102307411</t>
        </is>
      </c>
      <c r="D124" s="8" t="inlineStr">
        <is>
          <t>BASF - G 521</t>
        </is>
      </c>
      <c r="E124" s="8" t="inlineStr">
        <is>
          <t>Süd-West</t>
        </is>
      </c>
      <c r="F124" s="8" t="inlineStr">
        <is>
          <t>Verwaltung</t>
        </is>
      </c>
      <c r="G124" s="9" t="n">
        <v>580</v>
      </c>
      <c r="H124" s="9" t="n"/>
      <c r="I124" s="9">
        <f>SUM(G124:H124)</f>
        <v/>
      </c>
      <c r="J124" s="8" t="n">
        <v>1</v>
      </c>
    </row>
    <row r="125" ht="21" customHeight="1">
      <c r="C125" s="8" t="inlineStr">
        <is>
          <t>P4102608270</t>
        </is>
      </c>
      <c r="D125" s="8" t="inlineStr">
        <is>
          <t>Baggergestellung LH 956 Jänschwalde</t>
        </is>
      </c>
      <c r="E125" s="8" t="inlineStr">
        <is>
          <t>Ost</t>
        </is>
      </c>
      <c r="F125" s="8" t="inlineStr">
        <is>
          <t>Verwaltung</t>
        </is>
      </c>
      <c r="G125" s="9" t="n">
        <v>-97020.07000000001</v>
      </c>
      <c r="H125" s="9" t="n">
        <v>82051.64</v>
      </c>
      <c r="I125" s="9">
        <f>SUM(G125:H125)</f>
        <v/>
      </c>
      <c r="J125" s="8" t="n">
        <v>63</v>
      </c>
    </row>
    <row r="126" ht="21" customHeight="1">
      <c r="C126" s="8" t="inlineStr">
        <is>
          <t>P4102309046</t>
        </is>
      </c>
      <c r="D126" s="8" t="inlineStr">
        <is>
          <t>Sonstige Kleinmaßnahmen</t>
        </is>
      </c>
      <c r="E126" s="8" t="inlineStr">
        <is>
          <t>Süd-West</t>
        </is>
      </c>
      <c r="F126" s="8" t="inlineStr">
        <is>
          <t>Verwaltung</t>
        </is>
      </c>
      <c r="G126" s="9" t="n">
        <v>-8632.59</v>
      </c>
      <c r="H126" s="9" t="n">
        <v>1893.36</v>
      </c>
      <c r="I126" s="9">
        <f>SUM(G126:H126)</f>
        <v/>
      </c>
      <c r="J126" s="8" t="n">
        <v>10</v>
      </c>
    </row>
    <row r="127" ht="21" customHeight="1">
      <c r="C127" s="8" t="inlineStr">
        <is>
          <t>P4102307428</t>
        </is>
      </c>
      <c r="D127" s="8" t="inlineStr">
        <is>
          <t>BASF O 405</t>
        </is>
      </c>
      <c r="E127" s="8" t="inlineStr">
        <is>
          <t>Süd-West</t>
        </is>
      </c>
      <c r="F127" s="8" t="inlineStr">
        <is>
          <t>Verwaltung</t>
        </is>
      </c>
      <c r="G127" s="9" t="n">
        <v>-142168.39</v>
      </c>
      <c r="H127" s="9" t="n">
        <v>28368.92</v>
      </c>
      <c r="I127" s="9">
        <f>SUM(G127:H127)</f>
        <v/>
      </c>
      <c r="J127" s="8" t="n">
        <v>50</v>
      </c>
    </row>
    <row r="128" ht="21" customHeight="1">
      <c r="C128" s="8" t="inlineStr">
        <is>
          <t>P4102602023</t>
        </is>
      </c>
      <c r="D128" s="8" t="inlineStr">
        <is>
          <t>nachlaufende Kosten</t>
        </is>
      </c>
      <c r="E128" s="8" t="inlineStr">
        <is>
          <t>Ost</t>
        </is>
      </c>
      <c r="F128" s="8" t="inlineStr">
        <is>
          <t>Verwaltung</t>
        </is>
      </c>
      <c r="G128" s="9" t="n">
        <v>5293.57</v>
      </c>
      <c r="H128" s="9" t="n">
        <v>1386.24</v>
      </c>
      <c r="I128" s="9">
        <f>SUM(G128:H128)</f>
        <v/>
      </c>
      <c r="J128" s="8" t="n">
        <v>15</v>
      </c>
    </row>
    <row r="129" ht="21" customHeight="1">
      <c r="C129" s="8" t="inlineStr">
        <is>
          <t>W4102504109</t>
        </is>
      </c>
      <c r="D129" s="8" t="inlineStr">
        <is>
          <t>Geschäftsführerin Frau Langosch</t>
        </is>
      </c>
      <c r="E129" s="8" t="inlineStr">
        <is>
          <t>Verwaltung</t>
        </is>
      </c>
      <c r="F129" s="8" t="inlineStr">
        <is>
          <t>Verwaltung</t>
        </is>
      </c>
      <c r="G129" s="9" t="n">
        <v>4555.48</v>
      </c>
      <c r="H129" s="9" t="n"/>
      <c r="I129" s="9">
        <f>SUM(G129:H129)</f>
        <v/>
      </c>
      <c r="J129" s="8" t="n">
        <v>53</v>
      </c>
    </row>
    <row r="130" ht="21" customHeight="1">
      <c r="C130" s="8" t="inlineStr">
        <is>
          <t>W4102604938</t>
        </is>
      </c>
      <c r="D130" s="8" t="inlineStr">
        <is>
          <t>CB-AA 501 Spindler</t>
        </is>
      </c>
      <c r="E130" s="8" t="inlineStr">
        <is>
          <t>Ost</t>
        </is>
      </c>
      <c r="F130" s="8" t="inlineStr">
        <is>
          <t>Firmenwagen</t>
        </is>
      </c>
      <c r="G130" s="9" t="n">
        <v>10092.16</v>
      </c>
      <c r="H130" s="9" t="n"/>
      <c r="I130" s="9">
        <f>SUM(G130:H130)</f>
        <v/>
      </c>
      <c r="J130" s="8" t="n">
        <v>51</v>
      </c>
    </row>
    <row r="131" ht="21" customHeight="1">
      <c r="C131" s="8" t="inlineStr">
        <is>
          <t>P4102307442</t>
        </is>
      </c>
      <c r="D131" s="8" t="inlineStr">
        <is>
          <t>Leingarten Schwimmhalle 1</t>
        </is>
      </c>
      <c r="E131" s="8" t="inlineStr">
        <is>
          <t>Süd-West</t>
        </is>
      </c>
      <c r="F131" s="8" t="inlineStr">
        <is>
          <t>Verwaltung</t>
        </is>
      </c>
      <c r="G131" s="9" t="n">
        <v>-16236.72</v>
      </c>
      <c r="H131" s="9" t="n">
        <v>9045.49</v>
      </c>
      <c r="I131" s="9">
        <f>SUM(G131:H131)</f>
        <v/>
      </c>
      <c r="J131" s="8" t="n">
        <v>36</v>
      </c>
    </row>
    <row r="132" ht="21" customHeight="1">
      <c r="C132" s="8" t="inlineStr">
        <is>
          <t>P4102157465</t>
        </is>
      </c>
      <c r="D132" s="8" t="inlineStr">
        <is>
          <t>Reinigungsarbeiten Block B</t>
        </is>
      </c>
      <c r="E132" s="8" t="inlineStr">
        <is>
          <t>West</t>
        </is>
      </c>
      <c r="F132" s="8" t="inlineStr">
        <is>
          <t>Verwaltung</t>
        </is>
      </c>
      <c r="G132" s="9" t="n">
        <v>-7882.97</v>
      </c>
      <c r="H132" s="9" t="n">
        <v>3774.25</v>
      </c>
      <c r="I132" s="9">
        <f>SUM(G132:H132)</f>
        <v/>
      </c>
      <c r="J132" s="8" t="n">
        <v>9</v>
      </c>
    </row>
    <row r="133" ht="21" customHeight="1">
      <c r="C133" s="8" t="inlineStr">
        <is>
          <t>W4102504978</t>
        </is>
      </c>
      <c r="D133" s="8" t="inlineStr">
        <is>
          <t>PKW Frau Mattiza</t>
        </is>
      </c>
      <c r="E133" s="8" t="inlineStr">
        <is>
          <t>Verwaltung</t>
        </is>
      </c>
      <c r="F133" s="8" t="inlineStr">
        <is>
          <t>Verwaltung</t>
        </is>
      </c>
      <c r="G133" s="9" t="n">
        <v>0</v>
      </c>
      <c r="H133" s="9" t="n"/>
      <c r="I133" s="9">
        <f>SUM(G133:H133)</f>
        <v/>
      </c>
      <c r="J133" s="8" t="n">
        <v>2</v>
      </c>
    </row>
    <row r="134" ht="21" customHeight="1">
      <c r="C134" s="8" t="inlineStr">
        <is>
          <t>P4102658250</t>
        </is>
      </c>
      <c r="D134" s="8" t="inlineStr">
        <is>
          <t>Parkallee Velten, Brücke Stichkanal</t>
        </is>
      </c>
      <c r="E134" s="8" t="inlineStr">
        <is>
          <t>Berlin</t>
        </is>
      </c>
      <c r="F134" s="8" t="inlineStr">
        <is>
          <t>Verwaltung</t>
        </is>
      </c>
      <c r="G134" s="9" t="n">
        <v>39476.73</v>
      </c>
      <c r="H134" s="9" t="n">
        <v>-48.24</v>
      </c>
      <c r="I134" s="9">
        <f>SUM(G134:H134)</f>
        <v/>
      </c>
      <c r="J134" s="8" t="n">
        <v>13</v>
      </c>
    </row>
    <row r="135" ht="21" customHeight="1">
      <c r="C135" s="8" t="inlineStr">
        <is>
          <t>W4102154953</t>
        </is>
      </c>
      <c r="D135" s="8" t="inlineStr">
        <is>
          <t>CB-AA 140 Hr. Kraft</t>
        </is>
      </c>
      <c r="E135" s="8" t="inlineStr">
        <is>
          <t>West</t>
        </is>
      </c>
      <c r="F135" s="8" t="inlineStr">
        <is>
          <t>Firmenwagen</t>
        </is>
      </c>
      <c r="G135" s="9" t="n">
        <v>1481.75</v>
      </c>
      <c r="H135" s="9" t="n"/>
      <c r="I135" s="9">
        <f>SUM(G135:H135)</f>
        <v/>
      </c>
      <c r="J135" s="8" t="n">
        <v>9</v>
      </c>
    </row>
    <row r="136" ht="21" customHeight="1">
      <c r="C136" s="8" t="inlineStr">
        <is>
          <t>P4102309044</t>
        </is>
      </c>
      <c r="D136" s="8" t="inlineStr">
        <is>
          <t>RB BASF 2022</t>
        </is>
      </c>
      <c r="E136" s="8" t="inlineStr">
        <is>
          <t>Süd-West</t>
        </is>
      </c>
      <c r="F136" s="8" t="inlineStr">
        <is>
          <t>Verwaltung</t>
        </is>
      </c>
      <c r="G136" s="9" t="n">
        <v>6447.83</v>
      </c>
      <c r="H136" s="9" t="n"/>
      <c r="I136" s="9">
        <f>SUM(G136:H136)</f>
        <v/>
      </c>
      <c r="J136" s="8" t="n">
        <v>1</v>
      </c>
    </row>
    <row r="137" ht="21" customHeight="1">
      <c r="C137" s="8" t="inlineStr">
        <is>
          <t>P4102608278</t>
        </is>
      </c>
      <c r="D137" s="8" t="inlineStr">
        <is>
          <t>Maschinist KW Staudinger</t>
        </is>
      </c>
      <c r="E137" s="8" t="inlineStr">
        <is>
          <t>Ost</t>
        </is>
      </c>
      <c r="F137" s="8" t="inlineStr">
        <is>
          <t>Verwaltung</t>
        </is>
      </c>
      <c r="G137" s="9" t="n">
        <v>1010</v>
      </c>
      <c r="H137" s="9" t="n"/>
      <c r="I137" s="9">
        <f>SUM(G137:H137)</f>
        <v/>
      </c>
      <c r="J137" s="8" t="n">
        <v>2</v>
      </c>
    </row>
    <row r="138" ht="21" customHeight="1">
      <c r="C138" s="8" t="inlineStr">
        <is>
          <t>P4102658225</t>
        </is>
      </c>
      <c r="D138" s="8" t="inlineStr">
        <is>
          <t>B1 Brandenburg Potsdamer Straße</t>
        </is>
      </c>
      <c r="E138" s="8" t="inlineStr">
        <is>
          <t>Berlin</t>
        </is>
      </c>
      <c r="F138" s="8" t="inlineStr">
        <is>
          <t>Verwaltung</t>
        </is>
      </c>
      <c r="G138" s="9" t="n">
        <v>59788.76</v>
      </c>
      <c r="H138" s="9" t="n">
        <v>0.4</v>
      </c>
      <c r="I138" s="9">
        <f>SUM(G138:H138)</f>
        <v/>
      </c>
      <c r="J138" s="8" t="n">
        <v>7</v>
      </c>
    </row>
    <row r="139" ht="21" customHeight="1">
      <c r="C139" s="8" t="inlineStr">
        <is>
          <t>W4102608246</t>
        </is>
      </c>
      <c r="D139" s="8" t="inlineStr">
        <is>
          <t>RB Kohlebunker/Brücke Lübbenau</t>
        </is>
      </c>
      <c r="E139" s="8" t="inlineStr">
        <is>
          <t>Ost</t>
        </is>
      </c>
      <c r="F139" s="8" t="inlineStr">
        <is>
          <t>Verwaltung</t>
        </is>
      </c>
      <c r="G139" s="9" t="n">
        <v>7875</v>
      </c>
      <c r="H139" s="9" t="n"/>
      <c r="I139" s="9">
        <f>SUM(G139:H139)</f>
        <v/>
      </c>
      <c r="J139" s="8" t="n">
        <v>9</v>
      </c>
    </row>
    <row r="140" ht="21" customHeight="1">
      <c r="C140" s="8" t="inlineStr">
        <is>
          <t>P4102608266</t>
        </is>
      </c>
      <c r="D140" s="8" t="inlineStr">
        <is>
          <t>RB Kurmark- Kaserne Storkow</t>
        </is>
      </c>
      <c r="E140" s="8" t="inlineStr">
        <is>
          <t>Ost</t>
        </is>
      </c>
      <c r="F140" s="8" t="inlineStr">
        <is>
          <t>Verwaltung</t>
        </is>
      </c>
      <c r="G140" s="9" t="n">
        <v>870.84</v>
      </c>
      <c r="H140" s="9" t="n">
        <v>33.48</v>
      </c>
      <c r="I140" s="9">
        <f>SUM(G140:H140)</f>
        <v/>
      </c>
      <c r="J140" s="8" t="n">
        <v>5</v>
      </c>
    </row>
    <row r="141" ht="21" customHeight="1">
      <c r="C141" s="8" t="inlineStr">
        <is>
          <t>P4102157447</t>
        </is>
      </c>
      <c r="D141" s="8" t="inlineStr">
        <is>
          <t>Hkm Demontage DN 500</t>
        </is>
      </c>
      <c r="E141" s="8" t="inlineStr">
        <is>
          <t>West</t>
        </is>
      </c>
      <c r="F141" s="8" t="inlineStr">
        <is>
          <t>Verwaltung</t>
        </is>
      </c>
      <c r="G141" s="9" t="n">
        <v>0</v>
      </c>
      <c r="H141" s="9" t="n"/>
      <c r="I141" s="9">
        <f>SUM(G141:H141)</f>
        <v/>
      </c>
      <c r="J141" s="8" t="n">
        <v>2</v>
      </c>
    </row>
    <row r="142" ht="21" customHeight="1">
      <c r="C142" s="8" t="inlineStr">
        <is>
          <t>W4102504104</t>
        </is>
      </c>
      <c r="D142" s="8" t="inlineStr">
        <is>
          <t>Dienstleistungsverrechn.</t>
        </is>
      </c>
      <c r="E142" s="8" t="inlineStr">
        <is>
          <t>Verwaltung</t>
        </is>
      </c>
      <c r="F142" s="8" t="inlineStr">
        <is>
          <t>Verwaltung</t>
        </is>
      </c>
      <c r="G142" s="9" t="n">
        <v>48751</v>
      </c>
      <c r="H142" s="9" t="n"/>
      <c r="I142" s="9">
        <f>SUM(G142:H142)</f>
        <v/>
      </c>
      <c r="J142" s="8" t="n">
        <v>11</v>
      </c>
    </row>
    <row r="143" ht="21" customHeight="1">
      <c r="C143" s="8" t="inlineStr">
        <is>
          <t>P4102307447</t>
        </is>
      </c>
      <c r="D143" s="8" t="inlineStr">
        <is>
          <t>BASF C 317</t>
        </is>
      </c>
      <c r="E143" s="8" t="inlineStr">
        <is>
          <t>Süd-West</t>
        </is>
      </c>
      <c r="F143" s="8" t="inlineStr">
        <is>
          <t>Verwaltung</t>
        </is>
      </c>
      <c r="G143" s="9" t="n">
        <v>-13606.63</v>
      </c>
      <c r="H143" s="9" t="n">
        <v>10303.26</v>
      </c>
      <c r="I143" s="9">
        <f>SUM(G143:H143)</f>
        <v/>
      </c>
      <c r="J143" s="8" t="n">
        <v>16</v>
      </c>
    </row>
    <row r="144" ht="21" customHeight="1">
      <c r="C144" s="8" t="inlineStr">
        <is>
          <t>W4102604951</t>
        </is>
      </c>
      <c r="D144" s="8" t="inlineStr">
        <is>
          <t>PKW Herr Tymczy</t>
        </is>
      </c>
      <c r="E144" s="8" t="inlineStr">
        <is>
          <t>Ost</t>
        </is>
      </c>
      <c r="F144" s="8" t="inlineStr">
        <is>
          <t>Verwaltung</t>
        </is>
      </c>
      <c r="G144" s="9" t="n">
        <v>2396.61</v>
      </c>
      <c r="H144" s="9" t="n"/>
      <c r="I144" s="9">
        <f>SUM(G144:H144)</f>
        <v/>
      </c>
      <c r="J144" s="8" t="n">
        <v>11</v>
      </c>
    </row>
    <row r="145" ht="21" customHeight="1">
      <c r="C145" s="8" t="inlineStr">
        <is>
          <t>W4102504101</t>
        </is>
      </c>
      <c r="D145" s="8" t="inlineStr">
        <is>
          <t>Kaufm. Geschäftsfüh.</t>
        </is>
      </c>
      <c r="E145" s="8" t="inlineStr">
        <is>
          <t>Verwaltung</t>
        </is>
      </c>
      <c r="F145" s="8" t="inlineStr">
        <is>
          <t>Verwaltung</t>
        </is>
      </c>
      <c r="G145" s="9" t="n">
        <v>7</v>
      </c>
      <c r="H145" s="9" t="n"/>
      <c r="I145" s="9">
        <f>SUM(G145:H145)</f>
        <v/>
      </c>
      <c r="J145" s="8" t="n">
        <v>2</v>
      </c>
    </row>
    <row r="146" ht="21" customHeight="1">
      <c r="C146" s="8" t="inlineStr">
        <is>
          <t>W4102307414</t>
        </is>
      </c>
      <c r="D146" s="8" t="inlineStr">
        <is>
          <t>BASF - D 213</t>
        </is>
      </c>
      <c r="E146" s="8" t="inlineStr">
        <is>
          <t>Süd-West</t>
        </is>
      </c>
      <c r="F146" s="8" t="inlineStr">
        <is>
          <t>Verwaltung</t>
        </is>
      </c>
      <c r="G146" s="9" t="n">
        <v>65.02</v>
      </c>
      <c r="H146" s="9" t="n"/>
      <c r="I146" s="9">
        <f>SUM(G146:H146)</f>
        <v/>
      </c>
      <c r="J146" s="8" t="n">
        <v>1</v>
      </c>
    </row>
    <row r="147" ht="21" customHeight="1">
      <c r="C147" s="8" t="inlineStr">
        <is>
          <t>P4102307451</t>
        </is>
      </c>
      <c r="D147" s="8" t="inlineStr">
        <is>
          <t>BASF O 405 D 16+60 bar</t>
        </is>
      </c>
      <c r="E147" s="8" t="inlineStr">
        <is>
          <t>Süd-West</t>
        </is>
      </c>
      <c r="F147" s="8" t="inlineStr">
        <is>
          <t>Verwaltung</t>
        </is>
      </c>
      <c r="G147" s="9" t="n">
        <v>2162</v>
      </c>
      <c r="H147" s="9" t="n"/>
      <c r="I147" s="9">
        <f>SUM(G147:H147)</f>
        <v/>
      </c>
      <c r="J147" s="8" t="n">
        <v>2</v>
      </c>
    </row>
    <row r="148" ht="21" customHeight="1">
      <c r="C148" s="8" t="inlineStr">
        <is>
          <t>P4102157429</t>
        </is>
      </c>
      <c r="D148" s="8" t="inlineStr">
        <is>
          <t>Covestro - Rückbau LEV O13</t>
        </is>
      </c>
      <c r="E148" s="8" t="inlineStr">
        <is>
          <t>West</t>
        </is>
      </c>
      <c r="F148" s="8" t="inlineStr">
        <is>
          <t>Verwaltung</t>
        </is>
      </c>
      <c r="G148" s="9" t="n">
        <v>-312613.51</v>
      </c>
      <c r="H148" s="9" t="n">
        <v>83.51000000000001</v>
      </c>
      <c r="I148" s="9">
        <f>SUM(G148:H148)</f>
        <v/>
      </c>
      <c r="J148" s="8" t="n">
        <v>32</v>
      </c>
    </row>
    <row r="149" ht="21" customHeight="1">
      <c r="C149" s="8" t="inlineStr">
        <is>
          <t>W4102604941</t>
        </is>
      </c>
      <c r="D149" s="8" t="inlineStr">
        <is>
          <t>CB-TV 22E Tayron Hr Lorenz</t>
        </is>
      </c>
      <c r="E149" s="8" t="inlineStr">
        <is>
          <t>Ost</t>
        </is>
      </c>
      <c r="F149" s="8" t="inlineStr">
        <is>
          <t>Firmenwagen</t>
        </is>
      </c>
      <c r="G149" s="9" t="n">
        <v>15364.19</v>
      </c>
      <c r="H149" s="9" t="n"/>
      <c r="I149" s="9">
        <f>SUM(G149:H149)</f>
        <v/>
      </c>
      <c r="J149" s="8" t="n">
        <v>61</v>
      </c>
    </row>
    <row r="150" ht="21" customHeight="1">
      <c r="C150" s="8" t="inlineStr">
        <is>
          <t>P4102307429</t>
        </is>
      </c>
      <c r="D150" s="8" t="inlineStr">
        <is>
          <t>BASF C 509</t>
        </is>
      </c>
      <c r="E150" s="8" t="inlineStr">
        <is>
          <t>Süd-West</t>
        </is>
      </c>
      <c r="F150" s="8" t="inlineStr">
        <is>
          <t>Verwaltung</t>
        </is>
      </c>
      <c r="G150" s="9" t="n">
        <v>-36018.06</v>
      </c>
      <c r="H150" s="9" t="n">
        <v>15628.78</v>
      </c>
      <c r="I150" s="9">
        <f>SUM(G150:H150)</f>
        <v/>
      </c>
      <c r="J150" s="8" t="n">
        <v>27</v>
      </c>
    </row>
    <row r="151" ht="21" customHeight="1">
      <c r="C151" s="8" t="inlineStr">
        <is>
          <t>P4102307438</t>
        </is>
      </c>
      <c r="D151" s="8" t="inlineStr">
        <is>
          <t>Netze BW- UW Bruchsal</t>
        </is>
      </c>
      <c r="E151" s="8" t="inlineStr">
        <is>
          <t>Süd-West</t>
        </is>
      </c>
      <c r="F151" s="8" t="inlineStr">
        <is>
          <t>Verwaltung</t>
        </is>
      </c>
      <c r="G151" s="9" t="n">
        <v>-18186.86</v>
      </c>
      <c r="H151" s="9" t="n">
        <v>8445.530000000001</v>
      </c>
      <c r="I151" s="9">
        <f>SUM(G151:H151)</f>
        <v/>
      </c>
      <c r="J151" s="8" t="n">
        <v>52</v>
      </c>
    </row>
    <row r="152" ht="21" customHeight="1">
      <c r="C152" s="8" t="inlineStr">
        <is>
          <t>W4102504975</t>
        </is>
      </c>
      <c r="D152" s="8" t="inlineStr">
        <is>
          <t>PKW Frau Noack</t>
        </is>
      </c>
      <c r="E152" s="8" t="inlineStr">
        <is>
          <t>Verwaltung</t>
        </is>
      </c>
      <c r="F152" s="8" t="inlineStr">
        <is>
          <t>Verwaltung</t>
        </is>
      </c>
      <c r="G152" s="9" t="n">
        <v>7775.76</v>
      </c>
      <c r="H152" s="9" t="n"/>
      <c r="I152" s="9">
        <f>SUM(G152:H152)</f>
        <v/>
      </c>
      <c r="J152" s="8" t="n">
        <v>31</v>
      </c>
    </row>
    <row r="153" ht="21" customHeight="1">
      <c r="C153" s="8" t="inlineStr">
        <is>
          <t>W4102154964</t>
        </is>
      </c>
      <c r="D153" s="8" t="inlineStr">
        <is>
          <t>PKW Schalk CB - TV 93</t>
        </is>
      </c>
      <c r="E153" s="8" t="inlineStr">
        <is>
          <t>West</t>
        </is>
      </c>
      <c r="F153" s="8" t="inlineStr">
        <is>
          <t>Verwaltung</t>
        </is>
      </c>
      <c r="G153" s="9" t="n">
        <v>10521.82</v>
      </c>
      <c r="H153" s="9" t="n"/>
      <c r="I153" s="9">
        <f>SUM(G153:H153)</f>
        <v/>
      </c>
      <c r="J153" s="8" t="n">
        <v>47</v>
      </c>
    </row>
    <row r="154" ht="21" customHeight="1">
      <c r="C154" s="8" t="inlineStr">
        <is>
          <t>W4102654945</t>
        </is>
      </c>
      <c r="D154" s="8" t="inlineStr">
        <is>
          <t>CB- TV 300E Hr. Kemper Mercedes</t>
        </is>
      </c>
      <c r="E154" s="8" t="inlineStr">
        <is>
          <t>Berlin</t>
        </is>
      </c>
      <c r="F154" s="8" t="inlineStr">
        <is>
          <t>Firmenwagen</t>
        </is>
      </c>
      <c r="G154" s="9" t="n">
        <v>15484.73</v>
      </c>
      <c r="H154" s="9" t="n"/>
      <c r="I154" s="9">
        <f>SUM(G154:H154)</f>
        <v/>
      </c>
      <c r="J154" s="8" t="n">
        <v>66</v>
      </c>
    </row>
    <row r="155" ht="21" customHeight="1">
      <c r="C155" s="8" t="inlineStr">
        <is>
          <t>P4102608271</t>
        </is>
      </c>
      <c r="D155" s="8" t="inlineStr">
        <is>
          <t>Seilbagger Tagebau Jänschwalde</t>
        </is>
      </c>
      <c r="E155" s="8" t="inlineStr">
        <is>
          <t>Ost</t>
        </is>
      </c>
      <c r="F155" s="8" t="inlineStr">
        <is>
          <t>Verwaltung</t>
        </is>
      </c>
      <c r="G155" s="9" t="n">
        <v>-175139.26</v>
      </c>
      <c r="H155" s="9" t="n">
        <v>37906.39</v>
      </c>
      <c r="I155" s="9">
        <f>SUM(G155:H155)</f>
        <v/>
      </c>
      <c r="J155" s="8" t="n">
        <v>51</v>
      </c>
    </row>
    <row r="156" ht="21" customHeight="1">
      <c r="C156" s="8" t="inlineStr">
        <is>
          <t>W4102504967</t>
        </is>
      </c>
      <c r="D156" s="8" t="inlineStr">
        <is>
          <t>CB-VT 476 Krull</t>
        </is>
      </c>
      <c r="E156" s="8" t="inlineStr">
        <is>
          <t>Verwaltung</t>
        </is>
      </c>
      <c r="F156" s="8" t="inlineStr">
        <is>
          <t>Firmenwagen</t>
        </is>
      </c>
      <c r="G156" s="9" t="n">
        <v>-63.3</v>
      </c>
      <c r="H156" s="9" t="n"/>
      <c r="I156" s="9">
        <f>SUM(G156:H156)</f>
        <v/>
      </c>
      <c r="J156" s="8" t="n">
        <v>8</v>
      </c>
    </row>
    <row r="157" ht="21" customHeight="1">
      <c r="C157" s="8" t="inlineStr">
        <is>
          <t>W4102604949</t>
        </is>
      </c>
      <c r="D157" s="8" t="inlineStr">
        <is>
          <t>CB - VT 686 Passat Fr. Kolber</t>
        </is>
      </c>
      <c r="E157" s="8" t="inlineStr">
        <is>
          <t>Ost</t>
        </is>
      </c>
      <c r="F157" s="8" t="inlineStr">
        <is>
          <t>Firmenwagen</t>
        </is>
      </c>
      <c r="G157" s="9" t="n">
        <v>7178.67</v>
      </c>
      <c r="H157" s="9" t="n"/>
      <c r="I157" s="9">
        <f>SUM(G157:H157)</f>
        <v/>
      </c>
      <c r="J157" s="8" t="n">
        <v>35</v>
      </c>
    </row>
    <row r="158" ht="21" customHeight="1">
      <c r="C158" s="8" t="inlineStr">
        <is>
          <t>P4102658254</t>
        </is>
      </c>
      <c r="D158" s="8" t="inlineStr">
        <is>
          <t>EÜ Langendreerstraße Bochum</t>
        </is>
      </c>
      <c r="E158" s="8" t="inlineStr">
        <is>
          <t>Berlin</t>
        </is>
      </c>
      <c r="F158" s="8" t="inlineStr">
        <is>
          <t>Verwaltung</t>
        </is>
      </c>
      <c r="G158" s="9" t="n">
        <v>-0.15</v>
      </c>
      <c r="H158" s="9" t="n">
        <v>-216.91</v>
      </c>
      <c r="I158" s="9">
        <f>SUM(G158:H158)</f>
        <v/>
      </c>
      <c r="J158" s="8" t="n">
        <v>4</v>
      </c>
    </row>
    <row r="159" ht="21" customHeight="1">
      <c r="C159" s="8" t="inlineStr">
        <is>
          <t>W4102504106</t>
        </is>
      </c>
      <c r="D159" s="8" t="inlineStr">
        <is>
          <t>Geschäftsfüh.</t>
        </is>
      </c>
      <c r="E159" s="8" t="inlineStr">
        <is>
          <t>Verwaltung</t>
        </is>
      </c>
      <c r="F159" s="8" t="inlineStr">
        <is>
          <t>Verwaltung</t>
        </is>
      </c>
      <c r="G159" s="9" t="n">
        <v>6459.33</v>
      </c>
      <c r="H159" s="9" t="n"/>
      <c r="I159" s="9">
        <f>SUM(G159:H159)</f>
        <v/>
      </c>
      <c r="J159" s="8" t="n">
        <v>100</v>
      </c>
    </row>
    <row r="160" ht="21" customHeight="1">
      <c r="C160" s="8" t="inlineStr">
        <is>
          <t>P4102307439</t>
        </is>
      </c>
      <c r="D160" s="8" t="inlineStr">
        <is>
          <t>BASF U 405 Teil 1</t>
        </is>
      </c>
      <c r="E160" s="8" t="inlineStr">
        <is>
          <t>Süd-West</t>
        </is>
      </c>
      <c r="F160" s="8" t="inlineStr">
        <is>
          <t>Verwaltung</t>
        </is>
      </c>
      <c r="G160" s="9" t="n">
        <v>31290.29</v>
      </c>
      <c r="H160" s="9" t="n">
        <v>62845.63</v>
      </c>
      <c r="I160" s="9">
        <f>SUM(G160:H160)</f>
        <v/>
      </c>
      <c r="J160" s="8" t="n">
        <v>61</v>
      </c>
    </row>
    <row r="161" ht="21" customHeight="1">
      <c r="C161" s="8" t="inlineStr">
        <is>
          <t>W4102154968</t>
        </is>
      </c>
      <c r="D161" s="8" t="inlineStr">
        <is>
          <t>PKW Hr. Lanzar Tore</t>
        </is>
      </c>
      <c r="E161" s="8" t="inlineStr">
        <is>
          <t>West</t>
        </is>
      </c>
      <c r="F161" s="8" t="inlineStr">
        <is>
          <t>Verwaltung</t>
        </is>
      </c>
      <c r="G161" s="9" t="n">
        <v>1800.95</v>
      </c>
      <c r="H161" s="9" t="n"/>
      <c r="I161" s="9">
        <f>SUM(G161:H161)</f>
        <v/>
      </c>
      <c r="J161" s="8" t="n">
        <v>4</v>
      </c>
    </row>
    <row r="162" ht="21" customHeight="1">
      <c r="C162" s="8" t="inlineStr">
        <is>
          <t>P4102307452</t>
        </is>
      </c>
      <c r="D162" s="8" t="inlineStr">
        <is>
          <t>InDuRec Asbestsan. Dacheind. Mannheim</t>
        </is>
      </c>
      <c r="E162" s="8" t="inlineStr">
        <is>
          <t>Süd-West</t>
        </is>
      </c>
      <c r="F162" s="8" t="inlineStr">
        <is>
          <t>Verwaltung</t>
        </is>
      </c>
      <c r="G162" s="9" t="n">
        <v>349.4</v>
      </c>
      <c r="H162" s="9" t="n"/>
      <c r="I162" s="9">
        <f>SUM(G162:H162)</f>
        <v/>
      </c>
      <c r="J162" s="8" t="n">
        <v>1</v>
      </c>
    </row>
    <row r="163" ht="21" customHeight="1">
      <c r="C163" s="8" t="inlineStr">
        <is>
          <t>P4102157470</t>
        </is>
      </c>
      <c r="D163" s="8" t="inlineStr">
        <is>
          <t>Sägetechn Demontage Mischgasleitung</t>
        </is>
      </c>
      <c r="E163" s="8" t="inlineStr">
        <is>
          <t>West</t>
        </is>
      </c>
      <c r="F163" s="8" t="inlineStr">
        <is>
          <t>Verwaltung</t>
        </is>
      </c>
      <c r="G163" s="9" t="n">
        <v>-17086.51</v>
      </c>
      <c r="H163" s="9" t="n">
        <v>3110.61</v>
      </c>
      <c r="I163" s="9">
        <f>SUM(G163:H163)</f>
        <v/>
      </c>
      <c r="J163" s="8" t="n">
        <v>16</v>
      </c>
    </row>
    <row r="164" ht="21" customHeight="1">
      <c r="C164" s="8" t="inlineStr">
        <is>
          <t>P4102658229</t>
        </is>
      </c>
      <c r="D164" s="8" t="inlineStr">
        <is>
          <t>Markgrafenbrücke Berlin</t>
        </is>
      </c>
      <c r="E164" s="8" t="inlineStr">
        <is>
          <t>Berlin</t>
        </is>
      </c>
      <c r="F164" s="8" t="inlineStr">
        <is>
          <t>Verwaltung</t>
        </is>
      </c>
      <c r="G164" s="9" t="n">
        <v>-27893.64</v>
      </c>
      <c r="H164" s="9" t="n">
        <v>122323.84</v>
      </c>
      <c r="I164" s="9">
        <f>SUM(G164:H164)</f>
        <v/>
      </c>
      <c r="J164" s="8" t="n">
        <v>250</v>
      </c>
    </row>
    <row r="165" ht="21" customHeight="1">
      <c r="C165" s="8" t="inlineStr">
        <is>
          <t>P4102157411</t>
        </is>
      </c>
      <c r="D165" s="8" t="inlineStr">
        <is>
          <t>ARGE RB Chemiepark Krefeld</t>
        </is>
      </c>
      <c r="E165" s="8" t="inlineStr">
        <is>
          <t>West</t>
        </is>
      </c>
      <c r="F165" s="8" t="inlineStr">
        <is>
          <t>Verwaltung</t>
        </is>
      </c>
      <c r="G165" s="9" t="n">
        <v>-45582.42</v>
      </c>
      <c r="H165" s="9" t="n"/>
      <c r="I165" s="9">
        <f>SUM(G165:H165)</f>
        <v/>
      </c>
      <c r="J165" s="8" t="n">
        <v>1</v>
      </c>
    </row>
    <row r="166" ht="21" customHeight="1">
      <c r="C166" s="8" t="inlineStr">
        <is>
          <t>W4102652709</t>
        </is>
      </c>
      <c r="D166" s="8" t="inlineStr">
        <is>
          <t>CB-TV 96 Remault Kangoo</t>
        </is>
      </c>
      <c r="E166" s="8" t="inlineStr">
        <is>
          <t>Berlin</t>
        </is>
      </c>
      <c r="F166" s="8" t="inlineStr">
        <is>
          <t>Firmenwagen</t>
        </is>
      </c>
      <c r="G166" s="9" t="n">
        <v>799.38</v>
      </c>
      <c r="H166" s="9" t="n"/>
      <c r="I166" s="9">
        <f>SUM(G166:H166)</f>
        <v/>
      </c>
      <c r="J166" s="8" t="n">
        <v>7</v>
      </c>
    </row>
    <row r="167" ht="21" customHeight="1">
      <c r="C167" s="8" t="inlineStr">
        <is>
          <t>P4102307422</t>
        </is>
      </c>
      <c r="D167" s="8" t="inlineStr">
        <is>
          <t>BASF M 950</t>
        </is>
      </c>
      <c r="E167" s="8" t="inlineStr">
        <is>
          <t>Süd-West</t>
        </is>
      </c>
      <c r="F167" s="8" t="inlineStr">
        <is>
          <t>Verwaltung</t>
        </is>
      </c>
      <c r="G167" s="9" t="n">
        <v>26735.61</v>
      </c>
      <c r="H167" s="9" t="n">
        <v>2159.46</v>
      </c>
      <c r="I167" s="9">
        <f>SUM(G167:H167)</f>
        <v/>
      </c>
      <c r="J167" s="8" t="n">
        <v>9</v>
      </c>
    </row>
    <row r="168" ht="21" customHeight="1">
      <c r="C168" s="8" t="inlineStr">
        <is>
          <t>P4102658235</t>
        </is>
      </c>
      <c r="D168" s="8" t="inlineStr">
        <is>
          <t>ENB Neue Fahlenbergbrücke</t>
        </is>
      </c>
      <c r="E168" s="8" t="inlineStr">
        <is>
          <t>Berlin</t>
        </is>
      </c>
      <c r="F168" s="8" t="inlineStr">
        <is>
          <t>Verwaltung</t>
        </is>
      </c>
      <c r="G168" s="9" t="n">
        <v>0</v>
      </c>
      <c r="H168" s="9" t="n"/>
      <c r="I168" s="9">
        <f>SUM(G168:H168)</f>
        <v/>
      </c>
      <c r="J168" s="8" t="n">
        <v>2</v>
      </c>
    </row>
    <row r="169" ht="21" customHeight="1">
      <c r="C169" s="8" t="inlineStr">
        <is>
          <t>P4102658259</t>
        </is>
      </c>
      <c r="D169" s="8" t="inlineStr">
        <is>
          <t>ENB Eisenbahnbrücke Güsen</t>
        </is>
      </c>
      <c r="E169" s="8" t="inlineStr">
        <is>
          <t>Berlin</t>
        </is>
      </c>
      <c r="F169" s="8" t="inlineStr">
        <is>
          <t>Verwaltung</t>
        </is>
      </c>
      <c r="G169" s="9" t="n">
        <v>-91807.12</v>
      </c>
      <c r="H169" s="9" t="n">
        <v>41966.07</v>
      </c>
      <c r="I169" s="9">
        <f>SUM(G169:H169)</f>
        <v/>
      </c>
      <c r="J169" s="8" t="n">
        <v>63</v>
      </c>
    </row>
    <row r="170" ht="21" customHeight="1">
      <c r="C170" s="8" t="inlineStr">
        <is>
          <t>W4102157414</t>
        </is>
      </c>
      <c r="D170" s="8" t="inlineStr">
        <is>
          <t>Krandemontage</t>
        </is>
      </c>
      <c r="E170" s="8" t="inlineStr">
        <is>
          <t>West</t>
        </is>
      </c>
      <c r="F170" s="8" t="inlineStr">
        <is>
          <t>Verwaltung</t>
        </is>
      </c>
      <c r="G170" s="9" t="n"/>
      <c r="H170" s="9" t="n">
        <v>0</v>
      </c>
      <c r="I170" s="9">
        <f>SUM(G170:H170)</f>
        <v/>
      </c>
      <c r="J170" s="8" t="n">
        <v>2</v>
      </c>
    </row>
    <row r="171" ht="21" customHeight="1">
      <c r="C171" s="8" t="inlineStr">
        <is>
          <t>P4102157464</t>
        </is>
      </c>
      <c r="D171" s="8" t="inlineStr">
        <is>
          <t>Asbest Schadstoffsanierung C 601</t>
        </is>
      </c>
      <c r="E171" s="8" t="inlineStr">
        <is>
          <t>West</t>
        </is>
      </c>
      <c r="F171" s="8" t="inlineStr">
        <is>
          <t>Verwaltung</t>
        </is>
      </c>
      <c r="G171" s="9" t="n">
        <v>-7778</v>
      </c>
      <c r="H171" s="9" t="n">
        <v>2119.47</v>
      </c>
      <c r="I171" s="9">
        <f>SUM(G171:H171)</f>
        <v/>
      </c>
      <c r="J171" s="8" t="n">
        <v>14</v>
      </c>
    </row>
    <row r="172" ht="21" customHeight="1">
      <c r="C172" s="8" t="inlineStr">
        <is>
          <t>W4102504977</t>
        </is>
      </c>
      <c r="D172" s="8" t="inlineStr">
        <is>
          <t>PKW Herr Siebert</t>
        </is>
      </c>
      <c r="E172" s="8" t="inlineStr">
        <is>
          <t>Verwaltung</t>
        </is>
      </c>
      <c r="F172" s="8" t="inlineStr">
        <is>
          <t>Verwaltung</t>
        </is>
      </c>
      <c r="G172" s="9" t="n">
        <v>4285.08</v>
      </c>
      <c r="H172" s="9" t="n"/>
      <c r="I172" s="9">
        <f>SUM(G172:H172)</f>
        <v/>
      </c>
      <c r="J172" s="8" t="n">
        <v>8</v>
      </c>
    </row>
    <row r="173" ht="21" customHeight="1">
      <c r="C173" s="8" t="inlineStr">
        <is>
          <t>W4102504976</t>
        </is>
      </c>
      <c r="D173" s="8" t="inlineStr">
        <is>
          <t>CB-TV 104 Skoda Superb - Herr Kenski</t>
        </is>
      </c>
      <c r="E173" s="8" t="inlineStr">
        <is>
          <t>Verwaltung</t>
        </is>
      </c>
      <c r="F173" s="8" t="inlineStr">
        <is>
          <t>Firmenwagen</t>
        </is>
      </c>
      <c r="G173" s="9" t="n">
        <v>5533.86</v>
      </c>
      <c r="H173" s="9" t="n"/>
      <c r="I173" s="9">
        <f>SUM(G173:H173)</f>
        <v/>
      </c>
      <c r="J173" s="8" t="n">
        <v>25</v>
      </c>
    </row>
    <row r="174" ht="21" customHeight="1">
      <c r="C174" s="8" t="inlineStr">
        <is>
          <t>P4102157467</t>
        </is>
      </c>
      <c r="D174" s="8" t="inlineStr">
        <is>
          <t>Plakoma - Dem. Roheisenfähren</t>
        </is>
      </c>
      <c r="E174" s="8" t="inlineStr">
        <is>
          <t>West</t>
        </is>
      </c>
      <c r="F174" s="8" t="inlineStr">
        <is>
          <t>Verwaltung</t>
        </is>
      </c>
      <c r="G174" s="9" t="n">
        <v>-122000</v>
      </c>
      <c r="H174" s="9" t="n">
        <v>0</v>
      </c>
      <c r="I174" s="9">
        <f>SUM(G174:H174)</f>
        <v/>
      </c>
      <c r="J174" s="8" t="n">
        <v>10</v>
      </c>
    </row>
    <row r="175" ht="21" customHeight="1">
      <c r="C175" s="8" t="inlineStr">
        <is>
          <t>W4102604611</t>
        </is>
      </c>
      <c r="D175" s="8" t="inlineStr">
        <is>
          <t>Lager Regon Sued</t>
        </is>
      </c>
      <c r="E175" s="8" t="inlineStr">
        <is>
          <t>Ost</t>
        </is>
      </c>
      <c r="F175" s="8" t="inlineStr">
        <is>
          <t>Lager</t>
        </is>
      </c>
      <c r="G175" s="9" t="n">
        <v>15642.18</v>
      </c>
      <c r="H175" s="9" t="n">
        <v>3965</v>
      </c>
      <c r="I175" s="9">
        <f>SUM(G175:H175)</f>
        <v/>
      </c>
      <c r="J175" s="8" t="n">
        <v>98</v>
      </c>
    </row>
    <row r="176" ht="21" customHeight="1">
      <c r="C176" s="8" t="inlineStr">
        <is>
          <t>P4102307441</t>
        </is>
      </c>
      <c r="D176" s="8" t="inlineStr">
        <is>
          <t>BASF  E 301</t>
        </is>
      </c>
      <c r="E176" s="8" t="inlineStr">
        <is>
          <t>Süd-West</t>
        </is>
      </c>
      <c r="F176" s="8" t="inlineStr">
        <is>
          <t>Verwaltung</t>
        </is>
      </c>
      <c r="G176" s="9" t="n">
        <v>-34662.12</v>
      </c>
      <c r="H176" s="9" t="n">
        <v>29235.93</v>
      </c>
      <c r="I176" s="9">
        <f>SUM(G176:H176)</f>
        <v/>
      </c>
      <c r="J176" s="8" t="n">
        <v>45</v>
      </c>
    </row>
    <row r="177" ht="21" customHeight="1">
      <c r="C177" s="8" t="inlineStr">
        <is>
          <t>P4102157449</t>
        </is>
      </c>
      <c r="D177" s="8" t="inlineStr">
        <is>
          <t>RB Kessel KW Lausward</t>
        </is>
      </c>
      <c r="E177" s="8" t="inlineStr">
        <is>
          <t>West</t>
        </is>
      </c>
      <c r="F177" s="8" t="inlineStr">
        <is>
          <t>Verwaltung</t>
        </is>
      </c>
      <c r="G177" s="9" t="n">
        <v>-108785.12</v>
      </c>
      <c r="H177" s="9" t="n">
        <v>46566.47</v>
      </c>
      <c r="I177" s="9">
        <f>SUM(G177:H177)</f>
        <v/>
      </c>
      <c r="J177" s="8" t="n">
        <v>103</v>
      </c>
    </row>
    <row r="178" ht="21" customHeight="1">
      <c r="C178" s="8" t="inlineStr">
        <is>
          <t>P4102307431</t>
        </is>
      </c>
      <c r="D178" s="8" t="inlineStr">
        <is>
          <t>HNVG Bauph. II Gaswerk</t>
        </is>
      </c>
      <c r="E178" s="8" t="inlineStr">
        <is>
          <t>Süd-West</t>
        </is>
      </c>
      <c r="F178" s="8" t="inlineStr">
        <is>
          <t>Verwaltung</t>
        </is>
      </c>
      <c r="G178" s="9" t="n">
        <v>-14290.34</v>
      </c>
      <c r="H178" s="9" t="n"/>
      <c r="I178" s="9">
        <f>SUM(G178:H178)</f>
        <v/>
      </c>
      <c r="J178" s="8" t="n">
        <v>2</v>
      </c>
    </row>
    <row r="179" ht="21" customHeight="1">
      <c r="C179" s="8" t="inlineStr">
        <is>
          <t>P4102157459</t>
        </is>
      </c>
      <c r="D179" s="8" t="inlineStr">
        <is>
          <t>RB alte Beizanlage</t>
        </is>
      </c>
      <c r="E179" s="8" t="inlineStr">
        <is>
          <t>West</t>
        </is>
      </c>
      <c r="F179" s="8" t="inlineStr">
        <is>
          <t>Verwaltung</t>
        </is>
      </c>
      <c r="G179" s="9" t="n">
        <v>-16619.55</v>
      </c>
      <c r="H179" s="9" t="n">
        <v>8287.49</v>
      </c>
      <c r="I179" s="9">
        <f>SUM(G179:H179)</f>
        <v/>
      </c>
      <c r="J179" s="8" t="n">
        <v>19</v>
      </c>
    </row>
    <row r="180" ht="21" customHeight="1">
      <c r="C180" s="8" t="inlineStr">
        <is>
          <t>W4102604414</t>
        </is>
      </c>
      <c r="D180" s="8" t="inlineStr">
        <is>
          <t>Halle Boxberg</t>
        </is>
      </c>
      <c r="E180" s="8" t="inlineStr">
        <is>
          <t>Ost</t>
        </is>
      </c>
      <c r="F180" s="8" t="inlineStr">
        <is>
          <t>Verwaltung</t>
        </is>
      </c>
      <c r="G180" s="9" t="n">
        <v>-1471.09</v>
      </c>
      <c r="H180" s="9" t="n"/>
      <c r="I180" s="9">
        <f>SUM(G180:H180)</f>
        <v/>
      </c>
      <c r="J180" s="8" t="n">
        <v>32</v>
      </c>
    </row>
    <row r="181" ht="21" customHeight="1">
      <c r="C181" s="8" t="inlineStr">
        <is>
          <t>P4102658272</t>
        </is>
      </c>
      <c r="D181" s="8" t="inlineStr">
        <is>
          <t>Beräumung Herzberger Straße</t>
        </is>
      </c>
      <c r="E181" s="8" t="inlineStr">
        <is>
          <t>Berlin</t>
        </is>
      </c>
      <c r="F181" s="8" t="inlineStr">
        <is>
          <t>Verwaltung</t>
        </is>
      </c>
      <c r="G181" s="9" t="n">
        <v>-19556.17</v>
      </c>
      <c r="H181" s="9" t="n">
        <v>25486.76</v>
      </c>
      <c r="I181" s="9">
        <f>SUM(G181:H181)</f>
        <v/>
      </c>
      <c r="J181" s="8" t="n">
        <v>62</v>
      </c>
    </row>
    <row r="182" ht="21" customHeight="1">
      <c r="C182" s="8" t="inlineStr">
        <is>
          <t>P4102604612</t>
        </is>
      </c>
      <c r="D182" s="8" t="inlineStr">
        <is>
          <t>Recyclingplatz Boxberg</t>
        </is>
      </c>
      <c r="E182" s="8" t="inlineStr">
        <is>
          <t>Ost</t>
        </is>
      </c>
      <c r="F182" s="8" t="inlineStr">
        <is>
          <t>Verwaltung</t>
        </is>
      </c>
      <c r="G182" s="9" t="n">
        <v>8715.889999999999</v>
      </c>
      <c r="H182" s="9" t="n">
        <v>132</v>
      </c>
      <c r="I182" s="9">
        <f>SUM(G182:H182)</f>
        <v/>
      </c>
      <c r="J182" s="8" t="n">
        <v>9</v>
      </c>
    </row>
    <row r="183" ht="21" customHeight="1">
      <c r="C183" s="8" t="inlineStr">
        <is>
          <t>P4102608275</t>
        </is>
      </c>
      <c r="D183" s="8" t="inlineStr">
        <is>
          <t>An der Spreewaldbahn lübben</t>
        </is>
      </c>
      <c r="E183" s="8" t="inlineStr">
        <is>
          <t>Ost</t>
        </is>
      </c>
      <c r="F183" s="8" t="inlineStr">
        <is>
          <t>Verwaltung</t>
        </is>
      </c>
      <c r="G183" s="9" t="n">
        <v>-15953.08</v>
      </c>
      <c r="H183" s="9" t="n">
        <v>7986.92</v>
      </c>
      <c r="I183" s="9">
        <f>SUM(G183:H183)</f>
        <v/>
      </c>
      <c r="J183" s="8" t="n">
        <v>18</v>
      </c>
    </row>
    <row r="184" ht="21" customHeight="1">
      <c r="C184" s="8" t="inlineStr">
        <is>
          <t>P4102608268</t>
        </is>
      </c>
      <c r="D184" s="8" t="inlineStr">
        <is>
          <t>Gutenbergstrasse Potsdam</t>
        </is>
      </c>
      <c r="E184" s="8" t="inlineStr">
        <is>
          <t>Ost</t>
        </is>
      </c>
      <c r="F184" s="8" t="inlineStr">
        <is>
          <t>Verwaltung</t>
        </is>
      </c>
      <c r="G184" s="9" t="n">
        <v>-4986.26</v>
      </c>
      <c r="H184" s="9" t="n">
        <v>3115.41</v>
      </c>
      <c r="I184" s="9">
        <f>SUM(G184:H184)</f>
        <v/>
      </c>
      <c r="J184" s="8" t="n">
        <v>16</v>
      </c>
    </row>
    <row r="185" ht="21" customHeight="1">
      <c r="C185" s="8" t="inlineStr">
        <is>
          <t>P4102307423</t>
        </is>
      </c>
      <c r="D185" s="8" t="inlineStr">
        <is>
          <t>BASF F 712</t>
        </is>
      </c>
      <c r="E185" s="8" t="inlineStr">
        <is>
          <t>Süd-West</t>
        </is>
      </c>
      <c r="F185" s="8" t="inlineStr">
        <is>
          <t>Verwaltung</t>
        </is>
      </c>
      <c r="G185" s="9" t="n">
        <v>1244.98</v>
      </c>
      <c r="H185" s="9" t="n">
        <v>3720</v>
      </c>
      <c r="I185" s="9">
        <f>SUM(G185:H185)</f>
        <v/>
      </c>
      <c r="J185" s="8" t="n">
        <v>8</v>
      </c>
    </row>
    <row r="186" ht="21" customHeight="1">
      <c r="C186" s="8" t="inlineStr">
        <is>
          <t>P4102658276</t>
        </is>
      </c>
      <c r="D186" s="8" t="inlineStr">
        <is>
          <t>EÜ Braunsbedra</t>
        </is>
      </c>
      <c r="E186" s="8" t="inlineStr">
        <is>
          <t>Berlin</t>
        </is>
      </c>
      <c r="F186" s="8" t="inlineStr">
        <is>
          <t>Verwaltung</t>
        </is>
      </c>
      <c r="G186" s="9" t="n">
        <v>-71969.09</v>
      </c>
      <c r="H186" s="9" t="n">
        <v>45124.3</v>
      </c>
      <c r="I186" s="9">
        <f>SUM(G186:H186)</f>
        <v/>
      </c>
      <c r="J186" s="8" t="n">
        <v>102</v>
      </c>
    </row>
    <row r="187" ht="21" customHeight="1">
      <c r="C187" s="8" t="inlineStr">
        <is>
          <t>P4102307306</t>
        </is>
      </c>
      <c r="D187" s="8" t="inlineStr">
        <is>
          <t>RB Halle Karlsruhe</t>
        </is>
      </c>
      <c r="E187" s="8" t="inlineStr">
        <is>
          <t>Süd-West</t>
        </is>
      </c>
      <c r="F187" s="8" t="inlineStr">
        <is>
          <t>Verwaltung</t>
        </is>
      </c>
      <c r="G187" s="9" t="n">
        <v>7000</v>
      </c>
      <c r="H187" s="9" t="n"/>
      <c r="I187" s="9">
        <f>SUM(G187:H187)</f>
        <v/>
      </c>
      <c r="J187" s="8" t="n">
        <v>3</v>
      </c>
    </row>
    <row r="188" ht="21" customHeight="1">
      <c r="C188" s="8" t="inlineStr">
        <is>
          <t>P4102307448</t>
        </is>
      </c>
      <c r="D188" s="8" t="inlineStr">
        <is>
          <t>Kopf SynGas - Klärschlammvergasung</t>
        </is>
      </c>
      <c r="E188" s="8" t="inlineStr">
        <is>
          <t>Süd-West</t>
        </is>
      </c>
      <c r="F188" s="8" t="inlineStr">
        <is>
          <t>Verwaltung</t>
        </is>
      </c>
      <c r="G188" s="9" t="n">
        <v>-134.34</v>
      </c>
      <c r="H188" s="9" t="n">
        <v>5188.38</v>
      </c>
      <c r="I188" s="9">
        <f>SUM(G188:H188)</f>
        <v/>
      </c>
      <c r="J188" s="8" t="n">
        <v>24</v>
      </c>
    </row>
    <row r="189" ht="21" customHeight="1">
      <c r="C189" s="8" t="inlineStr">
        <is>
          <t>P4102157461</t>
        </is>
      </c>
      <c r="D189" s="8" t="inlineStr">
        <is>
          <t>Brücke D 1 Seitenteile</t>
        </is>
      </c>
      <c r="E189" s="8" t="inlineStr">
        <is>
          <t>West</t>
        </is>
      </c>
      <c r="F189" s="8" t="inlineStr">
        <is>
          <t>Verwaltung</t>
        </is>
      </c>
      <c r="G189" s="9" t="n">
        <v>-14385.05</v>
      </c>
      <c r="H189" s="9" t="n">
        <v>9618.66</v>
      </c>
      <c r="I189" s="9">
        <f>SUM(G189:H189)</f>
        <v/>
      </c>
      <c r="J189" s="8" t="n">
        <v>31</v>
      </c>
    </row>
    <row r="190" ht="21" customHeight="1">
      <c r="C190" s="8" t="inlineStr">
        <is>
          <t>P4102157445</t>
        </is>
      </c>
      <c r="D190" s="8" t="inlineStr">
        <is>
          <t>RB 2 Stahlwände Lüra Halle</t>
        </is>
      </c>
      <c r="E190" s="8" t="inlineStr">
        <is>
          <t>West</t>
        </is>
      </c>
      <c r="F190" s="8" t="inlineStr">
        <is>
          <t>Verwaltung</t>
        </is>
      </c>
      <c r="G190" s="9" t="n">
        <v>189.05</v>
      </c>
      <c r="H190" s="9" t="n">
        <v>22.69</v>
      </c>
      <c r="I190" s="9">
        <f>SUM(G190:H190)</f>
        <v/>
      </c>
      <c r="J190" s="8" t="n">
        <v>4</v>
      </c>
    </row>
    <row r="191" ht="21" customHeight="1">
      <c r="C191" s="8" t="inlineStr">
        <is>
          <t>P4102157442</t>
        </is>
      </c>
      <c r="D191" s="8" t="inlineStr">
        <is>
          <t>RB Leitstand Flämmaschine</t>
        </is>
      </c>
      <c r="E191" s="8" t="inlineStr">
        <is>
          <t>West</t>
        </is>
      </c>
      <c r="F191" s="8" t="inlineStr">
        <is>
          <t>Verwaltung</t>
        </is>
      </c>
      <c r="G191" s="9" t="n">
        <v>-16812.77</v>
      </c>
      <c r="H191" s="9" t="n">
        <v>11196.41</v>
      </c>
      <c r="I191" s="9">
        <f>SUM(G191:H191)</f>
        <v/>
      </c>
      <c r="J191" s="8" t="n">
        <v>57</v>
      </c>
    </row>
    <row r="192" ht="21" customHeight="1">
      <c r="C192" s="8" t="inlineStr">
        <is>
          <t>P4102608260</t>
        </is>
      </c>
      <c r="D192" s="8" t="inlineStr">
        <is>
          <t>RB Floorflexplatten Berlin</t>
        </is>
      </c>
      <c r="E192" s="8" t="inlineStr">
        <is>
          <t>Ost</t>
        </is>
      </c>
      <c r="F192" s="8" t="inlineStr">
        <is>
          <t>Verwaltung</t>
        </is>
      </c>
      <c r="G192" s="9" t="n">
        <v>-9180.16</v>
      </c>
      <c r="H192" s="9" t="n">
        <v>3126.56</v>
      </c>
      <c r="I192" s="9">
        <f>SUM(G192:H192)</f>
        <v/>
      </c>
      <c r="J192" s="8" t="n">
        <v>53</v>
      </c>
    </row>
    <row r="193" ht="21" customHeight="1">
      <c r="C193" s="8" t="inlineStr">
        <is>
          <t>W4102504971</t>
        </is>
      </c>
      <c r="D193" s="8" t="inlineStr">
        <is>
          <t>CB-CR 107 Werban</t>
        </is>
      </c>
      <c r="E193" s="8" t="inlineStr">
        <is>
          <t>Verwaltung</t>
        </is>
      </c>
      <c r="F193" s="8" t="inlineStr">
        <is>
          <t>Firmenwagen</t>
        </is>
      </c>
      <c r="G193" s="9" t="n">
        <v>4177.21</v>
      </c>
      <c r="H193" s="9" t="n"/>
      <c r="I193" s="9">
        <f>SUM(G193:H193)</f>
        <v/>
      </c>
      <c r="J193" s="8" t="n">
        <v>33</v>
      </c>
    </row>
    <row r="194" ht="21" customHeight="1">
      <c r="C194" s="8" t="inlineStr">
        <is>
          <t>P4102307440</t>
        </is>
      </c>
      <c r="D194" s="8" t="inlineStr">
        <is>
          <t>BASF  L 605</t>
        </is>
      </c>
      <c r="E194" s="8" t="inlineStr">
        <is>
          <t>Süd-West</t>
        </is>
      </c>
      <c r="F194" s="8" t="inlineStr">
        <is>
          <t>Verwaltung</t>
        </is>
      </c>
      <c r="G194" s="9" t="n">
        <v>-88298.14999999999</v>
      </c>
      <c r="H194" s="9" t="n">
        <v>89355.84</v>
      </c>
      <c r="I194" s="9">
        <f>SUM(G194:H194)</f>
        <v/>
      </c>
      <c r="J194" s="8" t="n">
        <v>100</v>
      </c>
    </row>
    <row r="195" ht="21" customHeight="1">
      <c r="C195" s="8" t="inlineStr">
        <is>
          <t>P4102157458</t>
        </is>
      </c>
      <c r="D195" s="8" t="inlineStr">
        <is>
          <t>Kleinaufträge Region West 2026</t>
        </is>
      </c>
      <c r="E195" s="8" t="inlineStr">
        <is>
          <t>West</t>
        </is>
      </c>
      <c r="F195" s="8" t="inlineStr">
        <is>
          <t>Verwaltung</t>
        </is>
      </c>
      <c r="G195" s="9" t="n">
        <v>-22519.56</v>
      </c>
      <c r="H195" s="9" t="n">
        <v>5132.03</v>
      </c>
      <c r="I195" s="9">
        <f>SUM(G195:H195)</f>
        <v/>
      </c>
      <c r="J195" s="8" t="n">
        <v>27</v>
      </c>
    </row>
    <row r="196" ht="21" customHeight="1">
      <c r="C196" s="8" t="inlineStr">
        <is>
          <t>W4102154961</t>
        </is>
      </c>
      <c r="D196" s="8" t="inlineStr">
        <is>
          <t>DO-AW 251 Ludwigs</t>
        </is>
      </c>
      <c r="E196" s="8" t="inlineStr">
        <is>
          <t>West</t>
        </is>
      </c>
      <c r="F196" s="8" t="inlineStr">
        <is>
          <t>Verwaltung</t>
        </is>
      </c>
      <c r="G196" s="9" t="n">
        <v>7249.24</v>
      </c>
      <c r="H196" s="9" t="n"/>
      <c r="I196" s="9">
        <f>SUM(G196:H196)</f>
        <v/>
      </c>
      <c r="J196" s="8" t="n">
        <v>35</v>
      </c>
    </row>
    <row r="197" ht="21" customHeight="1">
      <c r="C197" s="8" t="inlineStr">
        <is>
          <t>W4102504211</t>
        </is>
      </c>
      <c r="D197" s="8" t="inlineStr">
        <is>
          <t>Rechnungsw./Finanzen</t>
        </is>
      </c>
      <c r="E197" s="8" t="inlineStr">
        <is>
          <t>Verwaltung</t>
        </is>
      </c>
      <c r="F197" s="8" t="inlineStr">
        <is>
          <t>Verwaltung</t>
        </is>
      </c>
      <c r="G197" s="9" t="n">
        <v>266.97</v>
      </c>
      <c r="H197" s="9" t="n"/>
      <c r="I197" s="9">
        <f>SUM(G197:H197)</f>
        <v/>
      </c>
      <c r="J197" s="8" t="n">
        <v>12</v>
      </c>
    </row>
    <row r="200">
      <c r="C200" t="inlineStr">
        <is>
          <t>SharePoint-Verknüpfungen (Dateien im selben Ordner)</t>
        </is>
      </c>
    </row>
    <row r="201">
      <c r="C201" t="inlineStr">
        <is>
          <t>Diese Datei</t>
        </is>
      </c>
      <c r="D201" t="inlineStr">
        <is>
          <t>Umlagen.xlsx</t>
        </is>
      </c>
    </row>
  </sheetData>
  <mergeCells count="3">
    <mergeCell ref="C29:L29"/>
    <mergeCell ref="C2:M2"/>
    <mergeCell ref="C3:M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2026-10-12T08:22:09Z</dcterms:created>
  <dcterms:modified xsi:type="dcterms:W3CDTF">2026-10-12T08:22:09Z</dcterms:modified>
</cp:coreProperties>
</file>