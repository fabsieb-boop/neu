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mdleist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96" displayName="TVF_96" ref="C6:G16" headerRowCount="1">
  <tableColumns count="5">
    <tableColumn id="1" name="Kategorie"/>
    <tableColumn id="2" name="Anzahl"/>
    <tableColumn id="3" name="EUR"/>
    <tableColumn id="4" name="Anteil"/>
    <tableColumn id="5" name="Zielko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97" displayName="TVF_97" ref="C22:F32" headerRowCount="1">
  <tableColumns count="4">
    <tableColumn id="1" name="Kostenart"/>
    <tableColumn id="2" name="Konto"/>
    <tableColumn id="3" name="Beschreibung"/>
    <tableColumn id="4" name="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42" customWidth="1" min="5" max="5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" t="n"/>
      <c r="C2" s="2" t="inlineStr">
        <is>
          <t>Fremdleistungen und Kontenzuordnung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32" customHeight="1">
      <c r="A3" s="1" t="n"/>
      <c r="B3" s="1" t="n"/>
      <c r="C3" s="4" t="inlineStr">
        <is>
          <t>Referenzanalyse aus dem Ausgangscockpit. EUR, sofern nicht anders angegeben.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36" customHeight="1">
      <c r="A6" s="1" t="n"/>
      <c r="B6" s="1" t="n"/>
      <c r="C6" s="5" t="inlineStr">
        <is>
          <t>Kategorie</t>
        </is>
      </c>
      <c r="D6" s="5" t="inlineStr">
        <is>
          <t>Anzahl</t>
        </is>
      </c>
      <c r="E6" s="5" t="inlineStr">
        <is>
          <t>EUR</t>
        </is>
      </c>
      <c r="F6" s="5" t="inlineStr">
        <is>
          <t>Anteil</t>
        </is>
      </c>
      <c r="G6" s="5" t="inlineStr">
        <is>
          <t>Zielkonto</t>
        </is>
      </c>
      <c r="H6" s="1" t="n"/>
      <c r="I6" s="1" t="n"/>
      <c r="J6" s="1" t="n"/>
      <c r="K6" s="1" t="n"/>
      <c r="L6" s="1" t="n"/>
      <c r="M6" s="1" t="n"/>
      <c r="N6" s="1" t="n"/>
    </row>
    <row r="7" ht="21" customHeight="1">
      <c r="A7" s="1" t="n"/>
      <c r="B7" s="1" t="n"/>
      <c r="C7" s="1" t="inlineStr">
        <is>
          <t>Fremdunternehmen (Werkvertrag)</t>
        </is>
      </c>
      <c r="D7" s="1" t="n">
        <v>25</v>
      </c>
      <c r="E7" s="6" t="n">
        <v>5487599</v>
      </c>
      <c r="F7" s="7">
        <f>IF(SUM($E$7:$E$16)=0,"n.a.",E7/SUM($E$7:$E$16))</f>
        <v/>
      </c>
      <c r="G7" s="1" t="inlineStr">
        <is>
          <t>bleibt bezogene Leistung</t>
        </is>
      </c>
      <c r="H7" s="1" t="n"/>
      <c r="I7" s="1" t="n"/>
      <c r="J7" s="1" t="n"/>
      <c r="K7" s="1" t="n"/>
      <c r="L7" s="1" t="n"/>
      <c r="M7" s="1" t="n"/>
      <c r="N7" s="1" t="n"/>
    </row>
    <row r="8" ht="21" customHeight="1">
      <c r="A8" s="1" t="n"/>
      <c r="B8" s="1" t="n"/>
      <c r="C8" s="1" t="inlineStr">
        <is>
          <t>Einzelunternehmer / Solo</t>
        </is>
      </c>
      <c r="D8" s="1" t="n">
        <v>7</v>
      </c>
      <c r="E8" s="6" t="n">
        <v>709679</v>
      </c>
      <c r="F8" s="7">
        <f>IF(SUM($E$7:$E$16)=0,"n.a.",E8/SUM($E$7:$E$16))</f>
        <v/>
      </c>
      <c r="G8" s="1" t="inlineStr">
        <is>
          <t>340020 Sonstige Fremdleistungen</t>
        </is>
      </c>
      <c r="H8" s="1" t="n"/>
      <c r="I8" s="1" t="n"/>
      <c r="J8" s="1" t="n"/>
      <c r="K8" s="1" t="n"/>
      <c r="L8" s="1" t="n"/>
      <c r="M8" s="1" t="n"/>
      <c r="N8" s="1" t="n"/>
    </row>
    <row r="9" ht="21" customHeight="1">
      <c r="A9" s="1" t="n"/>
      <c r="B9" s="1" t="n"/>
      <c r="C9" s="1" t="inlineStr">
        <is>
          <t>Lieferanten</t>
        </is>
      </c>
      <c r="D9" s="1" t="n">
        <v>10</v>
      </c>
      <c r="E9" s="6" t="n">
        <v>634905</v>
      </c>
      <c r="F9" s="7">
        <f>IF(SUM($E$7:$E$16)=0,"n.a.",E9/SUM($E$7:$E$16))</f>
        <v/>
      </c>
      <c r="G9" s="1" t="inlineStr">
        <is>
          <t>Materialkonto. Kaufvertrag</t>
        </is>
      </c>
      <c r="H9" s="1" t="n"/>
      <c r="I9" s="1" t="n"/>
      <c r="J9" s="1" t="n"/>
      <c r="K9" s="1" t="n"/>
      <c r="L9" s="1" t="n"/>
      <c r="M9" s="1" t="n"/>
      <c r="N9" s="1" t="n"/>
    </row>
    <row r="10" ht="21" customHeight="1">
      <c r="A10" s="1" t="n"/>
      <c r="B10" s="1" t="n"/>
      <c r="C10" s="1" t="inlineStr">
        <is>
          <t>Entsorger, Verwerter</t>
        </is>
      </c>
      <c r="D10" s="1" t="n">
        <v>13</v>
      </c>
      <c r="E10" s="6" t="n">
        <v>582847</v>
      </c>
      <c r="F10" s="7">
        <f>IF(SUM($E$7:$E$16)=0,"n.a.",E10/SUM($E$7:$E$16))</f>
        <v/>
      </c>
      <c r="G10" s="1" t="inlineStr">
        <is>
          <t>340010 Deponie-/Kippgebühren</t>
        </is>
      </c>
      <c r="H10" s="1" t="n"/>
      <c r="I10" s="1" t="n"/>
      <c r="J10" s="1" t="n"/>
      <c r="K10" s="1" t="n"/>
      <c r="L10" s="1" t="n"/>
      <c r="M10" s="1" t="n"/>
      <c r="N10" s="1" t="n"/>
    </row>
    <row r="11" ht="21" customHeight="1">
      <c r="A11" s="1" t="n"/>
      <c r="B11" s="1" t="n"/>
      <c r="C11" s="1" t="inlineStr">
        <is>
          <t>Vermieter, Leasinggeber</t>
        </is>
      </c>
      <c r="D11" s="1" t="n">
        <v>15</v>
      </c>
      <c r="E11" s="6" t="n">
        <v>487891</v>
      </c>
      <c r="F11" s="7">
        <f>IF(SUM($E$7:$E$16)=0,"n.a.",E11/SUM($E$7:$E$16))</f>
        <v/>
      </c>
      <c r="G11" s="1" t="inlineStr">
        <is>
          <t>431031 bzw. 400131 Miete Geräte</t>
        </is>
      </c>
      <c r="H11" s="1" t="n"/>
      <c r="I11" s="1" t="n"/>
      <c r="J11" s="1" t="n"/>
      <c r="K11" s="1" t="n"/>
      <c r="L11" s="1" t="n"/>
      <c r="M11" s="1" t="n"/>
      <c r="N11" s="1" t="n"/>
    </row>
    <row r="12" ht="21" customHeight="1">
      <c r="A12" s="1" t="n"/>
      <c r="B12" s="1" t="n"/>
      <c r="C12" s="1" t="inlineStr">
        <is>
          <t>Vermieter mit Bedienpersonal</t>
        </is>
      </c>
      <c r="D12" s="1" t="n">
        <v>4</v>
      </c>
      <c r="E12" s="6" t="n">
        <v>343263</v>
      </c>
      <c r="F12" s="7">
        <f>IF(SUM($E$7:$E$16)=0,"n.a.",E12/SUM($E$7:$E$16))</f>
        <v/>
      </c>
      <c r="G12" s="1" t="inlineStr">
        <is>
          <t>431031 + 340020, Vertrag nötig</t>
        </is>
      </c>
      <c r="H12" s="1" t="n"/>
      <c r="I12" s="1" t="n"/>
      <c r="J12" s="1" t="n"/>
      <c r="K12" s="1" t="n"/>
      <c r="L12" s="1" t="n"/>
      <c r="M12" s="1" t="n"/>
      <c r="N12" s="1" t="n"/>
    </row>
    <row r="13" ht="21" customHeight="1">
      <c r="A13" s="1" t="n"/>
      <c r="B13" s="1" t="n"/>
      <c r="C13" s="1" t="inlineStr">
        <is>
          <t>Nicht Kreditor. Zu klären</t>
        </is>
      </c>
      <c r="D13" s="1" t="n">
        <v>3</v>
      </c>
      <c r="E13" s="6" t="n">
        <v>255298</v>
      </c>
      <c r="F13" s="7">
        <f>IF(SUM($E$7:$E$16)=0,"n.a.",E13/SUM($E$7:$E$16))</f>
        <v/>
      </c>
      <c r="G13" s="1" t="inlineStr">
        <is>
          <t>Rückstellung, 430121</t>
        </is>
      </c>
      <c r="H13" s="1" t="n"/>
      <c r="I13" s="1" t="n"/>
      <c r="J13" s="1" t="n"/>
      <c r="K13" s="1" t="n"/>
      <c r="L13" s="1" t="n"/>
      <c r="M13" s="1" t="n"/>
      <c r="N13" s="1" t="n"/>
    </row>
    <row r="14" ht="21" customHeight="1">
      <c r="A14" s="1" t="n"/>
      <c r="B14" s="1" t="n"/>
      <c r="C14" s="1" t="inlineStr">
        <is>
          <t>Planer, Gutachter</t>
        </is>
      </c>
      <c r="D14" s="1" t="n">
        <v>3</v>
      </c>
      <c r="E14" s="6" t="n">
        <v>163751</v>
      </c>
      <c r="F14" s="7">
        <f>IF(SUM($E$7:$E$16)=0,"n.a.",E14/SUM($E$7:$E$16))</f>
        <v/>
      </c>
      <c r="G14" s="1" t="inlineStr">
        <is>
          <t>Beratungskonto</t>
        </is>
      </c>
      <c r="H14" s="1" t="n"/>
      <c r="I14" s="1" t="n"/>
      <c r="J14" s="1" t="n"/>
      <c r="K14" s="1" t="n"/>
      <c r="L14" s="1" t="n"/>
      <c r="M14" s="1" t="n"/>
      <c r="N14" s="1" t="n"/>
    </row>
    <row r="15" ht="21" customHeight="1">
      <c r="A15" s="1" t="n"/>
      <c r="B15" s="1" t="n"/>
      <c r="C15" s="1" t="inlineStr">
        <is>
          <t>Transport, Logistik</t>
        </is>
      </c>
      <c r="D15" s="1" t="n">
        <v>4</v>
      </c>
      <c r="E15" s="6" t="n">
        <v>78591</v>
      </c>
      <c r="F15" s="7">
        <f>IF(SUM($E$7:$E$16)=0,"n.a.",E15/SUM($E$7:$E$16))</f>
        <v/>
      </c>
      <c r="G15" s="1" t="inlineStr">
        <is>
          <t>Frachtkonto</t>
        </is>
      </c>
      <c r="H15" s="1" t="n"/>
      <c r="I15" s="1" t="n"/>
      <c r="J15" s="1" t="n"/>
      <c r="K15" s="1" t="n"/>
      <c r="L15" s="1" t="n"/>
      <c r="M15" s="1" t="n"/>
      <c r="N15" s="1" t="n"/>
    </row>
    <row r="16" ht="21" customHeight="1">
      <c r="A16" s="1" t="n"/>
      <c r="B16" s="1" t="n"/>
      <c r="C16" s="1" t="inlineStr">
        <is>
          <t>Leiharbeit</t>
        </is>
      </c>
      <c r="D16" s="1" t="n">
        <v>1</v>
      </c>
      <c r="E16" s="6" t="n">
        <v>17139</v>
      </c>
      <c r="F16" s="7">
        <f>IF(SUM($E$7:$E$16)=0,"n.a.",E16/SUM($E$7:$E$16))</f>
        <v/>
      </c>
      <c r="G16" s="1" t="inlineStr">
        <is>
          <t>eigenes Konto fehlt (§ 1b AÜG)</t>
        </is>
      </c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 ht="26" customHeight="1">
      <c r="A20" s="1" t="n"/>
      <c r="B20" s="1" t="n"/>
      <c r="C20" s="8" t="inlineStr">
        <is>
          <t>Zielkonten</t>
        </is>
      </c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36" customHeight="1">
      <c r="A22" s="1" t="n"/>
      <c r="B22" s="1" t="n"/>
      <c r="C22" s="5" t="inlineStr">
        <is>
          <t>Kostenart</t>
        </is>
      </c>
      <c r="D22" s="5" t="inlineStr">
        <is>
          <t>Konto</t>
        </is>
      </c>
      <c r="E22" s="5" t="inlineStr">
        <is>
          <t>Beschreibung</t>
        </is>
      </c>
      <c r="F22" s="5" t="inlineStr">
        <is>
          <t>Basis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</row>
    <row r="23" ht="45" customHeight="1">
      <c r="A23" s="1" t="n"/>
      <c r="B23" s="1" t="n"/>
      <c r="C23" s="1" t="inlineStr">
        <is>
          <t>Nachunternehmerleistung Werkvertrag</t>
        </is>
      </c>
      <c r="D23" s="1" t="inlineStr">
        <is>
          <t>340050</t>
        </is>
      </c>
      <c r="E23" s="9" t="inlineStr">
        <is>
          <t>Vergabe an Fremdfirmen mit eigener Leistungsverantwortung</t>
        </is>
      </c>
      <c r="F23" s="9" t="n">
        <v>5487599</v>
      </c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45" customHeight="1">
      <c r="A24" s="1" t="n"/>
      <c r="B24" s="1" t="n"/>
      <c r="C24" s="1" t="inlineStr">
        <is>
          <t>Sonstige Fremdleistungen</t>
        </is>
      </c>
      <c r="D24" s="1" t="inlineStr">
        <is>
          <t>340020</t>
        </is>
      </c>
      <c r="E24" s="9" t="inlineStr">
        <is>
          <t>Solo-Selbständige und Bedienpersonal aus Mietverträgen</t>
        </is>
      </c>
      <c r="F24" s="9" t="n">
        <v>709679</v>
      </c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45" customHeight="1">
      <c r="A25" s="1" t="n"/>
      <c r="B25" s="1" t="n"/>
      <c r="C25" s="1" t="inlineStr">
        <is>
          <t>Deponie- und Kippgebühren</t>
        </is>
      </c>
      <c r="D25" s="1" t="inlineStr">
        <is>
          <t>340010</t>
        </is>
      </c>
      <c r="E25" s="9" t="inlineStr">
        <is>
          <t>Entsorger und Verwerter, heute mit 0 € nicht bebucht</t>
        </is>
      </c>
      <c r="F25" s="9" t="n">
        <v>582847</v>
      </c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45" customHeight="1">
      <c r="A26" s="1" t="n"/>
      <c r="B26" s="1" t="n"/>
      <c r="C26" s="1" t="inlineStr">
        <is>
          <t>Miete und Leasing Geräte</t>
        </is>
      </c>
      <c r="D26" s="1" t="inlineStr">
        <is>
          <t>431031 / 431032</t>
        </is>
      </c>
      <c r="E26" s="9" t="inlineStr">
        <is>
          <t>Gerätemiete und Leasing ohne Personal</t>
        </is>
      </c>
      <c r="F26" s="9" t="n">
        <v>487891</v>
      </c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45" customHeight="1">
      <c r="A27" s="1" t="n"/>
      <c r="B27" s="1" t="n"/>
      <c r="C27" s="1" t="inlineStr">
        <is>
          <t>Anmietung Arbeitsmaschinen</t>
        </is>
      </c>
      <c r="D27" s="1" t="inlineStr">
        <is>
          <t>400131 / 400132</t>
        </is>
      </c>
      <c r="E27" s="9" t="inlineStr">
        <is>
          <t>Selbstfahrende Arbeitsmaschinen, Miete und Leasing getrennt</t>
        </is>
      </c>
      <c r="F27" s="9" t="n">
        <v>343263</v>
      </c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45" customHeight="1">
      <c r="A28" s="1" t="n"/>
      <c r="B28" s="1" t="n"/>
      <c r="C28" s="1" t="inlineStr">
        <is>
          <t>Material und Roh-, Hilfs-, Betriebsstoffe</t>
        </is>
      </c>
      <c r="D28" s="1" t="inlineStr">
        <is>
          <t>Materialkonto neu</t>
        </is>
      </c>
      <c r="E28" s="9" t="inlineStr">
        <is>
          <t>Lieferanten mit Kaufvertrag statt Werkvertrag</t>
        </is>
      </c>
      <c r="F28" s="9" t="n">
        <v>634905</v>
      </c>
      <c r="G28" s="1" t="n"/>
      <c r="H28" s="1" t="n"/>
      <c r="I28" s="1" t="n"/>
      <c r="J28" s="1" t="n"/>
      <c r="K28" s="1" t="n"/>
      <c r="L28" s="1" t="n"/>
      <c r="M28" s="1" t="n"/>
      <c r="N28" s="1" t="n"/>
    </row>
    <row r="29" ht="45" customHeight="1">
      <c r="A29" s="1" t="n"/>
      <c r="B29" s="1" t="n"/>
      <c r="C29" s="1" t="inlineStr">
        <is>
          <t>Fracht und Transport</t>
        </is>
      </c>
      <c r="D29" s="1" t="inlineStr">
        <is>
          <t>Frachtkonto neu</t>
        </is>
      </c>
      <c r="E29" s="9" t="inlineStr">
        <is>
          <t>Speditionen und Transportdienstleister</t>
        </is>
      </c>
      <c r="F29" s="9" t="n">
        <v>78591</v>
      </c>
      <c r="G29" s="1" t="n"/>
      <c r="H29" s="1" t="n"/>
      <c r="I29" s="1" t="n"/>
      <c r="J29" s="1" t="n"/>
      <c r="K29" s="1" t="n"/>
      <c r="L29" s="1" t="n"/>
      <c r="M29" s="1" t="n"/>
      <c r="N29" s="1" t="n"/>
    </row>
    <row r="30" ht="45" customHeight="1">
      <c r="A30" s="1" t="n"/>
      <c r="B30" s="1" t="n"/>
      <c r="C30" s="1" t="inlineStr">
        <is>
          <t>Planung, Gutachten, Beratung</t>
        </is>
      </c>
      <c r="D30" s="1" t="inlineStr">
        <is>
          <t>Beratungskonto</t>
        </is>
      </c>
      <c r="E30" s="9" t="inlineStr">
        <is>
          <t>Planer, Statiker, Gutachter, Fachbauleitung</t>
        </is>
      </c>
      <c r="F30" s="9" t="n">
        <v>163751</v>
      </c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45" customHeight="1">
      <c r="A31" s="1" t="n"/>
      <c r="B31" s="1" t="n"/>
      <c r="C31" s="1" t="inlineStr">
        <is>
          <t>Leiharbeit</t>
        </is>
      </c>
      <c r="D31" s="1" t="inlineStr">
        <is>
          <t>Konto neu anzulegen</t>
        </is>
      </c>
      <c r="E31" s="9" t="inlineStr">
        <is>
          <t>Arbeitnehmerüberlassung getrennt wegen § 1b AÜG</t>
        </is>
      </c>
      <c r="F31" s="9" t="n">
        <v>17139</v>
      </c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45" customHeight="1">
      <c r="A32" s="1" t="n"/>
      <c r="B32" s="1" t="n"/>
      <c r="C32" s="1" t="inlineStr">
        <is>
          <t>Nicht Kreditorenaufwand</t>
        </is>
      </c>
      <c r="D32" s="1" t="inlineStr">
        <is>
          <t>Bilanz und 430121</t>
        </is>
      </c>
      <c r="E32" s="9" t="inlineStr">
        <is>
          <t>Rückstellungen und Versicherungen, kein Fremdkostenblock</t>
        </is>
      </c>
      <c r="F32" s="9" t="n">
        <v>255298</v>
      </c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Fremdleistungen.xlsx</t>
        </is>
      </c>
    </row>
  </sheetData>
  <mergeCells count="3">
    <mergeCell ref="C3:N3"/>
    <mergeCell ref="C2:N2"/>
    <mergeCell ref="C20:M2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2026-10-12T08:21:58Z</dcterms:created>
  <dcterms:modified xsi:type="dcterms:W3CDTF">2026-10-12T08:21:58Z</dcterms:modified>
</cp:coreProperties>
</file>