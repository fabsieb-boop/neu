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einig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\(#,##0.00\);&quot;–&quot;"/>
    <numFmt numFmtId="165" formatCode="0.0%;[Red]\(0.0%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  <font>
      <name val="Arial"/>
      <family val="2"/>
      <b val="1"/>
      <color rgb="FF1E293B"/>
      <sz val="10"/>
    </font>
  </fonts>
  <fills count="6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7" fillId="4" borderId="2" applyAlignment="1" pivotButton="0" quotePrefix="0" xfId="0">
      <alignment vertical="center"/>
    </xf>
    <xf numFmtId="164" fontId="7" fillId="4" borderId="2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7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95" displayName="TVF_95" ref="C27:I35" headerRowCount="1">
  <tableColumns count="7">
    <tableColumn id="1" name="sachverhalt"/>
    <tableColumn id="2" name="offen_juni"/>
    <tableColumn id="3" name="gebucht_juli"/>
    <tableColumn id="4" name="stand_2025"/>
    <tableColumn id="5" name="stand_2026"/>
    <tableColumn id="6" name="ansatz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56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n"/>
      <c r="C2" s="2" t="inlineStr">
        <is>
          <t>EBITDA-Bereinigungen und Bewertung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32" customHeight="1">
      <c r="A3" s="1" t="n"/>
      <c r="B3" s="1" t="n"/>
      <c r="C3" s="4" t="inlineStr">
        <is>
          <t>Historische Referenzrechnung in Tsd. EUR. Der Referenzstand weicht vom aktuellen SAP-/Forecast-Export ab.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34" customHeight="1">
      <c r="A6" s="1" t="n"/>
      <c r="B6" s="1" t="n"/>
      <c r="C6" s="5" t="inlineStr">
        <is>
          <t>Position</t>
        </is>
      </c>
      <c r="D6" s="5" t="inlineStr">
        <is>
          <t>Jahressumme</t>
        </is>
      </c>
      <c r="E6" s="5" t="inlineStr">
        <is>
          <t>Jan</t>
        </is>
      </c>
      <c r="F6" s="5" t="inlineStr">
        <is>
          <t>Feb</t>
        </is>
      </c>
      <c r="G6" s="5" t="inlineStr">
        <is>
          <t>Mär</t>
        </is>
      </c>
      <c r="H6" s="5" t="inlineStr">
        <is>
          <t>Apr</t>
        </is>
      </c>
      <c r="I6" s="5" t="inlineStr">
        <is>
          <t>Mai</t>
        </is>
      </c>
      <c r="J6" s="5" t="inlineStr">
        <is>
          <t>Jun</t>
        </is>
      </c>
      <c r="K6" s="5" t="inlineStr">
        <is>
          <t>Jul</t>
        </is>
      </c>
      <c r="L6" s="5" t="inlineStr">
        <is>
          <t>Aug</t>
        </is>
      </c>
      <c r="M6" s="5" t="inlineStr">
        <is>
          <t>Sep</t>
        </is>
      </c>
      <c r="N6" s="5" t="inlineStr">
        <is>
          <t>Okt</t>
        </is>
      </c>
      <c r="O6" s="5" t="inlineStr">
        <is>
          <t>Nov</t>
        </is>
      </c>
      <c r="P6" s="5" t="inlineStr">
        <is>
          <t>Dez</t>
        </is>
      </c>
      <c r="Q6" s="1" t="n"/>
      <c r="R6" s="1" t="n"/>
    </row>
    <row r="7">
      <c r="A7" s="1" t="n"/>
      <c r="B7" s="1" t="n"/>
      <c r="C7" s="1" t="inlineStr">
        <is>
          <t>Gesamtleistung</t>
        </is>
      </c>
      <c r="D7" s="6">
        <f>SUM(E7:P7)</f>
        <v/>
      </c>
      <c r="E7" s="6" t="n">
        <v>1920</v>
      </c>
      <c r="F7" s="6" t="n">
        <v>2577</v>
      </c>
      <c r="G7" s="6" t="n">
        <v>2412</v>
      </c>
      <c r="H7" s="6" t="n">
        <v>1940</v>
      </c>
      <c r="I7" s="6" t="n">
        <v>1084</v>
      </c>
      <c r="J7" s="6" t="n">
        <v>2785</v>
      </c>
      <c r="K7" s="6" t="n">
        <v>1619</v>
      </c>
      <c r="L7" s="6" t="n">
        <v>1784</v>
      </c>
      <c r="M7" s="6" t="n">
        <v>2466</v>
      </c>
      <c r="N7" s="6" t="n">
        <v>2067</v>
      </c>
      <c r="O7" s="6" t="n">
        <v>2004</v>
      </c>
      <c r="P7" s="6" t="n">
        <v>2265</v>
      </c>
      <c r="Q7" s="1" t="n"/>
      <c r="R7" s="1" t="n"/>
    </row>
    <row r="8">
      <c r="A8" s="1" t="n"/>
      <c r="B8" s="1" t="n"/>
      <c r="C8" s="1" t="inlineStr">
        <is>
          <t>EBITDA vor verlustfreier Bewertung</t>
        </is>
      </c>
      <c r="D8" s="6">
        <f>SUM(E8:P8)</f>
        <v/>
      </c>
      <c r="E8" s="6" t="n">
        <v>292</v>
      </c>
      <c r="F8" s="6" t="n">
        <v>325</v>
      </c>
      <c r="G8" s="6" t="n">
        <v>23</v>
      </c>
      <c r="H8" s="6" t="n">
        <v>-138</v>
      </c>
      <c r="I8" s="6" t="n">
        <v>-213</v>
      </c>
      <c r="J8" s="6" t="n">
        <v>159</v>
      </c>
      <c r="K8" s="6" t="n">
        <v>-122</v>
      </c>
      <c r="L8" s="6" t="n">
        <v>-151</v>
      </c>
      <c r="M8" s="6" t="n">
        <v>203</v>
      </c>
      <c r="N8" s="6" t="n">
        <v>151</v>
      </c>
      <c r="O8" s="6" t="n">
        <v>69</v>
      </c>
      <c r="P8" s="6" t="n">
        <v>352</v>
      </c>
      <c r="Q8" s="1" t="n"/>
      <c r="R8" s="1" t="n"/>
    </row>
    <row r="9">
      <c r="A9" s="1" t="n"/>
      <c r="B9" s="1" t="n"/>
      <c r="C9" s="1" t="inlineStr">
        <is>
          <t>Verlustfreie Bewertung, gebucht</t>
        </is>
      </c>
      <c r="D9" s="6">
        <f>SUM(E9:P9)</f>
        <v/>
      </c>
      <c r="E9" s="6" t="n"/>
      <c r="F9" s="6" t="n"/>
      <c r="G9" s="6" t="n"/>
      <c r="H9" s="6" t="n">
        <v>-43</v>
      </c>
      <c r="I9" s="6" t="n">
        <v>71</v>
      </c>
      <c r="J9" s="6" t="n">
        <v>-102</v>
      </c>
      <c r="K9" s="6" t="n">
        <v>-373</v>
      </c>
      <c r="L9" s="6" t="n"/>
      <c r="M9" s="6" t="n"/>
      <c r="N9" s="6" t="n"/>
      <c r="O9" s="6" t="n"/>
      <c r="P9" s="6" t="n"/>
      <c r="Q9" s="1" t="n"/>
      <c r="R9" s="1" t="n"/>
    </row>
    <row r="10">
      <c r="A10" s="1" t="n"/>
      <c r="B10" s="1" t="n"/>
      <c r="C10" s="1" t="inlineStr">
        <is>
          <t>Verlustfreie Bewertung, nicht gebucht</t>
        </is>
      </c>
      <c r="D10" s="6">
        <f>SUM(E10:P10)</f>
        <v/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-293</v>
      </c>
      <c r="O10" s="6" t="n">
        <v>0</v>
      </c>
      <c r="P10" s="6" t="n">
        <v>0</v>
      </c>
      <c r="Q10" s="1" t="n"/>
      <c r="R10" s="1" t="n"/>
    </row>
    <row r="11">
      <c r="A11" s="1" t="n"/>
      <c r="B11" s="1" t="n"/>
      <c r="C11" s="1" t="inlineStr">
        <is>
          <t>EBITDA (inkl. verlustfr. Bewertung)</t>
        </is>
      </c>
      <c r="D11" s="6">
        <f>SUM(E11:P11)</f>
        <v/>
      </c>
      <c r="E11" s="6" t="n">
        <v>292</v>
      </c>
      <c r="F11" s="6" t="n">
        <v>325</v>
      </c>
      <c r="G11" s="6" t="n">
        <v>23</v>
      </c>
      <c r="H11" s="6" t="n">
        <v>-181</v>
      </c>
      <c r="I11" s="6" t="n">
        <v>-142</v>
      </c>
      <c r="J11" s="6" t="n">
        <v>57</v>
      </c>
      <c r="K11" s="6" t="n">
        <v>-495</v>
      </c>
      <c r="L11" s="6" t="n">
        <v>-151</v>
      </c>
      <c r="M11" s="6" t="n">
        <v>203</v>
      </c>
      <c r="N11" s="6" t="n">
        <v>-142</v>
      </c>
      <c r="O11" s="6" t="n">
        <v>69</v>
      </c>
      <c r="P11" s="6" t="n">
        <v>352</v>
      </c>
      <c r="Q11" s="1" t="n"/>
      <c r="R11" s="1" t="n"/>
    </row>
    <row r="12">
      <c r="A12" s="1" t="n"/>
      <c r="B12" s="1" t="n"/>
      <c r="C12" s="1" t="inlineStr">
        <is>
          <t>Rechtsberatung (SWM)</t>
        </is>
      </c>
      <c r="D12" s="6">
        <f>SUM(E12:P12)</f>
        <v/>
      </c>
      <c r="E12" s="7" t="n">
        <v>0</v>
      </c>
      <c r="F12" s="7" t="n">
        <v>0</v>
      </c>
      <c r="G12" s="7" t="n">
        <v>15</v>
      </c>
      <c r="H12" s="7" t="n">
        <v>7</v>
      </c>
      <c r="I12" s="7" t="n">
        <v>0</v>
      </c>
      <c r="J12" s="7" t="n">
        <v>2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" t="n"/>
      <c r="R12" s="1" t="n"/>
    </row>
    <row r="13">
      <c r="A13" s="1" t="n"/>
      <c r="B13" s="1" t="n"/>
      <c r="C13" s="1" t="inlineStr">
        <is>
          <t>Doppelbesetzung Overhead (2 GF, Buchhaltung)</t>
        </is>
      </c>
      <c r="D13" s="6">
        <f>SUM(E13:P13)</f>
        <v/>
      </c>
      <c r="E13" s="7" t="n">
        <v>0</v>
      </c>
      <c r="F13" s="7" t="n">
        <v>12</v>
      </c>
      <c r="G13" s="7" t="n">
        <v>31</v>
      </c>
      <c r="H13" s="7" t="n">
        <v>39</v>
      </c>
      <c r="I13" s="7" t="n">
        <v>39</v>
      </c>
      <c r="J13" s="7" t="n">
        <v>39</v>
      </c>
      <c r="K13" s="7" t="n">
        <v>39</v>
      </c>
      <c r="L13" s="7" t="n">
        <v>39</v>
      </c>
      <c r="M13" s="7" t="n">
        <v>33</v>
      </c>
      <c r="N13" s="7" t="n">
        <v>17</v>
      </c>
      <c r="O13" s="7" t="n">
        <v>23</v>
      </c>
      <c r="P13" s="7" t="n">
        <v>23</v>
      </c>
      <c r="Q13" s="1" t="n"/>
      <c r="R13" s="1" t="n"/>
    </row>
    <row r="14">
      <c r="A14" s="1" t="n"/>
      <c r="B14" s="1" t="n"/>
      <c r="C14" s="1" t="inlineStr">
        <is>
          <t>In 2025 beendete Projekte mit Vorratsbestand</t>
        </is>
      </c>
      <c r="D14" s="6">
        <f>SUM(E14:P14)</f>
        <v/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-41</v>
      </c>
      <c r="J14" s="7" t="n">
        <v>-6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1" t="n"/>
      <c r="R14" s="1" t="n"/>
    </row>
    <row r="15">
      <c r="A15" s="1" t="n"/>
      <c r="B15" s="1" t="n"/>
      <c r="C15" s="1" t="inlineStr">
        <is>
          <t>Korrektur Aktivierung unfertige Erz. bis 12/2025</t>
        </is>
      </c>
      <c r="D15" s="6">
        <f>SUM(E15:P15)</f>
        <v/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13</v>
      </c>
      <c r="J15" s="7" t="n">
        <v>61</v>
      </c>
      <c r="K15" s="7" t="n"/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1" t="n"/>
      <c r="R15" s="1" t="n"/>
    </row>
    <row r="16">
      <c r="A16" s="1" t="n"/>
      <c r="B16" s="1" t="n"/>
      <c r="C16" s="1" t="inlineStr">
        <is>
          <t>B1 Brandenburg</t>
        </is>
      </c>
      <c r="D16" s="6">
        <f>SUM(E16:P16)</f>
        <v/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63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1" t="n"/>
      <c r="R16" s="1" t="n"/>
    </row>
    <row r="17">
      <c r="A17" s="1" t="n"/>
      <c r="B17" s="1" t="n"/>
      <c r="C17" s="1" t="inlineStr">
        <is>
          <t>Parkallee Velten / Containerhalle KA</t>
        </is>
      </c>
      <c r="D17" s="6">
        <f>SUM(E17:P17)</f>
        <v/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46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1" t="n"/>
      <c r="R17" s="1" t="n"/>
    </row>
    <row r="18">
      <c r="A18" s="1" t="n"/>
      <c r="B18" s="1" t="n"/>
      <c r="C18" s="1" t="inlineStr">
        <is>
          <t>Korrektur Fehlbuchung 04/26</t>
        </is>
      </c>
      <c r="D18" s="6">
        <f>SUM(E18:P18)</f>
        <v/>
      </c>
      <c r="E18" s="7" t="n">
        <v>0</v>
      </c>
      <c r="F18" s="7" t="n">
        <v>0</v>
      </c>
      <c r="G18" s="7" t="n">
        <v>0</v>
      </c>
      <c r="H18" s="7" t="n">
        <v>43</v>
      </c>
      <c r="I18" s="7" t="n">
        <v>-43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1" t="n"/>
      <c r="R18" s="1" t="n"/>
    </row>
    <row r="19">
      <c r="A19" s="1" t="n"/>
      <c r="B19" s="1" t="n"/>
      <c r="C19" s="1" t="inlineStr">
        <is>
          <t>Aktivierung unfertige Erzeugnisse (01/26)</t>
        </is>
      </c>
      <c r="D19" s="6">
        <f>SUM(E19:P19)</f>
        <v/>
      </c>
      <c r="E19" s="7" t="n">
        <v>-310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310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1" t="n"/>
      <c r="R19" s="1" t="n"/>
    </row>
    <row r="20" ht="25" customHeight="1">
      <c r="A20" s="1" t="n"/>
      <c r="B20" s="1" t="n"/>
      <c r="C20" s="8" t="inlineStr">
        <is>
          <t>EBITDA adjusted</t>
        </is>
      </c>
      <c r="D20" s="9">
        <f>SUM(E20:P20)</f>
        <v/>
      </c>
      <c r="E20" s="9">
        <f>E11+SUM(E12,E13,E14,E15,E16,E17,E18,E19)</f>
        <v/>
      </c>
      <c r="F20" s="9">
        <f>F11+SUM(F12,F13,F14,F15,F16,F17,F18,F19)</f>
        <v/>
      </c>
      <c r="G20" s="9">
        <f>G11+SUM(G12,G13,G14,G15,G16,G17,G18,G19)</f>
        <v/>
      </c>
      <c r="H20" s="9">
        <f>H11+SUM(H12,H13,H14,H15,H16,H17,H18,H19)</f>
        <v/>
      </c>
      <c r="I20" s="9">
        <f>I11+SUM(I12,I13,I14,I15,I16,I17,I18,I19)</f>
        <v/>
      </c>
      <c r="J20" s="9">
        <f>J11+SUM(J12,J13,J14,J15,J16,J17,J18,J19)</f>
        <v/>
      </c>
      <c r="K20" s="9">
        <f>K11+SUM(K12,K13,K14,K15,K16,K17,K18,K19)</f>
        <v/>
      </c>
      <c r="L20" s="9">
        <f>L11+SUM(L12,L13,L14,L15,L16,L17,L18,L19)</f>
        <v/>
      </c>
      <c r="M20" s="9">
        <f>M11+SUM(M12,M13,M14,M15,M16,M17,M18,M19)</f>
        <v/>
      </c>
      <c r="N20" s="9">
        <f>N11+SUM(N12,N13,N14,N15,N16,N17,N18,N19)</f>
        <v/>
      </c>
      <c r="O20" s="9">
        <f>O11+SUM(O12,O13,O14,O15,O16,O17,O18,O19)</f>
        <v/>
      </c>
      <c r="P20" s="9">
        <f>P11+SUM(P12,P13,P14,P15,P16,P17,P18,P19)</f>
        <v/>
      </c>
      <c r="Q20" s="1" t="n"/>
      <c r="R20" s="1" t="n"/>
    </row>
    <row r="21">
      <c r="A21" s="1" t="n"/>
      <c r="B21" s="1" t="n"/>
      <c r="C21" s="1" t="inlineStr">
        <is>
          <t>EBITDA-Marge adjusted</t>
        </is>
      </c>
      <c r="D21" s="10">
        <f>IF(D7=0,"n.a.",D20/D7)</f>
        <v/>
      </c>
      <c r="E21" s="10" t="n">
        <v>-0.008999999999999999</v>
      </c>
      <c r="F21" s="10" t="n">
        <v>0.131</v>
      </c>
      <c r="G21" s="10" t="n">
        <v>0.029</v>
      </c>
      <c r="H21" s="10" t="n">
        <v>-0.047</v>
      </c>
      <c r="I21" s="10" t="n">
        <v>-0.161</v>
      </c>
      <c r="J21" s="10" t="n">
        <v>0.07099999999999999</v>
      </c>
      <c r="K21" s="10" t="n">
        <v>-0.051</v>
      </c>
      <c r="L21" s="10" t="n">
        <v>-0.063</v>
      </c>
      <c r="M21" s="10" t="n">
        <v>0.096</v>
      </c>
      <c r="N21" s="10" t="n">
        <v>-0.06</v>
      </c>
      <c r="O21" s="10" t="n">
        <v>0.046</v>
      </c>
      <c r="P21" s="10" t="n">
        <v>0.166</v>
      </c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 ht="26" customHeight="1">
      <c r="A25" s="1" t="n"/>
      <c r="B25" s="1" t="n"/>
      <c r="C25" s="11" t="inlineStr">
        <is>
          <t>Bewertungssachverhalte</t>
        </is>
      </c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 ht="36" customHeight="1">
      <c r="A27" s="1" t="n"/>
      <c r="B27" s="1" t="n"/>
      <c r="C27" s="5" t="inlineStr">
        <is>
          <t>sachverhalt</t>
        </is>
      </c>
      <c r="D27" s="5" t="inlineStr">
        <is>
          <t>offen_juni</t>
        </is>
      </c>
      <c r="E27" s="5" t="inlineStr">
        <is>
          <t>gebucht_juli</t>
        </is>
      </c>
      <c r="F27" s="5" t="inlineStr">
        <is>
          <t>stand_2025</t>
        </is>
      </c>
      <c r="G27" s="5" t="inlineStr">
        <is>
          <t>stand_2026</t>
        </is>
      </c>
      <c r="H27" s="5" t="inlineStr">
        <is>
          <t>ansatz</t>
        </is>
      </c>
      <c r="I27" s="5" t="inlineStr">
        <is>
          <t>status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 ht="21" customHeight="1">
      <c r="A28" s="1" t="n"/>
      <c r="B28" s="1" t="n"/>
      <c r="C28" s="1" t="inlineStr">
        <is>
          <t>TKSE WBW4 Hallenrückbau</t>
        </is>
      </c>
      <c r="D28" s="1" t="n">
        <v>-310</v>
      </c>
      <c r="E28" s="1" t="n">
        <v>-310</v>
      </c>
      <c r="F28" s="1" t="n"/>
      <c r="G28" s="1" t="n">
        <v>0</v>
      </c>
      <c r="H28" s="1" t="inlineStr">
        <is>
          <t>Jul-26</t>
        </is>
      </c>
      <c r="I28" s="1" t="inlineStr">
        <is>
          <t>erledigt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 ht="21" customHeight="1">
      <c r="A29" s="1" t="n"/>
      <c r="B29" s="1" t="n"/>
      <c r="C29" s="1" t="inlineStr">
        <is>
          <t>RB Floorflexplatten Berlin</t>
        </is>
      </c>
      <c r="D29" s="1" t="n">
        <v>-3</v>
      </c>
      <c r="E29" s="1" t="n">
        <v>-3</v>
      </c>
      <c r="F29" s="1" t="n"/>
      <c r="G29" s="1" t="n">
        <v>0</v>
      </c>
      <c r="H29" s="1" t="inlineStr">
        <is>
          <t>Jul-26</t>
        </is>
      </c>
      <c r="I29" s="1" t="inlineStr">
        <is>
          <t>erledigt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 ht="21" customHeight="1">
      <c r="A30" s="1" t="n"/>
      <c r="B30" s="1" t="n"/>
      <c r="C30" s="1" t="inlineStr">
        <is>
          <t>Marggrafenbrücke</t>
        </is>
      </c>
      <c r="D30" s="1" t="n">
        <v>-262</v>
      </c>
      <c r="E30" s="1" t="n">
        <v>0</v>
      </c>
      <c r="F30" s="1" t="n">
        <v>-290</v>
      </c>
      <c r="G30" s="1" t="n">
        <v>-206</v>
      </c>
      <c r="H30" s="1" t="inlineStr">
        <is>
          <t>Okt -26</t>
        </is>
      </c>
      <c r="I30" s="1" t="inlineStr">
        <is>
          <t>offen</t>
        </is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 ht="21" customHeight="1">
      <c r="A31" s="1" t="n"/>
      <c r="B31" s="1" t="n"/>
      <c r="C31" s="1" t="inlineStr">
        <is>
          <t>BASF O 405D</t>
        </is>
      </c>
      <c r="D31" s="1" t="n">
        <v>-87</v>
      </c>
      <c r="E31" s="1" t="n">
        <v>0</v>
      </c>
      <c r="F31" s="1" t="n"/>
      <c r="G31" s="1" t="n">
        <v>-87</v>
      </c>
      <c r="H31" s="1" t="inlineStr">
        <is>
          <t>Okt -26</t>
        </is>
      </c>
      <c r="I31" s="1" t="inlineStr">
        <is>
          <t>offen</t>
        </is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 ht="21" customHeight="1">
      <c r="A32" s="1" t="n"/>
      <c r="B32" s="1" t="n"/>
      <c r="C32" s="1" t="inlineStr">
        <is>
          <t>B1 Brandenburg</t>
        </is>
      </c>
      <c r="D32" s="1" t="n">
        <v>-63</v>
      </c>
      <c r="E32" s="1" t="n">
        <v>-63</v>
      </c>
      <c r="F32" s="1" t="n"/>
      <c r="G32" s="1" t="n">
        <v>0</v>
      </c>
      <c r="H32" s="1" t="inlineStr">
        <is>
          <t>Jul-26</t>
        </is>
      </c>
      <c r="I32" s="1" t="inlineStr">
        <is>
          <t>erledigt</t>
        </is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 ht="21" customHeight="1">
      <c r="A33" s="1" t="n"/>
      <c r="B33" s="1" t="n"/>
      <c r="C33" s="1" t="inlineStr">
        <is>
          <t>Summe 2025</t>
        </is>
      </c>
      <c r="D33" s="1" t="n"/>
      <c r="E33" s="1" t="n"/>
      <c r="F33" s="1" t="n">
        <v>-290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21" customHeight="1">
      <c r="A34" s="1" t="n"/>
      <c r="B34" s="1" t="n"/>
      <c r="C34" s="1" t="inlineStr">
        <is>
          <t>Summe 2026</t>
        </is>
      </c>
      <c r="D34" s="1" t="n">
        <v>-725</v>
      </c>
      <c r="E34" s="1" t="n">
        <v>-376</v>
      </c>
      <c r="F34" s="1" t="n"/>
      <c r="G34" s="1" t="n">
        <v>-293</v>
      </c>
      <c r="H34" s="1" t="inlineStr">
        <is>
          <t>Okt -26</t>
        </is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21" customHeight="1">
      <c r="A35" s="1" t="n"/>
      <c r="B35" s="1" t="n"/>
      <c r="C35" s="1" t="inlineStr">
        <is>
          <t>Korrektur Marggrafenbrücke</t>
        </is>
      </c>
      <c r="D35" s="1" t="n"/>
      <c r="E35" s="1" t="n"/>
      <c r="F35" s="1" t="n">
        <v>-290</v>
      </c>
      <c r="G35" s="1" t="n">
        <v>56</v>
      </c>
      <c r="H35" s="1" t="inlineStr">
        <is>
          <t>Okt -26</t>
        </is>
      </c>
      <c r="I35" s="1" t="inlineStr">
        <is>
          <t>offen</t>
        </is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Bereinigungen.xlsx</t>
        </is>
      </c>
    </row>
  </sheetData>
  <mergeCells count="3">
    <mergeCell ref="C25:M25"/>
    <mergeCell ref="C2:R2"/>
    <mergeCell ref="C3:R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2026-10-12T08:21:57Z</dcterms:created>
  <dcterms:modified xsi:type="dcterms:W3CDTF">2026-10-12T08:21:57Z</dcterms:modified>
</cp:coreProperties>
</file>