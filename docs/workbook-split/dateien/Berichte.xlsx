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ich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\(#,##0.00\);&quot;–&quot;"/>
    <numFmt numFmtId="165" formatCode="0.0%;[Red]\(0.0%\);&quot;–&quot;"/>
  </numFmts>
  <fonts count="8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color rgb="FF2563EB"/>
      <sz val="10"/>
    </font>
    <font>
      <name val="Carlito"/>
      <color rgb="FF2563EB"/>
      <sz val="11"/>
    </font>
  </fonts>
  <fills count="4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vertical="center"/>
    </xf>
    <xf numFmtId="164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0" fontId="7" fillId="3" borderId="0" pivotButton="0" quotePrefix="0" xfId="0"/>
    <xf numFmtId="164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2" customWidth="1" min="3" max="3"/>
    <col width="43" customWidth="1" min="4" max="4"/>
    <col width="15" customWidth="1" min="5" max="5"/>
    <col width="52" customWidth="1" min="9" max="9"/>
    <col width="15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0" customHeight="1">
      <c r="A2" s="1" t="n"/>
      <c r="B2" s="1" t="n"/>
      <c r="C2" s="2" t="inlineStr">
        <is>
          <t>Berichtsgenerator – 55 Kennzahlen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 ht="32" customHeight="1">
      <c r="A3" s="1" t="n"/>
      <c r="B3" s="1" t="n"/>
      <c r="C3" s="4" t="inlineStr">
        <is>
          <t>Ja / Nein wählen. Monatliche Kennzahlen folgen dem Berichtsmonat. Bilanzkennzahlen verwenden den SAP-Stichtag 31.07.2026.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34" customHeight="1">
      <c r="A6" s="1" t="n"/>
      <c r="B6" s="1" t="n"/>
      <c r="C6" s="5" t="inlineStr">
        <is>
          <t>Auswahl</t>
        </is>
      </c>
      <c r="D6" s="5" t="inlineStr">
        <is>
          <t>Kennzahl</t>
        </is>
      </c>
      <c r="E6" s="5" t="inlineStr">
        <is>
          <t>Einheit</t>
        </is>
      </c>
      <c r="F6" s="5" t="inlineStr">
        <is>
          <t>Zeitraum</t>
        </is>
      </c>
      <c r="G6" s="5" t="inlineStr">
        <is>
          <t>Wert</t>
        </is>
      </c>
      <c r="H6" s="5" t="inlineStr">
        <is>
          <t>Vormonat</t>
        </is>
      </c>
      <c r="I6" s="5" t="inlineStr">
        <is>
          <t>Hinweis</t>
        </is>
      </c>
      <c r="J6" s="5" t="inlineStr">
        <is>
          <t>Berichtswert</t>
        </is>
      </c>
      <c r="K6" s="1" t="n"/>
      <c r="L6" s="1" t="n"/>
      <c r="M6" s="1" t="n"/>
      <c r="N6" s="1" t="n"/>
      <c r="O6" s="1" t="n"/>
      <c r="P6" s="1" t="n"/>
    </row>
    <row r="7">
      <c r="A7" s="1" t="n"/>
      <c r="B7" s="1" t="n"/>
      <c r="C7" s="6" t="inlineStr">
        <is>
          <t>Ja</t>
        </is>
      </c>
      <c r="D7" s="1" t="inlineStr">
        <is>
          <t>Vermögensaufbau</t>
        </is>
      </c>
      <c r="E7" s="1" t="inlineStr">
        <is>
          <t>Faktor</t>
        </is>
      </c>
      <c r="F7" s="1" t="inlineStr">
        <is>
          <t>Stichtag</t>
        </is>
      </c>
      <c r="G7" s="7">
        <f>IF('[Bilanz.xlsx]Bilanz'!$D$73=0,"n.a.",('[Bilanz.xlsx]Bilanz'!$D$72)/('[Bilanz.xlsx]Bilanz'!$D$73))</f>
        <v/>
      </c>
      <c r="H7" s="7">
        <f>"n.a."</f>
        <v/>
      </c>
      <c r="I7" s="1" t="n"/>
      <c r="J7" s="7">
        <f>IF(C7="Ja",G7,"")</f>
        <v/>
      </c>
      <c r="K7" s="1" t="n"/>
      <c r="L7" s="1" t="n"/>
      <c r="M7" s="1" t="n"/>
      <c r="N7" s="1" t="n"/>
      <c r="O7" s="1" t="n"/>
      <c r="P7" s="1" t="n"/>
    </row>
    <row r="8">
      <c r="A8" s="1" t="n"/>
      <c r="B8" s="1" t="n"/>
      <c r="C8" s="6" t="inlineStr">
        <is>
          <t>Ja</t>
        </is>
      </c>
      <c r="D8" s="1" t="inlineStr">
        <is>
          <t>Anlagenintensität</t>
        </is>
      </c>
      <c r="E8" s="1" t="inlineStr">
        <is>
          <t>%</t>
        </is>
      </c>
      <c r="F8" s="1" t="inlineStr">
        <is>
          <t>Stichtag</t>
        </is>
      </c>
      <c r="G8" s="8">
        <f>IF('[Bilanz.xlsx]Bilanz'!$D$83=0,"n.a.",('[Bilanz.xlsx]Bilanz'!$D$72)/('[Bilanz.xlsx]Bilanz'!$D$83))</f>
        <v/>
      </c>
      <c r="H8" s="8">
        <f>"n.a."</f>
        <v/>
      </c>
      <c r="I8" s="1" t="n"/>
      <c r="J8" s="8">
        <f>IF(C8="Ja",G8,"")</f>
        <v/>
      </c>
      <c r="K8" s="1" t="n"/>
      <c r="L8" s="1" t="n"/>
      <c r="M8" s="1" t="n"/>
      <c r="N8" s="1" t="n"/>
      <c r="O8" s="1" t="n"/>
      <c r="P8" s="1" t="n"/>
    </row>
    <row r="9">
      <c r="A9" s="1" t="n"/>
      <c r="B9" s="1" t="n"/>
      <c r="C9" s="6" t="inlineStr">
        <is>
          <t>Ja</t>
        </is>
      </c>
      <c r="D9" s="1" t="inlineStr">
        <is>
          <t>Umlaufintensität</t>
        </is>
      </c>
      <c r="E9" s="1" t="inlineStr">
        <is>
          <t>%</t>
        </is>
      </c>
      <c r="F9" s="1" t="inlineStr">
        <is>
          <t>Stichtag</t>
        </is>
      </c>
      <c r="G9" s="8">
        <f>IF('[Bilanz.xlsx]Bilanz'!$D$83=0,"n.a.",('[Bilanz.xlsx]Bilanz'!$D$73)/('[Bilanz.xlsx]Bilanz'!$D$83))</f>
        <v/>
      </c>
      <c r="H9" s="8">
        <f>"n.a."</f>
        <v/>
      </c>
      <c r="I9" s="1" t="n"/>
      <c r="J9" s="8">
        <f>IF(C9="Ja",G9,"")</f>
        <v/>
      </c>
      <c r="K9" s="1" t="n"/>
      <c r="L9" s="1" t="n"/>
      <c r="M9" s="1" t="n"/>
      <c r="N9" s="1" t="n"/>
      <c r="O9" s="1" t="n"/>
      <c r="P9" s="1" t="n"/>
    </row>
    <row r="10">
      <c r="A10" s="1" t="n"/>
      <c r="B10" s="1" t="n"/>
      <c r="C10" s="6" t="inlineStr">
        <is>
          <t>Ja</t>
        </is>
      </c>
      <c r="D10" s="1" t="inlineStr">
        <is>
          <t>Liquidität 1. Grades</t>
        </is>
      </c>
      <c r="E10" s="1" t="inlineStr">
        <is>
          <t>%</t>
        </is>
      </c>
      <c r="F10" s="1" t="inlineStr">
        <is>
          <t>Stichtag</t>
        </is>
      </c>
      <c r="G10" s="8">
        <f>IF('[Bilanz.xlsx]Bilanz'!$D$79=0,"n.a.",('[Bilanz.xlsx]Bilanz'!$D$75)/('[Bilanz.xlsx]Bilanz'!$D$79))</f>
        <v/>
      </c>
      <c r="H10" s="8">
        <f>"n.a."</f>
        <v/>
      </c>
      <c r="I10" s="1" t="n"/>
      <c r="J10" s="8">
        <f>IF(C10="Ja",G10,"")</f>
        <v/>
      </c>
      <c r="K10" s="1" t="n"/>
      <c r="L10" s="1" t="n"/>
      <c r="M10" s="1" t="n"/>
      <c r="N10" s="1" t="n"/>
      <c r="O10" s="1" t="n"/>
      <c r="P10" s="1" t="n"/>
    </row>
    <row r="11">
      <c r="A11" s="1" t="n"/>
      <c r="B11" s="1" t="n"/>
      <c r="C11" s="6" t="inlineStr">
        <is>
          <t>Ja</t>
        </is>
      </c>
      <c r="D11" s="1" t="inlineStr">
        <is>
          <t>Liquidität 2. Grades</t>
        </is>
      </c>
      <c r="E11" s="1" t="inlineStr">
        <is>
          <t>%</t>
        </is>
      </c>
      <c r="F11" s="1" t="inlineStr">
        <is>
          <t>Stichtag</t>
        </is>
      </c>
      <c r="G11" s="8">
        <f>IF('[Bilanz.xlsx]Bilanz'!$D$79=0,"n.a.",('[Bilanz.xlsx]Bilanz'!$D$75+'[Bilanz.xlsx]Bilanz'!$D$74)/('[Bilanz.xlsx]Bilanz'!$D$79))</f>
        <v/>
      </c>
      <c r="H11" s="8">
        <f>"n.a."</f>
        <v/>
      </c>
      <c r="I11" s="1" t="n"/>
      <c r="J11" s="8">
        <f>IF(C11="Ja",G11,"")</f>
        <v/>
      </c>
      <c r="K11" s="1" t="n"/>
      <c r="L11" s="1" t="n"/>
      <c r="M11" s="1" t="n"/>
      <c r="N11" s="1" t="n"/>
      <c r="O11" s="1" t="n"/>
      <c r="P11" s="1" t="n"/>
    </row>
    <row r="12">
      <c r="A12" s="1" t="n"/>
      <c r="B12" s="1" t="n"/>
      <c r="C12" s="6" t="inlineStr">
        <is>
          <t>Ja</t>
        </is>
      </c>
      <c r="D12" s="1" t="inlineStr">
        <is>
          <t>Liquidität 3. Grades</t>
        </is>
      </c>
      <c r="E12" s="1" t="inlineStr">
        <is>
          <t>%</t>
        </is>
      </c>
      <c r="F12" s="1" t="inlineStr">
        <is>
          <t>Stichtag</t>
        </is>
      </c>
      <c r="G12" s="8">
        <f>IF('[Bilanz.xlsx]Bilanz'!$D$79=0,"n.a.",('[Bilanz.xlsx]Bilanz'!$D$73)/('[Bilanz.xlsx]Bilanz'!$D$79))</f>
        <v/>
      </c>
      <c r="H12" s="8">
        <f>"n.a."</f>
        <v/>
      </c>
      <c r="I12" s="1" t="n"/>
      <c r="J12" s="8">
        <f>IF(C12="Ja",G12,"")</f>
        <v/>
      </c>
      <c r="K12" s="1" t="n"/>
      <c r="L12" s="1" t="n"/>
      <c r="M12" s="1" t="n"/>
      <c r="N12" s="1" t="n"/>
      <c r="O12" s="1" t="n"/>
      <c r="P12" s="1" t="n"/>
    </row>
    <row r="13">
      <c r="A13" s="1" t="n"/>
      <c r="B13" s="1" t="n"/>
      <c r="C13" s="6" t="inlineStr">
        <is>
          <t>Ja</t>
        </is>
      </c>
      <c r="D13" s="1" t="inlineStr">
        <is>
          <t>Net Working Capital</t>
        </is>
      </c>
      <c r="E13" s="1" t="inlineStr">
        <is>
          <t>EUR</t>
        </is>
      </c>
      <c r="F13" s="1" t="inlineStr">
        <is>
          <t>Stichtag</t>
        </is>
      </c>
      <c r="G13" s="7">
        <f>'[Bilanz.xlsx]Bilanz'!$D$73-'[Bilanz.xlsx]Bilanz'!$D$79</f>
        <v/>
      </c>
      <c r="H13" s="7">
        <f>"n.a."</f>
        <v/>
      </c>
      <c r="I13" s="1" t="n"/>
      <c r="J13" s="7">
        <f>IF(C13="Ja",G13,"")</f>
        <v/>
      </c>
      <c r="K13" s="1" t="n"/>
      <c r="L13" s="1" t="n"/>
      <c r="M13" s="1" t="n"/>
      <c r="N13" s="1" t="n"/>
      <c r="O13" s="1" t="n"/>
      <c r="P13" s="1" t="n"/>
    </row>
    <row r="14">
      <c r="A14" s="1" t="n"/>
      <c r="B14" s="1" t="n"/>
      <c r="C14" s="6" t="inlineStr">
        <is>
          <t>Ja</t>
        </is>
      </c>
      <c r="D14" s="1" t="inlineStr">
        <is>
          <t>Eigenkapitalquote</t>
        </is>
      </c>
      <c r="E14" s="1" t="inlineStr">
        <is>
          <t>%</t>
        </is>
      </c>
      <c r="F14" s="1" t="inlineStr">
        <is>
          <t>Stichtag</t>
        </is>
      </c>
      <c r="G14" s="8">
        <f>IF('[Bilanz.xlsx]Bilanz'!$D$83=0,"n.a.",('[Bilanz.xlsx]Bilanz'!$D$77)/('[Bilanz.xlsx]Bilanz'!$D$83))</f>
        <v/>
      </c>
      <c r="H14" s="8">
        <f>"n.a."</f>
        <v/>
      </c>
      <c r="I14" s="1" t="n"/>
      <c r="J14" s="8">
        <f>IF(C14="Ja",G14,"")</f>
        <v/>
      </c>
      <c r="K14" s="1" t="n"/>
      <c r="L14" s="1" t="n"/>
      <c r="M14" s="1" t="n"/>
      <c r="N14" s="1" t="n"/>
      <c r="O14" s="1" t="n"/>
      <c r="P14" s="1" t="n"/>
    </row>
    <row r="15">
      <c r="A15" s="1" t="n"/>
      <c r="B15" s="1" t="n"/>
      <c r="C15" s="6" t="inlineStr">
        <is>
          <t>Nein</t>
        </is>
      </c>
      <c r="D15" s="1" t="inlineStr">
        <is>
          <t>Fremdkapitalquote</t>
        </is>
      </c>
      <c r="E15" s="1" t="inlineStr">
        <is>
          <t>%</t>
        </is>
      </c>
      <c r="F15" s="1" t="inlineStr">
        <is>
          <t>Stichtag</t>
        </is>
      </c>
      <c r="G15" s="8">
        <f>IF('[Bilanz.xlsx]Bilanz'!$D$83=0,"n.a.",('[Bilanz.xlsx]Bilanz'!$D$78)/('[Bilanz.xlsx]Bilanz'!$D$83))</f>
        <v/>
      </c>
      <c r="H15" s="8">
        <f>"n.a."</f>
        <v/>
      </c>
      <c r="I15" s="1" t="n"/>
      <c r="J15" s="8">
        <f>IF(C15="Ja",G15,"")</f>
        <v/>
      </c>
      <c r="K15" s="1" t="n"/>
      <c r="L15" s="1" t="n"/>
      <c r="M15" s="1" t="n"/>
      <c r="N15" s="1" t="n"/>
      <c r="O15" s="1" t="n"/>
      <c r="P15" s="1" t="n"/>
    </row>
    <row r="16">
      <c r="A16" s="1" t="n"/>
      <c r="B16" s="1" t="n"/>
      <c r="C16" s="6" t="inlineStr">
        <is>
          <t>Nein</t>
        </is>
      </c>
      <c r="D16" s="1" t="inlineStr">
        <is>
          <t>Finanzierung / Kapitalaufbau</t>
        </is>
      </c>
      <c r="E16" s="1" t="inlineStr">
        <is>
          <t>Faktor</t>
        </is>
      </c>
      <c r="F16" s="1" t="inlineStr">
        <is>
          <t>Stichtag</t>
        </is>
      </c>
      <c r="G16" s="7">
        <f>IF('[Bilanz.xlsx]Bilanz'!$D$78=0,"n.a.",('[Bilanz.xlsx]Bilanz'!$D$77)/('[Bilanz.xlsx]Bilanz'!$D$78))</f>
        <v/>
      </c>
      <c r="H16" s="7">
        <f>"n.a."</f>
        <v/>
      </c>
      <c r="I16" s="1" t="n"/>
      <c r="J16" s="7">
        <f>IF(C16="Ja",G16,"")</f>
        <v/>
      </c>
      <c r="K16" s="1" t="n"/>
      <c r="L16" s="1" t="n"/>
      <c r="M16" s="1" t="n"/>
      <c r="N16" s="1" t="n"/>
      <c r="O16" s="1" t="n"/>
      <c r="P16" s="1" t="n"/>
    </row>
    <row r="17">
      <c r="A17" s="1" t="n"/>
      <c r="B17" s="1" t="n"/>
      <c r="C17" s="6" t="inlineStr">
        <is>
          <t>Nein</t>
        </is>
      </c>
      <c r="D17" s="1" t="inlineStr">
        <is>
          <t>Verschuldungsgrad</t>
        </is>
      </c>
      <c r="E17" s="1" t="inlineStr">
        <is>
          <t>%</t>
        </is>
      </c>
      <c r="F17" s="1" t="inlineStr">
        <is>
          <t>Stichtag</t>
        </is>
      </c>
      <c r="G17" s="8">
        <f>IF('[Bilanz.xlsx]Bilanz'!$D$77=0,"n.a.",('[Bilanz.xlsx]Bilanz'!$D$78)/('[Bilanz.xlsx]Bilanz'!$D$77))</f>
        <v/>
      </c>
      <c r="H17" s="8">
        <f>"n.a."</f>
        <v/>
      </c>
      <c r="I17" s="1" t="n"/>
      <c r="J17" s="8">
        <f>IF(C17="Ja",G17,"")</f>
        <v/>
      </c>
      <c r="K17" s="1" t="n"/>
      <c r="L17" s="1" t="n"/>
      <c r="M17" s="1" t="n"/>
      <c r="N17" s="1" t="n"/>
      <c r="O17" s="1" t="n"/>
      <c r="P17" s="1" t="n"/>
    </row>
    <row r="18">
      <c r="A18" s="1" t="n"/>
      <c r="B18" s="1" t="n"/>
      <c r="C18" s="6" t="inlineStr">
        <is>
          <t>Nein</t>
        </is>
      </c>
      <c r="D18" s="1" t="inlineStr">
        <is>
          <t>Anlagendeckungsgrad I</t>
        </is>
      </c>
      <c r="E18" s="1" t="inlineStr">
        <is>
          <t>%</t>
        </is>
      </c>
      <c r="F18" s="1" t="inlineStr">
        <is>
          <t>Stichtag</t>
        </is>
      </c>
      <c r="G18" s="8">
        <f>IF('[Bilanz.xlsx]Bilanz'!$D$72=0,"n.a.",('[Bilanz.xlsx]Bilanz'!$D$77)/('[Bilanz.xlsx]Bilanz'!$D$72))</f>
        <v/>
      </c>
      <c r="H18" s="8">
        <f>"n.a."</f>
        <v/>
      </c>
      <c r="I18" s="1" t="n"/>
      <c r="J18" s="8">
        <f>IF(C18="Ja",G18,"")</f>
        <v/>
      </c>
      <c r="K18" s="1" t="n"/>
      <c r="L18" s="1" t="n"/>
      <c r="M18" s="1" t="n"/>
      <c r="N18" s="1" t="n"/>
      <c r="O18" s="1" t="n"/>
      <c r="P18" s="1" t="n"/>
    </row>
    <row r="19">
      <c r="A19" s="1" t="n"/>
      <c r="B19" s="1" t="n"/>
      <c r="C19" s="6" t="inlineStr">
        <is>
          <t>Nein</t>
        </is>
      </c>
      <c r="D19" s="1" t="inlineStr">
        <is>
          <t>Anlagendeckungsgrad II</t>
        </is>
      </c>
      <c r="E19" s="1" t="inlineStr">
        <is>
          <t>%</t>
        </is>
      </c>
      <c r="F19" s="1" t="inlineStr">
        <is>
          <t>Stichtag</t>
        </is>
      </c>
      <c r="G19" s="8">
        <f>IF('[Bilanz.xlsx]Bilanz'!$D$72=0,"n.a.",('[Bilanz.xlsx]Bilanz'!$D$77+'[Bilanz.xlsx]Bilanz'!$D$80)/('[Bilanz.xlsx]Bilanz'!$D$72))</f>
        <v/>
      </c>
      <c r="H19" s="8">
        <f>"n.a."</f>
        <v/>
      </c>
      <c r="I19" s="1" t="inlineStr">
        <is>
          <t>Fristigkeit nach Originalvereinfachung.</t>
        </is>
      </c>
      <c r="J19" s="8">
        <f>IF(C19="Ja",G19,"")</f>
        <v/>
      </c>
      <c r="K19" s="1" t="n"/>
      <c r="L19" s="1" t="n"/>
      <c r="M19" s="1" t="n"/>
      <c r="N19" s="1" t="n"/>
      <c r="O19" s="1" t="n"/>
      <c r="P19" s="1" t="n"/>
    </row>
    <row r="20">
      <c r="A20" s="1" t="n"/>
      <c r="B20" s="1" t="n"/>
      <c r="C20" s="6" t="inlineStr">
        <is>
          <t>Nein</t>
        </is>
      </c>
      <c r="D20" s="1" t="inlineStr">
        <is>
          <t>Eigenkapitalrendite</t>
        </is>
      </c>
      <c r="E20" s="1" t="inlineStr">
        <is>
          <t>%</t>
        </is>
      </c>
      <c r="F20" s="1" t="inlineStr">
        <is>
          <t>YTD annualisiert</t>
        </is>
      </c>
      <c r="G20" s="8">
        <f>IF('[Bilanz.xlsx]Bilanz'!$D$77=0,"n.a.",(($F$73/'[Steuerung.xlsx]Steuerung'!$F$7*12))/('[Bilanz.xlsx]Bilanz'!$D$77))</f>
        <v/>
      </c>
      <c r="H20" s="8">
        <f>"n.a."</f>
        <v/>
      </c>
      <c r="I20" s="1" t="n"/>
      <c r="J20" s="8">
        <f>IF(C20="Ja",G20,"")</f>
        <v/>
      </c>
      <c r="K20" s="1" t="n"/>
      <c r="L20" s="1" t="n"/>
      <c r="M20" s="1" t="n"/>
      <c r="N20" s="1" t="n"/>
      <c r="O20" s="1" t="n"/>
      <c r="P20" s="1" t="n"/>
    </row>
    <row r="21">
      <c r="A21" s="1" t="n"/>
      <c r="B21" s="1" t="n"/>
      <c r="C21" s="6" t="inlineStr">
        <is>
          <t>Nein</t>
        </is>
      </c>
      <c r="D21" s="1" t="inlineStr">
        <is>
          <t>Gesamtkapitalrendite</t>
        </is>
      </c>
      <c r="E21" s="1" t="inlineStr">
        <is>
          <t>%</t>
        </is>
      </c>
      <c r="F21" s="1" t="inlineStr">
        <is>
          <t>YTD annualisiert</t>
        </is>
      </c>
      <c r="G21" s="8">
        <f>IF('[Bilanz.xlsx]Bilanz'!$D$83=0,"n.a.",(($F$73/'[Steuerung.xlsx]Steuerung'!$F$7*12)-($F$71/'[Steuerung.xlsx]Steuerung'!$F$7*12))/('[Bilanz.xlsx]Bilanz'!$D$83))</f>
        <v/>
      </c>
      <c r="H21" s="8">
        <f>"n.a."</f>
        <v/>
      </c>
      <c r="I21" s="1" t="n"/>
      <c r="J21" s="8">
        <f>IF(C21="Ja",G21,"")</f>
        <v/>
      </c>
      <c r="K21" s="1" t="n"/>
      <c r="L21" s="1" t="n"/>
      <c r="M21" s="1" t="n"/>
      <c r="N21" s="1" t="n"/>
      <c r="O21" s="1" t="n"/>
      <c r="P21" s="1" t="n"/>
    </row>
    <row r="22">
      <c r="A22" s="1" t="n"/>
      <c r="B22" s="1" t="n"/>
      <c r="C22" s="6" t="inlineStr">
        <is>
          <t>Nein</t>
        </is>
      </c>
      <c r="D22" s="1" t="inlineStr">
        <is>
          <t>Umsatzrendite</t>
        </is>
      </c>
      <c r="E22" s="1" t="inlineStr">
        <is>
          <t>%</t>
        </is>
      </c>
      <c r="F22" s="1" t="inlineStr">
        <is>
          <t>Monat</t>
        </is>
      </c>
      <c r="G22" s="8">
        <f>IF(D67=0,"n.a.",(D73)/(D67))</f>
        <v/>
      </c>
      <c r="H22" s="8">
        <f>IF('[Steuerung.xlsx]Steuerung'!$F$7=1,"n.a.",IF(E67=0,"n.a.",(E73)/(E67)))</f>
        <v/>
      </c>
      <c r="I22" s="1" t="n"/>
      <c r="J22" s="8">
        <f>IF(C22="Ja",G22,"")</f>
        <v/>
      </c>
      <c r="K22" s="1" t="n"/>
      <c r="L22" s="1" t="n"/>
      <c r="M22" s="1" t="n"/>
      <c r="N22" s="1" t="n"/>
      <c r="O22" s="1" t="n"/>
      <c r="P22" s="1" t="n"/>
    </row>
    <row r="23">
      <c r="A23" s="1" t="n"/>
      <c r="B23" s="1" t="n"/>
      <c r="C23" s="6" t="inlineStr">
        <is>
          <t>Nein</t>
        </is>
      </c>
      <c r="D23" s="1" t="inlineStr">
        <is>
          <t>Wirtschaftlichkeit</t>
        </is>
      </c>
      <c r="E23" s="1" t="inlineStr">
        <is>
          <t>Faktor</t>
        </is>
      </c>
      <c r="F23" s="1" t="inlineStr">
        <is>
          <t>Monat</t>
        </is>
      </c>
      <c r="G23" s="7">
        <f>IF(D78=0,"n.a.",(D68+D74)/(D78))</f>
        <v/>
      </c>
      <c r="H23" s="7">
        <f>IF('[Steuerung.xlsx]Steuerung'!$F$7=1,"n.a.",IF(E78=0,"n.a.",(E68+E74)/(E78)))</f>
        <v/>
      </c>
      <c r="I23" s="1" t="n"/>
      <c r="J23" s="7">
        <f>IF(C23="Ja",G23,"")</f>
        <v/>
      </c>
      <c r="K23" s="1" t="n"/>
      <c r="L23" s="1" t="n"/>
      <c r="M23" s="1" t="n"/>
      <c r="N23" s="1" t="n"/>
      <c r="O23" s="1" t="n"/>
      <c r="P23" s="1" t="n"/>
    </row>
    <row r="24">
      <c r="A24" s="1" t="n"/>
      <c r="B24" s="1" t="n"/>
      <c r="C24" s="6" t="inlineStr">
        <is>
          <t>Nein</t>
        </is>
      </c>
      <c r="D24" s="1" t="inlineStr">
        <is>
          <t>Umschlag Eigenkapital</t>
        </is>
      </c>
      <c r="E24" s="1" t="inlineStr">
        <is>
          <t>Faktor</t>
        </is>
      </c>
      <c r="F24" s="1" t="inlineStr">
        <is>
          <t>YTD annualisiert</t>
        </is>
      </c>
      <c r="G24" s="7">
        <f>IF('[Bilanz.xlsx]Bilanz'!$D$77=0,"n.a.",(($F$67/'[Steuerung.xlsx]Steuerung'!$F$7*12))/('[Bilanz.xlsx]Bilanz'!$D$77))</f>
        <v/>
      </c>
      <c r="H24" s="7">
        <f>"n.a."</f>
        <v/>
      </c>
      <c r="I24" s="1" t="n"/>
      <c r="J24" s="7">
        <f>IF(C24="Ja",G24,"")</f>
        <v/>
      </c>
      <c r="K24" s="1" t="n"/>
      <c r="L24" s="1" t="n"/>
      <c r="M24" s="1" t="n"/>
      <c r="N24" s="1" t="n"/>
      <c r="O24" s="1" t="n"/>
      <c r="P24" s="1" t="n"/>
    </row>
    <row r="25">
      <c r="A25" s="1" t="n"/>
      <c r="B25" s="1" t="n"/>
      <c r="C25" s="6" t="inlineStr">
        <is>
          <t>Nein</t>
        </is>
      </c>
      <c r="D25" s="1" t="inlineStr">
        <is>
          <t>Umschlag Gesamtkapital</t>
        </is>
      </c>
      <c r="E25" s="1" t="inlineStr">
        <is>
          <t>Faktor</t>
        </is>
      </c>
      <c r="F25" s="1" t="inlineStr">
        <is>
          <t>YTD annualisiert</t>
        </is>
      </c>
      <c r="G25" s="7">
        <f>IF('[Bilanz.xlsx]Bilanz'!$D$83=0,"n.a.",(($F$67/'[Steuerung.xlsx]Steuerung'!$F$7*12))/('[Bilanz.xlsx]Bilanz'!$D$83))</f>
        <v/>
      </c>
      <c r="H25" s="7">
        <f>"n.a."</f>
        <v/>
      </c>
      <c r="I25" s="1" t="n"/>
      <c r="J25" s="7">
        <f>IF(C25="Ja",G25,"")</f>
        <v/>
      </c>
      <c r="K25" s="1" t="n"/>
      <c r="L25" s="1" t="n"/>
      <c r="M25" s="1" t="n"/>
      <c r="N25" s="1" t="n"/>
      <c r="O25" s="1" t="n"/>
      <c r="P25" s="1" t="n"/>
    </row>
    <row r="26">
      <c r="A26" s="1" t="n"/>
      <c r="B26" s="1" t="n"/>
      <c r="C26" s="6" t="inlineStr">
        <is>
          <t>Nein</t>
        </is>
      </c>
      <c r="D26" s="1" t="inlineStr">
        <is>
          <t>Return on Investment</t>
        </is>
      </c>
      <c r="E26" s="1" t="inlineStr">
        <is>
          <t>%</t>
        </is>
      </c>
      <c r="F26" s="1" t="inlineStr">
        <is>
          <t>YTD annualisiert</t>
        </is>
      </c>
      <c r="G26" s="8">
        <f>IF('[Bilanz.xlsx]Bilanz'!$D$83=0,"n.a.",(($F$73/'[Steuerung.xlsx]Steuerung'!$F$7*12))/('[Bilanz.xlsx]Bilanz'!$D$83))</f>
        <v/>
      </c>
      <c r="H26" s="8">
        <f>"n.a."</f>
        <v/>
      </c>
      <c r="I26" s="1" t="n"/>
      <c r="J26" s="8">
        <f>IF(C26="Ja",G26,"")</f>
        <v/>
      </c>
      <c r="K26" s="1" t="n"/>
      <c r="L26" s="1" t="n"/>
      <c r="M26" s="1" t="n"/>
      <c r="N26" s="1" t="n"/>
      <c r="O26" s="1" t="n"/>
      <c r="P26" s="1" t="n"/>
    </row>
    <row r="27">
      <c r="A27" s="1" t="n"/>
      <c r="B27" s="1" t="n"/>
      <c r="C27" s="6" t="inlineStr">
        <is>
          <t>Nein</t>
        </is>
      </c>
      <c r="D27" s="1" t="inlineStr">
        <is>
          <t>Umschlag Forderungen</t>
        </is>
      </c>
      <c r="E27" s="1" t="inlineStr">
        <is>
          <t>Faktor</t>
        </is>
      </c>
      <c r="F27" s="1" t="inlineStr">
        <is>
          <t>YTD annualisiert</t>
        </is>
      </c>
      <c r="G27" s="7">
        <f>IF('[Bilanz.xlsx]Bilanz'!$D$74=0,"n.a.",(($F$67/'[Steuerung.xlsx]Steuerung'!$F$7*12))/('[Bilanz.xlsx]Bilanz'!$D$74))</f>
        <v/>
      </c>
      <c r="H27" s="7">
        <f>"n.a."</f>
        <v/>
      </c>
      <c r="I27" s="1" t="n"/>
      <c r="J27" s="7">
        <f>IF(C27="Ja",G27,"")</f>
        <v/>
      </c>
      <c r="K27" s="1" t="n"/>
      <c r="L27" s="1" t="n"/>
      <c r="M27" s="1" t="n"/>
      <c r="N27" s="1" t="n"/>
      <c r="O27" s="1" t="n"/>
      <c r="P27" s="1" t="n"/>
    </row>
    <row r="28">
      <c r="A28" s="1" t="n"/>
      <c r="B28" s="1" t="n"/>
      <c r="C28" s="6" t="inlineStr">
        <is>
          <t>Nein</t>
        </is>
      </c>
      <c r="D28" s="1" t="inlineStr">
        <is>
          <t>Anteil überfälliger Forderungen</t>
        </is>
      </c>
      <c r="E28" s="1" t="inlineStr">
        <is>
          <t>%</t>
        </is>
      </c>
      <c r="F28" s="1" t="inlineStr">
        <is>
          <t>Stichtag</t>
        </is>
      </c>
      <c r="G28" s="8">
        <f>IF(SUMIFS('[D Liquidität.xlsx]D Liquidität'!$I$282:$I$626,'[D Liquidität.xlsx]D Liquidität'!$B$282:$B$626,"FORDERUNG")=0,"n.a.",(SUMIFS('[D Liquidität.xlsx]D Liquidität'!$I$282:$I$626,'[D Liquidität.xlsx]D Liquidität'!$B$282:$B$626,"FORDERUNG",'[D Liquidität.xlsx]D Liquidität'!$H$282:$H$626,"&lt;"&amp;TEXT('[Steuerung.xlsx]Steuerung'!$F$12,"yyyy-mm-dd")))/(SUMIFS('[D Liquidität.xlsx]D Liquidität'!$I$282:$I$626,'[D Liquidität.xlsx]D Liquidität'!$B$282:$B$626,"FORDERUNG")))</f>
        <v/>
      </c>
      <c r="H28" s="8">
        <f>"n.a."</f>
        <v/>
      </c>
      <c r="I28" s="1" t="n"/>
      <c r="J28" s="8">
        <f>IF(C28="Ja",G28,"")</f>
        <v/>
      </c>
      <c r="K28" s="1" t="n"/>
      <c r="L28" s="1" t="n"/>
      <c r="M28" s="1" t="n"/>
      <c r="N28" s="1" t="n"/>
      <c r="O28" s="1" t="n"/>
      <c r="P28" s="1" t="n"/>
    </row>
    <row r="29">
      <c r="A29" s="1" t="n"/>
      <c r="B29" s="1" t="n"/>
      <c r="C29" s="6" t="inlineStr">
        <is>
          <t>Nein</t>
        </is>
      </c>
      <c r="D29" s="1" t="inlineStr">
        <is>
          <t>Forderungslaufzeit DSO</t>
        </is>
      </c>
      <c r="E29" s="1" t="inlineStr">
        <is>
          <t>Tage</t>
        </is>
      </c>
      <c r="F29" s="1" t="inlineStr">
        <is>
          <t>YTD annualisiert</t>
        </is>
      </c>
      <c r="G29" s="7">
        <f>IF(($F$67/'[Steuerung.xlsx]Steuerung'!$F$7*12)=0,"n.a.",('[Bilanz.xlsx]Bilanz'!$D$74*365)/(($F$67/'[Steuerung.xlsx]Steuerung'!$F$7*12)))</f>
        <v/>
      </c>
      <c r="H29" s="7">
        <f>"n.a."</f>
        <v/>
      </c>
      <c r="I29" s="1" t="n"/>
      <c r="J29" s="7">
        <f>IF(C29="Ja",G29,"")</f>
        <v/>
      </c>
      <c r="K29" s="1" t="n"/>
      <c r="L29" s="1" t="n"/>
      <c r="M29" s="1" t="n"/>
      <c r="N29" s="1" t="n"/>
      <c r="O29" s="1" t="n"/>
      <c r="P29" s="1" t="n"/>
    </row>
    <row r="30">
      <c r="A30" s="1" t="n"/>
      <c r="B30" s="1" t="n"/>
      <c r="C30" s="6" t="inlineStr">
        <is>
          <t>Nein</t>
        </is>
      </c>
      <c r="D30" s="1" t="inlineStr">
        <is>
          <t>Kreditorenlaufzeit DPO</t>
        </is>
      </c>
      <c r="E30" s="1" t="inlineStr">
        <is>
          <t>Tage</t>
        </is>
      </c>
      <c r="F30" s="1" t="inlineStr">
        <is>
          <t>YTD annualisiert</t>
        </is>
      </c>
      <c r="G30" s="7">
        <f>IF(($F$75/'[Steuerung.xlsx]Steuerung'!$F$7*12)=0,"n.a.",('[Bilanz.xlsx]Bilanz'!$D$81*365)/(($F$75/'[Steuerung.xlsx]Steuerung'!$F$7*12)))</f>
        <v/>
      </c>
      <c r="H30" s="7">
        <f>"n.a."</f>
        <v/>
      </c>
      <c r="I30" s="1" t="n"/>
      <c r="J30" s="7">
        <f>IF(C30="Ja",G30,"")</f>
        <v/>
      </c>
      <c r="K30" s="1" t="n"/>
      <c r="L30" s="1" t="n"/>
      <c r="M30" s="1" t="n"/>
      <c r="N30" s="1" t="n"/>
      <c r="O30" s="1" t="n"/>
      <c r="P30" s="1" t="n"/>
    </row>
    <row r="31">
      <c r="A31" s="1" t="n"/>
      <c r="B31" s="1" t="n"/>
      <c r="C31" s="6" t="inlineStr">
        <is>
          <t>Nein</t>
        </is>
      </c>
      <c r="D31" s="1" t="inlineStr">
        <is>
          <t>Bestandsreichweite</t>
        </is>
      </c>
      <c r="E31" s="1" t="inlineStr">
        <is>
          <t>Tage</t>
        </is>
      </c>
      <c r="F31" s="1" t="inlineStr">
        <is>
          <t>Monat</t>
        </is>
      </c>
      <c r="G31" s="7">
        <f>IF(D68=0,"n.a.",(ABS(D86)*30)/(D68))</f>
        <v/>
      </c>
      <c r="H31" s="7">
        <f>IF('[Steuerung.xlsx]Steuerung'!$F$7=1,"n.a.",IF(E68=0,"n.a.",(ABS(E86)*30)/(E68)))</f>
        <v/>
      </c>
      <c r="I31" s="1" t="n"/>
      <c r="J31" s="7">
        <f>IF(C31="Ja",G31,"")</f>
        <v/>
      </c>
      <c r="K31" s="1" t="n"/>
      <c r="L31" s="1" t="n"/>
      <c r="M31" s="1" t="n"/>
      <c r="N31" s="1" t="n"/>
      <c r="O31" s="1" t="n"/>
      <c r="P31" s="1" t="n"/>
    </row>
    <row r="32">
      <c r="A32" s="1" t="n"/>
      <c r="B32" s="1" t="n"/>
      <c r="C32" s="6" t="inlineStr">
        <is>
          <t>Nein</t>
        </is>
      </c>
      <c r="D32" s="1" t="inlineStr">
        <is>
          <t>Cash Flow vereinfacht</t>
        </is>
      </c>
      <c r="E32" s="1" t="inlineStr">
        <is>
          <t>EUR</t>
        </is>
      </c>
      <c r="F32" s="1" t="inlineStr">
        <is>
          <t>Monat</t>
        </is>
      </c>
      <c r="G32" s="7">
        <f>D73-D70</f>
        <v/>
      </c>
      <c r="H32" s="7">
        <f>IF('[Steuerung.xlsx]Steuerung'!$F$7=1,"n.a.",E73-E70)</f>
        <v/>
      </c>
      <c r="I32" s="1" t="n"/>
      <c r="J32" s="7">
        <f>IF(C32="Ja",G32,"")</f>
        <v/>
      </c>
      <c r="K32" s="1" t="n"/>
      <c r="L32" s="1" t="n"/>
      <c r="M32" s="1" t="n"/>
      <c r="N32" s="1" t="n"/>
      <c r="O32" s="1" t="n"/>
      <c r="P32" s="1" t="n"/>
    </row>
    <row r="33">
      <c r="A33" s="1" t="n"/>
      <c r="B33" s="1" t="n"/>
      <c r="C33" s="6" t="inlineStr">
        <is>
          <t>Nein</t>
        </is>
      </c>
      <c r="D33" s="1" t="inlineStr">
        <is>
          <t>Abschreibungsquote</t>
        </is>
      </c>
      <c r="E33" s="1" t="inlineStr">
        <is>
          <t>%</t>
        </is>
      </c>
      <c r="F33" s="1" t="inlineStr">
        <is>
          <t>Monat</t>
        </is>
      </c>
      <c r="G33" s="8">
        <f>IF('[Bilanz.xlsx]Bilanz'!$D$72=0,"n.a.",(-D70)/('[Bilanz.xlsx]Bilanz'!$D$72))</f>
        <v/>
      </c>
      <c r="H33" s="8">
        <f>IF('[Steuerung.xlsx]Steuerung'!$F$7=1,"n.a.",IF('[Bilanz.xlsx]Bilanz'!$D$72=0,"n.a.",(-E70)/('[Bilanz.xlsx]Bilanz'!$D$72)))</f>
        <v/>
      </c>
      <c r="I33" s="1" t="n"/>
      <c r="J33" s="8">
        <f>IF(C33="Ja",G33,"")</f>
        <v/>
      </c>
      <c r="K33" s="1" t="n"/>
      <c r="L33" s="1" t="n"/>
      <c r="M33" s="1" t="n"/>
      <c r="N33" s="1" t="n"/>
      <c r="O33" s="1" t="n"/>
      <c r="P33" s="1" t="n"/>
    </row>
    <row r="34">
      <c r="A34" s="1" t="n"/>
      <c r="B34" s="1" t="n"/>
      <c r="C34" s="6" t="inlineStr">
        <is>
          <t>Nein</t>
        </is>
      </c>
      <c r="D34" s="1" t="inlineStr">
        <is>
          <t>Dynamischer Verschuldungsgrad</t>
        </is>
      </c>
      <c r="E34" s="1" t="inlineStr">
        <is>
          <t>Jahre</t>
        </is>
      </c>
      <c r="F34" s="1" t="inlineStr">
        <is>
          <t>YTD annualisiert</t>
        </is>
      </c>
      <c r="G34" s="7">
        <f>IF(($F$73/'[Steuerung.xlsx]Steuerung'!$F$7*12)-($F$70/'[Steuerung.xlsx]Steuerung'!$F$7*12)=0,"n.a.",('[Bilanz.xlsx]Bilanz'!$D$78)/(($F$73/'[Steuerung.xlsx]Steuerung'!$F$7*12)-($F$70/'[Steuerung.xlsx]Steuerung'!$F$7*12)))</f>
        <v/>
      </c>
      <c r="H34" s="7">
        <f>"n.a."</f>
        <v/>
      </c>
      <c r="I34" s="1" t="n"/>
      <c r="J34" s="7">
        <f>IF(C34="Ja",G34,"")</f>
        <v/>
      </c>
      <c r="K34" s="1" t="n"/>
      <c r="L34" s="1" t="n"/>
      <c r="M34" s="1" t="n"/>
      <c r="N34" s="1" t="n"/>
      <c r="O34" s="1" t="n"/>
      <c r="P34" s="1" t="n"/>
    </row>
    <row r="35">
      <c r="A35" s="1" t="n"/>
      <c r="B35" s="1" t="n"/>
      <c r="C35" s="6" t="inlineStr">
        <is>
          <t>Nein</t>
        </is>
      </c>
      <c r="D35" s="1" t="inlineStr">
        <is>
          <t>Beschäftigungsstruktur</t>
        </is>
      </c>
      <c r="E35" s="1" t="inlineStr">
        <is>
          <t>n.a.</t>
        </is>
      </c>
      <c r="F35" s="1" t="inlineStr">
        <is>
          <t>Nicht verfügbar</t>
        </is>
      </c>
      <c r="G35" s="7">
        <f>"n.a."</f>
        <v/>
      </c>
      <c r="H35" s="7">
        <f>"n.a."</f>
        <v/>
      </c>
      <c r="I35" s="1" t="inlineStr">
        <is>
          <t>Beschäftigungsarten fehlen.</t>
        </is>
      </c>
      <c r="J35" s="7">
        <f>IF(C35="Ja",G35,"")</f>
        <v/>
      </c>
      <c r="K35" s="1" t="n"/>
      <c r="L35" s="1" t="n"/>
      <c r="M35" s="1" t="n"/>
      <c r="N35" s="1" t="n"/>
      <c r="O35" s="1" t="n"/>
      <c r="P35" s="1" t="n"/>
    </row>
    <row r="36">
      <c r="A36" s="1" t="n"/>
      <c r="B36" s="1" t="n"/>
      <c r="C36" s="6" t="inlineStr">
        <is>
          <t>Nein</t>
        </is>
      </c>
      <c r="D36" s="1" t="inlineStr">
        <is>
          <t>Beschäftigungsgrad</t>
        </is>
      </c>
      <c r="E36" s="1" t="inlineStr">
        <is>
          <t>%</t>
        </is>
      </c>
      <c r="F36" s="1" t="inlineStr">
        <is>
          <t>Monat</t>
        </is>
      </c>
      <c r="G36" s="8">
        <f>IF(ISNUMBER(D80),IF(D80=0,"n.a.",(D79)/(D80)),"n.a.")</f>
        <v/>
      </c>
      <c r="H36" s="8">
        <f>IF('[Steuerung.xlsx]Steuerung'!$F$7=1,"n.a.",IF(ISNUMBER(E80),IF(E80=0,"n.a.",(E79)/(E80)),"n.a."))</f>
        <v/>
      </c>
      <c r="I36" s="1" t="n"/>
      <c r="J36" s="8">
        <f>IF(C36="Ja",G36,"")</f>
        <v/>
      </c>
      <c r="K36" s="1" t="n"/>
      <c r="L36" s="1" t="n"/>
      <c r="M36" s="1" t="n"/>
      <c r="N36" s="1" t="n"/>
      <c r="O36" s="1" t="n"/>
      <c r="P36" s="1" t="n"/>
    </row>
    <row r="37">
      <c r="A37" s="1" t="n"/>
      <c r="B37" s="1" t="n"/>
      <c r="C37" s="6" t="inlineStr">
        <is>
          <t>Nein</t>
        </is>
      </c>
      <c r="D37" s="1" t="inlineStr">
        <is>
          <t>Personalaufwandsstruktur</t>
        </is>
      </c>
      <c r="E37" s="1" t="inlineStr">
        <is>
          <t>%</t>
        </is>
      </c>
      <c r="F37" s="1" t="inlineStr">
        <is>
          <t>Monat</t>
        </is>
      </c>
      <c r="G37" s="8">
        <f>IF(D78=0,"n.a.",(D76)/(D78))</f>
        <v/>
      </c>
      <c r="H37" s="8">
        <f>IF('[Steuerung.xlsx]Steuerung'!$F$7=1,"n.a.",IF(E78=0,"n.a.",(E76)/(E78)))</f>
        <v/>
      </c>
      <c r="I37" s="1" t="n"/>
      <c r="J37" s="8">
        <f>IF(C37="Ja",G37,"")</f>
        <v/>
      </c>
      <c r="K37" s="1" t="n"/>
      <c r="L37" s="1" t="n"/>
      <c r="M37" s="1" t="n"/>
      <c r="N37" s="1" t="n"/>
      <c r="O37" s="1" t="n"/>
      <c r="P37" s="1" t="n"/>
    </row>
    <row r="38">
      <c r="A38" s="1" t="n"/>
      <c r="B38" s="1" t="n"/>
      <c r="C38" s="6" t="inlineStr">
        <is>
          <t>Nein</t>
        </is>
      </c>
      <c r="D38" s="1" t="inlineStr">
        <is>
          <t>Personalaufwandsquote</t>
        </is>
      </c>
      <c r="E38" s="1" t="inlineStr">
        <is>
          <t>%</t>
        </is>
      </c>
      <c r="F38" s="1" t="inlineStr">
        <is>
          <t>Monat</t>
        </is>
      </c>
      <c r="G38" s="8">
        <f>IF(D68=0,"n.a.",(D76)/(D68))</f>
        <v/>
      </c>
      <c r="H38" s="8">
        <f>IF('[Steuerung.xlsx]Steuerung'!$F$7=1,"n.a.",IF(E68=0,"n.a.",(E76)/(E68)))</f>
        <v/>
      </c>
      <c r="I38" s="1" t="n"/>
      <c r="J38" s="8">
        <f>IF(C38="Ja",G38,"")</f>
        <v/>
      </c>
      <c r="K38" s="1" t="n"/>
      <c r="L38" s="1" t="n"/>
      <c r="M38" s="1" t="n"/>
      <c r="N38" s="1" t="n"/>
      <c r="O38" s="1" t="n"/>
      <c r="P38" s="1" t="n"/>
    </row>
    <row r="39">
      <c r="A39" s="1" t="n"/>
      <c r="B39" s="1" t="n"/>
      <c r="C39" s="6" t="inlineStr">
        <is>
          <t>Nein</t>
        </is>
      </c>
      <c r="D39" s="1" t="inlineStr">
        <is>
          <t>Krankenquote</t>
        </is>
      </c>
      <c r="E39" s="1" t="inlineStr">
        <is>
          <t>%</t>
        </is>
      </c>
      <c r="F39" s="1" t="inlineStr">
        <is>
          <t>Monat</t>
        </is>
      </c>
      <c r="G39" s="8">
        <f>IF(ISNUMBER(D80),IF(D80=0,"n.a.",(D81)/(D80)),"n.a.")</f>
        <v/>
      </c>
      <c r="H39" s="8">
        <f>IF('[Steuerung.xlsx]Steuerung'!$F$7=1,"n.a.",IF(ISNUMBER(E80),IF(E80=0,"n.a.",(E81)/(E80)),"n.a."))</f>
        <v/>
      </c>
      <c r="I39" s="1" t="n"/>
      <c r="J39" s="8">
        <f>IF(C39="Ja",G39,"")</f>
        <v/>
      </c>
      <c r="K39" s="1" t="n"/>
      <c r="L39" s="1" t="n"/>
      <c r="M39" s="1" t="n"/>
      <c r="N39" s="1" t="n"/>
      <c r="O39" s="1" t="n"/>
      <c r="P39" s="1" t="n"/>
    </row>
    <row r="40">
      <c r="A40" s="1" t="n"/>
      <c r="B40" s="1" t="n"/>
      <c r="C40" s="6" t="inlineStr">
        <is>
          <t>Nein</t>
        </is>
      </c>
      <c r="D40" s="1" t="inlineStr">
        <is>
          <t>Abwesenheitsstruktur</t>
        </is>
      </c>
      <c r="E40" s="1" t="inlineStr">
        <is>
          <t>Text</t>
        </is>
      </c>
      <c r="F40" s="1" t="inlineStr">
        <is>
          <t>Monat</t>
        </is>
      </c>
      <c r="G40" s="7">
        <f>IF(ISNUMBER(D80),TEXT(D82/D80,"0%")&amp;" / "&amp;TEXT(D81/D80,"0%")&amp;" / "&amp;TEXT(D83/D80,"0%"),"n.a.")</f>
        <v/>
      </c>
      <c r="H40" s="7">
        <f>IF('[Steuerung.xlsx]Steuerung'!$F$7=1,"n.a.",IF(ISNUMBER(E80),TEXT(E82/E80,"0%")&amp;" / "&amp;TEXT(E81/E80,"0%")&amp;" / "&amp;TEXT(E83/E80,"0%"),"n.a."))</f>
        <v/>
      </c>
      <c r="I40" s="1" t="inlineStr">
        <is>
          <t>Urlaub / Krankheit / Feiertag.</t>
        </is>
      </c>
      <c r="J40" s="7">
        <f>IF(C40="Ja",G40,"")</f>
        <v/>
      </c>
      <c r="K40" s="1" t="n"/>
      <c r="L40" s="1" t="n"/>
      <c r="M40" s="1" t="n"/>
      <c r="N40" s="1" t="n"/>
      <c r="O40" s="1" t="n"/>
      <c r="P40" s="1" t="n"/>
    </row>
    <row r="41">
      <c r="A41" s="1" t="n"/>
      <c r="B41" s="1" t="n"/>
      <c r="C41" s="6" t="inlineStr">
        <is>
          <t>Nein</t>
        </is>
      </c>
      <c r="D41" s="1" t="inlineStr">
        <is>
          <t>Lohnquote</t>
        </is>
      </c>
      <c r="E41" s="1" t="inlineStr">
        <is>
          <t>%</t>
        </is>
      </c>
      <c r="F41" s="1" t="inlineStr">
        <is>
          <t>Monat</t>
        </is>
      </c>
      <c r="G41" s="8">
        <f>IF(D67=0,"n.a.",(D76)/(D67))</f>
        <v/>
      </c>
      <c r="H41" s="8">
        <f>IF('[Steuerung.xlsx]Steuerung'!$F$7=1,"n.a.",IF(E67=0,"n.a.",(E76)/(E67)))</f>
        <v/>
      </c>
      <c r="I41" s="1" t="n"/>
      <c r="J41" s="8">
        <f>IF(C41="Ja",G41,"")</f>
        <v/>
      </c>
      <c r="K41" s="1" t="n"/>
      <c r="L41" s="1" t="n"/>
      <c r="M41" s="1" t="n"/>
      <c r="N41" s="1" t="n"/>
      <c r="O41" s="1" t="n"/>
      <c r="P41" s="1" t="n"/>
    </row>
    <row r="42">
      <c r="A42" s="1" t="n"/>
      <c r="B42" s="1" t="n"/>
      <c r="C42" s="6" t="inlineStr">
        <is>
          <t>Nein</t>
        </is>
      </c>
      <c r="D42" s="1" t="inlineStr">
        <is>
          <t>Leistung je Arbeitnehmer</t>
        </is>
      </c>
      <c r="E42" s="1" t="inlineStr">
        <is>
          <t>EUR</t>
        </is>
      </c>
      <c r="F42" s="1" t="inlineStr">
        <is>
          <t>Monat</t>
        </is>
      </c>
      <c r="G42" s="7">
        <f>IF(ISNUMBER(D85),IF(D85=0,"n.a.",(D67)/(D85)),"n.a.")</f>
        <v/>
      </c>
      <c r="H42" s="7">
        <f>IF('[Steuerung.xlsx]Steuerung'!$F$7=1,"n.a.",IF(ISNUMBER(E85),IF(E85=0,"n.a.",(E67)/(E85)),"n.a."))</f>
        <v/>
      </c>
      <c r="I42" s="1" t="n"/>
      <c r="J42" s="7">
        <f>IF(C42="Ja",G42,"")</f>
        <v/>
      </c>
      <c r="K42" s="1" t="n"/>
      <c r="L42" s="1" t="n"/>
      <c r="M42" s="1" t="n"/>
      <c r="N42" s="1" t="n"/>
      <c r="O42" s="1" t="n"/>
      <c r="P42" s="1" t="n"/>
    </row>
    <row r="43">
      <c r="A43" s="1" t="n"/>
      <c r="B43" s="1" t="n"/>
      <c r="C43" s="6" t="inlineStr">
        <is>
          <t>Nein</t>
        </is>
      </c>
      <c r="D43" s="1" t="inlineStr">
        <is>
          <t>Fluktuationsziffer</t>
        </is>
      </c>
      <c r="E43" s="1" t="inlineStr">
        <is>
          <t>n.a.</t>
        </is>
      </c>
      <c r="F43" s="1" t="inlineStr">
        <is>
          <t>Nicht verfügbar</t>
        </is>
      </c>
      <c r="G43" s="7">
        <f>"n.a."</f>
        <v/>
      </c>
      <c r="H43" s="7">
        <f>"n.a."</f>
        <v/>
      </c>
      <c r="I43" s="1" t="inlineStr">
        <is>
          <t>Ein- und Austritte fehlen.</t>
        </is>
      </c>
      <c r="J43" s="7">
        <f>IF(C43="Ja",G43,"")</f>
        <v/>
      </c>
      <c r="K43" s="1" t="n"/>
      <c r="L43" s="1" t="n"/>
      <c r="M43" s="1" t="n"/>
      <c r="N43" s="1" t="n"/>
      <c r="O43" s="1" t="n"/>
      <c r="P43" s="1" t="n"/>
    </row>
    <row r="44">
      <c r="A44" s="1" t="n"/>
      <c r="B44" s="1" t="n"/>
      <c r="C44" s="6" t="inlineStr">
        <is>
          <t>Nein</t>
        </is>
      </c>
      <c r="D44" s="1" t="inlineStr">
        <is>
          <t>Weiterbildungskosten je MA</t>
        </is>
      </c>
      <c r="E44" s="1" t="inlineStr">
        <is>
          <t>n.a.</t>
        </is>
      </c>
      <c r="F44" s="1" t="inlineStr">
        <is>
          <t>Nicht verfügbar</t>
        </is>
      </c>
      <c r="G44" s="7">
        <f>"n.a."</f>
        <v/>
      </c>
      <c r="H44" s="7">
        <f>"n.a."</f>
        <v/>
      </c>
      <c r="I44" s="1" t="inlineStr">
        <is>
          <t>Keine separate Kostenzuordnung.</t>
        </is>
      </c>
      <c r="J44" s="7">
        <f>IF(C44="Ja",G44,"")</f>
        <v/>
      </c>
      <c r="K44" s="1" t="n"/>
      <c r="L44" s="1" t="n"/>
      <c r="M44" s="1" t="n"/>
      <c r="N44" s="1" t="n"/>
      <c r="O44" s="1" t="n"/>
      <c r="P44" s="1" t="n"/>
    </row>
    <row r="45">
      <c r="A45" s="1" t="n"/>
      <c r="B45" s="1" t="n"/>
      <c r="C45" s="6" t="inlineStr">
        <is>
          <t>Nein</t>
        </is>
      </c>
      <c r="D45" s="1" t="inlineStr">
        <is>
          <t>Fehlzeitenquote</t>
        </is>
      </c>
      <c r="E45" s="1" t="inlineStr">
        <is>
          <t>%</t>
        </is>
      </c>
      <c r="F45" s="1" t="inlineStr">
        <is>
          <t>Monat</t>
        </is>
      </c>
      <c r="G45" s="8">
        <f>IF(ISNUMBER(D80),IF(D80=0,"n.a.",(SUM(D81:D84))/(D80)),"n.a.")</f>
        <v/>
      </c>
      <c r="H45" s="8">
        <f>IF('[Steuerung.xlsx]Steuerung'!$F$7=1,"n.a.",IF(ISNUMBER(E80),IF(E80=0,"n.a.",(SUM(E81:E84))/(E80)),"n.a."))</f>
        <v/>
      </c>
      <c r="I45" s="1" t="n"/>
      <c r="J45" s="8">
        <f>IF(C45="Ja",G45,"")</f>
        <v/>
      </c>
      <c r="K45" s="1" t="n"/>
      <c r="L45" s="1" t="n"/>
      <c r="M45" s="1" t="n"/>
      <c r="N45" s="1" t="n"/>
      <c r="O45" s="1" t="n"/>
      <c r="P45" s="1" t="n"/>
    </row>
    <row r="46">
      <c r="A46" s="1" t="n"/>
      <c r="B46" s="1" t="n"/>
      <c r="C46" s="6" t="inlineStr">
        <is>
          <t>Nein</t>
        </is>
      </c>
      <c r="D46" s="1" t="inlineStr">
        <is>
          <t>Durchschnittlicher Personalaufwand</t>
        </is>
      </c>
      <c r="E46" s="1" t="inlineStr">
        <is>
          <t>EUR</t>
        </is>
      </c>
      <c r="F46" s="1" t="inlineStr">
        <is>
          <t>Monat</t>
        </is>
      </c>
      <c r="G46" s="7">
        <f>IF(ISNUMBER(D85),IF(D85=0,"n.a.",(D76)/(D85)),"n.a.")</f>
        <v/>
      </c>
      <c r="H46" s="7">
        <f>IF('[Steuerung.xlsx]Steuerung'!$F$7=1,"n.a.",IF(ISNUMBER(E85),IF(E85=0,"n.a.",(E76)/(E85)),"n.a."))</f>
        <v/>
      </c>
      <c r="I46" s="1" t="n"/>
      <c r="J46" s="7">
        <f>IF(C46="Ja",G46,"")</f>
        <v/>
      </c>
      <c r="K46" s="1" t="n"/>
      <c r="L46" s="1" t="n"/>
      <c r="M46" s="1" t="n"/>
      <c r="N46" s="1" t="n"/>
      <c r="O46" s="1" t="n"/>
      <c r="P46" s="1" t="n"/>
    </row>
    <row r="47">
      <c r="A47" s="1" t="n"/>
      <c r="B47" s="1" t="n"/>
      <c r="C47" s="6" t="inlineStr">
        <is>
          <t>Nein</t>
        </is>
      </c>
      <c r="D47" s="1" t="inlineStr">
        <is>
          <t>Gesamtleistung je Mitarbeiter</t>
        </is>
      </c>
      <c r="E47" s="1" t="inlineStr">
        <is>
          <t>EUR</t>
        </is>
      </c>
      <c r="F47" s="1" t="inlineStr">
        <is>
          <t>Monat</t>
        </is>
      </c>
      <c r="G47" s="7">
        <f>IF(ISNUMBER(D85),IF(D85=0,"n.a.",(D68)/(D85)),"n.a.")</f>
        <v/>
      </c>
      <c r="H47" s="7">
        <f>IF('[Steuerung.xlsx]Steuerung'!$F$7=1,"n.a.",IF(ISNUMBER(E85),IF(E85=0,"n.a.",(E68)/(E85)),"n.a."))</f>
        <v/>
      </c>
      <c r="I47" s="1" t="n"/>
      <c r="J47" s="7">
        <f>IF(C47="Ja",G47,"")</f>
        <v/>
      </c>
      <c r="K47" s="1" t="n"/>
      <c r="L47" s="1" t="n"/>
      <c r="M47" s="1" t="n"/>
      <c r="N47" s="1" t="n"/>
      <c r="O47" s="1" t="n"/>
      <c r="P47" s="1" t="n"/>
    </row>
    <row r="48">
      <c r="A48" s="1" t="n"/>
      <c r="B48" s="1" t="n"/>
      <c r="C48" s="6" t="inlineStr">
        <is>
          <t>Nein</t>
        </is>
      </c>
      <c r="D48" s="1" t="inlineStr">
        <is>
          <t>Altersstruktur</t>
        </is>
      </c>
      <c r="E48" s="1" t="inlineStr">
        <is>
          <t>n.a.</t>
        </is>
      </c>
      <c r="F48" s="1" t="inlineStr">
        <is>
          <t>Nicht verfügbar</t>
        </is>
      </c>
      <c r="G48" s="7">
        <f>"n.a."</f>
        <v/>
      </c>
      <c r="H48" s="7">
        <f>"n.a."</f>
        <v/>
      </c>
      <c r="I48" s="1" t="inlineStr">
        <is>
          <t>Geburtsdaten fehlen.</t>
        </is>
      </c>
      <c r="J48" s="7">
        <f>IF(C48="Ja",G48,"")</f>
        <v/>
      </c>
      <c r="K48" s="1" t="n"/>
      <c r="L48" s="1" t="n"/>
      <c r="M48" s="1" t="n"/>
      <c r="N48" s="1" t="n"/>
      <c r="O48" s="1" t="n"/>
      <c r="P48" s="1" t="n"/>
    </row>
    <row r="49">
      <c r="A49" s="1" t="n"/>
      <c r="B49" s="1" t="n"/>
      <c r="C49" s="6" t="inlineStr">
        <is>
          <t>Nein</t>
        </is>
      </c>
      <c r="D49" s="1" t="inlineStr">
        <is>
          <t>DuPont / ROI</t>
        </is>
      </c>
      <c r="E49" s="1" t="inlineStr">
        <is>
          <t>%</t>
        </is>
      </c>
      <c r="F49" s="1" t="inlineStr">
        <is>
          <t>YTD annualisiert</t>
        </is>
      </c>
      <c r="G49" s="8">
        <f>IF('[Bilanz.xlsx]Bilanz'!$D$83=0,"n.a.",(($F$73/'[Steuerung.xlsx]Steuerung'!$F$7*12))/('[Bilanz.xlsx]Bilanz'!$D$83))</f>
        <v/>
      </c>
      <c r="H49" s="8">
        <f>"n.a."</f>
        <v/>
      </c>
      <c r="I49" s="1" t="inlineStr">
        <is>
          <t>Umsatzrendite × Kapitalumschlag.</t>
        </is>
      </c>
      <c r="J49" s="8">
        <f>IF(C49="Ja",G49,"")</f>
        <v/>
      </c>
      <c r="K49" s="1" t="n"/>
      <c r="L49" s="1" t="n"/>
      <c r="M49" s="1" t="n"/>
      <c r="N49" s="1" t="n"/>
      <c r="O49" s="1" t="n"/>
      <c r="P49" s="1" t="n"/>
    </row>
    <row r="50">
      <c r="A50" s="1" t="n"/>
      <c r="B50" s="1" t="n"/>
      <c r="C50" s="6" t="inlineStr">
        <is>
          <t>Nein</t>
        </is>
      </c>
      <c r="D50" s="1" t="inlineStr">
        <is>
          <t>Balanced Scorecard</t>
        </is>
      </c>
      <c r="E50" s="1" t="inlineStr">
        <is>
          <t>Verweis</t>
        </is>
      </c>
      <c r="F50" s="1" t="inlineStr">
        <is>
          <t>Übersicht</t>
        </is>
      </c>
      <c r="G50" s="7">
        <f>"Cockpit / Vertrieb / Stunden"</f>
        <v/>
      </c>
      <c r="H50" s="7">
        <f>"n.a."</f>
        <v/>
      </c>
      <c r="I50" s="1" t="n"/>
      <c r="J50" s="7">
        <f>IF(C50="Ja",G50,"")</f>
        <v/>
      </c>
      <c r="K50" s="1" t="n"/>
      <c r="L50" s="1" t="n"/>
      <c r="M50" s="1" t="n"/>
      <c r="N50" s="1" t="n"/>
      <c r="O50" s="1" t="n"/>
      <c r="P50" s="1" t="n"/>
    </row>
    <row r="51">
      <c r="A51" s="1" t="n"/>
      <c r="B51" s="1" t="n"/>
      <c r="C51" s="6" t="inlineStr">
        <is>
          <t>Nein</t>
        </is>
      </c>
      <c r="D51" s="1" t="inlineStr">
        <is>
          <t>Bilanzanalyse</t>
        </is>
      </c>
      <c r="E51" s="1" t="inlineStr">
        <is>
          <t>Verweis</t>
        </is>
      </c>
      <c r="F51" s="1" t="inlineStr">
        <is>
          <t>Stichtag</t>
        </is>
      </c>
      <c r="G51" s="7">
        <f>"Blatt Bilanz"</f>
        <v/>
      </c>
      <c r="H51" s="7">
        <f>"n.a."</f>
        <v/>
      </c>
      <c r="I51" s="1" t="n"/>
      <c r="J51" s="7">
        <f>IF(C51="Ja",G51,"")</f>
        <v/>
      </c>
      <c r="K51" s="1" t="n"/>
      <c r="L51" s="1" t="n"/>
      <c r="M51" s="1" t="n"/>
      <c r="N51" s="1" t="n"/>
      <c r="O51" s="1" t="n"/>
      <c r="P51" s="1" t="n"/>
    </row>
    <row r="52">
      <c r="A52" s="1" t="n"/>
      <c r="B52" s="1" t="n"/>
      <c r="C52" s="6" t="inlineStr">
        <is>
          <t>Nein</t>
        </is>
      </c>
      <c r="D52" s="1" t="inlineStr">
        <is>
          <t>BWA und Ergebnisüberleitung</t>
        </is>
      </c>
      <c r="E52" s="1" t="inlineStr">
        <is>
          <t>Verweis</t>
        </is>
      </c>
      <c r="F52" s="1" t="inlineStr">
        <is>
          <t>Monat</t>
        </is>
      </c>
      <c r="G52" s="7">
        <f>"Blatt GuV"</f>
        <v/>
      </c>
      <c r="H52" s="7">
        <f>IF('[Steuerung.xlsx]Steuerung'!$F$7=1,"n.a.","Blatt GuV")</f>
        <v/>
      </c>
      <c r="I52" s="1" t="n"/>
      <c r="J52" s="7">
        <f>IF(C52="Ja",G52,"")</f>
        <v/>
      </c>
      <c r="K52" s="1" t="n"/>
      <c r="L52" s="1" t="n"/>
      <c r="M52" s="1" t="n"/>
      <c r="N52" s="1" t="n"/>
      <c r="O52" s="1" t="n"/>
      <c r="P52" s="1" t="n"/>
    </row>
    <row r="53">
      <c r="A53" s="1" t="n"/>
      <c r="B53" s="1" t="n"/>
      <c r="C53" s="6" t="inlineStr">
        <is>
          <t>Nein</t>
        </is>
      </c>
      <c r="D53" s="1" t="inlineStr">
        <is>
          <t>Kostenstruktur</t>
        </is>
      </c>
      <c r="E53" s="1" t="inlineStr">
        <is>
          <t>Verweis</t>
        </is>
      </c>
      <c r="F53" s="1" t="inlineStr">
        <is>
          <t>Monat</t>
        </is>
      </c>
      <c r="G53" s="7">
        <f>"Blatt Fremdleistungen"</f>
        <v/>
      </c>
      <c r="H53" s="7">
        <f>IF('[Steuerung.xlsx]Steuerung'!$F$7=1,"n.a.","Blatt Fremdleistungen")</f>
        <v/>
      </c>
      <c r="I53" s="1" t="n"/>
      <c r="J53" s="7">
        <f>IF(C53="Ja",G53,"")</f>
        <v/>
      </c>
      <c r="K53" s="1" t="n"/>
      <c r="L53" s="1" t="n"/>
      <c r="M53" s="1" t="n"/>
      <c r="N53" s="1" t="n"/>
      <c r="O53" s="1" t="n"/>
      <c r="P53" s="1" t="n"/>
    </row>
    <row r="54">
      <c r="A54" s="1" t="n"/>
      <c r="B54" s="1" t="n"/>
      <c r="C54" s="6" t="inlineStr">
        <is>
          <t>Nein</t>
        </is>
      </c>
      <c r="D54" s="1" t="inlineStr">
        <is>
          <t>Plan-Ist-Vergleich</t>
        </is>
      </c>
      <c r="E54" s="1" t="inlineStr">
        <is>
          <t>Verweis</t>
        </is>
      </c>
      <c r="F54" s="1" t="inlineStr">
        <is>
          <t>Monat</t>
        </is>
      </c>
      <c r="G54" s="7">
        <f>"Blatt Forecast"</f>
        <v/>
      </c>
      <c r="H54" s="7">
        <f>IF('[Steuerung.xlsx]Steuerung'!$F$7=1,"n.a.","Blatt Forecast")</f>
        <v/>
      </c>
      <c r="I54" s="1" t="n"/>
      <c r="J54" s="7">
        <f>IF(C54="Ja",G54,"")</f>
        <v/>
      </c>
      <c r="K54" s="1" t="n"/>
      <c r="L54" s="1" t="n"/>
      <c r="M54" s="1" t="n"/>
      <c r="N54" s="1" t="n"/>
      <c r="O54" s="1" t="n"/>
      <c r="P54" s="1" t="n"/>
    </row>
    <row r="55">
      <c r="A55" s="1" t="n"/>
      <c r="B55" s="1" t="n"/>
      <c r="C55" s="6" t="inlineStr">
        <is>
          <t>Nein</t>
        </is>
      </c>
      <c r="D55" s="1" t="inlineStr">
        <is>
          <t>Umsatzstruktur nach Region</t>
        </is>
      </c>
      <c r="E55" s="1" t="inlineStr">
        <is>
          <t>Verweis</t>
        </is>
      </c>
      <c r="F55" s="1" t="inlineStr">
        <is>
          <t>YTD</t>
        </is>
      </c>
      <c r="G55" s="7">
        <f>"Blatt Regionen"</f>
        <v/>
      </c>
      <c r="H55" s="7">
        <f>"n.a."</f>
        <v/>
      </c>
      <c r="I55" s="1" t="n"/>
      <c r="J55" s="7">
        <f>IF(C55="Ja",G55,"")</f>
        <v/>
      </c>
      <c r="K55" s="1" t="n"/>
      <c r="L55" s="1" t="n"/>
      <c r="M55" s="1" t="n"/>
      <c r="N55" s="1" t="n"/>
      <c r="O55" s="1" t="n"/>
      <c r="P55" s="1" t="n"/>
    </row>
    <row r="56">
      <c r="A56" s="1" t="n"/>
      <c r="B56" s="1" t="n"/>
      <c r="C56" s="6" t="inlineStr">
        <is>
          <t>Nein</t>
        </is>
      </c>
      <c r="D56" s="1" t="inlineStr">
        <is>
          <t>Break-Even-Point</t>
        </is>
      </c>
      <c r="E56" s="1" t="inlineStr">
        <is>
          <t>EUR</t>
        </is>
      </c>
      <c r="F56" s="1" t="inlineStr">
        <is>
          <t>Monat</t>
        </is>
      </c>
      <c r="G56" s="7">
        <f>IF(OR(D68=0,1-D75/D68&lt;=0),"n.a.",(D76+D77-D70)/(1-D75/D68))</f>
        <v/>
      </c>
      <c r="H56" s="7">
        <f>IF('[Steuerung.xlsx]Steuerung'!$F$7=1,"n.a.",IF(OR(E68=0,1-E75/E68&lt;=0),"n.a.",(E76+E77-E70)/(1-E75/E68)))</f>
        <v/>
      </c>
      <c r="I56" s="1" t="n"/>
      <c r="J56" s="7">
        <f>IF(C56="Ja",G56,"")</f>
        <v/>
      </c>
      <c r="K56" s="1" t="n"/>
      <c r="L56" s="1" t="n"/>
      <c r="M56" s="1" t="n"/>
      <c r="N56" s="1" t="n"/>
      <c r="O56" s="1" t="n"/>
      <c r="P56" s="1" t="n"/>
    </row>
    <row r="57">
      <c r="A57" s="1" t="n"/>
      <c r="B57" s="1" t="n"/>
      <c r="C57" s="6" t="inlineStr">
        <is>
          <t>Nein</t>
        </is>
      </c>
      <c r="D57" s="1" t="inlineStr">
        <is>
          <t>Absoluter Marktanteil</t>
        </is>
      </c>
      <c r="E57" s="1" t="inlineStr">
        <is>
          <t>n.a.</t>
        </is>
      </c>
      <c r="F57" s="1" t="inlineStr">
        <is>
          <t>Nicht verfügbar</t>
        </is>
      </c>
      <c r="G57" s="7">
        <f>"n.a."</f>
        <v/>
      </c>
      <c r="H57" s="7">
        <f>"n.a."</f>
        <v/>
      </c>
      <c r="I57" s="1" t="inlineStr">
        <is>
          <t>Marktvolumen fehlt.</t>
        </is>
      </c>
      <c r="J57" s="7">
        <f>IF(C57="Ja",G57,"")</f>
        <v/>
      </c>
      <c r="K57" s="1" t="n"/>
      <c r="L57" s="1" t="n"/>
      <c r="M57" s="1" t="n"/>
      <c r="N57" s="1" t="n"/>
      <c r="O57" s="1" t="n"/>
      <c r="P57" s="1" t="n"/>
    </row>
    <row r="58">
      <c r="A58" s="1" t="n"/>
      <c r="B58" s="1" t="n"/>
      <c r="C58" s="6" t="inlineStr">
        <is>
          <t>Nein</t>
        </is>
      </c>
      <c r="D58" s="1" t="inlineStr">
        <is>
          <t>Relativer Marktanteil</t>
        </is>
      </c>
      <c r="E58" s="1" t="inlineStr">
        <is>
          <t>n.a.</t>
        </is>
      </c>
      <c r="F58" s="1" t="inlineStr">
        <is>
          <t>Nicht verfügbar</t>
        </is>
      </c>
      <c r="G58" s="7">
        <f>"n.a."</f>
        <v/>
      </c>
      <c r="H58" s="7">
        <f>"n.a."</f>
        <v/>
      </c>
      <c r="I58" s="1" t="inlineStr">
        <is>
          <t>Wettbewerberdaten fehlen.</t>
        </is>
      </c>
      <c r="J58" s="7">
        <f>IF(C58="Ja",G58,"")</f>
        <v/>
      </c>
      <c r="K58" s="1" t="n"/>
      <c r="L58" s="1" t="n"/>
      <c r="M58" s="1" t="n"/>
      <c r="N58" s="1" t="n"/>
      <c r="O58" s="1" t="n"/>
      <c r="P58" s="1" t="n"/>
    </row>
    <row r="59">
      <c r="A59" s="1" t="n"/>
      <c r="B59" s="1" t="n"/>
      <c r="C59" s="6" t="inlineStr">
        <is>
          <t>Nein</t>
        </is>
      </c>
      <c r="D59" s="1" t="inlineStr">
        <is>
          <t>Marktwachstum</t>
        </is>
      </c>
      <c r="E59" s="1" t="inlineStr">
        <is>
          <t>n.a.</t>
        </is>
      </c>
      <c r="F59" s="1" t="inlineStr">
        <is>
          <t>Nicht verfügbar</t>
        </is>
      </c>
      <c r="G59" s="7">
        <f>"n.a."</f>
        <v/>
      </c>
      <c r="H59" s="7">
        <f>"n.a."</f>
        <v/>
      </c>
      <c r="I59" s="1" t="inlineStr">
        <is>
          <t>Marktvolumen fehlt.</t>
        </is>
      </c>
      <c r="J59" s="7">
        <f>IF(C59="Ja",G59,"")</f>
        <v/>
      </c>
      <c r="K59" s="1" t="n"/>
      <c r="L59" s="1" t="n"/>
      <c r="M59" s="1" t="n"/>
      <c r="N59" s="1" t="n"/>
      <c r="O59" s="1" t="n"/>
      <c r="P59" s="1" t="n"/>
    </row>
    <row r="60">
      <c r="A60" s="1" t="n"/>
      <c r="B60" s="1" t="n"/>
      <c r="C60" s="6" t="inlineStr">
        <is>
          <t>Nein</t>
        </is>
      </c>
      <c r="D60" s="1" t="inlineStr">
        <is>
          <t>Auftragsreichweite</t>
        </is>
      </c>
      <c r="E60" s="1" t="inlineStr">
        <is>
          <t>Monate</t>
        </is>
      </c>
      <c r="F60" s="1" t="inlineStr">
        <is>
          <t>YTD</t>
        </is>
      </c>
      <c r="G60" s="7">
        <f>IF($F$67/'[Steuerung.xlsx]Steuerung'!$F$7=0,"n.a.",(SUM('[D Finanzen.xlsx]D Finanzen'!$H$444:$H$617))/($F$67/'[Steuerung.xlsx]Steuerung'!$F$7))</f>
        <v/>
      </c>
      <c r="H60" s="7">
        <f>"n.a."</f>
        <v/>
      </c>
      <c r="I60" s="1" t="n"/>
      <c r="J60" s="7">
        <f>IF(C60="Ja",G60,"")</f>
        <v/>
      </c>
      <c r="K60" s="1" t="n"/>
      <c r="L60" s="1" t="n"/>
      <c r="M60" s="1" t="n"/>
      <c r="N60" s="1" t="n"/>
      <c r="O60" s="1" t="n"/>
      <c r="P60" s="1" t="n"/>
    </row>
    <row r="61">
      <c r="C61" s="9" t="inlineStr">
        <is>
          <t>Nein</t>
        </is>
      </c>
      <c r="D61" t="inlineStr">
        <is>
          <t>Akquisitionskosten je Kunde</t>
        </is>
      </c>
      <c r="E61" t="inlineStr">
        <is>
          <t>n.a.</t>
        </is>
      </c>
      <c r="F61" t="inlineStr">
        <is>
          <t>Nicht verfügbar</t>
        </is>
      </c>
      <c r="G61" s="10">
        <f>"n.a."</f>
        <v/>
      </c>
      <c r="H61" s="10">
        <f>"n.a."</f>
        <v/>
      </c>
      <c r="I61" t="inlineStr">
        <is>
          <t>Neukundenzählung fehlt.</t>
        </is>
      </c>
      <c r="J61" s="10">
        <f>IF(C61="Ja",G61,"")</f>
        <v/>
      </c>
    </row>
    <row r="62"/>
    <row r="63"/>
    <row r="64"/>
    <row r="65"/>
    <row r="66" ht="34" customHeight="1">
      <c r="C66" s="5" t="inlineStr">
        <is>
          <t>Berechnungsbasis</t>
        </is>
      </c>
      <c r="D66" s="5" t="inlineStr">
        <is>
          <t>Monat</t>
        </is>
      </c>
      <c r="E66" s="5" t="inlineStr">
        <is>
          <t>Vormonat</t>
        </is>
      </c>
      <c r="F66" s="5" t="inlineStr">
        <is>
          <t>YTD</t>
        </is>
      </c>
    </row>
    <row r="67">
      <c r="C67" t="inlineStr">
        <is>
          <t>Umsatz</t>
        </is>
      </c>
      <c r="D67" s="10">
        <f>1*INDEX('[GuV.xlsx]GuV'!$F$7:$Q$7,1,'[Steuerung.xlsx]Steuerung'!$F$7)</f>
        <v/>
      </c>
      <c r="E67" s="10">
        <f>IF('[Steuerung.xlsx]Steuerung'!$F$7=1,"n.a.",1*INDEX('[GuV.xlsx]GuV'!$F$7:$Q$7,1,'[Steuerung.xlsx]Steuerung'!$F$7-1))</f>
        <v/>
      </c>
      <c r="F67" s="10">
        <f>1*'[GuV.xlsx]GuV'!D7</f>
        <v/>
      </c>
    </row>
    <row r="68">
      <c r="C68" t="inlineStr">
        <is>
          <t>Gesamtleistung</t>
        </is>
      </c>
      <c r="D68" s="10">
        <f>1*INDEX('[GuV.xlsx]GuV'!$F$9:$Q$9,1,'[Steuerung.xlsx]Steuerung'!$F$7)</f>
        <v/>
      </c>
      <c r="E68" s="10">
        <f>IF('[Steuerung.xlsx]Steuerung'!$F$7=1,"n.a.",1*INDEX('[GuV.xlsx]GuV'!$F$9:$Q$9,1,'[Steuerung.xlsx]Steuerung'!$F$7-1))</f>
        <v/>
      </c>
      <c r="F68" s="10">
        <f>1*'[GuV.xlsx]GuV'!D9</f>
        <v/>
      </c>
    </row>
    <row r="69">
      <c r="C69" t="inlineStr">
        <is>
          <t>EBITDA</t>
        </is>
      </c>
      <c r="D69" s="10">
        <f>1*INDEX('[GuV.xlsx]GuV'!$F$20:$Q$20,1,'[Steuerung.xlsx]Steuerung'!$F$7)</f>
        <v/>
      </c>
      <c r="E69" s="10">
        <f>IF('[Steuerung.xlsx]Steuerung'!$F$7=1,"n.a.",1*INDEX('[GuV.xlsx]GuV'!$F$20:$Q$20,1,'[Steuerung.xlsx]Steuerung'!$F$7-1))</f>
        <v/>
      </c>
      <c r="F69" s="10">
        <f>1*'[GuV.xlsx]GuV'!D20</f>
        <v/>
      </c>
    </row>
    <row r="70">
      <c r="C70" t="inlineStr">
        <is>
          <t>Abschreibungen</t>
        </is>
      </c>
      <c r="D70" s="10">
        <f>1*INDEX('[GuV.xlsx]GuV'!$F$15:$Q$15,1,'[Steuerung.xlsx]Steuerung'!$F$7)</f>
        <v/>
      </c>
      <c r="E70" s="10">
        <f>IF('[Steuerung.xlsx]Steuerung'!$F$7=1,"n.a.",1*INDEX('[GuV.xlsx]GuV'!$F$15:$Q$15,1,'[Steuerung.xlsx]Steuerung'!$F$7-1))</f>
        <v/>
      </c>
      <c r="F70" s="10">
        <f>1*'[GuV.xlsx]GuV'!D15</f>
        <v/>
      </c>
    </row>
    <row r="71">
      <c r="C71" t="inlineStr">
        <is>
          <t>Finanzergebnis</t>
        </is>
      </c>
      <c r="D71" s="10">
        <f>1*INDEX('[GuV.xlsx]GuV'!$F$17:$Q$17,1,'[Steuerung.xlsx]Steuerung'!$F$7)</f>
        <v/>
      </c>
      <c r="E71" s="10">
        <f>IF('[Steuerung.xlsx]Steuerung'!$F$7=1,"n.a.",1*INDEX('[GuV.xlsx]GuV'!$F$17:$Q$17,1,'[Steuerung.xlsx]Steuerung'!$F$7-1))</f>
        <v/>
      </c>
      <c r="F71" s="10">
        <f>1*'[GuV.xlsx]GuV'!D17</f>
        <v/>
      </c>
    </row>
    <row r="72">
      <c r="C72" t="inlineStr">
        <is>
          <t>Neutrales Ergebnis</t>
        </is>
      </c>
      <c r="D72" s="10">
        <f>1*INDEX('[GuV.xlsx]GuV'!$F$24:$Q$24,1,'[Steuerung.xlsx]Steuerung'!$F$7)</f>
        <v/>
      </c>
      <c r="E72" s="10">
        <f>IF('[Steuerung.xlsx]Steuerung'!$F$7=1,"n.a.",1*INDEX('[GuV.xlsx]GuV'!$F$24:$Q$24,1,'[Steuerung.xlsx]Steuerung'!$F$7-1))</f>
        <v/>
      </c>
      <c r="F72" s="10">
        <f>1*'[GuV.xlsx]GuV'!D24</f>
        <v/>
      </c>
    </row>
    <row r="73">
      <c r="C73" t="inlineStr">
        <is>
          <t>Ergebnis</t>
        </is>
      </c>
      <c r="D73" s="10">
        <f>SUM(D69:D72)</f>
        <v/>
      </c>
      <c r="E73" s="10">
        <f>IF('[Steuerung.xlsx]Steuerung'!$F$7=1,"n.a.",SUM(E69:E72))</f>
        <v/>
      </c>
      <c r="F73" s="10">
        <f>SUM(F69:F72)</f>
        <v/>
      </c>
    </row>
    <row r="74">
      <c r="C74" t="inlineStr">
        <is>
          <t>Sonstige Erträge</t>
        </is>
      </c>
      <c r="D74" s="10">
        <f>1*INDEX('[GuV.xlsx]GuV'!$F$10:$Q$10,1,'[Steuerung.xlsx]Steuerung'!$F$7)</f>
        <v/>
      </c>
      <c r="E74" s="10">
        <f>IF('[Steuerung.xlsx]Steuerung'!$F$7=1,"n.a.",1*INDEX('[GuV.xlsx]GuV'!$F$10:$Q$10,1,'[Steuerung.xlsx]Steuerung'!$F$7-1))</f>
        <v/>
      </c>
      <c r="F74" s="10">
        <f>1*'[GuV.xlsx]GuV'!D10</f>
        <v/>
      </c>
    </row>
    <row r="75">
      <c r="C75" t="inlineStr">
        <is>
          <t>Materialaufwand</t>
        </is>
      </c>
      <c r="D75" s="10">
        <f>-1*INDEX('[GuV.xlsx]GuV'!$F$11:$Q$11,1,'[Steuerung.xlsx]Steuerung'!$F$7)</f>
        <v/>
      </c>
      <c r="E75" s="10">
        <f>IF('[Steuerung.xlsx]Steuerung'!$F$7=1,"n.a.",-1*INDEX('[GuV.xlsx]GuV'!$F$11:$Q$11,1,'[Steuerung.xlsx]Steuerung'!$F$7-1))</f>
        <v/>
      </c>
      <c r="F75" s="10">
        <f>-1*'[GuV.xlsx]GuV'!D11</f>
        <v/>
      </c>
    </row>
    <row r="76">
      <c r="C76" t="inlineStr">
        <is>
          <t>Personalaufwand</t>
        </is>
      </c>
      <c r="D76" s="10">
        <f>-1*INDEX('[GuV.xlsx]GuV'!$F$12:$Q$12,1,'[Steuerung.xlsx]Steuerung'!$F$7)</f>
        <v/>
      </c>
      <c r="E76" s="10">
        <f>IF('[Steuerung.xlsx]Steuerung'!$F$7=1,"n.a.",-1*INDEX('[GuV.xlsx]GuV'!$F$12:$Q$12,1,'[Steuerung.xlsx]Steuerung'!$F$7-1))</f>
        <v/>
      </c>
      <c r="F76" s="10">
        <f>-1*'[GuV.xlsx]GuV'!D12</f>
        <v/>
      </c>
    </row>
    <row r="77">
      <c r="C77" t="inlineStr">
        <is>
          <t>Sonstiger Aufwand</t>
        </is>
      </c>
      <c r="D77" s="10">
        <f>-1*INDEX('[GuV.xlsx]GuV'!$F$13:$Q$13,1,'[Steuerung.xlsx]Steuerung'!$F$7)</f>
        <v/>
      </c>
      <c r="E77" s="10">
        <f>IF('[Steuerung.xlsx]Steuerung'!$F$7=1,"n.a.",-1*INDEX('[GuV.xlsx]GuV'!$F$13:$Q$13,1,'[Steuerung.xlsx]Steuerung'!$F$7-1))</f>
        <v/>
      </c>
      <c r="F77" s="10">
        <f>-1*'[GuV.xlsx]GuV'!D13</f>
        <v/>
      </c>
    </row>
    <row r="78">
      <c r="C78" t="inlineStr">
        <is>
          <t>Gesamtaufwand</t>
        </is>
      </c>
      <c r="D78" s="10">
        <f>SUM(D75:D77)-D70</f>
        <v/>
      </c>
      <c r="E78" s="10">
        <f>IF('[Steuerung.xlsx]Steuerung'!$F$7=1,"n.a.",SUM(E75:E77)-E70)</f>
        <v/>
      </c>
      <c r="F78" s="10">
        <f>SUM(F75:F77)-F70</f>
        <v/>
      </c>
    </row>
    <row r="79">
      <c r="C79" t="inlineStr">
        <is>
          <t>Produktive Stunden</t>
        </is>
      </c>
      <c r="D79" s="10">
        <f>IF(OR(COUNTIFS('[Import Stunden.xlsx]Import Stunden'!$C$7:$C$8,'[Steuerung.xlsx]Steuerung'!$F$6,'[Import Stunden.xlsx]Import Stunden'!$D$7:$D$8,'[Steuerung.xlsx]Steuerung'!$F$7)&gt;0,COUNTIFS('[D KLR.xlsx]D KLR'!$A$1142:$A$1146,'[Steuerung.xlsx]Steuerung'!$F$7)&gt;0),INDEX('[Stunden.xlsx]Stunden'!$D$7:$D$18,'[Steuerung.xlsx]Steuerung'!$F$7,1),"n.a.")</f>
        <v/>
      </c>
      <c r="E79" s="10">
        <f>IF('[Steuerung.xlsx]Steuerung'!$F$7=1,"n.a.",IF(OR(COUNTIFS('[Import Stunden.xlsx]Import Stunden'!$C$7:$C$8,'[Steuerung.xlsx]Steuerung'!$F$6,'[Import Stunden.xlsx]Import Stunden'!$D$7:$D$8,'[Steuerung.xlsx]Steuerung'!$F$7-1)&gt;0,COUNTIFS('[D KLR.xlsx]D KLR'!$A$1142:$A$1146,'[Steuerung.xlsx]Steuerung'!$F$7-1)&gt;0),INDEX('[Stunden.xlsx]Stunden'!$D$7:$D$18,'[Steuerung.xlsx]Steuerung'!$F$7-1,1),"n.a."))</f>
        <v/>
      </c>
      <c r="F79" s="10">
        <f>IF(COUNT('[Stunden.xlsx]Stunden'!$D$7:INDEX('[Stunden.xlsx]Stunden'!$D$7:$D$18,'[Steuerung.xlsx]Steuerung'!$F$7,1))=0,"n.a.",SUM('[Stunden.xlsx]Stunden'!$D$7:INDEX('[Stunden.xlsx]Stunden'!$D$7:$D$18,'[Steuerung.xlsx]Steuerung'!$F$7,1)))</f>
        <v/>
      </c>
    </row>
    <row r="80">
      <c r="C80" t="inlineStr">
        <is>
          <t>Gesamtstunden</t>
        </is>
      </c>
      <c r="D80" s="10">
        <f>IF(OR(COUNTIFS('[Import Stunden.xlsx]Import Stunden'!$C$7:$C$8,'[Steuerung.xlsx]Steuerung'!$F$6,'[Import Stunden.xlsx]Import Stunden'!$D$7:$D$8,'[Steuerung.xlsx]Steuerung'!$F$7)&gt;0,COUNTIFS('[D KLR.xlsx]D KLR'!$A$1142:$A$1146,'[Steuerung.xlsx]Steuerung'!$F$7)&gt;0),INDEX('[Stunden.xlsx]Stunden'!$I$7:$I$18,'[Steuerung.xlsx]Steuerung'!$F$7,1),"n.a.")</f>
        <v/>
      </c>
      <c r="E80" s="10">
        <f>IF('[Steuerung.xlsx]Steuerung'!$F$7=1,"n.a.",IF(OR(COUNTIFS('[Import Stunden.xlsx]Import Stunden'!$C$7:$C$8,'[Steuerung.xlsx]Steuerung'!$F$6,'[Import Stunden.xlsx]Import Stunden'!$D$7:$D$8,'[Steuerung.xlsx]Steuerung'!$F$7-1)&gt;0,COUNTIFS('[D KLR.xlsx]D KLR'!$A$1142:$A$1146,'[Steuerung.xlsx]Steuerung'!$F$7-1)&gt;0),INDEX('[Stunden.xlsx]Stunden'!$I$7:$I$18,'[Steuerung.xlsx]Steuerung'!$F$7-1,1),"n.a."))</f>
        <v/>
      </c>
      <c r="F80" s="10">
        <f>IF(COUNT('[Stunden.xlsx]Stunden'!$I$7:INDEX('[Stunden.xlsx]Stunden'!$I$7:$I$18,'[Steuerung.xlsx]Steuerung'!$F$7,1))=0,"n.a.",SUM('[Stunden.xlsx]Stunden'!$I$7:INDEX('[Stunden.xlsx]Stunden'!$I$7:$I$18,'[Steuerung.xlsx]Steuerung'!$F$7,1)))</f>
        <v/>
      </c>
    </row>
    <row r="81">
      <c r="C81" t="inlineStr">
        <is>
          <t>Krankheit</t>
        </is>
      </c>
      <c r="D81" s="10">
        <f>IF(OR(COUNTIFS('[Import Stunden.xlsx]Import Stunden'!$C$7:$C$8,'[Steuerung.xlsx]Steuerung'!$F$6,'[Import Stunden.xlsx]Import Stunden'!$D$7:$D$8,'[Steuerung.xlsx]Steuerung'!$F$7)&gt;0,COUNTIFS('[D KLR.xlsx]D KLR'!$A$1142:$A$1146,'[Steuerung.xlsx]Steuerung'!$F$7)&gt;0),INDEX('[Stunden.xlsx]Stunden'!$G$7:$G$18,'[Steuerung.xlsx]Steuerung'!$F$7,1),"n.a.")</f>
        <v/>
      </c>
      <c r="E81" s="10">
        <f>IF('[Steuerung.xlsx]Steuerung'!$F$7=1,"n.a.",IF(OR(COUNTIFS('[Import Stunden.xlsx]Import Stunden'!$C$7:$C$8,'[Steuerung.xlsx]Steuerung'!$F$6,'[Import Stunden.xlsx]Import Stunden'!$D$7:$D$8,'[Steuerung.xlsx]Steuerung'!$F$7-1)&gt;0,COUNTIFS('[D KLR.xlsx]D KLR'!$A$1142:$A$1146,'[Steuerung.xlsx]Steuerung'!$F$7-1)&gt;0),INDEX('[Stunden.xlsx]Stunden'!$G$7:$G$18,'[Steuerung.xlsx]Steuerung'!$F$7-1,1),"n.a."))</f>
        <v/>
      </c>
      <c r="F81" s="10">
        <f>IF(COUNT('[Stunden.xlsx]Stunden'!$G$7:INDEX('[Stunden.xlsx]Stunden'!$G$7:$G$18,'[Steuerung.xlsx]Steuerung'!$F$7,1))=0,"n.a.",SUM('[Stunden.xlsx]Stunden'!$G$7:INDEX('[Stunden.xlsx]Stunden'!$G$7:$G$18,'[Steuerung.xlsx]Steuerung'!$F$7,1)))</f>
        <v/>
      </c>
    </row>
    <row r="82">
      <c r="C82" t="inlineStr">
        <is>
          <t>Urlaub</t>
        </is>
      </c>
      <c r="D82" s="10">
        <f>IF(OR(COUNTIFS('[Import Stunden.xlsx]Import Stunden'!$C$7:$C$8,'[Steuerung.xlsx]Steuerung'!$F$6,'[Import Stunden.xlsx]Import Stunden'!$D$7:$D$8,'[Steuerung.xlsx]Steuerung'!$F$7)&gt;0,COUNTIFS('[D KLR.xlsx]D KLR'!$A$1142:$A$1146,'[Steuerung.xlsx]Steuerung'!$F$7)&gt;0),INDEX('[Stunden.xlsx]Stunden'!$F$7:$F$18,'[Steuerung.xlsx]Steuerung'!$F$7,1),"n.a.")</f>
        <v/>
      </c>
      <c r="E82" s="10">
        <f>IF('[Steuerung.xlsx]Steuerung'!$F$7=1,"n.a.",IF(OR(COUNTIFS('[Import Stunden.xlsx]Import Stunden'!$C$7:$C$8,'[Steuerung.xlsx]Steuerung'!$F$6,'[Import Stunden.xlsx]Import Stunden'!$D$7:$D$8,'[Steuerung.xlsx]Steuerung'!$F$7-1)&gt;0,COUNTIFS('[D KLR.xlsx]D KLR'!$A$1142:$A$1146,'[Steuerung.xlsx]Steuerung'!$F$7-1)&gt;0),INDEX('[Stunden.xlsx]Stunden'!$F$7:$F$18,'[Steuerung.xlsx]Steuerung'!$F$7-1,1),"n.a."))</f>
        <v/>
      </c>
      <c r="F82" s="10">
        <f>IF(COUNT('[Stunden.xlsx]Stunden'!$F$7:INDEX('[Stunden.xlsx]Stunden'!$F$7:$F$18,'[Steuerung.xlsx]Steuerung'!$F$7,1))=0,"n.a.",SUM('[Stunden.xlsx]Stunden'!$F$7:INDEX('[Stunden.xlsx]Stunden'!$F$7:$F$18,'[Steuerung.xlsx]Steuerung'!$F$7,1)))</f>
        <v/>
      </c>
    </row>
    <row r="83">
      <c r="C83" t="inlineStr">
        <is>
          <t>Feiertag</t>
        </is>
      </c>
      <c r="D83" s="10">
        <f>IF(OR(COUNTIFS('[Import Stunden.xlsx]Import Stunden'!$C$7:$C$8,'[Steuerung.xlsx]Steuerung'!$F$6,'[Import Stunden.xlsx]Import Stunden'!$D$7:$D$8,'[Steuerung.xlsx]Steuerung'!$F$7)&gt;0,COUNTIFS('[D KLR.xlsx]D KLR'!$A$1142:$A$1146,'[Steuerung.xlsx]Steuerung'!$F$7)&gt;0),INDEX('[Stunden.xlsx]Stunden'!$H$7:$H$18,'[Steuerung.xlsx]Steuerung'!$F$7,1),"n.a.")</f>
        <v/>
      </c>
      <c r="E83" s="10">
        <f>IF('[Steuerung.xlsx]Steuerung'!$F$7=1,"n.a.",IF(OR(COUNTIFS('[Import Stunden.xlsx]Import Stunden'!$C$7:$C$8,'[Steuerung.xlsx]Steuerung'!$F$6,'[Import Stunden.xlsx]Import Stunden'!$D$7:$D$8,'[Steuerung.xlsx]Steuerung'!$F$7-1)&gt;0,COUNTIFS('[D KLR.xlsx]D KLR'!$A$1142:$A$1146,'[Steuerung.xlsx]Steuerung'!$F$7-1)&gt;0),INDEX('[Stunden.xlsx]Stunden'!$H$7:$H$18,'[Steuerung.xlsx]Steuerung'!$F$7-1,1),"n.a."))</f>
        <v/>
      </c>
      <c r="F83" s="10">
        <f>IF(COUNT('[Stunden.xlsx]Stunden'!$H$7:INDEX('[Stunden.xlsx]Stunden'!$H$7:$H$18,'[Steuerung.xlsx]Steuerung'!$F$7,1))=0,"n.a.",SUM('[Stunden.xlsx]Stunden'!$H$7:INDEX('[Stunden.xlsx]Stunden'!$H$7:$H$18,'[Steuerung.xlsx]Steuerung'!$F$7,1)))</f>
        <v/>
      </c>
    </row>
    <row r="84">
      <c r="C84" t="inlineStr">
        <is>
          <t>Unproduktiv</t>
        </is>
      </c>
      <c r="D84" s="10">
        <f>IF(OR(COUNTIFS('[Import Stunden.xlsx]Import Stunden'!$C$7:$C$8,'[Steuerung.xlsx]Steuerung'!$F$6,'[Import Stunden.xlsx]Import Stunden'!$D$7:$D$8,'[Steuerung.xlsx]Steuerung'!$F$7)&gt;0,COUNTIFS('[D KLR.xlsx]D KLR'!$A$1142:$A$1146,'[Steuerung.xlsx]Steuerung'!$F$7)&gt;0),INDEX('[Stunden.xlsx]Stunden'!$E$7:$E$18,'[Steuerung.xlsx]Steuerung'!$F$7,1),"n.a.")</f>
        <v/>
      </c>
      <c r="E84" s="10">
        <f>IF('[Steuerung.xlsx]Steuerung'!$F$7=1,"n.a.",IF(OR(COUNTIFS('[Import Stunden.xlsx]Import Stunden'!$C$7:$C$8,'[Steuerung.xlsx]Steuerung'!$F$6,'[Import Stunden.xlsx]Import Stunden'!$D$7:$D$8,'[Steuerung.xlsx]Steuerung'!$F$7-1)&gt;0,COUNTIFS('[D KLR.xlsx]D KLR'!$A$1142:$A$1146,'[Steuerung.xlsx]Steuerung'!$F$7-1)&gt;0),INDEX('[Stunden.xlsx]Stunden'!$E$7:$E$18,'[Steuerung.xlsx]Steuerung'!$F$7-1,1),"n.a."))</f>
        <v/>
      </c>
      <c r="F84" s="10">
        <f>IF(COUNT('[Stunden.xlsx]Stunden'!$E$7:INDEX('[Stunden.xlsx]Stunden'!$E$7:$E$18,'[Steuerung.xlsx]Steuerung'!$F$7,1))=0,"n.a.",SUM('[Stunden.xlsx]Stunden'!$E$7:INDEX('[Stunden.xlsx]Stunden'!$E$7:$E$18,'[Steuerung.xlsx]Steuerung'!$F$7,1)))</f>
        <v/>
      </c>
    </row>
    <row r="85">
      <c r="C85" t="inlineStr">
        <is>
          <t>Mitarbeiter</t>
        </is>
      </c>
      <c r="D85" s="10">
        <f>IF(COUNTIFS('[D KLR.xlsx]D KLR'!$A$1142:$A$1146,'[Steuerung.xlsx]Steuerung'!$F$7)=0,"n.a.",SUMIFS('[D KLR.xlsx]D KLR'!$M$1142:$M$1146,'[D KLR.xlsx]D KLR'!$A$1142:$A$1146,'[Steuerung.xlsx]Steuerung'!$F$7))</f>
        <v/>
      </c>
      <c r="E85" s="10">
        <f>IF('[Steuerung.xlsx]Steuerung'!$F$7=1,"n.a.",IF(COUNTIFS('[D KLR.xlsx]D KLR'!$A$1142:$A$1146,'[Steuerung.xlsx]Steuerung'!$F$7-1)=0,"n.a.",SUMIFS('[D KLR.xlsx]D KLR'!$M$1142:$M$1146,'[D KLR.xlsx]D KLR'!$A$1142:$A$1146,'[Steuerung.xlsx]Steuerung'!$F$7-1)))</f>
        <v/>
      </c>
      <c r="F85" s="10">
        <f>IF(COUNTIFS('[D KLR.xlsx]D KLR'!$A$1142:$A$1146,"&lt;="&amp;'[Steuerung.xlsx]Steuerung'!$F$7)=0,"n.a.",SUMIFS('[D KLR.xlsx]D KLR'!$M$1142:$M$1146,'[D KLR.xlsx]D KLR'!$A$1142:$A$1146,"&lt;="&amp;'[Steuerung.xlsx]Steuerung'!$F$7))</f>
        <v/>
      </c>
    </row>
    <row r="86">
      <c r="C86" t="inlineStr">
        <is>
          <t>Vorräte netto</t>
        </is>
      </c>
      <c r="D86">
        <f>SUMIFS('[D Liquidität.xlsx]D Liquidität'!$F$632:$F$655,'[D Liquidität.xlsx]D Liquidität'!$A$632:$A$655,'[Steuerung.xlsx]Steuerung'!$F$6,'[D Liquidität.xlsx]D Liquidität'!$B$632:$B$655,'[Steuerung.xlsx]Steuerung'!$F$7)</f>
        <v/>
      </c>
      <c r="E86">
        <f>IF('[Steuerung.xlsx]Steuerung'!$F$7=1,"n.a.",SUMIFS('[D Liquidität.xlsx]D Liquidität'!$F$632:$F$655,'[D Liquidität.xlsx]D Liquidität'!$A$632:$A$655,'[Steuerung.xlsx]Steuerung'!$F$6,'[D Liquidität.xlsx]D Liquidität'!$B$632:$B$655,'[Steuerung.xlsx]Steuerung'!$F$7-1))</f>
        <v/>
      </c>
    </row>
    <row r="89">
      <c r="C89" t="inlineStr">
        <is>
          <t>SharePoint-Verknüpfungen (Dateien im selben Ordner)</t>
        </is>
      </c>
    </row>
    <row r="90">
      <c r="C90" t="inlineStr">
        <is>
          <t>Diese Datei</t>
        </is>
      </c>
      <c r="D90" t="inlineStr">
        <is>
          <t>Berichte.xlsx</t>
        </is>
      </c>
    </row>
    <row r="91">
      <c r="C91" t="inlineStr">
        <is>
          <t>Liest aus</t>
        </is>
      </c>
      <c r="D91" t="inlineStr">
        <is>
          <t>Bilanz.xlsx</t>
        </is>
      </c>
      <c r="E91" t="inlineStr">
        <is>
          <t>Bilanz</t>
        </is>
      </c>
    </row>
    <row r="92">
      <c r="C92" t="inlineStr">
        <is>
          <t>Liest aus</t>
        </is>
      </c>
      <c r="D92" t="inlineStr">
        <is>
          <t>D Finanzen.xlsx</t>
        </is>
      </c>
      <c r="E92" t="inlineStr">
        <is>
          <t>D Finanzen</t>
        </is>
      </c>
    </row>
    <row r="93">
      <c r="C93" t="inlineStr">
        <is>
          <t>Liest aus</t>
        </is>
      </c>
      <c r="D93" t="inlineStr">
        <is>
          <t>D KLR.xlsx</t>
        </is>
      </c>
      <c r="E93" t="inlineStr">
        <is>
          <t>D KLR</t>
        </is>
      </c>
    </row>
    <row r="94">
      <c r="C94" t="inlineStr">
        <is>
          <t>Liest aus</t>
        </is>
      </c>
      <c r="D94" t="inlineStr">
        <is>
          <t>D Liquidität.xlsx</t>
        </is>
      </c>
      <c r="E94" t="inlineStr">
        <is>
          <t>D Liquidität</t>
        </is>
      </c>
    </row>
    <row r="95">
      <c r="C95" t="inlineStr">
        <is>
          <t>Liest aus</t>
        </is>
      </c>
      <c r="D95" t="inlineStr">
        <is>
          <t>GuV.xlsx</t>
        </is>
      </c>
      <c r="E95" t="inlineStr">
        <is>
          <t>GuV</t>
        </is>
      </c>
    </row>
    <row r="96">
      <c r="C96" t="inlineStr">
        <is>
          <t>Liest aus</t>
        </is>
      </c>
      <c r="D96" t="inlineStr">
        <is>
          <t>Import Stunden.xlsx</t>
        </is>
      </c>
      <c r="E96" t="inlineStr">
        <is>
          <t>Import Stunden</t>
        </is>
      </c>
    </row>
    <row r="97">
      <c r="C97" t="inlineStr">
        <is>
          <t>Liest aus</t>
        </is>
      </c>
      <c r="D97" t="inlineStr">
        <is>
          <t>Steuerung.xlsx</t>
        </is>
      </c>
      <c r="E97" t="inlineStr">
        <is>
          <t>Steuerung</t>
        </is>
      </c>
    </row>
    <row r="98">
      <c r="C98" t="inlineStr">
        <is>
          <t>Liest aus</t>
        </is>
      </c>
      <c r="D98" t="inlineStr">
        <is>
          <t>Stunden.xlsx</t>
        </is>
      </c>
      <c r="E98" t="inlineStr">
        <is>
          <t>Stunden</t>
        </is>
      </c>
    </row>
  </sheetData>
  <mergeCells count="2">
    <mergeCell ref="C2:P2"/>
    <mergeCell ref="C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2026-10-12T08:22:11Z</dcterms:created>
  <dcterms:modified xsi:type="dcterms:W3CDTF">2026-10-12T08:22:11Z</dcterms:modified>
</cp:coreProperties>
</file>